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U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S242" i="3" s="1"/>
  <c r="Q14" i="18"/>
  <c r="N30" i="3"/>
  <c r="M30" i="3"/>
  <c r="K30" i="3"/>
  <c r="J30" i="3"/>
  <c r="I30" i="3"/>
  <c r="H30" i="3"/>
  <c r="G30" i="3"/>
  <c r="C30" i="3"/>
  <c r="C242" i="3" s="1"/>
  <c r="B30" i="3"/>
  <c r="B26" i="1"/>
  <c r="B24" i="1"/>
  <c r="B25" i="1"/>
  <c r="C18" i="20" l="1"/>
  <c r="E3" i="20"/>
  <c r="E22" i="20" s="1"/>
  <c r="P18" i="20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R242" i="3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I213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I21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N13" i="20" s="1"/>
  <c r="Q11" i="20"/>
  <c r="R23" i="18"/>
  <c r="O21" i="19"/>
  <c r="O11" i="20"/>
  <c r="Q14" i="20"/>
  <c r="Q3" i="20"/>
  <c r="Q22" i="20" s="1"/>
  <c r="C19" i="20"/>
  <c r="E14" i="18"/>
  <c r="M14" i="18"/>
  <c r="U19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B4" i="19"/>
  <c r="B60" i="3" s="1"/>
  <c r="J4" i="19"/>
  <c r="J60" i="3" s="1"/>
  <c r="J212" i="3" s="1"/>
  <c r="R4" i="19"/>
  <c r="R60" i="3" s="1"/>
  <c r="R212" i="3" s="1"/>
  <c r="G25" i="19"/>
  <c r="S10" i="20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R22" i="18"/>
  <c r="L23" i="18"/>
  <c r="T23" i="18"/>
  <c r="H14" i="18"/>
  <c r="B15" i="18"/>
  <c r="R15" i="18"/>
  <c r="D10" i="19"/>
  <c r="L10" i="19"/>
  <c r="T10" i="19"/>
  <c r="M22" i="20"/>
  <c r="G23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M23" i="18"/>
  <c r="I14" i="18"/>
  <c r="C15" i="18"/>
  <c r="S15" i="18"/>
  <c r="K23" i="18"/>
  <c r="F18" i="20"/>
  <c r="F14" i="20"/>
  <c r="N18" i="20"/>
  <c r="N14" i="20"/>
  <c r="N10" i="20"/>
  <c r="V18" i="20"/>
  <c r="V14" i="20"/>
  <c r="H19" i="20"/>
  <c r="H15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W10" i="20"/>
  <c r="B14" i="20"/>
  <c r="U15" i="20"/>
  <c r="S18" i="20"/>
  <c r="S15" i="20"/>
  <c r="S3" i="20"/>
  <c r="S23" i="20" s="1"/>
  <c r="G18" i="18"/>
  <c r="E22" i="18"/>
  <c r="M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J11" i="20"/>
  <c r="R15" i="20"/>
  <c r="C14" i="20"/>
  <c r="D15" i="20"/>
  <c r="W15" i="20"/>
  <c r="B19" i="20"/>
  <c r="V22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L21" i="20" l="1"/>
  <c r="U24" i="19"/>
  <c r="N20" i="19"/>
  <c r="N24" i="19"/>
  <c r="J21" i="19"/>
  <c r="R21" i="19"/>
  <c r="H20" i="19"/>
  <c r="Q24" i="19"/>
  <c r="W24" i="19"/>
  <c r="H25" i="19"/>
  <c r="H3" i="19"/>
  <c r="H27" i="19" s="1"/>
  <c r="F89" i="3"/>
  <c r="F181" i="3" s="1"/>
  <c r="T24" i="19"/>
  <c r="Q25" i="19"/>
  <c r="Q10" i="20"/>
  <c r="F24" i="19"/>
  <c r="T20" i="19"/>
  <c r="Q21" i="19"/>
  <c r="G24" i="19"/>
  <c r="F20" i="19"/>
  <c r="U29" i="3"/>
  <c r="U121" i="3" s="1"/>
  <c r="E13" i="20"/>
  <c r="W17" i="20"/>
  <c r="E17" i="20"/>
  <c r="K20" i="19"/>
  <c r="P10" i="20"/>
  <c r="N29" i="3"/>
  <c r="N241" i="3" s="1"/>
  <c r="W3" i="19"/>
  <c r="W28" i="19" s="1"/>
  <c r="P24" i="19"/>
  <c r="E13" i="18"/>
  <c r="E19" i="18"/>
  <c r="L10" i="20"/>
  <c r="M24" i="19"/>
  <c r="L20" i="19"/>
  <c r="E18" i="18"/>
  <c r="S23" i="18"/>
  <c r="S22" i="18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P122" i="3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B121" i="3"/>
  <c r="B241" i="3"/>
  <c r="I183" i="3"/>
  <c r="Q123" i="3"/>
  <c r="P121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K183" i="3"/>
  <c r="E183" i="3"/>
  <c r="D181" i="3"/>
  <c r="D182" i="3"/>
  <c r="R183" i="3"/>
  <c r="R181" i="3"/>
  <c r="M182" i="3"/>
  <c r="I182" i="3"/>
  <c r="C183" i="3"/>
  <c r="J182" i="3"/>
  <c r="M123" i="3"/>
  <c r="M121" i="3"/>
  <c r="Q121" i="3"/>
  <c r="Q122" i="3"/>
  <c r="O123" i="3"/>
  <c r="E123" i="3"/>
  <c r="W123" i="3"/>
  <c r="G123" i="3"/>
  <c r="B123" i="3"/>
  <c r="R122" i="3"/>
  <c r="R121" i="3"/>
  <c r="U123" i="3"/>
  <c r="W122" i="3"/>
  <c r="M122" i="3"/>
  <c r="N123" i="3"/>
  <c r="E122" i="3"/>
  <c r="O12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E27" i="19"/>
  <c r="E23" i="19"/>
  <c r="N27" i="19"/>
  <c r="J17" i="18"/>
  <c r="J13" i="18"/>
  <c r="E28" i="19"/>
  <c r="N9" i="20"/>
  <c r="C25" i="19"/>
  <c r="C21" i="19"/>
  <c r="C3" i="19"/>
  <c r="C9" i="20" s="1"/>
  <c r="J19" i="18"/>
  <c r="T11" i="20"/>
  <c r="H19" i="19"/>
  <c r="W22" i="18"/>
  <c r="L3" i="19"/>
  <c r="L29" i="19" s="1"/>
  <c r="W23" i="19"/>
  <c r="W19" i="19"/>
  <c r="W27" i="19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M27" i="19"/>
  <c r="M19" i="19"/>
  <c r="I21" i="20"/>
  <c r="I17" i="20"/>
  <c r="I13" i="20"/>
  <c r="M21" i="19"/>
  <c r="M29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P27" i="19" l="1"/>
  <c r="N19" i="19"/>
  <c r="N121" i="3"/>
  <c r="F241" i="3"/>
  <c r="H23" i="19"/>
  <c r="L121" i="3"/>
  <c r="G27" i="19"/>
  <c r="Q23" i="19"/>
  <c r="M9" i="20"/>
  <c r="F152" i="3"/>
  <c r="F153" i="3"/>
  <c r="T241" i="3"/>
  <c r="T123" i="3"/>
  <c r="P9" i="20"/>
  <c r="U182" i="3"/>
  <c r="Q27" i="19"/>
  <c r="E153" i="3"/>
  <c r="Q28" i="19"/>
  <c r="P59" i="3"/>
  <c r="Q19" i="19"/>
  <c r="L123" i="3"/>
  <c r="M59" i="3"/>
  <c r="M152" i="3" s="1"/>
  <c r="O9" i="20"/>
  <c r="Q151" i="3"/>
  <c r="P29" i="19"/>
  <c r="P28" i="19"/>
  <c r="Q152" i="3"/>
  <c r="P211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M211" i="3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151" i="3" l="1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R10" i="5" l="1"/>
  <c r="Q10" i="5"/>
  <c r="J10" i="5"/>
  <c r="I10" i="5"/>
  <c r="B10" i="5"/>
  <c r="C10" i="5" l="1"/>
  <c r="K10" i="5"/>
  <c r="S10" i="5"/>
  <c r="T10" i="5"/>
  <c r="E10" i="5"/>
  <c r="M10" i="5"/>
  <c r="U10" i="5"/>
  <c r="F10" i="5"/>
  <c r="N10" i="5"/>
  <c r="V10" i="5"/>
  <c r="D10" i="5"/>
  <c r="G10" i="5"/>
  <c r="O10" i="5"/>
  <c r="W10" i="5"/>
  <c r="L10" i="5"/>
  <c r="H10" i="5"/>
  <c r="P10" i="5"/>
  <c r="Q15" i="17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4" i="9"/>
  <c r="W61" i="9"/>
  <c r="W62" i="9"/>
  <c r="W59" i="9"/>
  <c r="W65" i="9"/>
  <c r="W193" i="3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W57" i="9" l="1"/>
  <c r="R60" i="7"/>
  <c r="Q75" i="7"/>
  <c r="Q84" i="4"/>
  <c r="N84" i="4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83" i="5" s="1"/>
  <c r="B138" i="7" s="1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N26" i="4" s="1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206" i="4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89" i="6" s="1"/>
  <c r="S175" i="4"/>
  <c r="S62" i="6"/>
  <c r="S204" i="7" s="1"/>
  <c r="G176" i="4"/>
  <c r="G63" i="6"/>
  <c r="O12" i="4"/>
  <c r="O203" i="4" s="1"/>
  <c r="O176" i="4"/>
  <c r="O63" i="6"/>
  <c r="C40" i="4"/>
  <c r="C177" i="4" s="1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73" i="4" s="1"/>
  <c r="V19" i="7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88" i="6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11" i="5" s="1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47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70" i="5" s="1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M99" i="6" s="1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N127" i="4"/>
  <c r="N46" i="7" s="1"/>
  <c r="N47" i="7"/>
  <c r="G216" i="4"/>
  <c r="G103" i="6"/>
  <c r="G109" i="5"/>
  <c r="Q170" i="4"/>
  <c r="Q63" i="5"/>
  <c r="Q118" i="7" s="1"/>
  <c r="Q205" i="4"/>
  <c r="Q92" i="6"/>
  <c r="Q98" i="5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31" i="4"/>
  <c r="P64" i="6"/>
  <c r="Q184" i="4"/>
  <c r="R190" i="4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U170" i="4"/>
  <c r="K177" i="4"/>
  <c r="K64" i="6"/>
  <c r="K206" i="7" s="1"/>
  <c r="K70" i="5"/>
  <c r="K125" i="7" s="1"/>
  <c r="H184" i="4"/>
  <c r="H77" i="5"/>
  <c r="H132" i="7" s="1"/>
  <c r="R184" i="4"/>
  <c r="R77" i="5"/>
  <c r="R132" i="7" s="1"/>
  <c r="G77" i="6"/>
  <c r="G83" i="5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R199" i="4"/>
  <c r="R86" i="6"/>
  <c r="R92" i="5"/>
  <c r="N219" i="4"/>
  <c r="N106" i="6"/>
  <c r="N112" i="5"/>
  <c r="B202" i="4"/>
  <c r="B89" i="6"/>
  <c r="B95" i="5"/>
  <c r="I93" i="6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251" i="4"/>
  <c r="V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F58" i="4"/>
  <c r="F13" i="7"/>
  <c r="O20" i="7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202" i="4"/>
  <c r="C213" i="4"/>
  <c r="C100" i="6"/>
  <c r="C106" i="5"/>
  <c r="E215" i="4"/>
  <c r="E102" i="6"/>
  <c r="E108" i="5"/>
  <c r="H218" i="4"/>
  <c r="H105" i="6"/>
  <c r="H111" i="5"/>
  <c r="S91" i="5"/>
  <c r="O92" i="5"/>
  <c r="S202" i="4"/>
  <c r="M177" i="4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U198" i="4"/>
  <c r="U85" i="6"/>
  <c r="U91" i="5"/>
  <c r="H86" i="6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1" i="6"/>
  <c r="M213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M73" i="4"/>
  <c r="M26" i="7"/>
  <c r="U73" i="4"/>
  <c r="J127" i="4"/>
  <c r="J46" i="7" s="1"/>
  <c r="J47" i="7"/>
  <c r="S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105" i="6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258" i="4"/>
  <c r="Q177" i="4"/>
  <c r="Q64" i="6"/>
  <c r="Q206" i="7" s="1"/>
  <c r="Q70" i="5"/>
  <c r="Q125" i="7" s="1"/>
  <c r="V46" i="4"/>
  <c r="N71" i="6"/>
  <c r="N265" i="4"/>
  <c r="N77" i="5"/>
  <c r="T184" i="4"/>
  <c r="O77" i="6"/>
  <c r="O83" i="5"/>
  <c r="H58" i="4"/>
  <c r="I13" i="7"/>
  <c r="R58" i="4"/>
  <c r="R13" i="7"/>
  <c r="R73" i="4"/>
  <c r="R19" i="7" s="1"/>
  <c r="R20" i="7"/>
  <c r="G112" i="4"/>
  <c r="M47" i="7"/>
  <c r="N250" i="4"/>
  <c r="E252" i="4"/>
  <c r="R253" i="4"/>
  <c r="O109" i="5"/>
  <c r="V83" i="6"/>
  <c r="Q215" i="4"/>
  <c r="Q102" i="6"/>
  <c r="Q108" i="5"/>
  <c r="M216" i="4"/>
  <c r="T42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E58" i="4"/>
  <c r="E168" i="4" s="1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F89" i="6" l="1"/>
  <c r="V201" i="4"/>
  <c r="S112" i="4"/>
  <c r="S95" i="5"/>
  <c r="I95" i="5"/>
  <c r="P106" i="5"/>
  <c r="J112" i="4"/>
  <c r="J111" i="4" s="1"/>
  <c r="J30" i="7" s="1"/>
  <c r="O271" i="4"/>
  <c r="I89" i="6"/>
  <c r="I99" i="5"/>
  <c r="T112" i="4"/>
  <c r="N111" i="5"/>
  <c r="H199" i="4"/>
  <c r="K112" i="4"/>
  <c r="V138" i="7"/>
  <c r="F229" i="4"/>
  <c r="V94" i="5"/>
  <c r="M83" i="6"/>
  <c r="S85" i="6"/>
  <c r="M98" i="5"/>
  <c r="M105" i="5"/>
  <c r="V190" i="4"/>
  <c r="N218" i="4"/>
  <c r="I58" i="4"/>
  <c r="I4" i="7" s="1"/>
  <c r="D26" i="7"/>
  <c r="F95" i="5"/>
  <c r="C64" i="6"/>
  <c r="C206" i="7" s="1"/>
  <c r="M92" i="6"/>
  <c r="S125" i="7"/>
  <c r="I59" i="7"/>
  <c r="R177" i="4"/>
  <c r="Q100" i="6"/>
  <c r="B77" i="5"/>
  <c r="O112" i="5"/>
  <c r="Q213" i="4"/>
  <c r="B213" i="7"/>
  <c r="D47" i="6"/>
  <c r="O106" i="6"/>
  <c r="G184" i="4"/>
  <c r="C58" i="4"/>
  <c r="C4" i="7" s="1"/>
  <c r="O26" i="4"/>
  <c r="B184" i="4"/>
  <c r="G46" i="4"/>
  <c r="G271" i="4" s="1"/>
  <c r="G77" i="5"/>
  <c r="G132" i="7" s="1"/>
  <c r="J18" i="6"/>
  <c r="N18" i="5"/>
  <c r="F125" i="7"/>
  <c r="Q117" i="5"/>
  <c r="B132" i="7"/>
  <c r="U125" i="7"/>
  <c r="R127" i="4"/>
  <c r="R46" i="7" s="1"/>
  <c r="U63" i="5"/>
  <c r="U118" i="7" s="1"/>
  <c r="H199" i="7"/>
  <c r="B63" i="5"/>
  <c r="B118" i="7" s="1"/>
  <c r="H118" i="7"/>
  <c r="M199" i="7"/>
  <c r="U59" i="7"/>
  <c r="T213" i="7"/>
  <c r="M13" i="4"/>
  <c r="K184" i="4"/>
  <c r="B57" i="6"/>
  <c r="B199" i="7" s="1"/>
  <c r="P71" i="6"/>
  <c r="P213" i="7" s="1"/>
  <c r="O6" i="4"/>
  <c r="O84" i="6" s="1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150" i="4" s="1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S4" i="4" s="1"/>
  <c r="I20" i="4"/>
  <c r="I157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R91" i="6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90" i="5" s="1"/>
  <c r="Q42" i="5"/>
  <c r="Q76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F95" i="6"/>
  <c r="N92" i="6"/>
  <c r="M107" i="5"/>
  <c r="U262" i="4"/>
  <c r="U87" i="6"/>
  <c r="C170" i="4"/>
  <c r="D106" i="5"/>
  <c r="I31" i="4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84" i="6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90" i="5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97" i="5"/>
  <c r="B197" i="4"/>
  <c r="B84" i="6"/>
  <c r="B90" i="5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J57" i="4"/>
  <c r="J3" i="7" s="1"/>
  <c r="J4" i="7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T31" i="7"/>
  <c r="P20" i="4"/>
  <c r="P157" i="4" s="1"/>
  <c r="P215" i="4"/>
  <c r="P102" i="6"/>
  <c r="P108" i="5"/>
  <c r="S84" i="6"/>
  <c r="S90" i="5"/>
  <c r="O57" i="4"/>
  <c r="O3" i="7" s="1"/>
  <c r="O4" i="7"/>
  <c r="F204" i="4"/>
  <c r="J163" i="4"/>
  <c r="J217" i="4"/>
  <c r="J104" i="6"/>
  <c r="J110" i="5"/>
  <c r="B177" i="4"/>
  <c r="B64" i="6"/>
  <c r="B206" i="7" s="1"/>
  <c r="B70" i="5"/>
  <c r="B125" i="7" s="1"/>
  <c r="R97" i="5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267" i="4"/>
  <c r="E272" i="4"/>
  <c r="E270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K143" i="4"/>
  <c r="K197" i="4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N183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272" i="4"/>
  <c r="Q270" i="4"/>
  <c r="Q268" i="4"/>
  <c r="Q266" i="4"/>
  <c r="Q264" i="4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255" i="4"/>
  <c r="H253" i="4"/>
  <c r="H249" i="4"/>
  <c r="H261" i="4"/>
  <c r="H263" i="4"/>
  <c r="H257" i="4"/>
  <c r="R168" i="4"/>
  <c r="C6" i="4"/>
  <c r="T20" i="4"/>
  <c r="R143" i="4"/>
  <c r="B4" i="4"/>
  <c r="B231" i="4" s="1"/>
  <c r="B143" i="4"/>
  <c r="P13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C46" i="4"/>
  <c r="C271" i="4" s="1"/>
  <c r="R19" i="4"/>
  <c r="R244" i="4" s="1"/>
  <c r="D4" i="4"/>
  <c r="D225" i="4" s="1"/>
  <c r="F19" i="4"/>
  <c r="F238" i="4" s="1"/>
  <c r="E19" i="4"/>
  <c r="E238" i="4" s="1"/>
  <c r="S223" i="4" l="1"/>
  <c r="S231" i="4"/>
  <c r="C57" i="4"/>
  <c r="C3" i="7" s="1"/>
  <c r="H250" i="4"/>
  <c r="E269" i="4"/>
  <c r="H262" i="4"/>
  <c r="S197" i="4"/>
  <c r="J97" i="5"/>
  <c r="R4" i="4"/>
  <c r="J31" i="7"/>
  <c r="E273" i="4"/>
  <c r="J91" i="6"/>
  <c r="Q17" i="5"/>
  <c r="Q157" i="5" s="1"/>
  <c r="K217" i="4"/>
  <c r="E264" i="4"/>
  <c r="E70" i="6"/>
  <c r="R204" i="4"/>
  <c r="S143" i="4"/>
  <c r="J204" i="4"/>
  <c r="D91" i="6"/>
  <c r="N17" i="5"/>
  <c r="R17" i="6"/>
  <c r="R136" i="6" s="1"/>
  <c r="H61" i="5"/>
  <c r="I168" i="4"/>
  <c r="I98" i="6"/>
  <c r="G98" i="6"/>
  <c r="O4" i="4"/>
  <c r="O232" i="4" s="1"/>
  <c r="H168" i="4"/>
  <c r="H157" i="4"/>
  <c r="B204" i="4"/>
  <c r="O90" i="5"/>
  <c r="Q150" i="4"/>
  <c r="K90" i="5"/>
  <c r="E266" i="4"/>
  <c r="E30" i="4"/>
  <c r="R150" i="4"/>
  <c r="D204" i="4"/>
  <c r="H260" i="4"/>
  <c r="I19" i="4"/>
  <c r="I244" i="4" s="1"/>
  <c r="H252" i="4"/>
  <c r="I211" i="4"/>
  <c r="H254" i="4"/>
  <c r="K4" i="4"/>
  <c r="K223" i="4" s="1"/>
  <c r="H259" i="4"/>
  <c r="E268" i="4"/>
  <c r="H251" i="4"/>
  <c r="N57" i="4"/>
  <c r="I90" i="5"/>
  <c r="C111" i="4"/>
  <c r="C30" i="7" s="1"/>
  <c r="D57" i="4"/>
  <c r="D3" i="7" s="1"/>
  <c r="I84" i="6"/>
  <c r="B110" i="5"/>
  <c r="I197" i="4"/>
  <c r="B104" i="6"/>
  <c r="B164" i="5"/>
  <c r="B217" i="4"/>
  <c r="S17" i="5"/>
  <c r="S154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0" i="5"/>
  <c r="S152" i="5"/>
  <c r="S166" i="5"/>
  <c r="S145" i="5"/>
  <c r="S164" i="5"/>
  <c r="S158" i="5"/>
  <c r="S151" i="5"/>
  <c r="S159" i="5"/>
  <c r="S155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41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37" i="6"/>
  <c r="H135" i="6"/>
  <c r="H146" i="6"/>
  <c r="H145" i="6"/>
  <c r="H154" i="6"/>
  <c r="H148" i="6"/>
  <c r="H140" i="6"/>
  <c r="H139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48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67" i="4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H240" i="4"/>
  <c r="H239" i="4"/>
  <c r="P163" i="4"/>
  <c r="P217" i="4"/>
  <c r="P104" i="6"/>
  <c r="P110" i="5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235" i="4"/>
  <c r="I236" i="4"/>
  <c r="O224" i="4"/>
  <c r="J157" i="4"/>
  <c r="J211" i="4"/>
  <c r="J98" i="6"/>
  <c r="J104" i="5"/>
  <c r="J238" i="4"/>
  <c r="C244" i="4"/>
  <c r="Q60" i="5"/>
  <c r="H244" i="4"/>
  <c r="V238" i="4"/>
  <c r="K211" i="4"/>
  <c r="K98" i="6"/>
  <c r="K104" i="5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K240" i="4" l="1"/>
  <c r="K245" i="4"/>
  <c r="P246" i="4"/>
  <c r="G224" i="4"/>
  <c r="Q167" i="4"/>
  <c r="M242" i="4"/>
  <c r="H149" i="6"/>
  <c r="M239" i="4"/>
  <c r="J155" i="5"/>
  <c r="M156" i="4"/>
  <c r="I238" i="4"/>
  <c r="E54" i="6"/>
  <c r="S150" i="5"/>
  <c r="S156" i="5"/>
  <c r="J159" i="5"/>
  <c r="J144" i="5"/>
  <c r="S144" i="5"/>
  <c r="S161" i="5"/>
  <c r="S148" i="5"/>
  <c r="U60" i="5"/>
  <c r="S157" i="5"/>
  <c r="S165" i="5"/>
  <c r="S146" i="5"/>
  <c r="G222" i="4"/>
  <c r="P103" i="5"/>
  <c r="U54" i="6"/>
  <c r="J142" i="5"/>
  <c r="J146" i="5"/>
  <c r="S149" i="5"/>
  <c r="S163" i="5"/>
  <c r="S147" i="5"/>
  <c r="J141" i="5"/>
  <c r="S143" i="5"/>
  <c r="S153" i="5"/>
  <c r="S162" i="5"/>
  <c r="J153" i="5"/>
  <c r="S141" i="5"/>
  <c r="S142" i="5"/>
  <c r="J152" i="5"/>
  <c r="J161" i="5"/>
  <c r="I223" i="4"/>
  <c r="G88" i="5"/>
  <c r="G228" i="4"/>
  <c r="I88" i="5"/>
  <c r="V147" i="5"/>
  <c r="I195" i="4"/>
  <c r="I233" i="4"/>
  <c r="I226" i="4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42" i="5" l="1"/>
  <c r="L33" i="6"/>
  <c r="L124" i="5"/>
  <c r="L111" i="6"/>
  <c r="L131" i="6"/>
  <c r="L18" i="5"/>
  <c r="L17" i="5" s="1"/>
  <c r="L144" i="5" s="1"/>
  <c r="L18" i="6"/>
  <c r="L55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17" i="6" l="1"/>
  <c r="L151" i="6" s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O61" i="8" l="1"/>
  <c r="O14" i="8"/>
  <c r="O26" i="10" s="1"/>
  <c r="H61" i="8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P10" i="16"/>
  <c r="P4" i="16"/>
  <c r="S4" i="16"/>
  <c r="S3" i="16" s="1"/>
  <c r="K10" i="16"/>
  <c r="K3" i="16" s="1"/>
  <c r="G4" i="16"/>
  <c r="Q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S80" i="8"/>
  <c r="O80" i="8"/>
  <c r="N80" i="8"/>
  <c r="R79" i="8"/>
  <c r="K79" i="8"/>
  <c r="V77" i="8"/>
  <c r="S77" i="8"/>
  <c r="O77" i="8"/>
  <c r="N77" i="8"/>
  <c r="S76" i="8"/>
  <c r="R76" i="8"/>
  <c r="O76" i="8"/>
  <c r="V75" i="8"/>
  <c r="N75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1" i="1"/>
  <c r="B17" i="1"/>
  <c r="B16" i="1"/>
  <c r="B20" i="1"/>
  <c r="B15" i="1"/>
  <c r="B13" i="1"/>
  <c r="B6" i="1"/>
  <c r="B22" i="1"/>
  <c r="B8" i="1"/>
  <c r="B7" i="1"/>
  <c r="B4" i="1"/>
  <c r="B12" i="1"/>
  <c r="B18" i="1"/>
  <c r="B21" i="1"/>
  <c r="B9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I220" i="3" s="1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K189" i="3" s="1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E221" i="3"/>
  <c r="M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 s="1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77" i="3" s="1"/>
  <c r="F177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1" i="3" l="1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50" i="3" l="1"/>
  <c r="I140" i="3"/>
  <c r="C234" i="3"/>
  <c r="I143" i="3"/>
  <c r="I142" i="3"/>
  <c r="I199" i="3"/>
  <c r="I144" i="3"/>
  <c r="I141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39" i="3" l="1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<sst xmlns="http://schemas.openxmlformats.org/spreadsheetml/2006/main" count="2655" uniqueCount="1167">
  <si>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</si>
  <si>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</si>
  <si>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</si>
  <si>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</si>
  <si>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</si>
  <si>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</si>
  <si>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</si>
  <si>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</si>
  <si>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</si>
  <si>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</si>
  <si>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</si>
  <si>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</si>
  <si>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</si>
  <si>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</si>
  <si>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</si>
  <si>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</si>
  <si>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</si>
  <si>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</si>
  <si>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</si>
  <si>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</si>
  <si>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</si>
  <si>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</si>
  <si>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</si>
  <si>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</si>
  <si>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</si>
  <si>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</si>
  <si>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</si>
  <si>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</si>
  <si>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</si>
  <si>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</si>
  <si>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</si>
  <si>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</si>
  <si>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</si>
  <si>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</si>
  <si>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</si>
  <si>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</si>
  <si>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</si>
  <si>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</si>
  <si>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</si>
  <si>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</si>
  <si>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</si>
  <si>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</si>
  <si>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</si>
  <si>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</si>
  <si>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</si>
  <si>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</si>
  <si>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</si>
  <si>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</si>
  <si>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</si>
  <si>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</si>
  <si>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</si>
  <si>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</si>
  <si>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</si>
  <si>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</si>
  <si>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</si>
  <si>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</si>
  <si>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</si>
  <si>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</si>
  <si>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</si>
  <si>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</si>
  <si>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</si>
  <si>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</si>
  <si>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</si>
  <si>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</si>
  <si>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</si>
  <si>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</si>
  <si>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</si>
  <si>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</si>
  <si>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</si>
  <si>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</si>
  <si>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</si>
  <si>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</si>
  <si>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</si>
  <si>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</si>
  <si>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</si>
  <si>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</si>
  <si>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</si>
  <si>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</si>
  <si>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</si>
  <si>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</si>
  <si>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</si>
  <si>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</si>
  <si>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</si>
  <si>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</si>
  <si>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</si>
  <si>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</si>
  <si>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</si>
  <si>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</si>
  <si>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</si>
  <si>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</si>
  <si>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</si>
  <si>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</si>
  <si>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</si>
  <si>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</si>
  <si>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</si>
  <si>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</si>
  <si>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</si>
  <si>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</si>
  <si>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</si>
  <si>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</si>
  <si>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</si>
  <si>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</si>
  <si>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</si>
  <si>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</si>
  <si>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</si>
  <si>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</si>
  <si>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</si>
  <si>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</si>
  <si>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</si>
  <si>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</si>
  <si>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</si>
  <si>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</si>
  <si>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</si>
  <si>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</si>
  <si>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</si>
  <si>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</si>
  <si>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</si>
  <si>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</si>
  <si>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</si>
  <si>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</si>
  <si>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</si>
  <si>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</si>
  <si>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</si>
  <si>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</si>
  <si>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</si>
  <si>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</si>
  <si>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</si>
  <si>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</si>
  <si>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</si>
  <si>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</si>
  <si>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</si>
  <si>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</si>
  <si>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</si>
  <si>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</si>
  <si>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</si>
  <si>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</si>
  <si>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</si>
  <si>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</si>
  <si>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</si>
  <si>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</si>
  <si>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</si>
  <si>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</si>
  <si>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</si>
  <si>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</si>
  <si>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</si>
  <si>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</si>
  <si>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</si>
  <si>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</si>
  <si>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</si>
  <si>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</si>
  <si>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</si>
  <si>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</si>
  <si>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</si>
  <si>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</si>
  <si>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</si>
  <si>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</si>
  <si>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</si>
  <si>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</si>
  <si>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</si>
  <si>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</si>
  <si>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</si>
  <si>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</si>
  <si>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</si>
  <si>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</si>
  <si>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</si>
  <si>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</si>
  <si>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</si>
  <si>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</si>
  <si>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</si>
  <si>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</si>
  <si>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</si>
  <si>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</si>
  <si>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</si>
  <si>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</si>
  <si>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</si>
  <si>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</si>
  <si>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</si>
  <si>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</si>
  <si>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</si>
  <si>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</si>
  <si>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</si>
  <si>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</si>
  <si>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</si>
  <si>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</si>
  <si>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</si>
  <si>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</si>
  <si>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HU</t>
  </si>
  <si>
    <t>Hungary</t>
  </si>
  <si>
    <t>Aviation - HU - Hungary</t>
  </si>
  <si>
    <t>Activity.Mpkm.HU.Tr.Avia.Passenger</t>
  </si>
  <si>
    <t>Activity.Mpkm.HU.Tr.Avia.Passenger.Domestic</t>
  </si>
  <si>
    <t>Activity.Mpkm.HU.Tr.Avia.Passenger.IntraEEAwUK</t>
  </si>
  <si>
    <t>Activity.Mpkm.HU.Tr.Avia.Passenger.ExtraEEAwUK</t>
  </si>
  <si>
    <t>Activity.Mtkm.HU.Tr.Avia.Freight</t>
  </si>
  <si>
    <t>Activity.Mtkm.HU.Tr.Avia.Freight.Domestic</t>
  </si>
  <si>
    <t>Activity.Mtkm.HU.Tr.Avia.Freight.IntraEEAwUK</t>
  </si>
  <si>
    <t>Activity.Mtkm.HU.Tr.Avia.Freight.ExtraEEAwUK</t>
  </si>
  <si>
    <t>VehicleKm.Mkm.HU.Tr.Avia</t>
  </si>
  <si>
    <t>VehicleKm.Mkm.HU.Tr.Avia.Passenger</t>
  </si>
  <si>
    <t>VehicleKm.Mkm.HU.Tr.Avia.Passenger.Domestic</t>
  </si>
  <si>
    <t>VehicleKm.Mkm.HU.Tr.Avia.Passenger.IntraEEAwUK</t>
  </si>
  <si>
    <t>VehicleKm.Mkm.HU.Tr.Avia.Passenger.ExtraEEAwUK</t>
  </si>
  <si>
    <t>VehicleKm.Mkm.HU.Tr.Avia.Freight</t>
  </si>
  <si>
    <t>VehicleKm.Mkm.HU.Tr.Avia.Freight.Domestic</t>
  </si>
  <si>
    <t>VehicleKm.Mkm.HU.Tr.Avia.Freight.IntraEEAwUK</t>
  </si>
  <si>
    <t>VehicleKm.Mkm.HU.Tr.Avia.Freight.ExtraEEAwUK</t>
  </si>
  <si>
    <t>Flights.number.HU.Tr.Avia</t>
  </si>
  <si>
    <t>Flights.number.HU.Tr.Avia.Passenger</t>
  </si>
  <si>
    <t>Flights.number.HU.Tr.Avia.Passenger.Domestic</t>
  </si>
  <si>
    <t>Flights.number.HU.Tr.Avia.Passenger.IntraEEAwUK</t>
  </si>
  <si>
    <t>Flights.number.HU.Tr.Avia.Passenger.ExtraEEAwUK</t>
  </si>
  <si>
    <t>Flights.number.HU.Tr.Avia.Freight</t>
  </si>
  <si>
    <t>Flights.number.HU.Tr.Avia.Freight.Domestic</t>
  </si>
  <si>
    <t>Flights.number.HU.Tr.Avia.Freight.IntraEEAwUK</t>
  </si>
  <si>
    <t>Flights.number.HU.Tr.Avia.Freight.ExtraEEAwUK</t>
  </si>
  <si>
    <t>VolCarried.passenger.HU.Tr.Avia.Passenger</t>
  </si>
  <si>
    <t>VolCarried.passenger.HU.Tr.Avia.Passenger.Domestic</t>
  </si>
  <si>
    <t>VolCarried.passenger.HU.Tr.Avia.Passenger.IntraEEAwUK</t>
  </si>
  <si>
    <t>VolCarried.passenger.HU.Tr.Avia.Passenger.ExtraEEAwUK</t>
  </si>
  <si>
    <t>VolCarried.t.HU.Tr.Avia.Freight</t>
  </si>
  <si>
    <t>VolCarried.t.HU.Tr.Avia.Freight.Domestic</t>
  </si>
  <si>
    <t>VolCarried.t.HU.Tr.Avia.Freight.IntraEEAwUK</t>
  </si>
  <si>
    <t>VolCarried.t.HU.Tr.Avia.Freight.ExtraEEAwUK</t>
  </si>
  <si>
    <t>Stock.number.HU.Tr.Avia</t>
  </si>
  <si>
    <t>Stock.number.HU.Tr.Avia.Passenger</t>
  </si>
  <si>
    <t>Stock.number.HU.Tr.Avia.Passenger.Domestic</t>
  </si>
  <si>
    <t>Stock.number.HU.Tr.Avia.Passenger.IntraEEAwUK</t>
  </si>
  <si>
    <t>Stock.number.HU.Tr.Avia.Passenger.ExtraEEAwUK</t>
  </si>
  <si>
    <t>Stock.number.HU.Tr.Avia.Freight</t>
  </si>
  <si>
    <t>Stock.number.HU.Tr.Avia.Freight.Domestic</t>
  </si>
  <si>
    <t>Stock.number.HU.Tr.Avia.Freight.IntraEEAwUK</t>
  </si>
  <si>
    <t>Stock.number.HU.Tr.Avia.Freight.ExtraEEAwUK</t>
  </si>
  <si>
    <t>StockNew.number.HU.Tr.Avia</t>
  </si>
  <si>
    <t>StockNew.number.HU.Tr.Avia.Passenger</t>
  </si>
  <si>
    <t>StockNew.number.HU.Tr.Avia.Passenger.Domestic</t>
  </si>
  <si>
    <t>StockNew.number.HU.Tr.Avia.Passenger.IntraEEAwUK</t>
  </si>
  <si>
    <t>StockNew.number.HU.Tr.Avia.Passenger.ExtraEEAwUK</t>
  </si>
  <si>
    <t>StockNew.number.HU.Tr.Avia.Freight</t>
  </si>
  <si>
    <t>StockNew.number.HU.Tr.Avia.Freight.Domestic</t>
  </si>
  <si>
    <t>StockNew.number.HU.Tr.Avia.Freight.IntraEEAwUK</t>
  </si>
  <si>
    <t>StockNew.number.HU.Tr.Avia.Freight.ExtraEEAwUK</t>
  </si>
  <si>
    <t>Load.passenger_per_movement.HU.Tr.Avia.Passenger</t>
  </si>
  <si>
    <t>Load.passenger_per_movement.HU.Tr.Avia.Passenger.Domestic</t>
  </si>
  <si>
    <t>Load.passenger_per_movement.HU.Tr.Avia.Passenger.IntraEEAwUK</t>
  </si>
  <si>
    <t>Load.passenger_per_movement.HU.Tr.Avia.Passenger.ExtraEEAwUK</t>
  </si>
  <si>
    <t>Load.t_per_movement.HU.Tr.Avia.Freight</t>
  </si>
  <si>
    <t>Load.t_per_movement.HU.Tr.Avia.Freight.Domestic</t>
  </si>
  <si>
    <t>Load.t_per_movement.HU.Tr.Avia.Freight.IntraEEAwUK</t>
  </si>
  <si>
    <t>Load.t_per_movement.HU.Tr.Avia.Freight.ExtraEEAwUK</t>
  </si>
  <si>
    <t>VehicleKm_per_flight.km.HU.Tr.Avia</t>
  </si>
  <si>
    <t>VehicleKm_per_flight.km.HU.Tr.Avia.Passenger</t>
  </si>
  <si>
    <t>VehicleKm_per_flight.km.HU.Tr.Avia.Passenger.Domestic</t>
  </si>
  <si>
    <t>VehicleKm_per_flight.km.HU.Tr.Avia.Passenger.IntraEEAwUK</t>
  </si>
  <si>
    <t>VehicleKm_per_flight.km.HU.Tr.Avia.Passenger.ExtraEEAwUK</t>
  </si>
  <si>
    <t>VehicleKm_per_flight.km.HU.Tr.Avia.Freight</t>
  </si>
  <si>
    <t>VehicleKm_per_flight.km.HU.Tr.Avia.Freight.Domestic</t>
  </si>
  <si>
    <t>VehicleKm_per_flight.km.HU.Tr.Avia.Freight.IntraEEAwUK</t>
  </si>
  <si>
    <t>VehicleKm_per_flight.km.HU.Tr.Avia.Freight.ExtraEEAwUK</t>
  </si>
  <si>
    <t>Activity_per_flight.pkm.HU.Tr.Avia.Passenger</t>
  </si>
  <si>
    <t>Activity_per_flight.pkm.HU.Tr.Avia.Passenger.Domestic</t>
  </si>
  <si>
    <t>Activity_per_flight.pkm.HU.Tr.Avia.Passenger.IntraEEAwUK</t>
  </si>
  <si>
    <t>Activity_per_flight.pkm.HU.Tr.Avia.Passenger.ExtraEEAwUK</t>
  </si>
  <si>
    <t>Activity_per_flight.tkm.HU.Tr.Avia.Freight</t>
  </si>
  <si>
    <t>Activity_per_flight.tkm.HU.Tr.Avia.Freight.Domestic</t>
  </si>
  <si>
    <t>Activity_per_flight.tkm.HU.Tr.Avia.Freight.IntraEEAwUK</t>
  </si>
  <si>
    <t>Activity_per_flight.tkm.HU.Tr.Avia.Freight.ExtraEEAwUK</t>
  </si>
  <si>
    <t>Flights_per_vehicle.number.HU.Tr.Avia</t>
  </si>
  <si>
    <t>Flights_per_vehicle.number.HU.Tr.Avia.Passenger</t>
  </si>
  <si>
    <t>Flights_per_vehicle.number.HU.Tr.Avia.Passenger.Domestic</t>
  </si>
  <si>
    <t>Flights_per_vehicle.number.HU.Tr.Avia.Passenger.IntraEEAwUK</t>
  </si>
  <si>
    <t>Flights_per_vehicle.number.HU.Tr.Avia.Passenger.ExtraEEAwUK</t>
  </si>
  <si>
    <t>Flights_per_vehicle.number.HU.Tr.Avia.Freight</t>
  </si>
  <si>
    <t>Flights_per_vehicle.number.HU.Tr.Avia.Freight.Domestic</t>
  </si>
  <si>
    <t>Flights_per_vehicle.number.HU.Tr.Avia.Freight.IntraEEAwUK</t>
  </si>
  <si>
    <t>Flights_per_vehicle.number.HU.Tr.Avia.Freight.ExtraEEAwUK</t>
  </si>
  <si>
    <t>Aviation / energy consumption - HU - Hungary</t>
  </si>
  <si>
    <t>FEC.ktoe.HU.Tr.Avia</t>
  </si>
  <si>
    <t>FEC.ktoe.HU.Tr.Avia.Domestic</t>
  </si>
  <si>
    <t>FEC.ktoe.HU.Tr.Avia.International</t>
  </si>
  <si>
    <t>FEC.ktoe.HU.Tr.Avia.Passenger</t>
  </si>
  <si>
    <t>FEC.ktoe.HU.Tr.Avia.Passenger.Domestic</t>
  </si>
  <si>
    <t>FEC.ktoe.HU.Tr.Avia.Passenger.IntraEEAwUK</t>
  </si>
  <si>
    <t>FEC.ktoe.HU.Tr.Avia.Passenger.ExtraEEAwUK</t>
  </si>
  <si>
    <t>FEC.ktoe.HU.Tr.Avia.Freight</t>
  </si>
  <si>
    <t>FEC.ktoe.HU.Tr.Avia.Freight.Domestic</t>
  </si>
  <si>
    <t>FEC.ktoe.HU.Tr.Avia.Freight.IntraEEAwUK</t>
  </si>
  <si>
    <t>FEC.ktoe.HU.Tr.Avia.Freight.ExtraEEAwUK</t>
  </si>
  <si>
    <t>Eff.kgoe_per_100km.HU.Tr.Avia</t>
  </si>
  <si>
    <t>Eff.kgoe_per_100km.HU.Tr.Avia.Passenger</t>
  </si>
  <si>
    <t>Eff.kgoe_per_100km.HU.Tr.Avia.Passenger.Domestic</t>
  </si>
  <si>
    <t>Eff.kgoe_per_100km.HU.Tr.Avia.Passenger.IntraEEAwUK</t>
  </si>
  <si>
    <t>Eff.kgoe_per_100km.HU.Tr.Avia.Passenger.ExtraEEAwUK</t>
  </si>
  <si>
    <t>Eff.kgoe_per_100km.HU.Tr.Avia.Freight</t>
  </si>
  <si>
    <t>Eff.kgoe_per_100km.HU.Tr.Avia.Freight.Domestic</t>
  </si>
  <si>
    <t>Eff.kgoe_per_100km.HU.Tr.Avia.Freight.IntraEEAwUK</t>
  </si>
  <si>
    <t>Eff.kgoe_per_100km.HU.Tr.Avia.Freight.ExtraEEAwUK</t>
  </si>
  <si>
    <t>Eff.kgoe_per_kpkm.HU.Tr.Avia.Passenger</t>
  </si>
  <si>
    <t>Eff.kgoe_per_kpkm.HU.Tr.Avia.Passenger.Domestic</t>
  </si>
  <si>
    <t>Eff.kgoe_per_kpkm.HU.Tr.Avia.Passenger.IntraEEAwUK</t>
  </si>
  <si>
    <t>Eff.kgoe_per_kpkm.HU.Tr.Avia.Passenger.ExtraEEAwUK</t>
  </si>
  <si>
    <t>Eff.kgoe_per_ktkm.HU.Tr.Avia.Freight</t>
  </si>
  <si>
    <t>Eff.kgoe_per_ktkm.HU.Tr.Avia.Freight.Domestic</t>
  </si>
  <si>
    <t>Eff.kgoe_per_ktkm.HU.Tr.Avia.Freight.IntraEEAwUK</t>
  </si>
  <si>
    <t>Eff.kgoe_per_ktkm.HU.Tr.Avia.Freight.ExtraEEAwUK</t>
  </si>
  <si>
    <t>FEC_per_flight.kgoe.HU.Tr.Avia</t>
  </si>
  <si>
    <t>FEC_per_flight.kgoe.HU.Tr.Avia.Passenger</t>
  </si>
  <si>
    <t>FEC_per_flight.kgoe.HU.Tr.Avia.Passenger.Domestic</t>
  </si>
  <si>
    <t>FEC_per_flight.kgoe.HU.Tr.Avia.Passenger.IntraEEAwUK</t>
  </si>
  <si>
    <t>FEC_per_flight.kgoe.HU.Tr.Avia.Passenger.ExtraEEAwUK</t>
  </si>
  <si>
    <t>FEC_per_flight.kgoe.HU.Tr.Avia.Freight</t>
  </si>
  <si>
    <t>FEC_per_flight.kgoe.HU.Tr.Avia.Freight.Domestic</t>
  </si>
  <si>
    <t>FEC_per_flight.kgoe.HU.Tr.Avia.Freight.IntraEEAwUK</t>
  </si>
  <si>
    <t>FEC_per_flight.kgoe.HU.Tr.Avia.Freight.ExtraEEAwUK</t>
  </si>
  <si>
    <t>Eff_theor.kgoe_per_100km.HU.Tr.Avia</t>
  </si>
  <si>
    <t>Eff_theor.kgoe_per_100km.HU.Tr.Avia.Passenger</t>
  </si>
  <si>
    <t>Eff_theor.kgoe_per_100km.HU.Tr.Avia.Passenger.Domestic</t>
  </si>
  <si>
    <t>Eff_theor.kgoe_per_100km.HU.Tr.Avia.Passenger.IntraEEAwUK</t>
  </si>
  <si>
    <t>Eff_theor.kgoe_per_100km.HU.Tr.Avia.Passenger.ExtraEEAwUK</t>
  </si>
  <si>
    <t>Eff_theor.kgoe_per_100km.HU.Tr.Avia.Freight</t>
  </si>
  <si>
    <t>Eff_theor.kgoe_per_100km.HU.Tr.Avia.Freight.Domestic</t>
  </si>
  <si>
    <t>Eff_theor.kgoe_per_100km.HU.Tr.Avia.Freight.IntraEEAwUK</t>
  </si>
  <si>
    <t>Eff_theor.kgoe_per_100km.HU.Tr.Avia.Freight.ExtraEEAwUK</t>
  </si>
  <si>
    <t>Aviation / CO2 emissions - HU - Hungary</t>
  </si>
  <si>
    <t>EMI.ktCO2.HU.Tr.Avia</t>
  </si>
  <si>
    <t>EMI.ktCO2.HU.Tr.Avia.Domestic</t>
  </si>
  <si>
    <t>EMI.ktCO2.HU.Tr.Avia.International</t>
  </si>
  <si>
    <t>EMI.ktCO2.HU.Tr.Avia.Passenger</t>
  </si>
  <si>
    <t>EMI.ktCO2.HU.Tr.Avia.Passenger.Domestic</t>
  </si>
  <si>
    <t>EMI.ktCO2.HU.Tr.Avia.Passenger.IntraEEAwUK</t>
  </si>
  <si>
    <t>EMI.ktCO2.HU.Tr.Avia.Passenger.ExtraEEAwUK</t>
  </si>
  <si>
    <t>EMI.ktCO2.HU.Tr.Avia.Freight</t>
  </si>
  <si>
    <t>EMI.ktCO2.HU.Tr.Avia.Freight.Domestic</t>
  </si>
  <si>
    <t>EMI.ktCO2.HU.Tr.Avia.Freight.IntraEEAwUK</t>
  </si>
  <si>
    <t>EMI.ktCO2.HU.Tr.Avia.Freight.ExtraEEAwUK</t>
  </si>
  <si>
    <t>EMIint.gCO2_per_km.HU.Tr.Avia</t>
  </si>
  <si>
    <t>EMIint.gCO2_per_km.HU.Tr.Avia.Passenger</t>
  </si>
  <si>
    <t>EMIint.gCO2_per_km.HU.Tr.Avia.Passenger.Domestic</t>
  </si>
  <si>
    <t>EMIint.gCO2_per_km.HU.Tr.Avia.Passenger.IntraEEAwUK</t>
  </si>
  <si>
    <t>EMIint.gCO2_per_km.HU.Tr.Avia.Passenger.ExtraEEAwUK</t>
  </si>
  <si>
    <t>EMIint.gCO2_per_km.HU.Tr.Avia.Freight</t>
  </si>
  <si>
    <t>EMIint.gCO2_per_km.HU.Tr.Avia.Freight.Domestic</t>
  </si>
  <si>
    <t>EMIint.gCO2_per_km.HU.Tr.Avia.Freight.IntraEEAwUK</t>
  </si>
  <si>
    <t>EMIint.gCO2_per_km.HU.Tr.Avia.Freight.ExtraEEAwUK</t>
  </si>
  <si>
    <t>EMIint.gCO2_per_pkm.HU.Tr.Avia.Passenger</t>
  </si>
  <si>
    <t>EMIint.gCO2_per_pkm.HU.Tr.Avia.Passenger.Domestic</t>
  </si>
  <si>
    <t>EMIint.gCO2_per_pkm.HU.Tr.Avia.Passenger.IntraEEAwUK</t>
  </si>
  <si>
    <t>EMIint.gCO2_per_pkm.HU.Tr.Avia.Passenger.ExtraEEAwUK</t>
  </si>
  <si>
    <t>EMIint.gCO2_per_tkm.HU.Tr.Avia.Freight</t>
  </si>
  <si>
    <t>EMIint.gCO2_per_tkm.HU.Tr.Avia.Freight.Domestic</t>
  </si>
  <si>
    <t>EMIint.gCO2_per_tkm.HU.Tr.Avia.Freight.IntraEEAwUK</t>
  </si>
  <si>
    <t>EMIint.gCO2_per_tkm.HU.Tr.Avia.Freight.ExtraEEAwUK</t>
  </si>
  <si>
    <t>EMI_per_flight.kgCO2.HU.Tr.Avia</t>
  </si>
  <si>
    <t>EMI_per_flight.kgCO2.HU.Tr.Avia.Passenger</t>
  </si>
  <si>
    <t>EMI_per_flight.kgCO2.HU.Tr.Avia.Passenger.Domestic</t>
  </si>
  <si>
    <t>EMI_per_flight.kgCO2.HU.Tr.Avia.Passenger.IntraEEAwUK</t>
  </si>
  <si>
    <t>EMI_per_flight.kgCO2.HU.Tr.Avia.Passenger.ExtraEEAwUK</t>
  </si>
  <si>
    <t>EMI_per_flight.kgCO2.HU.Tr.Avia.Freight</t>
  </si>
  <si>
    <t>EMI_per_flight.kgCO2.HU.Tr.Avia.Freight.Domestic</t>
  </si>
  <si>
    <t>EMI_per_flight.kgCO2.HU.Tr.Avia.Freight.IntraEEAwUK</t>
  </si>
  <si>
    <t>EMI_per_flight.kgCO2.HU.Tr.Avia.Freight.ExtraEEAwUK</t>
  </si>
  <si>
    <t>Aviation / passenger transport specific data - HU - Hungary</t>
  </si>
  <si>
    <t>TrCap.seats.HU.Tr.Avia.Passenger</t>
  </si>
  <si>
    <t>TrCap.seats.HU.Tr.Avia.Passenger.Domestic</t>
  </si>
  <si>
    <t>TrCap.seats.HU.Tr.Avia.Passenger.IntraEEAwUK</t>
  </si>
  <si>
    <t>TrCap.seats.HU.Tr.Avia.Passenger.ExtraEEAwUK</t>
  </si>
  <si>
    <t>TrCap_per_flight.seats.HU.Tr.Avia.Passenger</t>
  </si>
  <si>
    <t>TrCap_per_flight.seats.HU.Tr.Avia.Passenger.Domestic</t>
  </si>
  <si>
    <t>TrCap_per_flight.seats.HU.Tr.Avia.Passenger.IntraEEAwUK</t>
  </si>
  <si>
    <t>TrCap_per_flight.seats.HU.Tr.Avia.Passenger.ExtraEEAwUK</t>
  </si>
  <si>
    <t>Transport overview - HU - Hungary</t>
  </si>
  <si>
    <t>Activity.Mpkm.HU.Tr</t>
  </si>
  <si>
    <t>Activity.Mpkm.HU.Tr.Road.Passenger</t>
  </si>
  <si>
    <t>Activity.Mpkm.HU.Tr.Road.Passenger.P2W</t>
  </si>
  <si>
    <t>Activity.Mpkm.HU.Tr.Road.Passenger.Car</t>
  </si>
  <si>
    <t>Activity.Mpkm.HU.Tr.Road.Passenger.Bus</t>
  </si>
  <si>
    <t>Activity.Mpkm.HU.Tr.Rail.Passenger</t>
  </si>
  <si>
    <t>Activity.Mpkm.HU.Tr.Rail.Passenger.MTU</t>
  </si>
  <si>
    <t>Activity.Mpkm.HU.Tr.Rail.Passenger.CPT</t>
  </si>
  <si>
    <t>Activity.Mpkm.HU.Tr.Rail.Passenger.HST</t>
  </si>
  <si>
    <t>Activity.Mtkm.HU.Tr</t>
  </si>
  <si>
    <t>Activity.Mtkm.HU.Tr.Road.Freight</t>
  </si>
  <si>
    <t>Activity.Mtkm.HU.Tr.Road.Freight.LCV</t>
  </si>
  <si>
    <t>Activity.Mtkm.HU.Tr.Road.Freight.HGV</t>
  </si>
  <si>
    <t>Activity.Mtkm.HU.Tr.Rail.Freight</t>
  </si>
  <si>
    <t>Activity.Mtkm.HU.Tr.DNavi.Freight</t>
  </si>
  <si>
    <t>Activity.Mtkm.HU.Tr.DNavi.Freight.DCS</t>
  </si>
  <si>
    <t>Activity.Mtkm.HU.Tr.DNavi.Freight.IWW</t>
  </si>
  <si>
    <t>Activity.Mtkm.HU.MBunk.Freight</t>
  </si>
  <si>
    <t>Activity.Mtkm.HU.MBunk.Freight.IntraEEA</t>
  </si>
  <si>
    <t>Activity.Mtkm.HU.MBunk.Freight.ExtraEEA</t>
  </si>
  <si>
    <t>FEC.ktoe.HU.Tr.Road.Passenger</t>
  </si>
  <si>
    <t>FEC.ktoe.HU.Tr.Road.Passenger.P2W</t>
  </si>
  <si>
    <t>FEC.ktoe.HU.Tr.Road.Passenger.Car</t>
  </si>
  <si>
    <t>FEC.ktoe.HU.Tr.Road.Passenger.Bus</t>
  </si>
  <si>
    <t>FEC.ktoe.HU.Tr.Rail.Passenger</t>
  </si>
  <si>
    <t>FEC.ktoe.HU.Tr.Rail.Passenger.MTU</t>
  </si>
  <si>
    <t>FEC.ktoe.HU.Tr.Rail.Passenger.CPT</t>
  </si>
  <si>
    <t>FEC.ktoe.HU.Tr.Rail.Passenger.HST</t>
  </si>
  <si>
    <t>FEC.ktoe.HU.Tr.Road.Freight</t>
  </si>
  <si>
    <t>FEC.ktoe.HU.Tr.Road.Freight.LCV</t>
  </si>
  <si>
    <t>FEC.ktoe.HU.Tr.Road.Freight.HGV</t>
  </si>
  <si>
    <t>FEC.ktoe.HU.Tr.Rail.Freight</t>
  </si>
  <si>
    <t>EMI.ktCO2.HU.Tr.Road.Passenger</t>
  </si>
  <si>
    <t>EMI.ktCO2.HU.Tr.Road.Passenger.P2W</t>
  </si>
  <si>
    <t>EMI.ktCO2.HU.Tr.Road.Passenger.Car</t>
  </si>
  <si>
    <t>EMI.ktCO2.HU.Tr.Road.Passenger.Bus</t>
  </si>
  <si>
    <t>EMI.ktCO2.HU.Tr.Rail.Passenger</t>
  </si>
  <si>
    <t>EMI.ktCO2.HU.Tr.Rail.Passenger.MTU</t>
  </si>
  <si>
    <t>EMI.ktCO2.HU.Tr.Rail.Passenger.CPT</t>
  </si>
  <si>
    <t>EMI.ktCO2.HU.Tr.Rail.Passenger.HST</t>
  </si>
  <si>
    <t>EMI.ktCO2.HU.Tr.Road.Freight</t>
  </si>
  <si>
    <t>EMI.ktCO2.HU.Tr.Road.Freight.LCV</t>
  </si>
  <si>
    <t>EMI.ktCO2.HU.Tr.Road.Freight.HGV</t>
  </si>
  <si>
    <t>EMI.ktCO2.HU.Tr.Rail.Freight</t>
  </si>
  <si>
    <t>Eff.kgoe_per_kpkm.HU.Tr</t>
  </si>
  <si>
    <t>Eff.kgoe_per_kpkm.HU.Tr.Road.Passenger</t>
  </si>
  <si>
    <t>Eff.kgoe_per_kpkm.HU.Tr.Road.Passenger.P2W</t>
  </si>
  <si>
    <t>Eff.kgoe_per_kpkm.HU.Tr.Road.Passenger.Car</t>
  </si>
  <si>
    <t>Eff.kgoe_per_kpkm.HU.Tr.Road.Passenger.Bus</t>
  </si>
  <si>
    <t>Eff.kgoe_per_kpkm.HU.Tr.Rail.Passenger</t>
  </si>
  <si>
    <t>Eff.kgoe_per_kpkm.HU.Tr.Rail.Passenger.MTU</t>
  </si>
  <si>
    <t>Eff.kgoe_per_kpkm.HU.Tr.Rail.Passenger.CPT</t>
  </si>
  <si>
    <t>Eff.kgoe_per_kpkm.HU.Tr.Rail.Passenger.HST</t>
  </si>
  <si>
    <t>Eff.kgoe_per_ktkm.HU.Tr</t>
  </si>
  <si>
    <t>Eff.kgoe_per_ktkm.HU.Tr.Road.Freight</t>
  </si>
  <si>
    <t>Eff.kgoe_per_ktkm.HU.Tr.Road.Freight.LCV</t>
  </si>
  <si>
    <t>Eff.kgoe_per_ktkm.HU.Tr.Road.Freight.HGV</t>
  </si>
  <si>
    <t>Eff.kgoe_per_ktkm.HU.Tr.Rail.Freight</t>
  </si>
  <si>
    <t>Eff.kgoe_per_ktkm.HU.Tr.DNavi.Freight</t>
  </si>
  <si>
    <t>Eff.kgoe_per_ktkm.HU.Tr.DNavi.Freight.DCS</t>
  </si>
  <si>
    <t>Eff.kgoe_per_ktkm.HU.Tr.DNavi.Freight.IWW</t>
  </si>
  <si>
    <t>Eff.kgoe_per_ktkm.HU.MBunk.Freight</t>
  </si>
  <si>
    <t>Eff.kgoe_per_ktkm.HU.MBunk.Freight.IntraEEA</t>
  </si>
  <si>
    <t>Eff.kgoe_per_ktkm.HU.MBunk.Freight.ExtraEEA</t>
  </si>
  <si>
    <t>EMIint.gCO2_per_pkm.HU.Tr</t>
  </si>
  <si>
    <t>EMIint.gCO2_per_pkm.HU.Tr.Road.Passenger</t>
  </si>
  <si>
    <t>EMIint.gCO2_per_pkm.HU.Tr.Road.Passenger.P2W</t>
  </si>
  <si>
    <t>EMIint.gCO2_per_pkm.HU.Tr.Road.Passenger.Car</t>
  </si>
  <si>
    <t>EMIint.gCO2_per_pkm.HU.Tr.Road.Passenger.Bus</t>
  </si>
  <si>
    <t>EMIint.gCO2_per_pkm.HU.Tr.Rail.Passenger</t>
  </si>
  <si>
    <t>EMIint.gCO2_per_pkm.HU.Tr.Rail.Passenger.MTU</t>
  </si>
  <si>
    <t>EMIint.gCO2_per_pkm.HU.Tr.Rail.Passenger.CPT</t>
  </si>
  <si>
    <t>EMIint.gCO2_per_pkm.HU.Tr.Rail.Passenger.HST</t>
  </si>
  <si>
    <t>EMIint.gCO2_per_tkm.HU.Tr</t>
  </si>
  <si>
    <t>EMIint.gCO2_per_tkm.HU.Tr.Road.Freight</t>
  </si>
  <si>
    <t>EMIint.gCO2_per_tkm.HU.Tr.Road.Freight.LCV</t>
  </si>
  <si>
    <t>EMIint.gCO2_per_tkm.HU.Tr.Road.Freight.HGV</t>
  </si>
  <si>
    <t>EMIint.gCO2_per_tkm.HU.Tr.Rail.Freight</t>
  </si>
  <si>
    <t>EMIint.gCO2_per_tkm.HU.Tr.DNavi.Freight</t>
  </si>
  <si>
    <t>EMIint.gCO2_per_tkm.HU.Tr.DNavi.Freight.DCS</t>
  </si>
  <si>
    <t>EMIint.gCO2_per_tkm.HU.Tr.DNavi.Freight.IWW</t>
  </si>
  <si>
    <t>EMIint.gCO2_per_tkm.HU.MBunk.Freight</t>
  </si>
  <si>
    <t>EMIint.gCO2_per_tkm.HU.MBunk.Freight.IntraEEA</t>
  </si>
  <si>
    <t>EMIint.gCO2_per_tkm.HU.MBunk.Freight.ExtraEEA</t>
  </si>
  <si>
    <t>Road transport - HU - Hungary</t>
  </si>
  <si>
    <t>Activity.Mpkm.HU.Tr.Road.Passenger.Car.ICE.Gasoline</t>
  </si>
  <si>
    <t>Activity.Mpkm.HU.Tr.Road.Passenger.Car.ICE.Diesel</t>
  </si>
  <si>
    <t>Activity.Mpkm.HU.Tr.Road.Passenger.Car.ICE.LPG</t>
  </si>
  <si>
    <t>Activity.Mpkm.HU.Tr.Road.Passenger.Car.ICE.NGas</t>
  </si>
  <si>
    <t>Activity.Mpkm.HU.Tr.Road.Passenger.Car.PHEV</t>
  </si>
  <si>
    <t>Activity.Mpkm.HU.Tr.Road.Passenger.Car.BEV</t>
  </si>
  <si>
    <t>Activity.Mpkm.HU.Tr.Road.Passenger.Bus.ICE.Gasoline</t>
  </si>
  <si>
    <t>Activity.Mpkm.HU.Tr.Road.Passenger.Bus.ICE.Diesel</t>
  </si>
  <si>
    <t>Activity.Mpkm.HU.Tr.Road.Passenger.Bus.ICE.LPG</t>
  </si>
  <si>
    <t>Activity.Mpkm.HU.Tr.Road.Passenger.Bus.ICE.NGas</t>
  </si>
  <si>
    <t>Activity.Mpkm.HU.Tr.Road.Passenger.Bus.ICE.BEV</t>
  </si>
  <si>
    <t>Activity.Mtkm.HU.Tr.Road.Freight.LCV.ICE.Gasoline</t>
  </si>
  <si>
    <t>Activity.Mtkm.HU.Tr.Road.Freight.LCV.ICE.Diesel</t>
  </si>
  <si>
    <t>Activity.Mtkm.HU.Tr.Road.Freight.LCV.ICE.LPG</t>
  </si>
  <si>
    <t>Activity.Mtkm.HU.Tr.Road.Freight.LCV.ICE.NGas</t>
  </si>
  <si>
    <t>Activity.Mtkm.HU.Tr.Road.Freight.LCV.ICE.BEV</t>
  </si>
  <si>
    <t>Activity.Mtkm.HU.Tr.Road.Freight.HGV.Domestic</t>
  </si>
  <si>
    <t>Activity.Mtkm.HU.Tr.Road.Freight.HGV.International</t>
  </si>
  <si>
    <t>VehicleKm.Mkm.HU.Tr.Road</t>
  </si>
  <si>
    <t>VehicleKm.Mkm.HU.Tr.Road.Passenger</t>
  </si>
  <si>
    <t>VehicleKm.Mkm.HU.Tr.Road.Passenger.P2W</t>
  </si>
  <si>
    <t>VehicleKm.Mkm.HU.Tr.Road.Passenger.Car</t>
  </si>
  <si>
    <t>VehicleKm.Mkm.HU.Tr.Road.Passenger.Car.ICE.Gasoline</t>
  </si>
  <si>
    <t>VehicleKm.Mkm.HU.Tr.Road.Passenger.Car.ICE.Diesel</t>
  </si>
  <si>
    <t>VehicleKm.Mkm.HU.Tr.Road.Passenger.Car.ICE.LPG</t>
  </si>
  <si>
    <t>VehicleKm.Mkm.HU.Tr.Road.Passenger.Car.ICE.NGas</t>
  </si>
  <si>
    <t>VehicleKm.Mkm.HU.Tr.Road.Passenger.Car.PHEV</t>
  </si>
  <si>
    <t>VehicleKm.Mkm.HU.Tr.Road.Passenger.Car.BEV</t>
  </si>
  <si>
    <t>VehicleKm.Mkm.HU.Tr.Road.Passenger.Bus</t>
  </si>
  <si>
    <t>VehicleKm.Mkm.HU.Tr.Road.Passenger.Bus.ICE.Gasoline</t>
  </si>
  <si>
    <t>VehicleKm.Mkm.HU.Tr.Road.Passenger.Bus.ICE.Diesel</t>
  </si>
  <si>
    <t>VehicleKm.Mkm.HU.Tr.Road.Passenger.Bus.ICE.LPG</t>
  </si>
  <si>
    <t>VehicleKm.Mkm.HU.Tr.Road.Passenger.Bus.ICE.NGas</t>
  </si>
  <si>
    <t>VehicleKm.Mkm.HU.Tr.Road.Passenger.Bus.ICE.BEV</t>
  </si>
  <si>
    <t>VehicleKm.Mkm.HU.Tr.Road.Freight</t>
  </si>
  <si>
    <t>VehicleKm.Mkm.HU.Tr.Road.Freight.LCV</t>
  </si>
  <si>
    <t>VehicleKm.Mkm.HU.Tr.Road.Freight.LCV.ICE.Gasoline</t>
  </si>
  <si>
    <t>VehicleKm.Mkm.HU.Tr.Road.Freight.LCV.ICE.Diesel</t>
  </si>
  <si>
    <t>VehicleKm.Mkm.HU.Tr.Road.Freight.LCV.ICE.LPG</t>
  </si>
  <si>
    <t>VehicleKm.Mkm.HU.Tr.Road.Freight.LCV.ICE.NGas</t>
  </si>
  <si>
    <t>VehicleKm.Mkm.HU.Tr.Road.Freight.LCV.ICE.BEV</t>
  </si>
  <si>
    <t>VehicleKm.Mkm.HU.Tr.Road.Freight.HGV</t>
  </si>
  <si>
    <t>VehicleKm.Mkm.HU.Tr.Road.Freight.HGV.Domestic</t>
  </si>
  <si>
    <t>VehicleKm.Mkm.HU.Tr.Road.Freight.HGV.International</t>
  </si>
  <si>
    <t>Stock.number.HU.Tr.Road</t>
  </si>
  <si>
    <t>Stock.number.HU.Tr.Road.Passenger</t>
  </si>
  <si>
    <t>Stock.number.HU.Tr.Road.Passenger.P2W</t>
  </si>
  <si>
    <t>Stock.number.HU.Tr.Road.Passenger.Car</t>
  </si>
  <si>
    <t>Stock.number.HU.Tr.Road.Passenger.Car.ICE.Gasoline</t>
  </si>
  <si>
    <t>Stock.number.HU.Tr.Road.Passenger.Car.ICE.Diesel</t>
  </si>
  <si>
    <t>Stock.number.HU.Tr.Road.Passenger.Car.ICE.LPG</t>
  </si>
  <si>
    <t>Stock.number.HU.Tr.Road.Passenger.Car.ICE.NGas</t>
  </si>
  <si>
    <t>Stock.number.HU.Tr.Road.Passenger.Car.PHEV</t>
  </si>
  <si>
    <t>Stock.number.HU.Tr.Road.Passenger.Car.BEV</t>
  </si>
  <si>
    <t>Stock.number.HU.Tr.Road.Passenger.Bus</t>
  </si>
  <si>
    <t>Stock.number.HU.Tr.Road.Passenger.Bus.ICE.Gasoline</t>
  </si>
  <si>
    <t>Stock.number.HU.Tr.Road.Passenger.Bus.ICE.Diesel</t>
  </si>
  <si>
    <t>Stock.number.HU.Tr.Road.Passenger.Bus.ICE.LPG</t>
  </si>
  <si>
    <t>Stock.number.HU.Tr.Road.Passenger.Bus.ICE.NGas</t>
  </si>
  <si>
    <t>Stock.number.HU.Tr.Road.Passenger.Bus.ICE.BEV</t>
  </si>
  <si>
    <t>Stock.number.HU.Tr.Road.Freight</t>
  </si>
  <si>
    <t>Stock.number.HU.Tr.Road.Freight.LCV</t>
  </si>
  <si>
    <t>Stock.number.HU.Tr.Road.Freight.LCV.ICE.Gasoline</t>
  </si>
  <si>
    <t>Stock.number.HU.Tr.Road.Freight.LCV.ICE.Diesel</t>
  </si>
  <si>
    <t>Stock.number.HU.Tr.Road.Freight.LCV.ICE.LPG</t>
  </si>
  <si>
    <t>Stock.number.HU.Tr.Road.Freight.LCV.ICE.NGas</t>
  </si>
  <si>
    <t>Stock.number.HU.Tr.Road.Freight.LCV.ICE.BEV</t>
  </si>
  <si>
    <t>Stock.number.HU.Tr.Road.Freight.HGV</t>
  </si>
  <si>
    <t>Stock.number.HU.Tr.Road.Freight.HGV.Domestic</t>
  </si>
  <si>
    <t>Stock.number.HU.Tr.Road.Freight.HGV.International</t>
  </si>
  <si>
    <t>StockNew.number.HU.Tr.Road</t>
  </si>
  <si>
    <t>StockNew.number.HU.Tr.Road.Passenger</t>
  </si>
  <si>
    <t>StockNew.number.HU.Tr.Road.Passenger.P2W</t>
  </si>
  <si>
    <t>StockNew.number.HU.Tr.Road.Passenger.Car</t>
  </si>
  <si>
    <t>StockNew.number.HU.Tr.Road.Passenger.Car.ICE.Gasoline</t>
  </si>
  <si>
    <t>StockNew.number.HU.Tr.Road.Passenger.Car.ICE.Diesel</t>
  </si>
  <si>
    <t>StockNew.number.HU.Tr.Road.Passenger.Car.ICE.LPG</t>
  </si>
  <si>
    <t>StockNew.number.HU.Tr.Road.Passenger.Car.ICE.NGas</t>
  </si>
  <si>
    <t>StockNew.number.HU.Tr.Road.Passenger.Car.PHEV</t>
  </si>
  <si>
    <t>StockNew.number.HU.Tr.Road.Passenger.Car.BEV</t>
  </si>
  <si>
    <t>StockNew.number.HU.Tr.Road.Passenger.Bus</t>
  </si>
  <si>
    <t>StockNew.number.HU.Tr.Road.Passenger.Bus.ICE.Gasoline</t>
  </si>
  <si>
    <t>StockNew.number.HU.Tr.Road.Passenger.Bus.ICE.Diesel</t>
  </si>
  <si>
    <t>StockNew.number.HU.Tr.Road.Passenger.Bus.ICE.LPG</t>
  </si>
  <si>
    <t>StockNew.number.HU.Tr.Road.Passenger.Bus.ICE.NGas</t>
  </si>
  <si>
    <t>StockNew.number.HU.Tr.Road.Passenger.Bus.ICE.BEV</t>
  </si>
  <si>
    <t>StockNew.number.HU.Tr.Road.Freight</t>
  </si>
  <si>
    <t>StockNew.number.HU.Tr.Road.Freight.LCV</t>
  </si>
  <si>
    <t>StockNew.number.HU.Tr.Road.Freight.LCV.ICE.Gasoline</t>
  </si>
  <si>
    <t>StockNew.number.HU.Tr.Road.Freight.LCV.ICE.Diesel</t>
  </si>
  <si>
    <t>StockNew.number.HU.Tr.Road.Freight.LCV.ICE.LPG</t>
  </si>
  <si>
    <t>StockNew.number.HU.Tr.Road.Freight.LCV.ICE.NGas</t>
  </si>
  <si>
    <t>StockNew.number.HU.Tr.Road.Freight.LCV.ICE.BEV</t>
  </si>
  <si>
    <t>StockNew.number.HU.Tr.Road.Freight.HGV</t>
  </si>
  <si>
    <t>StockNew.number.HU.Tr.Road.Freight.HGV.Domestic</t>
  </si>
  <si>
    <t>StockNew.number.HU.Tr.Road.Freight.HGV.International</t>
  </si>
  <si>
    <t>Load.passenger_per_movement.HU.Tr.Road.Passenger</t>
  </si>
  <si>
    <t>Load.passenger_per_movement.HU.Tr.Road.Passenger.P2W</t>
  </si>
  <si>
    <t>Load.passenger_per_movement.HU.Tr.Road.Passenger.Car</t>
  </si>
  <si>
    <t>Load.passenger_per_movement.HU.Tr.Road.Passenger.Car.ICE.Gasoline</t>
  </si>
  <si>
    <t>Load.passenger_per_movement.HU.Tr.Road.Passenger.Car.ICE.Diesel</t>
  </si>
  <si>
    <t>Load.passenger_per_movement.HU.Tr.Road.Passenger.Car.ICE.LPG</t>
  </si>
  <si>
    <t>Load.passenger_per_movement.HU.Tr.Road.Passenger.Car.ICE.NGas</t>
  </si>
  <si>
    <t>Load.passenger_per_movement.HU.Tr.Road.Passenger.Car.PHEV</t>
  </si>
  <si>
    <t>Load.passenger_per_movement.HU.Tr.Road.Passenger.Car.BEV</t>
  </si>
  <si>
    <t>Load.passenger_per_movement.HU.Tr.Road.Passenger.Bus</t>
  </si>
  <si>
    <t>Load.passenger_per_movement.HU.Tr.Road.Passenger.Bus.ICE.Gasoline</t>
  </si>
  <si>
    <t>Load.passenger_per_movement.HU.Tr.Road.Passenger.Bus.ICE.Diesel</t>
  </si>
  <si>
    <t>Load.passenger_per_movement.HU.Tr.Road.Passenger.Bus.ICE.LPG</t>
  </si>
  <si>
    <t>Load.passenger_per_movement.HU.Tr.Road.Passenger.Bus.ICE.NGas</t>
  </si>
  <si>
    <t>Load.passenger_per_movement.HU.Tr.Road.Passenger.Bus.ICE.BEV</t>
  </si>
  <si>
    <t>Load.t_per_movement.HU.Tr.Road.Freight</t>
  </si>
  <si>
    <t>Load.t_per_movement.HU.Tr.Road.Freight.LCV</t>
  </si>
  <si>
    <t>Load.t_per_movement.HU.Tr.Road.Freight.LCV.ICE.Gasoline</t>
  </si>
  <si>
    <t>Load.t_per_movement.HU.Tr.Road.Freight.LCV.ICE.Diesel</t>
  </si>
  <si>
    <t>Load.t_per_movement.HU.Tr.Road.Freight.LCV.ICE.LPG</t>
  </si>
  <si>
    <t>Load.t_per_movement.HU.Tr.Road.Freight.LCV.ICE.NGas</t>
  </si>
  <si>
    <t>Load.t_per_movement.HU.Tr.Road.Freight.LCV.ICE.BEV</t>
  </si>
  <si>
    <t>Load.t_per_movement.HU.Tr.Road.Freight.HGV</t>
  </si>
  <si>
    <t>Load.t_per_movement.HU.Tr.Road.Freight.HGV.Domestic</t>
  </si>
  <si>
    <t>Load.t_per_movement.HU.Tr.Road.Freight.HGV.International</t>
  </si>
  <si>
    <t>VehicleKm_per_vehicle.km.HU.Tr.Road</t>
  </si>
  <si>
    <t>VehicleKm_per_vehicle.km.HU.Tr.Road.Passenger</t>
  </si>
  <si>
    <t>VehicleKm_per_vehicle.km.HU.Tr.Road.Passenger.P2W</t>
  </si>
  <si>
    <t>VehicleKm_per_vehicle.km.HU.Tr.Road.Passenger.Car</t>
  </si>
  <si>
    <t>VehicleKm_per_vehicle.km.HU.Tr.Road.Passenger.Car.ICE.Gasoline</t>
  </si>
  <si>
    <t>VehicleKm_per_vehicle.km.HU.Tr.Road.Passenger.Car.ICE.Diesel</t>
  </si>
  <si>
    <t>VehicleKm_per_vehicle.km.HU.Tr.Road.Passenger.Car.ICE.LPG</t>
  </si>
  <si>
    <t>VehicleKm_per_vehicle.km.HU.Tr.Road.Passenger.Car.ICE.NGas</t>
  </si>
  <si>
    <t>VehicleKm_per_vehicle.km.HU.Tr.Road.Passenger.Car.PHEV</t>
  </si>
  <si>
    <t>VehicleKm_per_vehicle.km.HU.Tr.Road.Passenger.Car.BEV</t>
  </si>
  <si>
    <t>VehicleKm_per_vehicle.km.HU.Tr.Road.Passenger.Bus</t>
  </si>
  <si>
    <t>VehicleKm_per_vehicle.km.HU.Tr.Road.Passenger.Bus.ICE.Gasoline</t>
  </si>
  <si>
    <t>VehicleKm_per_vehicle.km.HU.Tr.Road.Passenger.Bus.ICE.Diesel</t>
  </si>
  <si>
    <t>VehicleKm_per_vehicle.km.HU.Tr.Road.Passenger.Bus.ICE.LPG</t>
  </si>
  <si>
    <t>VehicleKm_per_vehicle.km.HU.Tr.Road.Passenger.Bus.ICE.NGas</t>
  </si>
  <si>
    <t>VehicleKm_per_vehicle.km.HU.Tr.Road.Passenger.Bus.ICE.BEV</t>
  </si>
  <si>
    <t>VehicleKm_per_vehicle.km.HU.Tr.Road.Freight</t>
  </si>
  <si>
    <t>VehicleKm_per_vehicle.km.HU.Tr.Road.Freight.LCV</t>
  </si>
  <si>
    <t>VehicleKm_per_vehicle.km.HU.Tr.Road.Freight.LCV.ICE.Gasoline</t>
  </si>
  <si>
    <t>VehicleKm_per_vehicle.km.HU.Tr.Road.Freight.LCV.ICE.Diesel</t>
  </si>
  <si>
    <t>VehicleKm_per_vehicle.km.HU.Tr.Road.Freight.LCV.ICE.LPG</t>
  </si>
  <si>
    <t>VehicleKm_per_vehicle.km.HU.Tr.Road.Freight.LCV.ICE.NGas</t>
  </si>
  <si>
    <t>VehicleKm_per_vehicle.km.HU.Tr.Road.Freight.LCV.ICE.BEV</t>
  </si>
  <si>
    <t>VehicleKm_per_vehicle.km.HU.Tr.Road.Freight.HGV</t>
  </si>
  <si>
    <t>VehicleKm_per_vehicle.km.HU.Tr.Road.Freight.HGV.Domestic</t>
  </si>
  <si>
    <t>VehicleKm_per_vehicle.km.HU.Tr.Road.Freight.HGV.International</t>
  </si>
  <si>
    <t>Activity_per_vehicle.pkm.HU.Tr.Road.Passenger</t>
  </si>
  <si>
    <t>Activity_per_vehicle.pkm.HU.Tr.Road.Passenger.P2W</t>
  </si>
  <si>
    <t>Activity_per_vehicle.pkm.HU.Tr.Road.Passenger.Car</t>
  </si>
  <si>
    <t>Activity_per_vehicle.pkm.HU.Tr.Road.Passenger.Car.ICE.Gasoline</t>
  </si>
  <si>
    <t>Activity_per_vehicle.pkm.HU.Tr.Road.Passenger.Car.ICE.Diesel</t>
  </si>
  <si>
    <t>Activity_per_vehicle.pkm.HU.Tr.Road.Passenger.Car.ICE.LPG</t>
  </si>
  <si>
    <t>Activity_per_vehicle.pkm.HU.Tr.Road.Passenger.Car.ICE.NGas</t>
  </si>
  <si>
    <t>Activity_per_vehicle.pkm.HU.Tr.Road.Passenger.Car.PHEV</t>
  </si>
  <si>
    <t>Activity_per_vehicle.pkm.HU.Tr.Road.Passenger.Car.BEV</t>
  </si>
  <si>
    <t>Activity_per_vehicle.pkm.HU.Tr.Road.Passenger.Bus</t>
  </si>
  <si>
    <t>Activity_per_vehicle.pkm.HU.Tr.Road.Passenger.Bus.ICE.Gasoline</t>
  </si>
  <si>
    <t>Activity_per_vehicle.pkm.HU.Tr.Road.Passenger.Bus.ICE.Diesel</t>
  </si>
  <si>
    <t>Activity_per_vehicle.pkm.HU.Tr.Road.Passenger.Bus.ICE.LPG</t>
  </si>
  <si>
    <t>Activity_per_vehicle.pkm.HU.Tr.Road.Passenger.Bus.ICE.NGas</t>
  </si>
  <si>
    <t>Activity_per_vehicle.pkm.HU.Tr.Road.Passenger.Bus.ICE.BEV</t>
  </si>
  <si>
    <t>Activity_per_vehicle.tkm.HU.Tr.Road.Freight</t>
  </si>
  <si>
    <t>Activity_per_vehicle.tkm.HU.Tr.Road.Freight.LCV</t>
  </si>
  <si>
    <t>Activity_per_vehicle.tkm.HU.Tr.Road.Freight.LCV.ICE.Gasoline</t>
  </si>
  <si>
    <t>Activity_per_vehicle.tkm.HU.Tr.Road.Freight.LCV.ICE.Diesel</t>
  </si>
  <si>
    <t>Activity_per_vehicle.tkm.HU.Tr.Road.Freight.LCV.ICE.LPG</t>
  </si>
  <si>
    <t>Activity_per_vehicle.tkm.HU.Tr.Road.Freight.LCV.ICE.NGas</t>
  </si>
  <si>
    <t>Activity_per_vehicle.tkm.HU.Tr.Road.Freight.LCV.ICE.BEV</t>
  </si>
  <si>
    <t>Activity_per_vehicle.tkm.HU.Tr.Road.Freight.HGV</t>
  </si>
  <si>
    <t>Activity_per_vehicle.tkm.HU.Tr.Road.Freight.HGV.Domestic</t>
  </si>
  <si>
    <t>Activity_per_vehicle.tkm.HU.Tr.Road.Freight.HGV.International</t>
  </si>
  <si>
    <t>Road transport / energy consumption - HU - Hungary</t>
  </si>
  <si>
    <t>FEC.ktoe.HU.ES.Tr.Road</t>
  </si>
  <si>
    <t>FEC.ktoe.HU.ES.Tr.Road.LPG</t>
  </si>
  <si>
    <t>FEC.ktoe.HU.ES.Tr.Road.Gasoline</t>
  </si>
  <si>
    <t>FEC.ktoe.HU.ES.Tr.Road.Diesel</t>
  </si>
  <si>
    <t>FEC.ktoe.HU.ES.Tr.Road.NG</t>
  </si>
  <si>
    <t>FEC.ktoe.HU.ES.Tr.Road.Biogas</t>
  </si>
  <si>
    <t>FEC.ktoe.HU.ES.Tr.Road.Biogasoline</t>
  </si>
  <si>
    <t>FEC.ktoe.HU.ES.Tr.Road.Biodiesel</t>
  </si>
  <si>
    <t>FEC.ktoe.HU.ES.Tr.Road.OthLiqBio</t>
  </si>
  <si>
    <t>FEC.ktoe.HU.ES.Tr.Road.Elec</t>
  </si>
  <si>
    <t>FEC.ktoe.HU.Tr.Road</t>
  </si>
  <si>
    <t>FEC.ktoe.HU.Tr.Road.Passenger.P2W.Biogasoline</t>
  </si>
  <si>
    <t>FEC.ktoe.HU.Tr.Road.Passenger.Car.ICE.Gasoline</t>
  </si>
  <si>
    <t>FEC.ktoe.HU.Tr.Road.Passenger.Car.ICE.Gasoline.Biogasoline</t>
  </si>
  <si>
    <t>FEC.ktoe.HU.Tr.Road.Passenger.Car.ICE.Diesel</t>
  </si>
  <si>
    <t>FEC.ktoe.HU.Tr.Road.Passenger.Car.ICE.Diesel.BioDiesel_OthLiqBio</t>
  </si>
  <si>
    <t>FEC.ktoe.HU.Tr.Road.Passenger.Car.ICE.LPG</t>
  </si>
  <si>
    <t>FEC.ktoe.HU.Tr.Road.Passenger.Car.ICE.NGas</t>
  </si>
  <si>
    <t>FEC.ktoe.HU.Tr.Road.Passenger.Car.ICE.NGas.Biogas</t>
  </si>
  <si>
    <t>FEC.ktoe.HU.Tr.Road.Passenger.Car.PHEV</t>
  </si>
  <si>
    <t>FEC.ktoe.HU.Tr.Road.Passenger.Car.PHEV.Biogasoline</t>
  </si>
  <si>
    <t>FEC.ktoe.HU.Tr.Road.Passenger.Car.PHEV.Elec</t>
  </si>
  <si>
    <t>FEC.ktoe.HU.Tr.Road.Passenger.Car.BEV</t>
  </si>
  <si>
    <t>FEC.ktoe.HU.Tr.Road.Passenger.Bus.ICE.Gasoline</t>
  </si>
  <si>
    <t>FEC.ktoe.HU.Tr.Road.Passenger.Bus.ICE.Gasoline.Biogasoline</t>
  </si>
  <si>
    <t>FEC.ktoe.HU.Tr.Road.Passenger.Bus.ICE.Diesel</t>
  </si>
  <si>
    <t>FEC.ktoe.HU.Tr.Road.Passenger.Bus.ICE.Diesel.BioDiesel_OthLiqBio</t>
  </si>
  <si>
    <t>FEC.ktoe.HU.Tr.Road.Passenger.Bus.ICE.LPG</t>
  </si>
  <si>
    <t>FEC.ktoe.HU.Tr.Road.Passenger.Bus.ICE.NGas</t>
  </si>
  <si>
    <t>FEC.ktoe.HU.Tr.Road.Passenger.Bus.ICE.NGas.Biogas</t>
  </si>
  <si>
    <t>FEC.ktoe.HU.Tr.Road.Passenger.Bus.ICE.BEV</t>
  </si>
  <si>
    <t>FEC.ktoe.HU.Tr.Road.Freight.LCV.ICE.Gasoline</t>
  </si>
  <si>
    <t>FEC.ktoe.HU.Tr.Road.Freight.LCV.ICE.Gasoline.Biogasoline</t>
  </si>
  <si>
    <t>FEC.ktoe.HU.Tr.Road.Freight.LCV.ICE.Diesel</t>
  </si>
  <si>
    <t>FEC.ktoe.HU.Tr.Road.Freight.LCV.ICE.Diesel.BioDiesel_OthLiqBio</t>
  </si>
  <si>
    <t>FEC.ktoe.HU.Tr.Road.Freight.LCV.ICE.LPG</t>
  </si>
  <si>
    <t>FEC.ktoe.HU.Tr.Road.Freight.LCV.ICE.NGas</t>
  </si>
  <si>
    <t>FEC.ktoe.HU.Tr.Road.Freight.LCV.ICE.NGas.Biogas</t>
  </si>
  <si>
    <t>FEC.ktoe.HU.Tr.Road.Freight.LCV.ICE.BEV</t>
  </si>
  <si>
    <t>FEC.ktoe.HU.Tr.Road.Freight.HGV.Domestic</t>
  </si>
  <si>
    <t>FEC.ktoe.HU.Tr.Road.Freight.HGV.Domestic.BioDiesel_OthLiqBio</t>
  </si>
  <si>
    <t>FEC.ktoe.HU.Tr.Road.Freight.HGV.International</t>
  </si>
  <si>
    <t>FEC.ktoe.HU.Tr.Road.Freight.HGV.International.BioDiesel_OthLiqBio</t>
  </si>
  <si>
    <t>Eff.kgoe_per_100km.HU.Tr.Road</t>
  </si>
  <si>
    <t>Eff.kgoe_per_100km.HU.Tr.Road.Passenger</t>
  </si>
  <si>
    <t>Eff.kgoe_per_100km.HU.Tr.Road.Passenger.P2W</t>
  </si>
  <si>
    <t>Eff.kgoe_per_100km.HU.Tr.Road.Passenger.Car</t>
  </si>
  <si>
    <t>Eff.kgoe_per_100km.HU.Tr.Road.Passenger.Car.ICE.Gasoline</t>
  </si>
  <si>
    <t>Eff.kgoe_per_100km.HU.Tr.Road.Passenger.Car.ICE.Diesel</t>
  </si>
  <si>
    <t>Eff.kgoe_per_100km.HU.Tr.Road.Passenger.Car.ICE.LPG</t>
  </si>
  <si>
    <t>Eff.kgoe_per_100km.HU.Tr.Road.Passenger.Car.ICE.NGas</t>
  </si>
  <si>
    <t>Eff.kgoe_per_100km.HU.Tr.Road.Passenger.Car.PHEV</t>
  </si>
  <si>
    <t>Eff.kgoe_per_100km.HU.Tr.Road.Passenger.Car.BEV</t>
  </si>
  <si>
    <t>Eff.kgoe_per_100km.HU.Tr.Road.Passenger.Bus</t>
  </si>
  <si>
    <t>Eff.kgoe_per_100km.HU.Tr.Road.Passenger.Bus.ICE.Gasoline</t>
  </si>
  <si>
    <t>Eff.kgoe_per_100km.HU.Tr.Road.Passenger.Bus.ICE.Diesel</t>
  </si>
  <si>
    <t>Eff.kgoe_per_100km.HU.Tr.Road.Passenger.Bus.ICE.LPG</t>
  </si>
  <si>
    <t>Eff.kgoe_per_100km.HU.Tr.Road.Passenger.Bus.ICE.NGas</t>
  </si>
  <si>
    <t>Eff.kgoe_per_100km.HU.Tr.Road.Passenger.Bus.ICE.BEV</t>
  </si>
  <si>
    <t>Eff.kgoe_per_100km.HU.Tr.Road.Freight</t>
  </si>
  <si>
    <t>Eff.kgoe_per_100km.HU.Tr.Road.Freight.LCV</t>
  </si>
  <si>
    <t>Eff.kgoe_per_100km.HU.Tr.Road.Freight.LCV.ICE.Gasoline</t>
  </si>
  <si>
    <t>Eff.kgoe_per_100km.HU.Tr.Road.Freight.LCV.ICE.Diesel</t>
  </si>
  <si>
    <t>Eff.kgoe_per_100km.HU.Tr.Road.Freight.LCV.ICE.LPG</t>
  </si>
  <si>
    <t>Eff.kgoe_per_100km.HU.Tr.Road.Freight.LCV.ICE.NGas</t>
  </si>
  <si>
    <t>Eff.kgoe_per_100km.HU.Tr.Road.Freight.LCV.ICE.BEV</t>
  </si>
  <si>
    <t>Eff.kgoe_per_100km.HU.Tr.Road.Freight.HGV</t>
  </si>
  <si>
    <t>Eff.kgoe_per_100km.HU.Tr.Road.Freight.HGV.Domestic</t>
  </si>
  <si>
    <t>Eff.kgoe_per_100km.HU.Tr.Road.Freight.HGV.International</t>
  </si>
  <si>
    <t>Eff.kgoe_per_kpkm.HU.Tr.Road.Passenger.Car.ICE.Gasoline</t>
  </si>
  <si>
    <t>Eff.kgoe_per_kpkm.HU.Tr.Road.Passenger.Car.ICE.Diesel</t>
  </si>
  <si>
    <t>Eff.kgoe_per_kpkm.HU.Tr.Road.Passenger.Car.ICE.LPG</t>
  </si>
  <si>
    <t>Eff.kgoe_per_kpkm.HU.Tr.Road.Passenger.Car.ICE.NGas</t>
  </si>
  <si>
    <t>Eff.kgoe_per_kpkm.HU.Tr.Road.Passenger.Car.PHEV</t>
  </si>
  <si>
    <t>Eff.kgoe_per_kpkm.HU.Tr.Road.Passenger.Car.BEV</t>
  </si>
  <si>
    <t>Eff.kgoe_per_kpkm.HU.Tr.Road.Passenger.Bus.ICE.Gasoline</t>
  </si>
  <si>
    <t>Eff.kgoe_per_kpkm.HU.Tr.Road.Passenger.Bus.ICE.Diesel</t>
  </si>
  <si>
    <t>Eff.kgoe_per_kpkm.HU.Tr.Road.Passenger.Bus.ICE.LPG</t>
  </si>
  <si>
    <t>Eff.kgoe_per_kpkm.HU.Tr.Road.Passenger.Bus.ICE.NGas</t>
  </si>
  <si>
    <t>Eff.kgoe_per_kpkm.HU.Tr.Road.Passenger.Bus.ICE.BEV</t>
  </si>
  <si>
    <t>Eff.kgoe_per_ktkm.HU.Tr.Road.Freight.LCV.ICE.Gasoline</t>
  </si>
  <si>
    <t>Eff.kgoe_per_ktkm.HU.Tr.Road.Freight.LCV.ICE.Diesel</t>
  </si>
  <si>
    <t>Eff.kgoe_per_ktkm.HU.Tr.Road.Freight.LCV.ICE.LPG</t>
  </si>
  <si>
    <t>Eff.kgoe_per_ktkm.HU.Tr.Road.Freight.LCV.ICE.NGas</t>
  </si>
  <si>
    <t>Eff.kgoe_per_ktkm.HU.Tr.Road.Freight.LCV.ICE.BEV</t>
  </si>
  <si>
    <t>Eff.kgoe_per_ktkm.HU.Tr.Road.Freight.HGV.Domestic</t>
  </si>
  <si>
    <t>Eff.kgoe_per_ktkm.HU.Tr.Road.Freight.HGV.International</t>
  </si>
  <si>
    <t>FEC_per_vehicle.kgoe.HU.Tr.Road.Passenger.P2W</t>
  </si>
  <si>
    <t>FEC_per_vehicle.kgoe.HU.Tr.Road.Passenger.Car</t>
  </si>
  <si>
    <t>FEC_per_vehicle.kgoe.HU.Tr.Road.Passenger.Car.ICE.Gasoline</t>
  </si>
  <si>
    <t>FEC_per_vehicle.kgoe.HU.Tr.Road.Passenger.Car.ICE.Diesel</t>
  </si>
  <si>
    <t>FEC_per_vehicle.kgoe.HU.Tr.Road.Passenger.Car.ICE.LPG</t>
  </si>
  <si>
    <t>FEC_per_vehicle.kgoe.HU.Tr.Road.Passenger.Car.ICE.NGas</t>
  </si>
  <si>
    <t>FEC_per_vehicle.kgoe.HU.Tr.Road.Passenger.Car.PHEV</t>
  </si>
  <si>
    <t>FEC_per_vehicle.kgoe.HU.Tr.Road.Passenger.Car.BEV</t>
  </si>
  <si>
    <t>FEC_per_vehicle.kgoe.HU.Tr.Road.Passenger.Bus</t>
  </si>
  <si>
    <t>FEC_per_vehicle.kgoe.HU.Tr.Road.Passenger.Bus.ICE.Gasoline</t>
  </si>
  <si>
    <t>FEC_per_vehicle.kgoe.HU.Tr.Road.Passenger.Bus.ICE.Diesel</t>
  </si>
  <si>
    <t>FEC_per_vehicle.kgoe.HU.Tr.Road.Passenger.Bus.ICE.LPG</t>
  </si>
  <si>
    <t>FEC_per_vehicle.kgoe.HU.Tr.Road.Passenger.Bus.ICE.NGas</t>
  </si>
  <si>
    <t>FEC_per_vehicle.kgoe.HU.Tr.Road.Passenger.Bus.ICE.BEV</t>
  </si>
  <si>
    <t>FEC_per_vehicle.kgoe.HU.Tr.Road.Freight.LCV</t>
  </si>
  <si>
    <t>FEC_per_vehicle.kgoe.HU.Tr.Road.Freight.LCV.ICE.Gasoline</t>
  </si>
  <si>
    <t>FEC_per_vehicle.kgoe.HU.Tr.Road.Freight.LCV.ICE.Diesel</t>
  </si>
  <si>
    <t>FEC_per_vehicle.kgoe.HU.Tr.Road.Freight.LCV.ICE.LPG</t>
  </si>
  <si>
    <t>FEC_per_vehicle.kgoe.HU.Tr.Road.Freight.LCV.ICE.NGas</t>
  </si>
  <si>
    <t>FEC_per_vehicle.kgoe.HU.Tr.Road.Freight.LCV.ICE.BEV</t>
  </si>
  <si>
    <t>FEC_per_vehicle.kgoe.HU.Tr.Road.Freight.HGV</t>
  </si>
  <si>
    <t>FEC_per_vehicle.kgoe.HU.Tr.Road.Freight.HGV.Domestic</t>
  </si>
  <si>
    <t>FEC_per_vehicle.kgoe.HU.Tr.Road.Freight.HGV.International</t>
  </si>
  <si>
    <t>Road transport / CO2 emissions - HU - Hungary</t>
  </si>
  <si>
    <t>EMI.ktCO2.HU.ES.Tr.Road</t>
  </si>
  <si>
    <t>EMI.ktCO2.HU.ES.Tr.Road.LPG</t>
  </si>
  <si>
    <t>EMI.ktCO2.HU.ES.Tr.Road.Gasoline</t>
  </si>
  <si>
    <t>EMI.ktCO2.HU.ES.Tr.Road.Diesel</t>
  </si>
  <si>
    <t>EMI.ktCO2.HU.ES.Tr.Road.NG</t>
  </si>
  <si>
    <t>EMI.ktCO2.HU.ES.Tr.Road.Biogas</t>
  </si>
  <si>
    <t>EMI.ktCO2.HU.ES.Tr.Road.Biogasoline</t>
  </si>
  <si>
    <t>EMI.ktCO2.HU.ES.Tr.Road.Biodiesel</t>
  </si>
  <si>
    <t>EMI.ktCO2.HU.ES.Tr.Road.OthLiqBio</t>
  </si>
  <si>
    <t>EMI.ktCO2.HU.ES.Tr.Road.Elec</t>
  </si>
  <si>
    <t>EMI.ktCO2.HU.Tr.Road</t>
  </si>
  <si>
    <t>EMI.ktCO2.HU.Tr.Road.Passenger.Car.ICE.Gasoline</t>
  </si>
  <si>
    <t>EMI.ktCO2.HU.Tr.Road.Passenger.Car.ICE.Diesel</t>
  </si>
  <si>
    <t>EMI.ktCO2.HU.Tr.Road.Passenger.Car.ICE.LPG</t>
  </si>
  <si>
    <t>EMI.ktCO2.HU.Tr.Road.Passenger.Car.ICE.NGas</t>
  </si>
  <si>
    <t>EMI.ktCO2.HU.Tr.Road.Passenger.Car.PHEV</t>
  </si>
  <si>
    <t>EMI.ktCO2.HU.Tr.Road.Passenger.Car.BEV</t>
  </si>
  <si>
    <t>EMI.ktCO2.HU.Tr.Road.Passenger.Bus.ICE.Gasoline</t>
  </si>
  <si>
    <t>EMI.ktCO2.HU.Tr.Road.Passenger.Bus.ICE.Diesel</t>
  </si>
  <si>
    <t>EMI.ktCO2.HU.Tr.Road.Passenger.Bus.ICE.LPG</t>
  </si>
  <si>
    <t>EMI.ktCO2.HU.Tr.Road.Passenger.Bus.ICE.NGas</t>
  </si>
  <si>
    <t>EMI.ktCO2.HU.Tr.Road.Passenger.Bus.ICE.BEV</t>
  </si>
  <si>
    <t>EMI.ktCO2.HU.Tr.Road.Freight.LCV.ICE.Gasoline</t>
  </si>
  <si>
    <t>EMI.ktCO2.HU.Tr.Road.Freight.LCV.ICE.Diesel</t>
  </si>
  <si>
    <t>EMI.ktCO2.HU.Tr.Road.Freight.LCV.ICE.LPG</t>
  </si>
  <si>
    <t>EMI.ktCO2.HU.Tr.Road.Freight.LCV.ICE.NGas</t>
  </si>
  <si>
    <t>EMI.ktCO2.HU.Tr.Road.Freight.LCV.ICE.BEV</t>
  </si>
  <si>
    <t>EMI.ktCO2.HU.Tr.Road.Freight.HGV.Domestic</t>
  </si>
  <si>
    <t>EMI.ktCO2.HU.Tr.Road.Freight.HGV.International</t>
  </si>
  <si>
    <t>EMIint.gCO2_per_km.HU.Tr.Road</t>
  </si>
  <si>
    <t>EMIint.gCO2_per_km.HU.Tr.Road.Passenger</t>
  </si>
  <si>
    <t>EMIint.gCO2_per_km.HU.Tr.Road.Passenger.P2W</t>
  </si>
  <si>
    <t>EMIint.gCO2_per_km.HU.Tr.Road.Passenger.Car</t>
  </si>
  <si>
    <t>EMIint.gCO2_per_km.HU.Tr.Road.Passenger.Car.ICE.Gasoline</t>
  </si>
  <si>
    <t>EMIint.gCO2_per_km.HU.Tr.Road.Passenger.Car.ICE.Diesel</t>
  </si>
  <si>
    <t>EMIint.gCO2_per_km.HU.Tr.Road.Passenger.Car.ICE.LPG</t>
  </si>
  <si>
    <t>EMIint.gCO2_per_km.HU.Tr.Road.Passenger.Car.ICE.NGas</t>
  </si>
  <si>
    <t>EMIint.gCO2_per_km.HU.Tr.Road.Passenger.Car.PHEV</t>
  </si>
  <si>
    <t>EMIint.gCO2_per_km.HU.Tr.Road.Passenger.Car.BEV</t>
  </si>
  <si>
    <t>EMIint.gCO2_per_km.HU.Tr.Road.Passenger.Bus</t>
  </si>
  <si>
    <t>EMIint.gCO2_per_km.HU.Tr.Road.Passenger.Bus.ICE.Gasoline</t>
  </si>
  <si>
    <t>EMIint.gCO2_per_km.HU.Tr.Road.Passenger.Bus.ICE.Diesel</t>
  </si>
  <si>
    <t>EMIint.gCO2_per_km.HU.Tr.Road.Passenger.Bus.ICE.LPG</t>
  </si>
  <si>
    <t>EMIint.gCO2_per_km.HU.Tr.Road.Passenger.Bus.ICE.NGas</t>
  </si>
  <si>
    <t>EMIint.gCO2_per_km.HU.Tr.Road.Passenger.Bus.ICE.BEV</t>
  </si>
  <si>
    <t>EMIint.gCO2_per_km.HU.Tr.Road.Freight</t>
  </si>
  <si>
    <t>EMIint.gCO2_per_km.HU.Tr.Road.Freight.LCV</t>
  </si>
  <si>
    <t>EMIint.gCO2_per_km.HU.Tr.Road.Freight.LCV.ICE.Gasoline</t>
  </si>
  <si>
    <t>EMIint.gCO2_per_km.HU.Tr.Road.Freight.LCV.ICE.Diesel</t>
  </si>
  <si>
    <t>EMIint.gCO2_per_km.HU.Tr.Road.Freight.LCV.ICE.LPG</t>
  </si>
  <si>
    <t>EMIint.gCO2_per_km.HU.Tr.Road.Freight.LCV.ICE.NGas</t>
  </si>
  <si>
    <t>EMIint.gCO2_per_km.HU.Tr.Road.Freight.LCV.ICE.BEV</t>
  </si>
  <si>
    <t>EMIint.gCO2_per_km.HU.Tr.Road.Freight.HGV</t>
  </si>
  <si>
    <t>EMIint.gCO2_per_km.HU.Tr.Road.Freight.HGV.Domestic</t>
  </si>
  <si>
    <t>EMIint.gCO2_per_km.HU.Tr.Road.Freight.HGV.International</t>
  </si>
  <si>
    <t>EMIint.gCO2_per_pkm.HU.Tr.Road.Passenger.Car.ICE.Gasoline</t>
  </si>
  <si>
    <t>EMIint.gCO2_per_pkm.HU.Tr.Road.Passenger.Car.ICE.Diesel</t>
  </si>
  <si>
    <t>EMIint.gCO2_per_pkm.HU.Tr.Road.Passenger.Car.ICE.LPG</t>
  </si>
  <si>
    <t>EMIint.gCO2_per_pkm.HU.Tr.Road.Passenger.Car.ICE.NGas</t>
  </si>
  <si>
    <t>EMIint.gCO2_per_pkm.HU.Tr.Road.Passenger.Car.PHEV</t>
  </si>
  <si>
    <t>EMIint.gCO2_per_pkm.HU.Tr.Road.Passenger.Car.BEV</t>
  </si>
  <si>
    <t>EMIint.gCO2_per_pkm.HU.Tr.Road.Passenger.Bus.ICE.Gasoline</t>
  </si>
  <si>
    <t>EMIint.gCO2_per_pkm.HU.Tr.Road.Passenger.Bus.ICE.Diesel</t>
  </si>
  <si>
    <t>EMIint.gCO2_per_pkm.HU.Tr.Road.Passenger.Bus.ICE.LPG</t>
  </si>
  <si>
    <t>EMIint.gCO2_per_pkm.HU.Tr.Road.Passenger.Bus.ICE.NGas</t>
  </si>
  <si>
    <t>EMIint.gCO2_per_pkm.HU.Tr.Road.Passenger.Bus.ICE.BEV</t>
  </si>
  <si>
    <t>EMIint.gCO2_per_tkm.HU.Tr.Road.Freight.LCV.ICE.Gasoline</t>
  </si>
  <si>
    <t>EMIint.gCO2_per_tkm.HU.Tr.Road.Freight.LCV.ICE.Diesel</t>
  </si>
  <si>
    <t>EMIint.gCO2_per_tkm.HU.Tr.Road.Freight.LCV.ICE.LPG</t>
  </si>
  <si>
    <t>EMIint.gCO2_per_tkm.HU.Tr.Road.Freight.LCV.ICE.NGas</t>
  </si>
  <si>
    <t>EMIint.gCO2_per_tkm.HU.Tr.Road.Freight.LCV.ICE.BEV</t>
  </si>
  <si>
    <t>EMIint.gCO2_per_tkm.HU.Tr.Road.Freight.HGV.Domestic</t>
  </si>
  <si>
    <t>EMIint.gCO2_per_tkm.HU.Tr.Road.Freight.HGV.International</t>
  </si>
  <si>
    <t>EMI_per_vehicle.kgCO2.HU.Tr.Road.Passenger.P2W</t>
  </si>
  <si>
    <t>EMI_per_vehicle.kgCO2.HU.Tr.Road.Passenger.Car</t>
  </si>
  <si>
    <t>EMI_per_vehicle.kgCO2.HU.Tr.Road.Passenger.Car.ICE.Gasoline</t>
  </si>
  <si>
    <t>EMI_per_vehicle.kgCO2.HU.Tr.Road.Passenger.Car.ICE.Diesel</t>
  </si>
  <si>
    <t>EMI_per_vehicle.kgCO2.HU.Tr.Road.Passenger.Car.ICE.LPG</t>
  </si>
  <si>
    <t>EMI_per_vehicle.kgCO2.HU.Tr.Road.Passenger.Car.ICE.NGas</t>
  </si>
  <si>
    <t>EMI_per_vehicle.kgCO2.HU.Tr.Road.Passenger.Car.PHEV</t>
  </si>
  <si>
    <t>EMI_per_vehicle.kgCO2.HU.Tr.Road.Passenger.Car.BEV</t>
  </si>
  <si>
    <t>EMI_per_vehicle.kgCO2.HU.Tr.Road.Passenger.Bus</t>
  </si>
  <si>
    <t>EMI_per_vehicle.kgCO2.HU.Tr.Road.Passenger.Bus.ICE.Gasoline</t>
  </si>
  <si>
    <t>EMI_per_vehicle.kgCO2.HU.Tr.Road.Passenger.Bus.ICE.Diesel</t>
  </si>
  <si>
    <t>EMI_per_vehicle.kgCO2.HU.Tr.Road.Passenger.Bus.ICE.LPG</t>
  </si>
  <si>
    <t>EMI_per_vehicle.kgCO2.HU.Tr.Road.Passenger.Bus.ICE.NGas</t>
  </si>
  <si>
    <t>EMI_per_vehicle.kgCO2.HU.Tr.Road.Passenger.Bus.ICE.BEV</t>
  </si>
  <si>
    <t>EMI_per_vehicle.kgCO2.HU.Tr.Road.Freight.LCV</t>
  </si>
  <si>
    <t>EMI_per_vehicle.kgCO2.HU.Tr.Road.Freight.LCV.ICE.Gasoline</t>
  </si>
  <si>
    <t>EMI_per_vehicle.kgCO2.HU.Tr.Road.Freight.LCV.ICE.Diesel</t>
  </si>
  <si>
    <t>EMI_per_vehicle.kgCO2.HU.Tr.Road.Freight.LCV.ICE.LPG</t>
  </si>
  <si>
    <t>EMI_per_vehicle.kgCO2.HU.Tr.Road.Freight.LCV.ICE.NGas</t>
  </si>
  <si>
    <t>EMI_per_vehicle.kgCO2.HU.Tr.Road.Freight.LCV.ICE.BEV</t>
  </si>
  <si>
    <t>EMI_per_vehicle.kgCO2.HU.Tr.Road.Freight.HGV</t>
  </si>
  <si>
    <t>EMI_per_vehicle.kgCO2.HU.Tr.Road.Freight.HGV.Domestic</t>
  </si>
  <si>
    <t>EMI_per_vehicle.kgCO2.HU.Tr.Road.Freight.HGV.International</t>
  </si>
  <si>
    <t>Road transport / technologies - HU - Hungary</t>
  </si>
  <si>
    <t>StockVin.number.HU.Tr.Road</t>
  </si>
  <si>
    <t>StockVin.number.HU.Tr.Road.Passenger</t>
  </si>
  <si>
    <t>StockVin.number.HU.Tr.Road.Passenger.P2W</t>
  </si>
  <si>
    <t>StockVin.number.HU.Tr.Road.Passenger.Car</t>
  </si>
  <si>
    <t>StockVin.number.HU.Tr.Road.Passenger.Car.ICE.Gasoline</t>
  </si>
  <si>
    <t>StockVin.number.HU.Tr.Road.Passenger.Car.ICE.Diesel</t>
  </si>
  <si>
    <t>StockVin.number.HU.Tr.Road.Passenger.Car.ICE.LPG</t>
  </si>
  <si>
    <t>StockVin.number.HU.Tr.Road.Passenger.Car.ICE.NGas</t>
  </si>
  <si>
    <t>StockVin.number.HU.Tr.Road.Passenger.Car.PHEV</t>
  </si>
  <si>
    <t>StockVin.number.HU.Tr.Road.Passenger.Car.BEV</t>
  </si>
  <si>
    <t>StockVin.number.HU.Tr.Road.Passenger.Bus</t>
  </si>
  <si>
    <t>StockVin.number.HU.Tr.Road.Passenger.Bus.ICE.Gasoline</t>
  </si>
  <si>
    <t>StockVin.number.HU.Tr.Road.Passenger.Bus.ICE.Diesel</t>
  </si>
  <si>
    <t>StockVin.number.HU.Tr.Road.Passenger.Bus.ICE.LPG</t>
  </si>
  <si>
    <t>StockVin.number.HU.Tr.Road.Passenger.Bus.ICE.NGas</t>
  </si>
  <si>
    <t>StockVin.number.HU.Tr.Road.Passenger.Bus.ICE.BEV</t>
  </si>
  <si>
    <t>StockVin.number.HU.Tr.Road.Freight</t>
  </si>
  <si>
    <t>StockVin.number.HU.Tr.Road.Freight.LCV</t>
  </si>
  <si>
    <t>StockVin.number.HU.Tr.Road.Freight.LCV.ICE.Gasoline</t>
  </si>
  <si>
    <t>StockVin.number.HU.Tr.Road.Freight.LCV.ICE.Diesel</t>
  </si>
  <si>
    <t>StockVin.number.HU.Tr.Road.Freight.LCV.ICE.LPG</t>
  </si>
  <si>
    <t>StockVin.number.HU.Tr.Road.Freight.LCV.ICE.NGas</t>
  </si>
  <si>
    <t>StockVin.number.HU.Tr.Road.Freight.LCV.ICE.BEV</t>
  </si>
  <si>
    <t>StockVin.number.HU.Tr.Road.Freight.HGV</t>
  </si>
  <si>
    <t>StockVin.number.HU.Tr.Road.Freight.HGV.Domestic</t>
  </si>
  <si>
    <t>StockVin.number.HU.Tr.Road.Freight.HGV.International</t>
  </si>
  <si>
    <t>Eff_test_stock.kgoe_per_100km.HU.Tr.Road.Passenger.P2W</t>
  </si>
  <si>
    <t>Eff_test_stock.kgoe_per_100km.HU.Tr.Road.Passenger.Car</t>
  </si>
  <si>
    <t>Eff_test_stock.kgoe_per_100km.HU.Tr.Road.Passenger.Car.ICE.Gasoline</t>
  </si>
  <si>
    <t>Eff_test_stock.kgoe_per_100km.HU.Tr.Road.Passenger.Car.ICE.Diesel</t>
  </si>
  <si>
    <t>Eff_test_stock.kgoe_per_100km.HU.Tr.Road.Passenger.Car.ICE.LPG</t>
  </si>
  <si>
    <t>Eff_test_stock.kgoe_per_100km.HU.Tr.Road.Passenger.Car.ICE.NGas</t>
  </si>
  <si>
    <t>Eff_test_stock.kgoe_per_100km.HU.Tr.Road.Passenger.Car.PHEV</t>
  </si>
  <si>
    <t>Eff_test_stock.kgoe_per_100km.HU.Tr.Road.Passenger.Car.BEV</t>
  </si>
  <si>
    <t>Eff_test_stock.kgoe_per_100km.HU.Tr.Road.Passenger.Bus</t>
  </si>
  <si>
    <t>Eff_test_stock.kgoe_per_100km.HU.Tr.Road.Passenger.Bus.ICE.Gasoline</t>
  </si>
  <si>
    <t>Eff_test_stock.kgoe_per_100km.HU.Tr.Road.Passenger.Bus.ICE.Diesel</t>
  </si>
  <si>
    <t>Eff_test_stock.kgoe_per_100km.HU.Tr.Road.Passenger.Bus.ICE.LPG</t>
  </si>
  <si>
    <t>Eff_test_stock.kgoe_per_100km.HU.Tr.Road.Passenger.Bus.ICE.NGas</t>
  </si>
  <si>
    <t>Eff_test_stock.kgoe_per_100km.HU.Tr.Road.Passenger.Bus.ICE.BEV</t>
  </si>
  <si>
    <t>Eff_test_stock.kgoe_per_100km.HU.Tr.Road.Freight.LCV</t>
  </si>
  <si>
    <t>Eff_test_stock.kgoe_per_100km.HU.Tr.Road.Freight.LCV.ICE.Gasoline</t>
  </si>
  <si>
    <t>Eff_test_stock.kgoe_per_100km.HU.Tr.Road.Freight.LCV.ICE.Diesel</t>
  </si>
  <si>
    <t>Eff_test_stock.kgoe_per_100km.HU.Tr.Road.Freight.LCV.ICE.LPG</t>
  </si>
  <si>
    <t>Eff_test_stock.kgoe_per_100km.HU.Tr.Road.Freight.LCV.ICE.NGas</t>
  </si>
  <si>
    <t>Eff_test_stock.kgoe_per_100km.HU.Tr.Road.Freight.LCV.ICE.BEV</t>
  </si>
  <si>
    <t>Eff_test_stock.kgoe_per_100km.HU.Tr.Road.Freight.HGV</t>
  </si>
  <si>
    <t>Eff_test_stock.kgoe_per_100km.HU.Tr.Road.Freight.HGV.Domestic</t>
  </si>
  <si>
    <t>Eff_test_stock.kgoe_per_100km.HU.Tr.Road.Freight.HGV.International</t>
  </si>
  <si>
    <t>Eff_test_new.kgoe_per_100km.HU.Tr.Road.Passenger.P2W</t>
  </si>
  <si>
    <t>Eff_test_new.kgoe_per_100km.HU.Tr.Road.Passenger.Car</t>
  </si>
  <si>
    <t>Eff_test_new.kgoe_per_100km.HU.Tr.Road.Passenger.Car.ICE.Gasoline</t>
  </si>
  <si>
    <t>Eff_test_new.kgoe_per_100km.HU.Tr.Road.Passenger.Car.ICE.Diesel</t>
  </si>
  <si>
    <t>Eff_test_new.kgoe_per_100km.HU.Tr.Road.Passenger.Car.ICE.LPG</t>
  </si>
  <si>
    <t>Eff_test_new.kgoe_per_100km.HU.Tr.Road.Passenger.Car.ICE.NGas</t>
  </si>
  <si>
    <t>Eff_test_new.kgoe_per_100km.HU.Tr.Road.Passenger.Car.PHEV</t>
  </si>
  <si>
    <t>Eff_test_new.kgoe_per_100km.HU.Tr.Road.Passenger.Car.BEV</t>
  </si>
  <si>
    <t>Eff_test_new.kgoe_per_100km.HU.Tr.Road.Passenger.Bus</t>
  </si>
  <si>
    <t>Eff_test_new.kgoe_per_100km.HU.Tr.Road.Passenger.Bus.ICE.Gasoline</t>
  </si>
  <si>
    <t>Eff_test_new.kgoe_per_100km.HU.Tr.Road.Passenger.Bus.ICE.Diesel</t>
  </si>
  <si>
    <t>Eff_test_new.kgoe_per_100km.HU.Tr.Road.Passenger.Bus.ICE.LPG</t>
  </si>
  <si>
    <t>Eff_test_new.kgoe_per_100km.HU.Tr.Road.Passenger.Bus.ICE.NGas</t>
  </si>
  <si>
    <t>Eff_test_new.kgoe_per_100km.HU.Tr.Road.Passenger.Bus.ICE.BEV</t>
  </si>
  <si>
    <t>Eff_test_new.kgoe_per_100km.HU.Tr.Road.Freight.LCV</t>
  </si>
  <si>
    <t>Eff_test_new.kgoe_per_100km.HU.Tr.Road.Freight.LCV.ICE.Gasoline</t>
  </si>
  <si>
    <t>Eff_test_new.kgoe_per_100km.HU.Tr.Road.Freight.LCV.ICE.Diesel</t>
  </si>
  <si>
    <t>Eff_test_new.kgoe_per_100km.HU.Tr.Road.Freight.LCV.ICE.LPG</t>
  </si>
  <si>
    <t>Eff_test_new.kgoe_per_100km.HU.Tr.Road.Freight.LCV.ICE.NGas</t>
  </si>
  <si>
    <t>Eff_test_new.kgoe_per_100km.HU.Tr.Road.Freight.LCV.ICE.BEV</t>
  </si>
  <si>
    <t>Eff_test_new.kgoe_per_100km.HU.Tr.Road.Freight.HGV</t>
  </si>
  <si>
    <t>Eff_test_new.kgoe_per_100km.HU.Tr.Road.Freight.HGV.Domestic</t>
  </si>
  <si>
    <t>Eff_test_new.kgoe_per_100km.HU.Tr.Road.Freight.HGV.International</t>
  </si>
  <si>
    <t>EMIint_test_stock.gCO2_per_km.HU.Tr.Road.Passenger.P2W</t>
  </si>
  <si>
    <t>EMIint_test_stock.gCO2_per_km.HU.Tr.Road.Passenger.Car</t>
  </si>
  <si>
    <t>EMIint_test_stock.gCO2_per_km.HU.Tr.Road.Passenger.Car.ICE.Gasoline</t>
  </si>
  <si>
    <t>EMIint_test_stock.gCO2_per_km.HU.Tr.Road.Passenger.Car.ICE.Diesel</t>
  </si>
  <si>
    <t>EMIint_test_stock.gCO2_per_km.HU.Tr.Road.Passenger.Car.ICE.LPG</t>
  </si>
  <si>
    <t>EMIint_test_stock.gCO2_per_km.HU.Tr.Road.Passenger.Car.ICE.NGas</t>
  </si>
  <si>
    <t>EMIint_test_stock.gCO2_per_km.HU.Tr.Road.Passenger.Car.PHEV</t>
  </si>
  <si>
    <t>EMIint_test_stock.gCO2_per_km.HU.Tr.Road.Passenger.Car.BEV</t>
  </si>
  <si>
    <t>EMIint_test_stock.gCO2_per_km.HU.Tr.Road.Passenger.Bus</t>
  </si>
  <si>
    <t>EMIint_test_stock.gCO2_per_km.HU.Tr.Road.Passenger.Bus.ICE.Gasoline</t>
  </si>
  <si>
    <t>EMIint_test_stock.gCO2_per_km.HU.Tr.Road.Passenger.Bus.ICE.Diesel</t>
  </si>
  <si>
    <t>EMIint_test_stock.gCO2_per_km.HU.Tr.Road.Passenger.Bus.ICE.LPG</t>
  </si>
  <si>
    <t>EMIint_test_stock.gCO2_per_km.HU.Tr.Road.Passenger.Bus.ICE.NGas</t>
  </si>
  <si>
    <t>EMIint_test_stock.gCO2_per_km.HU.Tr.Road.Passenger.Bus.ICE.BEV</t>
  </si>
  <si>
    <t>EMIint_test_stock.gCO2_per_km.HU.Tr.Road.Freight.LCV</t>
  </si>
  <si>
    <t>EMIint_test_stock.gCO2_per_km.HU.Tr.Road.Freight.LCV.ICE.Gasoline</t>
  </si>
  <si>
    <t>EMIint_test_stock.gCO2_per_km.HU.Tr.Road.Freight.LCV.ICE.Diesel</t>
  </si>
  <si>
    <t>EMIint_test_stock.gCO2_per_km.HU.Tr.Road.Freight.LCV.ICE.LPG</t>
  </si>
  <si>
    <t>EMIint_test_stock.gCO2_per_km.HU.Tr.Road.Freight.LCV.ICE.NGas</t>
  </si>
  <si>
    <t>EMIint_test_stock.gCO2_per_km.HU.Tr.Road.Freight.LCV.ICE.BEV</t>
  </si>
  <si>
    <t>EMIint_test_stock.gCO2_per_km.HU.Tr.Road.Freight.HGV</t>
  </si>
  <si>
    <t>EMIint_test_stock.gCO2_per_km.HU.Tr.Road.Freight.HGV.Domestic</t>
  </si>
  <si>
    <t>EMIint_test_stock.gCO2_per_km.HU.Tr.Road.Freight.HGV.International</t>
  </si>
  <si>
    <t>EMIint_test_new.gCO2_per_km.HU.Tr.Road.Passenger.P2W</t>
  </si>
  <si>
    <t>EMIint_test_new.gCO2_per_km.HU.Tr.Road.Passenger.Car</t>
  </si>
  <si>
    <t>EMIint_test_new.gCO2_per_km.HU.Tr.Road.Passenger.Car.ICE.Gasoline</t>
  </si>
  <si>
    <t>EMIint_test_new.gCO2_per_km.HU.Tr.Road.Passenger.Car.ICE.Diesel</t>
  </si>
  <si>
    <t>EMIint_test_new.gCO2_per_km.HU.Tr.Road.Passenger.Car.ICE.LPG</t>
  </si>
  <si>
    <t>EMIint_test_new.gCO2_per_km.HU.Tr.Road.Passenger.Car.ICE.NGas</t>
  </si>
  <si>
    <t>EMIint_test_new.gCO2_per_km.HU.Tr.Road.Passenger.Car.PHEV</t>
  </si>
  <si>
    <t>EMIint_test_new.gCO2_per_km.HU.Tr.Road.Passenger.Car.BEV</t>
  </si>
  <si>
    <t>EMIint_test_new.gCO2_per_km.HU.Tr.Road.Passenger.Bus</t>
  </si>
  <si>
    <t>EMIint_test_new.gCO2_per_km.HU.Tr.Road.Passenger.Bus.ICE.Gasoline</t>
  </si>
  <si>
    <t>EMIint_test_new.gCO2_per_km.HU.Tr.Road.Passenger.Bus.ICE.Diesel</t>
  </si>
  <si>
    <t>EMIint_test_new.gCO2_per_km.HU.Tr.Road.Passenger.Bus.ICE.LPG</t>
  </si>
  <si>
    <t>EMIint_test_new.gCO2_per_km.HU.Tr.Road.Passenger.Bus.ICE.NGas</t>
  </si>
  <si>
    <t>EMIint_test_new.gCO2_per_km.HU.Tr.Road.Passenger.Bus.ICE.BEV</t>
  </si>
  <si>
    <t>EMIint_test_new.gCO2_per_km.HU.Tr.Road.Freight.LCV</t>
  </si>
  <si>
    <t>EMIint_test_new.gCO2_per_km.HU.Tr.Road.Freight.LCV.ICE.Gasoline</t>
  </si>
  <si>
    <t>EMIint_test_new.gCO2_per_km.HU.Tr.Road.Freight.LCV.ICE.Diesel</t>
  </si>
  <si>
    <t>EMIint_test_new.gCO2_per_km.HU.Tr.Road.Freight.LCV.ICE.LPG</t>
  </si>
  <si>
    <t>EMIint_test_new.gCO2_per_km.HU.Tr.Road.Freight.LCV.ICE.NGas</t>
  </si>
  <si>
    <t>EMIint_test_new.gCO2_per_km.HU.Tr.Road.Freight.LCV.ICE.BEV</t>
  </si>
  <si>
    <t>EMIint_test_new.gCO2_per_km.HU.Tr.Road.Freight.HGV</t>
  </si>
  <si>
    <t>EMIint_test_new.gCO2_per_km.HU.Tr.Road.Freight.HGV.Domestic</t>
  </si>
  <si>
    <t>EMIint_test_new.gCO2_per_km.HU.Tr.Road.Freight.HGV.International</t>
  </si>
  <si>
    <t>FEC.ktoe.HU.MBunk</t>
  </si>
  <si>
    <t>FEC.ktoe.HU.MBunk.IntraEEA</t>
  </si>
  <si>
    <t>FEC.ktoe.HU.MBunk.ExtraEEA</t>
  </si>
  <si>
    <t>EMI.ktCO2.HU.MBunk</t>
  </si>
  <si>
    <t>EMI.ktCO2.HU.MBunk.IntraEEA</t>
  </si>
  <si>
    <t>EMI.ktCO2.HU.MBunk.ExtraEEA</t>
  </si>
  <si>
    <t>International maritime bunkers - HU - Hungary</t>
  </si>
  <si>
    <t>VehicleKm.Mkm.HU.MBunk.Freight</t>
  </si>
  <si>
    <t>VehicleKm.Mkm.HU.MBunk.Freight.IntraEEA</t>
  </si>
  <si>
    <t>VehicleKm.Mkm.HU.MBunk.Freight.ExtraEEA</t>
  </si>
  <si>
    <t>Load.t_per_movement.HU.MBunk.Freight</t>
  </si>
  <si>
    <t>Load.t_per_movement.HU.MBunk.Freight.IntraEEA</t>
  </si>
  <si>
    <t>Load.t_per_movement.HU.MBunk.Freight.ExtraEEA</t>
  </si>
  <si>
    <t>International maritime bunkers / energy consumption - HU - Hungary</t>
  </si>
  <si>
    <t>FEC.ktoe.HU.ES.MBunk</t>
  </si>
  <si>
    <t>FEC.ktoe.HU.ES.MBunk.IntraEEA</t>
  </si>
  <si>
    <t>FEC.ktoe.HU.ES.MBunk.IntraEEA.Diesel</t>
  </si>
  <si>
    <t>FEC.ktoe.HU.ES.MBunk.IntraEEA.RFO_Other</t>
  </si>
  <si>
    <t>FEC.ktoe.HU.ES.MBunk.IntraEEA.LiqBio</t>
  </si>
  <si>
    <t>FEC.ktoe.HU.ES.MBunk.IntraEEA.NG</t>
  </si>
  <si>
    <t>FEC.ktoe.HU.ES.MBunk.IntraEEA.Biogas</t>
  </si>
  <si>
    <t>FEC.ktoe.HU.ES.MBunk.ExtraEEA</t>
  </si>
  <si>
    <t>FEC.ktoe.HU.ES.MBunk.ExtraEEA.Diesel</t>
  </si>
  <si>
    <t>FEC.ktoe.HU.ES.MBunk.ExtraEEA.RFO_Other</t>
  </si>
  <si>
    <t>FEC.ktoe.HU.ES.MBunk.ExtraEEA.LiqBio</t>
  </si>
  <si>
    <t>FEC.ktoe.HU.ES.MBunk.ExtraEEA.NG</t>
  </si>
  <si>
    <t>FEC.ktoe.HU.ES.MBunk.ExtraEEA.Biogas</t>
  </si>
  <si>
    <t>Eff.kgoe_per_100km.HU.MBunk.Freight</t>
  </si>
  <si>
    <t>Eff.kgoe_per_100km.HU.MBunk.Freight.IntraEEA</t>
  </si>
  <si>
    <t>Eff.kgoe_per_100km.HU.MBunk.Freight.ExtraEEA</t>
  </si>
  <si>
    <t>International maritime bunkers / CO2 emissions - HU - Hungary</t>
  </si>
  <si>
    <t>EMI.ktCO2.HU.ES.MBunk</t>
  </si>
  <si>
    <t>EMI.ktCO2.HU.ES.MBunk.IntraEEA</t>
  </si>
  <si>
    <t>EMI.ktCO2.HU.ES.MBunk.ExtraEEA</t>
  </si>
  <si>
    <t>EMIint.gCO2_per_km.HU.MBunk.Freight</t>
  </si>
  <si>
    <t>EMIint.gCO2_per_km.HU.MBunk.Freight.IntraEEA</t>
  </si>
  <si>
    <t>EMIint.gCO2_per_km.HU.MBunk.Freight.ExtraEEA</t>
  </si>
  <si>
    <t>FEC.ktoe.HU.Tr.DNavi</t>
  </si>
  <si>
    <t>FEC.ktoe.HU.Tr.Dnavi.DCS</t>
  </si>
  <si>
    <t>FEC.ktoe.HU.Tr.Dnavi.IWW</t>
  </si>
  <si>
    <t>EMI.ktCO2.HU.Tr.DNavi</t>
  </si>
  <si>
    <t>EMI.ktCO2.HU.Tr.Dnavi.DCS</t>
  </si>
  <si>
    <t>EMI.ktCO2.HU.Tr.Dnavi.IWW</t>
  </si>
  <si>
    <t>Domestic navigation - HU - Hungary</t>
  </si>
  <si>
    <t>VehicleKm.Mkm.HU.Tr.DNavi.Freight</t>
  </si>
  <si>
    <t>VehicleKm.Mkm.HU.Tr.DNavi.Freight.DCS</t>
  </si>
  <si>
    <t>VehicleKm.Mkm.HU.Tr.DNavi.Freight.IWW</t>
  </si>
  <si>
    <t>Load.t_per_movement.HU.Tr.DNavi.Freight</t>
  </si>
  <si>
    <t>Load.t_per_movement.HU.Tr.DNavi.Freight.DCS</t>
  </si>
  <si>
    <t>Load.t_per_movement.HU.Tr.DNavi.Freight.IWW</t>
  </si>
  <si>
    <t>Domestic navigation / energy consumption - HU - Hungary</t>
  </si>
  <si>
    <t>FEC.ktoe.HU.ES.Tr.DNavi</t>
  </si>
  <si>
    <t>FEC.ktoe.HU.ES.Tr.DNavi.DCS</t>
  </si>
  <si>
    <t>FEC.ktoe.HU.ES.Tr.DNavi.DCS.Diesel</t>
  </si>
  <si>
    <t>FEC.ktoe.HU.ES.Tr.DNavi.DCS.RFO_Other</t>
  </si>
  <si>
    <t>FEC.ktoe.HU.ES.Tr.DNavi.DCS.LiqBio</t>
  </si>
  <si>
    <t>FEC.ktoe.HU.ES.Tr.DNavi.DCS.NG</t>
  </si>
  <si>
    <t>FEC.ktoe.HU.ES.Tr.DNavi.DCS.Biogas</t>
  </si>
  <si>
    <t>FEC.ktoe.HU.ES.Tr.DNavi.IWW</t>
  </si>
  <si>
    <t>FEC.ktoe.HU.ES.Tr.DNavi.IWW.Diesel</t>
  </si>
  <si>
    <t>FEC.ktoe.HU.ES.Tr.DNavi.IWW.RFO_Other</t>
  </si>
  <si>
    <t>FEC.ktoe.HU.ES.Tr.DNavi.IWW.LiqBio</t>
  </si>
  <si>
    <t>FEC.ktoe.HU.ES.Tr.DNavi.IWW.NG</t>
  </si>
  <si>
    <t>FEC.ktoe.HU.ES.Tr.DNavi.IWW.Biogas</t>
  </si>
  <si>
    <t>Eff.kgoe_per_100km.HU.Tr.DNavi.Freight</t>
  </si>
  <si>
    <t>Eff.kgoe_per_100km.HU.Tr.DNavi.Freight.DCS</t>
  </si>
  <si>
    <t>Eff.kgoe_per_100km.HU.Tr.DNavi.Freight.IWW</t>
  </si>
  <si>
    <t>Domestic navigation / CO2 emissions - HU - Hungary</t>
  </si>
  <si>
    <t>EMI.ktCO2.HU.ES.Tr.DNavi</t>
  </si>
  <si>
    <t>EMI.ktCO2.HU.ES.Tr.DNavi.DCS</t>
  </si>
  <si>
    <t>EMI.ktCO2.HU.ES.Tr.DNavi.IWW</t>
  </si>
  <si>
    <t>EMIint.gCO2_per_km.HU.Tr.DNavi.Freight</t>
  </si>
  <si>
    <t>EMIint.gCO2_per_km.HU.Tr.DNavi.Freight.DCS</t>
  </si>
  <si>
    <t>EMIint.gCO2_per_km.HU.Tr.DNavi.Freight.IWW</t>
  </si>
  <si>
    <t>Rail, metro and tram - HU - Hungary</t>
  </si>
  <si>
    <t>Activity.Mpkm.HU.Tr.Rail.Passenger.CPT.Diesel</t>
  </si>
  <si>
    <t>Activity.Mpkm.HU.Tr.Rail.Passenger.CPT.Elc</t>
  </si>
  <si>
    <t>Activity.Mtkm.HU.Tr.Rail.Freight.Diesel</t>
  </si>
  <si>
    <t>Activity.Mtkm.HU.Tr.Rail.Freight.Elc</t>
  </si>
  <si>
    <t>VehicleKm.Mkm.HU.Tr.Rail</t>
  </si>
  <si>
    <t>VehicleKm.Mkm.HU.Tr.Rail.Passenger</t>
  </si>
  <si>
    <t>VehicleKm.Mkm.HU.Tr.Rail.Passenger.MTU</t>
  </si>
  <si>
    <t>VehicleKm.Mkm.HU.Tr.Rail.Passenger.CPT</t>
  </si>
  <si>
    <t>VehicleKm.Mkm.HU.Tr.Rail.Passenger.CPT.Diesel</t>
  </si>
  <si>
    <t>VehicleKm.Mkm.HU.Tr.Rail.Passenger.CPT.Elc</t>
  </si>
  <si>
    <t>VehicleKm.Mkm.HU.Tr.Rail.Passenger.HST</t>
  </si>
  <si>
    <t>VehicleKm.Mkm.HU.Tr.Rail.Freight</t>
  </si>
  <si>
    <t>VehicleKm.Mkm.HU.Tr.Rail.Freight.Diesel</t>
  </si>
  <si>
    <t>VehicleKm.Mkm.HU.Tr.Rail.Freight.Elc</t>
  </si>
  <si>
    <t>Stock.number.HU.Tr.Rail</t>
  </si>
  <si>
    <t>Stock.number.HU.Tr.Rail.Passenger</t>
  </si>
  <si>
    <t>Stock.number.HU.Tr.Rail.Passenger.MTU</t>
  </si>
  <si>
    <t>Stock.number.HU.Tr.Rail.Passenger.CPT</t>
  </si>
  <si>
    <t>Stock.number.HU.Tr.Rail.Passenger.CPT.Diesel</t>
  </si>
  <si>
    <t>Stock.number.HU.Tr.Rail.Passenger.CPT.Elc</t>
  </si>
  <si>
    <t>Stock.number.HU.Tr.Rail.Passenger.HST</t>
  </si>
  <si>
    <t>Stock.number.HU.Tr.Rail.Freight</t>
  </si>
  <si>
    <t>Stock.number.HU.Tr.Rail.Freight.Diesel</t>
  </si>
  <si>
    <t>Stock.number.HU.Tr.Rail.Freight.Elc</t>
  </si>
  <si>
    <t>StockNew.number.HU.Tr.Rail</t>
  </si>
  <si>
    <t>StockNew.number.HU.Tr.Rail.Passenger</t>
  </si>
  <si>
    <t>StockNew.number.HU.Tr.Rail.Passenger.MTU</t>
  </si>
  <si>
    <t>StockNew.number.HU.Tr.Rail.Passenger.CPT</t>
  </si>
  <si>
    <t>StockNew.number.HU.Tr.Rail.Passenger.CPT.Diesel</t>
  </si>
  <si>
    <t>StockNew.number.HU.Tr.Rail.Passenger.CPT.Elc</t>
  </si>
  <si>
    <t>StockNew.number.HU.Tr.Rail.Passenger.HST</t>
  </si>
  <si>
    <t>StockNew.number.HU.Tr.Rail.Freight</t>
  </si>
  <si>
    <t>StockNew.number.HU.Tr.Rail.Freight.Diesel</t>
  </si>
  <si>
    <t>StockNew.number.HU.Tr.Rail.Freight.Elc</t>
  </si>
  <si>
    <t>Load.passenger_per_movement.HU.Tr.Rail.Passenger</t>
  </si>
  <si>
    <t>Load.passenger_per_movement.HU.Tr.Rail.Passenger.MTU</t>
  </si>
  <si>
    <t>Load.passenger_per_movement.HU.Tr.Rail.Passenger.CPT</t>
  </si>
  <si>
    <t>Load.passenger_per_movement.HU.Tr.Rail.Passenger.CPT.Diesel</t>
  </si>
  <si>
    <t>Load.passenger_per_movement.HU.Tr.Rail.Passenger.CPT.Elc</t>
  </si>
  <si>
    <t>Load.passenger_per_movement.HU.Tr.Rail.Passenger.HST</t>
  </si>
  <si>
    <t>Load.t_per_movement.HU.Tr.Rail.Freight</t>
  </si>
  <si>
    <t>Load.t_per_movement.HU.Tr.Rail.Freight.Diesel</t>
  </si>
  <si>
    <t>Load.t_per_movement.HU.Tr.Rail.Freight.Elc</t>
  </si>
  <si>
    <t>TrCap.seats.HU.Tr.Rail.Passenger</t>
  </si>
  <si>
    <t>TrCap.seats.HU.Tr.Rail.Passenger.MTU</t>
  </si>
  <si>
    <t>TrCap.seats.HU.Tr.Rail.Passenger.CPT</t>
  </si>
  <si>
    <t>TrCap.seats.HU.Tr.Rail.Passenger.CPT.Diesel</t>
  </si>
  <si>
    <t>TrCap.seats.HU.Tr.Rail.Passenger.CPT.Elc</t>
  </si>
  <si>
    <t>TrCap.seats.HU.Tr.Rail.Passenger.HST</t>
  </si>
  <si>
    <t>TrCap.t.HU.Tr.Rail.Freight</t>
  </si>
  <si>
    <t>TrCap.t.HU.Tr.Rail.Freight.Diesel</t>
  </si>
  <si>
    <t>TrCap.t.HU.Tr.Rail.Freight.Elc</t>
  </si>
  <si>
    <t>VehicleKm_per_vehicle.km.HU.Tr.Rail</t>
  </si>
  <si>
    <t>VehicleKm_per_vehicle.km.HU.Tr.Rail.Passenger</t>
  </si>
  <si>
    <t>VehicleKm_per_vehicle.km.HU.Tr.Rail.Passenger.MTU</t>
  </si>
  <si>
    <t>VehicleKm_per_vehicle.km.HU.Tr.Rail.Passenger.CPT</t>
  </si>
  <si>
    <t>VehicleKm_per_vehicle.km.HU.Tr.Rail.Passenger.CPT.Diesel</t>
  </si>
  <si>
    <t>VehicleKm_per_vehicle.km.HU.Tr.Rail.Passenger.CPT.Elc</t>
  </si>
  <si>
    <t>VehicleKm_per_vehicle.km.HU.Tr.Rail.Passenger.HST</t>
  </si>
  <si>
    <t>VehicleKm_per_vehicle.km.HU.Tr.Rail.Freight</t>
  </si>
  <si>
    <t>VehicleKm_per_vehicle.km.HU.Tr.Rail.Freight.Diesel</t>
  </si>
  <si>
    <t>VehicleKm_per_vehicle.km.HU.Tr.Rail.Freight.Elc</t>
  </si>
  <si>
    <t>Activity_per_vehicle.pkm.HU.Tr.Rail.Passenger</t>
  </si>
  <si>
    <t>Activity_per_vehicle.pkm.HU.Tr.Rail.Passenger.MTU</t>
  </si>
  <si>
    <t>Activity_per_vehicle.pkm.HU.Tr.Rail.Passenger.CPT</t>
  </si>
  <si>
    <t>Activity_per_vehicle.pkm.HU.Tr.Rail.Passenger.CPT.Diesel</t>
  </si>
  <si>
    <t>Activity_per_vehicle.pkm.HU.Tr.Rail.Passenger.CPT.Elc</t>
  </si>
  <si>
    <t>Activity_per_vehicle.pkm.HU.Tr.Rail.Passenger.HST</t>
  </si>
  <si>
    <t>Activity_per_vehicle.tkm.HU.Tr.Rail.Freight</t>
  </si>
  <si>
    <t>Activity_per_vehicle.tkm.HU.Tr.Rail.Freight.Diesel</t>
  </si>
  <si>
    <t>Activity_per_vehicle.tkm.HU.Tr.Rail.Freight.Elc</t>
  </si>
  <si>
    <t>Rail, metro and tram / energy consumption - HU - Hungary</t>
  </si>
  <si>
    <t>FEC.ktoe.HU.ES.Tr.Rail</t>
  </si>
  <si>
    <t>FEC.ktoe.HU.ES.Tr.Rail.Diesel</t>
  </si>
  <si>
    <t>FEC.ktoe.HU.ES.Tr.Rail.LiqBio</t>
  </si>
  <si>
    <t>FEC.ktoe.HU.ES.Tr.Rail.Elec</t>
  </si>
  <si>
    <t>FEC.ktoe.HU.Tr.Rail</t>
  </si>
  <si>
    <t>FEC.ktoe.HU.Tr.Rail.Passenger.CPT.Diesel</t>
  </si>
  <si>
    <t>FEC.ktoe.HU.Tr.Rail.Passenger.CPT.Elc</t>
  </si>
  <si>
    <t>FEC.ktoe.HU.Tr.Rail.Freight.Diesel</t>
  </si>
  <si>
    <t>FEC.ktoe.HU.Tr.Rail.Freight.Elc</t>
  </si>
  <si>
    <t>Eff.kgoe_per_100km.HU.Tr.Rail</t>
  </si>
  <si>
    <t>Eff.kgoe_per_100km.HU.Tr.Rail.Passenger</t>
  </si>
  <si>
    <t>Eff.kgoe_per_100km.HU.Tr.Rail.Passenger.MTU</t>
  </si>
  <si>
    <t>Eff.kgoe_per_100km.HU.Tr.Rail.Passenger.CPT</t>
  </si>
  <si>
    <t>Eff.kgoe_per_100km.HU.Tr.Rail.Passenger.CPT.Diesel</t>
  </si>
  <si>
    <t>Eff.kgoe_per_100km.HU.Tr.Rail.Passenger.CPT.Elc</t>
  </si>
  <si>
    <t>Eff.kgoe_per_100km.HU.Tr.Rail.Passenger.HST</t>
  </si>
  <si>
    <t>Eff.kgoe_per_100km.HU.Tr.Rail.Freight</t>
  </si>
  <si>
    <t>Eff.kgoe_per_100km.HU.Tr.Rail.Freight.Diesel</t>
  </si>
  <si>
    <t>Eff.kgoe_per_100km.HU.Tr.Rail.Freight.Elc</t>
  </si>
  <si>
    <t>Eff.kgoe_per_kpkm.HU.Tr.Rail.Passenger.CPT.Diesel</t>
  </si>
  <si>
    <t>Eff.kgoe_per_kpkm.HU.Tr.Rail.Passenger.CPT.Elc</t>
  </si>
  <si>
    <t>Eff.kgoe_per_ktkm.HU.Tr.Rail.Freight.Diesel</t>
  </si>
  <si>
    <t>Eff.kgoe_per_ktkm.HU.Tr.Rail.Freight.Elc</t>
  </si>
  <si>
    <t>FEC_per_vehicle.kgoe.HU.Tr.Rail</t>
  </si>
  <si>
    <t>FEC_per_vehicle.kgoe.HU.Tr.Rail.Passenger</t>
  </si>
  <si>
    <t>FEC_per_vehicle.kgoe.HU.Tr.Rail.Passenger.MTU</t>
  </si>
  <si>
    <t>FEC_per_vehicle.kgoe.HU.Tr.Rail.Passenger.CPT</t>
  </si>
  <si>
    <t>FEC_per_vehicle.kgoe.HU.Tr.Rail.Passenger.CPT.Diesel</t>
  </si>
  <si>
    <t>FEC_per_vehicle.kgoe.HU.Tr.Rail.Passenger.CPT.Elc</t>
  </si>
  <si>
    <t>FEC_per_vehicle.kgoe.HU.Tr.Rail.Passenger.HST</t>
  </si>
  <si>
    <t>FEC_per_vehicle.kgoe.HU.Tr.Rail.Freight</t>
  </si>
  <si>
    <t>FEC_per_vehicle.kgoe.HU.Tr.Rail.Freight.Diesel</t>
  </si>
  <si>
    <t>FEC_per_vehicle.kgoe.HU.Tr.Rail.Freight.Elc</t>
  </si>
  <si>
    <t>Rail, metro and tram / CO2 emissions - HU - Hungary</t>
  </si>
  <si>
    <t>EMI.ktCO2.HU.ES.Tr.Rail</t>
  </si>
  <si>
    <t>EMI.ktCO2.HU.ES.Tr.Rail.Diesel</t>
  </si>
  <si>
    <t>EMI.ktCO2.HU.ES.Tr.Rail.Elec</t>
  </si>
  <si>
    <t>EMI.ktCO2.HU.Tr.Rail</t>
  </si>
  <si>
    <t>EMI.ktCO2.HU.Tr.Rail.Passenger.CPT.Diesel</t>
  </si>
  <si>
    <t>EMI.ktCO2.HU.Tr.Rail.Passenger.CPT.Elc</t>
  </si>
  <si>
    <t>EMI.ktCO2.HU.Tr.Rail.Freight.Diesel</t>
  </si>
  <si>
    <t>EMI.ktCO2.HU.Tr.Rail.Freight.Elc</t>
  </si>
  <si>
    <t>EMIint.gCO2_per_km.HU.Tr.Rail</t>
  </si>
  <si>
    <t>EMIint.gCO2_per_km.HU.Tr.Rail.Passenger</t>
  </si>
  <si>
    <t>EMIint.gCO2_per_km.HU.Tr.Rail.Passenger.MTU</t>
  </si>
  <si>
    <t>EMIint.gCO2_per_km.HU.Tr.Rail.Passenger.CPT</t>
  </si>
  <si>
    <t>EMIint.gCO2_per_km.HU.Tr.Rail.Passenger.CPT.Diesel</t>
  </si>
  <si>
    <t>EMIint.gCO2_per_km.HU.Tr.Rail.Passenger.CPT.Elc</t>
  </si>
  <si>
    <t>EMIint.gCO2_per_km.HU.Tr.Rail.Passenger.HST</t>
  </si>
  <si>
    <t>EMIint.gCO2_per_km.HU.Tr.Rail.Freight</t>
  </si>
  <si>
    <t>EMIint.gCO2_per_km.HU.Tr.Rail.Freight.Diesel</t>
  </si>
  <si>
    <t>EMIint.gCO2_per_km.HU.Tr.Rail.Freight.Elc</t>
  </si>
  <si>
    <t>EMIint.gCO2_per_pkm.HU.Tr.Rail.Passenger.CPT.Diesel</t>
  </si>
  <si>
    <t>EMIint.gCO2_per_pkm.HU.Tr.Rail.Passenger.CPT.Elc</t>
  </si>
  <si>
    <t>EMIint.gCO2_per_tkm.HU.Tr.Rail.Freight.Diesel</t>
  </si>
  <si>
    <t>EMIint.gCO2_per_tkm.HU.Tr.Rail.Freight.Elc</t>
  </si>
  <si>
    <t>EMI_per_vehicle.tCO2.HU.Tr.Rail</t>
  </si>
  <si>
    <t>EMI_per_vehicle.tCO2.HU.Tr.Rail.Passenger</t>
  </si>
  <si>
    <t>EMI_per_vehicle.tCO2.HU.Tr.Rail.Passenger.MTU</t>
  </si>
  <si>
    <t>EMI_per_vehicle.tCO2.HU.Tr.Rail.Passenger.CPT</t>
  </si>
  <si>
    <t>EMI_per_vehicle.tCO2.HU.Tr.Rail.Passenger.CPT.Diesel</t>
  </si>
  <si>
    <t>EMI_per_vehicle.tCO2.HU.Tr.Rail.Passenger.CPT.Elc</t>
  </si>
  <si>
    <t>EMI_per_vehicle.tCO2.HU.Tr.Rail.Passenger.HST</t>
  </si>
  <si>
    <t>EMI_per_vehicle.tCO2.HU.Tr.Rail.Freight</t>
  </si>
  <si>
    <t>EMI_per_vehicle.tCO2.HU.Tr.Rail.Freight.Diesel</t>
  </si>
  <si>
    <t>EMI_per_vehicle.tCO2.HU.Tr.Rail.Freight.Elc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</si>
</sst>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45432.785752314812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81242.072668740118</v>
      </c>
      <c r="C4" s="28">
        <f t="shared" si="0"/>
        <v>81263.894407079497</v>
      </c>
      <c r="D4" s="28">
        <f t="shared" si="0"/>
        <v>81992.594111794009</v>
      </c>
      <c r="E4" s="28">
        <f t="shared" si="0"/>
        <v>83164.560999634428</v>
      </c>
      <c r="F4" s="28">
        <f t="shared" si="0"/>
        <v>85044.586385260991</v>
      </c>
      <c r="G4" s="28">
        <f t="shared" si="0"/>
        <v>85754.727420354538</v>
      </c>
      <c r="H4" s="28">
        <f t="shared" si="0"/>
        <v>88706.619373374881</v>
      </c>
      <c r="I4" s="28">
        <f t="shared" si="0"/>
        <v>88941.194547007064</v>
      </c>
      <c r="J4" s="28">
        <f t="shared" si="0"/>
        <v>88756.423776717871</v>
      </c>
      <c r="K4" s="28">
        <f t="shared" si="0"/>
        <v>87224.039503419044</v>
      </c>
      <c r="L4" s="28">
        <f t="shared" si="0"/>
        <v>85209.891677674997</v>
      </c>
      <c r="M4" s="28">
        <f t="shared" si="0"/>
        <v>85366.106848942261</v>
      </c>
      <c r="N4" s="28">
        <f t="shared" si="0"/>
        <v>85015.276900258323</v>
      </c>
      <c r="O4" s="28">
        <f t="shared" si="0"/>
        <v>85176.995666206596</v>
      </c>
      <c r="P4" s="28">
        <f t="shared" si="0"/>
        <v>87348.890428514773</v>
      </c>
      <c r="Q4" s="28">
        <f t="shared" si="0"/>
        <v>90453.234234784395</v>
      </c>
      <c r="R4" s="28">
        <f t="shared" ref="R4:V4" si="1">R5+R9+R13</f>
        <v>93938.091168290615</v>
      </c>
      <c r="S4" s="28">
        <f t="shared" si="1"/>
        <v>99699.643793944415</v>
      </c>
      <c r="T4" s="28">
        <f t="shared" si="1"/>
        <v>105248.71454816678</v>
      </c>
      <c r="U4" s="28">
        <f t="shared" si="1"/>
        <v>109696.7391581307</v>
      </c>
      <c r="V4" s="28">
        <f t="shared" si="1"/>
        <v>86611.615368971194</v>
      </c>
      <c r="W4" s="28">
        <f t="shared" ref="W4" si="2">W5+W9+W13</f>
        <v>90825.331226379698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65193.702118356399</v>
      </c>
      <c r="C5" s="137">
        <f t="shared" si="3"/>
        <v>65084.49126739068</v>
      </c>
      <c r="D5" s="137">
        <f t="shared" si="3"/>
        <v>65499.209666767027</v>
      </c>
      <c r="E5" s="137">
        <f t="shared" si="3"/>
        <v>66543.365973298351</v>
      </c>
      <c r="F5" s="137">
        <f t="shared" si="3"/>
        <v>67695.612275086969</v>
      </c>
      <c r="G5" s="137">
        <f t="shared" si="3"/>
        <v>67625.715777416248</v>
      </c>
      <c r="H5" s="137">
        <f t="shared" si="3"/>
        <v>70645.624829271823</v>
      </c>
      <c r="I5" s="137">
        <f t="shared" si="3"/>
        <v>71509.586913511564</v>
      </c>
      <c r="J5" s="137">
        <f t="shared" si="3"/>
        <v>72095.122032512372</v>
      </c>
      <c r="K5" s="137">
        <f t="shared" si="3"/>
        <v>71123.600901338519</v>
      </c>
      <c r="L5" s="137">
        <f t="shared" si="3"/>
        <v>69493.747839134478</v>
      </c>
      <c r="M5" s="137">
        <f t="shared" si="3"/>
        <v>69159.684183059086</v>
      </c>
      <c r="N5" s="137">
        <f t="shared" si="3"/>
        <v>69329.698160851316</v>
      </c>
      <c r="O5" s="137">
        <f t="shared" si="3"/>
        <v>69453.385856853987</v>
      </c>
      <c r="P5" s="137">
        <f t="shared" si="3"/>
        <v>70846.858773933505</v>
      </c>
      <c r="Q5" s="137">
        <f t="shared" si="3"/>
        <v>72914.728165758643</v>
      </c>
      <c r="R5" s="137">
        <f t="shared" ref="R5:V5" si="4">R6+R7+R8</f>
        <v>74994.987718796285</v>
      </c>
      <c r="S5" s="137">
        <f t="shared" si="4"/>
        <v>79480.498329813825</v>
      </c>
      <c r="T5" s="137">
        <f t="shared" si="4"/>
        <v>83367.775881056412</v>
      </c>
      <c r="U5" s="137">
        <f t="shared" si="4"/>
        <v>86379.523498495808</v>
      </c>
      <c r="V5" s="137">
        <f t="shared" si="4"/>
        <v>76867.505749793563</v>
      </c>
      <c r="W5" s="137">
        <f t="shared" ref="W5" si="5">W6+W7+W8</f>
        <v>80117.079958476825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281.7021183563993</v>
      </c>
      <c r="C6" s="102">
        <f>TrRoad_act!C$5</f>
        <v>287.4912673906814</v>
      </c>
      <c r="D6" s="102">
        <f>TrRoad_act!D$5</f>
        <v>301.20966676701914</v>
      </c>
      <c r="E6" s="102">
        <f>TrRoad_act!E$5</f>
        <v>319.36597329835098</v>
      </c>
      <c r="F6" s="102">
        <f>TrRoad_act!F$5</f>
        <v>351.61227508697016</v>
      </c>
      <c r="G6" s="102">
        <f>TrRoad_act!G$5</f>
        <v>377.71577741625606</v>
      </c>
      <c r="H6" s="102">
        <f>TrRoad_act!H$5</f>
        <v>400.62482927181412</v>
      </c>
      <c r="I6" s="102">
        <f>TrRoad_act!I$5</f>
        <v>418.58691351157313</v>
      </c>
      <c r="J6" s="102">
        <f>TrRoad_act!J$5</f>
        <v>436.12203251236866</v>
      </c>
      <c r="K6" s="102">
        <f>TrRoad_act!K$5</f>
        <v>437.60090133852071</v>
      </c>
      <c r="L6" s="102">
        <f>TrRoad_act!L$5</f>
        <v>437.74783913448505</v>
      </c>
      <c r="M6" s="102">
        <f>TrRoad_act!M$5</f>
        <v>452.97958305907258</v>
      </c>
      <c r="N6" s="102">
        <f>TrRoad_act!N$5</f>
        <v>462.34776085132393</v>
      </c>
      <c r="O6" s="102">
        <f>TrRoad_act!O$5</f>
        <v>479.55045685397363</v>
      </c>
      <c r="P6" s="102">
        <f>TrRoad_act!P$5</f>
        <v>493.79387393351038</v>
      </c>
      <c r="Q6" s="102">
        <f>TrRoad_act!Q$5</f>
        <v>498.55166575863853</v>
      </c>
      <c r="R6" s="102">
        <f>TrRoad_act!R$5</f>
        <v>496.05421879628278</v>
      </c>
      <c r="S6" s="102">
        <f>TrRoad_act!S$5</f>
        <v>524.28352981383102</v>
      </c>
      <c r="T6" s="102">
        <f>TrRoad_act!T$5</f>
        <v>553.27588105642462</v>
      </c>
      <c r="U6" s="102">
        <f>TrRoad_act!U$5</f>
        <v>567.26949849582786</v>
      </c>
      <c r="V6" s="102">
        <f>TrRoad_act!V$5</f>
        <v>522.50574979356088</v>
      </c>
      <c r="W6" s="102">
        <f>TrRoad_act!W$5</f>
        <v>532.31795847682099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46180</v>
      </c>
      <c r="C7" s="102">
        <f>TrRoad_act!C$6</f>
        <v>46180</v>
      </c>
      <c r="D7" s="102">
        <f>TrRoad_act!D$6</f>
        <v>46300</v>
      </c>
      <c r="E7" s="102">
        <f>TrRoad_act!E$6</f>
        <v>47517</v>
      </c>
      <c r="F7" s="102">
        <f>TrRoad_act!F$6</f>
        <v>49121</v>
      </c>
      <c r="G7" s="102">
        <f>TrRoad_act!G$6</f>
        <v>49403</v>
      </c>
      <c r="H7" s="102">
        <f>TrRoad_act!H$6</f>
        <v>52315</v>
      </c>
      <c r="I7" s="102">
        <f>TrRoad_act!I$6</f>
        <v>53946</v>
      </c>
      <c r="J7" s="102">
        <f>TrRoad_act!J$6</f>
        <v>54005</v>
      </c>
      <c r="K7" s="102">
        <f>TrRoad_act!K$6</f>
        <v>54396</v>
      </c>
      <c r="L7" s="102">
        <f>TrRoad_act!L$6</f>
        <v>52595</v>
      </c>
      <c r="M7" s="102">
        <f>TrRoad_act!M$6</f>
        <v>52251.000000000007</v>
      </c>
      <c r="N7" s="102">
        <f>TrRoad_act!N$6</f>
        <v>51793</v>
      </c>
      <c r="O7" s="102">
        <f>TrRoad_act!O$6</f>
        <v>51824.000000000007</v>
      </c>
      <c r="P7" s="102">
        <f>TrRoad_act!P$6</f>
        <v>52723</v>
      </c>
      <c r="Q7" s="102">
        <f>TrRoad_act!Q$6</f>
        <v>54603</v>
      </c>
      <c r="R7" s="102">
        <f>TrRoad_act!R$6</f>
        <v>56676.999999999993</v>
      </c>
      <c r="S7" s="102">
        <f>TrRoad_act!S$6</f>
        <v>60645</v>
      </c>
      <c r="T7" s="102">
        <f>TrRoad_act!T$6</f>
        <v>63946.999999999993</v>
      </c>
      <c r="U7" s="102">
        <f>TrRoad_act!U$6</f>
        <v>67033.999999999985</v>
      </c>
      <c r="V7" s="102">
        <f>TrRoad_act!V$6</f>
        <v>63921</v>
      </c>
      <c r="W7" s="102">
        <f>TrRoad_act!W$6</f>
        <v>67394.762000000002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18732</v>
      </c>
      <c r="C8" s="102">
        <f>TrRoad_act!C$13</f>
        <v>18617</v>
      </c>
      <c r="D8" s="102">
        <f>TrRoad_act!D$13</f>
        <v>18898.000000000004</v>
      </c>
      <c r="E8" s="102">
        <f>TrRoad_act!E$13</f>
        <v>18706.999999999996</v>
      </c>
      <c r="F8" s="102">
        <f>TrRoad_act!F$13</f>
        <v>18223</v>
      </c>
      <c r="G8" s="102">
        <f>TrRoad_act!G$13</f>
        <v>17845</v>
      </c>
      <c r="H8" s="102">
        <f>TrRoad_act!H$13</f>
        <v>17930.000000000007</v>
      </c>
      <c r="I8" s="102">
        <f>TrRoad_act!I$13</f>
        <v>17145</v>
      </c>
      <c r="J8" s="102">
        <f>TrRoad_act!J$13</f>
        <v>17654</v>
      </c>
      <c r="K8" s="102">
        <f>TrRoad_act!K$13</f>
        <v>16290</v>
      </c>
      <c r="L8" s="102">
        <f>TrRoad_act!L$13</f>
        <v>16461</v>
      </c>
      <c r="M8" s="102">
        <f>TrRoad_act!M$13</f>
        <v>16455.704600000001</v>
      </c>
      <c r="N8" s="102">
        <f>TrRoad_act!N$13</f>
        <v>17074.350399999999</v>
      </c>
      <c r="O8" s="102">
        <f>TrRoad_act!O$13</f>
        <v>17149.8354</v>
      </c>
      <c r="P8" s="102">
        <f>TrRoad_act!P$13</f>
        <v>17630.064900000001</v>
      </c>
      <c r="Q8" s="102">
        <f>TrRoad_act!Q$13</f>
        <v>17813.176500000001</v>
      </c>
      <c r="R8" s="102">
        <f>TrRoad_act!R$13</f>
        <v>17821.933500000003</v>
      </c>
      <c r="S8" s="102">
        <f>TrRoad_act!S$13</f>
        <v>18311.214800000002</v>
      </c>
      <c r="T8" s="102">
        <f>TrRoad_act!T$13</f>
        <v>18867.5</v>
      </c>
      <c r="U8" s="102">
        <f>TrRoad_act!U$13</f>
        <v>18778.254000000001</v>
      </c>
      <c r="V8" s="102">
        <f>TrRoad_act!V$13</f>
        <v>12424</v>
      </c>
      <c r="W8" s="102">
        <f>TrRoad_act!W$13</f>
        <v>12190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12263</v>
      </c>
      <c r="C9" s="110">
        <f t="shared" si="6"/>
        <v>12576</v>
      </c>
      <c r="D9" s="110">
        <f t="shared" si="6"/>
        <v>13067</v>
      </c>
      <c r="E9" s="110">
        <f t="shared" si="6"/>
        <v>12802</v>
      </c>
      <c r="F9" s="110">
        <f t="shared" si="6"/>
        <v>12585</v>
      </c>
      <c r="G9" s="110">
        <f t="shared" si="6"/>
        <v>12204</v>
      </c>
      <c r="H9" s="110">
        <f t="shared" si="6"/>
        <v>11941</v>
      </c>
      <c r="I9" s="110">
        <f t="shared" si="6"/>
        <v>11032</v>
      </c>
      <c r="J9" s="110">
        <f t="shared" si="6"/>
        <v>10627</v>
      </c>
      <c r="K9" s="110">
        <f t="shared" si="6"/>
        <v>10596</v>
      </c>
      <c r="L9" s="110">
        <f t="shared" si="6"/>
        <v>10170</v>
      </c>
      <c r="M9" s="110">
        <f t="shared" si="6"/>
        <v>10266.913</v>
      </c>
      <c r="N9" s="110">
        <f t="shared" si="6"/>
        <v>10305.0787</v>
      </c>
      <c r="O9" s="110">
        <f t="shared" si="6"/>
        <v>10352.4894</v>
      </c>
      <c r="P9" s="110">
        <f t="shared" si="6"/>
        <v>10557.4692</v>
      </c>
      <c r="Q9" s="110">
        <f t="shared" si="6"/>
        <v>10555.669399999999</v>
      </c>
      <c r="R9" s="110">
        <f t="shared" ref="R9:V9" si="7">R10+R11+R12</f>
        <v>10715.704099999999</v>
      </c>
      <c r="S9" s="110">
        <f t="shared" si="7"/>
        <v>10776.6327</v>
      </c>
      <c r="T9" s="110">
        <f t="shared" si="7"/>
        <v>10477.700000000001</v>
      </c>
      <c r="U9" s="110">
        <f t="shared" si="7"/>
        <v>10559.330399999999</v>
      </c>
      <c r="V9" s="110">
        <f t="shared" si="7"/>
        <v>6699</v>
      </c>
      <c r="W9" s="110">
        <f t="shared" ref="W9" si="8">W10+W11+W12</f>
        <v>7201.7847000000002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2570.0000000000005</v>
      </c>
      <c r="C10" s="102">
        <f>TrRail_act!C$5</f>
        <v>2570.9999999999995</v>
      </c>
      <c r="D10" s="102">
        <f>TrRail_act!D$5</f>
        <v>2536</v>
      </c>
      <c r="E10" s="102">
        <f>TrRail_act!E$5</f>
        <v>2516</v>
      </c>
      <c r="F10" s="102">
        <f>TrRail_act!F$5</f>
        <v>2420</v>
      </c>
      <c r="G10" s="102">
        <f>TrRail_act!G$5</f>
        <v>2352.9999999999995</v>
      </c>
      <c r="H10" s="102">
        <f>TrRail_act!H$5</f>
        <v>2283</v>
      </c>
      <c r="I10" s="102">
        <f>TrRail_act!I$5</f>
        <v>2280.0000000000005</v>
      </c>
      <c r="J10" s="102">
        <f>TrRail_act!J$5</f>
        <v>2335</v>
      </c>
      <c r="K10" s="102">
        <f>TrRail_act!K$5</f>
        <v>2524</v>
      </c>
      <c r="L10" s="102">
        <f>TrRail_act!L$5</f>
        <v>2489</v>
      </c>
      <c r="M10" s="102">
        <f>TrRail_act!M$5</f>
        <v>2503.913</v>
      </c>
      <c r="N10" s="102">
        <f>TrRail_act!N$5</f>
        <v>2499.0787</v>
      </c>
      <c r="O10" s="102">
        <f>TrRail_act!O$5</f>
        <v>2510.4893999999999</v>
      </c>
      <c r="P10" s="102">
        <f>TrRail_act!P$5</f>
        <v>2819.4692000000005</v>
      </c>
      <c r="Q10" s="102">
        <f>TrRail_act!Q$5</f>
        <v>2946.6693999999998</v>
      </c>
      <c r="R10" s="102">
        <f>TrRail_act!R$5</f>
        <v>3062.7040999999999</v>
      </c>
      <c r="S10" s="102">
        <f>TrRail_act!S$5</f>
        <v>3045.6327000000001</v>
      </c>
      <c r="T10" s="102">
        <f>TrRail_act!T$5</f>
        <v>2707.7</v>
      </c>
      <c r="U10" s="102">
        <f>TrRail_act!U$5</f>
        <v>2807.3303999999998</v>
      </c>
      <c r="V10" s="102">
        <f>TrRail_act!V$5</f>
        <v>1845</v>
      </c>
      <c r="W10" s="102">
        <f>TrRail_act!W$5</f>
        <v>1766.7846999999999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9693</v>
      </c>
      <c r="C11" s="102">
        <f>TrRail_act!C$6</f>
        <v>10005</v>
      </c>
      <c r="D11" s="102">
        <f>TrRail_act!D$6</f>
        <v>10531</v>
      </c>
      <c r="E11" s="102">
        <f>TrRail_act!E$6</f>
        <v>10286</v>
      </c>
      <c r="F11" s="102">
        <f>TrRail_act!F$6</f>
        <v>10165</v>
      </c>
      <c r="G11" s="102">
        <f>TrRail_act!G$6</f>
        <v>9851</v>
      </c>
      <c r="H11" s="102">
        <f>TrRail_act!H$6</f>
        <v>9658</v>
      </c>
      <c r="I11" s="102">
        <f>TrRail_act!I$6</f>
        <v>8752</v>
      </c>
      <c r="J11" s="102">
        <f>TrRail_act!J$6</f>
        <v>8292</v>
      </c>
      <c r="K11" s="102">
        <f>TrRail_act!K$6</f>
        <v>8071.9999999999991</v>
      </c>
      <c r="L11" s="102">
        <f>TrRail_act!L$6</f>
        <v>7681</v>
      </c>
      <c r="M11" s="102">
        <f>TrRail_act!M$6</f>
        <v>7763</v>
      </c>
      <c r="N11" s="102">
        <f>TrRail_act!N$6</f>
        <v>7806</v>
      </c>
      <c r="O11" s="102">
        <f>TrRail_act!O$6</f>
        <v>7842</v>
      </c>
      <c r="P11" s="102">
        <f>TrRail_act!P$6</f>
        <v>7738</v>
      </c>
      <c r="Q11" s="102">
        <f>TrRail_act!Q$6</f>
        <v>7609</v>
      </c>
      <c r="R11" s="102">
        <f>TrRail_act!R$6</f>
        <v>7653</v>
      </c>
      <c r="S11" s="102">
        <f>TrRail_act!S$6</f>
        <v>7731</v>
      </c>
      <c r="T11" s="102">
        <f>TrRail_act!T$6</f>
        <v>7770</v>
      </c>
      <c r="U11" s="102">
        <f>TrRail_act!U$6</f>
        <v>7752</v>
      </c>
      <c r="V11" s="102">
        <f>TrRail_act!V$6</f>
        <v>4854</v>
      </c>
      <c r="W11" s="102">
        <f>TrRail_act!W$6</f>
        <v>5435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3785.3705503837191</v>
      </c>
      <c r="C13" s="110">
        <f t="shared" ref="C13:V13" si="10">C14+C15+C16</f>
        <v>3603.4031396888204</v>
      </c>
      <c r="D13" s="110">
        <f t="shared" si="10"/>
        <v>3426.384445026978</v>
      </c>
      <c r="E13" s="110">
        <f t="shared" si="10"/>
        <v>3819.1950263360741</v>
      </c>
      <c r="F13" s="110">
        <f t="shared" si="10"/>
        <v>4763.9741101740156</v>
      </c>
      <c r="G13" s="110">
        <f t="shared" si="10"/>
        <v>5925.011642938297</v>
      </c>
      <c r="H13" s="110">
        <f t="shared" si="10"/>
        <v>6119.9945441030577</v>
      </c>
      <c r="I13" s="110">
        <f t="shared" si="10"/>
        <v>6399.607633495496</v>
      </c>
      <c r="J13" s="110">
        <f t="shared" si="10"/>
        <v>6034.3017442055007</v>
      </c>
      <c r="K13" s="110">
        <f t="shared" si="10"/>
        <v>5504.4386020805196</v>
      </c>
      <c r="L13" s="110">
        <f t="shared" si="10"/>
        <v>5546.1438385405199</v>
      </c>
      <c r="M13" s="110">
        <f t="shared" si="10"/>
        <v>5939.5096658831699</v>
      </c>
      <c r="N13" s="110">
        <f t="shared" si="10"/>
        <v>5380.5000394070012</v>
      </c>
      <c r="O13" s="110">
        <f t="shared" si="10"/>
        <v>5371.1204093525976</v>
      </c>
      <c r="P13" s="110">
        <f t="shared" si="10"/>
        <v>5944.5624545812607</v>
      </c>
      <c r="Q13" s="110">
        <f t="shared" si="10"/>
        <v>6982.8366690257544</v>
      </c>
      <c r="R13" s="110">
        <f t="shared" si="10"/>
        <v>8227.3993494943243</v>
      </c>
      <c r="S13" s="110">
        <f t="shared" si="10"/>
        <v>9442.5127641305899</v>
      </c>
      <c r="T13" s="110">
        <f t="shared" si="10"/>
        <v>11403.238667110374</v>
      </c>
      <c r="U13" s="110">
        <f t="shared" si="10"/>
        <v>12757.885259634888</v>
      </c>
      <c r="V13" s="110">
        <f t="shared" si="10"/>
        <v>3045.109619177636</v>
      </c>
      <c r="W13" s="110">
        <f t="shared" ref="W13" si="11">W14+W15+W16</f>
        <v>3506.4665679028631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2262.5352441667478</v>
      </c>
      <c r="C15" s="102">
        <f>TrAvia_act!C$6</f>
        <v>2167.1084803901404</v>
      </c>
      <c r="D15" s="102">
        <f>TrAvia_act!D$6</f>
        <v>2191.8497393673756</v>
      </c>
      <c r="E15" s="102">
        <f>TrAvia_act!E$6</f>
        <v>2304.2159295081306</v>
      </c>
      <c r="F15" s="102">
        <f>TrAvia_act!F$6</f>
        <v>2987.8153759019938</v>
      </c>
      <c r="G15" s="102">
        <f>TrAvia_act!G$6</f>
        <v>4050.1430346945572</v>
      </c>
      <c r="H15" s="102">
        <f>TrAvia_act!H$6</f>
        <v>4095.3734873432822</v>
      </c>
      <c r="I15" s="102">
        <f>TrAvia_act!I$6</f>
        <v>4062.5968738477309</v>
      </c>
      <c r="J15" s="102">
        <f>TrAvia_act!J$6</f>
        <v>3897.8815434319599</v>
      </c>
      <c r="K15" s="102">
        <f>TrAvia_act!K$6</f>
        <v>3748.8463501585361</v>
      </c>
      <c r="L15" s="102">
        <f>TrAvia_act!L$6</f>
        <v>3740.5530702344727</v>
      </c>
      <c r="M15" s="102">
        <f>TrAvia_act!M$6</f>
        <v>4067.659815896488</v>
      </c>
      <c r="N15" s="102">
        <f>TrAvia_act!N$6</f>
        <v>4312.4370151818339</v>
      </c>
      <c r="O15" s="102">
        <f>TrAvia_act!O$6</f>
        <v>4126.3628334096247</v>
      </c>
      <c r="P15" s="102">
        <f>TrAvia_act!P$6</f>
        <v>4306.0650322198017</v>
      </c>
      <c r="Q15" s="102">
        <f>TrAvia_act!Q$6</f>
        <v>4890.2339740623993</v>
      </c>
      <c r="R15" s="102">
        <f>TrAvia_act!R$6</f>
        <v>5946.468793748023</v>
      </c>
      <c r="S15" s="102">
        <f>TrAvia_act!S$6</f>
        <v>6612.2506791958258</v>
      </c>
      <c r="T15" s="102">
        <f>TrAvia_act!T$6</f>
        <v>7257.5301765320892</v>
      </c>
      <c r="U15" s="102">
        <f>TrAvia_act!U$6</f>
        <v>7923.3806547696195</v>
      </c>
      <c r="V15" s="102">
        <f>TrAvia_act!V$6</f>
        <v>2054.3000143958011</v>
      </c>
      <c r="W15" s="102">
        <f>TrAvia_act!W$6</f>
        <v>2221.1089040134548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1522.8353062169715</v>
      </c>
      <c r="C16" s="102">
        <f>TrAvia_act!C$7</f>
        <v>1436.2946592986798</v>
      </c>
      <c r="D16" s="102">
        <f>TrAvia_act!D$7</f>
        <v>1234.5347056596024</v>
      </c>
      <c r="E16" s="102">
        <f>TrAvia_act!E$7</f>
        <v>1514.9790968279435</v>
      </c>
      <c r="F16" s="102">
        <f>TrAvia_act!F$7</f>
        <v>1776.158734272022</v>
      </c>
      <c r="G16" s="102">
        <f>TrAvia_act!G$7</f>
        <v>1874.86860824374</v>
      </c>
      <c r="H16" s="102">
        <f>TrAvia_act!H$7</f>
        <v>2024.6210567597757</v>
      </c>
      <c r="I16" s="102">
        <f>TrAvia_act!I$7</f>
        <v>2337.0107596477651</v>
      </c>
      <c r="J16" s="102">
        <f>TrAvia_act!J$7</f>
        <v>2136.4202007735407</v>
      </c>
      <c r="K16" s="102">
        <f>TrAvia_act!K$7</f>
        <v>1755.5922519219837</v>
      </c>
      <c r="L16" s="102">
        <f>TrAvia_act!L$7</f>
        <v>1805.5907683060473</v>
      </c>
      <c r="M16" s="102">
        <f>TrAvia_act!M$7</f>
        <v>1871.8498499866814</v>
      </c>
      <c r="N16" s="102">
        <f>TrAvia_act!N$7</f>
        <v>1068.0630242251671</v>
      </c>
      <c r="O16" s="102">
        <f>TrAvia_act!O$7</f>
        <v>1244.7575759429726</v>
      </c>
      <c r="P16" s="102">
        <f>TrAvia_act!P$7</f>
        <v>1638.497422361459</v>
      </c>
      <c r="Q16" s="102">
        <f>TrAvia_act!Q$7</f>
        <v>2092.6026949633551</v>
      </c>
      <c r="R16" s="102">
        <f>TrAvia_act!R$7</f>
        <v>2280.9305557463003</v>
      </c>
      <c r="S16" s="102">
        <f>TrAvia_act!S$7</f>
        <v>2830.2620849347645</v>
      </c>
      <c r="T16" s="102">
        <f>TrAvia_act!T$7</f>
        <v>4145.7084905782858</v>
      </c>
      <c r="U16" s="102">
        <f>TrAvia_act!U$7</f>
        <v>4834.5046048652694</v>
      </c>
      <c r="V16" s="102">
        <f>TrAvia_act!V$7</f>
        <v>990.80960478183499</v>
      </c>
      <c r="W16" s="102">
        <f>TrAvia_act!W$7</f>
        <v>1285.3576638894081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30200.604328638674</v>
      </c>
      <c r="C17" s="28">
        <f t="shared" si="12"/>
        <v>29573.558044288031</v>
      </c>
      <c r="D17" s="28">
        <f t="shared" si="12"/>
        <v>29850.661649356854</v>
      </c>
      <c r="E17" s="28">
        <f t="shared" si="12"/>
        <v>29445.881996220127</v>
      </c>
      <c r="F17" s="28">
        <f t="shared" si="12"/>
        <v>32730.164250044021</v>
      </c>
      <c r="G17" s="28">
        <f t="shared" si="12"/>
        <v>34102.10971334183</v>
      </c>
      <c r="H17" s="28">
        <f t="shared" si="12"/>
        <v>37061.678303690314</v>
      </c>
      <c r="I17" s="28">
        <f t="shared" si="12"/>
        <v>39152.246014996883</v>
      </c>
      <c r="J17" s="28">
        <f t="shared" si="12"/>
        <v>40131.128370770042</v>
      </c>
      <c r="K17" s="28">
        <f t="shared" si="12"/>
        <v>32765.549117402144</v>
      </c>
      <c r="L17" s="28">
        <f t="shared" si="12"/>
        <v>33299.502411190435</v>
      </c>
      <c r="M17" s="28">
        <f t="shared" si="12"/>
        <v>32860.487630227872</v>
      </c>
      <c r="N17" s="28">
        <f t="shared" si="12"/>
        <v>31826.144686265008</v>
      </c>
      <c r="O17" s="28">
        <f t="shared" si="12"/>
        <v>32597.334706589718</v>
      </c>
      <c r="P17" s="28">
        <f t="shared" si="12"/>
        <v>33640.259250868112</v>
      </c>
      <c r="Q17" s="28">
        <f t="shared" si="12"/>
        <v>34909.029390311262</v>
      </c>
      <c r="R17" s="28">
        <f t="shared" ref="R17:V17" si="13">R18+R21+R22+R26</f>
        <v>37859.669190794673</v>
      </c>
      <c r="S17" s="28">
        <f t="shared" si="13"/>
        <v>42254.95947520146</v>
      </c>
      <c r="T17" s="28">
        <f t="shared" si="13"/>
        <v>40358.299095391099</v>
      </c>
      <c r="U17" s="28">
        <f t="shared" si="13"/>
        <v>41692.907184189236</v>
      </c>
      <c r="V17" s="28">
        <f t="shared" si="13"/>
        <v>41097.202510054449</v>
      </c>
      <c r="W17" s="28">
        <f t="shared" ref="W17" si="14">W18+W21+W22+W26</f>
        <v>44301.202022083562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20474.156292410626</v>
      </c>
      <c r="C18" s="137">
        <f t="shared" si="15"/>
        <v>20749.331626876683</v>
      </c>
      <c r="D18" s="137">
        <f t="shared" si="15"/>
        <v>20613.290011574914</v>
      </c>
      <c r="E18" s="137">
        <f t="shared" si="15"/>
        <v>20284.857686431395</v>
      </c>
      <c r="F18" s="137">
        <f t="shared" si="15"/>
        <v>22051.011463515617</v>
      </c>
      <c r="G18" s="137">
        <f t="shared" si="15"/>
        <v>22869.073172007749</v>
      </c>
      <c r="H18" s="137">
        <f t="shared" si="15"/>
        <v>24918.040742067344</v>
      </c>
      <c r="I18" s="137">
        <f t="shared" si="15"/>
        <v>26855.865907063791</v>
      </c>
      <c r="J18" s="137">
        <f t="shared" si="15"/>
        <v>27974.607515529791</v>
      </c>
      <c r="K18" s="137">
        <f t="shared" si="15"/>
        <v>23232.718278993147</v>
      </c>
      <c r="L18" s="137">
        <f t="shared" si="15"/>
        <v>22064.177934023774</v>
      </c>
      <c r="M18" s="137">
        <f t="shared" si="15"/>
        <v>21875.85534238004</v>
      </c>
      <c r="N18" s="137">
        <f t="shared" si="15"/>
        <v>20590.595153604154</v>
      </c>
      <c r="O18" s="137">
        <f t="shared" si="15"/>
        <v>20926.890289292045</v>
      </c>
      <c r="P18" s="137">
        <f t="shared" si="15"/>
        <v>21647.439525334277</v>
      </c>
      <c r="Q18" s="137">
        <f t="shared" si="15"/>
        <v>23047.179324238856</v>
      </c>
      <c r="R18" s="137">
        <f t="shared" ref="R18:V18" si="16">R19+R20</f>
        <v>25320.319989745614</v>
      </c>
      <c r="S18" s="137">
        <f t="shared" si="16"/>
        <v>26868.760205056875</v>
      </c>
      <c r="T18" s="137">
        <f t="shared" si="16"/>
        <v>28118.027991524439</v>
      </c>
      <c r="U18" s="137">
        <f t="shared" si="16"/>
        <v>28892.238014235772</v>
      </c>
      <c r="V18" s="137">
        <f t="shared" si="16"/>
        <v>27465.083600754053</v>
      </c>
      <c r="W18" s="137">
        <f t="shared" ref="W18" si="17">W19+W20</f>
        <v>31028.897040845251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523.78482513075301</v>
      </c>
      <c r="C19" s="102">
        <f>TrRoad_act!C$20</f>
        <v>553.33820668021826</v>
      </c>
      <c r="D19" s="102">
        <f>TrRoad_act!D$20</f>
        <v>593.51412656103673</v>
      </c>
      <c r="E19" s="102">
        <f>TrRoad_act!E$20</f>
        <v>618.64423588087016</v>
      </c>
      <c r="F19" s="102">
        <f>TrRoad_act!F$20</f>
        <v>632.03884282103184</v>
      </c>
      <c r="G19" s="102">
        <f>TrRoad_act!G$20</f>
        <v>660.2507964378575</v>
      </c>
      <c r="H19" s="102">
        <f>TrRoad_act!H$20</f>
        <v>663.38503261475398</v>
      </c>
      <c r="I19" s="102">
        <f>TrRoad_act!I$20</f>
        <v>698.35886315977439</v>
      </c>
      <c r="J19" s="102">
        <f>TrRoad_act!J$20</f>
        <v>768.81278679004038</v>
      </c>
      <c r="K19" s="102">
        <f>TrRoad_act!K$20</f>
        <v>889.38373229544391</v>
      </c>
      <c r="L19" s="102">
        <f>TrRoad_act!L$20</f>
        <v>760.28219346305104</v>
      </c>
      <c r="M19" s="102">
        <f>TrRoad_act!M$20</f>
        <v>802.39312667225772</v>
      </c>
      <c r="N19" s="102">
        <f>TrRoad_act!N$20</f>
        <v>831.58659950019353</v>
      </c>
      <c r="O19" s="102">
        <f>TrRoad_act!O$20</f>
        <v>877.83825397057274</v>
      </c>
      <c r="P19" s="102">
        <f>TrRoad_act!P$20</f>
        <v>902.73867454819833</v>
      </c>
      <c r="Q19" s="102">
        <f>TrRoad_act!Q$20</f>
        <v>937.13402726638856</v>
      </c>
      <c r="R19" s="102">
        <f>TrRoad_act!R$20</f>
        <v>993.90732114543232</v>
      </c>
      <c r="S19" s="102">
        <f>TrRoad_act!S$20</f>
        <v>1054.6559303379111</v>
      </c>
      <c r="T19" s="102">
        <f>TrRoad_act!T$20</f>
        <v>1122.0279915244387</v>
      </c>
      <c r="U19" s="102">
        <f>TrRoad_act!U$20</f>
        <v>1196.238014235774</v>
      </c>
      <c r="V19" s="102">
        <f>TrRoad_act!V$20</f>
        <v>1248.0836007540524</v>
      </c>
      <c r="W19" s="102">
        <f>TrRoad_act!W$20</f>
        <v>1302.8970408452499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19950.371467279874</v>
      </c>
      <c r="C20" s="102">
        <f>TrRoad_act!C$26</f>
        <v>20195.993420196464</v>
      </c>
      <c r="D20" s="102">
        <f>TrRoad_act!D$26</f>
        <v>20019.775885013878</v>
      </c>
      <c r="E20" s="102">
        <f>TrRoad_act!E$26</f>
        <v>19666.213450550524</v>
      </c>
      <c r="F20" s="102">
        <f>TrRoad_act!F$26</f>
        <v>21418.972620694585</v>
      </c>
      <c r="G20" s="102">
        <f>TrRoad_act!G$26</f>
        <v>22208.822375569893</v>
      </c>
      <c r="H20" s="102">
        <f>TrRoad_act!H$26</f>
        <v>24254.655709452589</v>
      </c>
      <c r="I20" s="102">
        <f>TrRoad_act!I$26</f>
        <v>26157.507043904017</v>
      </c>
      <c r="J20" s="102">
        <f>TrRoad_act!J$26</f>
        <v>27205.794728739751</v>
      </c>
      <c r="K20" s="102">
        <f>TrRoad_act!K$26</f>
        <v>22343.334546697704</v>
      </c>
      <c r="L20" s="102">
        <f>TrRoad_act!L$26</f>
        <v>21303.895740560722</v>
      </c>
      <c r="M20" s="102">
        <f>TrRoad_act!M$26</f>
        <v>21073.462215707783</v>
      </c>
      <c r="N20" s="102">
        <f>TrRoad_act!N$26</f>
        <v>19759.008554103959</v>
      </c>
      <c r="O20" s="102">
        <f>TrRoad_act!O$26</f>
        <v>20049.052035321471</v>
      </c>
      <c r="P20" s="102">
        <f>TrRoad_act!P$26</f>
        <v>20744.700850786077</v>
      </c>
      <c r="Q20" s="102">
        <f>TrRoad_act!Q$26</f>
        <v>22110.045296972468</v>
      </c>
      <c r="R20" s="102">
        <f>TrRoad_act!R$26</f>
        <v>24326.412668600184</v>
      </c>
      <c r="S20" s="102">
        <f>TrRoad_act!S$26</f>
        <v>25814.104274718964</v>
      </c>
      <c r="T20" s="102">
        <f>TrRoad_act!T$26</f>
        <v>26996</v>
      </c>
      <c r="U20" s="102">
        <f>TrRoad_act!U$26</f>
        <v>27696</v>
      </c>
      <c r="V20" s="102">
        <f>TrRoad_act!V$26</f>
        <v>26217</v>
      </c>
      <c r="W20" s="102">
        <f>TrRoad_act!W$26</f>
        <v>29726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8800</v>
      </c>
      <c r="C21" s="110">
        <f>TrRail_act!C$10</f>
        <v>7700</v>
      </c>
      <c r="D21" s="110">
        <f>TrRail_act!D$10</f>
        <v>7800</v>
      </c>
      <c r="E21" s="110">
        <f>TrRail_act!E$10</f>
        <v>7614</v>
      </c>
      <c r="F21" s="110">
        <f>TrRail_act!F$10</f>
        <v>8749</v>
      </c>
      <c r="G21" s="110">
        <f>TrRail_act!G$10</f>
        <v>9090</v>
      </c>
      <c r="H21" s="110">
        <f>TrRail_act!H$10</f>
        <v>10167</v>
      </c>
      <c r="I21" s="110">
        <f>TrRail_act!I$10</f>
        <v>10048</v>
      </c>
      <c r="J21" s="110">
        <f>TrRail_act!J$10</f>
        <v>9874</v>
      </c>
      <c r="K21" s="110">
        <f>TrRail_act!K$10</f>
        <v>7673</v>
      </c>
      <c r="L21" s="110">
        <f>TrRail_act!L$10</f>
        <v>8809</v>
      </c>
      <c r="M21" s="110">
        <f>TrRail_act!M$10</f>
        <v>9118</v>
      </c>
      <c r="N21" s="110">
        <f>TrRail_act!N$10</f>
        <v>9230</v>
      </c>
      <c r="O21" s="110">
        <f>TrRail_act!O$10</f>
        <v>9722</v>
      </c>
      <c r="P21" s="110">
        <f>TrRail_act!P$10</f>
        <v>10158</v>
      </c>
      <c r="Q21" s="110">
        <f>TrRail_act!Q$10</f>
        <v>10010</v>
      </c>
      <c r="R21" s="110">
        <f>TrRail_act!R$10</f>
        <v>10528</v>
      </c>
      <c r="S21" s="110">
        <f>TrRail_act!S$10</f>
        <v>13356</v>
      </c>
      <c r="T21" s="110">
        <f>TrRail_act!T$10</f>
        <v>10584</v>
      </c>
      <c r="U21" s="110">
        <f>TrRail_act!U$10</f>
        <v>10625</v>
      </c>
      <c r="V21" s="110">
        <f>TrRail_act!V$10</f>
        <v>11595</v>
      </c>
      <c r="W21" s="110">
        <f>TrRail_act!W$10</f>
        <v>11347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35.448036228047059</v>
      </c>
      <c r="C22" s="110">
        <f t="shared" ref="C22:V22" si="19">C23+C24+C25</f>
        <v>37.226417411349288</v>
      </c>
      <c r="D22" s="110">
        <f t="shared" si="19"/>
        <v>30.371637781938528</v>
      </c>
      <c r="E22" s="110">
        <f t="shared" si="19"/>
        <v>30.024309788733021</v>
      </c>
      <c r="F22" s="110">
        <f t="shared" si="19"/>
        <v>26.152786528403368</v>
      </c>
      <c r="G22" s="110">
        <f t="shared" si="19"/>
        <v>33.036541334081036</v>
      </c>
      <c r="H22" s="110">
        <f t="shared" si="19"/>
        <v>63.637561622970978</v>
      </c>
      <c r="I22" s="110">
        <f t="shared" si="19"/>
        <v>36.380107933089846</v>
      </c>
      <c r="J22" s="110">
        <f t="shared" si="19"/>
        <v>32.520855240251748</v>
      </c>
      <c r="K22" s="110">
        <f t="shared" si="19"/>
        <v>28.830838408997792</v>
      </c>
      <c r="L22" s="110">
        <f t="shared" si="19"/>
        <v>33.324477166662625</v>
      </c>
      <c r="M22" s="110">
        <f t="shared" si="19"/>
        <v>26.632287847831112</v>
      </c>
      <c r="N22" s="110">
        <f t="shared" si="19"/>
        <v>23.549532660854581</v>
      </c>
      <c r="O22" s="110">
        <f t="shared" si="19"/>
        <v>24.444417297671546</v>
      </c>
      <c r="P22" s="110">
        <f t="shared" si="19"/>
        <v>23.819725533839719</v>
      </c>
      <c r="Q22" s="110">
        <f t="shared" si="19"/>
        <v>27.850066072406634</v>
      </c>
      <c r="R22" s="110">
        <f t="shared" si="19"/>
        <v>36.349201049058436</v>
      </c>
      <c r="S22" s="110">
        <f t="shared" si="19"/>
        <v>38.199270144584574</v>
      </c>
      <c r="T22" s="110">
        <f t="shared" si="19"/>
        <v>48.271103866658109</v>
      </c>
      <c r="U22" s="110">
        <f t="shared" si="19"/>
        <v>55.669169953462003</v>
      </c>
      <c r="V22" s="110">
        <f t="shared" si="19"/>
        <v>39.11890930040218</v>
      </c>
      <c r="W22" s="110">
        <f t="shared" ref="W22" si="20">W23+W24+W25</f>
        <v>52.304981238308329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13.375258316307605</v>
      </c>
      <c r="C24" s="102">
        <f>TrAvia_act!C$10</f>
        <v>15.741525152006796</v>
      </c>
      <c r="D24" s="102">
        <f>TrAvia_act!D$10</f>
        <v>19.998761264456569</v>
      </c>
      <c r="E24" s="102">
        <f>TrAvia_act!E$10</f>
        <v>18.943923537889464</v>
      </c>
      <c r="F24" s="102">
        <f>TrAvia_act!F$10</f>
        <v>17.885482308516654</v>
      </c>
      <c r="G24" s="102">
        <f>TrAvia_act!G$10</f>
        <v>23.861406983842244</v>
      </c>
      <c r="H24" s="102">
        <f>TrAvia_act!H$10</f>
        <v>15.260179516897541</v>
      </c>
      <c r="I24" s="102">
        <f>TrAvia_act!I$10</f>
        <v>16.551607854262411</v>
      </c>
      <c r="J24" s="102">
        <f>TrAvia_act!J$10</f>
        <v>11.918021265762924</v>
      </c>
      <c r="K24" s="102">
        <f>TrAvia_act!K$10</f>
        <v>11.250403949099269</v>
      </c>
      <c r="L24" s="102">
        <f>TrAvia_act!L$10</f>
        <v>11.644438957023931</v>
      </c>
      <c r="M24" s="102">
        <f>TrAvia_act!M$10</f>
        <v>16.126871510707257</v>
      </c>
      <c r="N24" s="102">
        <f>TrAvia_act!N$10</f>
        <v>16.700256322658451</v>
      </c>
      <c r="O24" s="102">
        <f>TrAvia_act!O$10</f>
        <v>16.623648425408447</v>
      </c>
      <c r="P24" s="102">
        <f>TrAvia_act!P$10</f>
        <v>17.624860956440354</v>
      </c>
      <c r="Q24" s="102">
        <f>TrAvia_act!Q$10</f>
        <v>19.618930882575576</v>
      </c>
      <c r="R24" s="102">
        <f>TrAvia_act!R$10</f>
        <v>21.193979308157143</v>
      </c>
      <c r="S24" s="102">
        <f>TrAvia_act!S$10</f>
        <v>21.202765761407864</v>
      </c>
      <c r="T24" s="102">
        <f>TrAvia_act!T$10</f>
        <v>23.621027715419661</v>
      </c>
      <c r="U24" s="102">
        <f>TrAvia_act!U$10</f>
        <v>21.88598548680498</v>
      </c>
      <c r="V24" s="102">
        <f>TrAvia_act!V$10</f>
        <v>18.33209078200678</v>
      </c>
      <c r="W24" s="102">
        <f>TrAvia_act!W$10</f>
        <v>21.836527252311583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22.07277791173945</v>
      </c>
      <c r="C25" s="102">
        <f>TrAvia_act!C$11</f>
        <v>21.484892259342494</v>
      </c>
      <c r="D25" s="102">
        <f>TrAvia_act!D$11</f>
        <v>10.372876517481959</v>
      </c>
      <c r="E25" s="102">
        <f>TrAvia_act!E$11</f>
        <v>11.080386250843556</v>
      </c>
      <c r="F25" s="102">
        <f>TrAvia_act!F$11</f>
        <v>8.2673042198867162</v>
      </c>
      <c r="G25" s="102">
        <f>TrAvia_act!G$11</f>
        <v>9.1751343502387908</v>
      </c>
      <c r="H25" s="102">
        <f>TrAvia_act!H$11</f>
        <v>48.377382106073441</v>
      </c>
      <c r="I25" s="102">
        <f>TrAvia_act!I$11</f>
        <v>19.828500078827439</v>
      </c>
      <c r="J25" s="102">
        <f>TrAvia_act!J$11</f>
        <v>20.602833974488824</v>
      </c>
      <c r="K25" s="102">
        <f>TrAvia_act!K$11</f>
        <v>17.580434459898523</v>
      </c>
      <c r="L25" s="102">
        <f>TrAvia_act!L$11</f>
        <v>21.680038209638692</v>
      </c>
      <c r="M25" s="102">
        <f>TrAvia_act!M$11</f>
        <v>10.505416337123854</v>
      </c>
      <c r="N25" s="102">
        <f>TrAvia_act!N$11</f>
        <v>6.8492763381961295</v>
      </c>
      <c r="O25" s="102">
        <f>TrAvia_act!O$11</f>
        <v>7.8207688722630984</v>
      </c>
      <c r="P25" s="102">
        <f>TrAvia_act!P$11</f>
        <v>6.1948645773993656</v>
      </c>
      <c r="Q25" s="102">
        <f>TrAvia_act!Q$11</f>
        <v>8.2311351898310559</v>
      </c>
      <c r="R25" s="102">
        <f>TrAvia_act!R$11</f>
        <v>15.155221740901297</v>
      </c>
      <c r="S25" s="102">
        <f>TrAvia_act!S$11</f>
        <v>16.996504383176706</v>
      </c>
      <c r="T25" s="102">
        <f>TrAvia_act!T$11</f>
        <v>24.650076151238451</v>
      </c>
      <c r="U25" s="102">
        <f>TrAvia_act!U$11</f>
        <v>33.783184466657019</v>
      </c>
      <c r="V25" s="102">
        <f>TrAvia_act!V$11</f>
        <v>20.7868185183954</v>
      </c>
      <c r="W25" s="102">
        <f>TrAvia_act!W$11</f>
        <v>30.468453985996742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891</v>
      </c>
      <c r="C26" s="110">
        <f t="shared" si="21"/>
        <v>1087</v>
      </c>
      <c r="D26" s="110">
        <f t="shared" si="21"/>
        <v>1407</v>
      </c>
      <c r="E26" s="110">
        <f t="shared" si="21"/>
        <v>1517</v>
      </c>
      <c r="F26" s="110">
        <f t="shared" si="21"/>
        <v>1904</v>
      </c>
      <c r="G26" s="110">
        <f t="shared" si="21"/>
        <v>2110</v>
      </c>
      <c r="H26" s="110">
        <f t="shared" si="21"/>
        <v>1913</v>
      </c>
      <c r="I26" s="110">
        <f t="shared" si="21"/>
        <v>2212</v>
      </c>
      <c r="J26" s="110">
        <f t="shared" si="21"/>
        <v>2250</v>
      </c>
      <c r="K26" s="110">
        <f t="shared" si="21"/>
        <v>1831</v>
      </c>
      <c r="L26" s="110">
        <f t="shared" si="21"/>
        <v>2393</v>
      </c>
      <c r="M26" s="110">
        <f t="shared" si="21"/>
        <v>1840</v>
      </c>
      <c r="N26" s="110">
        <f t="shared" si="21"/>
        <v>1982</v>
      </c>
      <c r="O26" s="110">
        <f t="shared" si="21"/>
        <v>1924</v>
      </c>
      <c r="P26" s="110">
        <f t="shared" si="21"/>
        <v>1811</v>
      </c>
      <c r="Q26" s="110">
        <f t="shared" si="21"/>
        <v>1824</v>
      </c>
      <c r="R26" s="110">
        <f t="shared" ref="R26:V26" si="22">R27+R28</f>
        <v>1975</v>
      </c>
      <c r="S26" s="110">
        <f t="shared" si="22"/>
        <v>1992</v>
      </c>
      <c r="T26" s="110">
        <f t="shared" si="22"/>
        <v>1608</v>
      </c>
      <c r="U26" s="110">
        <f t="shared" si="22"/>
        <v>2120</v>
      </c>
      <c r="V26" s="110">
        <f t="shared" si="22"/>
        <v>1998</v>
      </c>
      <c r="W26" s="110">
        <f t="shared" ref="W26" si="23">W27+W28</f>
        <v>1873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891</v>
      </c>
      <c r="C28" s="169">
        <f>TrNavi_act!C5</f>
        <v>1087</v>
      </c>
      <c r="D28" s="169">
        <f>TrNavi_act!D5</f>
        <v>1407</v>
      </c>
      <c r="E28" s="169">
        <f>TrNavi_act!E5</f>
        <v>1517</v>
      </c>
      <c r="F28" s="169">
        <f>TrNavi_act!F5</f>
        <v>1904</v>
      </c>
      <c r="G28" s="169">
        <f>TrNavi_act!G5</f>
        <v>2110</v>
      </c>
      <c r="H28" s="169">
        <f>TrNavi_act!H5</f>
        <v>1913</v>
      </c>
      <c r="I28" s="169">
        <f>TrNavi_act!I5</f>
        <v>2212</v>
      </c>
      <c r="J28" s="169">
        <f>TrNavi_act!J5</f>
        <v>2250</v>
      </c>
      <c r="K28" s="169">
        <f>TrNavi_act!K5</f>
        <v>1831</v>
      </c>
      <c r="L28" s="169">
        <f>TrNavi_act!L5</f>
        <v>2393</v>
      </c>
      <c r="M28" s="169">
        <f>TrNavi_act!M5</f>
        <v>1840</v>
      </c>
      <c r="N28" s="169">
        <f>TrNavi_act!N5</f>
        <v>1982</v>
      </c>
      <c r="O28" s="169">
        <f>TrNavi_act!O5</f>
        <v>1924</v>
      </c>
      <c r="P28" s="169">
        <f>TrNavi_act!P5</f>
        <v>1811</v>
      </c>
      <c r="Q28" s="169">
        <f>TrNavi_act!Q5</f>
        <v>1824</v>
      </c>
      <c r="R28" s="169">
        <f>TrNavi_act!R5</f>
        <v>1975</v>
      </c>
      <c r="S28" s="169">
        <f>TrNavi_act!S5</f>
        <v>1992</v>
      </c>
      <c r="T28" s="169">
        <f>TrNavi_act!T5</f>
        <v>1608</v>
      </c>
      <c r="U28" s="169">
        <f>TrNavi_act!U5</f>
        <v>2120</v>
      </c>
      <c r="V28" s="169">
        <f>TrNavi_act!V5</f>
        <v>1998</v>
      </c>
      <c r="W28" s="169">
        <f>TrNavi_act!W5</f>
        <v>1873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0</v>
      </c>
      <c r="J29" s="28">
        <f t="shared" si="24"/>
        <v>0</v>
      </c>
      <c r="K29" s="28">
        <f t="shared" si="24"/>
        <v>0</v>
      </c>
      <c r="L29" s="28">
        <f t="shared" si="24"/>
        <v>0</v>
      </c>
      <c r="M29" s="28">
        <f t="shared" si="24"/>
        <v>0</v>
      </c>
      <c r="N29" s="28">
        <f t="shared" si="24"/>
        <v>0</v>
      </c>
      <c r="O29" s="28">
        <f t="shared" si="24"/>
        <v>0</v>
      </c>
      <c r="P29" s="28">
        <f t="shared" si="24"/>
        <v>0</v>
      </c>
      <c r="Q29" s="28">
        <f t="shared" si="24"/>
        <v>0</v>
      </c>
      <c r="R29" s="28">
        <f t="shared" si="24"/>
        <v>0</v>
      </c>
      <c r="S29" s="28">
        <f t="shared" si="24"/>
        <v>0</v>
      </c>
      <c r="T29" s="28">
        <f t="shared" si="24"/>
        <v>0</v>
      </c>
      <c r="U29" s="28">
        <f t="shared" si="24"/>
        <v>0</v>
      </c>
      <c r="V29" s="28">
        <f t="shared" si="24"/>
        <v>0</v>
      </c>
      <c r="W29" s="28">
        <f t="shared" si="24"/>
        <v>0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0</v>
      </c>
      <c r="J30" s="102">
        <f>MBunk_act!J$4</f>
        <v>0</v>
      </c>
      <c r="K30" s="102">
        <f>MBunk_act!K$4</f>
        <v>0</v>
      </c>
      <c r="L30" s="102">
        <f>MBunk_act!L$4</f>
        <v>0</v>
      </c>
      <c r="M30" s="102">
        <f>MBunk_act!M$4</f>
        <v>0</v>
      </c>
      <c r="N30" s="102">
        <f>MBunk_act!N$4</f>
        <v>0</v>
      </c>
      <c r="O30" s="102">
        <f>MBunk_act!O$4</f>
        <v>0</v>
      </c>
      <c r="P30" s="102">
        <f>MBunk_act!P$4</f>
        <v>0</v>
      </c>
      <c r="Q30" s="102">
        <f>MBunk_act!Q$4</f>
        <v>0</v>
      </c>
      <c r="R30" s="102">
        <f>MBunk_act!R$4</f>
        <v>0</v>
      </c>
      <c r="S30" s="102">
        <f>MBunk_act!S$4</f>
        <v>0</v>
      </c>
      <c r="T30" s="102">
        <f>MBunk_act!T$4</f>
        <v>0</v>
      </c>
      <c r="U30" s="102">
        <f>MBunk_act!U$4</f>
        <v>0</v>
      </c>
      <c r="V30" s="102">
        <f>MBunk_act!V$4</f>
        <v>0</v>
      </c>
      <c r="W30" s="102">
        <f>MBunk_act!W$4</f>
        <v>0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0</v>
      </c>
      <c r="J31" s="86">
        <f>MBunk_act!J$5</f>
        <v>0</v>
      </c>
      <c r="K31" s="86">
        <f>MBunk_act!K$5</f>
        <v>0</v>
      </c>
      <c r="L31" s="86">
        <f>MBunk_act!L$5</f>
        <v>0</v>
      </c>
      <c r="M31" s="86">
        <f>MBunk_act!M$5</f>
        <v>0</v>
      </c>
      <c r="N31" s="86">
        <f>MBunk_act!N$5</f>
        <v>0</v>
      </c>
      <c r="O31" s="86">
        <f>MBunk_act!O$5</f>
        <v>0</v>
      </c>
      <c r="P31" s="86">
        <f>MBunk_act!P$5</f>
        <v>0</v>
      </c>
      <c r="Q31" s="86">
        <f>MBunk_act!Q$5</f>
        <v>0</v>
      </c>
      <c r="R31" s="86">
        <f>MBunk_act!R$5</f>
        <v>0</v>
      </c>
      <c r="S31" s="86">
        <f>MBunk_act!S$5</f>
        <v>0</v>
      </c>
      <c r="T31" s="86">
        <f>MBunk_act!T$5</f>
        <v>0</v>
      </c>
      <c r="U31" s="86">
        <f>MBunk_act!U$5</f>
        <v>0</v>
      </c>
      <c r="V31" s="86">
        <f>MBunk_act!V$5</f>
        <v>0</v>
      </c>
      <c r="W31" s="86">
        <f>MBunk_act!W$5</f>
        <v>0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2288.2776000963859</v>
      </c>
      <c r="C34" s="28">
        <f t="shared" si="25"/>
        <v>2370.4182303377315</v>
      </c>
      <c r="D34" s="28">
        <f t="shared" si="25"/>
        <v>2450.7147973106189</v>
      </c>
      <c r="E34" s="28">
        <f t="shared" si="25"/>
        <v>2547.3842580023306</v>
      </c>
      <c r="F34" s="28">
        <f t="shared" si="25"/>
        <v>2633.6744199121717</v>
      </c>
      <c r="G34" s="28">
        <f t="shared" si="25"/>
        <v>2692.1148862068799</v>
      </c>
      <c r="H34" s="28">
        <f t="shared" si="25"/>
        <v>2868.2674317762194</v>
      </c>
      <c r="I34" s="28">
        <f t="shared" si="25"/>
        <v>2945.5429654452491</v>
      </c>
      <c r="J34" s="28">
        <f t="shared" si="25"/>
        <v>2979.5323030437994</v>
      </c>
      <c r="K34" s="28">
        <f t="shared" si="25"/>
        <v>2993.3946845106511</v>
      </c>
      <c r="L34" s="28">
        <f t="shared" si="25"/>
        <v>2770.5724551429921</v>
      </c>
      <c r="M34" s="28">
        <f t="shared" si="25"/>
        <v>2625.3044278578759</v>
      </c>
      <c r="N34" s="28">
        <f t="shared" si="25"/>
        <v>2555.2288128367913</v>
      </c>
      <c r="O34" s="28">
        <f t="shared" si="25"/>
        <v>2473.2620688780835</v>
      </c>
      <c r="P34" s="28">
        <f t="shared" si="25"/>
        <v>2631.3413578831796</v>
      </c>
      <c r="Q34" s="28">
        <f t="shared" si="25"/>
        <v>2768.7387272476153</v>
      </c>
      <c r="R34" s="28">
        <f t="shared" ref="R34:V34" si="26">R35+R39+R43</f>
        <v>2891.3036508686391</v>
      </c>
      <c r="S34" s="28">
        <f t="shared" si="26"/>
        <v>3047.5580792951696</v>
      </c>
      <c r="T34" s="28">
        <f t="shared" si="26"/>
        <v>3280.8025172194334</v>
      </c>
      <c r="U34" s="28">
        <f t="shared" si="26"/>
        <v>3537.9399732202801</v>
      </c>
      <c r="V34" s="28">
        <f t="shared" si="26"/>
        <v>3028.636772199824</v>
      </c>
      <c r="W34" s="28">
        <f t="shared" ref="W34" si="27">W35+W39+W43</f>
        <v>3253.8217036744727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1917.4381785425333</v>
      </c>
      <c r="C35" s="137">
        <f t="shared" si="28"/>
        <v>2014.828615993313</v>
      </c>
      <c r="D35" s="137">
        <f t="shared" si="28"/>
        <v>2112.6913668832221</v>
      </c>
      <c r="E35" s="137">
        <f t="shared" si="28"/>
        <v>2211.300190283926</v>
      </c>
      <c r="F35" s="137">
        <f t="shared" si="28"/>
        <v>2282.3062200008335</v>
      </c>
      <c r="G35" s="137">
        <f t="shared" si="28"/>
        <v>2312.9797032890847</v>
      </c>
      <c r="H35" s="137">
        <f t="shared" si="28"/>
        <v>2483.1546963335177</v>
      </c>
      <c r="I35" s="137">
        <f t="shared" si="28"/>
        <v>2582.2929728566746</v>
      </c>
      <c r="J35" s="137">
        <f t="shared" si="28"/>
        <v>2589.6513556906057</v>
      </c>
      <c r="K35" s="137">
        <f t="shared" si="28"/>
        <v>2630.1038388974116</v>
      </c>
      <c r="L35" s="137">
        <f t="shared" si="28"/>
        <v>2425.5730869034505</v>
      </c>
      <c r="M35" s="137">
        <f t="shared" si="28"/>
        <v>2282.273139779054</v>
      </c>
      <c r="N35" s="137">
        <f t="shared" si="28"/>
        <v>2292.6591719629396</v>
      </c>
      <c r="O35" s="137">
        <f t="shared" si="28"/>
        <v>2194.0843730931647</v>
      </c>
      <c r="P35" s="137">
        <f t="shared" si="28"/>
        <v>2347.3158799720827</v>
      </c>
      <c r="Q35" s="137">
        <f t="shared" si="28"/>
        <v>2486.3303799977866</v>
      </c>
      <c r="R35" s="137">
        <f t="shared" ref="R35:V35" si="29">R36+R37+R38</f>
        <v>2591.7011059964052</v>
      </c>
      <c r="S35" s="137">
        <f t="shared" si="29"/>
        <v>2719.3299803365267</v>
      </c>
      <c r="T35" s="137">
        <f t="shared" si="29"/>
        <v>2898.716199011852</v>
      </c>
      <c r="U35" s="137">
        <f t="shared" si="29"/>
        <v>3156.79966096204</v>
      </c>
      <c r="V35" s="137">
        <f t="shared" si="29"/>
        <v>2841.0635483818278</v>
      </c>
      <c r="W35" s="137">
        <f t="shared" ref="W35" si="30">W36+W37+W38</f>
        <v>3036.7744057909918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11.815843089607139</v>
      </c>
      <c r="C36" s="102">
        <f>TrRoad_ene!C$19</f>
        <v>12.012348534340456</v>
      </c>
      <c r="D36" s="102">
        <f>TrRoad_ene!D$19</f>
        <v>12.482863564717071</v>
      </c>
      <c r="E36" s="102">
        <f>TrRoad_ene!E$19</f>
        <v>13.104568103375778</v>
      </c>
      <c r="F36" s="102">
        <f>TrRoad_ene!F$19</f>
        <v>14.221312624462936</v>
      </c>
      <c r="G36" s="102">
        <f>TrRoad_ene!G$19</f>
        <v>15.141632866280794</v>
      </c>
      <c r="H36" s="102">
        <f>TrRoad_ene!H$19</f>
        <v>15.903120143927358</v>
      </c>
      <c r="I36" s="102">
        <f>TrRoad_ene!I$19</f>
        <v>16.417095721423276</v>
      </c>
      <c r="J36" s="102">
        <f>TrRoad_ene!J$19</f>
        <v>16.887626844992781</v>
      </c>
      <c r="K36" s="102">
        <f>TrRoad_ene!K$19</f>
        <v>16.753449857407794</v>
      </c>
      <c r="L36" s="102">
        <f>TrRoad_ene!L$19</f>
        <v>16.622550355917159</v>
      </c>
      <c r="M36" s="102">
        <f>TrRoad_ene!M$19</f>
        <v>17.109188962620394</v>
      </c>
      <c r="N36" s="102">
        <f>TrRoad_ene!N$19</f>
        <v>17.40458924859109</v>
      </c>
      <c r="O36" s="102">
        <f>TrRoad_ene!O$19</f>
        <v>17.922140716325167</v>
      </c>
      <c r="P36" s="102">
        <f>TrRoad_ene!P$19</f>
        <v>18.224327974849661</v>
      </c>
      <c r="Q36" s="102">
        <f>TrRoad_ene!Q$19</f>
        <v>18.118308333219879</v>
      </c>
      <c r="R36" s="102">
        <f>TrRoad_ene!R$19</f>
        <v>17.81981797794921</v>
      </c>
      <c r="S36" s="102">
        <f>TrRoad_ene!S$19</f>
        <v>18.654274466081542</v>
      </c>
      <c r="T36" s="102">
        <f>TrRoad_ene!T$19</f>
        <v>19.530344073558989</v>
      </c>
      <c r="U36" s="102">
        <f>TrRoad_ene!U$19</f>
        <v>19.874959684659302</v>
      </c>
      <c r="V36" s="102">
        <f>TrRoad_ene!V$19</f>
        <v>18.221029279914806</v>
      </c>
      <c r="W36" s="102">
        <f>TrRoad_ene!W$19</f>
        <v>17.566855489230093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1522.5252820607639</v>
      </c>
      <c r="C37" s="102">
        <f>TrRoad_ene!C$21</f>
        <v>1618.5641545963406</v>
      </c>
      <c r="D37" s="102">
        <f>TrRoad_ene!D$21</f>
        <v>1703.2228526004385</v>
      </c>
      <c r="E37" s="102">
        <f>TrRoad_ene!E$21</f>
        <v>1800.429628083597</v>
      </c>
      <c r="F37" s="102">
        <f>TrRoad_ene!F$21</f>
        <v>1884.5516762323482</v>
      </c>
      <c r="G37" s="102">
        <f>TrRoad_ene!G$21</f>
        <v>1902.8827761322568</v>
      </c>
      <c r="H37" s="102">
        <f>TrRoad_ene!H$21</f>
        <v>2039.9835902088953</v>
      </c>
      <c r="I37" s="102">
        <f>TrRoad_ene!I$21</f>
        <v>2144.3206519704413</v>
      </c>
      <c r="J37" s="102">
        <f>TrRoad_ene!J$21</f>
        <v>2179.9940428769892</v>
      </c>
      <c r="K37" s="102">
        <f>TrRoad_ene!K$21</f>
        <v>2234.9289207109118</v>
      </c>
      <c r="L37" s="102">
        <f>TrRoad_ene!L$21</f>
        <v>2027.281959928813</v>
      </c>
      <c r="M37" s="102">
        <f>TrRoad_ene!M$21</f>
        <v>1907.8643511810058</v>
      </c>
      <c r="N37" s="102">
        <f>TrRoad_ene!N$21</f>
        <v>1925.6142239224546</v>
      </c>
      <c r="O37" s="102">
        <f>TrRoad_ene!O$21</f>
        <v>1839.0441475356376</v>
      </c>
      <c r="P37" s="102">
        <f>TrRoad_ene!P$21</f>
        <v>1955.3568379702481</v>
      </c>
      <c r="Q37" s="102">
        <f>TrRoad_ene!Q$21</f>
        <v>2076.2122926527773</v>
      </c>
      <c r="R37" s="102">
        <f>TrRoad_ene!R$21</f>
        <v>2181.4731719426591</v>
      </c>
      <c r="S37" s="102">
        <f>TrRoad_ene!S$21</f>
        <v>2287.3197109750504</v>
      </c>
      <c r="T37" s="102">
        <f>TrRoad_ene!T$21</f>
        <v>2454.1756686700783</v>
      </c>
      <c r="U37" s="102">
        <f>TrRoad_ene!U$21</f>
        <v>2712.0553830110271</v>
      </c>
      <c r="V37" s="102">
        <f>TrRoad_ene!V$21</f>
        <v>2478.2442785034341</v>
      </c>
      <c r="W37" s="102">
        <f>TrRoad_ene!W$21</f>
        <v>2643.3593640089889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383.09705339216225</v>
      </c>
      <c r="C38" s="102">
        <f>TrRoad_ene!C$33</f>
        <v>384.25211286263192</v>
      </c>
      <c r="D38" s="102">
        <f>TrRoad_ene!D$33</f>
        <v>396.98565071806684</v>
      </c>
      <c r="E38" s="102">
        <f>TrRoad_ene!E$33</f>
        <v>397.76599409695297</v>
      </c>
      <c r="F38" s="102">
        <f>TrRoad_ene!F$33</f>
        <v>383.5332311440223</v>
      </c>
      <c r="G38" s="102">
        <f>TrRoad_ene!G$33</f>
        <v>394.95529429054722</v>
      </c>
      <c r="H38" s="102">
        <f>TrRoad_ene!H$33</f>
        <v>427.26798598069502</v>
      </c>
      <c r="I38" s="102">
        <f>TrRoad_ene!I$33</f>
        <v>421.55522516480988</v>
      </c>
      <c r="J38" s="102">
        <f>TrRoad_ene!J$33</f>
        <v>392.76968596862372</v>
      </c>
      <c r="K38" s="102">
        <f>TrRoad_ene!K$33</f>
        <v>378.42146832909202</v>
      </c>
      <c r="L38" s="102">
        <f>TrRoad_ene!L$33</f>
        <v>381.66857661872046</v>
      </c>
      <c r="M38" s="102">
        <f>TrRoad_ene!M$33</f>
        <v>357.29959963542768</v>
      </c>
      <c r="N38" s="102">
        <f>TrRoad_ene!N$33</f>
        <v>349.64035879189396</v>
      </c>
      <c r="O38" s="102">
        <f>TrRoad_ene!O$33</f>
        <v>337.11808484120183</v>
      </c>
      <c r="P38" s="102">
        <f>TrRoad_ene!P$33</f>
        <v>373.73471402698482</v>
      </c>
      <c r="Q38" s="102">
        <f>TrRoad_ene!Q$33</f>
        <v>391.99977901178943</v>
      </c>
      <c r="R38" s="102">
        <f>TrRoad_ene!R$33</f>
        <v>392.40811607579684</v>
      </c>
      <c r="S38" s="102">
        <f>TrRoad_ene!S$33</f>
        <v>413.35599489539487</v>
      </c>
      <c r="T38" s="102">
        <f>TrRoad_ene!T$33</f>
        <v>425.0101862682148</v>
      </c>
      <c r="U38" s="102">
        <f>TrRoad_ene!U$33</f>
        <v>424.86931826635373</v>
      </c>
      <c r="V38" s="102">
        <f>TrRoad_ene!V$33</f>
        <v>344.59824059847875</v>
      </c>
      <c r="W38" s="102">
        <f>TrRoad_ene!W$33</f>
        <v>375.84818629277288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135.2610149985945</v>
      </c>
      <c r="C39" s="110">
        <f t="shared" si="31"/>
        <v>135.06895167188347</v>
      </c>
      <c r="D39" s="110">
        <f t="shared" si="31"/>
        <v>130.8633748352951</v>
      </c>
      <c r="E39" s="110">
        <f t="shared" si="31"/>
        <v>132.05494239660806</v>
      </c>
      <c r="F39" s="110">
        <f t="shared" si="31"/>
        <v>129.58368328724964</v>
      </c>
      <c r="G39" s="110">
        <f t="shared" si="31"/>
        <v>123.34902351063032</v>
      </c>
      <c r="H39" s="110">
        <f t="shared" si="31"/>
        <v>126.07626657991055</v>
      </c>
      <c r="I39" s="110">
        <f t="shared" si="31"/>
        <v>124.85329408609557</v>
      </c>
      <c r="J39" s="110">
        <f t="shared" si="31"/>
        <v>124.25730656222895</v>
      </c>
      <c r="K39" s="110">
        <f t="shared" si="31"/>
        <v>136.23258654936734</v>
      </c>
      <c r="L39" s="110">
        <f t="shared" si="31"/>
        <v>119.42891904960136</v>
      </c>
      <c r="M39" s="110">
        <f t="shared" si="31"/>
        <v>114.57621301427415</v>
      </c>
      <c r="N39" s="110">
        <f t="shared" si="31"/>
        <v>99.507696632459528</v>
      </c>
      <c r="O39" s="110">
        <f t="shared" si="31"/>
        <v>120.35784309149625</v>
      </c>
      <c r="P39" s="110">
        <f t="shared" si="31"/>
        <v>116.54768876583496</v>
      </c>
      <c r="Q39" s="110">
        <f t="shared" si="31"/>
        <v>110.9974945056056</v>
      </c>
      <c r="R39" s="110">
        <f t="shared" ref="R39:V39" si="32">R40+R41+R42</f>
        <v>110.71038034851989</v>
      </c>
      <c r="S39" s="110">
        <f t="shared" si="32"/>
        <v>108.70522461649641</v>
      </c>
      <c r="T39" s="110">
        <f t="shared" si="32"/>
        <v>110.48507080426009</v>
      </c>
      <c r="U39" s="110">
        <f t="shared" si="32"/>
        <v>105.90111147227491</v>
      </c>
      <c r="V39" s="110">
        <f t="shared" si="32"/>
        <v>91.444561379120543</v>
      </c>
      <c r="W39" s="110">
        <f t="shared" ref="W39" si="33">W40+W41+W42</f>
        <v>101.43391637381283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14.070378891446671</v>
      </c>
      <c r="C40" s="102">
        <f>TrRail_ene!C$12</f>
        <v>14.02152958333307</v>
      </c>
      <c r="D40" s="102">
        <f>TrRail_ene!D$12</f>
        <v>13.322674033084578</v>
      </c>
      <c r="E40" s="102">
        <f>TrRail_ene!E$12</f>
        <v>13.546095335273041</v>
      </c>
      <c r="F40" s="102">
        <f>TrRail_ene!F$12</f>
        <v>13.002890903682754</v>
      </c>
      <c r="G40" s="102">
        <f>TrRail_ene!G$12</f>
        <v>12.446375659661355</v>
      </c>
      <c r="H40" s="102">
        <f>TrRail_ene!H$12</f>
        <v>12.093735038587241</v>
      </c>
      <c r="I40" s="102">
        <f>TrRail_ene!I$12</f>
        <v>12.587566590118209</v>
      </c>
      <c r="J40" s="102">
        <f>TrRail_ene!J$12</f>
        <v>12.887612999539291</v>
      </c>
      <c r="K40" s="102">
        <f>TrRail_ene!K$12</f>
        <v>13.977429690279092</v>
      </c>
      <c r="L40" s="102">
        <f>TrRail_ene!L$12</f>
        <v>13.585002560928077</v>
      </c>
      <c r="M40" s="102">
        <f>TrRail_ene!M$12</f>
        <v>13.714357272266286</v>
      </c>
      <c r="N40" s="102">
        <f>TrRail_ene!N$12</f>
        <v>13.447665884615954</v>
      </c>
      <c r="O40" s="102">
        <f>TrRail_ene!O$12</f>
        <v>13.207936180772981</v>
      </c>
      <c r="P40" s="102">
        <f>TrRail_ene!P$12</f>
        <v>14.925855623042981</v>
      </c>
      <c r="Q40" s="102">
        <f>TrRail_ene!Q$12</f>
        <v>16.793287950007194</v>
      </c>
      <c r="R40" s="102">
        <f>TrRail_ene!R$12</f>
        <v>17.225981422963322</v>
      </c>
      <c r="S40" s="102">
        <f>TrRail_ene!S$12</f>
        <v>16.623818017577651</v>
      </c>
      <c r="T40" s="102">
        <f>TrRail_ene!T$12</f>
        <v>13.87384766123205</v>
      </c>
      <c r="U40" s="102">
        <f>TrRail_ene!U$12</f>
        <v>14.322948889502111</v>
      </c>
      <c r="V40" s="102">
        <f>TrRail_ene!V$12</f>
        <v>13.695277074333461</v>
      </c>
      <c r="W40" s="102">
        <f>TrRail_ene!W$12</f>
        <v>13.426494388102382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121.19063610714782</v>
      </c>
      <c r="C41" s="102">
        <f>TrRail_ene!C$13</f>
        <v>121.04742208855041</v>
      </c>
      <c r="D41" s="102">
        <f>TrRail_ene!D$13</f>
        <v>117.54070080221052</v>
      </c>
      <c r="E41" s="102">
        <f>TrRail_ene!E$13</f>
        <v>118.50884706133502</v>
      </c>
      <c r="F41" s="102">
        <f>TrRail_ene!F$13</f>
        <v>116.58079238356689</v>
      </c>
      <c r="G41" s="102">
        <f>TrRail_ene!G$13</f>
        <v>110.90264785096896</v>
      </c>
      <c r="H41" s="102">
        <f>TrRail_ene!H$13</f>
        <v>113.98253154132331</v>
      </c>
      <c r="I41" s="102">
        <f>TrRail_ene!I$13</f>
        <v>112.26572749597736</v>
      </c>
      <c r="J41" s="102">
        <f>TrRail_ene!J$13</f>
        <v>111.36969356268966</v>
      </c>
      <c r="K41" s="102">
        <f>TrRail_ene!K$13</f>
        <v>122.25515685908825</v>
      </c>
      <c r="L41" s="102">
        <f>TrRail_ene!L$13</f>
        <v>105.84391648867329</v>
      </c>
      <c r="M41" s="102">
        <f>TrRail_ene!M$13</f>
        <v>100.86185574200786</v>
      </c>
      <c r="N41" s="102">
        <f>TrRail_ene!N$13</f>
        <v>86.06003074784357</v>
      </c>
      <c r="O41" s="102">
        <f>TrRail_ene!O$13</f>
        <v>107.14990691072327</v>
      </c>
      <c r="P41" s="102">
        <f>TrRail_ene!P$13</f>
        <v>101.62183314279198</v>
      </c>
      <c r="Q41" s="102">
        <f>TrRail_ene!Q$13</f>
        <v>94.204206555598404</v>
      </c>
      <c r="R41" s="102">
        <f>TrRail_ene!R$13</f>
        <v>93.484398925556576</v>
      </c>
      <c r="S41" s="102">
        <f>TrRail_ene!S$13</f>
        <v>92.081406598918761</v>
      </c>
      <c r="T41" s="102">
        <f>TrRail_ene!T$13</f>
        <v>96.611223143028042</v>
      </c>
      <c r="U41" s="102">
        <f>TrRail_ene!U$13</f>
        <v>91.578162582772791</v>
      </c>
      <c r="V41" s="102">
        <f>TrRail_ene!V$13</f>
        <v>77.749284304787082</v>
      </c>
      <c r="W41" s="102">
        <f>TrRail_ene!W$13</f>
        <v>88.007421985710451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235.57840655525791</v>
      </c>
      <c r="C43" s="110">
        <f t="shared" si="34"/>
        <v>220.5206626725352</v>
      </c>
      <c r="D43" s="110">
        <f t="shared" si="34"/>
        <v>207.16005559210168</v>
      </c>
      <c r="E43" s="110">
        <f t="shared" si="34"/>
        <v>204.02912532179647</v>
      </c>
      <c r="F43" s="110">
        <f t="shared" si="34"/>
        <v>221.78451662408855</v>
      </c>
      <c r="G43" s="110">
        <f t="shared" si="34"/>
        <v>255.78615940716514</v>
      </c>
      <c r="H43" s="110">
        <f t="shared" si="34"/>
        <v>259.0364688627908</v>
      </c>
      <c r="I43" s="110">
        <f t="shared" si="34"/>
        <v>238.3966985024789</v>
      </c>
      <c r="J43" s="110">
        <f t="shared" si="34"/>
        <v>265.62364079096443</v>
      </c>
      <c r="K43" s="110">
        <f t="shared" si="34"/>
        <v>227.05825906387236</v>
      </c>
      <c r="L43" s="110">
        <f t="shared" si="34"/>
        <v>225.57044918994006</v>
      </c>
      <c r="M43" s="110">
        <f t="shared" si="34"/>
        <v>228.45507506454754</v>
      </c>
      <c r="N43" s="110">
        <f t="shared" si="34"/>
        <v>163.0619442413921</v>
      </c>
      <c r="O43" s="110">
        <f t="shared" si="34"/>
        <v>158.81985269342263</v>
      </c>
      <c r="P43" s="110">
        <f t="shared" si="34"/>
        <v>167.47778914526171</v>
      </c>
      <c r="Q43" s="110">
        <f t="shared" si="34"/>
        <v>171.41085274422335</v>
      </c>
      <c r="R43" s="110">
        <f t="shared" ref="R43:V43" si="35">R44+R45+R46</f>
        <v>188.89216452371414</v>
      </c>
      <c r="S43" s="110">
        <f t="shared" si="35"/>
        <v>219.52287434214685</v>
      </c>
      <c r="T43" s="110">
        <f t="shared" si="35"/>
        <v>271.60124740332145</v>
      </c>
      <c r="U43" s="110">
        <f t="shared" si="35"/>
        <v>275.23920078596518</v>
      </c>
      <c r="V43" s="110">
        <f t="shared" si="35"/>
        <v>96.128662438875892</v>
      </c>
      <c r="W43" s="110">
        <f t="shared" ref="W43" si="36">W44+W45+W46</f>
        <v>115.61338150966844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147.00269124652399</v>
      </c>
      <c r="C45" s="102">
        <f>TrAvia_ene!C$8</f>
        <v>137.60523659670997</v>
      </c>
      <c r="D45" s="102">
        <f>TrAvia_ene!D$8</f>
        <v>131.4118319611255</v>
      </c>
      <c r="E45" s="102">
        <f>TrAvia_ene!E$8</f>
        <v>123.8331429878574</v>
      </c>
      <c r="F45" s="102">
        <f>TrAvia_ene!F$8</f>
        <v>144.27963933889393</v>
      </c>
      <c r="G45" s="102">
        <f>TrAvia_ene!G$8</f>
        <v>171.02185979470534</v>
      </c>
      <c r="H45" s="102">
        <f>TrAvia_ene!H$8</f>
        <v>172.71267436672588</v>
      </c>
      <c r="I45" s="102">
        <f>TrAvia_ene!I$8</f>
        <v>158.90566787730774</v>
      </c>
      <c r="J45" s="102">
        <f>TrAvia_ene!J$8</f>
        <v>177.93635152252736</v>
      </c>
      <c r="K45" s="102">
        <f>TrAvia_ene!K$8</f>
        <v>148.11457624679079</v>
      </c>
      <c r="L45" s="102">
        <f>TrAvia_ene!L$8</f>
        <v>146.30177751285254</v>
      </c>
      <c r="M45" s="102">
        <f>TrAvia_ene!M$8</f>
        <v>148.06081436918697</v>
      </c>
      <c r="N45" s="102">
        <f>TrAvia_ene!N$8</f>
        <v>105.95028974386533</v>
      </c>
      <c r="O45" s="102">
        <f>TrAvia_ene!O$8</f>
        <v>103.35622933149924</v>
      </c>
      <c r="P45" s="102">
        <f>TrAvia_ene!P$8</f>
        <v>110.14446474011993</v>
      </c>
      <c r="Q45" s="102">
        <f>TrAvia_ene!Q$8</f>
        <v>113.8535466271528</v>
      </c>
      <c r="R45" s="102">
        <f>TrAvia_ene!R$8</f>
        <v>129.09162660787962</v>
      </c>
      <c r="S45" s="102">
        <f>TrAvia_ene!S$8</f>
        <v>151.82130097600992</v>
      </c>
      <c r="T45" s="102">
        <f>TrAvia_ene!T$8</f>
        <v>188.04428517060882</v>
      </c>
      <c r="U45" s="102">
        <f>TrAvia_ene!U$8</f>
        <v>190.75502765440643</v>
      </c>
      <c r="V45" s="102">
        <f>TrAvia_ene!V$8</f>
        <v>59.330288065127228</v>
      </c>
      <c r="W45" s="102">
        <f>TrAvia_ene!W$8</f>
        <v>73.901875767661096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88.575715308733933</v>
      </c>
      <c r="C46" s="102">
        <f>TrAvia_ene!C$9</f>
        <v>82.915426075825224</v>
      </c>
      <c r="D46" s="102">
        <f>TrAvia_ene!D$9</f>
        <v>75.748223630976184</v>
      </c>
      <c r="E46" s="102">
        <f>TrAvia_ene!E$9</f>
        <v>80.195982333939071</v>
      </c>
      <c r="F46" s="102">
        <f>TrAvia_ene!F$9</f>
        <v>77.50487728519461</v>
      </c>
      <c r="G46" s="102">
        <f>TrAvia_ene!G$9</f>
        <v>84.764299612459808</v>
      </c>
      <c r="H46" s="102">
        <f>TrAvia_ene!H$9</f>
        <v>86.323794496064892</v>
      </c>
      <c r="I46" s="102">
        <f>TrAvia_ene!I$9</f>
        <v>79.491030625171149</v>
      </c>
      <c r="J46" s="102">
        <f>TrAvia_ene!J$9</f>
        <v>87.687289268437056</v>
      </c>
      <c r="K46" s="102">
        <f>TrAvia_ene!K$9</f>
        <v>78.943682817081566</v>
      </c>
      <c r="L46" s="102">
        <f>TrAvia_ene!L$9</f>
        <v>79.268671677087539</v>
      </c>
      <c r="M46" s="102">
        <f>TrAvia_ene!M$9</f>
        <v>80.394260695360586</v>
      </c>
      <c r="N46" s="102">
        <f>TrAvia_ene!N$9</f>
        <v>57.111654497526779</v>
      </c>
      <c r="O46" s="102">
        <f>TrAvia_ene!O$9</f>
        <v>55.463623361923389</v>
      </c>
      <c r="P46" s="102">
        <f>TrAvia_ene!P$9</f>
        <v>57.333324405141781</v>
      </c>
      <c r="Q46" s="102">
        <f>TrAvia_ene!Q$9</f>
        <v>57.557306117070546</v>
      </c>
      <c r="R46" s="102">
        <f>TrAvia_ene!R$9</f>
        <v>59.800537915834539</v>
      </c>
      <c r="S46" s="102">
        <f>TrAvia_ene!S$9</f>
        <v>67.701573366136941</v>
      </c>
      <c r="T46" s="102">
        <f>TrAvia_ene!T$9</f>
        <v>83.55696223271265</v>
      </c>
      <c r="U46" s="102">
        <f>TrAvia_ene!U$9</f>
        <v>84.484173131558748</v>
      </c>
      <c r="V46" s="102">
        <f>TrAvia_ene!V$9</f>
        <v>36.798374373748658</v>
      </c>
      <c r="W46" s="102">
        <f>TrAvia_ene!W$9</f>
        <v>41.711505742007347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1016.8742684874175</v>
      </c>
      <c r="C47" s="28">
        <f t="shared" si="37"/>
        <v>1076.6317384410982</v>
      </c>
      <c r="D47" s="28">
        <f t="shared" si="37"/>
        <v>1183.0558375617331</v>
      </c>
      <c r="E47" s="28">
        <f t="shared" si="37"/>
        <v>1239.5561698645411</v>
      </c>
      <c r="F47" s="28">
        <f t="shared" si="37"/>
        <v>1329.3315225941758</v>
      </c>
      <c r="G47" s="28">
        <f t="shared" si="37"/>
        <v>1603.7271802381777</v>
      </c>
      <c r="H47" s="28">
        <f t="shared" si="37"/>
        <v>1714.9825317623774</v>
      </c>
      <c r="I47" s="28">
        <f t="shared" si="37"/>
        <v>1697.2106412486698</v>
      </c>
      <c r="J47" s="28">
        <f t="shared" si="37"/>
        <v>1792.474737569617</v>
      </c>
      <c r="K47" s="28">
        <f t="shared" si="37"/>
        <v>1718.7410287146331</v>
      </c>
      <c r="L47" s="28">
        <f t="shared" si="37"/>
        <v>1521.7426615022282</v>
      </c>
      <c r="M47" s="28">
        <f t="shared" si="37"/>
        <v>1371.1031382625529</v>
      </c>
      <c r="N47" s="28">
        <f t="shared" si="37"/>
        <v>1247.2762014835514</v>
      </c>
      <c r="O47" s="28">
        <f t="shared" si="37"/>
        <v>1114.8019081714112</v>
      </c>
      <c r="P47" s="28">
        <f t="shared" si="37"/>
        <v>1372.3042665963478</v>
      </c>
      <c r="Q47" s="28">
        <f t="shared" si="37"/>
        <v>1556.3125169694958</v>
      </c>
      <c r="R47" s="28">
        <f t="shared" ref="R47:V47" si="38">R48+R51+R52+R56</f>
        <v>1519.1501700634333</v>
      </c>
      <c r="S47" s="28">
        <f t="shared" si="38"/>
        <v>1612.082181093755</v>
      </c>
      <c r="T47" s="28">
        <f t="shared" si="38"/>
        <v>1713.509240578557</v>
      </c>
      <c r="U47" s="28">
        <f t="shared" si="38"/>
        <v>1732.9729276909115</v>
      </c>
      <c r="V47" s="28">
        <f t="shared" si="38"/>
        <v>1474.2319780534137</v>
      </c>
      <c r="W47" s="28">
        <f t="shared" ref="W47" si="39">W48+W51+W52+W56</f>
        <v>1736.1360110399662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973.19159201891398</v>
      </c>
      <c r="C48" s="137">
        <f t="shared" si="40"/>
        <v>1035.964173077864</v>
      </c>
      <c r="D48" s="137">
        <f t="shared" si="40"/>
        <v>1140.522604188614</v>
      </c>
      <c r="E48" s="137">
        <f t="shared" si="40"/>
        <v>1192.6487500507017</v>
      </c>
      <c r="F48" s="137">
        <f t="shared" si="40"/>
        <v>1287.805827406632</v>
      </c>
      <c r="G48" s="137">
        <f t="shared" si="40"/>
        <v>1562.5277113932902</v>
      </c>
      <c r="H48" s="137">
        <f t="shared" si="40"/>
        <v>1668.4912259325076</v>
      </c>
      <c r="I48" s="137">
        <f t="shared" si="40"/>
        <v>1651.4322589447249</v>
      </c>
      <c r="J48" s="137">
        <f t="shared" si="40"/>
        <v>1748.6497519907382</v>
      </c>
      <c r="K48" s="137">
        <f t="shared" si="40"/>
        <v>1684.8407307337197</v>
      </c>
      <c r="L48" s="137">
        <f t="shared" si="40"/>
        <v>1485.7445232929304</v>
      </c>
      <c r="M48" s="137">
        <f t="shared" si="40"/>
        <v>1338.2196370034553</v>
      </c>
      <c r="N48" s="137">
        <f t="shared" si="40"/>
        <v>1211.6515173359071</v>
      </c>
      <c r="O48" s="137">
        <f t="shared" si="40"/>
        <v>1075.3783141884885</v>
      </c>
      <c r="P48" s="137">
        <f t="shared" si="40"/>
        <v>1331.351240638141</v>
      </c>
      <c r="Q48" s="137">
        <f t="shared" si="40"/>
        <v>1517.9174248384134</v>
      </c>
      <c r="R48" s="137">
        <f t="shared" ref="R48:V48" si="41">R49+R50</f>
        <v>1482.1763606794334</v>
      </c>
      <c r="S48" s="137">
        <f t="shared" si="41"/>
        <v>1567.7906755812032</v>
      </c>
      <c r="T48" s="137">
        <f t="shared" si="41"/>
        <v>1670.9067367741009</v>
      </c>
      <c r="U48" s="137">
        <f t="shared" si="41"/>
        <v>1692.1385193988508</v>
      </c>
      <c r="V48" s="137">
        <f t="shared" si="41"/>
        <v>1424.2954856203353</v>
      </c>
      <c r="W48" s="137">
        <f t="shared" ref="W48" si="42">W49+W50</f>
        <v>1694.1950888030692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340.09492197189951</v>
      </c>
      <c r="C49" s="102">
        <f>TrRoad_ene!C$43</f>
        <v>352.5824150260712</v>
      </c>
      <c r="D49" s="102">
        <f>TrRoad_ene!D$43</f>
        <v>383.1075901380886</v>
      </c>
      <c r="E49" s="102">
        <f>TrRoad_ene!E$43</f>
        <v>399.22041264587438</v>
      </c>
      <c r="F49" s="102">
        <f>TrRoad_ene!F$43</f>
        <v>404.98632490105308</v>
      </c>
      <c r="G49" s="102">
        <f>TrRoad_ene!G$43</f>
        <v>435.2119197635642</v>
      </c>
      <c r="H49" s="102">
        <f>TrRoad_ene!H$43</f>
        <v>432.3375225456727</v>
      </c>
      <c r="I49" s="102">
        <f>TrRoad_ene!I$43</f>
        <v>438.73602723503723</v>
      </c>
      <c r="J49" s="102">
        <f>TrRoad_ene!J$43</f>
        <v>485.11345061149706</v>
      </c>
      <c r="K49" s="102">
        <f>TrRoad_ene!K$43</f>
        <v>550.58354000649717</v>
      </c>
      <c r="L49" s="102">
        <f>TrRoad_ene!L$43</f>
        <v>468.52186502879232</v>
      </c>
      <c r="M49" s="102">
        <f>TrRoad_ene!M$43</f>
        <v>470.58957942222361</v>
      </c>
      <c r="N49" s="102">
        <f>TrRoad_ene!N$43</f>
        <v>475.42793454716184</v>
      </c>
      <c r="O49" s="102">
        <f>TrRoad_ene!O$43</f>
        <v>469.65219942221916</v>
      </c>
      <c r="P49" s="102">
        <f>TrRoad_ene!P$43</f>
        <v>518.69949534205386</v>
      </c>
      <c r="Q49" s="102">
        <f>TrRoad_ene!Q$43</f>
        <v>554.16762728881599</v>
      </c>
      <c r="R49" s="102">
        <f>TrRoad_ene!R$43</f>
        <v>565.07858729182544</v>
      </c>
      <c r="S49" s="102">
        <f>TrRoad_ene!S$43</f>
        <v>600.13362005935483</v>
      </c>
      <c r="T49" s="102">
        <f>TrRoad_ene!T$43</f>
        <v>638.47977384871626</v>
      </c>
      <c r="U49" s="102">
        <f>TrRoad_ene!U$43</f>
        <v>671.07467084152347</v>
      </c>
      <c r="V49" s="102">
        <f>TrRoad_ene!V$43</f>
        <v>662.81842721966973</v>
      </c>
      <c r="W49" s="102">
        <f>TrRoad_ene!W$43</f>
        <v>717.59243618586117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633.09667004701441</v>
      </c>
      <c r="C50" s="102">
        <f>TrRoad_ene!C$52</f>
        <v>683.38175805179264</v>
      </c>
      <c r="D50" s="102">
        <f>TrRoad_ene!D$52</f>
        <v>757.41501405052531</v>
      </c>
      <c r="E50" s="102">
        <f>TrRoad_ene!E$52</f>
        <v>793.42833740482729</v>
      </c>
      <c r="F50" s="102">
        <f>TrRoad_ene!F$52</f>
        <v>882.81950250557884</v>
      </c>
      <c r="G50" s="102">
        <f>TrRoad_ene!G$52</f>
        <v>1127.3157916297259</v>
      </c>
      <c r="H50" s="102">
        <f>TrRoad_ene!H$52</f>
        <v>1236.1537033868349</v>
      </c>
      <c r="I50" s="102">
        <f>TrRoad_ene!I$52</f>
        <v>1212.6962317096877</v>
      </c>
      <c r="J50" s="102">
        <f>TrRoad_ene!J$52</f>
        <v>1263.5363013792412</v>
      </c>
      <c r="K50" s="102">
        <f>TrRoad_ene!K$52</f>
        <v>1134.2571907272227</v>
      </c>
      <c r="L50" s="102">
        <f>TrRoad_ene!L$52</f>
        <v>1017.2226582641381</v>
      </c>
      <c r="M50" s="102">
        <f>TrRoad_ene!M$52</f>
        <v>867.63005758123177</v>
      </c>
      <c r="N50" s="102">
        <f>TrRoad_ene!N$52</f>
        <v>736.22358278874526</v>
      </c>
      <c r="O50" s="102">
        <f>TrRoad_ene!O$52</f>
        <v>605.72611476626935</v>
      </c>
      <c r="P50" s="102">
        <f>TrRoad_ene!P$52</f>
        <v>812.65174529608726</v>
      </c>
      <c r="Q50" s="102">
        <f>TrRoad_ene!Q$52</f>
        <v>963.74979754959725</v>
      </c>
      <c r="R50" s="102">
        <f>TrRoad_ene!R$52</f>
        <v>917.09777338760796</v>
      </c>
      <c r="S50" s="102">
        <f>TrRoad_ene!S$52</f>
        <v>967.65705552184841</v>
      </c>
      <c r="T50" s="102">
        <f>TrRoad_ene!T$52</f>
        <v>1032.4269629253845</v>
      </c>
      <c r="U50" s="102">
        <f>TrRoad_ene!U$52</f>
        <v>1021.0638485573272</v>
      </c>
      <c r="V50" s="102">
        <f>TrRoad_ene!V$52</f>
        <v>761.47705840066556</v>
      </c>
      <c r="W50" s="102">
        <f>TrRoad_ene!W$52</f>
        <v>976.60265261720815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38.060223178533604</v>
      </c>
      <c r="C51" s="110">
        <f>TrRail_ene!C$17</f>
        <v>34.743258130352125</v>
      </c>
      <c r="D51" s="110">
        <f>TrRail_ene!D$17</f>
        <v>34.860958784653292</v>
      </c>
      <c r="E51" s="110">
        <f>TrRail_ene!E$17</f>
        <v>33.128204636925915</v>
      </c>
      <c r="F51" s="110">
        <f>TrRail_ene!F$17</f>
        <v>35.618380341297183</v>
      </c>
      <c r="G51" s="110">
        <f>TrRail_ene!G$17</f>
        <v>35.382532809232096</v>
      </c>
      <c r="H51" s="110">
        <f>TrRail_ene!H$17</f>
        <v>39.668445371938077</v>
      </c>
      <c r="I51" s="110">
        <f>TrRail_ene!I$17</f>
        <v>40.408958708401379</v>
      </c>
      <c r="J51" s="110">
        <f>TrRail_ene!J$17</f>
        <v>38.597379594262797</v>
      </c>
      <c r="K51" s="110">
        <f>TrRail_ene!K$17</f>
        <v>29.230268136789118</v>
      </c>
      <c r="L51" s="110">
        <f>TrRail_ene!L$17</f>
        <v>30.843393934061574</v>
      </c>
      <c r="M51" s="110">
        <f>TrRail_ene!M$17</f>
        <v>27.613554827514328</v>
      </c>
      <c r="N51" s="110">
        <f>TrRail_ene!N$17</f>
        <v>26.144324003825933</v>
      </c>
      <c r="O51" s="110">
        <f>TrRail_ene!O$17</f>
        <v>30.716963443327408</v>
      </c>
      <c r="P51" s="110">
        <f>TrRail_ene!P$17</f>
        <v>31.689628517054114</v>
      </c>
      <c r="Q51" s="110">
        <f>TrRail_ene!Q$17</f>
        <v>29.071293112623103</v>
      </c>
      <c r="R51" s="110">
        <f>TrRail_ene!R$17</f>
        <v>28.46992919576212</v>
      </c>
      <c r="S51" s="110">
        <f>TrRail_ene!S$17</f>
        <v>35.189874265704809</v>
      </c>
      <c r="T51" s="110">
        <f>TrRail_ene!T$17</f>
        <v>32.80813641843983</v>
      </c>
      <c r="U51" s="110">
        <f>TrRail_ene!U$17</f>
        <v>31.573781047071613</v>
      </c>
      <c r="V51" s="110">
        <f>TrRail_ene!V$17</f>
        <v>40.563177227930183</v>
      </c>
      <c r="W51" s="110">
        <f>TrRail_ene!W$17</f>
        <v>31.347682938310985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4.5954541498150885</v>
      </c>
      <c r="C52" s="110">
        <f t="shared" si="43"/>
        <v>4.8973080927270853</v>
      </c>
      <c r="D52" s="110">
        <f t="shared" si="43"/>
        <v>5.6181903236334909</v>
      </c>
      <c r="E52" s="110">
        <f t="shared" si="43"/>
        <v>4.5358789774296389</v>
      </c>
      <c r="F52" s="110">
        <f t="shared" si="43"/>
        <v>3.8532305814144139</v>
      </c>
      <c r="G52" s="110">
        <f t="shared" si="43"/>
        <v>4.7899368955004036</v>
      </c>
      <c r="H52" s="110">
        <f t="shared" si="43"/>
        <v>5.7958613177767493</v>
      </c>
      <c r="I52" s="110">
        <f t="shared" si="43"/>
        <v>4.3662421682004018</v>
      </c>
      <c r="J52" s="110">
        <f t="shared" si="43"/>
        <v>4.2244245572728101</v>
      </c>
      <c r="K52" s="110">
        <f t="shared" si="43"/>
        <v>3.6668484167810567</v>
      </c>
      <c r="L52" s="110">
        <f t="shared" si="43"/>
        <v>4.1515628478930537</v>
      </c>
      <c r="M52" s="110">
        <f t="shared" si="43"/>
        <v>4.2667650042400904</v>
      </c>
      <c r="N52" s="110">
        <f t="shared" si="43"/>
        <v>3.4614435488056206</v>
      </c>
      <c r="O52" s="110">
        <f t="shared" si="43"/>
        <v>3.6908953719255413</v>
      </c>
      <c r="P52" s="110">
        <f t="shared" si="43"/>
        <v>3.2444808461397789</v>
      </c>
      <c r="Q52" s="110">
        <f t="shared" si="43"/>
        <v>3.304882423446478</v>
      </c>
      <c r="R52" s="110">
        <f t="shared" si="43"/>
        <v>3.3806643670854259</v>
      </c>
      <c r="S52" s="110">
        <f t="shared" si="43"/>
        <v>3.9784154256949584</v>
      </c>
      <c r="T52" s="110">
        <f t="shared" si="43"/>
        <v>4.6711515648642763</v>
      </c>
      <c r="U52" s="110">
        <f t="shared" si="43"/>
        <v>4.1374114238370181</v>
      </c>
      <c r="V52" s="110">
        <f t="shared" si="43"/>
        <v>5.2746909575127017</v>
      </c>
      <c r="W52" s="110">
        <f t="shared" ref="W52" si="44">W53+W54+W55</f>
        <v>7.5192926089901553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3.3196694795452548</v>
      </c>
      <c r="C54" s="102">
        <f>TrAvia_ene!C$12</f>
        <v>3.7162439775632938</v>
      </c>
      <c r="D54" s="102">
        <f>TrAvia_ene!D$12</f>
        <v>5.0286013681740789</v>
      </c>
      <c r="E54" s="102">
        <f>TrAvia_ene!E$12</f>
        <v>3.9494111998352777</v>
      </c>
      <c r="F54" s="102">
        <f>TrAvia_ene!F$12</f>
        <v>3.4672580803224577</v>
      </c>
      <c r="G54" s="102">
        <f>TrAvia_ene!G$12</f>
        <v>4.2801989422944082</v>
      </c>
      <c r="H54" s="102">
        <f>TrAvia_ene!H$12</f>
        <v>3.2169285397036762</v>
      </c>
      <c r="I54" s="102">
        <f>TrAvia_ene!I$12</f>
        <v>3.483566108578378</v>
      </c>
      <c r="J54" s="102">
        <f>TrAvia_ene!J$12</f>
        <v>3.0259284860053972</v>
      </c>
      <c r="K54" s="102">
        <f>TrAvia_ene!K$12</f>
        <v>2.6008376354825122</v>
      </c>
      <c r="L54" s="102">
        <f>TrAvia_ene!L$12</f>
        <v>2.8017839799258963</v>
      </c>
      <c r="M54" s="102">
        <f>TrAvia_ene!M$12</f>
        <v>3.6207377296999281</v>
      </c>
      <c r="N54" s="102">
        <f>TrAvia_ene!N$12</f>
        <v>2.8394374995928597</v>
      </c>
      <c r="O54" s="102">
        <f>TrAvia_ene!O$12</f>
        <v>3.0137520222777896</v>
      </c>
      <c r="P54" s="102">
        <f>TrAvia_ene!P$12</f>
        <v>2.8853001772720628</v>
      </c>
      <c r="Q54" s="102">
        <f>TrAvia_ene!Q$12</f>
        <v>2.9479684787279203</v>
      </c>
      <c r="R54" s="102">
        <f>TrAvia_ene!R$12</f>
        <v>2.828812767390108</v>
      </c>
      <c r="S54" s="102">
        <f>TrAvia_ene!S$12</f>
        <v>3.3644051047353951</v>
      </c>
      <c r="T54" s="102">
        <f>TrAvia_ene!T$12</f>
        <v>4.0029034767101557</v>
      </c>
      <c r="U54" s="102">
        <f>TrAvia_ene!U$12</f>
        <v>3.2049885565485496</v>
      </c>
      <c r="V54" s="102">
        <f>TrAvia_ene!V$12</f>
        <v>3.7927262910748327</v>
      </c>
      <c r="W54" s="102">
        <f>TrAvia_ene!W$12</f>
        <v>5.5444526444080919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1.2757846702698332</v>
      </c>
      <c r="C55" s="102">
        <f>TrAvia_ene!C$13</f>
        <v>1.1810641151637915</v>
      </c>
      <c r="D55" s="102">
        <f>TrAvia_ene!D$13</f>
        <v>0.58958895545941226</v>
      </c>
      <c r="E55" s="102">
        <f>TrAvia_ene!E$13</f>
        <v>0.58646777759436108</v>
      </c>
      <c r="F55" s="102">
        <f>TrAvia_ene!F$13</f>
        <v>0.38597250109195613</v>
      </c>
      <c r="G55" s="102">
        <f>TrAvia_ene!G$13</f>
        <v>0.50973795320599491</v>
      </c>
      <c r="H55" s="102">
        <f>TrAvia_ene!H$13</f>
        <v>2.5789327780730731</v>
      </c>
      <c r="I55" s="102">
        <f>TrAvia_ene!I$13</f>
        <v>0.88267605962202367</v>
      </c>
      <c r="J55" s="102">
        <f>TrAvia_ene!J$13</f>
        <v>1.1984960712674131</v>
      </c>
      <c r="K55" s="102">
        <f>TrAvia_ene!K$13</f>
        <v>1.0660107812985447</v>
      </c>
      <c r="L55" s="102">
        <f>TrAvia_ene!L$13</f>
        <v>1.3497788679671578</v>
      </c>
      <c r="M55" s="102">
        <f>TrAvia_ene!M$13</f>
        <v>0.6460272745401624</v>
      </c>
      <c r="N55" s="102">
        <f>TrAvia_ene!N$13</f>
        <v>0.6220060492127607</v>
      </c>
      <c r="O55" s="102">
        <f>TrAvia_ene!O$13</f>
        <v>0.67714334964775147</v>
      </c>
      <c r="P55" s="102">
        <f>TrAvia_ene!P$13</f>
        <v>0.35918066886771594</v>
      </c>
      <c r="Q55" s="102">
        <f>TrAvia_ene!Q$13</f>
        <v>0.35691394471855753</v>
      </c>
      <c r="R55" s="102">
        <f>TrAvia_ene!R$13</f>
        <v>0.55185159969531783</v>
      </c>
      <c r="S55" s="102">
        <f>TrAvia_ene!S$13</f>
        <v>0.61401032095956354</v>
      </c>
      <c r="T55" s="102">
        <f>TrAvia_ene!T$13</f>
        <v>0.66824808815412051</v>
      </c>
      <c r="U55" s="102">
        <f>TrAvia_ene!U$13</f>
        <v>0.93242286728846813</v>
      </c>
      <c r="V55" s="102">
        <f>TrAvia_ene!V$13</f>
        <v>1.4819646664378685</v>
      </c>
      <c r="W55" s="102">
        <f>TrAvia_ene!W$13</f>
        <v>1.9748399645820636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1.026999140154772</v>
      </c>
      <c r="C56" s="110">
        <f t="shared" si="45"/>
        <v>1.026999140154772</v>
      </c>
      <c r="D56" s="110">
        <f t="shared" si="45"/>
        <v>2.0540842648323299</v>
      </c>
      <c r="E56" s="110">
        <f t="shared" si="45"/>
        <v>9.2433361994840926</v>
      </c>
      <c r="F56" s="110">
        <f t="shared" si="45"/>
        <v>2.0540842648323299</v>
      </c>
      <c r="G56" s="110">
        <f t="shared" si="45"/>
        <v>1.026999140154772</v>
      </c>
      <c r="H56" s="110">
        <f t="shared" si="45"/>
        <v>1.026999140154772</v>
      </c>
      <c r="I56" s="110">
        <f t="shared" si="45"/>
        <v>1.0031814273430779</v>
      </c>
      <c r="J56" s="110">
        <f t="shared" si="45"/>
        <v>1.0031814273430779</v>
      </c>
      <c r="K56" s="110">
        <f t="shared" si="45"/>
        <v>1.0031814273430779</v>
      </c>
      <c r="L56" s="110">
        <f t="shared" si="45"/>
        <v>1.0031814273430779</v>
      </c>
      <c r="M56" s="110">
        <f t="shared" si="45"/>
        <v>1.0031814273430779</v>
      </c>
      <c r="N56" s="110">
        <f t="shared" si="45"/>
        <v>6.0189165950128984</v>
      </c>
      <c r="O56" s="110">
        <f t="shared" si="45"/>
        <v>5.0157351676698188</v>
      </c>
      <c r="P56" s="110">
        <f t="shared" si="45"/>
        <v>6.0189165950128984</v>
      </c>
      <c r="Q56" s="110">
        <f t="shared" si="45"/>
        <v>6.0189165950128984</v>
      </c>
      <c r="R56" s="110">
        <f t="shared" ref="R56:V56" si="46">R57+R58</f>
        <v>5.1232158211521934</v>
      </c>
      <c r="S56" s="110">
        <f t="shared" si="46"/>
        <v>5.1232158211521934</v>
      </c>
      <c r="T56" s="110">
        <f t="shared" si="46"/>
        <v>5.1232158211521934</v>
      </c>
      <c r="U56" s="110">
        <f t="shared" si="46"/>
        <v>5.1232158211521934</v>
      </c>
      <c r="V56" s="110">
        <f t="shared" si="46"/>
        <v>4.0986242476354251</v>
      </c>
      <c r="W56" s="110">
        <f t="shared" ref="W56" si="47">W57+W58</f>
        <v>3.0739466895958731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1.026999140154772</v>
      </c>
      <c r="C58" s="169">
        <f>TrNavi_ene!C10</f>
        <v>1.026999140154772</v>
      </c>
      <c r="D58" s="169">
        <f>TrNavi_ene!D10</f>
        <v>2.0540842648323299</v>
      </c>
      <c r="E58" s="169">
        <f>TrNavi_ene!E10</f>
        <v>9.2433361994840926</v>
      </c>
      <c r="F58" s="169">
        <f>TrNavi_ene!F10</f>
        <v>2.0540842648323299</v>
      </c>
      <c r="G58" s="169">
        <f>TrNavi_ene!G10</f>
        <v>1.026999140154772</v>
      </c>
      <c r="H58" s="169">
        <f>TrNavi_ene!H10</f>
        <v>1.026999140154772</v>
      </c>
      <c r="I58" s="169">
        <f>TrNavi_ene!I10</f>
        <v>1.0031814273430779</v>
      </c>
      <c r="J58" s="169">
        <f>TrNavi_ene!J10</f>
        <v>1.0031814273430779</v>
      </c>
      <c r="K58" s="169">
        <f>TrNavi_ene!K10</f>
        <v>1.0031814273430779</v>
      </c>
      <c r="L58" s="169">
        <f>TrNavi_ene!L10</f>
        <v>1.0031814273430779</v>
      </c>
      <c r="M58" s="169">
        <f>TrNavi_ene!M10</f>
        <v>1.0031814273430779</v>
      </c>
      <c r="N58" s="169">
        <f>TrNavi_ene!N10</f>
        <v>6.0189165950128984</v>
      </c>
      <c r="O58" s="169">
        <f>TrNavi_ene!O10</f>
        <v>5.0157351676698188</v>
      </c>
      <c r="P58" s="169">
        <f>TrNavi_ene!P10</f>
        <v>6.0189165950128984</v>
      </c>
      <c r="Q58" s="169">
        <f>TrNavi_ene!Q10</f>
        <v>6.0189165950128984</v>
      </c>
      <c r="R58" s="169">
        <f>TrNavi_ene!R10</f>
        <v>5.1232158211521934</v>
      </c>
      <c r="S58" s="169">
        <f>TrNavi_ene!S10</f>
        <v>5.1232158211521934</v>
      </c>
      <c r="T58" s="169">
        <f>TrNavi_ene!T10</f>
        <v>5.1232158211521934</v>
      </c>
      <c r="U58" s="169">
        <f>TrNavi_ene!U10</f>
        <v>5.1232158211521934</v>
      </c>
      <c r="V58" s="169">
        <f>TrNavi_ene!V10</f>
        <v>4.0986242476354251</v>
      </c>
      <c r="W58" s="169">
        <f>TrNavi_ene!W10</f>
        <v>3.0739466895958731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0</v>
      </c>
      <c r="C59" s="28">
        <f t="shared" ref="C59:W59" si="48">C60+C61</f>
        <v>0</v>
      </c>
      <c r="D59" s="28">
        <f t="shared" si="48"/>
        <v>0</v>
      </c>
      <c r="E59" s="28">
        <f t="shared" si="48"/>
        <v>0</v>
      </c>
      <c r="F59" s="28">
        <f t="shared" si="48"/>
        <v>0</v>
      </c>
      <c r="G59" s="28">
        <f t="shared" si="48"/>
        <v>0</v>
      </c>
      <c r="H59" s="28">
        <f t="shared" si="48"/>
        <v>0</v>
      </c>
      <c r="I59" s="28">
        <f t="shared" si="48"/>
        <v>0</v>
      </c>
      <c r="J59" s="28">
        <f t="shared" si="48"/>
        <v>0</v>
      </c>
      <c r="K59" s="28">
        <f t="shared" si="48"/>
        <v>0</v>
      </c>
      <c r="L59" s="28">
        <f t="shared" si="48"/>
        <v>0</v>
      </c>
      <c r="M59" s="28">
        <f t="shared" si="48"/>
        <v>0</v>
      </c>
      <c r="N59" s="28">
        <f t="shared" si="48"/>
        <v>0</v>
      </c>
      <c r="O59" s="28">
        <f t="shared" si="48"/>
        <v>0</v>
      </c>
      <c r="P59" s="28">
        <f t="shared" si="48"/>
        <v>0</v>
      </c>
      <c r="Q59" s="28">
        <f t="shared" si="48"/>
        <v>0</v>
      </c>
      <c r="R59" s="28">
        <f t="shared" si="48"/>
        <v>0</v>
      </c>
      <c r="S59" s="28">
        <f t="shared" si="48"/>
        <v>0</v>
      </c>
      <c r="T59" s="28">
        <f t="shared" si="48"/>
        <v>0</v>
      </c>
      <c r="U59" s="28">
        <f t="shared" si="48"/>
        <v>0</v>
      </c>
      <c r="V59" s="28">
        <f t="shared" si="48"/>
        <v>0</v>
      </c>
      <c r="W59" s="28">
        <f t="shared" si="48"/>
        <v>0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0</v>
      </c>
      <c r="J60" s="102">
        <f>MBunk_ene!J$4</f>
        <v>0</v>
      </c>
      <c r="K60" s="102">
        <f>MBunk_ene!K$4</f>
        <v>0</v>
      </c>
      <c r="L60" s="102">
        <f>MBunk_ene!L$4</f>
        <v>0</v>
      </c>
      <c r="M60" s="102">
        <f>MBunk_ene!M$4</f>
        <v>0</v>
      </c>
      <c r="N60" s="102">
        <f>MBunk_ene!N$4</f>
        <v>0</v>
      </c>
      <c r="O60" s="102">
        <f>MBunk_ene!O$4</f>
        <v>0</v>
      </c>
      <c r="P60" s="102">
        <f>MBunk_ene!P$4</f>
        <v>0</v>
      </c>
      <c r="Q60" s="102">
        <f>MBunk_ene!Q$4</f>
        <v>0</v>
      </c>
      <c r="R60" s="102">
        <f>MBunk_ene!R$4</f>
        <v>0</v>
      </c>
      <c r="S60" s="102">
        <f>MBunk_ene!S$4</f>
        <v>0</v>
      </c>
      <c r="T60" s="102">
        <f>MBunk_ene!T$4</f>
        <v>0</v>
      </c>
      <c r="U60" s="102">
        <f>MBunk_ene!U$4</f>
        <v>0</v>
      </c>
      <c r="V60" s="102">
        <f>MBunk_ene!V$4</f>
        <v>0</v>
      </c>
      <c r="W60" s="102">
        <f>MBunk_ene!W$4</f>
        <v>0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0</v>
      </c>
      <c r="J61" s="86">
        <f>MBunk_ene!J$10</f>
        <v>0</v>
      </c>
      <c r="K61" s="86">
        <f>MBunk_ene!K$10</f>
        <v>0</v>
      </c>
      <c r="L61" s="86">
        <f>MBunk_ene!L$10</f>
        <v>0</v>
      </c>
      <c r="M61" s="86">
        <f>MBunk_ene!M$10</f>
        <v>0</v>
      </c>
      <c r="N61" s="86">
        <f>MBunk_ene!N$10</f>
        <v>0</v>
      </c>
      <c r="O61" s="86">
        <f>MBunk_ene!O$10</f>
        <v>0</v>
      </c>
      <c r="P61" s="86">
        <f>MBunk_ene!P$10</f>
        <v>0</v>
      </c>
      <c r="Q61" s="86">
        <f>MBunk_ene!Q$10</f>
        <v>0</v>
      </c>
      <c r="R61" s="86">
        <f>MBunk_ene!R$10</f>
        <v>0</v>
      </c>
      <c r="S61" s="86">
        <f>MBunk_ene!S$10</f>
        <v>0</v>
      </c>
      <c r="T61" s="86">
        <f>MBunk_ene!T$10</f>
        <v>0</v>
      </c>
      <c r="U61" s="86">
        <f>MBunk_ene!U$10</f>
        <v>0</v>
      </c>
      <c r="V61" s="86">
        <f>MBunk_ene!V$10</f>
        <v>0</v>
      </c>
      <c r="W61" s="86">
        <f>MBunk_ene!W$10</f>
        <v>0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6605.4879304211545</v>
      </c>
      <c r="C64" s="28">
        <f t="shared" si="49"/>
        <v>6843.7282334973297</v>
      </c>
      <c r="D64" s="28">
        <f t="shared" si="49"/>
        <v>7090.6745626569727</v>
      </c>
      <c r="E64" s="28">
        <f t="shared" si="49"/>
        <v>7359.6284465704639</v>
      </c>
      <c r="F64" s="28">
        <f t="shared" si="49"/>
        <v>7616.7973647210647</v>
      </c>
      <c r="G64" s="28">
        <f t="shared" si="49"/>
        <v>7784.0919289670474</v>
      </c>
      <c r="H64" s="28">
        <f t="shared" si="49"/>
        <v>8274.7024324632348</v>
      </c>
      <c r="I64" s="28">
        <f t="shared" si="49"/>
        <v>8458.3774186062656</v>
      </c>
      <c r="J64" s="28">
        <f t="shared" si="49"/>
        <v>8385.6838949577741</v>
      </c>
      <c r="K64" s="28">
        <f t="shared" si="49"/>
        <v>8400.0431731425961</v>
      </c>
      <c r="L64" s="28">
        <f t="shared" si="49"/>
        <v>7747.2590330813391</v>
      </c>
      <c r="M64" s="28">
        <f t="shared" si="49"/>
        <v>7334.6439715143197</v>
      </c>
      <c r="N64" s="28">
        <f t="shared" si="49"/>
        <v>7155.0902404343842</v>
      </c>
      <c r="O64" s="28">
        <f t="shared" si="49"/>
        <v>6912.1676578435527</v>
      </c>
      <c r="P64" s="28">
        <f t="shared" si="49"/>
        <v>7300.4504712577245</v>
      </c>
      <c r="Q64" s="28">
        <f t="shared" si="49"/>
        <v>7758.8717361162298</v>
      </c>
      <c r="R64" s="28">
        <f t="shared" ref="R64:V64" si="50">R65+R69+R73</f>
        <v>8101.9434307715674</v>
      </c>
      <c r="S64" s="28">
        <f t="shared" si="50"/>
        <v>8614.3439392489308</v>
      </c>
      <c r="T64" s="28">
        <f t="shared" si="50"/>
        <v>9260.3880697604382</v>
      </c>
      <c r="U64" s="28">
        <f t="shared" si="50"/>
        <v>10023.135401565019</v>
      </c>
      <c r="V64" s="28">
        <f t="shared" si="50"/>
        <v>8335.3600063690265</v>
      </c>
      <c r="W64" s="28">
        <f t="shared" ref="W64" si="51">W65+W69+W73</f>
        <v>8981.7960896266795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5671.1768572694282</v>
      </c>
      <c r="C65" s="137">
        <f t="shared" si="52"/>
        <v>5959.2320836226818</v>
      </c>
      <c r="D65" s="137">
        <f t="shared" si="52"/>
        <v>6253.686591984143</v>
      </c>
      <c r="E65" s="137">
        <f t="shared" si="52"/>
        <v>6538.8098051112256</v>
      </c>
      <c r="F65" s="137">
        <f t="shared" si="52"/>
        <v>6756.2981684782317</v>
      </c>
      <c r="G65" s="137">
        <f t="shared" si="52"/>
        <v>6841.2856903586753</v>
      </c>
      <c r="H65" s="137">
        <f t="shared" si="52"/>
        <v>7337.3779669952519</v>
      </c>
      <c r="I65" s="137">
        <f t="shared" si="52"/>
        <v>7590.2326682569355</v>
      </c>
      <c r="J65" s="137">
        <f t="shared" si="52"/>
        <v>7432.3274105738228</v>
      </c>
      <c r="K65" s="137">
        <f t="shared" si="52"/>
        <v>7547.3048711428437</v>
      </c>
      <c r="L65" s="137">
        <f t="shared" si="52"/>
        <v>6920.7237170918015</v>
      </c>
      <c r="M65" s="137">
        <f t="shared" si="52"/>
        <v>6513.6016797491757</v>
      </c>
      <c r="N65" s="137">
        <f t="shared" si="52"/>
        <v>6555.1097009677806</v>
      </c>
      <c r="O65" s="137">
        <f t="shared" si="52"/>
        <v>6306.6297677789689</v>
      </c>
      <c r="P65" s="137">
        <f t="shared" si="52"/>
        <v>6661.029390973129</v>
      </c>
      <c r="Q65" s="137">
        <f t="shared" si="52"/>
        <v>7132.4799639191597</v>
      </c>
      <c r="R65" s="137">
        <f t="shared" ref="R65:V65" si="53">R66+R67+R68</f>
        <v>7424.3489604574825</v>
      </c>
      <c r="S65" s="137">
        <f t="shared" si="53"/>
        <v>7842.0158543793295</v>
      </c>
      <c r="T65" s="137">
        <f t="shared" si="53"/>
        <v>8333.6426498946312</v>
      </c>
      <c r="U65" s="137">
        <f t="shared" si="53"/>
        <v>9096.3634413803502</v>
      </c>
      <c r="V65" s="137">
        <f t="shared" si="53"/>
        <v>7970.140146555932</v>
      </c>
      <c r="W65" s="137">
        <f t="shared" ref="W65" si="54">W66+W67+W68</f>
        <v>8555.7039275514653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34.283106290364053</v>
      </c>
      <c r="C66" s="102">
        <f>TrRoad_emi!C$19</f>
        <v>34.853257484598608</v>
      </c>
      <c r="D66" s="102">
        <f>TrRoad_emi!D$19</f>
        <v>36.218434448720906</v>
      </c>
      <c r="E66" s="102">
        <f>TrRoad_emi!E$19</f>
        <v>38.0222805745031</v>
      </c>
      <c r="F66" s="102">
        <f>TrRoad_emi!F$19</f>
        <v>41.26246164539829</v>
      </c>
      <c r="G66" s="102">
        <f>TrRoad_emi!G$19</f>
        <v>43.861108439572341</v>
      </c>
      <c r="H66" s="102">
        <f>TrRoad_emi!H$19</f>
        <v>45.830002501491776</v>
      </c>
      <c r="I66" s="102">
        <f>TrRoad_emi!I$19</f>
        <v>46.856796978709077</v>
      </c>
      <c r="J66" s="102">
        <f>TrRoad_emi!J$19</f>
        <v>47.600214750182978</v>
      </c>
      <c r="K66" s="102">
        <f>TrRoad_emi!K$19</f>
        <v>47.222017536198955</v>
      </c>
      <c r="L66" s="102">
        <f>TrRoad_emi!L$19</f>
        <v>46.28836628999403</v>
      </c>
      <c r="M66" s="102">
        <f>TrRoad_emi!M$19</f>
        <v>47.555059323853335</v>
      </c>
      <c r="N66" s="102">
        <f>TrRoad_emi!N$19</f>
        <v>48.500577179018158</v>
      </c>
      <c r="O66" s="102">
        <f>TrRoad_emi!O$19</f>
        <v>50.649755982606557</v>
      </c>
      <c r="P66" s="102">
        <f>TrRoad_emi!P$19</f>
        <v>50.428823064649272</v>
      </c>
      <c r="Q66" s="102">
        <f>TrRoad_emi!Q$19</f>
        <v>50.88150253995267</v>
      </c>
      <c r="R66" s="102">
        <f>TrRoad_emi!R$19</f>
        <v>50.024587650379871</v>
      </c>
      <c r="S66" s="102">
        <f>TrRoad_emi!S$19</f>
        <v>52.359058853200324</v>
      </c>
      <c r="T66" s="102">
        <f>TrRoad_emi!T$19</f>
        <v>54.676626993765353</v>
      </c>
      <c r="U66" s="102">
        <f>TrRoad_emi!U$19</f>
        <v>55.967428366754135</v>
      </c>
      <c r="V66" s="102">
        <f>TrRoad_emi!V$19</f>
        <v>49.682952607574713</v>
      </c>
      <c r="W66" s="102">
        <f>TrRoad_emi!W$19</f>
        <v>47.962302326526867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4462.190706118</v>
      </c>
      <c r="C67" s="102">
        <f>TrRoad_emi!C$20</f>
        <v>4745.8403519408484</v>
      </c>
      <c r="D67" s="102">
        <f>TrRoad_emi!D$20</f>
        <v>4999.3578403258007</v>
      </c>
      <c r="E67" s="102">
        <f>TrRoad_emi!E$20</f>
        <v>5280.2395566706</v>
      </c>
      <c r="F67" s="102">
        <f>TrRoad_emi!F$20</f>
        <v>5538.2663426245808</v>
      </c>
      <c r="G67" s="102">
        <f>TrRoad_emi!G$20</f>
        <v>5580.9383771809726</v>
      </c>
      <c r="H67" s="102">
        <f>TrRoad_emi!H$20</f>
        <v>5973.8935520792338</v>
      </c>
      <c r="I67" s="102">
        <f>TrRoad_emi!I$20</f>
        <v>6242.9308262487766</v>
      </c>
      <c r="J67" s="102">
        <f>TrRoad_emi!J$20</f>
        <v>6224.5047864857015</v>
      </c>
      <c r="K67" s="102">
        <f>TrRoad_emi!K$20</f>
        <v>6383.9195196494493</v>
      </c>
      <c r="L67" s="102">
        <f>TrRoad_emi!L$20</f>
        <v>5749.6917323793714</v>
      </c>
      <c r="M67" s="102">
        <f>TrRoad_emi!M$20</f>
        <v>5410.583854361972</v>
      </c>
      <c r="N67" s="102">
        <f>TrRoad_emi!N$20</f>
        <v>5474.7567902598894</v>
      </c>
      <c r="O67" s="102">
        <f>TrRoad_emi!O$20</f>
        <v>5265.8211785573403</v>
      </c>
      <c r="P67" s="102">
        <f>TrRoad_emi!P$20</f>
        <v>5515.8569684563954</v>
      </c>
      <c r="Q67" s="102">
        <f>TrRoad_emi!Q$20</f>
        <v>5929.5838805070898</v>
      </c>
      <c r="R67" s="102">
        <f>TrRoad_emi!R$20</f>
        <v>6227.1779606122182</v>
      </c>
      <c r="S67" s="102">
        <f>TrRoad_emi!S$20</f>
        <v>6566.4007757244071</v>
      </c>
      <c r="T67" s="102">
        <f>TrRoad_emi!T$20</f>
        <v>7027.4633113518239</v>
      </c>
      <c r="U67" s="102">
        <f>TrRoad_emi!U$20</f>
        <v>7791.4275227423914</v>
      </c>
      <c r="V67" s="102">
        <f>TrRoad_emi!V$20</f>
        <v>6930.2143856961984</v>
      </c>
      <c r="W67" s="102">
        <f>TrRoad_emi!W$20</f>
        <v>7420.327569581621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1174.703044861064</v>
      </c>
      <c r="C68" s="102">
        <f>TrRoad_emi!C$27</f>
        <v>1178.5384741972348</v>
      </c>
      <c r="D68" s="102">
        <f>TrRoad_emi!D$27</f>
        <v>1218.1103172096216</v>
      </c>
      <c r="E68" s="102">
        <f>TrRoad_emi!E$27</f>
        <v>1220.5479678661222</v>
      </c>
      <c r="F68" s="102">
        <f>TrRoad_emi!F$27</f>
        <v>1176.7693642082527</v>
      </c>
      <c r="G68" s="102">
        <f>TrRoad_emi!G$27</f>
        <v>1216.48620473813</v>
      </c>
      <c r="H68" s="102">
        <f>TrRoad_emi!H$27</f>
        <v>1317.6544124145269</v>
      </c>
      <c r="I68" s="102">
        <f>TrRoad_emi!I$27</f>
        <v>1300.4450450294496</v>
      </c>
      <c r="J68" s="102">
        <f>TrRoad_emi!J$27</f>
        <v>1160.222409337938</v>
      </c>
      <c r="K68" s="102">
        <f>TrRoad_emi!K$27</f>
        <v>1116.1633339571958</v>
      </c>
      <c r="L68" s="102">
        <f>TrRoad_emi!L$27</f>
        <v>1124.7436184224357</v>
      </c>
      <c r="M68" s="102">
        <f>TrRoad_emi!M$27</f>
        <v>1055.46276606335</v>
      </c>
      <c r="N68" s="102">
        <f>TrRoad_emi!N$27</f>
        <v>1031.8523335288728</v>
      </c>
      <c r="O68" s="102">
        <f>TrRoad_emi!O$27</f>
        <v>990.15883323902221</v>
      </c>
      <c r="P68" s="102">
        <f>TrRoad_emi!P$27</f>
        <v>1094.7435994520845</v>
      </c>
      <c r="Q68" s="102">
        <f>TrRoad_emi!Q$27</f>
        <v>1152.0145808721174</v>
      </c>
      <c r="R68" s="102">
        <f>TrRoad_emi!R$27</f>
        <v>1147.1464121948848</v>
      </c>
      <c r="S68" s="102">
        <f>TrRoad_emi!S$27</f>
        <v>1223.2560198017215</v>
      </c>
      <c r="T68" s="102">
        <f>TrRoad_emi!T$27</f>
        <v>1251.5027115490427</v>
      </c>
      <c r="U68" s="102">
        <f>TrRoad_emi!U$27</f>
        <v>1248.9684902712049</v>
      </c>
      <c r="V68" s="102">
        <f>TrRoad_emi!V$27</f>
        <v>990.24280825215897</v>
      </c>
      <c r="W68" s="102">
        <f>TrRoad_emi!W$27</f>
        <v>1087.4140556433167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225.47746509661656</v>
      </c>
      <c r="C69" s="110">
        <f t="shared" si="55"/>
        <v>220.82545223475191</v>
      </c>
      <c r="D69" s="110">
        <f t="shared" si="55"/>
        <v>213.53604386724982</v>
      </c>
      <c r="E69" s="110">
        <f t="shared" si="55"/>
        <v>206.79256662742671</v>
      </c>
      <c r="F69" s="110">
        <f t="shared" si="55"/>
        <v>192.93766492302615</v>
      </c>
      <c r="G69" s="110">
        <f t="shared" si="55"/>
        <v>172.810809712317</v>
      </c>
      <c r="H69" s="110">
        <f t="shared" si="55"/>
        <v>157.54460011481055</v>
      </c>
      <c r="I69" s="110">
        <f t="shared" si="55"/>
        <v>150.49697559769089</v>
      </c>
      <c r="J69" s="110">
        <f t="shared" si="55"/>
        <v>153.74719477341597</v>
      </c>
      <c r="K69" s="110">
        <f t="shared" si="55"/>
        <v>169.22273580379394</v>
      </c>
      <c r="L69" s="110">
        <f t="shared" si="55"/>
        <v>147.49851754492806</v>
      </c>
      <c r="M69" s="110">
        <f t="shared" si="55"/>
        <v>133.32187751164611</v>
      </c>
      <c r="N69" s="110">
        <f t="shared" si="55"/>
        <v>109.11366854685333</v>
      </c>
      <c r="O69" s="110">
        <f t="shared" si="55"/>
        <v>127.44102635892885</v>
      </c>
      <c r="P69" s="110">
        <f t="shared" si="55"/>
        <v>135.26115082495372</v>
      </c>
      <c r="Q69" s="110">
        <f t="shared" si="55"/>
        <v>110.39210520128951</v>
      </c>
      <c r="R69" s="110">
        <f t="shared" ref="R69:V69" si="56">R70+R71+R72</f>
        <v>108.97064964043463</v>
      </c>
      <c r="S69" s="110">
        <f t="shared" si="56"/>
        <v>111.496356626992</v>
      </c>
      <c r="T69" s="110">
        <f t="shared" si="56"/>
        <v>109.14168607611208</v>
      </c>
      <c r="U69" s="110">
        <f t="shared" si="56"/>
        <v>98.216861858030143</v>
      </c>
      <c r="V69" s="110">
        <f t="shared" si="56"/>
        <v>75.842862889651698</v>
      </c>
      <c r="W69" s="110">
        <f t="shared" ref="W69" si="57">W70+W71+W72</f>
        <v>78.060136073548804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225.47746509661656</v>
      </c>
      <c r="C71" s="102">
        <f>TrRail_emi!C$11</f>
        <v>220.82545223475191</v>
      </c>
      <c r="D71" s="102">
        <f>TrRail_emi!D$11</f>
        <v>213.53604386724982</v>
      </c>
      <c r="E71" s="102">
        <f>TrRail_emi!E$11</f>
        <v>206.79256662742671</v>
      </c>
      <c r="F71" s="102">
        <f>TrRail_emi!F$11</f>
        <v>192.93766492302615</v>
      </c>
      <c r="G71" s="102">
        <f>TrRail_emi!G$11</f>
        <v>172.810809712317</v>
      </c>
      <c r="H71" s="102">
        <f>TrRail_emi!H$11</f>
        <v>157.54460011481055</v>
      </c>
      <c r="I71" s="102">
        <f>TrRail_emi!I$11</f>
        <v>150.49697559769089</v>
      </c>
      <c r="J71" s="102">
        <f>TrRail_emi!J$11</f>
        <v>153.74719477341597</v>
      </c>
      <c r="K71" s="102">
        <f>TrRail_emi!K$11</f>
        <v>169.22273580379394</v>
      </c>
      <c r="L71" s="102">
        <f>TrRail_emi!L$11</f>
        <v>147.49851754492806</v>
      </c>
      <c r="M71" s="102">
        <f>TrRail_emi!M$11</f>
        <v>133.32187751164611</v>
      </c>
      <c r="N71" s="102">
        <f>TrRail_emi!N$11</f>
        <v>109.11366854685333</v>
      </c>
      <c r="O71" s="102">
        <f>TrRail_emi!O$11</f>
        <v>127.44102635892885</v>
      </c>
      <c r="P71" s="102">
        <f>TrRail_emi!P$11</f>
        <v>135.26115082495372</v>
      </c>
      <c r="Q71" s="102">
        <f>TrRail_emi!Q$11</f>
        <v>110.39210520128951</v>
      </c>
      <c r="R71" s="102">
        <f>TrRail_emi!R$11</f>
        <v>108.97064964043463</v>
      </c>
      <c r="S71" s="102">
        <f>TrRail_emi!S$11</f>
        <v>111.496356626992</v>
      </c>
      <c r="T71" s="102">
        <f>TrRail_emi!T$11</f>
        <v>109.14168607611208</v>
      </c>
      <c r="U71" s="102">
        <f>TrRail_emi!U$11</f>
        <v>98.216861858030143</v>
      </c>
      <c r="V71" s="102">
        <f>TrRail_emi!V$11</f>
        <v>75.842862889651698</v>
      </c>
      <c r="W71" s="102">
        <f>TrRail_emi!W$11</f>
        <v>78.060136073548804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708.83360805510983</v>
      </c>
      <c r="C73" s="110">
        <f t="shared" si="58"/>
        <v>663.67069763989684</v>
      </c>
      <c r="D73" s="110">
        <f t="shared" si="58"/>
        <v>623.45192680558011</v>
      </c>
      <c r="E73" s="110">
        <f t="shared" si="58"/>
        <v>614.02607483181146</v>
      </c>
      <c r="F73" s="110">
        <f t="shared" si="58"/>
        <v>667.56153131980705</v>
      </c>
      <c r="G73" s="110">
        <f t="shared" si="58"/>
        <v>769.99542889605573</v>
      </c>
      <c r="H73" s="110">
        <f t="shared" si="58"/>
        <v>779.77986535317268</v>
      </c>
      <c r="I73" s="110">
        <f t="shared" si="58"/>
        <v>717.64777475163874</v>
      </c>
      <c r="J73" s="110">
        <f t="shared" si="58"/>
        <v>799.60928961053582</v>
      </c>
      <c r="K73" s="110">
        <f t="shared" si="58"/>
        <v>683.51556619595874</v>
      </c>
      <c r="L73" s="110">
        <f t="shared" si="58"/>
        <v>679.03679844460953</v>
      </c>
      <c r="M73" s="110">
        <f t="shared" si="58"/>
        <v>687.72041425349801</v>
      </c>
      <c r="N73" s="110">
        <f t="shared" si="58"/>
        <v>490.86687091974966</v>
      </c>
      <c r="O73" s="110">
        <f t="shared" si="58"/>
        <v>478.09686370565498</v>
      </c>
      <c r="P73" s="110">
        <f t="shared" si="58"/>
        <v>504.1599294596416</v>
      </c>
      <c r="Q73" s="110">
        <f t="shared" si="58"/>
        <v>515.99966699578067</v>
      </c>
      <c r="R73" s="110">
        <f t="shared" ref="R73:V73" si="59">R74+R75+R76</f>
        <v>568.62382067365047</v>
      </c>
      <c r="S73" s="110">
        <f t="shared" si="59"/>
        <v>660.83172824260873</v>
      </c>
      <c r="T73" s="110">
        <f t="shared" si="59"/>
        <v>817.60373378969462</v>
      </c>
      <c r="U73" s="110">
        <f t="shared" si="59"/>
        <v>828.55509832663802</v>
      </c>
      <c r="V73" s="110">
        <f t="shared" si="59"/>
        <v>289.3769969234425</v>
      </c>
      <c r="W73" s="110">
        <f t="shared" ref="W73" si="60">W74+W75+W76</f>
        <v>348.03202600166486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442.31748382101131</v>
      </c>
      <c r="C75" s="102">
        <f>TrAvia_emi!C$8</f>
        <v>414.13154787519875</v>
      </c>
      <c r="D75" s="102">
        <f>TrAvia_emi!D$8</f>
        <v>395.48628043686659</v>
      </c>
      <c r="E75" s="102">
        <f>TrAvia_emi!E$8</f>
        <v>372.67610005676727</v>
      </c>
      <c r="F75" s="102">
        <f>TrAvia_emi!F$8</f>
        <v>434.27529766918116</v>
      </c>
      <c r="G75" s="102">
        <f>TrAvia_emi!G$8</f>
        <v>514.82867794111155</v>
      </c>
      <c r="H75" s="102">
        <f>TrAvia_emi!H$8</f>
        <v>519.91855260275918</v>
      </c>
      <c r="I75" s="102">
        <f>TrAvia_emi!I$8</f>
        <v>478.35519394320414</v>
      </c>
      <c r="J75" s="102">
        <f>TrAvia_emi!J$8</f>
        <v>535.64343600269831</v>
      </c>
      <c r="K75" s="102">
        <f>TrAvia_emi!K$8</f>
        <v>445.87067152981604</v>
      </c>
      <c r="L75" s="102">
        <f>TrAvia_emi!L$8</f>
        <v>440.41358682329337</v>
      </c>
      <c r="M75" s="102">
        <f>TrAvia_emi!M$8</f>
        <v>445.70883165505569</v>
      </c>
      <c r="N75" s="102">
        <f>TrAvia_emi!N$8</f>
        <v>318.94313195862344</v>
      </c>
      <c r="O75" s="102">
        <f>TrAvia_emi!O$8</f>
        <v>311.13420803392205</v>
      </c>
      <c r="P75" s="102">
        <f>TrAvia_emi!P$8</f>
        <v>331.56889553625871</v>
      </c>
      <c r="Q75" s="102">
        <f>TrAvia_emi!Q$8</f>
        <v>342.73437886434692</v>
      </c>
      <c r="R75" s="102">
        <f>TrAvia_emi!R$8</f>
        <v>388.60571122066489</v>
      </c>
      <c r="S75" s="102">
        <f>TrAvia_emi!S$8</f>
        <v>457.02905908405171</v>
      </c>
      <c r="T75" s="102">
        <f>TrAvia_emi!T$8</f>
        <v>566.0714416565072</v>
      </c>
      <c r="U75" s="102">
        <f>TrAvia_emi!U$8</f>
        <v>574.23161469431398</v>
      </c>
      <c r="V75" s="102">
        <f>TrAvia_emi!V$8</f>
        <v>178.6025120011027</v>
      </c>
      <c r="W75" s="102">
        <f>TrAvia_emi!W$8</f>
        <v>222.46749652064727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266.51612423409858</v>
      </c>
      <c r="C76" s="102">
        <f>TrAvia_emi!C$9</f>
        <v>249.53914976469807</v>
      </c>
      <c r="D76" s="102">
        <f>TrAvia_emi!D$9</f>
        <v>227.96564636871349</v>
      </c>
      <c r="E76" s="102">
        <f>TrAvia_emi!E$9</f>
        <v>241.34997477504416</v>
      </c>
      <c r="F76" s="102">
        <f>TrAvia_emi!F$9</f>
        <v>233.28623365062589</v>
      </c>
      <c r="G76" s="102">
        <f>TrAvia_emi!G$9</f>
        <v>255.16675095494423</v>
      </c>
      <c r="H76" s="102">
        <f>TrAvia_emi!H$9</f>
        <v>259.86131275041356</v>
      </c>
      <c r="I76" s="102">
        <f>TrAvia_emi!I$9</f>
        <v>239.29258080843454</v>
      </c>
      <c r="J76" s="102">
        <f>TrAvia_emi!J$9</f>
        <v>263.96585360783746</v>
      </c>
      <c r="K76" s="102">
        <f>TrAvia_emi!K$9</f>
        <v>237.64489466614268</v>
      </c>
      <c r="L76" s="102">
        <f>TrAvia_emi!L$9</f>
        <v>238.62321162131616</v>
      </c>
      <c r="M76" s="102">
        <f>TrAvia_emi!M$9</f>
        <v>242.01158259844235</v>
      </c>
      <c r="N76" s="102">
        <f>TrAvia_emi!N$9</f>
        <v>171.92373896112625</v>
      </c>
      <c r="O76" s="102">
        <f>TrAvia_emi!O$9</f>
        <v>166.96265567173293</v>
      </c>
      <c r="P76" s="102">
        <f>TrAvia_emi!P$9</f>
        <v>172.59103392338287</v>
      </c>
      <c r="Q76" s="102">
        <f>TrAvia_emi!Q$9</f>
        <v>173.26528813143369</v>
      </c>
      <c r="R76" s="102">
        <f>TrAvia_emi!R$9</f>
        <v>180.01810945298561</v>
      </c>
      <c r="S76" s="102">
        <f>TrAvia_emi!S$9</f>
        <v>203.80266915855702</v>
      </c>
      <c r="T76" s="102">
        <f>TrAvia_emi!T$9</f>
        <v>251.53229213318738</v>
      </c>
      <c r="U76" s="102">
        <f>TrAvia_emi!U$9</f>
        <v>254.3234836323241</v>
      </c>
      <c r="V76" s="102">
        <f>TrAvia_emi!V$9</f>
        <v>110.77448492233982</v>
      </c>
      <c r="W76" s="102">
        <f>TrAvia_emi!W$9</f>
        <v>125.56452948101757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3060.5979413186765</v>
      </c>
      <c r="C77" s="28">
        <f t="shared" si="61"/>
        <v>3252.0176299295536</v>
      </c>
      <c r="D77" s="28">
        <f t="shared" si="61"/>
        <v>3582.0681571430259</v>
      </c>
      <c r="E77" s="28">
        <f t="shared" si="61"/>
        <v>3760.111969630505</v>
      </c>
      <c r="F77" s="28">
        <f t="shared" si="61"/>
        <v>4032.9543395189362</v>
      </c>
      <c r="G77" s="28">
        <f t="shared" si="61"/>
        <v>4885.6086990729536</v>
      </c>
      <c r="H77" s="28">
        <f t="shared" si="61"/>
        <v>5222.6806227767647</v>
      </c>
      <c r="I77" s="28">
        <f t="shared" si="61"/>
        <v>5161.3823208737385</v>
      </c>
      <c r="J77" s="28">
        <f t="shared" si="61"/>
        <v>5229.2301743222279</v>
      </c>
      <c r="K77" s="28">
        <f t="shared" si="61"/>
        <v>5019.3291114974036</v>
      </c>
      <c r="L77" s="28">
        <f t="shared" si="61"/>
        <v>4423.6314612786591</v>
      </c>
      <c r="M77" s="28">
        <f t="shared" si="61"/>
        <v>3982.7025424856774</v>
      </c>
      <c r="N77" s="28">
        <f t="shared" si="61"/>
        <v>3626.0730403656171</v>
      </c>
      <c r="O77" s="28">
        <f t="shared" si="61"/>
        <v>3209.2128567964464</v>
      </c>
      <c r="P77" s="28">
        <f t="shared" si="61"/>
        <v>3953.2697064622766</v>
      </c>
      <c r="Q77" s="28">
        <f t="shared" si="61"/>
        <v>4519.3924846037698</v>
      </c>
      <c r="R77" s="28">
        <f t="shared" ref="R77:V77" si="62">R78+R81+R82+R86+R92</f>
        <v>4395.048351548432</v>
      </c>
      <c r="S77" s="28">
        <f t="shared" si="62"/>
        <v>4708.8892232710696</v>
      </c>
      <c r="T77" s="28">
        <f t="shared" si="62"/>
        <v>4996.190695399564</v>
      </c>
      <c r="U77" s="28">
        <f t="shared" si="62"/>
        <v>5045.9884206749812</v>
      </c>
      <c r="V77" s="28">
        <f t="shared" si="62"/>
        <v>4170.4447710709746</v>
      </c>
      <c r="W77" s="28">
        <f t="shared" ref="W77" si="63">W78+W81+W82+W86+W92</f>
        <v>4989.3756406933207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3000.2358769305756</v>
      </c>
      <c r="C78" s="137">
        <f t="shared" si="64"/>
        <v>3196.4745122973195</v>
      </c>
      <c r="D78" s="137">
        <f t="shared" si="64"/>
        <v>3522.7317616558562</v>
      </c>
      <c r="E78" s="137">
        <f t="shared" si="64"/>
        <v>3686.1059614487758</v>
      </c>
      <c r="F78" s="137">
        <f t="shared" si="64"/>
        <v>3982.7473839217691</v>
      </c>
      <c r="G78" s="137">
        <f t="shared" si="64"/>
        <v>4836.0557523213265</v>
      </c>
      <c r="H78" s="137">
        <f t="shared" si="64"/>
        <v>5165.2274364447476</v>
      </c>
      <c r="I78" s="137">
        <f t="shared" si="64"/>
        <v>5108.8912685830683</v>
      </c>
      <c r="J78" s="137">
        <f t="shared" si="64"/>
        <v>5180.4162560661798</v>
      </c>
      <c r="K78" s="137">
        <f t="shared" si="64"/>
        <v>4981.444899777156</v>
      </c>
      <c r="L78" s="137">
        <f t="shared" si="64"/>
        <v>4384.3491131481969</v>
      </c>
      <c r="M78" s="137">
        <f t="shared" si="64"/>
        <v>3956.9065602108212</v>
      </c>
      <c r="N78" s="137">
        <f t="shared" si="64"/>
        <v>3578.4933824722202</v>
      </c>
      <c r="O78" s="137">
        <f t="shared" si="64"/>
        <v>3160.5966357810303</v>
      </c>
      <c r="P78" s="137">
        <f t="shared" si="64"/>
        <v>3901.3685667468717</v>
      </c>
      <c r="Q78" s="137">
        <f t="shared" si="64"/>
        <v>4470.4502718408403</v>
      </c>
      <c r="R78" s="137">
        <f t="shared" ref="R78:V78" si="65">R79+R80</f>
        <v>4350.7921061425177</v>
      </c>
      <c r="S78" s="137">
        <f t="shared" si="65"/>
        <v>4659.0015782606706</v>
      </c>
      <c r="T78" s="137">
        <f t="shared" si="65"/>
        <v>4941.8630298653716</v>
      </c>
      <c r="U78" s="137">
        <f t="shared" si="65"/>
        <v>4995.0583026996501</v>
      </c>
      <c r="V78" s="137">
        <f t="shared" si="65"/>
        <v>4112.7901643240693</v>
      </c>
      <c r="W78" s="137">
        <f t="shared" ref="W78" si="66">W79+W80</f>
        <v>4930.3603410485348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1036.1048655593206</v>
      </c>
      <c r="C79" s="102">
        <f>TrRoad_emi!C$34</f>
        <v>1076.338098540386</v>
      </c>
      <c r="D79" s="102">
        <f>TrRoad_emi!D$34</f>
        <v>1172.9131826632424</v>
      </c>
      <c r="E79" s="102">
        <f>TrRoad_emi!E$34</f>
        <v>1224.5589710312959</v>
      </c>
      <c r="F79" s="102">
        <f>TrRoad_emi!F$34</f>
        <v>1243.8715623418136</v>
      </c>
      <c r="G79" s="102">
        <f>TrRoad_emi!G$34</f>
        <v>1338.6500468323823</v>
      </c>
      <c r="H79" s="102">
        <f>TrRoad_emi!H$34</f>
        <v>1330.1609473678068</v>
      </c>
      <c r="I79" s="102">
        <f>TrRoad_emi!I$34</f>
        <v>1349.2087179519415</v>
      </c>
      <c r="J79" s="102">
        <f>TrRoad_emi!J$34</f>
        <v>1433.3117428976529</v>
      </c>
      <c r="K79" s="102">
        <f>TrRoad_emi!K$34</f>
        <v>1624.7927568726261</v>
      </c>
      <c r="L79" s="102">
        <f>TrRoad_emi!L$34</f>
        <v>1379.2119771047819</v>
      </c>
      <c r="M79" s="102">
        <f>TrRoad_emi!M$34</f>
        <v>1388.4594457423823</v>
      </c>
      <c r="N79" s="102">
        <f>TrRoad_emi!N$34</f>
        <v>1401.6224067012238</v>
      </c>
      <c r="O79" s="102">
        <f>TrRoad_emi!O$34</f>
        <v>1378.8948673110945</v>
      </c>
      <c r="P79" s="102">
        <f>TrRoad_emi!P$34</f>
        <v>1518.0017199458048</v>
      </c>
      <c r="Q79" s="102">
        <f>TrRoad_emi!Q$34</f>
        <v>1630.4302344599498</v>
      </c>
      <c r="R79" s="102">
        <f>TrRoad_emi!R$34</f>
        <v>1657.2879868460125</v>
      </c>
      <c r="S79" s="102">
        <f>TrRoad_emi!S$34</f>
        <v>1781.6063669870357</v>
      </c>
      <c r="T79" s="102">
        <f>TrRoad_emi!T$34</f>
        <v>1886.5453153192984</v>
      </c>
      <c r="U79" s="102">
        <f>TrRoad_emi!U$34</f>
        <v>1979.3408831718025</v>
      </c>
      <c r="V79" s="102">
        <f>TrRoad_emi!V$34</f>
        <v>1912.330885527922</v>
      </c>
      <c r="W79" s="102">
        <f>TrRoad_emi!W$34</f>
        <v>2086.2723107644342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1964.1310113712548</v>
      </c>
      <c r="C80" s="102">
        <f>TrRoad_emi!C$40</f>
        <v>2120.1364137569335</v>
      </c>
      <c r="D80" s="102">
        <f>TrRoad_emi!D$40</f>
        <v>2349.8185789926138</v>
      </c>
      <c r="E80" s="102">
        <f>TrRoad_emi!E$40</f>
        <v>2461.5469904174797</v>
      </c>
      <c r="F80" s="102">
        <f>TrRoad_emi!F$40</f>
        <v>2738.8758215799553</v>
      </c>
      <c r="G80" s="102">
        <f>TrRoad_emi!G$40</f>
        <v>3497.4057054889445</v>
      </c>
      <c r="H80" s="102">
        <f>TrRoad_emi!H$40</f>
        <v>3835.0664890769403</v>
      </c>
      <c r="I80" s="102">
        <f>TrRoad_emi!I$40</f>
        <v>3759.6825506311266</v>
      </c>
      <c r="J80" s="102">
        <f>TrRoad_emi!J$40</f>
        <v>3747.1045131685269</v>
      </c>
      <c r="K80" s="102">
        <f>TrRoad_emi!K$40</f>
        <v>3356.6521429045301</v>
      </c>
      <c r="L80" s="102">
        <f>TrRoad_emi!L$40</f>
        <v>3005.1371360434155</v>
      </c>
      <c r="M80" s="102">
        <f>TrRoad_emi!M$40</f>
        <v>2568.4471144684389</v>
      </c>
      <c r="N80" s="102">
        <f>TrRoad_emi!N$40</f>
        <v>2176.8709757709967</v>
      </c>
      <c r="O80" s="102">
        <f>TrRoad_emi!O$40</f>
        <v>1781.701768469936</v>
      </c>
      <c r="P80" s="102">
        <f>TrRoad_emi!P$40</f>
        <v>2383.3668468010669</v>
      </c>
      <c r="Q80" s="102">
        <f>TrRoad_emi!Q$40</f>
        <v>2840.0200373808907</v>
      </c>
      <c r="R80" s="102">
        <f>TrRoad_emi!R$40</f>
        <v>2693.5041192965055</v>
      </c>
      <c r="S80" s="102">
        <f>TrRoad_emi!S$40</f>
        <v>2877.3952112736351</v>
      </c>
      <c r="T80" s="102">
        <f>TrRoad_emi!T$40</f>
        <v>3055.3177145460727</v>
      </c>
      <c r="U80" s="102">
        <f>TrRoad_emi!U$40</f>
        <v>3015.7174195278476</v>
      </c>
      <c r="V80" s="102">
        <f>TrRoad_emi!V$40</f>
        <v>2200.4592787961469</v>
      </c>
      <c r="W80" s="102">
        <f>TrRoad_emi!W$40</f>
        <v>2844.0880302841006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43.348587003210262</v>
      </c>
      <c r="C81" s="110">
        <f>TrRail_emi!C$15</f>
        <v>37.618181832130787</v>
      </c>
      <c r="D81" s="110">
        <f>TrRail_emi!D$15</f>
        <v>36.055720652750153</v>
      </c>
      <c r="E81" s="110">
        <f>TrRail_emi!E$15</f>
        <v>31.678571013540321</v>
      </c>
      <c r="F81" s="110">
        <f>TrRail_emi!F$15</f>
        <v>32.236273276973854</v>
      </c>
      <c r="G81" s="110">
        <f>TrRail_emi!G$15</f>
        <v>31.947574207683004</v>
      </c>
      <c r="H81" s="110">
        <f>TrRail_emi!H$15</f>
        <v>36.819670245189442</v>
      </c>
      <c r="I81" s="110">
        <f>TrRail_emi!I$15</f>
        <v>36.23502440230908</v>
      </c>
      <c r="J81" s="110">
        <f>TrRail_emi!J$15</f>
        <v>32.984805226583994</v>
      </c>
      <c r="K81" s="110">
        <f>TrRail_emi!K$15</f>
        <v>23.733575276206064</v>
      </c>
      <c r="L81" s="110">
        <f>TrRail_emi!L$15</f>
        <v>23.672571375071943</v>
      </c>
      <c r="M81" s="110">
        <f>TrRail_emi!M$15</f>
        <v>9.8394114083539144</v>
      </c>
      <c r="N81" s="110">
        <f>TrRail_emi!N$15</f>
        <v>18.486442533146636</v>
      </c>
      <c r="O81" s="110">
        <f>TrRail_emi!O$15</f>
        <v>21.944573641071141</v>
      </c>
      <c r="P81" s="110">
        <f>TrRail_emi!P$15</f>
        <v>23.461049175046316</v>
      </c>
      <c r="Q81" s="110">
        <f>TrRail_emi!Q$15</f>
        <v>20.320294798710439</v>
      </c>
      <c r="R81" s="110">
        <f>TrRail_emi!R$15</f>
        <v>18.185039279565348</v>
      </c>
      <c r="S81" s="110">
        <f>TrRail_emi!S$15</f>
        <v>22.017023373007991</v>
      </c>
      <c r="T81" s="110">
        <f>TrRail_emi!T$15</f>
        <v>24.371693923887914</v>
      </c>
      <c r="U81" s="110">
        <f>TrRail_emi!U$15</f>
        <v>22.580869221969863</v>
      </c>
      <c r="V81" s="110">
        <f>TrRail_emi!V$15</f>
        <v>29.060507110348308</v>
      </c>
      <c r="W81" s="110">
        <f>TrRail_emi!W$15</f>
        <v>26.843233926451202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13.827295944890384</v>
      </c>
      <c r="C82" s="110">
        <f t="shared" si="67"/>
        <v>14.7387543601033</v>
      </c>
      <c r="D82" s="110">
        <f t="shared" si="67"/>
        <v>16.908045194419763</v>
      </c>
      <c r="E82" s="110">
        <f t="shared" si="67"/>
        <v>13.650737168188575</v>
      </c>
      <c r="F82" s="110">
        <f t="shared" si="67"/>
        <v>11.598052680192989</v>
      </c>
      <c r="G82" s="110">
        <f t="shared" si="67"/>
        <v>14.419191103944303</v>
      </c>
      <c r="H82" s="110">
        <f t="shared" si="67"/>
        <v>17.447334646827475</v>
      </c>
      <c r="I82" s="110">
        <f t="shared" si="67"/>
        <v>13.143738968361619</v>
      </c>
      <c r="J82" s="110">
        <f t="shared" si="67"/>
        <v>12.716824109464273</v>
      </c>
      <c r="K82" s="110">
        <f t="shared" si="67"/>
        <v>11.038347524041454</v>
      </c>
      <c r="L82" s="110">
        <f t="shared" si="67"/>
        <v>12.497487835390668</v>
      </c>
      <c r="M82" s="110">
        <f t="shared" si="67"/>
        <v>12.844281946501985</v>
      </c>
      <c r="N82" s="110">
        <f t="shared" si="67"/>
        <v>10.420015360250209</v>
      </c>
      <c r="O82" s="110">
        <f t="shared" si="67"/>
        <v>11.11073629434488</v>
      </c>
      <c r="P82" s="110">
        <f t="shared" si="67"/>
        <v>9.7668905403583643</v>
      </c>
      <c r="Q82" s="110">
        <f t="shared" si="67"/>
        <v>9.9487179642192238</v>
      </c>
      <c r="R82" s="110">
        <f t="shared" si="67"/>
        <v>10.176845046349438</v>
      </c>
      <c r="S82" s="110">
        <f t="shared" si="67"/>
        <v>11.97626055739145</v>
      </c>
      <c r="T82" s="110">
        <f t="shared" si="67"/>
        <v>14.061610530305327</v>
      </c>
      <c r="U82" s="110">
        <f t="shared" si="67"/>
        <v>12.454887673361673</v>
      </c>
      <c r="V82" s="110">
        <f t="shared" si="67"/>
        <v>15.878450716557293</v>
      </c>
      <c r="W82" s="110">
        <f t="shared" ref="W82" si="68">W83+W84+W85</f>
        <v>22.635395718335072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9.9885780243807858</v>
      </c>
      <c r="C84" s="102">
        <f>TrAvia_emi!C$12</f>
        <v>11.184268191919731</v>
      </c>
      <c r="D84" s="102">
        <f>TrAvia_emi!D$12</f>
        <v>15.133666590137933</v>
      </c>
      <c r="E84" s="102">
        <f>TrAvia_emi!E$12</f>
        <v>11.885761178002673</v>
      </c>
      <c r="F84" s="102">
        <f>TrAvia_emi!F$12</f>
        <v>10.436292617776184</v>
      </c>
      <c r="G84" s="102">
        <f>TrAvia_emi!G$12</f>
        <v>12.884722253819128</v>
      </c>
      <c r="H84" s="102">
        <f>TrAvia_emi!H$12</f>
        <v>9.6839495788125429</v>
      </c>
      <c r="I84" s="102">
        <f>TrAvia_emi!I$12</f>
        <v>10.486611105461693</v>
      </c>
      <c r="J84" s="102">
        <f>TrAvia_emi!J$12</f>
        <v>9.1089803599641233</v>
      </c>
      <c r="K84" s="102">
        <f>TrAvia_emi!K$12</f>
        <v>7.8293254617992556</v>
      </c>
      <c r="L84" s="102">
        <f>TrAvia_emi!L$12</f>
        <v>8.4342360911835446</v>
      </c>
      <c r="M84" s="102">
        <f>TrAvia_emi!M$12</f>
        <v>10.899540098502808</v>
      </c>
      <c r="N84" s="102">
        <f>TrAvia_emi!N$12</f>
        <v>8.5475848278493824</v>
      </c>
      <c r="O84" s="102">
        <f>TrAvia_emi!O$12</f>
        <v>9.0723254391814372</v>
      </c>
      <c r="P84" s="102">
        <f>TrAvia_emi!P$12</f>
        <v>8.6856456684037244</v>
      </c>
      <c r="Q84" s="102">
        <f>TrAvia_emi!Q$12</f>
        <v>8.8742966328246595</v>
      </c>
      <c r="R84" s="102">
        <f>TrAvia_emi!R$12</f>
        <v>8.5156010987519046</v>
      </c>
      <c r="S84" s="102">
        <f>TrAvia_emi!S$12</f>
        <v>10.127899639311924</v>
      </c>
      <c r="T84" s="102">
        <f>TrAvia_emi!T$12</f>
        <v>12.049977162652567</v>
      </c>
      <c r="U84" s="102">
        <f>TrAvia_emi!U$12</f>
        <v>9.6480065376728188</v>
      </c>
      <c r="V84" s="102">
        <f>TrAvia_emi!V$12</f>
        <v>11.417278847104445</v>
      </c>
      <c r="W84" s="102">
        <f>TrAvia_emi!W$12</f>
        <v>16.690516804426011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3.8387179205095987</v>
      </c>
      <c r="C85" s="102">
        <f>TrAvia_emi!C$13</f>
        <v>3.5544861681835687</v>
      </c>
      <c r="D85" s="102">
        <f>TrAvia_emi!D$13</f>
        <v>1.7743786042818313</v>
      </c>
      <c r="E85" s="102">
        <f>TrAvia_emi!E$13</f>
        <v>1.7649759901859026</v>
      </c>
      <c r="F85" s="102">
        <f>TrAvia_emi!F$13</f>
        <v>1.1617600624168054</v>
      </c>
      <c r="G85" s="102">
        <f>TrAvia_emi!G$13</f>
        <v>1.5344688501251762</v>
      </c>
      <c r="H85" s="102">
        <f>TrAvia_emi!H$13</f>
        <v>7.763385068014931</v>
      </c>
      <c r="I85" s="102">
        <f>TrAvia_emi!I$13</f>
        <v>2.6571278628999271</v>
      </c>
      <c r="J85" s="102">
        <f>TrAvia_emi!J$13</f>
        <v>3.6078437495001507</v>
      </c>
      <c r="K85" s="102">
        <f>TrAvia_emi!K$13</f>
        <v>3.2090220622421985</v>
      </c>
      <c r="L85" s="102">
        <f>TrAvia_emi!L$13</f>
        <v>4.0632517442071228</v>
      </c>
      <c r="M85" s="102">
        <f>TrAvia_emi!M$13</f>
        <v>1.9447418479991765</v>
      </c>
      <c r="N85" s="102">
        <f>TrAvia_emi!N$13</f>
        <v>1.8724305324008264</v>
      </c>
      <c r="O85" s="102">
        <f>TrAvia_emi!O$13</f>
        <v>2.0384108551634434</v>
      </c>
      <c r="P85" s="102">
        <f>TrAvia_emi!P$13</f>
        <v>1.0812448719546393</v>
      </c>
      <c r="Q85" s="102">
        <f>TrAvia_emi!Q$13</f>
        <v>1.074421331394565</v>
      </c>
      <c r="R85" s="102">
        <f>TrAvia_emi!R$13</f>
        <v>1.6612439475975329</v>
      </c>
      <c r="S85" s="102">
        <f>TrAvia_emi!S$13</f>
        <v>1.8483609180795271</v>
      </c>
      <c r="T85" s="102">
        <f>TrAvia_emi!T$13</f>
        <v>2.0116333676527596</v>
      </c>
      <c r="U85" s="102">
        <f>TrAvia_emi!U$13</f>
        <v>2.8068811356888546</v>
      </c>
      <c r="V85" s="102">
        <f>TrAvia_emi!V$13</f>
        <v>4.4611718694528468</v>
      </c>
      <c r="W85" s="102">
        <f>TrAvia_emi!W$13</f>
        <v>5.9448789139090614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3.1861814399999999</v>
      </c>
      <c r="C86" s="110">
        <f t="shared" si="69"/>
        <v>3.1861814399999999</v>
      </c>
      <c r="D86" s="110">
        <f t="shared" si="69"/>
        <v>6.3726296399999995</v>
      </c>
      <c r="E86" s="110">
        <f t="shared" si="69"/>
        <v>28.6767</v>
      </c>
      <c r="F86" s="110">
        <f t="shared" si="69"/>
        <v>6.3726296399999995</v>
      </c>
      <c r="G86" s="110">
        <f t="shared" si="69"/>
        <v>3.1861814399999999</v>
      </c>
      <c r="H86" s="110">
        <f t="shared" si="69"/>
        <v>3.1861814399999999</v>
      </c>
      <c r="I86" s="110">
        <f t="shared" si="69"/>
        <v>3.1122889199999992</v>
      </c>
      <c r="J86" s="110">
        <f t="shared" si="69"/>
        <v>3.1122889199999992</v>
      </c>
      <c r="K86" s="110">
        <f t="shared" si="69"/>
        <v>3.1122889199999992</v>
      </c>
      <c r="L86" s="110">
        <f t="shared" si="69"/>
        <v>3.1122889199999992</v>
      </c>
      <c r="M86" s="110">
        <f t="shared" si="69"/>
        <v>3.1122889199999992</v>
      </c>
      <c r="N86" s="110">
        <f t="shared" si="69"/>
        <v>18.673200000000005</v>
      </c>
      <c r="O86" s="110">
        <f t="shared" si="69"/>
        <v>15.560911079999999</v>
      </c>
      <c r="P86" s="110">
        <f t="shared" si="69"/>
        <v>18.673200000000005</v>
      </c>
      <c r="Q86" s="110">
        <f t="shared" si="69"/>
        <v>18.673200000000005</v>
      </c>
      <c r="R86" s="110">
        <f t="shared" ref="R86:V86" si="70">R87+R88</f>
        <v>15.894361080000003</v>
      </c>
      <c r="S86" s="110">
        <f t="shared" si="70"/>
        <v>15.894361080000003</v>
      </c>
      <c r="T86" s="110">
        <f t="shared" si="70"/>
        <v>15.894361080000003</v>
      </c>
      <c r="U86" s="110">
        <f t="shared" si="70"/>
        <v>15.894361080000003</v>
      </c>
      <c r="V86" s="110">
        <f t="shared" si="70"/>
        <v>12.71564892</v>
      </c>
      <c r="W86" s="110">
        <f t="shared" ref="W86" si="71">W87+W88</f>
        <v>9.5366700000000009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3.1861814399999999</v>
      </c>
      <c r="C88" s="169">
        <f>TrNavi_emi!C$5</f>
        <v>3.1861814399999999</v>
      </c>
      <c r="D88" s="169">
        <f>TrNavi_emi!D$5</f>
        <v>6.3726296399999995</v>
      </c>
      <c r="E88" s="169">
        <f>TrNavi_emi!E$5</f>
        <v>28.6767</v>
      </c>
      <c r="F88" s="169">
        <f>TrNavi_emi!F$5</f>
        <v>6.3726296399999995</v>
      </c>
      <c r="G88" s="169">
        <f>TrNavi_emi!G$5</f>
        <v>3.1861814399999999</v>
      </c>
      <c r="H88" s="169">
        <f>TrNavi_emi!H$5</f>
        <v>3.1861814399999999</v>
      </c>
      <c r="I88" s="169">
        <f>TrNavi_emi!I$5</f>
        <v>3.1122889199999992</v>
      </c>
      <c r="J88" s="169">
        <f>TrNavi_emi!J$5</f>
        <v>3.1122889199999992</v>
      </c>
      <c r="K88" s="169">
        <f>TrNavi_emi!K$5</f>
        <v>3.1122889199999992</v>
      </c>
      <c r="L88" s="169">
        <f>TrNavi_emi!L$5</f>
        <v>3.1122889199999992</v>
      </c>
      <c r="M88" s="169">
        <f>TrNavi_emi!M$5</f>
        <v>3.1122889199999992</v>
      </c>
      <c r="N88" s="169">
        <f>TrNavi_emi!N$5</f>
        <v>18.673200000000005</v>
      </c>
      <c r="O88" s="169">
        <f>TrNavi_emi!O$5</f>
        <v>15.560911079999999</v>
      </c>
      <c r="P88" s="169">
        <f>TrNavi_emi!P$5</f>
        <v>18.673200000000005</v>
      </c>
      <c r="Q88" s="169">
        <f>TrNavi_emi!Q$5</f>
        <v>18.673200000000005</v>
      </c>
      <c r="R88" s="169">
        <f>TrNavi_emi!R$5</f>
        <v>15.894361080000003</v>
      </c>
      <c r="S88" s="169">
        <f>TrNavi_emi!S$5</f>
        <v>15.894361080000003</v>
      </c>
      <c r="T88" s="169">
        <f>TrNavi_emi!T$5</f>
        <v>15.894361080000003</v>
      </c>
      <c r="U88" s="169">
        <f>TrNavi_emi!U$5</f>
        <v>15.894361080000003</v>
      </c>
      <c r="V88" s="169">
        <f>TrNavi_emi!V$5</f>
        <v>12.71564892</v>
      </c>
      <c r="W88" s="169">
        <f>TrNavi_emi!W$5</f>
        <v>9.5366700000000009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0</v>
      </c>
      <c r="J89" s="28">
        <f t="shared" si="72"/>
        <v>0</v>
      </c>
      <c r="K89" s="28">
        <f t="shared" si="72"/>
        <v>0</v>
      </c>
      <c r="L89" s="28">
        <f t="shared" si="72"/>
        <v>0</v>
      </c>
      <c r="M89" s="28">
        <f t="shared" si="72"/>
        <v>0</v>
      </c>
      <c r="N89" s="28">
        <f t="shared" si="72"/>
        <v>0</v>
      </c>
      <c r="O89" s="28">
        <f t="shared" si="72"/>
        <v>0</v>
      </c>
      <c r="P89" s="28">
        <f t="shared" si="72"/>
        <v>0</v>
      </c>
      <c r="Q89" s="28">
        <f t="shared" si="72"/>
        <v>0</v>
      </c>
      <c r="R89" s="28">
        <f t="shared" si="72"/>
        <v>0</v>
      </c>
      <c r="S89" s="28">
        <f t="shared" si="72"/>
        <v>0</v>
      </c>
      <c r="T89" s="28">
        <f t="shared" si="72"/>
        <v>0</v>
      </c>
      <c r="U89" s="28">
        <f t="shared" si="72"/>
        <v>0</v>
      </c>
      <c r="V89" s="28">
        <f t="shared" si="72"/>
        <v>0</v>
      </c>
      <c r="W89" s="28">
        <f t="shared" si="72"/>
        <v>0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0</v>
      </c>
      <c r="J90" s="102">
        <f>MBunk_emi!J$4</f>
        <v>0</v>
      </c>
      <c r="K90" s="102">
        <f>MBunk_emi!K$4</f>
        <v>0</v>
      </c>
      <c r="L90" s="102">
        <f>MBunk_emi!L$4</f>
        <v>0</v>
      </c>
      <c r="M90" s="102">
        <f>MBunk_emi!M$4</f>
        <v>0</v>
      </c>
      <c r="N90" s="102">
        <f>MBunk_emi!N$4</f>
        <v>0</v>
      </c>
      <c r="O90" s="102">
        <f>MBunk_emi!O$4</f>
        <v>0</v>
      </c>
      <c r="P90" s="102">
        <f>MBunk_emi!P$4</f>
        <v>0</v>
      </c>
      <c r="Q90" s="102">
        <f>MBunk_emi!Q$4</f>
        <v>0</v>
      </c>
      <c r="R90" s="102">
        <f>MBunk_emi!R$4</f>
        <v>0</v>
      </c>
      <c r="S90" s="102">
        <f>MBunk_emi!S$4</f>
        <v>0</v>
      </c>
      <c r="T90" s="102">
        <f>MBunk_emi!T$4</f>
        <v>0</v>
      </c>
      <c r="U90" s="102">
        <f>MBunk_emi!U$4</f>
        <v>0</v>
      </c>
      <c r="V90" s="102">
        <f>MBunk_emi!V$4</f>
        <v>0</v>
      </c>
      <c r="W90" s="102">
        <f>MBunk_emi!W$4</f>
        <v>0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0</v>
      </c>
      <c r="J91" s="86">
        <f>MBunk_emi!J$5</f>
        <v>0</v>
      </c>
      <c r="K91" s="86">
        <f>MBunk_emi!K$5</f>
        <v>0</v>
      </c>
      <c r="L91" s="86">
        <f>MBunk_emi!L$5</f>
        <v>0</v>
      </c>
      <c r="M91" s="86">
        <f>MBunk_emi!M$5</f>
        <v>0</v>
      </c>
      <c r="N91" s="86">
        <f>MBunk_emi!N$5</f>
        <v>0</v>
      </c>
      <c r="O91" s="86">
        <f>MBunk_emi!O$5</f>
        <v>0</v>
      </c>
      <c r="P91" s="86">
        <f>MBunk_emi!P$5</f>
        <v>0</v>
      </c>
      <c r="Q91" s="86">
        <f>MBunk_emi!Q$5</f>
        <v>0</v>
      </c>
      <c r="R91" s="86">
        <f>MBunk_emi!R$5</f>
        <v>0</v>
      </c>
      <c r="S91" s="86">
        <f>MBunk_emi!S$5</f>
        <v>0</v>
      </c>
      <c r="T91" s="86">
        <f>MBunk_emi!T$5</f>
        <v>0</v>
      </c>
      <c r="U91" s="86">
        <f>MBunk_emi!U$5</f>
        <v>0</v>
      </c>
      <c r="V91" s="86">
        <f>MBunk_emi!V$5</f>
        <v>0</v>
      </c>
      <c r="W91" s="86">
        <f>MBunk_emi!W$5</f>
        <v>0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0.80246232003681117</v>
      </c>
      <c r="C97" s="139">
        <f t="shared" si="76"/>
        <v>0.80090293164341253</v>
      </c>
      <c r="D97" s="139">
        <f t="shared" si="76"/>
        <v>0.79884299766709621</v>
      </c>
      <c r="E97" s="139">
        <f t="shared" si="76"/>
        <v>0.80014089142598688</v>
      </c>
      <c r="F97" s="139">
        <f t="shared" si="76"/>
        <v>0.79600142880839786</v>
      </c>
      <c r="G97" s="139">
        <f t="shared" si="76"/>
        <v>0.78859460943682935</v>
      </c>
      <c r="H97" s="139">
        <f t="shared" si="76"/>
        <v>0.79639631549836709</v>
      </c>
      <c r="I97" s="139">
        <f t="shared" si="76"/>
        <v>0.8040097423665411</v>
      </c>
      <c r="J97" s="139">
        <f t="shared" si="76"/>
        <v>0.81228060983935224</v>
      </c>
      <c r="K97" s="139">
        <f t="shared" si="76"/>
        <v>0.81541283006676835</v>
      </c>
      <c r="L97" s="139">
        <f t="shared" si="76"/>
        <v>0.81555963129268771</v>
      </c>
      <c r="M97" s="139">
        <f t="shared" si="76"/>
        <v>0.81015389755841982</v>
      </c>
      <c r="N97" s="139">
        <f t="shared" si="76"/>
        <v>0.81549693994633865</v>
      </c>
      <c r="O97" s="139">
        <f t="shared" si="76"/>
        <v>0.81540074657046346</v>
      </c>
      <c r="P97" s="139">
        <f t="shared" si="76"/>
        <v>0.81107909243465071</v>
      </c>
      <c r="Q97" s="139">
        <f t="shared" si="76"/>
        <v>0.80610415738698704</v>
      </c>
      <c r="R97" s="139">
        <f t="shared" ref="R97:V97" si="77">IF(R5=0,0,R5/R$4)</f>
        <v>0.79834481184466843</v>
      </c>
      <c r="S97" s="139">
        <f t="shared" si="77"/>
        <v>0.7971994212344552</v>
      </c>
      <c r="T97" s="139">
        <f t="shared" si="77"/>
        <v>0.79210255668161511</v>
      </c>
      <c r="U97" s="139">
        <f t="shared" si="77"/>
        <v>0.78743930003222318</v>
      </c>
      <c r="V97" s="139">
        <f t="shared" si="77"/>
        <v>0.8874965028920534</v>
      </c>
      <c r="W97" s="139">
        <f t="shared" ref="W97" si="78">IF(W5=0,0,W5/W$4)</f>
        <v>0.88210060868137274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3.4674413035352199E-3</v>
      </c>
      <c r="C98" s="140">
        <f t="shared" si="79"/>
        <v>3.5377490764906773E-3</v>
      </c>
      <c r="D98" s="140">
        <f t="shared" si="79"/>
        <v>3.6736204047444869E-3</v>
      </c>
      <c r="E98" s="140">
        <f t="shared" si="79"/>
        <v>3.8401690510908226E-3</v>
      </c>
      <c r="F98" s="140">
        <f t="shared" si="79"/>
        <v>4.134446294960261E-3</v>
      </c>
      <c r="G98" s="140">
        <f t="shared" si="79"/>
        <v>4.4046058891279542E-3</v>
      </c>
      <c r="H98" s="140">
        <f t="shared" si="79"/>
        <v>4.5162901269582244E-3</v>
      </c>
      <c r="I98" s="140">
        <f t="shared" si="79"/>
        <v>4.706333388521583E-3</v>
      </c>
      <c r="J98" s="140">
        <f t="shared" si="79"/>
        <v>4.9136954144244141E-3</v>
      </c>
      <c r="K98" s="140">
        <f t="shared" si="79"/>
        <v>5.0169758684630453E-3</v>
      </c>
      <c r="L98" s="140">
        <f t="shared" si="79"/>
        <v>5.1372889991500251E-3</v>
      </c>
      <c r="M98" s="140">
        <f t="shared" si="79"/>
        <v>5.3063165204503557E-3</v>
      </c>
      <c r="N98" s="140">
        <f t="shared" si="79"/>
        <v>5.4384079862935678E-3</v>
      </c>
      <c r="O98" s="140">
        <f t="shared" si="79"/>
        <v>5.6300466235419486E-3</v>
      </c>
      <c r="P98" s="140">
        <f t="shared" si="79"/>
        <v>5.6531213105405738E-3</v>
      </c>
      <c r="Q98" s="140">
        <f t="shared" si="79"/>
        <v>5.511706352749929E-3</v>
      </c>
      <c r="R98" s="140">
        <f t="shared" ref="R98:V98" si="80">IF(R6=0,0,R6/R$4)</f>
        <v>5.2806504009922754E-3</v>
      </c>
      <c r="S98" s="140">
        <f t="shared" si="80"/>
        <v>5.2586299194548889E-3</v>
      </c>
      <c r="T98" s="140">
        <f t="shared" si="80"/>
        <v>5.2568421707727313E-3</v>
      </c>
      <c r="U98" s="140">
        <f t="shared" si="80"/>
        <v>5.1712521525192658E-3</v>
      </c>
      <c r="V98" s="140">
        <f t="shared" si="80"/>
        <v>6.0327445408754005E-3</v>
      </c>
      <c r="W98" s="140">
        <f t="shared" ref="W98" si="81">IF(W6=0,0,W6/W$4)</f>
        <v>5.860897519327871E-3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0.56842469034851306</v>
      </c>
      <c r="C99" s="140">
        <f t="shared" si="82"/>
        <v>0.56827205165270689</v>
      </c>
      <c r="D99" s="140">
        <f t="shared" si="82"/>
        <v>0.56468514628127975</v>
      </c>
      <c r="E99" s="140">
        <f t="shared" si="82"/>
        <v>0.57136115947523458</v>
      </c>
      <c r="F99" s="140">
        <f t="shared" si="82"/>
        <v>0.57759114469058226</v>
      </c>
      <c r="G99" s="140">
        <f t="shared" si="82"/>
        <v>0.5760965195287161</v>
      </c>
      <c r="H99" s="140">
        <f t="shared" si="82"/>
        <v>0.58975305754580754</v>
      </c>
      <c r="I99" s="140">
        <f t="shared" si="82"/>
        <v>0.60653559101332444</v>
      </c>
      <c r="J99" s="140">
        <f t="shared" si="82"/>
        <v>0.60846300134691</v>
      </c>
      <c r="K99" s="140">
        <f t="shared" si="82"/>
        <v>0.62363541415515111</v>
      </c>
      <c r="L99" s="140">
        <f t="shared" si="82"/>
        <v>0.61724054525209426</v>
      </c>
      <c r="M99" s="140">
        <f t="shared" si="82"/>
        <v>0.6120813274577418</v>
      </c>
      <c r="N99" s="140">
        <f t="shared" si="82"/>
        <v>0.60921991774213258</v>
      </c>
      <c r="O99" s="140">
        <f t="shared" si="82"/>
        <v>0.60842718852269673</v>
      </c>
      <c r="P99" s="140">
        <f t="shared" si="82"/>
        <v>0.60359095280263275</v>
      </c>
      <c r="Q99" s="140">
        <f t="shared" si="82"/>
        <v>0.60366000687460275</v>
      </c>
      <c r="R99" s="140">
        <f t="shared" ref="R99:V99" si="83">IF(R7=0,0,R7/R$4)</f>
        <v>0.60334417375442329</v>
      </c>
      <c r="S99" s="140">
        <f t="shared" si="83"/>
        <v>0.60827699771263855</v>
      </c>
      <c r="T99" s="140">
        <f t="shared" si="83"/>
        <v>0.60757986712260348</v>
      </c>
      <c r="U99" s="140">
        <f t="shared" si="83"/>
        <v>0.61108470966824935</v>
      </c>
      <c r="V99" s="140">
        <f t="shared" si="83"/>
        <v>0.73801879491211797</v>
      </c>
      <c r="W99" s="140">
        <f t="shared" ref="W99" si="84">IF(W7=0,0,W7/W$4)</f>
        <v>0.7420260525339607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0.23057018838476281</v>
      </c>
      <c r="C100" s="140">
        <f t="shared" si="85"/>
        <v>0.2290931309142149</v>
      </c>
      <c r="D100" s="140">
        <f t="shared" si="85"/>
        <v>0.23048423098107187</v>
      </c>
      <c r="E100" s="140">
        <f t="shared" si="85"/>
        <v>0.22493956289966141</v>
      </c>
      <c r="F100" s="140">
        <f t="shared" si="85"/>
        <v>0.21427583782285539</v>
      </c>
      <c r="G100" s="140">
        <f t="shared" si="85"/>
        <v>0.20809348401898545</v>
      </c>
      <c r="H100" s="140">
        <f t="shared" si="85"/>
        <v>0.20212696782560133</v>
      </c>
      <c r="I100" s="140">
        <f t="shared" si="85"/>
        <v>0.19276781796469522</v>
      </c>
      <c r="J100" s="140">
        <f t="shared" si="85"/>
        <v>0.19890391307801775</v>
      </c>
      <c r="K100" s="140">
        <f t="shared" si="85"/>
        <v>0.18676044004315415</v>
      </c>
      <c r="L100" s="140">
        <f t="shared" si="85"/>
        <v>0.19318179704144353</v>
      </c>
      <c r="M100" s="140">
        <f t="shared" si="85"/>
        <v>0.1927662535802275</v>
      </c>
      <c r="N100" s="140">
        <f t="shared" si="85"/>
        <v>0.20083861421791263</v>
      </c>
      <c r="O100" s="140">
        <f t="shared" si="85"/>
        <v>0.20134351142422463</v>
      </c>
      <c r="P100" s="140">
        <f t="shared" si="85"/>
        <v>0.20183501832147741</v>
      </c>
      <c r="Q100" s="140">
        <f t="shared" si="85"/>
        <v>0.19693244415963432</v>
      </c>
      <c r="R100" s="140">
        <f t="shared" ref="R100:V100" si="86">IF(R8=0,0,R8/R$4)</f>
        <v>0.1897199876892528</v>
      </c>
      <c r="S100" s="140">
        <f t="shared" si="86"/>
        <v>0.18366379360236182</v>
      </c>
      <c r="T100" s="140">
        <f t="shared" si="86"/>
        <v>0.17926584738823903</v>
      </c>
      <c r="U100" s="140">
        <f t="shared" si="86"/>
        <v>0.17118333821145457</v>
      </c>
      <c r="V100" s="140">
        <f t="shared" si="86"/>
        <v>0.14344496343905999</v>
      </c>
      <c r="W100" s="140">
        <f t="shared" ref="W100" si="87">IF(W8=0,0,W8/W$4)</f>
        <v>0.13421365862808418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0.15094395794161578</v>
      </c>
      <c r="C101" s="124">
        <f t="shared" si="88"/>
        <v>0.15475507409234393</v>
      </c>
      <c r="D101" s="124">
        <f t="shared" si="88"/>
        <v>0.15936805197532361</v>
      </c>
      <c r="E101" s="124">
        <f t="shared" si="88"/>
        <v>0.15393576117183225</v>
      </c>
      <c r="F101" s="124">
        <f t="shared" si="88"/>
        <v>0.1479812006256179</v>
      </c>
      <c r="G101" s="124">
        <f t="shared" si="88"/>
        <v>0.14231285396288587</v>
      </c>
      <c r="H101" s="124">
        <f t="shared" si="88"/>
        <v>0.13461227678781396</v>
      </c>
      <c r="I101" s="124">
        <f t="shared" si="88"/>
        <v>0.12403701182773506</v>
      </c>
      <c r="J101" s="124">
        <f t="shared" si="88"/>
        <v>0.11973217878554972</v>
      </c>
      <c r="K101" s="124">
        <f t="shared" si="88"/>
        <v>0.12148027149768331</v>
      </c>
      <c r="L101" s="124">
        <f t="shared" si="88"/>
        <v>0.11935234043566495</v>
      </c>
      <c r="M101" s="124">
        <f t="shared" si="88"/>
        <v>0.12026919557392483</v>
      </c>
      <c r="N101" s="124">
        <f t="shared" si="88"/>
        <v>0.12121443434325493</v>
      </c>
      <c r="O101" s="124">
        <f t="shared" si="88"/>
        <v>0.12154090807064331</v>
      </c>
      <c r="P101" s="124">
        <f t="shared" si="88"/>
        <v>0.12086552156767348</v>
      </c>
      <c r="Q101" s="124">
        <f t="shared" si="88"/>
        <v>0.11669753424848513</v>
      </c>
      <c r="R101" s="124">
        <f t="shared" ref="R101:V101" si="89">IF(R9=0,0,R9/R$4)</f>
        <v>0.11407198045788215</v>
      </c>
      <c r="S101" s="124">
        <f t="shared" si="89"/>
        <v>0.10809098498157878</v>
      </c>
      <c r="T101" s="124">
        <f t="shared" si="89"/>
        <v>9.9551809682244724E-2</v>
      </c>
      <c r="U101" s="124">
        <f t="shared" si="89"/>
        <v>9.6259291580020889E-2</v>
      </c>
      <c r="V101" s="124">
        <f t="shared" si="89"/>
        <v>7.7345284133794504E-2</v>
      </c>
      <c r="W101" s="124">
        <f t="shared" ref="W101" si="90">IF(W9=0,0,W9/W$4)</f>
        <v>7.9292688534762901E-2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3.1633855656034625E-2</v>
      </c>
      <c r="C102" s="140">
        <f t="shared" si="91"/>
        <v>3.1637666626225837E-2</v>
      </c>
      <c r="D102" s="140">
        <f t="shared" si="91"/>
        <v>3.0929622699121501E-2</v>
      </c>
      <c r="E102" s="140">
        <f t="shared" si="91"/>
        <v>3.025327098174738E-2</v>
      </c>
      <c r="F102" s="140">
        <f t="shared" si="91"/>
        <v>2.8455661939928115E-2</v>
      </c>
      <c r="G102" s="140">
        <f t="shared" si="91"/>
        <v>2.7438720532175546E-2</v>
      </c>
      <c r="H102" s="140">
        <f t="shared" si="91"/>
        <v>2.5736523566416487E-2</v>
      </c>
      <c r="I102" s="140">
        <f t="shared" si="91"/>
        <v>2.5634915424876357E-2</v>
      </c>
      <c r="J102" s="140">
        <f t="shared" si="91"/>
        <v>2.6307954969818255E-2</v>
      </c>
      <c r="K102" s="140">
        <f t="shared" si="91"/>
        <v>2.8936976713868693E-2</v>
      </c>
      <c r="L102" s="140">
        <f t="shared" si="91"/>
        <v>2.921022373100984E-2</v>
      </c>
      <c r="M102" s="140">
        <f t="shared" si="91"/>
        <v>2.9331465290208733E-2</v>
      </c>
      <c r="N102" s="140">
        <f t="shared" si="91"/>
        <v>2.9395642655283834E-2</v>
      </c>
      <c r="O102" s="140">
        <f t="shared" si="91"/>
        <v>2.9473796068578875E-2</v>
      </c>
      <c r="P102" s="140">
        <f t="shared" si="91"/>
        <v>3.2278248597873357E-2</v>
      </c>
      <c r="Q102" s="140">
        <f t="shared" si="91"/>
        <v>3.2576716851842963E-2</v>
      </c>
      <c r="R102" s="140">
        <f t="shared" ref="R102:V102" si="92">IF(R10=0,0,R10/R$4)</f>
        <v>3.2603431280215693E-2</v>
      </c>
      <c r="S102" s="140">
        <f t="shared" si="92"/>
        <v>3.0548080054273841E-2</v>
      </c>
      <c r="T102" s="140">
        <f t="shared" si="92"/>
        <v>2.5726680003876231E-2</v>
      </c>
      <c r="U102" s="140">
        <f t="shared" si="92"/>
        <v>2.5591739750378178E-2</v>
      </c>
      <c r="V102" s="140">
        <f t="shared" si="92"/>
        <v>2.1301992719338837E-2</v>
      </c>
      <c r="W102" s="140">
        <f t="shared" ref="W102" si="93">IF(W10=0,0,W10/W$4)</f>
        <v>1.9452554437663833E-2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0.11931010228558114</v>
      </c>
      <c r="C103" s="140">
        <f t="shared" si="94"/>
        <v>0.12311740746611807</v>
      </c>
      <c r="D103" s="140">
        <f t="shared" si="94"/>
        <v>0.12843842927620211</v>
      </c>
      <c r="E103" s="140">
        <f t="shared" si="94"/>
        <v>0.12368249019008487</v>
      </c>
      <c r="F103" s="140">
        <f t="shared" si="94"/>
        <v>0.1195255386856898</v>
      </c>
      <c r="G103" s="140">
        <f t="shared" si="94"/>
        <v>0.11487413343071032</v>
      </c>
      <c r="H103" s="140">
        <f t="shared" si="94"/>
        <v>0.10887575322139748</v>
      </c>
      <c r="I103" s="140">
        <f t="shared" si="94"/>
        <v>9.8402096402858699E-2</v>
      </c>
      <c r="J103" s="140">
        <f t="shared" si="94"/>
        <v>9.3424223815731469E-2</v>
      </c>
      <c r="K103" s="140">
        <f t="shared" si="94"/>
        <v>9.2543294783814609E-2</v>
      </c>
      <c r="L103" s="140">
        <f t="shared" si="94"/>
        <v>9.0142116704655106E-2</v>
      </c>
      <c r="M103" s="140">
        <f t="shared" si="94"/>
        <v>9.0937730283716087E-2</v>
      </c>
      <c r="N103" s="140">
        <f t="shared" si="94"/>
        <v>9.1818791687971094E-2</v>
      </c>
      <c r="O103" s="140">
        <f t="shared" si="94"/>
        <v>9.2067112002064438E-2</v>
      </c>
      <c r="P103" s="140">
        <f t="shared" si="94"/>
        <v>8.8587272969800124E-2</v>
      </c>
      <c r="Q103" s="140">
        <f t="shared" si="94"/>
        <v>8.4120817396642164E-2</v>
      </c>
      <c r="R103" s="140">
        <f t="shared" ref="R103:V103" si="95">IF(R11=0,0,R11/R$4)</f>
        <v>8.1468549177666466E-2</v>
      </c>
      <c r="S103" s="140">
        <f t="shared" si="95"/>
        <v>7.7542904927304937E-2</v>
      </c>
      <c r="T103" s="140">
        <f t="shared" si="95"/>
        <v>7.3825129678368476E-2</v>
      </c>
      <c r="U103" s="140">
        <f t="shared" si="95"/>
        <v>7.0667551829642725E-2</v>
      </c>
      <c r="V103" s="140">
        <f t="shared" si="95"/>
        <v>5.6043291414455666E-2</v>
      </c>
      <c r="W103" s="140">
        <f t="shared" ref="W103" si="96">IF(W11=0,0,W11/W$4)</f>
        <v>5.9840134097099061E-2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4.6593722021573108E-2</v>
      </c>
      <c r="C105" s="124">
        <f t="shared" si="100"/>
        <v>4.4341994264243643E-2</v>
      </c>
      <c r="D105" s="124">
        <f t="shared" si="100"/>
        <v>4.1788950357580144E-2</v>
      </c>
      <c r="E105" s="124">
        <f t="shared" si="100"/>
        <v>4.5923347402180868E-2</v>
      </c>
      <c r="F105" s="124">
        <f t="shared" si="100"/>
        <v>5.6017370565984152E-2</v>
      </c>
      <c r="G105" s="124">
        <f t="shared" si="100"/>
        <v>6.9092536600284846E-2</v>
      </c>
      <c r="H105" s="124">
        <f t="shared" si="100"/>
        <v>6.8991407713818953E-2</v>
      </c>
      <c r="I105" s="124">
        <f t="shared" si="100"/>
        <v>7.1953245805723751E-2</v>
      </c>
      <c r="J105" s="124">
        <f t="shared" si="100"/>
        <v>6.7987211375098097E-2</v>
      </c>
      <c r="K105" s="124">
        <f t="shared" si="100"/>
        <v>6.3106898435548314E-2</v>
      </c>
      <c r="L105" s="124">
        <f t="shared" si="100"/>
        <v>6.5088028271647363E-2</v>
      </c>
      <c r="M105" s="124">
        <f t="shared" si="100"/>
        <v>6.957690686765533E-2</v>
      </c>
      <c r="N105" s="124">
        <f t="shared" si="100"/>
        <v>6.3288625710406318E-2</v>
      </c>
      <c r="O105" s="124">
        <f t="shared" si="100"/>
        <v>6.3058345358893111E-2</v>
      </c>
      <c r="P105" s="124">
        <f t="shared" si="100"/>
        <v>6.8055385997675785E-2</v>
      </c>
      <c r="Q105" s="124">
        <f t="shared" si="100"/>
        <v>7.7198308364527859E-2</v>
      </c>
      <c r="R105" s="124">
        <f t="shared" ref="R105:V105" si="101">IF(R13=0,0,R13/R$4)</f>
        <v>8.7583207697449289E-2</v>
      </c>
      <c r="S105" s="124">
        <f t="shared" si="101"/>
        <v>9.4709593783966081E-2</v>
      </c>
      <c r="T105" s="124">
        <f t="shared" si="101"/>
        <v>0.10834563363614017</v>
      </c>
      <c r="U105" s="124">
        <f t="shared" si="101"/>
        <v>0.11630140838775585</v>
      </c>
      <c r="V105" s="124">
        <f t="shared" si="101"/>
        <v>3.5158212974152114E-2</v>
      </c>
      <c r="W105" s="124">
        <f t="shared" ref="W105" si="102">IF(W13=0,0,W13/W$4)</f>
        <v>3.8606702783864223E-2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2.7849304797922934E-2</v>
      </c>
      <c r="C107" s="140">
        <f t="shared" si="106"/>
        <v>2.6667544008343116E-2</v>
      </c>
      <c r="D107" s="140">
        <f t="shared" si="106"/>
        <v>2.6732289216009751E-2</v>
      </c>
      <c r="E107" s="140">
        <f t="shared" si="106"/>
        <v>2.7706704656545466E-2</v>
      </c>
      <c r="F107" s="140">
        <f t="shared" si="106"/>
        <v>3.5132340609746439E-2</v>
      </c>
      <c r="G107" s="140">
        <f t="shared" si="106"/>
        <v>4.7229384974212217E-2</v>
      </c>
      <c r="H107" s="140">
        <f t="shared" si="106"/>
        <v>4.6167619916902172E-2</v>
      </c>
      <c r="I107" s="140">
        <f t="shared" si="106"/>
        <v>4.5677336520374409E-2</v>
      </c>
      <c r="J107" s="140">
        <f t="shared" si="106"/>
        <v>4.3916613328605428E-2</v>
      </c>
      <c r="K107" s="140">
        <f t="shared" si="106"/>
        <v>4.297950853344263E-2</v>
      </c>
      <c r="L107" s="140">
        <f t="shared" si="106"/>
        <v>4.3898108501110769E-2</v>
      </c>
      <c r="M107" s="140">
        <f t="shared" si="106"/>
        <v>4.7649587945884975E-2</v>
      </c>
      <c r="N107" s="140">
        <f t="shared" si="106"/>
        <v>5.0725436326476643E-2</v>
      </c>
      <c r="O107" s="140">
        <f t="shared" si="106"/>
        <v>4.8444568878434055E-2</v>
      </c>
      <c r="P107" s="140">
        <f t="shared" si="106"/>
        <v>4.9297306595369184E-2</v>
      </c>
      <c r="Q107" s="140">
        <f t="shared" si="106"/>
        <v>5.40636718568746E-2</v>
      </c>
      <c r="R107" s="140">
        <f t="shared" ref="R107:V107" si="107">IF(R15=0,0,R15/R$4)</f>
        <v>6.3301997302615945E-2</v>
      </c>
      <c r="S107" s="140">
        <f t="shared" si="107"/>
        <v>6.6321708158374001E-2</v>
      </c>
      <c r="T107" s="140">
        <f t="shared" si="107"/>
        <v>6.8955998253172973E-2</v>
      </c>
      <c r="U107" s="140">
        <f t="shared" si="107"/>
        <v>7.2229864949293163E-2</v>
      </c>
      <c r="V107" s="140">
        <f t="shared" si="107"/>
        <v>2.3718527886177246E-2</v>
      </c>
      <c r="W107" s="140">
        <f t="shared" ref="W107" si="108">IF(W15=0,0,W15/W$4)</f>
        <v>2.4454729468339625E-2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1.8744417223650178E-2</v>
      </c>
      <c r="C108" s="140">
        <f t="shared" si="109"/>
        <v>1.7674450255900528E-2</v>
      </c>
      <c r="D108" s="140">
        <f t="shared" si="109"/>
        <v>1.5056661141570395E-2</v>
      </c>
      <c r="E108" s="140">
        <f t="shared" si="109"/>
        <v>1.8216642745635402E-2</v>
      </c>
      <c r="F108" s="140">
        <f t="shared" si="109"/>
        <v>2.0885029956237717E-2</v>
      </c>
      <c r="G108" s="140">
        <f t="shared" si="109"/>
        <v>2.1863151626072636E-2</v>
      </c>
      <c r="H108" s="140">
        <f t="shared" si="109"/>
        <v>2.2823787796916784E-2</v>
      </c>
      <c r="I108" s="140">
        <f t="shared" si="109"/>
        <v>2.6275909285349341E-2</v>
      </c>
      <c r="J108" s="140">
        <f t="shared" si="109"/>
        <v>2.4070598046492669E-2</v>
      </c>
      <c r="K108" s="140">
        <f t="shared" si="109"/>
        <v>2.0127389902105684E-2</v>
      </c>
      <c r="L108" s="140">
        <f t="shared" si="109"/>
        <v>2.1189919770536598E-2</v>
      </c>
      <c r="M108" s="140">
        <f t="shared" si="109"/>
        <v>2.1927318921770352E-2</v>
      </c>
      <c r="N108" s="140">
        <f t="shared" si="109"/>
        <v>1.2563189383929675E-2</v>
      </c>
      <c r="O108" s="140">
        <f t="shared" si="109"/>
        <v>1.4613776480459053E-2</v>
      </c>
      <c r="P108" s="140">
        <f t="shared" si="109"/>
        <v>1.8758079402306598E-2</v>
      </c>
      <c r="Q108" s="140">
        <f t="shared" si="109"/>
        <v>2.3134636507653263E-2</v>
      </c>
      <c r="R108" s="140">
        <f t="shared" ref="R108:V108" si="110">IF(R16=0,0,R16/R$4)</f>
        <v>2.4281210394833344E-2</v>
      </c>
      <c r="S108" s="140">
        <f t="shared" si="110"/>
        <v>2.8387885625592073E-2</v>
      </c>
      <c r="T108" s="140">
        <f t="shared" si="110"/>
        <v>3.9389635382967206E-2</v>
      </c>
      <c r="U108" s="140">
        <f t="shared" si="110"/>
        <v>4.4071543438462701E-2</v>
      </c>
      <c r="V108" s="140">
        <f t="shared" si="110"/>
        <v>1.1439685087974872E-2</v>
      </c>
      <c r="W108" s="140">
        <f t="shared" ref="W108" si="111">IF(W16=0,0,W16/W$4)</f>
        <v>1.4151973315524593E-2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0.67793862896297619</v>
      </c>
      <c r="C110" s="139">
        <f t="shared" si="115"/>
        <v>0.70161769496262227</v>
      </c>
      <c r="D110" s="139">
        <f t="shared" si="115"/>
        <v>0.6905471729139725</v>
      </c>
      <c r="E110" s="139">
        <f t="shared" si="115"/>
        <v>0.6888860618620728</v>
      </c>
      <c r="F110" s="139">
        <f t="shared" si="115"/>
        <v>0.67372138114112756</v>
      </c>
      <c r="G110" s="139">
        <f t="shared" si="115"/>
        <v>0.67060581777029005</v>
      </c>
      <c r="H110" s="139">
        <f t="shared" si="115"/>
        <v>0.67233978283131879</v>
      </c>
      <c r="I110" s="139">
        <f t="shared" si="115"/>
        <v>0.68593423469950909</v>
      </c>
      <c r="J110" s="139">
        <f t="shared" si="115"/>
        <v>0.69708001372583905</v>
      </c>
      <c r="K110" s="139">
        <f t="shared" si="115"/>
        <v>0.70905932922863768</v>
      </c>
      <c r="L110" s="139">
        <f t="shared" si="115"/>
        <v>0.66259782688551572</v>
      </c>
      <c r="M110" s="139">
        <f t="shared" si="115"/>
        <v>0.66571913321994547</v>
      </c>
      <c r="N110" s="139">
        <f t="shared" si="115"/>
        <v>0.64697107854506475</v>
      </c>
      <c r="O110" s="139">
        <f t="shared" si="115"/>
        <v>0.64198163677049236</v>
      </c>
      <c r="P110" s="139">
        <f t="shared" si="115"/>
        <v>0.64349799934361829</v>
      </c>
      <c r="Q110" s="139">
        <f t="shared" si="115"/>
        <v>0.66020682117949192</v>
      </c>
      <c r="R110" s="139">
        <f t="shared" ref="R110:V110" si="116">IF(R18=0,0,R18/R$17)</f>
        <v>0.66879401037931097</v>
      </c>
      <c r="S110" s="139">
        <f t="shared" si="116"/>
        <v>0.63587234584441099</v>
      </c>
      <c r="T110" s="139">
        <f t="shared" si="116"/>
        <v>0.69670993629004319</v>
      </c>
      <c r="U110" s="139">
        <f t="shared" si="116"/>
        <v>0.69297729435361299</v>
      </c>
      <c r="V110" s="139">
        <f t="shared" si="116"/>
        <v>0.66829569711064174</v>
      </c>
      <c r="W110" s="139">
        <f t="shared" ref="W110" si="117">IF(W18=0,0,W18/W$17)</f>
        <v>0.7004075651350895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1.7343521322653054E-2</v>
      </c>
      <c r="C111" s="140">
        <f t="shared" si="118"/>
        <v>1.8710572662632066E-2</v>
      </c>
      <c r="D111" s="140">
        <f t="shared" si="118"/>
        <v>1.9882779602435521E-2</v>
      </c>
      <c r="E111" s="140">
        <f t="shared" si="118"/>
        <v>2.1009533216233209E-2</v>
      </c>
      <c r="F111" s="140">
        <f t="shared" si="118"/>
        <v>1.931059184404129E-2</v>
      </c>
      <c r="G111" s="140">
        <f t="shared" si="118"/>
        <v>1.9360995609592636E-2</v>
      </c>
      <c r="H111" s="140">
        <f t="shared" si="118"/>
        <v>1.7899487097666034E-2</v>
      </c>
      <c r="I111" s="140">
        <f t="shared" si="118"/>
        <v>1.7837006410622646E-2</v>
      </c>
      <c r="J111" s="140">
        <f t="shared" si="118"/>
        <v>1.9157517318900353E-2</v>
      </c>
      <c r="K111" s="140">
        <f t="shared" si="118"/>
        <v>2.7143867759050692E-2</v>
      </c>
      <c r="L111" s="140">
        <f t="shared" si="118"/>
        <v>2.2831638265187863E-2</v>
      </c>
      <c r="M111" s="140">
        <f t="shared" si="118"/>
        <v>2.4418174669269006E-2</v>
      </c>
      <c r="N111" s="140">
        <f t="shared" si="118"/>
        <v>2.612903974696865E-2</v>
      </c>
      <c r="O111" s="140">
        <f t="shared" si="118"/>
        <v>2.6929755511364346E-2</v>
      </c>
      <c r="P111" s="140">
        <f t="shared" si="118"/>
        <v>2.6835068892190613E-2</v>
      </c>
      <c r="Q111" s="140">
        <f t="shared" si="118"/>
        <v>2.6845032463906977E-2</v>
      </c>
      <c r="R111" s="140">
        <f t="shared" ref="R111:V111" si="119">IF(R19=0,0,R19/R$17)</f>
        <v>2.6252403742267623E-2</v>
      </c>
      <c r="S111" s="140">
        <f t="shared" si="119"/>
        <v>2.4959340712582302E-2</v>
      </c>
      <c r="T111" s="140">
        <f t="shared" si="119"/>
        <v>2.7801666984835192E-2</v>
      </c>
      <c r="U111" s="140">
        <f t="shared" si="119"/>
        <v>2.869164313611143E-2</v>
      </c>
      <c r="V111" s="140">
        <f t="shared" si="119"/>
        <v>3.0369064669273006E-2</v>
      </c>
      <c r="W111" s="140">
        <f t="shared" ref="W111" si="120">IF(W19=0,0,W19/W$17)</f>
        <v>2.9409970415605721E-2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0.66059510764032314</v>
      </c>
      <c r="C112" s="140">
        <f t="shared" si="121"/>
        <v>0.68290712229999018</v>
      </c>
      <c r="D112" s="140">
        <f t="shared" si="121"/>
        <v>0.67066439331153693</v>
      </c>
      <c r="E112" s="140">
        <f t="shared" si="121"/>
        <v>0.66787652864583957</v>
      </c>
      <c r="F112" s="140">
        <f t="shared" si="121"/>
        <v>0.65441078929708629</v>
      </c>
      <c r="G112" s="140">
        <f t="shared" si="121"/>
        <v>0.65124482216069746</v>
      </c>
      <c r="H112" s="140">
        <f t="shared" si="121"/>
        <v>0.6544402957336527</v>
      </c>
      <c r="I112" s="140">
        <f t="shared" si="121"/>
        <v>0.6680972282888864</v>
      </c>
      <c r="J112" s="140">
        <f t="shared" si="121"/>
        <v>0.67792249640693869</v>
      </c>
      <c r="K112" s="140">
        <f t="shared" si="121"/>
        <v>0.68191546146958704</v>
      </c>
      <c r="L112" s="140">
        <f t="shared" si="121"/>
        <v>0.63976618862032786</v>
      </c>
      <c r="M112" s="140">
        <f t="shared" si="121"/>
        <v>0.64130095855067648</v>
      </c>
      <c r="N112" s="140">
        <f t="shared" si="121"/>
        <v>0.62084203879809607</v>
      </c>
      <c r="O112" s="140">
        <f t="shared" si="121"/>
        <v>0.61505188125912802</v>
      </c>
      <c r="P112" s="140">
        <f t="shared" si="121"/>
        <v>0.61666293045142762</v>
      </c>
      <c r="Q112" s="140">
        <f t="shared" si="121"/>
        <v>0.63336178871558502</v>
      </c>
      <c r="R112" s="140">
        <f t="shared" ref="R112:V112" si="122">IF(R20=0,0,R20/R$17)</f>
        <v>0.64254160663704341</v>
      </c>
      <c r="S112" s="140">
        <f t="shared" si="122"/>
        <v>0.61091300513182867</v>
      </c>
      <c r="T112" s="140">
        <f t="shared" si="122"/>
        <v>0.66890826930520797</v>
      </c>
      <c r="U112" s="140">
        <f t="shared" si="122"/>
        <v>0.6642856512175016</v>
      </c>
      <c r="V112" s="140">
        <f t="shared" si="122"/>
        <v>0.63792663244136871</v>
      </c>
      <c r="W112" s="140">
        <f t="shared" ref="W112" si="123">IF(W20=0,0,W20/W$17)</f>
        <v>0.67099759471948373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0.29138489760799663</v>
      </c>
      <c r="C113" s="124">
        <f t="shared" si="124"/>
        <v>0.26036772404824698</v>
      </c>
      <c r="D113" s="124">
        <f t="shared" si="124"/>
        <v>0.26130074072137205</v>
      </c>
      <c r="E113" s="124">
        <f t="shared" si="124"/>
        <v>0.25857605491244529</v>
      </c>
      <c r="F113" s="124">
        <f t="shared" si="124"/>
        <v>0.26730693843029624</v>
      </c>
      <c r="G113" s="124">
        <f t="shared" si="124"/>
        <v>0.26655242377698712</v>
      </c>
      <c r="H113" s="124">
        <f t="shared" si="124"/>
        <v>0.27432648669306614</v>
      </c>
      <c r="I113" s="124">
        <f t="shared" si="124"/>
        <v>0.25663917201968983</v>
      </c>
      <c r="J113" s="124">
        <f t="shared" si="124"/>
        <v>0.24604341818586489</v>
      </c>
      <c r="K113" s="124">
        <f t="shared" si="124"/>
        <v>0.23417889236364989</v>
      </c>
      <c r="L113" s="124">
        <f t="shared" si="124"/>
        <v>0.26453848742916047</v>
      </c>
      <c r="M113" s="124">
        <f t="shared" si="124"/>
        <v>0.27747610146881957</v>
      </c>
      <c r="N113" s="124">
        <f t="shared" si="124"/>
        <v>0.29001313514367727</v>
      </c>
      <c r="O113" s="124">
        <f t="shared" si="124"/>
        <v>0.29824524267116381</v>
      </c>
      <c r="P113" s="124">
        <f t="shared" si="124"/>
        <v>0.30195962296984574</v>
      </c>
      <c r="Q113" s="124">
        <f t="shared" si="124"/>
        <v>0.28674529698548995</v>
      </c>
      <c r="R113" s="124">
        <f t="shared" ref="R113:V113" si="125">IF(R21=0,0,R21/R$17)</f>
        <v>0.27807955602950207</v>
      </c>
      <c r="S113" s="124">
        <f t="shared" si="125"/>
        <v>0.31608124030596579</v>
      </c>
      <c r="T113" s="124">
        <f t="shared" si="125"/>
        <v>0.26225089355187142</v>
      </c>
      <c r="U113" s="124">
        <f t="shared" si="125"/>
        <v>0.25483950910550096</v>
      </c>
      <c r="V113" s="124">
        <f t="shared" si="125"/>
        <v>0.28213599203408746</v>
      </c>
      <c r="W113" s="124">
        <f t="shared" ref="W113" si="126">IF(W21=0,0,W21/W$17)</f>
        <v>0.25613300502193304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1.1737525462175054E-3</v>
      </c>
      <c r="C114" s="124">
        <f t="shared" si="127"/>
        <v>1.2587737111510451E-3</v>
      </c>
      <c r="D114" s="124">
        <f t="shared" si="127"/>
        <v>1.0174527499156086E-3</v>
      </c>
      <c r="E114" s="124">
        <f t="shared" si="127"/>
        <v>1.0196437584239163E-3</v>
      </c>
      <c r="F114" s="124">
        <f t="shared" si="127"/>
        <v>7.9904232464608521E-4</v>
      </c>
      <c r="G114" s="124">
        <f t="shared" si="127"/>
        <v>9.6875359359823094E-4</v>
      </c>
      <c r="H114" s="124">
        <f t="shared" si="127"/>
        <v>1.71707177158878E-3</v>
      </c>
      <c r="I114" s="124">
        <f t="shared" si="127"/>
        <v>9.2919593729449913E-4</v>
      </c>
      <c r="J114" s="124">
        <f t="shared" si="127"/>
        <v>8.1036483549111167E-4</v>
      </c>
      <c r="K114" s="124">
        <f t="shared" si="127"/>
        <v>8.7991317666290584E-4</v>
      </c>
      <c r="L114" s="124">
        <f t="shared" si="127"/>
        <v>1.0007500038638354E-3</v>
      </c>
      <c r="M114" s="124">
        <f t="shared" si="127"/>
        <v>8.1046538771787637E-4</v>
      </c>
      <c r="N114" s="124">
        <f t="shared" si="127"/>
        <v>7.3994299004798061E-4</v>
      </c>
      <c r="O114" s="124">
        <f t="shared" si="127"/>
        <v>7.4989006057387818E-4</v>
      </c>
      <c r="P114" s="124">
        <f t="shared" si="127"/>
        <v>7.0807199659809496E-4</v>
      </c>
      <c r="Q114" s="124">
        <f t="shared" si="127"/>
        <v>7.9778975694283299E-4</v>
      </c>
      <c r="R114" s="124">
        <f t="shared" ref="R114:V114" si="128">IF(R22=0,0,R22/R$17)</f>
        <v>9.6010350396554716E-4</v>
      </c>
      <c r="S114" s="124">
        <f t="shared" si="128"/>
        <v>9.0401861980255631E-4</v>
      </c>
      <c r="T114" s="124">
        <f t="shared" si="128"/>
        <v>1.1960638814971925E-3</v>
      </c>
      <c r="U114" s="124">
        <f t="shared" si="128"/>
        <v>1.3352191946589141E-3</v>
      </c>
      <c r="V114" s="124">
        <f t="shared" si="128"/>
        <v>9.5186306880210936E-4</v>
      </c>
      <c r="W114" s="124">
        <f t="shared" ref="W114" si="129">IF(W22=0,0,W22/W$17)</f>
        <v>1.1806673149011846E-3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4.4288048579293148E-4</v>
      </c>
      <c r="C116" s="140">
        <f t="shared" si="133"/>
        <v>5.32283776217694E-4</v>
      </c>
      <c r="D116" s="140">
        <f t="shared" si="133"/>
        <v>6.6996040152722883E-4</v>
      </c>
      <c r="E116" s="140">
        <f t="shared" si="133"/>
        <v>6.433471254255938E-4</v>
      </c>
      <c r="F116" s="140">
        <f t="shared" si="133"/>
        <v>5.464525680922178E-4</v>
      </c>
      <c r="G116" s="140">
        <f t="shared" si="133"/>
        <v>6.9970471576152665E-4</v>
      </c>
      <c r="H116" s="140">
        <f t="shared" si="133"/>
        <v>4.1175090323359833E-4</v>
      </c>
      <c r="I116" s="140">
        <f t="shared" si="133"/>
        <v>4.2274989403985868E-4</v>
      </c>
      <c r="J116" s="140">
        <f t="shared" si="133"/>
        <v>2.9697697895889589E-4</v>
      </c>
      <c r="K116" s="140">
        <f t="shared" si="133"/>
        <v>3.4336076312311995E-4</v>
      </c>
      <c r="L116" s="140">
        <f t="shared" si="133"/>
        <v>3.4968807681374749E-4</v>
      </c>
      <c r="M116" s="140">
        <f t="shared" si="133"/>
        <v>4.9076786967313258E-4</v>
      </c>
      <c r="N116" s="140">
        <f t="shared" si="133"/>
        <v>5.2473387798886194E-4</v>
      </c>
      <c r="O116" s="140">
        <f t="shared" si="133"/>
        <v>5.099695596292997E-4</v>
      </c>
      <c r="P116" s="140">
        <f t="shared" si="133"/>
        <v>5.2392167447358571E-4</v>
      </c>
      <c r="Q116" s="140">
        <f t="shared" si="133"/>
        <v>5.6200161463156181E-4</v>
      </c>
      <c r="R116" s="140">
        <f t="shared" si="131"/>
        <v>5.5980360529167853E-4</v>
      </c>
      <c r="S116" s="140">
        <f t="shared" si="131"/>
        <v>5.0178170857911528E-4</v>
      </c>
      <c r="T116" s="140">
        <f t="shared" si="131"/>
        <v>5.8528303335055997E-4</v>
      </c>
      <c r="U116" s="140">
        <f t="shared" si="131"/>
        <v>5.2493306331741175E-4</v>
      </c>
      <c r="V116" s="140">
        <f t="shared" si="131"/>
        <v>4.4606663379391401E-4</v>
      </c>
      <c r="W116" s="140">
        <f t="shared" ref="W116" si="134">IF(W24=0,0,W24/W$17)</f>
        <v>4.9291049126446644E-4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7.308720604245738E-4</v>
      </c>
      <c r="C117" s="140">
        <f t="shared" si="135"/>
        <v>7.2648993493335109E-4</v>
      </c>
      <c r="D117" s="140">
        <f t="shared" si="135"/>
        <v>3.4749234838837975E-4</v>
      </c>
      <c r="E117" s="140">
        <f t="shared" si="135"/>
        <v>3.7629663299832246E-4</v>
      </c>
      <c r="F117" s="140">
        <f t="shared" si="135"/>
        <v>2.5258975655386746E-4</v>
      </c>
      <c r="G117" s="140">
        <f t="shared" si="135"/>
        <v>2.6904887783670424E-4</v>
      </c>
      <c r="H117" s="140">
        <f t="shared" si="135"/>
        <v>1.3053208683551818E-3</v>
      </c>
      <c r="I117" s="140">
        <f t="shared" si="135"/>
        <v>5.0644604325464056E-4</v>
      </c>
      <c r="J117" s="140">
        <f t="shared" si="135"/>
        <v>5.1338785653221573E-4</v>
      </c>
      <c r="K117" s="140">
        <f t="shared" si="135"/>
        <v>5.3655241353978589E-4</v>
      </c>
      <c r="L117" s="140">
        <f t="shared" si="135"/>
        <v>6.5106192705008782E-4</v>
      </c>
      <c r="M117" s="140">
        <f t="shared" si="135"/>
        <v>3.1969751804474379E-4</v>
      </c>
      <c r="N117" s="140">
        <f t="shared" si="135"/>
        <v>2.1520911205911864E-4</v>
      </c>
      <c r="O117" s="140">
        <f t="shared" si="135"/>
        <v>2.3992050094457846E-4</v>
      </c>
      <c r="P117" s="140">
        <f t="shared" si="135"/>
        <v>1.8415032212450925E-4</v>
      </c>
      <c r="Q117" s="140">
        <f t="shared" si="135"/>
        <v>2.3578814231127107E-4</v>
      </c>
      <c r="R117" s="140">
        <f t="shared" ref="R117:V117" si="136">IF(R25=0,0,R25/R$17)</f>
        <v>4.0029989867386873E-4</v>
      </c>
      <c r="S117" s="140">
        <f t="shared" si="136"/>
        <v>4.0223691122344098E-4</v>
      </c>
      <c r="T117" s="140">
        <f t="shared" si="136"/>
        <v>6.1078084814663257E-4</v>
      </c>
      <c r="U117" s="140">
        <f t="shared" si="136"/>
        <v>8.1028613134150214E-4</v>
      </c>
      <c r="V117" s="140">
        <f t="shared" si="136"/>
        <v>5.0579643500819535E-4</v>
      </c>
      <c r="W117" s="140">
        <f t="shared" ref="W117" si="137">IF(W25=0,0,W25/W$17)</f>
        <v>6.8775682363671805E-4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2.9502720882809658E-2</v>
      </c>
      <c r="C118" s="124">
        <f t="shared" si="138"/>
        <v>3.67558072779798E-2</v>
      </c>
      <c r="D118" s="124">
        <f t="shared" si="138"/>
        <v>4.713463361473981E-2</v>
      </c>
      <c r="E118" s="124">
        <f t="shared" si="138"/>
        <v>5.151823946705799E-2</v>
      </c>
      <c r="F118" s="124">
        <f t="shared" si="138"/>
        <v>5.8172638103930051E-2</v>
      </c>
      <c r="G118" s="124">
        <f t="shared" si="138"/>
        <v>6.1873004859124621E-2</v>
      </c>
      <c r="H118" s="124">
        <f t="shared" si="138"/>
        <v>5.1616658704026319E-2</v>
      </c>
      <c r="I118" s="124">
        <f t="shared" si="138"/>
        <v>5.6497397343506554E-2</v>
      </c>
      <c r="J118" s="124">
        <f t="shared" si="138"/>
        <v>5.6066203252804939E-2</v>
      </c>
      <c r="K118" s="124">
        <f t="shared" si="138"/>
        <v>5.5881865231049516E-2</v>
      </c>
      <c r="L118" s="124">
        <f t="shared" si="138"/>
        <v>7.1862935681459988E-2</v>
      </c>
      <c r="M118" s="124">
        <f t="shared" si="138"/>
        <v>5.5994299923517003E-2</v>
      </c>
      <c r="N118" s="124">
        <f t="shared" si="138"/>
        <v>6.2275843321210007E-2</v>
      </c>
      <c r="O118" s="124">
        <f t="shared" si="138"/>
        <v>5.9023230497769918E-2</v>
      </c>
      <c r="P118" s="124">
        <f t="shared" si="138"/>
        <v>5.3834305689938043E-2</v>
      </c>
      <c r="Q118" s="124">
        <f t="shared" si="138"/>
        <v>5.2250092078075294E-2</v>
      </c>
      <c r="R118" s="124">
        <f t="shared" ref="R118:V118" si="139">IF(R26=0,0,R26/R$17)</f>
        <v>5.2166330087221366E-2</v>
      </c>
      <c r="S118" s="124">
        <f t="shared" si="139"/>
        <v>4.7142395229820597E-2</v>
      </c>
      <c r="T118" s="124">
        <f t="shared" si="139"/>
        <v>3.9843106276588172E-2</v>
      </c>
      <c r="U118" s="124">
        <f t="shared" si="139"/>
        <v>5.0847977346227022E-2</v>
      </c>
      <c r="V118" s="124">
        <f t="shared" si="139"/>
        <v>4.8616447786468883E-2</v>
      </c>
      <c r="W118" s="124">
        <f t="shared" ref="W118" si="140">IF(W26=0,0,W26/W$17)</f>
        <v>4.2278762528076198E-2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2.9502720882809658E-2</v>
      </c>
      <c r="C120" s="127">
        <f t="shared" si="144"/>
        <v>3.67558072779798E-2</v>
      </c>
      <c r="D120" s="127">
        <f t="shared" si="144"/>
        <v>4.713463361473981E-2</v>
      </c>
      <c r="E120" s="127">
        <f t="shared" si="144"/>
        <v>5.151823946705799E-2</v>
      </c>
      <c r="F120" s="127">
        <f t="shared" si="144"/>
        <v>5.8172638103930051E-2</v>
      </c>
      <c r="G120" s="127">
        <f t="shared" si="144"/>
        <v>6.1873004859124621E-2</v>
      </c>
      <c r="H120" s="127">
        <f t="shared" si="144"/>
        <v>5.1616658704026319E-2</v>
      </c>
      <c r="I120" s="127">
        <f t="shared" si="144"/>
        <v>5.6497397343506554E-2</v>
      </c>
      <c r="J120" s="127">
        <f t="shared" si="144"/>
        <v>5.6066203252804939E-2</v>
      </c>
      <c r="K120" s="127">
        <f t="shared" si="144"/>
        <v>5.5881865231049516E-2</v>
      </c>
      <c r="L120" s="127">
        <f t="shared" si="144"/>
        <v>7.1862935681459988E-2</v>
      </c>
      <c r="M120" s="127">
        <f t="shared" si="144"/>
        <v>5.5994299923517003E-2</v>
      </c>
      <c r="N120" s="127">
        <f t="shared" si="144"/>
        <v>6.2275843321210007E-2</v>
      </c>
      <c r="O120" s="127">
        <f t="shared" si="144"/>
        <v>5.9023230497769918E-2</v>
      </c>
      <c r="P120" s="127">
        <f t="shared" si="144"/>
        <v>5.3834305689938043E-2</v>
      </c>
      <c r="Q120" s="127">
        <f t="shared" si="144"/>
        <v>5.2250092078075294E-2</v>
      </c>
      <c r="R120" s="127">
        <f t="shared" ref="R120:V120" si="145">IF(R28=0,0,R28/R$17)</f>
        <v>5.2166330087221366E-2</v>
      </c>
      <c r="S120" s="127">
        <f t="shared" si="145"/>
        <v>4.7142395229820597E-2</v>
      </c>
      <c r="T120" s="127">
        <f t="shared" si="145"/>
        <v>3.9843106276588172E-2</v>
      </c>
      <c r="U120" s="127">
        <f t="shared" si="145"/>
        <v>5.0847977346227022E-2</v>
      </c>
      <c r="V120" s="127">
        <f t="shared" si="145"/>
        <v>4.8616447786468883E-2</v>
      </c>
      <c r="W120" s="127">
        <f t="shared" ref="W120" si="146">IF(W28=0,0,W28/W$17)</f>
        <v>4.2278762528076198E-2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0</v>
      </c>
      <c r="C121" s="31">
        <f>IF(C29=0,0,C29/C$29)</f>
        <v>0</v>
      </c>
      <c r="D121" s="31">
        <f t="shared" ref="D121:W121" si="148">IF(D29=0,0,D29/D$29)</f>
        <v>0</v>
      </c>
      <c r="E121" s="31">
        <f t="shared" si="148"/>
        <v>0</v>
      </c>
      <c r="F121" s="31">
        <f t="shared" si="148"/>
        <v>0</v>
      </c>
      <c r="G121" s="31">
        <f t="shared" si="148"/>
        <v>0</v>
      </c>
      <c r="H121" s="31">
        <f t="shared" si="148"/>
        <v>0</v>
      </c>
      <c r="I121" s="31">
        <f t="shared" si="148"/>
        <v>0</v>
      </c>
      <c r="J121" s="31">
        <f t="shared" si="148"/>
        <v>0</v>
      </c>
      <c r="K121" s="31">
        <f t="shared" si="148"/>
        <v>0</v>
      </c>
      <c r="L121" s="31">
        <f t="shared" si="148"/>
        <v>0</v>
      </c>
      <c r="M121" s="31">
        <f t="shared" si="148"/>
        <v>0</v>
      </c>
      <c r="N121" s="31">
        <f t="shared" si="148"/>
        <v>0</v>
      </c>
      <c r="O121" s="31">
        <f t="shared" si="148"/>
        <v>0</v>
      </c>
      <c r="P121" s="31">
        <f t="shared" si="148"/>
        <v>0</v>
      </c>
      <c r="Q121" s="31">
        <f t="shared" si="148"/>
        <v>0</v>
      </c>
      <c r="R121" s="31">
        <f t="shared" si="148"/>
        <v>0</v>
      </c>
      <c r="S121" s="31">
        <f t="shared" si="148"/>
        <v>0</v>
      </c>
      <c r="T121" s="31">
        <f t="shared" si="148"/>
        <v>0</v>
      </c>
      <c r="U121" s="31">
        <f t="shared" si="148"/>
        <v>0</v>
      </c>
      <c r="V121" s="31">
        <f t="shared" si="148"/>
        <v>0</v>
      </c>
      <c r="W121" s="31">
        <f t="shared" si="148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</v>
      </c>
      <c r="C122" s="140">
        <f>IF(C30=0,0,C30/C$29)</f>
        <v>0</v>
      </c>
      <c r="D122" s="140">
        <f t="shared" ref="D122:W122" si="150">IF(D30=0,0,D30/D$29)</f>
        <v>0</v>
      </c>
      <c r="E122" s="140">
        <f t="shared" si="150"/>
        <v>0</v>
      </c>
      <c r="F122" s="140">
        <f t="shared" si="150"/>
        <v>0</v>
      </c>
      <c r="G122" s="140">
        <f t="shared" si="150"/>
        <v>0</v>
      </c>
      <c r="H122" s="140">
        <f t="shared" si="150"/>
        <v>0</v>
      </c>
      <c r="I122" s="140">
        <f t="shared" si="150"/>
        <v>0</v>
      </c>
      <c r="J122" s="140">
        <f t="shared" si="150"/>
        <v>0</v>
      </c>
      <c r="K122" s="140">
        <f t="shared" si="150"/>
        <v>0</v>
      </c>
      <c r="L122" s="140">
        <f t="shared" si="150"/>
        <v>0</v>
      </c>
      <c r="M122" s="140">
        <f t="shared" si="150"/>
        <v>0</v>
      </c>
      <c r="N122" s="140">
        <f t="shared" si="150"/>
        <v>0</v>
      </c>
      <c r="O122" s="140">
        <f t="shared" si="150"/>
        <v>0</v>
      </c>
      <c r="P122" s="140">
        <f t="shared" si="150"/>
        <v>0</v>
      </c>
      <c r="Q122" s="140">
        <f t="shared" si="150"/>
        <v>0</v>
      </c>
      <c r="R122" s="140">
        <f t="shared" si="150"/>
        <v>0</v>
      </c>
      <c r="S122" s="140">
        <f t="shared" si="150"/>
        <v>0</v>
      </c>
      <c r="T122" s="140">
        <f t="shared" si="150"/>
        <v>0</v>
      </c>
      <c r="U122" s="140">
        <f t="shared" si="150"/>
        <v>0</v>
      </c>
      <c r="V122" s="140">
        <f t="shared" si="150"/>
        <v>0</v>
      </c>
      <c r="W122" s="140">
        <f t="shared" si="150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</v>
      </c>
      <c r="C123" s="127">
        <f>IF(C31=0,0,C31/C$29)</f>
        <v>0</v>
      </c>
      <c r="D123" s="127">
        <f t="shared" ref="D123:W123" si="152">IF(D31=0,0,D31/D$29)</f>
        <v>0</v>
      </c>
      <c r="E123" s="127">
        <f t="shared" si="152"/>
        <v>0</v>
      </c>
      <c r="F123" s="127">
        <f t="shared" si="152"/>
        <v>0</v>
      </c>
      <c r="G123" s="127">
        <f t="shared" si="152"/>
        <v>0</v>
      </c>
      <c r="H123" s="127">
        <f t="shared" si="152"/>
        <v>0</v>
      </c>
      <c r="I123" s="127">
        <f t="shared" si="152"/>
        <v>0</v>
      </c>
      <c r="J123" s="127">
        <f t="shared" si="152"/>
        <v>0</v>
      </c>
      <c r="K123" s="127">
        <f t="shared" si="152"/>
        <v>0</v>
      </c>
      <c r="L123" s="127">
        <f t="shared" si="152"/>
        <v>0</v>
      </c>
      <c r="M123" s="127">
        <f t="shared" si="152"/>
        <v>0</v>
      </c>
      <c r="N123" s="127">
        <f t="shared" si="152"/>
        <v>0</v>
      </c>
      <c r="O123" s="127">
        <f t="shared" si="152"/>
        <v>0</v>
      </c>
      <c r="P123" s="127">
        <f t="shared" si="152"/>
        <v>0</v>
      </c>
      <c r="Q123" s="127">
        <f t="shared" si="152"/>
        <v>0</v>
      </c>
      <c r="R123" s="127">
        <f t="shared" si="152"/>
        <v>0</v>
      </c>
      <c r="S123" s="127">
        <f t="shared" si="152"/>
        <v>0</v>
      </c>
      <c r="T123" s="127">
        <f t="shared" si="152"/>
        <v>0</v>
      </c>
      <c r="U123" s="127">
        <f t="shared" si="152"/>
        <v>0</v>
      </c>
      <c r="V123" s="127">
        <f t="shared" si="152"/>
        <v>0</v>
      </c>
      <c r="W123" s="127">
        <f t="shared" si="152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0.83793949582942551</v>
      </c>
      <c r="C127" s="139">
        <f t="shared" ref="C127:W127" si="155">IF(C35=0,0,C35/C$34)</f>
        <v>0.84998866031596665</v>
      </c>
      <c r="D127" s="139">
        <f t="shared" si="155"/>
        <v>0.86207149408069061</v>
      </c>
      <c r="E127" s="139">
        <f t="shared" si="155"/>
        <v>0.86806699198888704</v>
      </c>
      <c r="F127" s="139">
        <f t="shared" si="155"/>
        <v>0.86658631862208091</v>
      </c>
      <c r="G127" s="139">
        <f t="shared" si="155"/>
        <v>0.85916827515040162</v>
      </c>
      <c r="H127" s="139">
        <f t="shared" si="155"/>
        <v>0.86573332347736676</v>
      </c>
      <c r="I127" s="139">
        <f t="shared" si="155"/>
        <v>0.8766780872491311</v>
      </c>
      <c r="J127" s="139">
        <f t="shared" si="155"/>
        <v>0.8691469305585634</v>
      </c>
      <c r="K127" s="139">
        <f t="shared" si="155"/>
        <v>0.87863583526319089</v>
      </c>
      <c r="L127" s="139">
        <f t="shared" si="155"/>
        <v>0.87547722579890597</v>
      </c>
      <c r="M127" s="139">
        <f t="shared" si="155"/>
        <v>0.86933656743240284</v>
      </c>
      <c r="N127" s="139">
        <f t="shared" si="155"/>
        <v>0.8972422197359502</v>
      </c>
      <c r="O127" s="139">
        <f t="shared" si="155"/>
        <v>0.88712166846453155</v>
      </c>
      <c r="P127" s="139">
        <f t="shared" si="155"/>
        <v>0.89206057319009902</v>
      </c>
      <c r="Q127" s="139">
        <f t="shared" si="155"/>
        <v>0.89800108458389316</v>
      </c>
      <c r="R127" s="139">
        <f t="shared" si="155"/>
        <v>0.89637804220866812</v>
      </c>
      <c r="S127" s="139">
        <f t="shared" si="155"/>
        <v>0.89229800042578533</v>
      </c>
      <c r="T127" s="139">
        <f t="shared" si="155"/>
        <v>0.88353876339639925</v>
      </c>
      <c r="U127" s="139">
        <f t="shared" si="155"/>
        <v>0.89227055429340107</v>
      </c>
      <c r="V127" s="139">
        <f t="shared" si="155"/>
        <v>0.93806678121993681</v>
      </c>
      <c r="W127" s="139">
        <f t="shared" si="155"/>
        <v>0.93329465543905676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5.1636405867493684E-3</v>
      </c>
      <c r="C128" s="140">
        <f t="shared" ref="C128:W128" si="156">IF(C36=0,0,C36/C$34)</f>
        <v>5.0676072182540399E-3</v>
      </c>
      <c r="D128" s="140">
        <f t="shared" si="156"/>
        <v>5.0935602863358869E-3</v>
      </c>
      <c r="E128" s="140">
        <f t="shared" si="156"/>
        <v>5.1443232650155556E-3</v>
      </c>
      <c r="F128" s="140">
        <f t="shared" si="156"/>
        <v>5.3997990476503891E-3</v>
      </c>
      <c r="G128" s="140">
        <f t="shared" si="156"/>
        <v>5.624437851393097E-3</v>
      </c>
      <c r="H128" s="140">
        <f t="shared" si="156"/>
        <v>5.5445039635230609E-3</v>
      </c>
      <c r="I128" s="140">
        <f t="shared" si="156"/>
        <v>5.5735380247429744E-3</v>
      </c>
      <c r="J128" s="140">
        <f t="shared" si="156"/>
        <v>5.6678784209658996E-3</v>
      </c>
      <c r="K128" s="140">
        <f t="shared" si="156"/>
        <v>5.5968061759776207E-3</v>
      </c>
      <c r="L128" s="140">
        <f t="shared" si="156"/>
        <v>5.9996807970355906E-3</v>
      </c>
      <c r="M128" s="140">
        <f t="shared" si="156"/>
        <v>6.5170304750450147E-3</v>
      </c>
      <c r="N128" s="140">
        <f t="shared" si="156"/>
        <v>6.8113623175956118E-3</v>
      </c>
      <c r="O128" s="140">
        <f t="shared" si="156"/>
        <v>7.2463573277760148E-3</v>
      </c>
      <c r="P128" s="140">
        <f t="shared" si="156"/>
        <v>6.9258699257136614E-3</v>
      </c>
      <c r="Q128" s="140">
        <f t="shared" si="156"/>
        <v>6.5438851831393884E-3</v>
      </c>
      <c r="R128" s="140">
        <f t="shared" si="156"/>
        <v>6.1632468013505162E-3</v>
      </c>
      <c r="S128" s="140">
        <f t="shared" si="156"/>
        <v>6.1210562623291659E-3</v>
      </c>
      <c r="T128" s="140">
        <f t="shared" si="156"/>
        <v>5.9529166937214708E-3</v>
      </c>
      <c r="U128" s="140">
        <f t="shared" si="156"/>
        <v>5.6176644700302392E-3</v>
      </c>
      <c r="V128" s="140">
        <f t="shared" si="156"/>
        <v>6.0162477875087411E-3</v>
      </c>
      <c r="W128" s="140">
        <f t="shared" si="156"/>
        <v>5.3988377634190008E-3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0.66535864442174009</v>
      </c>
      <c r="C129" s="140">
        <f t="shared" ref="C129:W129" si="157">IF(C37=0,0,C37/C$34)</f>
        <v>0.682817965994858</v>
      </c>
      <c r="D129" s="140">
        <f t="shared" si="157"/>
        <v>0.69499023487740474</v>
      </c>
      <c r="E129" s="140">
        <f t="shared" si="157"/>
        <v>0.70677583188627435</v>
      </c>
      <c r="F129" s="140">
        <f t="shared" si="157"/>
        <v>0.71555985128002064</v>
      </c>
      <c r="G129" s="140">
        <f t="shared" si="157"/>
        <v>0.70683565024721862</v>
      </c>
      <c r="H129" s="140">
        <f t="shared" si="157"/>
        <v>0.71122502999854642</v>
      </c>
      <c r="I129" s="140">
        <f t="shared" si="157"/>
        <v>0.72798824431552811</v>
      </c>
      <c r="J129" s="140">
        <f t="shared" si="157"/>
        <v>0.73165645515907773</v>
      </c>
      <c r="K129" s="140">
        <f t="shared" si="157"/>
        <v>0.74662019421480652</v>
      </c>
      <c r="L129" s="140">
        <f t="shared" si="157"/>
        <v>0.7317195246655922</v>
      </c>
      <c r="M129" s="140">
        <f t="shared" si="157"/>
        <v>0.72672118743110214</v>
      </c>
      <c r="N129" s="140">
        <f t="shared" si="157"/>
        <v>0.7535975699118137</v>
      </c>
      <c r="O129" s="140">
        <f t="shared" si="157"/>
        <v>0.74357027129351538</v>
      </c>
      <c r="P129" s="140">
        <f t="shared" si="157"/>
        <v>0.74310268871510576</v>
      </c>
      <c r="Q129" s="140">
        <f t="shared" si="157"/>
        <v>0.74987656734108887</v>
      </c>
      <c r="R129" s="140">
        <f t="shared" si="157"/>
        <v>0.75449466239468677</v>
      </c>
      <c r="S129" s="140">
        <f t="shared" si="157"/>
        <v>0.75054179492587558</v>
      </c>
      <c r="T129" s="140">
        <f t="shared" si="157"/>
        <v>0.74804126605890831</v>
      </c>
      <c r="U129" s="140">
        <f t="shared" si="157"/>
        <v>0.76656342491375795</v>
      </c>
      <c r="V129" s="140">
        <f t="shared" si="157"/>
        <v>0.81827055038474716</v>
      </c>
      <c r="W129" s="140">
        <f t="shared" si="157"/>
        <v>0.81238605084719251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0.16741721082093605</v>
      </c>
      <c r="C130" s="140">
        <f t="shared" ref="C130:W130" si="158">IF(C38=0,0,C38/C$34)</f>
        <v>0.16210308710285468</v>
      </c>
      <c r="D130" s="140">
        <f t="shared" si="158"/>
        <v>0.16198769891695006</v>
      </c>
      <c r="E130" s="140">
        <f t="shared" si="158"/>
        <v>0.15614683683759698</v>
      </c>
      <c r="F130" s="140">
        <f t="shared" si="158"/>
        <v>0.14562666829440993</v>
      </c>
      <c r="G130" s="140">
        <f t="shared" si="158"/>
        <v>0.14670818705178998</v>
      </c>
      <c r="H130" s="140">
        <f t="shared" si="158"/>
        <v>0.14896378951529726</v>
      </c>
      <c r="I130" s="140">
        <f t="shared" si="158"/>
        <v>0.14311630490885999</v>
      </c>
      <c r="J130" s="140">
        <f t="shared" si="158"/>
        <v>0.13182259697851981</v>
      </c>
      <c r="K130" s="140">
        <f t="shared" si="158"/>
        <v>0.12641883487240671</v>
      </c>
      <c r="L130" s="140">
        <f t="shared" si="158"/>
        <v>0.13775802033627818</v>
      </c>
      <c r="M130" s="140">
        <f t="shared" si="158"/>
        <v>0.1360983495262556</v>
      </c>
      <c r="N130" s="140">
        <f t="shared" si="158"/>
        <v>0.13683328750654095</v>
      </c>
      <c r="O130" s="140">
        <f t="shared" si="158"/>
        <v>0.13630503984324019</v>
      </c>
      <c r="P130" s="140">
        <f t="shared" si="158"/>
        <v>0.14203201454927958</v>
      </c>
      <c r="Q130" s="140">
        <f t="shared" si="158"/>
        <v>0.14158063205966487</v>
      </c>
      <c r="R130" s="140">
        <f t="shared" si="158"/>
        <v>0.13572013301263083</v>
      </c>
      <c r="S130" s="140">
        <f t="shared" si="158"/>
        <v>0.1356351492375806</v>
      </c>
      <c r="T130" s="140">
        <f t="shared" si="158"/>
        <v>0.12954458064376947</v>
      </c>
      <c r="U130" s="140">
        <f t="shared" si="158"/>
        <v>0.12008946490961293</v>
      </c>
      <c r="V130" s="140">
        <f t="shared" si="158"/>
        <v>0.11377998304768083</v>
      </c>
      <c r="W130" s="140">
        <f t="shared" si="158"/>
        <v>0.11550976682844527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5.9110404696046101E-2</v>
      </c>
      <c r="C131" s="124">
        <f t="shared" ref="C131:W131" si="159">IF(C39=0,0,C39/C$34)</f>
        <v>5.6981063486268906E-2</v>
      </c>
      <c r="D131" s="124">
        <f t="shared" si="159"/>
        <v>5.3398043288799983E-2</v>
      </c>
      <c r="E131" s="124">
        <f t="shared" si="159"/>
        <v>5.1839427829457538E-2</v>
      </c>
      <c r="F131" s="124">
        <f t="shared" si="159"/>
        <v>4.9202620607740506E-2</v>
      </c>
      <c r="G131" s="124">
        <f t="shared" si="159"/>
        <v>4.5818632831240678E-2</v>
      </c>
      <c r="H131" s="124">
        <f t="shared" si="159"/>
        <v>4.3955547932235821E-2</v>
      </c>
      <c r="I131" s="124">
        <f t="shared" si="159"/>
        <v>4.2387191614848066E-2</v>
      </c>
      <c r="J131" s="124">
        <f t="shared" si="159"/>
        <v>4.1703627926870088E-2</v>
      </c>
      <c r="K131" s="124">
        <f t="shared" si="159"/>
        <v>4.5511067168757975E-2</v>
      </c>
      <c r="L131" s="124">
        <f t="shared" si="159"/>
        <v>4.3106224790442273E-2</v>
      </c>
      <c r="M131" s="124">
        <f t="shared" si="159"/>
        <v>4.3643019757431678E-2</v>
      </c>
      <c r="N131" s="124">
        <f t="shared" si="159"/>
        <v>3.8942773395697197E-2</v>
      </c>
      <c r="O131" s="124">
        <f t="shared" si="159"/>
        <v>4.8663602861177081E-2</v>
      </c>
      <c r="P131" s="124">
        <f t="shared" si="159"/>
        <v>4.4292120601028148E-2</v>
      </c>
      <c r="Q131" s="124">
        <f t="shared" si="159"/>
        <v>4.0089551756278381E-2</v>
      </c>
      <c r="R131" s="124">
        <f t="shared" si="159"/>
        <v>3.829081747095605E-2</v>
      </c>
      <c r="S131" s="124">
        <f t="shared" si="159"/>
        <v>3.5669615406193483E-2</v>
      </c>
      <c r="T131" s="124">
        <f t="shared" si="159"/>
        <v>3.3676233246095866E-2</v>
      </c>
      <c r="U131" s="124">
        <f t="shared" si="159"/>
        <v>2.9932987069840617E-2</v>
      </c>
      <c r="V131" s="124">
        <f t="shared" si="159"/>
        <v>3.0193307503395522E-2</v>
      </c>
      <c r="W131" s="124">
        <f t="shared" si="159"/>
        <v>3.1173778286396468E-2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6.1488950863540356E-3</v>
      </c>
      <c r="C132" s="140">
        <f t="shared" ref="C132:W132" si="160">IF(C40=0,0,C40/C$34)</f>
        <v>5.9152133593468508E-3</v>
      </c>
      <c r="D132" s="140">
        <f t="shared" si="160"/>
        <v>5.4362400911377772E-3</v>
      </c>
      <c r="E132" s="140">
        <f t="shared" si="160"/>
        <v>5.3176489933622912E-3</v>
      </c>
      <c r="F132" s="140">
        <f t="shared" si="160"/>
        <v>4.9371671780585455E-3</v>
      </c>
      <c r="G132" s="140">
        <f t="shared" si="160"/>
        <v>4.6232706202215517E-3</v>
      </c>
      <c r="H132" s="140">
        <f t="shared" si="160"/>
        <v>4.216390321420624E-3</v>
      </c>
      <c r="I132" s="140">
        <f t="shared" si="160"/>
        <v>4.2734282737632613E-3</v>
      </c>
      <c r="J132" s="140">
        <f t="shared" si="160"/>
        <v>4.3253811970334066E-3</v>
      </c>
      <c r="K132" s="140">
        <f t="shared" si="160"/>
        <v>4.6694242368390086E-3</v>
      </c>
      <c r="L132" s="140">
        <f t="shared" si="160"/>
        <v>4.9033197221427438E-3</v>
      </c>
      <c r="M132" s="140">
        <f t="shared" si="160"/>
        <v>5.2239112259664881E-3</v>
      </c>
      <c r="N132" s="140">
        <f t="shared" si="160"/>
        <v>5.2628030088962873E-3</v>
      </c>
      <c r="O132" s="140">
        <f t="shared" si="160"/>
        <v>5.3402897925670855E-3</v>
      </c>
      <c r="P132" s="140">
        <f t="shared" si="160"/>
        <v>5.6723372580782527E-3</v>
      </c>
      <c r="Q132" s="140">
        <f t="shared" si="160"/>
        <v>6.0653205680773247E-3</v>
      </c>
      <c r="R132" s="140">
        <f t="shared" si="160"/>
        <v>5.9578596726732914E-3</v>
      </c>
      <c r="S132" s="140">
        <f t="shared" si="160"/>
        <v>5.4547994115414396E-3</v>
      </c>
      <c r="T132" s="140">
        <f t="shared" si="160"/>
        <v>4.2287969447763352E-3</v>
      </c>
      <c r="U132" s="140">
        <f t="shared" si="160"/>
        <v>4.0483866311799444E-3</v>
      </c>
      <c r="V132" s="140">
        <f t="shared" si="160"/>
        <v>4.521927885193712E-3</v>
      </c>
      <c r="W132" s="140">
        <f t="shared" si="160"/>
        <v>4.1263767996077118E-3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5.2961509609692058E-2</v>
      </c>
      <c r="C133" s="140">
        <f t="shared" ref="C133:W133" si="161">IF(C41=0,0,C41/C$34)</f>
        <v>5.1065850126922059E-2</v>
      </c>
      <c r="D133" s="140">
        <f t="shared" si="161"/>
        <v>4.7961803197662203E-2</v>
      </c>
      <c r="E133" s="140">
        <f t="shared" si="161"/>
        <v>4.6521778836095248E-2</v>
      </c>
      <c r="F133" s="140">
        <f t="shared" si="161"/>
        <v>4.426545342968196E-2</v>
      </c>
      <c r="G133" s="140">
        <f t="shared" si="161"/>
        <v>4.1195362211019132E-2</v>
      </c>
      <c r="H133" s="140">
        <f t="shared" si="161"/>
        <v>3.9739157610815201E-2</v>
      </c>
      <c r="I133" s="140">
        <f t="shared" si="161"/>
        <v>3.8113763341084801E-2</v>
      </c>
      <c r="J133" s="140">
        <f t="shared" si="161"/>
        <v>3.7378246729836688E-2</v>
      </c>
      <c r="K133" s="140">
        <f t="shared" si="161"/>
        <v>4.084164293191897E-2</v>
      </c>
      <c r="L133" s="140">
        <f t="shared" si="161"/>
        <v>3.8202905068299528E-2</v>
      </c>
      <c r="M133" s="140">
        <f t="shared" si="161"/>
        <v>3.8419108531465192E-2</v>
      </c>
      <c r="N133" s="140">
        <f t="shared" si="161"/>
        <v>3.3679970386800907E-2</v>
      </c>
      <c r="O133" s="140">
        <f t="shared" si="161"/>
        <v>4.3323313068609995E-2</v>
      </c>
      <c r="P133" s="140">
        <f t="shared" si="161"/>
        <v>3.8619783342949895E-2</v>
      </c>
      <c r="Q133" s="140">
        <f t="shared" si="161"/>
        <v>3.4024231188201054E-2</v>
      </c>
      <c r="R133" s="140">
        <f t="shared" si="161"/>
        <v>3.2332957798282762E-2</v>
      </c>
      <c r="S133" s="140">
        <f t="shared" si="161"/>
        <v>3.0214815994652047E-2</v>
      </c>
      <c r="T133" s="140">
        <f t="shared" si="161"/>
        <v>2.9447436301319532E-2</v>
      </c>
      <c r="U133" s="140">
        <f t="shared" si="161"/>
        <v>2.5884600438660674E-2</v>
      </c>
      <c r="V133" s="140">
        <f t="shared" si="161"/>
        <v>2.567137961820181E-2</v>
      </c>
      <c r="W133" s="140">
        <f t="shared" si="161"/>
        <v>2.7047401486788754E-2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0.10295009947452834</v>
      </c>
      <c r="C135" s="124">
        <f t="shared" ref="C135:W135" si="163">IF(C43=0,0,C43/C$34)</f>
        <v>9.3030276197764453E-2</v>
      </c>
      <c r="D135" s="124">
        <f t="shared" si="163"/>
        <v>8.4530462630509395E-2</v>
      </c>
      <c r="E135" s="124">
        <f t="shared" si="163"/>
        <v>8.0093580181655424E-2</v>
      </c>
      <c r="F135" s="124">
        <f t="shared" si="163"/>
        <v>8.4211060770178522E-2</v>
      </c>
      <c r="G135" s="124">
        <f t="shared" si="163"/>
        <v>9.5013092018357809E-2</v>
      </c>
      <c r="H135" s="124">
        <f t="shared" si="163"/>
        <v>9.0311128590397319E-2</v>
      </c>
      <c r="I135" s="124">
        <f t="shared" si="163"/>
        <v>8.0934721136020765E-2</v>
      </c>
      <c r="J135" s="124">
        <f t="shared" si="163"/>
        <v>8.9149441514566372E-2</v>
      </c>
      <c r="K135" s="124">
        <f t="shared" si="163"/>
        <v>7.5853097568051225E-2</v>
      </c>
      <c r="L135" s="124">
        <f t="shared" si="163"/>
        <v>8.1416549410651726E-2</v>
      </c>
      <c r="M135" s="124">
        <f t="shared" si="163"/>
        <v>8.702041281016544E-2</v>
      </c>
      <c r="N135" s="124">
        <f t="shared" si="163"/>
        <v>6.3815006868352522E-2</v>
      </c>
      <c r="O135" s="124">
        <f t="shared" si="163"/>
        <v>6.4214728674291358E-2</v>
      </c>
      <c r="P135" s="124">
        <f t="shared" si="163"/>
        <v>6.3647306208872739E-2</v>
      </c>
      <c r="Q135" s="124">
        <f t="shared" si="163"/>
        <v>6.1909363659828506E-2</v>
      </c>
      <c r="R135" s="124">
        <f t="shared" si="163"/>
        <v>6.5331140320375888E-2</v>
      </c>
      <c r="S135" s="124">
        <f t="shared" si="163"/>
        <v>7.2032384168021324E-2</v>
      </c>
      <c r="T135" s="124">
        <f t="shared" si="163"/>
        <v>8.2785003357504938E-2</v>
      </c>
      <c r="U135" s="124">
        <f t="shared" si="163"/>
        <v>7.779645863675827E-2</v>
      </c>
      <c r="V135" s="124">
        <f t="shared" si="163"/>
        <v>3.1739911276667775E-2</v>
      </c>
      <c r="W135" s="124">
        <f t="shared" si="163"/>
        <v>3.5531566274546844E-2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6.4241633637602366E-2</v>
      </c>
      <c r="C137" s="140">
        <f t="shared" ref="C137:W137" si="165">IF(C45=0,0,C45/C$34)</f>
        <v>5.8051037085174756E-2</v>
      </c>
      <c r="D137" s="140">
        <f t="shared" si="165"/>
        <v>5.3621838047142434E-2</v>
      </c>
      <c r="E137" s="140">
        <f t="shared" si="165"/>
        <v>4.861188201145903E-2</v>
      </c>
      <c r="F137" s="140">
        <f t="shared" si="165"/>
        <v>5.4782640651423194E-2</v>
      </c>
      <c r="G137" s="140">
        <f t="shared" si="165"/>
        <v>6.3526954466520083E-2</v>
      </c>
      <c r="H137" s="140">
        <f t="shared" si="165"/>
        <v>6.0214982903379712E-2</v>
      </c>
      <c r="I137" s="140">
        <f t="shared" si="165"/>
        <v>5.3947835676295255E-2</v>
      </c>
      <c r="J137" s="140">
        <f t="shared" si="165"/>
        <v>5.9719557777827413E-2</v>
      </c>
      <c r="K137" s="140">
        <f t="shared" si="165"/>
        <v>4.9480470120833397E-2</v>
      </c>
      <c r="L137" s="140">
        <f t="shared" si="165"/>
        <v>5.2805613237536408E-2</v>
      </c>
      <c r="M137" s="140">
        <f t="shared" si="165"/>
        <v>5.6397579190462718E-2</v>
      </c>
      <c r="N137" s="140">
        <f t="shared" si="165"/>
        <v>4.1464110459149175E-2</v>
      </c>
      <c r="O137" s="140">
        <f t="shared" si="165"/>
        <v>4.1789436967504014E-2</v>
      </c>
      <c r="P137" s="140">
        <f t="shared" si="165"/>
        <v>4.1858675770112631E-2</v>
      </c>
      <c r="Q137" s="140">
        <f t="shared" si="165"/>
        <v>4.1121087196383403E-2</v>
      </c>
      <c r="R137" s="140">
        <f t="shared" si="165"/>
        <v>4.4648242521706918E-2</v>
      </c>
      <c r="S137" s="140">
        <f t="shared" si="165"/>
        <v>4.9817360990581254E-2</v>
      </c>
      <c r="T137" s="140">
        <f t="shared" si="165"/>
        <v>5.7316551113226193E-2</v>
      </c>
      <c r="U137" s="140">
        <f t="shared" si="165"/>
        <v>5.3916976856104956E-2</v>
      </c>
      <c r="V137" s="140">
        <f t="shared" si="165"/>
        <v>1.9589766792018834E-2</v>
      </c>
      <c r="W137" s="140">
        <f t="shared" si="165"/>
        <v>2.2712331067250936E-2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3.8708465836925984E-2</v>
      </c>
      <c r="C138" s="140">
        <f t="shared" ref="C138:W138" si="166">IF(C46=0,0,C46/C$34)</f>
        <v>3.4979239112589697E-2</v>
      </c>
      <c r="D138" s="140">
        <f t="shared" si="166"/>
        <v>3.0908624583366965E-2</v>
      </c>
      <c r="E138" s="140">
        <f t="shared" si="166"/>
        <v>3.1481698170196394E-2</v>
      </c>
      <c r="F138" s="140">
        <f t="shared" si="166"/>
        <v>2.9428420118755322E-2</v>
      </c>
      <c r="G138" s="140">
        <f t="shared" si="166"/>
        <v>3.1486137551837733E-2</v>
      </c>
      <c r="H138" s="140">
        <f t="shared" si="166"/>
        <v>3.0096145687017593E-2</v>
      </c>
      <c r="I138" s="140">
        <f t="shared" si="166"/>
        <v>2.698688545972551E-2</v>
      </c>
      <c r="J138" s="140">
        <f t="shared" si="166"/>
        <v>2.9429883736738948E-2</v>
      </c>
      <c r="K138" s="140">
        <f t="shared" si="166"/>
        <v>2.6372627447217835E-2</v>
      </c>
      <c r="L138" s="140">
        <f t="shared" si="166"/>
        <v>2.8610936173115314E-2</v>
      </c>
      <c r="M138" s="140">
        <f t="shared" si="166"/>
        <v>3.0622833619702725E-2</v>
      </c>
      <c r="N138" s="140">
        <f t="shared" si="166"/>
        <v>2.235089640920335E-2</v>
      </c>
      <c r="O138" s="140">
        <f t="shared" si="166"/>
        <v>2.242529170678734E-2</v>
      </c>
      <c r="P138" s="140">
        <f t="shared" si="166"/>
        <v>2.1788630438760101E-2</v>
      </c>
      <c r="Q138" s="140">
        <f t="shared" si="166"/>
        <v>2.07882764634451E-2</v>
      </c>
      <c r="R138" s="140">
        <f t="shared" si="166"/>
        <v>2.0682897798668973E-2</v>
      </c>
      <c r="S138" s="140">
        <f t="shared" si="166"/>
        <v>2.2215023177440073E-2</v>
      </c>
      <c r="T138" s="140">
        <f t="shared" si="166"/>
        <v>2.5468452244278749E-2</v>
      </c>
      <c r="U138" s="140">
        <f t="shared" si="166"/>
        <v>2.3879481780653314E-2</v>
      </c>
      <c r="V138" s="140">
        <f t="shared" si="166"/>
        <v>1.2150144484648939E-2</v>
      </c>
      <c r="W138" s="140">
        <f t="shared" si="166"/>
        <v>1.2819235207295906E-2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0.95704220489964731</v>
      </c>
      <c r="C140" s="139">
        <f t="shared" ref="C140:W140" si="169">IF(C48=0,0,C48/C$47)</f>
        <v>0.96222704206907506</v>
      </c>
      <c r="D140" s="139">
        <f t="shared" si="169"/>
        <v>0.96404799163091093</v>
      </c>
      <c r="E140" s="139">
        <f t="shared" si="169"/>
        <v>0.96215789090141401</v>
      </c>
      <c r="F140" s="139">
        <f t="shared" si="169"/>
        <v>0.96876197210271009</v>
      </c>
      <c r="G140" s="139">
        <f t="shared" si="169"/>
        <v>0.97431017609942316</v>
      </c>
      <c r="H140" s="139">
        <f t="shared" si="169"/>
        <v>0.97289109074359281</v>
      </c>
      <c r="I140" s="139">
        <f t="shared" si="169"/>
        <v>0.97302728300697849</v>
      </c>
      <c r="J140" s="139">
        <f t="shared" si="169"/>
        <v>0.97555057002460166</v>
      </c>
      <c r="K140" s="139">
        <f t="shared" si="169"/>
        <v>0.98027608731359261</v>
      </c>
      <c r="L140" s="139">
        <f t="shared" si="169"/>
        <v>0.97634413549675914</v>
      </c>
      <c r="M140" s="139">
        <f t="shared" si="169"/>
        <v>0.97601675589425962</v>
      </c>
      <c r="N140" s="139">
        <f t="shared" si="169"/>
        <v>0.97143801500800619</v>
      </c>
      <c r="O140" s="139">
        <f t="shared" si="169"/>
        <v>0.96463623385109865</v>
      </c>
      <c r="P140" s="139">
        <f t="shared" si="169"/>
        <v>0.97015747385251494</v>
      </c>
      <c r="Q140" s="139">
        <f t="shared" si="169"/>
        <v>0.97532944590984416</v>
      </c>
      <c r="R140" s="139">
        <f t="shared" si="169"/>
        <v>0.97566151779290122</v>
      </c>
      <c r="S140" s="139">
        <f t="shared" si="169"/>
        <v>0.97252528063891808</v>
      </c>
      <c r="T140" s="139">
        <f t="shared" si="169"/>
        <v>0.97513727805163652</v>
      </c>
      <c r="U140" s="139">
        <f t="shared" si="169"/>
        <v>0.97643678811158907</v>
      </c>
      <c r="V140" s="139">
        <f t="shared" si="169"/>
        <v>0.96612711352319536</v>
      </c>
      <c r="W140" s="139">
        <f t="shared" si="169"/>
        <v>0.9758423752688743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0.33445130092413955</v>
      </c>
      <c r="C141" s="140">
        <f t="shared" ref="C141:W141" si="170">IF(C49=0,0,C49/C$47)</f>
        <v>0.32748655128502024</v>
      </c>
      <c r="D141" s="140">
        <f t="shared" si="170"/>
        <v>0.32382883205890745</v>
      </c>
      <c r="E141" s="140">
        <f t="shared" si="170"/>
        <v>0.32206722240711466</v>
      </c>
      <c r="F141" s="140">
        <f t="shared" si="170"/>
        <v>0.30465411977196383</v>
      </c>
      <c r="G141" s="140">
        <f t="shared" si="170"/>
        <v>0.27137528447882803</v>
      </c>
      <c r="H141" s="140">
        <f t="shared" si="170"/>
        <v>0.25209441760400159</v>
      </c>
      <c r="I141" s="140">
        <f t="shared" si="170"/>
        <v>0.2585041694720055</v>
      </c>
      <c r="J141" s="140">
        <f t="shared" si="170"/>
        <v>0.27063893311503701</v>
      </c>
      <c r="K141" s="140">
        <f t="shared" si="170"/>
        <v>0.32034118625669461</v>
      </c>
      <c r="L141" s="140">
        <f t="shared" si="170"/>
        <v>0.30788508259752584</v>
      </c>
      <c r="M141" s="140">
        <f t="shared" si="170"/>
        <v>0.34321967931497088</v>
      </c>
      <c r="N141" s="140">
        <f t="shared" si="170"/>
        <v>0.38117293826473414</v>
      </c>
      <c r="O141" s="140">
        <f t="shared" si="170"/>
        <v>0.42128758121035231</v>
      </c>
      <c r="P141" s="140">
        <f t="shared" si="170"/>
        <v>0.37797703320456494</v>
      </c>
      <c r="Q141" s="140">
        <f t="shared" si="170"/>
        <v>0.35607734387943485</v>
      </c>
      <c r="R141" s="140">
        <f t="shared" si="170"/>
        <v>0.37197019651337704</v>
      </c>
      <c r="S141" s="140">
        <f t="shared" si="170"/>
        <v>0.37227234882788673</v>
      </c>
      <c r="T141" s="140">
        <f t="shared" si="170"/>
        <v>0.37261530823909483</v>
      </c>
      <c r="U141" s="140">
        <f t="shared" si="170"/>
        <v>0.38723898112805061</v>
      </c>
      <c r="V141" s="140">
        <f t="shared" si="170"/>
        <v>0.4496025300542319</v>
      </c>
      <c r="W141" s="140">
        <f t="shared" si="170"/>
        <v>0.41332731515430909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0.62259090397550776</v>
      </c>
      <c r="C142" s="140">
        <f t="shared" ref="C142:W142" si="171">IF(C50=0,0,C50/C$47)</f>
        <v>0.6347404907840547</v>
      </c>
      <c r="D142" s="140">
        <f t="shared" si="171"/>
        <v>0.64021915957200337</v>
      </c>
      <c r="E142" s="140">
        <f t="shared" si="171"/>
        <v>0.6400906684942993</v>
      </c>
      <c r="F142" s="140">
        <f t="shared" si="171"/>
        <v>0.6641078523307461</v>
      </c>
      <c r="G142" s="140">
        <f t="shared" si="171"/>
        <v>0.70293489162059508</v>
      </c>
      <c r="H142" s="140">
        <f t="shared" si="171"/>
        <v>0.72079667313959117</v>
      </c>
      <c r="I142" s="140">
        <f t="shared" si="171"/>
        <v>0.714523113534973</v>
      </c>
      <c r="J142" s="140">
        <f t="shared" si="171"/>
        <v>0.70491163690956471</v>
      </c>
      <c r="K142" s="140">
        <f t="shared" si="171"/>
        <v>0.65993490105689812</v>
      </c>
      <c r="L142" s="140">
        <f t="shared" si="171"/>
        <v>0.66845905289923335</v>
      </c>
      <c r="M142" s="140">
        <f t="shared" si="171"/>
        <v>0.63279707657928874</v>
      </c>
      <c r="N142" s="140">
        <f t="shared" si="171"/>
        <v>0.590265076743272</v>
      </c>
      <c r="O142" s="140">
        <f t="shared" si="171"/>
        <v>0.54334865264074639</v>
      </c>
      <c r="P142" s="140">
        <f t="shared" si="171"/>
        <v>0.59218044064795017</v>
      </c>
      <c r="Q142" s="140">
        <f t="shared" si="171"/>
        <v>0.61925210203040926</v>
      </c>
      <c r="R142" s="140">
        <f t="shared" si="171"/>
        <v>0.60369132127952418</v>
      </c>
      <c r="S142" s="140">
        <f t="shared" si="171"/>
        <v>0.60025293181103134</v>
      </c>
      <c r="T142" s="140">
        <f t="shared" si="171"/>
        <v>0.60252196981254169</v>
      </c>
      <c r="U142" s="140">
        <f t="shared" si="171"/>
        <v>0.58919780698353841</v>
      </c>
      <c r="V142" s="140">
        <f t="shared" si="171"/>
        <v>0.51652458346896346</v>
      </c>
      <c r="W142" s="140">
        <f t="shared" si="171"/>
        <v>0.56251506011456531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3.742864222058398E-2</v>
      </c>
      <c r="C143" s="124">
        <f t="shared" ref="C143:W143" si="172">IF(C51=0,0,C51/C$47)</f>
        <v>3.2270326881370222E-2</v>
      </c>
      <c r="D143" s="124">
        <f t="shared" si="172"/>
        <v>2.9466875254596094E-2</v>
      </c>
      <c r="E143" s="124">
        <f t="shared" si="172"/>
        <v>2.6725859983050361E-2</v>
      </c>
      <c r="F143" s="124">
        <f t="shared" si="172"/>
        <v>2.6794204256729206E-2</v>
      </c>
      <c r="G143" s="124">
        <f t="shared" si="172"/>
        <v>2.2062688246000332E-2</v>
      </c>
      <c r="H143" s="124">
        <f t="shared" si="172"/>
        <v>2.3130524443985657E-2</v>
      </c>
      <c r="I143" s="124">
        <f t="shared" si="172"/>
        <v>2.3809041568742313E-2</v>
      </c>
      <c r="J143" s="124">
        <f t="shared" si="172"/>
        <v>2.1533011754796758E-2</v>
      </c>
      <c r="K143" s="124">
        <f t="shared" si="172"/>
        <v>1.7006790231015246E-2</v>
      </c>
      <c r="L143" s="124">
        <f t="shared" si="172"/>
        <v>2.0268468982537237E-2</v>
      </c>
      <c r="M143" s="124">
        <f t="shared" si="172"/>
        <v>2.0139662770013004E-2</v>
      </c>
      <c r="N143" s="124">
        <f t="shared" si="172"/>
        <v>2.0961134328330015E-2</v>
      </c>
      <c r="O143" s="124">
        <f t="shared" si="172"/>
        <v>2.7553741358150231E-2</v>
      </c>
      <c r="P143" s="124">
        <f t="shared" si="172"/>
        <v>2.3092275735360199E-2</v>
      </c>
      <c r="Q143" s="124">
        <f t="shared" si="172"/>
        <v>1.8679598599664098E-2</v>
      </c>
      <c r="R143" s="124">
        <f t="shared" si="172"/>
        <v>1.874069447299824E-2</v>
      </c>
      <c r="S143" s="124">
        <f t="shared" si="172"/>
        <v>2.1828833962936934E-2</v>
      </c>
      <c r="T143" s="124">
        <f t="shared" si="172"/>
        <v>1.9146751964618729E-2</v>
      </c>
      <c r="U143" s="124">
        <f t="shared" si="172"/>
        <v>1.8219431211278003E-2</v>
      </c>
      <c r="V143" s="124">
        <f t="shared" si="172"/>
        <v>2.7514785889728215E-2</v>
      </c>
      <c r="W143" s="124">
        <f t="shared" si="172"/>
        <v>1.8056006406740766E-2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4.5191960227794394E-3</v>
      </c>
      <c r="C144" s="124">
        <f t="shared" ref="C144:W144" si="173">IF(C52=0,0,C52/C$47)</f>
        <v>4.5487309335856202E-3</v>
      </c>
      <c r="D144" s="124">
        <f t="shared" si="173"/>
        <v>4.7488800995331955E-3</v>
      </c>
      <c r="E144" s="124">
        <f t="shared" si="173"/>
        <v>3.6592766731380318E-3</v>
      </c>
      <c r="F144" s="124">
        <f t="shared" si="173"/>
        <v>2.8986227407703964E-3</v>
      </c>
      <c r="G144" s="124">
        <f t="shared" si="173"/>
        <v>2.9867529555675583E-3</v>
      </c>
      <c r="H144" s="124">
        <f t="shared" si="173"/>
        <v>3.3795453950313504E-3</v>
      </c>
      <c r="I144" s="124">
        <f t="shared" si="173"/>
        <v>2.5725988643272206E-3</v>
      </c>
      <c r="J144" s="124">
        <f t="shared" si="173"/>
        <v>2.3567554223947549E-3</v>
      </c>
      <c r="K144" s="124">
        <f t="shared" si="173"/>
        <v>2.1334502147326538E-3</v>
      </c>
      <c r="L144" s="124">
        <f t="shared" si="173"/>
        <v>2.7281635409989293E-3</v>
      </c>
      <c r="M144" s="124">
        <f t="shared" si="173"/>
        <v>3.1119212589994427E-3</v>
      </c>
      <c r="N144" s="124">
        <f t="shared" si="173"/>
        <v>2.7752021121612565E-3</v>
      </c>
      <c r="O144" s="124">
        <f t="shared" si="173"/>
        <v>3.3108082654609446E-3</v>
      </c>
      <c r="P144" s="124">
        <f t="shared" si="173"/>
        <v>2.3642576395881136E-3</v>
      </c>
      <c r="Q144" s="124">
        <f t="shared" si="173"/>
        <v>2.1235339222753645E-3</v>
      </c>
      <c r="R144" s="124">
        <f t="shared" si="173"/>
        <v>2.2253654929612807E-3</v>
      </c>
      <c r="S144" s="124">
        <f t="shared" si="173"/>
        <v>2.467873829481639E-3</v>
      </c>
      <c r="T144" s="124">
        <f t="shared" si="173"/>
        <v>2.7260731685853573E-3</v>
      </c>
      <c r="U144" s="124">
        <f t="shared" si="173"/>
        <v>2.387464545882944E-3</v>
      </c>
      <c r="V144" s="124">
        <f t="shared" si="173"/>
        <v>3.5779246658842936E-3</v>
      </c>
      <c r="W144" s="124">
        <f t="shared" si="173"/>
        <v>4.3310504252981937E-3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3.2645820456084552E-3</v>
      </c>
      <c r="C146" s="140">
        <f t="shared" ref="C146:W146" si="175">IF(C54=0,0,C54/C$47)</f>
        <v>3.4517317712964742E-3</v>
      </c>
      <c r="D146" s="140">
        <f t="shared" si="175"/>
        <v>4.2505190444247993E-3</v>
      </c>
      <c r="E146" s="140">
        <f t="shared" si="175"/>
        <v>3.1861494427209945E-3</v>
      </c>
      <c r="F146" s="140">
        <f t="shared" si="175"/>
        <v>2.6082719181714292E-3</v>
      </c>
      <c r="G146" s="140">
        <f t="shared" si="175"/>
        <v>2.6689071526858664E-3</v>
      </c>
      <c r="H146" s="140">
        <f t="shared" si="175"/>
        <v>1.8757791873237597E-3</v>
      </c>
      <c r="I146" s="140">
        <f t="shared" si="175"/>
        <v>2.0525243148460659E-3</v>
      </c>
      <c r="J146" s="140">
        <f t="shared" si="175"/>
        <v>1.6881289440699159E-3</v>
      </c>
      <c r="K146" s="140">
        <f t="shared" si="175"/>
        <v>1.5132225227831783E-3</v>
      </c>
      <c r="L146" s="140">
        <f t="shared" si="175"/>
        <v>1.8411680573902304E-3</v>
      </c>
      <c r="M146" s="140">
        <f t="shared" si="175"/>
        <v>2.6407478975564798E-3</v>
      </c>
      <c r="N146" s="140">
        <f t="shared" si="175"/>
        <v>2.2765106046403671E-3</v>
      </c>
      <c r="O146" s="140">
        <f t="shared" si="175"/>
        <v>2.7033968996529535E-3</v>
      </c>
      <c r="P146" s="140">
        <f t="shared" si="175"/>
        <v>2.1025221938778321E-3</v>
      </c>
      <c r="Q146" s="140">
        <f t="shared" si="175"/>
        <v>1.8942008411448775E-3</v>
      </c>
      <c r="R146" s="140">
        <f t="shared" si="175"/>
        <v>1.8621021299507136E-3</v>
      </c>
      <c r="S146" s="140">
        <f t="shared" si="175"/>
        <v>2.0869935442452041E-3</v>
      </c>
      <c r="T146" s="140">
        <f t="shared" si="175"/>
        <v>2.336085141483449E-3</v>
      </c>
      <c r="U146" s="140">
        <f t="shared" si="175"/>
        <v>1.849416401916339E-3</v>
      </c>
      <c r="V146" s="140">
        <f t="shared" si="175"/>
        <v>2.5726794341300175E-3</v>
      </c>
      <c r="W146" s="140">
        <f t="shared" si="175"/>
        <v>3.1935589200104771E-3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1.2546139771709834E-3</v>
      </c>
      <c r="C147" s="140">
        <f t="shared" ref="C147:W147" si="176">IF(C55=0,0,C55/C$47)</f>
        <v>1.0969991622891459E-3</v>
      </c>
      <c r="D147" s="140">
        <f t="shared" si="176"/>
        <v>4.9836105510839583E-4</v>
      </c>
      <c r="E147" s="140">
        <f t="shared" si="176"/>
        <v>4.7312723041703739E-4</v>
      </c>
      <c r="F147" s="140">
        <f t="shared" si="176"/>
        <v>2.9035082259896695E-4</v>
      </c>
      <c r="G147" s="140">
        <f t="shared" si="176"/>
        <v>3.1784580288169161E-4</v>
      </c>
      <c r="H147" s="140">
        <f t="shared" si="176"/>
        <v>1.5037662077075906E-3</v>
      </c>
      <c r="I147" s="140">
        <f t="shared" si="176"/>
        <v>5.2007454948115473E-4</v>
      </c>
      <c r="J147" s="140">
        <f t="shared" si="176"/>
        <v>6.6862647832483901E-4</v>
      </c>
      <c r="K147" s="140">
        <f t="shared" si="176"/>
        <v>6.202276919494758E-4</v>
      </c>
      <c r="L147" s="140">
        <f t="shared" si="176"/>
        <v>8.8699548360869911E-4</v>
      </c>
      <c r="M147" s="140">
        <f t="shared" si="176"/>
        <v>4.7117336144296277E-4</v>
      </c>
      <c r="N147" s="140">
        <f t="shared" si="176"/>
        <v>4.9869150752088925E-4</v>
      </c>
      <c r="O147" s="140">
        <f t="shared" si="176"/>
        <v>6.0741136580799097E-4</v>
      </c>
      <c r="P147" s="140">
        <f t="shared" si="176"/>
        <v>2.6173544571028143E-4</v>
      </c>
      <c r="Q147" s="140">
        <f t="shared" si="176"/>
        <v>2.2933308113048682E-4</v>
      </c>
      <c r="R147" s="140">
        <f t="shared" si="176"/>
        <v>3.632633630105672E-4</v>
      </c>
      <c r="S147" s="140">
        <f t="shared" si="176"/>
        <v>3.8088028523643489E-4</v>
      </c>
      <c r="T147" s="140">
        <f t="shared" si="176"/>
        <v>3.8998802710190825E-4</v>
      </c>
      <c r="U147" s="140">
        <f t="shared" si="176"/>
        <v>5.3804814396660476E-4</v>
      </c>
      <c r="V147" s="140">
        <f t="shared" si="176"/>
        <v>1.005245231754276E-3</v>
      </c>
      <c r="W147" s="140">
        <f t="shared" si="176"/>
        <v>1.1374915052877171E-3</v>
      </c>
      <c r="DA147" s="175"/>
    </row>
    <row r="148" spans="1:105" ht="11.45" customHeight="1" x14ac:dyDescent="0.25">
      <c r="A148" s="109" t="s">
        <v>142</v>
      </c>
      <c r="B148" s="124">
        <f t="shared" si="167"/>
        <v>1.0099568569892274E-3</v>
      </c>
      <c r="C148" s="124">
        <f t="shared" ref="C148:W148" si="177">IF(C56=0,0,C56/C$47)</f>
        <v>9.5390011596890932E-4</v>
      </c>
      <c r="D148" s="124">
        <f t="shared" si="177"/>
        <v>1.7362530149597824E-3</v>
      </c>
      <c r="E148" s="124">
        <f t="shared" si="177"/>
        <v>7.4569724423978355E-3</v>
      </c>
      <c r="F148" s="124">
        <f t="shared" si="177"/>
        <v>1.5452008997904503E-3</v>
      </c>
      <c r="G148" s="124">
        <f t="shared" si="177"/>
        <v>6.4038269900884711E-4</v>
      </c>
      <c r="H148" s="124">
        <f t="shared" si="177"/>
        <v>5.9883941739009492E-4</v>
      </c>
      <c r="I148" s="124">
        <f t="shared" si="177"/>
        <v>5.9107655995193297E-4</v>
      </c>
      <c r="J148" s="124">
        <f t="shared" si="177"/>
        <v>5.5966279820672559E-4</v>
      </c>
      <c r="K148" s="124">
        <f t="shared" si="177"/>
        <v>5.8367224065938015E-4</v>
      </c>
      <c r="L148" s="124">
        <f t="shared" si="177"/>
        <v>6.592319797046112E-4</v>
      </c>
      <c r="M148" s="124">
        <f t="shared" si="177"/>
        <v>7.3166007672792477E-4</v>
      </c>
      <c r="N148" s="124">
        <f t="shared" si="177"/>
        <v>4.8256485515027073E-3</v>
      </c>
      <c r="O148" s="124">
        <f t="shared" si="177"/>
        <v>4.4992165252901615E-3</v>
      </c>
      <c r="P148" s="124">
        <f t="shared" si="177"/>
        <v>4.385992772536729E-3</v>
      </c>
      <c r="Q148" s="124">
        <f t="shared" si="177"/>
        <v>3.8674215682163475E-3</v>
      </c>
      <c r="R148" s="124">
        <f t="shared" si="177"/>
        <v>3.3724222411391164E-3</v>
      </c>
      <c r="S148" s="124">
        <f t="shared" si="177"/>
        <v>3.1780115686634706E-3</v>
      </c>
      <c r="T148" s="124">
        <f t="shared" si="177"/>
        <v>2.9898968151594956E-3</v>
      </c>
      <c r="U148" s="124">
        <f t="shared" si="177"/>
        <v>2.956316131250007E-3</v>
      </c>
      <c r="V148" s="124">
        <f t="shared" si="177"/>
        <v>2.7801759211920482E-3</v>
      </c>
      <c r="W148" s="124">
        <f t="shared" si="177"/>
        <v>1.7705678990867441E-3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1.0099568569892274E-3</v>
      </c>
      <c r="C150" s="127">
        <f t="shared" ref="C150:W150" si="179">IF(C58=0,0,C58/C$47)</f>
        <v>9.5390011596890932E-4</v>
      </c>
      <c r="D150" s="127">
        <f t="shared" si="179"/>
        <v>1.7362530149597824E-3</v>
      </c>
      <c r="E150" s="127">
        <f t="shared" si="179"/>
        <v>7.4569724423978355E-3</v>
      </c>
      <c r="F150" s="127">
        <f t="shared" si="179"/>
        <v>1.5452008997904503E-3</v>
      </c>
      <c r="G150" s="127">
        <f t="shared" si="179"/>
        <v>6.4038269900884711E-4</v>
      </c>
      <c r="H150" s="127">
        <f t="shared" si="179"/>
        <v>5.9883941739009492E-4</v>
      </c>
      <c r="I150" s="127">
        <f t="shared" si="179"/>
        <v>5.9107655995193297E-4</v>
      </c>
      <c r="J150" s="127">
        <f t="shared" si="179"/>
        <v>5.5966279820672559E-4</v>
      </c>
      <c r="K150" s="127">
        <f t="shared" si="179"/>
        <v>5.8367224065938015E-4</v>
      </c>
      <c r="L150" s="127">
        <f t="shared" si="179"/>
        <v>6.592319797046112E-4</v>
      </c>
      <c r="M150" s="127">
        <f t="shared" si="179"/>
        <v>7.3166007672792477E-4</v>
      </c>
      <c r="N150" s="127">
        <f t="shared" si="179"/>
        <v>4.8256485515027073E-3</v>
      </c>
      <c r="O150" s="127">
        <f t="shared" si="179"/>
        <v>4.4992165252901615E-3</v>
      </c>
      <c r="P150" s="127">
        <f t="shared" si="179"/>
        <v>4.385992772536729E-3</v>
      </c>
      <c r="Q150" s="127">
        <f t="shared" si="179"/>
        <v>3.8674215682163475E-3</v>
      </c>
      <c r="R150" s="127">
        <f t="shared" si="179"/>
        <v>3.3724222411391164E-3</v>
      </c>
      <c r="S150" s="127">
        <f t="shared" si="179"/>
        <v>3.1780115686634706E-3</v>
      </c>
      <c r="T150" s="127">
        <f t="shared" si="179"/>
        <v>2.9898968151594956E-3</v>
      </c>
      <c r="U150" s="127">
        <f t="shared" si="179"/>
        <v>2.956316131250007E-3</v>
      </c>
      <c r="V150" s="127">
        <f t="shared" si="179"/>
        <v>2.7801759211920482E-3</v>
      </c>
      <c r="W150" s="127">
        <f t="shared" si="179"/>
        <v>1.7705678990867441E-3</v>
      </c>
      <c r="DA150" s="178"/>
    </row>
    <row r="151" spans="1:105" ht="11.45" customHeight="1" x14ac:dyDescent="0.25">
      <c r="A151" s="27" t="s">
        <v>176</v>
      </c>
      <c r="B151" s="31">
        <f>IF(B59=0,0,B59/B$59)</f>
        <v>0</v>
      </c>
      <c r="C151" s="31">
        <f t="shared" ref="C151:W151" si="180">IF(C59=0,0,C59/C$59)</f>
        <v>0</v>
      </c>
      <c r="D151" s="31">
        <f t="shared" si="180"/>
        <v>0</v>
      </c>
      <c r="E151" s="31">
        <f t="shared" si="180"/>
        <v>0</v>
      </c>
      <c r="F151" s="31">
        <f t="shared" si="180"/>
        <v>0</v>
      </c>
      <c r="G151" s="31">
        <f t="shared" si="180"/>
        <v>0</v>
      </c>
      <c r="H151" s="31">
        <f t="shared" si="180"/>
        <v>0</v>
      </c>
      <c r="I151" s="31">
        <f t="shared" si="180"/>
        <v>0</v>
      </c>
      <c r="J151" s="31">
        <f t="shared" si="180"/>
        <v>0</v>
      </c>
      <c r="K151" s="31">
        <f t="shared" si="180"/>
        <v>0</v>
      </c>
      <c r="L151" s="31">
        <f t="shared" si="180"/>
        <v>0</v>
      </c>
      <c r="M151" s="31">
        <f t="shared" si="180"/>
        <v>0</v>
      </c>
      <c r="N151" s="31">
        <f t="shared" si="180"/>
        <v>0</v>
      </c>
      <c r="O151" s="31">
        <f t="shared" si="180"/>
        <v>0</v>
      </c>
      <c r="P151" s="31">
        <f t="shared" si="180"/>
        <v>0</v>
      </c>
      <c r="Q151" s="31">
        <f t="shared" si="180"/>
        <v>0</v>
      </c>
      <c r="R151" s="31">
        <f t="shared" si="180"/>
        <v>0</v>
      </c>
      <c r="S151" s="31">
        <f t="shared" si="180"/>
        <v>0</v>
      </c>
      <c r="T151" s="31">
        <f t="shared" si="180"/>
        <v>0</v>
      </c>
      <c r="U151" s="31">
        <f t="shared" si="180"/>
        <v>0</v>
      </c>
      <c r="V151" s="31">
        <f t="shared" si="180"/>
        <v>0</v>
      </c>
      <c r="W151" s="31">
        <f t="shared" si="180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</v>
      </c>
      <c r="C152" s="140">
        <f t="shared" ref="C152:W152" si="181">IF(C60=0,0,C60/C$59)</f>
        <v>0</v>
      </c>
      <c r="D152" s="140">
        <f t="shared" si="181"/>
        <v>0</v>
      </c>
      <c r="E152" s="140">
        <f t="shared" si="181"/>
        <v>0</v>
      </c>
      <c r="F152" s="140">
        <f t="shared" si="181"/>
        <v>0</v>
      </c>
      <c r="G152" s="140">
        <f t="shared" si="181"/>
        <v>0</v>
      </c>
      <c r="H152" s="140">
        <f t="shared" si="181"/>
        <v>0</v>
      </c>
      <c r="I152" s="140">
        <f t="shared" si="181"/>
        <v>0</v>
      </c>
      <c r="J152" s="140">
        <f t="shared" si="181"/>
        <v>0</v>
      </c>
      <c r="K152" s="140">
        <f t="shared" si="181"/>
        <v>0</v>
      </c>
      <c r="L152" s="140">
        <f t="shared" si="181"/>
        <v>0</v>
      </c>
      <c r="M152" s="140">
        <f t="shared" si="181"/>
        <v>0</v>
      </c>
      <c r="N152" s="140">
        <f t="shared" si="181"/>
        <v>0</v>
      </c>
      <c r="O152" s="140">
        <f t="shared" si="181"/>
        <v>0</v>
      </c>
      <c r="P152" s="140">
        <f t="shared" si="181"/>
        <v>0</v>
      </c>
      <c r="Q152" s="140">
        <f t="shared" si="181"/>
        <v>0</v>
      </c>
      <c r="R152" s="140">
        <f t="shared" si="181"/>
        <v>0</v>
      </c>
      <c r="S152" s="140">
        <f t="shared" si="181"/>
        <v>0</v>
      </c>
      <c r="T152" s="140">
        <f t="shared" si="181"/>
        <v>0</v>
      </c>
      <c r="U152" s="140">
        <f t="shared" si="181"/>
        <v>0</v>
      </c>
      <c r="V152" s="140">
        <f t="shared" si="181"/>
        <v>0</v>
      </c>
      <c r="W152" s="140">
        <f t="shared" si="181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</v>
      </c>
      <c r="C153" s="127">
        <f t="shared" ref="C153:W153" si="182">IF(C61=0,0,C61/C$59)</f>
        <v>0</v>
      </c>
      <c r="D153" s="127">
        <f t="shared" si="182"/>
        <v>0</v>
      </c>
      <c r="E153" s="127">
        <f t="shared" si="182"/>
        <v>0</v>
      </c>
      <c r="F153" s="127">
        <f t="shared" si="182"/>
        <v>0</v>
      </c>
      <c r="G153" s="127">
        <f t="shared" si="182"/>
        <v>0</v>
      </c>
      <c r="H153" s="127">
        <f t="shared" si="182"/>
        <v>0</v>
      </c>
      <c r="I153" s="127">
        <f t="shared" si="182"/>
        <v>0</v>
      </c>
      <c r="J153" s="127">
        <f t="shared" si="182"/>
        <v>0</v>
      </c>
      <c r="K153" s="127">
        <f t="shared" si="182"/>
        <v>0</v>
      </c>
      <c r="L153" s="127">
        <f t="shared" si="182"/>
        <v>0</v>
      </c>
      <c r="M153" s="127">
        <f t="shared" si="182"/>
        <v>0</v>
      </c>
      <c r="N153" s="127">
        <f t="shared" si="182"/>
        <v>0</v>
      </c>
      <c r="O153" s="127">
        <f t="shared" si="182"/>
        <v>0</v>
      </c>
      <c r="P153" s="127">
        <f t="shared" si="182"/>
        <v>0</v>
      </c>
      <c r="Q153" s="127">
        <f t="shared" si="182"/>
        <v>0</v>
      </c>
      <c r="R153" s="127">
        <f t="shared" si="182"/>
        <v>0</v>
      </c>
      <c r="S153" s="127">
        <f t="shared" si="182"/>
        <v>0</v>
      </c>
      <c r="T153" s="127">
        <f t="shared" si="182"/>
        <v>0</v>
      </c>
      <c r="U153" s="127">
        <f t="shared" si="182"/>
        <v>0</v>
      </c>
      <c r="V153" s="127">
        <f t="shared" si="182"/>
        <v>0</v>
      </c>
      <c r="W153" s="127">
        <f t="shared" si="182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0.85855532808578516</v>
      </c>
      <c r="C157" s="139">
        <f t="shared" ref="C157:W157" si="185">IF(C65=0,0,C65/C$64)</f>
        <v>0.87075814239008054</v>
      </c>
      <c r="D157" s="139">
        <f t="shared" si="185"/>
        <v>0.88195933076934241</v>
      </c>
      <c r="E157" s="139">
        <f t="shared" si="185"/>
        <v>0.88847009772052632</v>
      </c>
      <c r="F157" s="139">
        <f t="shared" si="185"/>
        <v>0.88702611412134558</v>
      </c>
      <c r="G157" s="139">
        <f t="shared" si="185"/>
        <v>0.87888038229611676</v>
      </c>
      <c r="H157" s="139">
        <f t="shared" si="185"/>
        <v>0.886724087890982</v>
      </c>
      <c r="I157" s="139">
        <f t="shared" si="185"/>
        <v>0.89736273195381022</v>
      </c>
      <c r="J157" s="139">
        <f t="shared" si="185"/>
        <v>0.88631142118805661</v>
      </c>
      <c r="K157" s="139">
        <f t="shared" si="185"/>
        <v>0.89848405723363334</v>
      </c>
      <c r="L157" s="139">
        <f t="shared" si="185"/>
        <v>0.89331254932096971</v>
      </c>
      <c r="M157" s="139">
        <f t="shared" si="185"/>
        <v>0.88805969383737782</v>
      </c>
      <c r="N157" s="139">
        <f t="shared" si="185"/>
        <v>0.91614633508379362</v>
      </c>
      <c r="O157" s="139">
        <f t="shared" si="185"/>
        <v>0.91239537001428894</v>
      </c>
      <c r="P157" s="139">
        <f t="shared" si="185"/>
        <v>0.91241347601740042</v>
      </c>
      <c r="Q157" s="139">
        <f t="shared" si="185"/>
        <v>0.91926767273631771</v>
      </c>
      <c r="R157" s="139">
        <f t="shared" si="185"/>
        <v>0.91636642786957156</v>
      </c>
      <c r="S157" s="139">
        <f t="shared" si="185"/>
        <v>0.91034394606062841</v>
      </c>
      <c r="T157" s="139">
        <f t="shared" si="185"/>
        <v>0.89992369511035175</v>
      </c>
      <c r="U157" s="139">
        <f t="shared" si="185"/>
        <v>0.90753672148936926</v>
      </c>
      <c r="V157" s="139">
        <f t="shared" si="185"/>
        <v>0.95618427284076146</v>
      </c>
      <c r="W157" s="139">
        <f t="shared" si="185"/>
        <v>0.95256047255767473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5.1900944565314222E-3</v>
      </c>
      <c r="C158" s="140">
        <f t="shared" ref="C158:W158" si="186">IF(C66=0,0,C66/C$64)</f>
        <v>5.0927296198007635E-3</v>
      </c>
      <c r="D158" s="140">
        <f t="shared" si="186"/>
        <v>5.1078968761964112E-3</v>
      </c>
      <c r="E158" s="140">
        <f t="shared" si="186"/>
        <v>5.1663315411284412E-3</v>
      </c>
      <c r="F158" s="140">
        <f t="shared" si="186"/>
        <v>5.4172980676254825E-3</v>
      </c>
      <c r="G158" s="140">
        <f t="shared" si="186"/>
        <v>5.6347110028790127E-3</v>
      </c>
      <c r="H158" s="140">
        <f t="shared" si="186"/>
        <v>5.538568048283155E-3</v>
      </c>
      <c r="I158" s="140">
        <f t="shared" si="186"/>
        <v>5.5396909666901497E-3</v>
      </c>
      <c r="J158" s="140">
        <f t="shared" si="186"/>
        <v>5.6763664534033413E-3</v>
      </c>
      <c r="K158" s="140">
        <f t="shared" si="186"/>
        <v>5.6216398609928112E-3</v>
      </c>
      <c r="L158" s="140">
        <f t="shared" si="186"/>
        <v>5.9748055528206119E-3</v>
      </c>
      <c r="M158" s="140">
        <f t="shared" si="186"/>
        <v>6.4836220419891843E-3</v>
      </c>
      <c r="N158" s="140">
        <f t="shared" si="186"/>
        <v>6.778471766146963E-3</v>
      </c>
      <c r="O158" s="140">
        <f t="shared" si="186"/>
        <v>7.3276226054979961E-3</v>
      </c>
      <c r="P158" s="140">
        <f t="shared" si="186"/>
        <v>6.9076316952207707E-3</v>
      </c>
      <c r="Q158" s="140">
        <f t="shared" si="186"/>
        <v>6.5578481344275765E-3</v>
      </c>
      <c r="R158" s="140">
        <f t="shared" si="186"/>
        <v>6.1743935980081155E-3</v>
      </c>
      <c r="S158" s="140">
        <f t="shared" si="186"/>
        <v>6.0781249532701406E-3</v>
      </c>
      <c r="T158" s="140">
        <f t="shared" si="186"/>
        <v>5.9043559062400951E-3</v>
      </c>
      <c r="U158" s="140">
        <f t="shared" si="186"/>
        <v>5.5838244346190658E-3</v>
      </c>
      <c r="V158" s="140">
        <f t="shared" si="186"/>
        <v>5.9605047136071024E-3</v>
      </c>
      <c r="W158" s="140">
        <f t="shared" si="186"/>
        <v>5.3399455796953391E-3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0.67552779645053385</v>
      </c>
      <c r="C159" s="140">
        <f t="shared" ref="C159:W159" si="187">IF(C67=0,0,C67/C$64)</f>
        <v>0.69345833002424706</v>
      </c>
      <c r="D159" s="140">
        <f t="shared" si="187"/>
        <v>0.70506096368530458</v>
      </c>
      <c r="E159" s="140">
        <f t="shared" si="187"/>
        <v>0.71746007220393782</v>
      </c>
      <c r="F159" s="140">
        <f t="shared" si="187"/>
        <v>0.72711220706439239</v>
      </c>
      <c r="G159" s="140">
        <f t="shared" si="187"/>
        <v>0.71696717203615623</v>
      </c>
      <c r="H159" s="140">
        <f t="shared" si="187"/>
        <v>0.72194663201935949</v>
      </c>
      <c r="I159" s="140">
        <f t="shared" si="187"/>
        <v>0.73807664487942171</v>
      </c>
      <c r="J159" s="140">
        <f t="shared" si="187"/>
        <v>0.74227753686594755</v>
      </c>
      <c r="K159" s="140">
        <f t="shared" si="187"/>
        <v>0.75998651293373276</v>
      </c>
      <c r="L159" s="140">
        <f t="shared" si="187"/>
        <v>0.74215818882882123</v>
      </c>
      <c r="M159" s="140">
        <f t="shared" si="187"/>
        <v>0.73767504944686446</v>
      </c>
      <c r="N159" s="140">
        <f t="shared" si="187"/>
        <v>0.76515551953786654</v>
      </c>
      <c r="O159" s="140">
        <f t="shared" si="187"/>
        <v>0.76181907604367383</v>
      </c>
      <c r="P159" s="140">
        <f t="shared" si="187"/>
        <v>0.7555502212052021</v>
      </c>
      <c r="Q159" s="140">
        <f t="shared" si="187"/>
        <v>0.76423274957696286</v>
      </c>
      <c r="R159" s="140">
        <f t="shared" si="187"/>
        <v>0.76860299184034031</v>
      </c>
      <c r="S159" s="140">
        <f t="shared" si="187"/>
        <v>0.76226359453868286</v>
      </c>
      <c r="T159" s="140">
        <f t="shared" si="187"/>
        <v>0.75887352219069815</v>
      </c>
      <c r="U159" s="140">
        <f t="shared" si="187"/>
        <v>0.77734433493992627</v>
      </c>
      <c r="V159" s="140">
        <f t="shared" si="187"/>
        <v>0.83142352344719839</v>
      </c>
      <c r="W159" s="140">
        <f t="shared" si="187"/>
        <v>0.82615186267160523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0.1778374371787198</v>
      </c>
      <c r="C160" s="140">
        <f t="shared" ref="C160:W160" si="188">IF(C68=0,0,C68/C$64)</f>
        <v>0.17220708274603269</v>
      </c>
      <c r="D160" s="140">
        <f t="shared" si="188"/>
        <v>0.17179047020784141</v>
      </c>
      <c r="E160" s="140">
        <f t="shared" si="188"/>
        <v>0.16584369397546003</v>
      </c>
      <c r="F160" s="140">
        <f t="shared" si="188"/>
        <v>0.15449660898932779</v>
      </c>
      <c r="G160" s="140">
        <f t="shared" si="188"/>
        <v>0.1562784992570814</v>
      </c>
      <c r="H160" s="140">
        <f t="shared" si="188"/>
        <v>0.15923888782333942</v>
      </c>
      <c r="I160" s="140">
        <f t="shared" si="188"/>
        <v>0.1537463961076983</v>
      </c>
      <c r="J160" s="140">
        <f t="shared" si="188"/>
        <v>0.1383575178687057</v>
      </c>
      <c r="K160" s="140">
        <f t="shared" si="188"/>
        <v>0.13287590443890784</v>
      </c>
      <c r="L160" s="140">
        <f t="shared" si="188"/>
        <v>0.14517955493932777</v>
      </c>
      <c r="M160" s="140">
        <f t="shared" si="188"/>
        <v>0.14390102234852414</v>
      </c>
      <c r="N160" s="140">
        <f t="shared" si="188"/>
        <v>0.14421234377978009</v>
      </c>
      <c r="O160" s="140">
        <f t="shared" si="188"/>
        <v>0.1432486713651171</v>
      </c>
      <c r="P160" s="140">
        <f t="shared" si="188"/>
        <v>0.14995562311697755</v>
      </c>
      <c r="Q160" s="140">
        <f t="shared" si="188"/>
        <v>0.1484770750249273</v>
      </c>
      <c r="R160" s="140">
        <f t="shared" si="188"/>
        <v>0.14158904243122311</v>
      </c>
      <c r="S160" s="140">
        <f t="shared" si="188"/>
        <v>0.14200222656867531</v>
      </c>
      <c r="T160" s="140">
        <f t="shared" si="188"/>
        <v>0.1351458170134136</v>
      </c>
      <c r="U160" s="140">
        <f t="shared" si="188"/>
        <v>0.12460856211482388</v>
      </c>
      <c r="V160" s="140">
        <f t="shared" si="188"/>
        <v>0.11880024467995588</v>
      </c>
      <c r="W160" s="140">
        <f t="shared" si="188"/>
        <v>0.12106866430637417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3.4134868986467212E-2</v>
      </c>
      <c r="C161" s="124">
        <f t="shared" ref="C161:W161" si="189">IF(C69=0,0,C69/C$64)</f>
        <v>3.2266835371091901E-2</v>
      </c>
      <c r="D161" s="124">
        <f t="shared" si="189"/>
        <v>3.0115053508708054E-2</v>
      </c>
      <c r="E161" s="124">
        <f t="shared" si="189"/>
        <v>2.8098234595496544E-2</v>
      </c>
      <c r="F161" s="124">
        <f t="shared" si="189"/>
        <v>2.5330549794676301E-2</v>
      </c>
      <c r="G161" s="124">
        <f t="shared" si="189"/>
        <v>2.2200509871836659E-2</v>
      </c>
      <c r="H161" s="124">
        <f t="shared" si="189"/>
        <v>1.9039307020483669E-2</v>
      </c>
      <c r="I161" s="124">
        <f t="shared" si="189"/>
        <v>1.7792653147237915E-2</v>
      </c>
      <c r="J161" s="124">
        <f t="shared" si="189"/>
        <v>1.8334484902997904E-2</v>
      </c>
      <c r="K161" s="124">
        <f t="shared" si="189"/>
        <v>2.0145460245353106E-2</v>
      </c>
      <c r="L161" s="124">
        <f t="shared" si="189"/>
        <v>1.9038800292477513E-2</v>
      </c>
      <c r="M161" s="124">
        <f t="shared" si="189"/>
        <v>1.8177007367969122E-2</v>
      </c>
      <c r="N161" s="124">
        <f t="shared" si="189"/>
        <v>1.5249796282126145E-2</v>
      </c>
      <c r="O161" s="124">
        <f t="shared" si="189"/>
        <v>1.8437201275683133E-2</v>
      </c>
      <c r="P161" s="124">
        <f t="shared" si="189"/>
        <v>1.8527781450950777E-2</v>
      </c>
      <c r="Q161" s="124">
        <f t="shared" si="189"/>
        <v>1.4227855409367449E-2</v>
      </c>
      <c r="R161" s="124">
        <f t="shared" si="189"/>
        <v>1.344993958197226E-2</v>
      </c>
      <c r="S161" s="124">
        <f t="shared" si="189"/>
        <v>1.2943104827633939E-2</v>
      </c>
      <c r="T161" s="124">
        <f t="shared" si="189"/>
        <v>1.1785865263304838E-2</v>
      </c>
      <c r="U161" s="124">
        <f t="shared" si="189"/>
        <v>9.7990157693264822E-3</v>
      </c>
      <c r="V161" s="124">
        <f t="shared" si="189"/>
        <v>9.0989306798627007E-3</v>
      </c>
      <c r="W161" s="124">
        <f t="shared" si="189"/>
        <v>8.6909272148476598E-3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3.4134868986467212E-2</v>
      </c>
      <c r="C163" s="140">
        <f t="shared" ref="C163:W163" si="191">IF(C71=0,0,C71/C$64)</f>
        <v>3.2266835371091901E-2</v>
      </c>
      <c r="D163" s="140">
        <f t="shared" si="191"/>
        <v>3.0115053508708054E-2</v>
      </c>
      <c r="E163" s="140">
        <f t="shared" si="191"/>
        <v>2.8098234595496544E-2</v>
      </c>
      <c r="F163" s="140">
        <f t="shared" si="191"/>
        <v>2.5330549794676301E-2</v>
      </c>
      <c r="G163" s="140">
        <f t="shared" si="191"/>
        <v>2.2200509871836659E-2</v>
      </c>
      <c r="H163" s="140">
        <f t="shared" si="191"/>
        <v>1.9039307020483669E-2</v>
      </c>
      <c r="I163" s="140">
        <f t="shared" si="191"/>
        <v>1.7792653147237915E-2</v>
      </c>
      <c r="J163" s="140">
        <f t="shared" si="191"/>
        <v>1.8334484902997904E-2</v>
      </c>
      <c r="K163" s="140">
        <f t="shared" si="191"/>
        <v>2.0145460245353106E-2</v>
      </c>
      <c r="L163" s="140">
        <f t="shared" si="191"/>
        <v>1.9038800292477513E-2</v>
      </c>
      <c r="M163" s="140">
        <f t="shared" si="191"/>
        <v>1.8177007367969122E-2</v>
      </c>
      <c r="N163" s="140">
        <f t="shared" si="191"/>
        <v>1.5249796282126145E-2</v>
      </c>
      <c r="O163" s="140">
        <f t="shared" si="191"/>
        <v>1.8437201275683133E-2</v>
      </c>
      <c r="P163" s="140">
        <f t="shared" si="191"/>
        <v>1.8527781450950777E-2</v>
      </c>
      <c r="Q163" s="140">
        <f t="shared" si="191"/>
        <v>1.4227855409367449E-2</v>
      </c>
      <c r="R163" s="140">
        <f t="shared" si="191"/>
        <v>1.344993958197226E-2</v>
      </c>
      <c r="S163" s="140">
        <f t="shared" si="191"/>
        <v>1.2943104827633939E-2</v>
      </c>
      <c r="T163" s="140">
        <f t="shared" si="191"/>
        <v>1.1785865263304838E-2</v>
      </c>
      <c r="U163" s="140">
        <f t="shared" si="191"/>
        <v>9.7990157693264822E-3</v>
      </c>
      <c r="V163" s="140">
        <f t="shared" si="191"/>
        <v>9.0989306798627007E-3</v>
      </c>
      <c r="W163" s="140">
        <f t="shared" si="191"/>
        <v>8.6909272148476598E-3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0.10730980292774767</v>
      </c>
      <c r="C165" s="124">
        <f t="shared" ref="C165:W165" si="193">IF(C73=0,0,C73/C$64)</f>
        <v>9.6975022238827743E-2</v>
      </c>
      <c r="D165" s="124">
        <f t="shared" si="193"/>
        <v>8.792561572194961E-2</v>
      </c>
      <c r="E165" s="124">
        <f t="shared" si="193"/>
        <v>8.3431667683977084E-2</v>
      </c>
      <c r="F165" s="124">
        <f t="shared" si="193"/>
        <v>8.7643336083978104E-2</v>
      </c>
      <c r="G165" s="124">
        <f t="shared" si="193"/>
        <v>9.8919107832046702E-2</v>
      </c>
      <c r="H165" s="124">
        <f t="shared" si="193"/>
        <v>9.4236605088534375E-2</v>
      </c>
      <c r="I165" s="124">
        <f t="shared" si="193"/>
        <v>8.4844614898951815E-2</v>
      </c>
      <c r="J165" s="124">
        <f t="shared" si="193"/>
        <v>9.5354093908945545E-2</v>
      </c>
      <c r="K165" s="124">
        <f t="shared" si="193"/>
        <v>8.1370482521013546E-2</v>
      </c>
      <c r="L165" s="124">
        <f t="shared" si="193"/>
        <v>8.7648650386552812E-2</v>
      </c>
      <c r="M165" s="124">
        <f t="shared" si="193"/>
        <v>9.3763298794653074E-2</v>
      </c>
      <c r="N165" s="124">
        <f t="shared" si="193"/>
        <v>6.8603868634080176E-2</v>
      </c>
      <c r="O165" s="124">
        <f t="shared" si="193"/>
        <v>6.9167428710027984E-2</v>
      </c>
      <c r="P165" s="124">
        <f t="shared" si="193"/>
        <v>6.9058742531648828E-2</v>
      </c>
      <c r="Q165" s="124">
        <f t="shared" si="193"/>
        <v>6.6504471854314837E-2</v>
      </c>
      <c r="R165" s="124">
        <f t="shared" si="193"/>
        <v>7.0183632548456221E-2</v>
      </c>
      <c r="S165" s="124">
        <f t="shared" si="193"/>
        <v>7.6712949111737636E-2</v>
      </c>
      <c r="T165" s="124">
        <f t="shared" si="193"/>
        <v>8.8290439626343392E-2</v>
      </c>
      <c r="U165" s="124">
        <f t="shared" si="193"/>
        <v>8.2664262741304173E-2</v>
      </c>
      <c r="V165" s="124">
        <f t="shared" si="193"/>
        <v>3.4716796479375853E-2</v>
      </c>
      <c r="W165" s="124">
        <f t="shared" si="193"/>
        <v>3.8748600227477496E-2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6.6962121266461824E-2</v>
      </c>
      <c r="C167" s="140">
        <f t="shared" ref="C167:W167" si="195">IF(C75=0,0,C75/C$64)</f>
        <v>6.051256475208782E-2</v>
      </c>
      <c r="D167" s="140">
        <f t="shared" si="195"/>
        <v>5.5775550963753792E-2</v>
      </c>
      <c r="E167" s="140">
        <f t="shared" si="195"/>
        <v>5.0637896024551585E-2</v>
      </c>
      <c r="F167" s="140">
        <f t="shared" si="195"/>
        <v>5.7015472103882706E-2</v>
      </c>
      <c r="G167" s="140">
        <f t="shared" si="195"/>
        <v>6.6138566018892009E-2</v>
      </c>
      <c r="H167" s="140">
        <f t="shared" si="195"/>
        <v>6.2832296006563287E-2</v>
      </c>
      <c r="I167" s="140">
        <f t="shared" si="195"/>
        <v>5.6554013881071938E-2</v>
      </c>
      <c r="J167" s="140">
        <f t="shared" si="195"/>
        <v>6.3875939364322482E-2</v>
      </c>
      <c r="K167" s="140">
        <f t="shared" si="195"/>
        <v>5.3079569037858695E-2</v>
      </c>
      <c r="L167" s="140">
        <f t="shared" si="195"/>
        <v>5.6847665082927587E-2</v>
      </c>
      <c r="M167" s="140">
        <f t="shared" si="195"/>
        <v>6.0767616449559456E-2</v>
      </c>
      <c r="N167" s="140">
        <f t="shared" si="195"/>
        <v>4.4575696635694766E-2</v>
      </c>
      <c r="O167" s="140">
        <f t="shared" si="195"/>
        <v>4.5012537808000623E-2</v>
      </c>
      <c r="P167" s="140">
        <f t="shared" si="195"/>
        <v>4.5417594002132293E-2</v>
      </c>
      <c r="Q167" s="140">
        <f t="shared" si="195"/>
        <v>4.4173223958449602E-2</v>
      </c>
      <c r="R167" s="140">
        <f t="shared" si="195"/>
        <v>4.7964505620308566E-2</v>
      </c>
      <c r="S167" s="140">
        <f t="shared" si="195"/>
        <v>5.3054424377197464E-2</v>
      </c>
      <c r="T167" s="140">
        <f t="shared" si="195"/>
        <v>6.1128263458526011E-2</v>
      </c>
      <c r="U167" s="140">
        <f t="shared" si="195"/>
        <v>5.7290617325657704E-2</v>
      </c>
      <c r="V167" s="140">
        <f t="shared" si="195"/>
        <v>2.1427090355381529E-2</v>
      </c>
      <c r="W167" s="140">
        <f t="shared" si="195"/>
        <v>2.4768709320575764E-2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4.0347681661285842E-2</v>
      </c>
      <c r="C168" s="140">
        <f t="shared" ref="C168:W168" si="196">IF(C76=0,0,C76/C$64)</f>
        <v>3.6462457486739916E-2</v>
      </c>
      <c r="D168" s="140">
        <f t="shared" si="196"/>
        <v>3.2150064758195818E-2</v>
      </c>
      <c r="E168" s="140">
        <f t="shared" si="196"/>
        <v>3.2793771659425493E-2</v>
      </c>
      <c r="F168" s="140">
        <f t="shared" si="196"/>
        <v>3.0627863980095402E-2</v>
      </c>
      <c r="G168" s="140">
        <f t="shared" si="196"/>
        <v>3.2780541813154686E-2</v>
      </c>
      <c r="H168" s="140">
        <f t="shared" si="196"/>
        <v>3.1404309081971102E-2</v>
      </c>
      <c r="I168" s="140">
        <f t="shared" si="196"/>
        <v>2.829060101787987E-2</v>
      </c>
      <c r="J168" s="140">
        <f t="shared" si="196"/>
        <v>3.1478154544623063E-2</v>
      </c>
      <c r="K168" s="140">
        <f t="shared" si="196"/>
        <v>2.8290913483154843E-2</v>
      </c>
      <c r="L168" s="140">
        <f t="shared" si="196"/>
        <v>3.0800985303625232E-2</v>
      </c>
      <c r="M168" s="140">
        <f t="shared" si="196"/>
        <v>3.2995682345093612E-2</v>
      </c>
      <c r="N168" s="140">
        <f t="shared" si="196"/>
        <v>2.4028171998385417E-2</v>
      </c>
      <c r="O168" s="140">
        <f t="shared" si="196"/>
        <v>2.415489090202735E-2</v>
      </c>
      <c r="P168" s="140">
        <f t="shared" si="196"/>
        <v>2.3641148529516539E-2</v>
      </c>
      <c r="Q168" s="140">
        <f t="shared" si="196"/>
        <v>2.2331247895865221E-2</v>
      </c>
      <c r="R168" s="140">
        <f t="shared" si="196"/>
        <v>2.2219126928147665E-2</v>
      </c>
      <c r="S168" s="140">
        <f t="shared" si="196"/>
        <v>2.3658524734540168E-2</v>
      </c>
      <c r="T168" s="140">
        <f t="shared" si="196"/>
        <v>2.7162176167817381E-2</v>
      </c>
      <c r="U168" s="140">
        <f t="shared" si="196"/>
        <v>2.5373645415646469E-2</v>
      </c>
      <c r="V168" s="140">
        <f t="shared" si="196"/>
        <v>1.3289706123994325E-2</v>
      </c>
      <c r="W168" s="140">
        <f t="shared" si="196"/>
        <v>1.3979890906901734E-2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0.98027768901847545</v>
      </c>
      <c r="C170" s="139">
        <f t="shared" ref="C170:W170" si="199">IF(C78=0,0,C78/C$77)</f>
        <v>0.9829204131241327</v>
      </c>
      <c r="D170" s="139">
        <f t="shared" si="199"/>
        <v>0.98343515732137965</v>
      </c>
      <c r="E170" s="139">
        <f t="shared" si="199"/>
        <v>0.98031813712478311</v>
      </c>
      <c r="F170" s="139">
        <f t="shared" si="199"/>
        <v>0.98755082468819722</v>
      </c>
      <c r="G170" s="139">
        <f t="shared" si="199"/>
        <v>0.98985736480266429</v>
      </c>
      <c r="H170" s="139">
        <f t="shared" si="199"/>
        <v>0.98899929165083222</v>
      </c>
      <c r="I170" s="139">
        <f t="shared" si="199"/>
        <v>0.98983003989485818</v>
      </c>
      <c r="J170" s="139">
        <f t="shared" si="199"/>
        <v>0.99066518079549348</v>
      </c>
      <c r="K170" s="139">
        <f t="shared" si="199"/>
        <v>0.99245233558535362</v>
      </c>
      <c r="L170" s="139">
        <f t="shared" si="199"/>
        <v>0.99111988680017493</v>
      </c>
      <c r="M170" s="139">
        <f t="shared" si="199"/>
        <v>0.99352299550376255</v>
      </c>
      <c r="N170" s="139">
        <f t="shared" si="199"/>
        <v>0.98687846125443757</v>
      </c>
      <c r="O170" s="139">
        <f t="shared" si="199"/>
        <v>0.98485104504288112</v>
      </c>
      <c r="P170" s="139">
        <f t="shared" si="199"/>
        <v>0.986871338519969</v>
      </c>
      <c r="Q170" s="139">
        <f t="shared" si="199"/>
        <v>0.98917062128822375</v>
      </c>
      <c r="R170" s="139">
        <f t="shared" si="199"/>
        <v>0.98993043036936734</v>
      </c>
      <c r="S170" s="139">
        <f t="shared" si="199"/>
        <v>0.98940564480390469</v>
      </c>
      <c r="T170" s="139">
        <f t="shared" si="199"/>
        <v>0.98912618255659923</v>
      </c>
      <c r="U170" s="139">
        <f t="shared" si="199"/>
        <v>0.98990681037501893</v>
      </c>
      <c r="V170" s="139">
        <f t="shared" si="199"/>
        <v>0.98617542974149019</v>
      </c>
      <c r="W170" s="139">
        <f t="shared" si="199"/>
        <v>0.9881718066758779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0.33853021057477051</v>
      </c>
      <c r="C171" s="140">
        <f t="shared" ref="C171:W171" si="200">IF(C79=0,0,C79/C$77)</f>
        <v>0.33097548077059535</v>
      </c>
      <c r="D171" s="140">
        <f t="shared" si="200"/>
        <v>0.32744021922763489</v>
      </c>
      <c r="E171" s="140">
        <f t="shared" si="200"/>
        <v>0.32567087919768239</v>
      </c>
      <c r="F171" s="140">
        <f t="shared" si="200"/>
        <v>0.30842688947730229</v>
      </c>
      <c r="G171" s="140">
        <f t="shared" si="200"/>
        <v>0.27399862111069018</v>
      </c>
      <c r="H171" s="140">
        <f t="shared" si="200"/>
        <v>0.25468931444262705</v>
      </c>
      <c r="I171" s="140">
        <f t="shared" si="200"/>
        <v>0.26140452965389749</v>
      </c>
      <c r="J171" s="140">
        <f t="shared" si="200"/>
        <v>0.27409612794170563</v>
      </c>
      <c r="K171" s="140">
        <f t="shared" si="200"/>
        <v>0.32370715702838337</v>
      </c>
      <c r="L171" s="140">
        <f t="shared" si="200"/>
        <v>0.31178274889701552</v>
      </c>
      <c r="M171" s="140">
        <f t="shared" si="200"/>
        <v>0.34862243186151165</v>
      </c>
      <c r="N171" s="140">
        <f t="shared" si="200"/>
        <v>0.38654003686585919</v>
      </c>
      <c r="O171" s="140">
        <f t="shared" si="200"/>
        <v>0.42966762531531105</v>
      </c>
      <c r="P171" s="140">
        <f t="shared" si="200"/>
        <v>0.38398637903818666</v>
      </c>
      <c r="Q171" s="140">
        <f t="shared" si="200"/>
        <v>0.36076314239454577</v>
      </c>
      <c r="R171" s="140">
        <f t="shared" si="200"/>
        <v>0.37708071772683199</v>
      </c>
      <c r="S171" s="140">
        <f t="shared" si="200"/>
        <v>0.37834960274334672</v>
      </c>
      <c r="T171" s="140">
        <f t="shared" si="200"/>
        <v>0.37759673926305659</v>
      </c>
      <c r="U171" s="140">
        <f t="shared" si="200"/>
        <v>0.39226029038470012</v>
      </c>
      <c r="V171" s="140">
        <f t="shared" si="200"/>
        <v>0.45854363035644119</v>
      </c>
      <c r="W171" s="140">
        <f t="shared" si="200"/>
        <v>0.41814296236763743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0.64174747844370483</v>
      </c>
      <c r="C172" s="140">
        <f t="shared" ref="C172:W172" si="201">IF(C80=0,0,C80/C$77)</f>
        <v>0.65194493235353734</v>
      </c>
      <c r="D172" s="140">
        <f t="shared" si="201"/>
        <v>0.65599493809374476</v>
      </c>
      <c r="E172" s="140">
        <f t="shared" si="201"/>
        <v>0.65464725792710066</v>
      </c>
      <c r="F172" s="140">
        <f t="shared" si="201"/>
        <v>0.67912393521089487</v>
      </c>
      <c r="G172" s="140">
        <f t="shared" si="201"/>
        <v>0.71585874369197411</v>
      </c>
      <c r="H172" s="140">
        <f t="shared" si="201"/>
        <v>0.73430997720820501</v>
      </c>
      <c r="I172" s="140">
        <f t="shared" si="201"/>
        <v>0.72842551024096058</v>
      </c>
      <c r="J172" s="140">
        <f t="shared" si="201"/>
        <v>0.71656905285378791</v>
      </c>
      <c r="K172" s="140">
        <f t="shared" si="201"/>
        <v>0.66874517855697024</v>
      </c>
      <c r="L172" s="140">
        <f t="shared" si="201"/>
        <v>0.67933713790315953</v>
      </c>
      <c r="M172" s="140">
        <f t="shared" si="201"/>
        <v>0.6449005636422509</v>
      </c>
      <c r="N172" s="140">
        <f t="shared" si="201"/>
        <v>0.60033842438857843</v>
      </c>
      <c r="O172" s="140">
        <f t="shared" si="201"/>
        <v>0.55518341972757013</v>
      </c>
      <c r="P172" s="140">
        <f t="shared" si="201"/>
        <v>0.60288495948178222</v>
      </c>
      <c r="Q172" s="140">
        <f t="shared" si="201"/>
        <v>0.6284074788936781</v>
      </c>
      <c r="R172" s="140">
        <f t="shared" si="201"/>
        <v>0.6128497126425354</v>
      </c>
      <c r="S172" s="140">
        <f t="shared" si="201"/>
        <v>0.61105604206055808</v>
      </c>
      <c r="T172" s="140">
        <f t="shared" si="201"/>
        <v>0.61152944329354253</v>
      </c>
      <c r="U172" s="140">
        <f t="shared" si="201"/>
        <v>0.59764651999031881</v>
      </c>
      <c r="V172" s="140">
        <f t="shared" si="201"/>
        <v>0.52763179938504901</v>
      </c>
      <c r="W172" s="140">
        <f t="shared" si="201"/>
        <v>0.57002884430824052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1.4163437287203189E-2</v>
      </c>
      <c r="C173" s="124">
        <f t="shared" ref="C173:W173" si="202">IF(C81=0,0,C81/C$77)</f>
        <v>1.1567643879269403E-2</v>
      </c>
      <c r="D173" s="124">
        <f t="shared" si="202"/>
        <v>1.0065615468776382E-2</v>
      </c>
      <c r="E173" s="124">
        <f t="shared" si="202"/>
        <v>8.4249009788539032E-3</v>
      </c>
      <c r="F173" s="124">
        <f t="shared" si="202"/>
        <v>7.9932155345996559E-3</v>
      </c>
      <c r="G173" s="124">
        <f t="shared" si="202"/>
        <v>6.5391184958682978E-3</v>
      </c>
      <c r="H173" s="124">
        <f t="shared" si="202"/>
        <v>7.0499563164200096E-3</v>
      </c>
      <c r="I173" s="124">
        <f t="shared" si="202"/>
        <v>7.0204108414458778E-3</v>
      </c>
      <c r="J173" s="124">
        <f t="shared" si="202"/>
        <v>6.3077745914787977E-3</v>
      </c>
      <c r="K173" s="124">
        <f t="shared" si="202"/>
        <v>4.7284357628276114E-3</v>
      </c>
      <c r="L173" s="124">
        <f t="shared" si="202"/>
        <v>5.3513886910075779E-3</v>
      </c>
      <c r="M173" s="124">
        <f t="shared" si="202"/>
        <v>2.4705363514828196E-3</v>
      </c>
      <c r="N173" s="124">
        <f t="shared" si="202"/>
        <v>5.0981991612840342E-3</v>
      </c>
      <c r="O173" s="124">
        <f t="shared" si="202"/>
        <v>6.8379925608851684E-3</v>
      </c>
      <c r="P173" s="124">
        <f t="shared" si="202"/>
        <v>5.9345936192249493E-3</v>
      </c>
      <c r="Q173" s="124">
        <f t="shared" si="202"/>
        <v>4.4962447647412035E-3</v>
      </c>
      <c r="R173" s="124">
        <f t="shared" si="202"/>
        <v>4.1376198451055779E-3</v>
      </c>
      <c r="S173" s="124">
        <f t="shared" si="202"/>
        <v>4.6756299265230282E-3</v>
      </c>
      <c r="T173" s="124">
        <f t="shared" si="202"/>
        <v>4.8780551843885973E-3</v>
      </c>
      <c r="U173" s="124">
        <f t="shared" si="202"/>
        <v>4.4750140784011773E-3</v>
      </c>
      <c r="V173" s="124">
        <f t="shared" si="202"/>
        <v>6.9682033225644509E-3</v>
      </c>
      <c r="W173" s="124">
        <f t="shared" si="202"/>
        <v>5.3800787632660753E-3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4.5178413532268183E-3</v>
      </c>
      <c r="C174" s="124">
        <f t="shared" ref="C174:W174" si="203">IF(C82=0,0,C82/C$77)</f>
        <v>4.5321877176977598E-3</v>
      </c>
      <c r="D174" s="124">
        <f t="shared" si="203"/>
        <v>4.7201908095197238E-3</v>
      </c>
      <c r="E174" s="124">
        <f t="shared" si="203"/>
        <v>3.630407093842472E-3</v>
      </c>
      <c r="F174" s="124">
        <f t="shared" si="203"/>
        <v>2.8758204789336747E-3</v>
      </c>
      <c r="G174" s="124">
        <f t="shared" si="203"/>
        <v>2.9513602075173051E-3</v>
      </c>
      <c r="H174" s="124">
        <f t="shared" si="203"/>
        <v>3.3406857334406896E-3</v>
      </c>
      <c r="I174" s="124">
        <f t="shared" si="203"/>
        <v>2.546554033636593E-3</v>
      </c>
      <c r="J174" s="124">
        <f t="shared" si="203"/>
        <v>2.4318730837111276E-3</v>
      </c>
      <c r="K174" s="124">
        <f t="shared" si="203"/>
        <v>2.1991679124520312E-3</v>
      </c>
      <c r="L174" s="124">
        <f t="shared" si="203"/>
        <v>2.8251647870725302E-3</v>
      </c>
      <c r="M174" s="124">
        <f t="shared" si="203"/>
        <v>3.2250166336764969E-3</v>
      </c>
      <c r="N174" s="124">
        <f t="shared" si="203"/>
        <v>2.8736363675673669E-3</v>
      </c>
      <c r="O174" s="124">
        <f t="shared" si="203"/>
        <v>3.4621375365659051E-3</v>
      </c>
      <c r="P174" s="124">
        <f t="shared" si="203"/>
        <v>2.470585430686087E-3</v>
      </c>
      <c r="Q174" s="124">
        <f t="shared" si="203"/>
        <v>2.2013396707879556E-3</v>
      </c>
      <c r="R174" s="124">
        <f t="shared" si="203"/>
        <v>2.3155251620301299E-3</v>
      </c>
      <c r="S174" s="124">
        <f t="shared" si="203"/>
        <v>2.543330282268148E-3</v>
      </c>
      <c r="T174" s="124">
        <f t="shared" si="203"/>
        <v>2.8144663379748693E-3</v>
      </c>
      <c r="U174" s="124">
        <f t="shared" si="203"/>
        <v>2.4682751197624892E-3</v>
      </c>
      <c r="V174" s="124">
        <f t="shared" si="203"/>
        <v>3.8073758527390087E-3</v>
      </c>
      <c r="W174" s="124">
        <f t="shared" si="203"/>
        <v>4.536719090405001E-3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3.2636034578514906E-3</v>
      </c>
      <c r="C176" s="140">
        <f t="shared" ref="C176:W176" si="205">IF(C84=0,0,C84/C$77)</f>
        <v>3.4391782163130553E-3</v>
      </c>
      <c r="D176" s="140">
        <f t="shared" si="205"/>
        <v>4.2248404905305299E-3</v>
      </c>
      <c r="E176" s="140">
        <f t="shared" si="205"/>
        <v>3.1610125639877293E-3</v>
      </c>
      <c r="F176" s="140">
        <f t="shared" si="205"/>
        <v>2.5877537257267976E-3</v>
      </c>
      <c r="G176" s="140">
        <f t="shared" si="205"/>
        <v>2.63728084819073E-3</v>
      </c>
      <c r="H176" s="140">
        <f t="shared" si="205"/>
        <v>1.8542105631693473E-3</v>
      </c>
      <c r="I176" s="140">
        <f t="shared" si="205"/>
        <v>2.0317446865060905E-3</v>
      </c>
      <c r="J176" s="140">
        <f t="shared" si="205"/>
        <v>1.7419352478866086E-3</v>
      </c>
      <c r="K176" s="140">
        <f t="shared" si="205"/>
        <v>1.5598350472506778E-3</v>
      </c>
      <c r="L176" s="140">
        <f t="shared" si="205"/>
        <v>1.9066317266731828E-3</v>
      </c>
      <c r="M176" s="140">
        <f t="shared" si="205"/>
        <v>2.736719597366718E-3</v>
      </c>
      <c r="N176" s="140">
        <f t="shared" si="205"/>
        <v>2.3572566610482642E-3</v>
      </c>
      <c r="O176" s="140">
        <f t="shared" si="205"/>
        <v>2.8269628235996049E-3</v>
      </c>
      <c r="P176" s="140">
        <f t="shared" si="205"/>
        <v>2.1970789532031148E-3</v>
      </c>
      <c r="Q176" s="140">
        <f t="shared" si="205"/>
        <v>1.9636038832778423E-3</v>
      </c>
      <c r="R176" s="140">
        <f t="shared" si="205"/>
        <v>1.9375443493702973E-3</v>
      </c>
      <c r="S176" s="140">
        <f t="shared" si="205"/>
        <v>2.1508043954953124E-3</v>
      </c>
      <c r="T176" s="140">
        <f t="shared" si="205"/>
        <v>2.4118329137732975E-3</v>
      </c>
      <c r="U176" s="140">
        <f t="shared" si="205"/>
        <v>1.9120151957031731E-3</v>
      </c>
      <c r="V176" s="140">
        <f t="shared" si="205"/>
        <v>2.7376645594979249E-3</v>
      </c>
      <c r="W176" s="140">
        <f t="shared" si="205"/>
        <v>3.345211506685976E-3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1.2542378953753282E-3</v>
      </c>
      <c r="C177" s="140">
        <f t="shared" ref="C177:W177" si="206">IF(C85=0,0,C85/C$77)</f>
        <v>1.0930095013847042E-3</v>
      </c>
      <c r="D177" s="140">
        <f t="shared" si="206"/>
        <v>4.9535031898919376E-4</v>
      </c>
      <c r="E177" s="140">
        <f t="shared" si="206"/>
        <v>4.6939452985474302E-4</v>
      </c>
      <c r="F177" s="140">
        <f t="shared" si="206"/>
        <v>2.8806675320687709E-4</v>
      </c>
      <c r="G177" s="140">
        <f t="shared" si="206"/>
        <v>3.1407935932657526E-4</v>
      </c>
      <c r="H177" s="140">
        <f t="shared" si="206"/>
        <v>1.4864751702713423E-3</v>
      </c>
      <c r="I177" s="140">
        <f t="shared" si="206"/>
        <v>5.1480934713050248E-4</v>
      </c>
      <c r="J177" s="140">
        <f t="shared" si="206"/>
        <v>6.8993783582451914E-4</v>
      </c>
      <c r="K177" s="140">
        <f t="shared" si="206"/>
        <v>6.3933286520135343E-4</v>
      </c>
      <c r="L177" s="140">
        <f t="shared" si="206"/>
        <v>9.1853306039934711E-4</v>
      </c>
      <c r="M177" s="140">
        <f t="shared" si="206"/>
        <v>4.8829703630977859E-4</v>
      </c>
      <c r="N177" s="140">
        <f t="shared" si="206"/>
        <v>5.1637970651910231E-4</v>
      </c>
      <c r="O177" s="140">
        <f t="shared" si="206"/>
        <v>6.3517471296630032E-4</v>
      </c>
      <c r="P177" s="140">
        <f t="shared" si="206"/>
        <v>2.735064774829718E-4</v>
      </c>
      <c r="Q177" s="140">
        <f t="shared" si="206"/>
        <v>2.3773578751011334E-4</v>
      </c>
      <c r="R177" s="140">
        <f t="shared" si="206"/>
        <v>3.7798081265983237E-4</v>
      </c>
      <c r="S177" s="140">
        <f t="shared" si="206"/>
        <v>3.9252588677283589E-4</v>
      </c>
      <c r="T177" s="140">
        <f t="shared" si="206"/>
        <v>4.0263342420157199E-4</v>
      </c>
      <c r="U177" s="140">
        <f t="shared" si="206"/>
        <v>5.5625992405931629E-4</v>
      </c>
      <c r="V177" s="140">
        <f t="shared" si="206"/>
        <v>1.0697112932410834E-3</v>
      </c>
      <c r="W177" s="140">
        <f t="shared" si="206"/>
        <v>1.191507583719025E-3</v>
      </c>
      <c r="DA177" s="175"/>
    </row>
    <row r="178" spans="1:105" ht="11.45" customHeight="1" x14ac:dyDescent="0.25">
      <c r="A178" s="109" t="s">
        <v>142</v>
      </c>
      <c r="B178" s="124">
        <f t="shared" si="197"/>
        <v>1.0410323410945037E-3</v>
      </c>
      <c r="C178" s="124">
        <f t="shared" ref="C178:W178" si="207">IF(C86=0,0,C86/C$77)</f>
        <v>9.797552789002008E-4</v>
      </c>
      <c r="D178" s="124">
        <f t="shared" si="207"/>
        <v>1.7790364003242921E-3</v>
      </c>
      <c r="E178" s="124">
        <f t="shared" si="207"/>
        <v>7.6265548025204084E-3</v>
      </c>
      <c r="F178" s="124">
        <f t="shared" si="207"/>
        <v>1.5801392982694039E-3</v>
      </c>
      <c r="G178" s="124">
        <f t="shared" si="207"/>
        <v>6.5215649395019692E-4</v>
      </c>
      <c r="H178" s="124">
        <f t="shared" si="207"/>
        <v>6.100662993070385E-4</v>
      </c>
      <c r="I178" s="124">
        <f t="shared" si="207"/>
        <v>6.0299523005944247E-4</v>
      </c>
      <c r="J178" s="124">
        <f t="shared" si="207"/>
        <v>5.9517152931662452E-4</v>
      </c>
      <c r="K178" s="124">
        <f t="shared" si="207"/>
        <v>6.2006073936672352E-4</v>
      </c>
      <c r="L178" s="124">
        <f t="shared" si="207"/>
        <v>7.03559721745081E-4</v>
      </c>
      <c r="M178" s="124">
        <f t="shared" si="207"/>
        <v>7.8145151107809397E-4</v>
      </c>
      <c r="N178" s="124">
        <f t="shared" si="207"/>
        <v>5.1497032167110417E-3</v>
      </c>
      <c r="O178" s="124">
        <f t="shared" si="207"/>
        <v>4.8488248596677596E-3</v>
      </c>
      <c r="P178" s="124">
        <f t="shared" si="207"/>
        <v>4.7234824301199468E-3</v>
      </c>
      <c r="Q178" s="124">
        <f t="shared" si="207"/>
        <v>4.1317942762470975E-3</v>
      </c>
      <c r="R178" s="124">
        <f t="shared" si="207"/>
        <v>3.6164246234970804E-3</v>
      </c>
      <c r="S178" s="124">
        <f t="shared" si="207"/>
        <v>3.3753949873042144E-3</v>
      </c>
      <c r="T178" s="124">
        <f t="shared" si="207"/>
        <v>3.1812959210374718E-3</v>
      </c>
      <c r="U178" s="124">
        <f t="shared" si="207"/>
        <v>3.149900426817444E-3</v>
      </c>
      <c r="V178" s="124">
        <f t="shared" si="207"/>
        <v>3.048991083206362E-3</v>
      </c>
      <c r="W178" s="124">
        <f t="shared" si="207"/>
        <v>1.9113954704510464E-3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1.0410323410945037E-3</v>
      </c>
      <c r="C180" s="127">
        <f t="shared" ref="C180:W180" si="209">IF(C88=0,0,C88/C$77)</f>
        <v>9.797552789002008E-4</v>
      </c>
      <c r="D180" s="127">
        <f t="shared" si="209"/>
        <v>1.7790364003242921E-3</v>
      </c>
      <c r="E180" s="127">
        <f t="shared" si="209"/>
        <v>7.6265548025204084E-3</v>
      </c>
      <c r="F180" s="127">
        <f t="shared" si="209"/>
        <v>1.5801392982694039E-3</v>
      </c>
      <c r="G180" s="127">
        <f t="shared" si="209"/>
        <v>6.5215649395019692E-4</v>
      </c>
      <c r="H180" s="127">
        <f t="shared" si="209"/>
        <v>6.100662993070385E-4</v>
      </c>
      <c r="I180" s="127">
        <f t="shared" si="209"/>
        <v>6.0299523005944247E-4</v>
      </c>
      <c r="J180" s="127">
        <f t="shared" si="209"/>
        <v>5.9517152931662452E-4</v>
      </c>
      <c r="K180" s="127">
        <f t="shared" si="209"/>
        <v>6.2006073936672352E-4</v>
      </c>
      <c r="L180" s="127">
        <f t="shared" si="209"/>
        <v>7.03559721745081E-4</v>
      </c>
      <c r="M180" s="127">
        <f t="shared" si="209"/>
        <v>7.8145151107809397E-4</v>
      </c>
      <c r="N180" s="127">
        <f t="shared" si="209"/>
        <v>5.1497032167110417E-3</v>
      </c>
      <c r="O180" s="127">
        <f t="shared" si="209"/>
        <v>4.8488248596677596E-3</v>
      </c>
      <c r="P180" s="127">
        <f t="shared" si="209"/>
        <v>4.7234824301199468E-3</v>
      </c>
      <c r="Q180" s="127">
        <f t="shared" si="209"/>
        <v>4.1317942762470975E-3</v>
      </c>
      <c r="R180" s="127">
        <f t="shared" si="209"/>
        <v>3.6164246234970804E-3</v>
      </c>
      <c r="S180" s="127">
        <f t="shared" si="209"/>
        <v>3.3753949873042144E-3</v>
      </c>
      <c r="T180" s="127">
        <f t="shared" si="209"/>
        <v>3.1812959210374718E-3</v>
      </c>
      <c r="U180" s="127">
        <f t="shared" si="209"/>
        <v>3.149900426817444E-3</v>
      </c>
      <c r="V180" s="127">
        <f t="shared" si="209"/>
        <v>3.048991083206362E-3</v>
      </c>
      <c r="W180" s="127">
        <f t="shared" si="209"/>
        <v>1.9113954704510464E-3</v>
      </c>
      <c r="DA180" s="178"/>
    </row>
    <row r="181" spans="1:105" ht="11.45" customHeight="1" x14ac:dyDescent="0.25">
      <c r="A181" s="27" t="s">
        <v>176</v>
      </c>
      <c r="B181" s="31">
        <f>IF(B89=0,0,B89/B$89)</f>
        <v>0</v>
      </c>
      <c r="C181" s="31">
        <f t="shared" ref="C181:W181" si="210">IF(C89=0,0,C89/C$89)</f>
        <v>0</v>
      </c>
      <c r="D181" s="31">
        <f t="shared" si="210"/>
        <v>0</v>
      </c>
      <c r="E181" s="31">
        <f t="shared" si="210"/>
        <v>0</v>
      </c>
      <c r="F181" s="31">
        <f t="shared" si="210"/>
        <v>0</v>
      </c>
      <c r="G181" s="31">
        <f t="shared" si="210"/>
        <v>0</v>
      </c>
      <c r="H181" s="31">
        <f t="shared" si="210"/>
        <v>0</v>
      </c>
      <c r="I181" s="31">
        <f t="shared" si="210"/>
        <v>0</v>
      </c>
      <c r="J181" s="31">
        <f t="shared" si="210"/>
        <v>0</v>
      </c>
      <c r="K181" s="31">
        <f t="shared" si="210"/>
        <v>0</v>
      </c>
      <c r="L181" s="31">
        <f t="shared" si="210"/>
        <v>0</v>
      </c>
      <c r="M181" s="31">
        <f t="shared" si="210"/>
        <v>0</v>
      </c>
      <c r="N181" s="31">
        <f t="shared" si="210"/>
        <v>0</v>
      </c>
      <c r="O181" s="31">
        <f t="shared" si="210"/>
        <v>0</v>
      </c>
      <c r="P181" s="31">
        <f t="shared" si="210"/>
        <v>0</v>
      </c>
      <c r="Q181" s="31">
        <f t="shared" si="210"/>
        <v>0</v>
      </c>
      <c r="R181" s="31">
        <f t="shared" si="210"/>
        <v>0</v>
      </c>
      <c r="S181" s="31">
        <f t="shared" si="210"/>
        <v>0</v>
      </c>
      <c r="T181" s="31">
        <f t="shared" si="210"/>
        <v>0</v>
      </c>
      <c r="U181" s="31">
        <f t="shared" si="210"/>
        <v>0</v>
      </c>
      <c r="V181" s="31">
        <f t="shared" si="210"/>
        <v>0</v>
      </c>
      <c r="W181" s="31">
        <f t="shared" si="210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211">IF(C90=0,0,C90/C$89)</f>
        <v>0</v>
      </c>
      <c r="D182" s="140">
        <f t="shared" si="211"/>
        <v>0</v>
      </c>
      <c r="E182" s="140">
        <f t="shared" si="211"/>
        <v>0</v>
      </c>
      <c r="F182" s="140">
        <f t="shared" si="211"/>
        <v>0</v>
      </c>
      <c r="G182" s="140">
        <f t="shared" si="211"/>
        <v>0</v>
      </c>
      <c r="H182" s="140">
        <f t="shared" si="211"/>
        <v>0</v>
      </c>
      <c r="I182" s="140">
        <f t="shared" si="211"/>
        <v>0</v>
      </c>
      <c r="J182" s="140">
        <f t="shared" si="211"/>
        <v>0</v>
      </c>
      <c r="K182" s="140">
        <f t="shared" si="211"/>
        <v>0</v>
      </c>
      <c r="L182" s="140">
        <f t="shared" si="211"/>
        <v>0</v>
      </c>
      <c r="M182" s="140">
        <f t="shared" si="211"/>
        <v>0</v>
      </c>
      <c r="N182" s="140">
        <f t="shared" si="211"/>
        <v>0</v>
      </c>
      <c r="O182" s="140">
        <f t="shared" si="211"/>
        <v>0</v>
      </c>
      <c r="P182" s="140">
        <f t="shared" si="211"/>
        <v>0</v>
      </c>
      <c r="Q182" s="140">
        <f t="shared" si="211"/>
        <v>0</v>
      </c>
      <c r="R182" s="140">
        <f t="shared" si="211"/>
        <v>0</v>
      </c>
      <c r="S182" s="140">
        <f t="shared" si="211"/>
        <v>0</v>
      </c>
      <c r="T182" s="140">
        <f t="shared" si="211"/>
        <v>0</v>
      </c>
      <c r="U182" s="140">
        <f t="shared" si="211"/>
        <v>0</v>
      </c>
      <c r="V182" s="140">
        <f t="shared" si="211"/>
        <v>0</v>
      </c>
      <c r="W182" s="140">
        <f t="shared" si="211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212">IF(C91=0,0,C91/C$89)</f>
        <v>0</v>
      </c>
      <c r="D183" s="127">
        <f t="shared" si="212"/>
        <v>0</v>
      </c>
      <c r="E183" s="127">
        <f t="shared" si="212"/>
        <v>0</v>
      </c>
      <c r="F183" s="127">
        <f t="shared" si="212"/>
        <v>0</v>
      </c>
      <c r="G183" s="127">
        <f t="shared" si="212"/>
        <v>0</v>
      </c>
      <c r="H183" s="127">
        <f t="shared" si="212"/>
        <v>0</v>
      </c>
      <c r="I183" s="127">
        <f t="shared" si="212"/>
        <v>0</v>
      </c>
      <c r="J183" s="127">
        <f t="shared" si="212"/>
        <v>0</v>
      </c>
      <c r="K183" s="127">
        <f t="shared" si="212"/>
        <v>0</v>
      </c>
      <c r="L183" s="127">
        <f t="shared" si="212"/>
        <v>0</v>
      </c>
      <c r="M183" s="127">
        <f t="shared" si="212"/>
        <v>0</v>
      </c>
      <c r="N183" s="127">
        <f t="shared" si="212"/>
        <v>0</v>
      </c>
      <c r="O183" s="127">
        <f t="shared" si="212"/>
        <v>0</v>
      </c>
      <c r="P183" s="127">
        <f t="shared" si="212"/>
        <v>0</v>
      </c>
      <c r="Q183" s="127">
        <f t="shared" si="212"/>
        <v>0</v>
      </c>
      <c r="R183" s="127">
        <f t="shared" si="212"/>
        <v>0</v>
      </c>
      <c r="S183" s="127">
        <f t="shared" si="212"/>
        <v>0</v>
      </c>
      <c r="T183" s="127">
        <f t="shared" si="212"/>
        <v>0</v>
      </c>
      <c r="U183" s="127">
        <f t="shared" si="212"/>
        <v>0</v>
      </c>
      <c r="V183" s="127">
        <f t="shared" si="212"/>
        <v>0</v>
      </c>
      <c r="W183" s="127">
        <f t="shared" si="21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28.166164709099757</v>
      </c>
      <c r="C186" s="32">
        <f t="shared" si="213"/>
        <v>29.169390017951525</v>
      </c>
      <c r="D186" s="32">
        <f t="shared" si="213"/>
        <v>29.889465309137016</v>
      </c>
      <c r="E186" s="32">
        <f t="shared" si="213"/>
        <v>30.630646364062791</v>
      </c>
      <c r="F186" s="32">
        <f t="shared" si="213"/>
        <v>30.968160724321095</v>
      </c>
      <c r="G186" s="32">
        <f t="shared" si="213"/>
        <v>31.393195071457782</v>
      </c>
      <c r="H186" s="32">
        <f t="shared" si="213"/>
        <v>32.334311148792629</v>
      </c>
      <c r="I186" s="32">
        <f t="shared" si="213"/>
        <v>33.117870526108966</v>
      </c>
      <c r="J186" s="32">
        <f t="shared" si="213"/>
        <v>33.569765164708848</v>
      </c>
      <c r="K186" s="32">
        <f t="shared" si="213"/>
        <v>34.318459699327668</v>
      </c>
      <c r="L186" s="32">
        <f t="shared" si="213"/>
        <v>32.514681107955006</v>
      </c>
      <c r="M186" s="32">
        <f t="shared" si="213"/>
        <v>30.753474941798931</v>
      </c>
      <c r="N186" s="32">
        <f t="shared" si="213"/>
        <v>30.056113512805922</v>
      </c>
      <c r="O186" s="32">
        <f t="shared" si="213"/>
        <v>29.036737554942125</v>
      </c>
      <c r="P186" s="32">
        <f t="shared" si="213"/>
        <v>30.124496659023233</v>
      </c>
      <c r="Q186" s="32">
        <f t="shared" si="213"/>
        <v>30.609615572849009</v>
      </c>
      <c r="R186" s="32">
        <f t="shared" si="213"/>
        <v>30.778820549896555</v>
      </c>
      <c r="S186" s="32">
        <f t="shared" si="213"/>
        <v>30.567391851406725</v>
      </c>
      <c r="T186" s="32">
        <f t="shared" si="213"/>
        <v>31.171901066002885</v>
      </c>
      <c r="U186" s="32">
        <f t="shared" si="213"/>
        <v>32.252006763120342</v>
      </c>
      <c r="V186" s="32">
        <f t="shared" si="213"/>
        <v>34.968020851448529</v>
      </c>
      <c r="W186" s="32">
        <f t="shared" ref="W186" si="214">IF(W34=0,0,W34/W4*1000)</f>
        <v>35.825046380116241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29.411401964280316</v>
      </c>
      <c r="C187" s="141">
        <f t="shared" si="215"/>
        <v>30.9571232218082</v>
      </c>
      <c r="D187" s="141">
        <f t="shared" si="215"/>
        <v>32.25521922526584</v>
      </c>
      <c r="E187" s="141">
        <f t="shared" si="215"/>
        <v>33.230963867551388</v>
      </c>
      <c r="F187" s="141">
        <f t="shared" si="215"/>
        <v>33.714241489189654</v>
      </c>
      <c r="G187" s="141">
        <f t="shared" si="215"/>
        <v>34.202665017284872</v>
      </c>
      <c r="H187" s="141">
        <f t="shared" si="215"/>
        <v>35.149447716465367</v>
      </c>
      <c r="I187" s="141">
        <f t="shared" si="215"/>
        <v>36.111143754471286</v>
      </c>
      <c r="J187" s="141">
        <f t="shared" si="215"/>
        <v>35.919924714500986</v>
      </c>
      <c r="K187" s="141">
        <f t="shared" si="215"/>
        <v>36.979340269144245</v>
      </c>
      <c r="L187" s="141">
        <f t="shared" si="215"/>
        <v>34.903472072310961</v>
      </c>
      <c r="M187" s="141">
        <f t="shared" si="215"/>
        <v>33.000051500207761</v>
      </c>
      <c r="N187" s="141">
        <f t="shared" si="215"/>
        <v>33.068933412110894</v>
      </c>
      <c r="O187" s="141">
        <f t="shared" si="215"/>
        <v>31.590747463561449</v>
      </c>
      <c r="P187" s="141">
        <f t="shared" si="215"/>
        <v>33.132250612016193</v>
      </c>
      <c r="Q187" s="141">
        <f t="shared" si="215"/>
        <v>34.09915174264323</v>
      </c>
      <c r="R187" s="141">
        <f t="shared" si="215"/>
        <v>34.558324293809264</v>
      </c>
      <c r="S187" s="141">
        <f t="shared" si="215"/>
        <v>34.213801340957147</v>
      </c>
      <c r="T187" s="141">
        <f t="shared" si="215"/>
        <v>34.770223487160642</v>
      </c>
      <c r="U187" s="141">
        <f t="shared" si="215"/>
        <v>36.545694316281008</v>
      </c>
      <c r="V187" s="141">
        <f t="shared" si="215"/>
        <v>36.960527347271935</v>
      </c>
      <c r="W187" s="141">
        <f t="shared" ref="W187" si="216">IF(W35=0,0,W35/W5*1000)</f>
        <v>37.904207284700028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41.944459482758177</v>
      </c>
      <c r="C188" s="97">
        <f t="shared" si="217"/>
        <v>41.783350998333034</v>
      </c>
      <c r="D188" s="97">
        <f t="shared" si="217"/>
        <v>41.442440074051035</v>
      </c>
      <c r="E188" s="97">
        <f t="shared" si="217"/>
        <v>41.033075527847544</v>
      </c>
      <c r="F188" s="97">
        <f t="shared" si="217"/>
        <v>40.446007241770324</v>
      </c>
      <c r="G188" s="97">
        <f t="shared" si="217"/>
        <v>40.087371964857539</v>
      </c>
      <c r="H188" s="97">
        <f t="shared" si="217"/>
        <v>39.695792626815646</v>
      </c>
      <c r="I188" s="97">
        <f t="shared" si="217"/>
        <v>39.220279448534107</v>
      </c>
      <c r="J188" s="97">
        <f t="shared" si="217"/>
        <v>38.722251081212782</v>
      </c>
      <c r="K188" s="97">
        <f t="shared" si="217"/>
        <v>38.28476999513218</v>
      </c>
      <c r="L188" s="97">
        <f t="shared" si="217"/>
        <v>37.972889572186723</v>
      </c>
      <c r="M188" s="97">
        <f t="shared" si="217"/>
        <v>37.770331384646987</v>
      </c>
      <c r="N188" s="97">
        <f t="shared" si="217"/>
        <v>37.643935414640936</v>
      </c>
      <c r="O188" s="97">
        <f t="shared" si="217"/>
        <v>37.372794583287366</v>
      </c>
      <c r="P188" s="97">
        <f t="shared" si="217"/>
        <v>36.906751859184823</v>
      </c>
      <c r="Q188" s="97">
        <f t="shared" si="217"/>
        <v>36.341887065304505</v>
      </c>
      <c r="R188" s="97">
        <f t="shared" si="217"/>
        <v>35.923125542991038</v>
      </c>
      <c r="S188" s="97">
        <f t="shared" si="217"/>
        <v>35.580508265643076</v>
      </c>
      <c r="T188" s="97">
        <f t="shared" si="217"/>
        <v>35.299467665692866</v>
      </c>
      <c r="U188" s="97">
        <f t="shared" si="217"/>
        <v>35.036186040955414</v>
      </c>
      <c r="V188" s="97">
        <f t="shared" si="217"/>
        <v>34.872399561371019</v>
      </c>
      <c r="W188" s="97">
        <f t="shared" ref="W188" si="218">IF(W36=0,0,W36/W6*1000)</f>
        <v>33.00068165931512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32.9693651377385</v>
      </c>
      <c r="C189" s="97">
        <f t="shared" si="219"/>
        <v>35.049028899877449</v>
      </c>
      <c r="D189" s="97">
        <f t="shared" si="219"/>
        <v>36.786670682514874</v>
      </c>
      <c r="E189" s="97">
        <f t="shared" si="219"/>
        <v>37.890220933215417</v>
      </c>
      <c r="F189" s="97">
        <f t="shared" si="219"/>
        <v>38.365498997014477</v>
      </c>
      <c r="G189" s="97">
        <f t="shared" si="219"/>
        <v>38.517555130908185</v>
      </c>
      <c r="H189" s="97">
        <f t="shared" si="219"/>
        <v>38.994238558900804</v>
      </c>
      <c r="I189" s="97">
        <f t="shared" si="219"/>
        <v>39.749391094250569</v>
      </c>
      <c r="J189" s="97">
        <f t="shared" si="219"/>
        <v>40.366522412313479</v>
      </c>
      <c r="K189" s="97">
        <f t="shared" si="219"/>
        <v>41.086273268455621</v>
      </c>
      <c r="L189" s="97">
        <f t="shared" si="219"/>
        <v>38.545146115197504</v>
      </c>
      <c r="M189" s="97">
        <f t="shared" si="219"/>
        <v>36.513451439800299</v>
      </c>
      <c r="N189" s="97">
        <f t="shared" si="219"/>
        <v>37.179043961972745</v>
      </c>
      <c r="O189" s="97">
        <f t="shared" si="219"/>
        <v>35.486341222901309</v>
      </c>
      <c r="P189" s="97">
        <f t="shared" si="219"/>
        <v>37.087359178541583</v>
      </c>
      <c r="Q189" s="97">
        <f t="shared" si="219"/>
        <v>38.023776947288198</v>
      </c>
      <c r="R189" s="97">
        <f t="shared" si="219"/>
        <v>38.489566701530769</v>
      </c>
      <c r="S189" s="97">
        <f t="shared" si="219"/>
        <v>37.716542352626767</v>
      </c>
      <c r="T189" s="97">
        <f t="shared" si="219"/>
        <v>38.378276833472697</v>
      </c>
      <c r="U189" s="97">
        <f t="shared" si="219"/>
        <v>40.457907673882325</v>
      </c>
      <c r="V189" s="97">
        <f t="shared" si="219"/>
        <v>38.770424093857009</v>
      </c>
      <c r="W189" s="97">
        <f t="shared" ref="W189" si="220">IF(W37=0,0,W37/W7*1000)</f>
        <v>39.222029807138256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20.451476264796192</v>
      </c>
      <c r="C190" s="97">
        <f t="shared" si="221"/>
        <v>20.639851365022931</v>
      </c>
      <c r="D190" s="97">
        <f t="shared" si="221"/>
        <v>21.006754721032213</v>
      </c>
      <c r="E190" s="97">
        <f t="shared" si="221"/>
        <v>21.26294938242118</v>
      </c>
      <c r="F190" s="97">
        <f t="shared" si="221"/>
        <v>21.046657034737546</v>
      </c>
      <c r="G190" s="97">
        <f t="shared" si="221"/>
        <v>22.132546611966781</v>
      </c>
      <c r="H190" s="97">
        <f t="shared" si="221"/>
        <v>23.829781705560226</v>
      </c>
      <c r="I190" s="97">
        <f t="shared" si="221"/>
        <v>24.587648011945749</v>
      </c>
      <c r="J190" s="97">
        <f t="shared" si="221"/>
        <v>22.248197913709287</v>
      </c>
      <c r="K190" s="97">
        <f t="shared" si="221"/>
        <v>23.230292715106938</v>
      </c>
      <c r="L190" s="97">
        <f t="shared" si="221"/>
        <v>23.186232708749191</v>
      </c>
      <c r="M190" s="97">
        <f t="shared" si="221"/>
        <v>21.712810743784722</v>
      </c>
      <c r="N190" s="97">
        <f t="shared" si="221"/>
        <v>20.477520409320753</v>
      </c>
      <c r="O190" s="97">
        <f t="shared" si="221"/>
        <v>19.65721984953872</v>
      </c>
      <c r="P190" s="97">
        <f t="shared" si="221"/>
        <v>21.198714590493925</v>
      </c>
      <c r="Q190" s="97">
        <f t="shared" si="221"/>
        <v>22.00616936635582</v>
      </c>
      <c r="R190" s="97">
        <f t="shared" si="221"/>
        <v>22.018268448583132</v>
      </c>
      <c r="S190" s="97">
        <f t="shared" si="221"/>
        <v>22.573925291695822</v>
      </c>
      <c r="T190" s="97">
        <f t="shared" si="221"/>
        <v>22.526046708266321</v>
      </c>
      <c r="U190" s="97">
        <f t="shared" si="221"/>
        <v>22.625602905698994</v>
      </c>
      <c r="V190" s="97">
        <f t="shared" si="221"/>
        <v>27.736497150553667</v>
      </c>
      <c r="W190" s="97">
        <f t="shared" ref="W190" si="222">IF(W38=0,0,W38/W8*1000)</f>
        <v>30.832500926396463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11.030010193149678</v>
      </c>
      <c r="C191" s="130">
        <f t="shared" si="223"/>
        <v>10.74021562276427</v>
      </c>
      <c r="D191" s="130">
        <f t="shared" si="223"/>
        <v>10.0147987170196</v>
      </c>
      <c r="E191" s="130">
        <f t="shared" si="223"/>
        <v>10.315180627761917</v>
      </c>
      <c r="F191" s="130">
        <f t="shared" si="223"/>
        <v>10.296677257628099</v>
      </c>
      <c r="G191" s="130">
        <f t="shared" si="223"/>
        <v>10.107261841251255</v>
      </c>
      <c r="H191" s="130">
        <f t="shared" si="223"/>
        <v>10.558267027879619</v>
      </c>
      <c r="I191" s="130">
        <f t="shared" si="223"/>
        <v>11.317376186194306</v>
      </c>
      <c r="J191" s="130">
        <f t="shared" si="223"/>
        <v>11.69260436268269</v>
      </c>
      <c r="K191" s="130">
        <f t="shared" si="223"/>
        <v>12.856982498052787</v>
      </c>
      <c r="L191" s="130">
        <f t="shared" si="223"/>
        <v>11.743256543716949</v>
      </c>
      <c r="M191" s="130">
        <f t="shared" si="223"/>
        <v>11.159752986537836</v>
      </c>
      <c r="N191" s="130">
        <f t="shared" si="223"/>
        <v>9.6561801738068755</v>
      </c>
      <c r="O191" s="130">
        <f t="shared" si="223"/>
        <v>11.625980809166174</v>
      </c>
      <c r="P191" s="130">
        <f t="shared" si="223"/>
        <v>11.039358633964566</v>
      </c>
      <c r="Q191" s="130">
        <f t="shared" si="223"/>
        <v>10.515438699283782</v>
      </c>
      <c r="R191" s="130">
        <f t="shared" si="223"/>
        <v>10.33160110762296</v>
      </c>
      <c r="S191" s="130">
        <f t="shared" si="223"/>
        <v>10.087123468214372</v>
      </c>
      <c r="T191" s="130">
        <f t="shared" si="223"/>
        <v>10.544782805793265</v>
      </c>
      <c r="U191" s="130">
        <f t="shared" si="223"/>
        <v>10.02915028326748</v>
      </c>
      <c r="V191" s="130">
        <f t="shared" si="223"/>
        <v>13.650479381866031</v>
      </c>
      <c r="W191" s="130">
        <f t="shared" ref="W191" si="224">IF(W39=0,0,W39/W9*1000)</f>
        <v>14.084552732298819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5.4748555997846955</v>
      </c>
      <c r="C192" s="97">
        <f t="shared" si="225"/>
        <v>5.4537260145208375</v>
      </c>
      <c r="D192" s="97">
        <f t="shared" si="225"/>
        <v>5.253420360049124</v>
      </c>
      <c r="E192" s="97">
        <f t="shared" si="225"/>
        <v>5.3839806578986646</v>
      </c>
      <c r="F192" s="97">
        <f t="shared" si="225"/>
        <v>5.373095414744939</v>
      </c>
      <c r="G192" s="97">
        <f t="shared" si="225"/>
        <v>5.2895774159206788</v>
      </c>
      <c r="H192" s="97">
        <f t="shared" si="225"/>
        <v>5.2972996226838553</v>
      </c>
      <c r="I192" s="97">
        <f t="shared" si="225"/>
        <v>5.5208625395255293</v>
      </c>
      <c r="J192" s="97">
        <f t="shared" si="225"/>
        <v>5.5193203424151136</v>
      </c>
      <c r="K192" s="97">
        <f t="shared" si="225"/>
        <v>5.5378089105701624</v>
      </c>
      <c r="L192" s="97">
        <f t="shared" si="225"/>
        <v>5.4580162960739553</v>
      </c>
      <c r="M192" s="97">
        <f t="shared" si="225"/>
        <v>5.4771700423562182</v>
      </c>
      <c r="N192" s="97">
        <f t="shared" si="225"/>
        <v>5.3810493781632225</v>
      </c>
      <c r="O192" s="97">
        <f t="shared" si="225"/>
        <v>5.2611001587072952</v>
      </c>
      <c r="P192" s="97">
        <f t="shared" si="225"/>
        <v>5.2938530497311262</v>
      </c>
      <c r="Q192" s="97">
        <f t="shared" si="225"/>
        <v>5.699074334571498</v>
      </c>
      <c r="R192" s="97">
        <f t="shared" si="225"/>
        <v>5.6244354206347662</v>
      </c>
      <c r="S192" s="97">
        <f t="shared" si="225"/>
        <v>5.4582478108990786</v>
      </c>
      <c r="T192" s="97">
        <f t="shared" si="225"/>
        <v>5.123849636677642</v>
      </c>
      <c r="U192" s="97">
        <f t="shared" si="225"/>
        <v>5.1019819004924081</v>
      </c>
      <c r="V192" s="97">
        <f t="shared" si="225"/>
        <v>7.4229144034327703</v>
      </c>
      <c r="W192" s="97">
        <f t="shared" ref="W192" si="226">IF(W40=0,0,W40/W10*1000)</f>
        <v>7.5993947582308037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12.502902724352401</v>
      </c>
      <c r="C193" s="97">
        <f t="shared" si="227"/>
        <v>12.098692862423828</v>
      </c>
      <c r="D193" s="97">
        <f t="shared" si="227"/>
        <v>11.161399753319772</v>
      </c>
      <c r="E193" s="97">
        <f t="shared" si="227"/>
        <v>11.521373426145733</v>
      </c>
      <c r="F193" s="97">
        <f t="shared" si="227"/>
        <v>11.468843323518632</v>
      </c>
      <c r="G193" s="97">
        <f t="shared" si="227"/>
        <v>11.258009120999793</v>
      </c>
      <c r="H193" s="97">
        <f t="shared" si="227"/>
        <v>11.801877359838819</v>
      </c>
      <c r="I193" s="97">
        <f t="shared" si="227"/>
        <v>12.827436871112585</v>
      </c>
      <c r="J193" s="97">
        <f t="shared" si="227"/>
        <v>13.430980892750805</v>
      </c>
      <c r="K193" s="97">
        <f t="shared" si="227"/>
        <v>15.145584348251766</v>
      </c>
      <c r="L193" s="97">
        <f t="shared" si="227"/>
        <v>13.779965693096379</v>
      </c>
      <c r="M193" s="97">
        <f t="shared" si="227"/>
        <v>12.992638895015826</v>
      </c>
      <c r="N193" s="97">
        <f t="shared" si="227"/>
        <v>11.024856616428846</v>
      </c>
      <c r="O193" s="97">
        <f t="shared" si="227"/>
        <v>13.663594352298301</v>
      </c>
      <c r="P193" s="97">
        <f t="shared" si="227"/>
        <v>13.132829302506073</v>
      </c>
      <c r="Q193" s="97">
        <f t="shared" si="227"/>
        <v>12.380629065001761</v>
      </c>
      <c r="R193" s="97">
        <f t="shared" si="227"/>
        <v>12.215392516079522</v>
      </c>
      <c r="S193" s="97">
        <f t="shared" si="227"/>
        <v>11.910672176810085</v>
      </c>
      <c r="T193" s="97">
        <f t="shared" si="227"/>
        <v>12.433876852384563</v>
      </c>
      <c r="U193" s="97">
        <f t="shared" si="227"/>
        <v>11.813488465269968</v>
      </c>
      <c r="V193" s="97">
        <f t="shared" si="227"/>
        <v>16.017569902098696</v>
      </c>
      <c r="W193" s="97">
        <f t="shared" ref="W193" si="228">IF(W41=0,0,W41/W11*1000)</f>
        <v>16.192717936653256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62.233909050562453</v>
      </c>
      <c r="C195" s="130">
        <f t="shared" si="231"/>
        <v>61.197888252819453</v>
      </c>
      <c r="D195" s="130">
        <f t="shared" si="231"/>
        <v>60.460248671970199</v>
      </c>
      <c r="E195" s="130">
        <f t="shared" si="231"/>
        <v>53.42202320511786</v>
      </c>
      <c r="F195" s="130">
        <f t="shared" si="231"/>
        <v>46.55451761386405</v>
      </c>
      <c r="G195" s="130">
        <f t="shared" si="231"/>
        <v>43.17057498309272</v>
      </c>
      <c r="H195" s="130">
        <f t="shared" si="231"/>
        <v>42.326258135701494</v>
      </c>
      <c r="I195" s="130">
        <f t="shared" si="231"/>
        <v>37.251767945070952</v>
      </c>
      <c r="J195" s="130">
        <f t="shared" si="231"/>
        <v>44.018952324688144</v>
      </c>
      <c r="K195" s="130">
        <f t="shared" si="231"/>
        <v>41.25003028974669</v>
      </c>
      <c r="L195" s="130">
        <f t="shared" si="231"/>
        <v>40.6715829514619</v>
      </c>
      <c r="M195" s="130">
        <f t="shared" si="231"/>
        <v>38.463625436423563</v>
      </c>
      <c r="N195" s="130">
        <f t="shared" si="231"/>
        <v>30.306094795487368</v>
      </c>
      <c r="O195" s="130">
        <f t="shared" si="231"/>
        <v>29.569222171387853</v>
      </c>
      <c r="P195" s="130">
        <f t="shared" si="231"/>
        <v>28.173274387283559</v>
      </c>
      <c r="Q195" s="130">
        <f t="shared" si="231"/>
        <v>24.547452685605862</v>
      </c>
      <c r="R195" s="130">
        <f t="shared" si="231"/>
        <v>22.958915265894309</v>
      </c>
      <c r="S195" s="130">
        <f t="shared" si="231"/>
        <v>23.248353465409291</v>
      </c>
      <c r="T195" s="130">
        <f t="shared" si="231"/>
        <v>23.817904310525694</v>
      </c>
      <c r="U195" s="130">
        <f t="shared" si="231"/>
        <v>21.574045790865039</v>
      </c>
      <c r="V195" s="130">
        <f t="shared" si="231"/>
        <v>31.568210823502785</v>
      </c>
      <c r="W195" s="130">
        <f t="shared" ref="W195" si="232">IF(W43=0,0,W43/W13*1000)</f>
        <v>32.971476918661779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64.972553079791922</v>
      </c>
      <c r="C197" s="97">
        <f t="shared" si="235"/>
        <v>63.497161236680299</v>
      </c>
      <c r="D197" s="97">
        <f t="shared" si="235"/>
        <v>59.95476313949073</v>
      </c>
      <c r="E197" s="97">
        <f t="shared" si="235"/>
        <v>53.741987199216801</v>
      </c>
      <c r="F197" s="97">
        <f t="shared" si="235"/>
        <v>48.289342274148126</v>
      </c>
      <c r="G197" s="97">
        <f t="shared" si="235"/>
        <v>42.226128393414385</v>
      </c>
      <c r="H197" s="97">
        <f t="shared" si="235"/>
        <v>42.172630872493798</v>
      </c>
      <c r="I197" s="97">
        <f t="shared" si="235"/>
        <v>39.114308608918513</v>
      </c>
      <c r="J197" s="97">
        <f t="shared" si="235"/>
        <v>45.649502053841303</v>
      </c>
      <c r="K197" s="97">
        <f t="shared" si="235"/>
        <v>39.509374994930674</v>
      </c>
      <c r="L197" s="97">
        <f t="shared" si="235"/>
        <v>39.112338407133407</v>
      </c>
      <c r="M197" s="97">
        <f t="shared" si="235"/>
        <v>36.399507596619223</v>
      </c>
      <c r="N197" s="97">
        <f t="shared" si="235"/>
        <v>24.5685419568726</v>
      </c>
      <c r="O197" s="97">
        <f t="shared" si="235"/>
        <v>25.047780213281854</v>
      </c>
      <c r="P197" s="97">
        <f t="shared" si="235"/>
        <v>25.578913443241664</v>
      </c>
      <c r="Q197" s="97">
        <f t="shared" si="235"/>
        <v>23.281819894718197</v>
      </c>
      <c r="R197" s="97">
        <f t="shared" si="235"/>
        <v>21.708955530650982</v>
      </c>
      <c r="S197" s="97">
        <f t="shared" si="235"/>
        <v>22.960608776325802</v>
      </c>
      <c r="T197" s="97">
        <f t="shared" si="235"/>
        <v>25.910231249009176</v>
      </c>
      <c r="U197" s="97">
        <f t="shared" si="235"/>
        <v>24.074954361756944</v>
      </c>
      <c r="V197" s="97">
        <f t="shared" si="235"/>
        <v>28.881024022470793</v>
      </c>
      <c r="W197" s="97">
        <f t="shared" ref="W197" si="236">IF(W45=0,0,W45/W15*1000)</f>
        <v>33.272513398205454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58.16499981785541</v>
      </c>
      <c r="C198" s="97">
        <f t="shared" si="237"/>
        <v>57.72870179459661</v>
      </c>
      <c r="D198" s="97">
        <f t="shared" si="237"/>
        <v>61.357710952730557</v>
      </c>
      <c r="E198" s="97">
        <f t="shared" si="237"/>
        <v>52.935372178964755</v>
      </c>
      <c r="F198" s="97">
        <f t="shared" si="237"/>
        <v>43.636233513194881</v>
      </c>
      <c r="G198" s="97">
        <f t="shared" si="237"/>
        <v>45.210794633689936</v>
      </c>
      <c r="H198" s="97">
        <f t="shared" si="237"/>
        <v>42.637013088374367</v>
      </c>
      <c r="I198" s="97">
        <f t="shared" si="237"/>
        <v>34.013977170200135</v>
      </c>
      <c r="J198" s="97">
        <f t="shared" si="237"/>
        <v>41.044027404668718</v>
      </c>
      <c r="K198" s="97">
        <f t="shared" si="237"/>
        <v>44.966980647502723</v>
      </c>
      <c r="L198" s="97">
        <f t="shared" si="237"/>
        <v>43.901792736487629</v>
      </c>
      <c r="M198" s="97">
        <f t="shared" si="237"/>
        <v>42.949096956645647</v>
      </c>
      <c r="N198" s="97">
        <f t="shared" si="237"/>
        <v>53.472176456027753</v>
      </c>
      <c r="O198" s="97">
        <f t="shared" si="237"/>
        <v>44.557771275187157</v>
      </c>
      <c r="P198" s="97">
        <f t="shared" si="237"/>
        <v>34.991403478994194</v>
      </c>
      <c r="Q198" s="97">
        <f t="shared" si="237"/>
        <v>27.505128544278428</v>
      </c>
      <c r="R198" s="97">
        <f t="shared" si="237"/>
        <v>26.217605689563982</v>
      </c>
      <c r="S198" s="97">
        <f t="shared" si="237"/>
        <v>23.92060216843749</v>
      </c>
      <c r="T198" s="97">
        <f t="shared" si="237"/>
        <v>20.155050077111735</v>
      </c>
      <c r="U198" s="97">
        <f t="shared" si="237"/>
        <v>17.475249283357172</v>
      </c>
      <c r="V198" s="97">
        <f t="shared" si="237"/>
        <v>37.139702921886027</v>
      </c>
      <c r="W198" s="97">
        <f t="shared" ref="W198" si="238">IF(W46=0,0,W46/W16*1000)</f>
        <v>32.451283338359744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33.67065961402416</v>
      </c>
      <c r="C199" s="32">
        <f t="shared" si="239"/>
        <v>36.405214983898212</v>
      </c>
      <c r="D199" s="32">
        <f t="shared" si="239"/>
        <v>39.632482906362064</v>
      </c>
      <c r="E199" s="32">
        <f t="shared" si="239"/>
        <v>42.096078834509321</v>
      </c>
      <c r="F199" s="32">
        <f t="shared" si="239"/>
        <v>40.614874781521692</v>
      </c>
      <c r="G199" s="32">
        <f t="shared" si="239"/>
        <v>47.027213087955921</v>
      </c>
      <c r="H199" s="32">
        <f t="shared" si="239"/>
        <v>46.273741780107478</v>
      </c>
      <c r="I199" s="32">
        <f t="shared" si="239"/>
        <v>43.348998180042344</v>
      </c>
      <c r="J199" s="32">
        <f t="shared" si="239"/>
        <v>44.665445760931711</v>
      </c>
      <c r="K199" s="32">
        <f t="shared" si="239"/>
        <v>52.455737047354738</v>
      </c>
      <c r="L199" s="32">
        <f t="shared" si="239"/>
        <v>45.698660680011855</v>
      </c>
      <c r="M199" s="32">
        <f t="shared" si="239"/>
        <v>41.724978451059123</v>
      </c>
      <c r="N199" s="32">
        <f t="shared" si="239"/>
        <v>39.190301363200611</v>
      </c>
      <c r="O199" s="32">
        <f t="shared" si="239"/>
        <v>34.199173589061822</v>
      </c>
      <c r="P199" s="32">
        <f t="shared" si="239"/>
        <v>40.793510429350647</v>
      </c>
      <c r="Q199" s="32">
        <f t="shared" si="239"/>
        <v>44.581947540524823</v>
      </c>
      <c r="R199" s="32">
        <f t="shared" si="239"/>
        <v>40.125817328398753</v>
      </c>
      <c r="S199" s="32">
        <f t="shared" si="239"/>
        <v>38.151312913691278</v>
      </c>
      <c r="T199" s="32">
        <f t="shared" si="239"/>
        <v>42.457419638238399</v>
      </c>
      <c r="U199" s="32">
        <f t="shared" si="239"/>
        <v>41.565173664552916</v>
      </c>
      <c r="V199" s="32">
        <f t="shared" si="239"/>
        <v>35.871832825914176</v>
      </c>
      <c r="W199" s="32">
        <f t="shared" ref="W199" si="240">IF(W47=0,0,W47/W17*1000)</f>
        <v>39.189365791350887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47.53268355090448</v>
      </c>
      <c r="C200" s="141">
        <f t="shared" si="241"/>
        <v>49.927592450061184</v>
      </c>
      <c r="D200" s="141">
        <f t="shared" si="241"/>
        <v>55.329479357646449</v>
      </c>
      <c r="E200" s="141">
        <f t="shared" si="241"/>
        <v>58.795026738021839</v>
      </c>
      <c r="F200" s="141">
        <f t="shared" si="241"/>
        <v>58.401213456233712</v>
      </c>
      <c r="G200" s="141">
        <f t="shared" si="241"/>
        <v>68.32492509166741</v>
      </c>
      <c r="H200" s="141">
        <f t="shared" si="241"/>
        <v>66.959165979519142</v>
      </c>
      <c r="I200" s="141">
        <f t="shared" si="241"/>
        <v>61.492422722827015</v>
      </c>
      <c r="J200" s="141">
        <f t="shared" si="241"/>
        <v>62.508464185600992</v>
      </c>
      <c r="K200" s="141">
        <f t="shared" si="241"/>
        <v>72.520172220103078</v>
      </c>
      <c r="L200" s="141">
        <f t="shared" si="241"/>
        <v>67.337406711258339</v>
      </c>
      <c r="M200" s="141">
        <f t="shared" si="241"/>
        <v>61.173362872395927</v>
      </c>
      <c r="N200" s="141">
        <f t="shared" si="241"/>
        <v>58.844900222508677</v>
      </c>
      <c r="O200" s="141">
        <f t="shared" si="241"/>
        <v>51.38739197857516</v>
      </c>
      <c r="P200" s="141">
        <f t="shared" si="241"/>
        <v>61.501557220198883</v>
      </c>
      <c r="Q200" s="141">
        <f t="shared" si="241"/>
        <v>65.861310118848721</v>
      </c>
      <c r="R200" s="141">
        <f t="shared" si="241"/>
        <v>58.537031178108911</v>
      </c>
      <c r="S200" s="141">
        <f t="shared" si="241"/>
        <v>58.349944828721007</v>
      </c>
      <c r="T200" s="141">
        <f t="shared" si="241"/>
        <v>59.424748324376054</v>
      </c>
      <c r="U200" s="141">
        <f t="shared" si="241"/>
        <v>58.56723589792874</v>
      </c>
      <c r="V200" s="141">
        <f t="shared" si="241"/>
        <v>51.858407071487356</v>
      </c>
      <c r="W200" s="141">
        <f t="shared" ref="W200" si="242">IF(W48=0,0,W48/W18*1000)</f>
        <v>54.600557879092378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649.3027397023219</v>
      </c>
      <c r="C201" s="97">
        <f t="shared" si="243"/>
        <v>637.19152368206778</v>
      </c>
      <c r="D201" s="97">
        <f t="shared" si="243"/>
        <v>645.49026382557383</v>
      </c>
      <c r="E201" s="97">
        <f t="shared" si="243"/>
        <v>645.31501223386601</v>
      </c>
      <c r="F201" s="97">
        <f t="shared" si="243"/>
        <v>640.76176567478626</v>
      </c>
      <c r="G201" s="97">
        <f t="shared" si="243"/>
        <v>659.16152182108897</v>
      </c>
      <c r="H201" s="97">
        <f t="shared" si="243"/>
        <v>651.71431565406306</v>
      </c>
      <c r="I201" s="97">
        <f t="shared" si="243"/>
        <v>628.23864688985952</v>
      </c>
      <c r="J201" s="97">
        <f t="shared" si="243"/>
        <v>630.99035154832757</v>
      </c>
      <c r="K201" s="97">
        <f t="shared" si="243"/>
        <v>619.06185149741327</v>
      </c>
      <c r="L201" s="97">
        <f t="shared" si="243"/>
        <v>616.24732113571724</v>
      </c>
      <c r="M201" s="97">
        <f t="shared" si="243"/>
        <v>586.48256544006858</v>
      </c>
      <c r="N201" s="97">
        <f t="shared" si="243"/>
        <v>571.71187562775435</v>
      </c>
      <c r="O201" s="97">
        <f t="shared" si="243"/>
        <v>535.00994892615267</v>
      </c>
      <c r="P201" s="97">
        <f t="shared" si="243"/>
        <v>574.58432873904735</v>
      </c>
      <c r="Q201" s="97">
        <f t="shared" si="243"/>
        <v>591.34297887498326</v>
      </c>
      <c r="R201" s="97">
        <f t="shared" si="243"/>
        <v>568.54253436889712</v>
      </c>
      <c r="S201" s="97">
        <f t="shared" si="243"/>
        <v>569.03261319269541</v>
      </c>
      <c r="T201" s="97">
        <f t="shared" si="243"/>
        <v>569.04086054149889</v>
      </c>
      <c r="U201" s="97">
        <f t="shared" si="243"/>
        <v>560.98758178174501</v>
      </c>
      <c r="V201" s="97">
        <f t="shared" si="243"/>
        <v>531.06893385925105</v>
      </c>
      <c r="W201" s="97">
        <f t="shared" ref="W201" si="244">IF(W49=0,0,W49/W19*1000)</f>
        <v>550.76680174231228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31.733578048175247</v>
      </c>
      <c r="C202" s="97">
        <f t="shared" si="245"/>
        <v>33.837491616945911</v>
      </c>
      <c r="D202" s="97">
        <f t="shared" si="245"/>
        <v>37.833341312152271</v>
      </c>
      <c r="E202" s="97">
        <f t="shared" si="245"/>
        <v>40.344743506412854</v>
      </c>
      <c r="F202" s="97">
        <f t="shared" si="245"/>
        <v>41.216706241671751</v>
      </c>
      <c r="G202" s="97">
        <f t="shared" si="245"/>
        <v>50.759818443583654</v>
      </c>
      <c r="H202" s="97">
        <f t="shared" si="245"/>
        <v>50.965625659451341</v>
      </c>
      <c r="I202" s="97">
        <f t="shared" si="245"/>
        <v>46.36130766109477</v>
      </c>
      <c r="J202" s="97">
        <f t="shared" si="245"/>
        <v>46.443646067962952</v>
      </c>
      <c r="K202" s="97">
        <f t="shared" si="245"/>
        <v>50.764902094475573</v>
      </c>
      <c r="L202" s="97">
        <f t="shared" si="245"/>
        <v>47.748199233224589</v>
      </c>
      <c r="M202" s="97">
        <f t="shared" si="245"/>
        <v>41.171690190258147</v>
      </c>
      <c r="N202" s="97">
        <f t="shared" si="245"/>
        <v>37.26014798631337</v>
      </c>
      <c r="O202" s="97">
        <f t="shared" si="245"/>
        <v>30.212207225515186</v>
      </c>
      <c r="P202" s="97">
        <f t="shared" si="245"/>
        <v>39.173943800943917</v>
      </c>
      <c r="Q202" s="97">
        <f t="shared" si="245"/>
        <v>43.588775355497056</v>
      </c>
      <c r="R202" s="97">
        <f t="shared" si="245"/>
        <v>37.699671788079577</v>
      </c>
      <c r="S202" s="97">
        <f t="shared" si="245"/>
        <v>37.485594898968586</v>
      </c>
      <c r="T202" s="97">
        <f t="shared" si="245"/>
        <v>38.243701397443495</v>
      </c>
      <c r="U202" s="97">
        <f t="shared" si="245"/>
        <v>36.866834508857863</v>
      </c>
      <c r="V202" s="97">
        <f t="shared" si="245"/>
        <v>29.04516376399533</v>
      </c>
      <c r="W202" s="97">
        <f t="shared" ref="W202" si="246">IF(W50=0,0,W50/W20*1000)</f>
        <v>32.85348357051766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4.3250253611970004</v>
      </c>
      <c r="C203" s="130">
        <f t="shared" si="247"/>
        <v>4.5121114455002758</v>
      </c>
      <c r="D203" s="130">
        <f t="shared" si="247"/>
        <v>4.4693536903401654</v>
      </c>
      <c r="E203" s="130">
        <f t="shared" si="247"/>
        <v>4.3509593691786073</v>
      </c>
      <c r="F203" s="130">
        <f t="shared" si="247"/>
        <v>4.0711373118410314</v>
      </c>
      <c r="G203" s="130">
        <f t="shared" si="247"/>
        <v>3.8924678558011108</v>
      </c>
      <c r="H203" s="130">
        <f t="shared" si="247"/>
        <v>3.9016863747357213</v>
      </c>
      <c r="I203" s="130">
        <f t="shared" si="247"/>
        <v>4.0215922281450416</v>
      </c>
      <c r="J203" s="130">
        <f t="shared" si="247"/>
        <v>3.9089912491657683</v>
      </c>
      <c r="K203" s="130">
        <f t="shared" si="247"/>
        <v>3.8094966944857442</v>
      </c>
      <c r="L203" s="130">
        <f t="shared" si="247"/>
        <v>3.5013502025271399</v>
      </c>
      <c r="M203" s="130">
        <f t="shared" si="247"/>
        <v>3.028466201745375</v>
      </c>
      <c r="N203" s="130">
        <f t="shared" si="247"/>
        <v>2.8325378118988009</v>
      </c>
      <c r="O203" s="130">
        <f t="shared" si="247"/>
        <v>3.1595313148865878</v>
      </c>
      <c r="P203" s="130">
        <f t="shared" si="247"/>
        <v>3.1196720335749277</v>
      </c>
      <c r="Q203" s="130">
        <f t="shared" si="247"/>
        <v>2.9042250861761341</v>
      </c>
      <c r="R203" s="130">
        <f t="shared" si="247"/>
        <v>2.7042105999014172</v>
      </c>
      <c r="S203" s="130">
        <f t="shared" si="247"/>
        <v>2.6347614754196473</v>
      </c>
      <c r="T203" s="130">
        <f t="shared" si="247"/>
        <v>3.099786131749795</v>
      </c>
      <c r="U203" s="130">
        <f t="shared" si="247"/>
        <v>2.9716499809008576</v>
      </c>
      <c r="V203" s="130">
        <f t="shared" si="247"/>
        <v>3.4983335254791013</v>
      </c>
      <c r="W203" s="130">
        <f t="shared" ref="W203" si="248">IF(W51=0,0,W51/W21*1000)</f>
        <v>2.7626406044162319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129.63917437488655</v>
      </c>
      <c r="C204" s="130">
        <f t="shared" si="249"/>
        <v>131.55464407472189</v>
      </c>
      <c r="D204" s="130">
        <f t="shared" si="249"/>
        <v>184.98147396498086</v>
      </c>
      <c r="E204" s="130">
        <f t="shared" si="249"/>
        <v>151.07354704725907</v>
      </c>
      <c r="F204" s="130">
        <f t="shared" si="249"/>
        <v>147.3353738894933</v>
      </c>
      <c r="G204" s="130">
        <f t="shared" si="249"/>
        <v>144.98905460660393</v>
      </c>
      <c r="H204" s="130">
        <f t="shared" si="249"/>
        <v>91.07610615433515</v>
      </c>
      <c r="I204" s="130">
        <f t="shared" si="249"/>
        <v>120.01729561195305</v>
      </c>
      <c r="J204" s="130">
        <f t="shared" si="249"/>
        <v>129.8989379604061</v>
      </c>
      <c r="K204" s="130">
        <f t="shared" si="249"/>
        <v>127.18493873687257</v>
      </c>
      <c r="L204" s="130">
        <f t="shared" si="249"/>
        <v>124.57998446998063</v>
      </c>
      <c r="M204" s="130">
        <f t="shared" si="249"/>
        <v>160.2102316038</v>
      </c>
      <c r="N204" s="130">
        <f t="shared" si="249"/>
        <v>146.9856577901198</v>
      </c>
      <c r="O204" s="130">
        <f t="shared" si="249"/>
        <v>150.99134198944958</v>
      </c>
      <c r="P204" s="130">
        <f t="shared" si="249"/>
        <v>136.20983338076152</v>
      </c>
      <c r="Q204" s="130">
        <f t="shared" si="249"/>
        <v>118.66695090971072</v>
      </c>
      <c r="R204" s="130">
        <f t="shared" si="249"/>
        <v>93.005190472350051</v>
      </c>
      <c r="S204" s="130">
        <f t="shared" si="249"/>
        <v>104.14899056020235</v>
      </c>
      <c r="T204" s="130">
        <f t="shared" si="249"/>
        <v>96.769105959699033</v>
      </c>
      <c r="U204" s="130">
        <f t="shared" si="249"/>
        <v>74.32141394053096</v>
      </c>
      <c r="V204" s="130">
        <f t="shared" si="249"/>
        <v>134.83737281648783</v>
      </c>
      <c r="W204" s="130">
        <f t="shared" ref="W204" si="250">IF(W52=0,0,W52/W22*1000)</f>
        <v>143.75863313536576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248.19479377813528</v>
      </c>
      <c r="C206" s="97">
        <f t="shared" si="253"/>
        <v>236.07902929847501</v>
      </c>
      <c r="D206" s="97">
        <f t="shared" si="253"/>
        <v>251.44564214141201</v>
      </c>
      <c r="E206" s="97">
        <f t="shared" si="253"/>
        <v>208.47905091762632</v>
      </c>
      <c r="F206" s="97">
        <f t="shared" si="253"/>
        <v>193.8587967891383</v>
      </c>
      <c r="G206" s="97">
        <f t="shared" si="253"/>
        <v>179.37747531789495</v>
      </c>
      <c r="H206" s="97">
        <f t="shared" si="253"/>
        <v>210.80541917227009</v>
      </c>
      <c r="I206" s="97">
        <f t="shared" si="253"/>
        <v>210.46693102273335</v>
      </c>
      <c r="J206" s="97">
        <f t="shared" si="253"/>
        <v>253.89520781423897</v>
      </c>
      <c r="K206" s="97">
        <f t="shared" si="253"/>
        <v>231.17726681189441</v>
      </c>
      <c r="L206" s="97">
        <f t="shared" si="253"/>
        <v>240.6113330377209</v>
      </c>
      <c r="M206" s="97">
        <f t="shared" si="253"/>
        <v>224.51581680278034</v>
      </c>
      <c r="N206" s="97">
        <f t="shared" si="253"/>
        <v>170.02358794579629</v>
      </c>
      <c r="O206" s="97">
        <f t="shared" si="253"/>
        <v>181.29305584154525</v>
      </c>
      <c r="P206" s="97">
        <f t="shared" si="253"/>
        <v>163.7062660751225</v>
      </c>
      <c r="Q206" s="97">
        <f t="shared" si="253"/>
        <v>150.26142333505743</v>
      </c>
      <c r="R206" s="97">
        <f t="shared" si="253"/>
        <v>133.47247000006999</v>
      </c>
      <c r="S206" s="97">
        <f t="shared" si="253"/>
        <v>158.67765283994717</v>
      </c>
      <c r="T206" s="97">
        <f t="shared" si="253"/>
        <v>169.46356123603738</v>
      </c>
      <c r="U206" s="97">
        <f t="shared" si="253"/>
        <v>146.44022123110841</v>
      </c>
      <c r="V206" s="97">
        <f t="shared" si="253"/>
        <v>206.89000159204156</v>
      </c>
      <c r="W206" s="97">
        <f t="shared" ref="W206" si="254">IF(W54=0,0,W54/W24*1000)</f>
        <v>253.90725275792946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57.799008143479064</v>
      </c>
      <c r="C207" s="97">
        <f t="shared" si="255"/>
        <v>54.971842581626973</v>
      </c>
      <c r="D207" s="97">
        <f t="shared" si="255"/>
        <v>56.839484637240851</v>
      </c>
      <c r="E207" s="97">
        <f t="shared" si="255"/>
        <v>52.928459741167678</v>
      </c>
      <c r="F207" s="97">
        <f t="shared" si="255"/>
        <v>46.686621276559841</v>
      </c>
      <c r="G207" s="97">
        <f t="shared" si="255"/>
        <v>55.556456586679687</v>
      </c>
      <c r="H207" s="97">
        <f t="shared" si="255"/>
        <v>53.308646846959213</v>
      </c>
      <c r="I207" s="97">
        <f t="shared" si="255"/>
        <v>44.515523418966588</v>
      </c>
      <c r="J207" s="97">
        <f t="shared" si="255"/>
        <v>58.171418201565587</v>
      </c>
      <c r="K207" s="97">
        <f t="shared" si="255"/>
        <v>60.636202349273333</v>
      </c>
      <c r="L207" s="97">
        <f t="shared" si="255"/>
        <v>62.259063149024428</v>
      </c>
      <c r="M207" s="97">
        <f t="shared" si="255"/>
        <v>61.494685580165225</v>
      </c>
      <c r="N207" s="97">
        <f t="shared" si="255"/>
        <v>90.813396700617915</v>
      </c>
      <c r="O207" s="97">
        <f t="shared" si="255"/>
        <v>86.582708261496833</v>
      </c>
      <c r="P207" s="97">
        <f t="shared" si="255"/>
        <v>57.980390754320858</v>
      </c>
      <c r="Q207" s="97">
        <f t="shared" si="255"/>
        <v>43.361448510710609</v>
      </c>
      <c r="R207" s="97">
        <f t="shared" si="255"/>
        <v>36.413297616488627</v>
      </c>
      <c r="S207" s="97">
        <f t="shared" si="255"/>
        <v>36.125682500180247</v>
      </c>
      <c r="T207" s="97">
        <f t="shared" si="255"/>
        <v>27.109372159913057</v>
      </c>
      <c r="U207" s="97">
        <f t="shared" si="255"/>
        <v>27.600206493521689</v>
      </c>
      <c r="V207" s="97">
        <f t="shared" si="255"/>
        <v>71.293481738265825</v>
      </c>
      <c r="W207" s="97">
        <f t="shared" ref="W207" si="256">IF(W55=0,0,W55/W25*1000)</f>
        <v>64.815890083878145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1.1526365209368934</v>
      </c>
      <c r="C208" s="130">
        <f t="shared" si="257"/>
        <v>0.94480141688571484</v>
      </c>
      <c r="D208" s="130">
        <f t="shared" si="257"/>
        <v>1.4599035286654798</v>
      </c>
      <c r="E208" s="130">
        <f t="shared" si="257"/>
        <v>6.0931682264232654</v>
      </c>
      <c r="F208" s="130">
        <f t="shared" si="257"/>
        <v>1.078825769344711</v>
      </c>
      <c r="G208" s="130">
        <f t="shared" si="257"/>
        <v>0.4867294503103185</v>
      </c>
      <c r="H208" s="130">
        <f t="shared" si="257"/>
        <v>0.53685266082319494</v>
      </c>
      <c r="I208" s="130">
        <f t="shared" si="257"/>
        <v>0.45351782429614734</v>
      </c>
      <c r="J208" s="130">
        <f t="shared" si="257"/>
        <v>0.44585841215247907</v>
      </c>
      <c r="K208" s="130">
        <f t="shared" si="257"/>
        <v>0.54788718041675477</v>
      </c>
      <c r="L208" s="130">
        <f t="shared" si="257"/>
        <v>0.41921497172715333</v>
      </c>
      <c r="M208" s="130">
        <f t="shared" si="257"/>
        <v>0.54520729746906405</v>
      </c>
      <c r="N208" s="130">
        <f t="shared" si="257"/>
        <v>3.0367894021255797</v>
      </c>
      <c r="O208" s="130">
        <f t="shared" si="257"/>
        <v>2.6069309603273489</v>
      </c>
      <c r="P208" s="130">
        <f t="shared" si="257"/>
        <v>3.3235320789690217</v>
      </c>
      <c r="Q208" s="130">
        <f t="shared" si="257"/>
        <v>3.2998446244588258</v>
      </c>
      <c r="R208" s="130">
        <f t="shared" si="257"/>
        <v>2.5940333271656679</v>
      </c>
      <c r="S208" s="130">
        <f t="shared" si="257"/>
        <v>2.5718954925462816</v>
      </c>
      <c r="T208" s="130">
        <f t="shared" si="257"/>
        <v>3.1860794907662893</v>
      </c>
      <c r="U208" s="130">
        <f t="shared" si="257"/>
        <v>2.4166112363925438</v>
      </c>
      <c r="V208" s="130">
        <f t="shared" si="257"/>
        <v>2.0513634873050175</v>
      </c>
      <c r="W208" s="130">
        <f t="shared" ref="W208" si="258">IF(W56=0,0,W56/W26*1000)</f>
        <v>1.6411888358760667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1.1526365209368934</v>
      </c>
      <c r="C210" s="98">
        <f t="shared" si="261"/>
        <v>0.94480141688571484</v>
      </c>
      <c r="D210" s="98">
        <f t="shared" si="261"/>
        <v>1.4599035286654798</v>
      </c>
      <c r="E210" s="98">
        <f t="shared" si="261"/>
        <v>6.0931682264232654</v>
      </c>
      <c r="F210" s="98">
        <f t="shared" si="261"/>
        <v>1.078825769344711</v>
      </c>
      <c r="G210" s="98">
        <f t="shared" si="261"/>
        <v>0.4867294503103185</v>
      </c>
      <c r="H210" s="98">
        <f t="shared" si="261"/>
        <v>0.53685266082319494</v>
      </c>
      <c r="I210" s="98">
        <f t="shared" si="261"/>
        <v>0.45351782429614734</v>
      </c>
      <c r="J210" s="98">
        <f t="shared" si="261"/>
        <v>0.44585841215247907</v>
      </c>
      <c r="K210" s="98">
        <f t="shared" si="261"/>
        <v>0.54788718041675477</v>
      </c>
      <c r="L210" s="98">
        <f t="shared" si="261"/>
        <v>0.41921497172715333</v>
      </c>
      <c r="M210" s="98">
        <f t="shared" si="261"/>
        <v>0.54520729746906405</v>
      </c>
      <c r="N210" s="98">
        <f t="shared" si="261"/>
        <v>3.0367894021255797</v>
      </c>
      <c r="O210" s="98">
        <f t="shared" si="261"/>
        <v>2.6069309603273489</v>
      </c>
      <c r="P210" s="98">
        <f t="shared" si="261"/>
        <v>3.3235320789690217</v>
      </c>
      <c r="Q210" s="98">
        <f t="shared" si="261"/>
        <v>3.2998446244588258</v>
      </c>
      <c r="R210" s="98">
        <f t="shared" si="261"/>
        <v>2.5940333271656679</v>
      </c>
      <c r="S210" s="98">
        <f t="shared" si="261"/>
        <v>2.5718954925462816</v>
      </c>
      <c r="T210" s="98">
        <f t="shared" si="261"/>
        <v>3.1860794907662893</v>
      </c>
      <c r="U210" s="98">
        <f t="shared" si="261"/>
        <v>2.4166112363925438</v>
      </c>
      <c r="V210" s="98">
        <f t="shared" si="261"/>
        <v>2.0513634873050175</v>
      </c>
      <c r="W210" s="98">
        <f t="shared" ref="W210:W213" si="262">IF(W58=0,0,W58/W28*1000)</f>
        <v>1.6411888358760667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</v>
      </c>
      <c r="C211" s="32">
        <f t="shared" si="263"/>
        <v>0</v>
      </c>
      <c r="D211" s="32">
        <f t="shared" si="263"/>
        <v>0</v>
      </c>
      <c r="E211" s="32">
        <f t="shared" si="263"/>
        <v>0</v>
      </c>
      <c r="F211" s="32">
        <f t="shared" si="263"/>
        <v>0</v>
      </c>
      <c r="G211" s="32">
        <f t="shared" si="263"/>
        <v>0</v>
      </c>
      <c r="H211" s="32">
        <f t="shared" si="263"/>
        <v>0</v>
      </c>
      <c r="I211" s="32">
        <f t="shared" si="263"/>
        <v>0</v>
      </c>
      <c r="J211" s="32">
        <f t="shared" si="263"/>
        <v>0</v>
      </c>
      <c r="K211" s="32">
        <f t="shared" si="263"/>
        <v>0</v>
      </c>
      <c r="L211" s="32">
        <f t="shared" si="263"/>
        <v>0</v>
      </c>
      <c r="M211" s="32">
        <f t="shared" si="263"/>
        <v>0</v>
      </c>
      <c r="N211" s="32">
        <f t="shared" si="263"/>
        <v>0</v>
      </c>
      <c r="O211" s="32">
        <f t="shared" si="263"/>
        <v>0</v>
      </c>
      <c r="P211" s="32">
        <f t="shared" si="263"/>
        <v>0</v>
      </c>
      <c r="Q211" s="32">
        <f t="shared" si="263"/>
        <v>0</v>
      </c>
      <c r="R211" s="32">
        <f t="shared" si="263"/>
        <v>0</v>
      </c>
      <c r="S211" s="32">
        <f t="shared" si="263"/>
        <v>0</v>
      </c>
      <c r="T211" s="32">
        <f t="shared" si="263"/>
        <v>0</v>
      </c>
      <c r="U211" s="32">
        <f t="shared" si="263"/>
        <v>0</v>
      </c>
      <c r="V211" s="32">
        <f t="shared" si="263"/>
        <v>0</v>
      </c>
      <c r="W211" s="32">
        <f t="shared" si="262"/>
        <v>0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0</v>
      </c>
      <c r="C212" s="97">
        <f t="shared" si="264"/>
        <v>0</v>
      </c>
      <c r="D212" s="97">
        <f t="shared" si="264"/>
        <v>0</v>
      </c>
      <c r="E212" s="97">
        <f t="shared" si="264"/>
        <v>0</v>
      </c>
      <c r="F212" s="97">
        <f t="shared" si="264"/>
        <v>0</v>
      </c>
      <c r="G212" s="97">
        <f t="shared" si="264"/>
        <v>0</v>
      </c>
      <c r="H212" s="97">
        <f t="shared" si="264"/>
        <v>0</v>
      </c>
      <c r="I212" s="97">
        <f t="shared" si="264"/>
        <v>0</v>
      </c>
      <c r="J212" s="97">
        <f t="shared" si="264"/>
        <v>0</v>
      </c>
      <c r="K212" s="97">
        <f t="shared" si="264"/>
        <v>0</v>
      </c>
      <c r="L212" s="97">
        <f t="shared" si="264"/>
        <v>0</v>
      </c>
      <c r="M212" s="97">
        <f t="shared" si="264"/>
        <v>0</v>
      </c>
      <c r="N212" s="97">
        <f t="shared" si="264"/>
        <v>0</v>
      </c>
      <c r="O212" s="97">
        <f t="shared" si="264"/>
        <v>0</v>
      </c>
      <c r="P212" s="97">
        <f t="shared" si="264"/>
        <v>0</v>
      </c>
      <c r="Q212" s="97">
        <f t="shared" si="264"/>
        <v>0</v>
      </c>
      <c r="R212" s="97">
        <f t="shared" si="264"/>
        <v>0</v>
      </c>
      <c r="S212" s="97">
        <f t="shared" si="264"/>
        <v>0</v>
      </c>
      <c r="T212" s="97">
        <f t="shared" si="264"/>
        <v>0</v>
      </c>
      <c r="U212" s="97">
        <f t="shared" si="264"/>
        <v>0</v>
      </c>
      <c r="V212" s="97">
        <f t="shared" si="264"/>
        <v>0</v>
      </c>
      <c r="W212" s="97">
        <f t="shared" si="262"/>
        <v>0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</v>
      </c>
      <c r="C213" s="98">
        <f t="shared" si="265"/>
        <v>0</v>
      </c>
      <c r="D213" s="98">
        <f t="shared" si="265"/>
        <v>0</v>
      </c>
      <c r="E213" s="98">
        <f t="shared" si="265"/>
        <v>0</v>
      </c>
      <c r="F213" s="98">
        <f t="shared" si="265"/>
        <v>0</v>
      </c>
      <c r="G213" s="98">
        <f t="shared" si="265"/>
        <v>0</v>
      </c>
      <c r="H213" s="98">
        <f t="shared" si="265"/>
        <v>0</v>
      </c>
      <c r="I213" s="98">
        <f t="shared" si="265"/>
        <v>0</v>
      </c>
      <c r="J213" s="98">
        <f t="shared" si="265"/>
        <v>0</v>
      </c>
      <c r="K213" s="98">
        <f t="shared" si="265"/>
        <v>0</v>
      </c>
      <c r="L213" s="98">
        <f t="shared" si="265"/>
        <v>0</v>
      </c>
      <c r="M213" s="98">
        <f t="shared" si="265"/>
        <v>0</v>
      </c>
      <c r="N213" s="98">
        <f t="shared" si="265"/>
        <v>0</v>
      </c>
      <c r="O213" s="98">
        <f t="shared" si="265"/>
        <v>0</v>
      </c>
      <c r="P213" s="98">
        <f t="shared" si="265"/>
        <v>0</v>
      </c>
      <c r="Q213" s="98">
        <f t="shared" si="265"/>
        <v>0</v>
      </c>
      <c r="R213" s="98">
        <f t="shared" si="265"/>
        <v>0</v>
      </c>
      <c r="S213" s="98">
        <f t="shared" si="265"/>
        <v>0</v>
      </c>
      <c r="T213" s="98">
        <f t="shared" si="265"/>
        <v>0</v>
      </c>
      <c r="U213" s="98">
        <f t="shared" si="265"/>
        <v>0</v>
      </c>
      <c r="V213" s="98">
        <f t="shared" si="265"/>
        <v>0</v>
      </c>
      <c r="W213" s="98">
        <f t="shared" si="262"/>
        <v>0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81.306245808802188</v>
      </c>
      <c r="C216" s="32">
        <f t="shared" si="266"/>
        <v>84.216099701236104</v>
      </c>
      <c r="D216" s="32">
        <f t="shared" si="266"/>
        <v>86.4794514610562</v>
      </c>
      <c r="E216" s="32">
        <f t="shared" si="266"/>
        <v>88.494766978963739</v>
      </c>
      <c r="F216" s="32">
        <f t="shared" si="266"/>
        <v>89.562401188197512</v>
      </c>
      <c r="G216" s="32">
        <f t="shared" si="266"/>
        <v>90.771578000718293</v>
      </c>
      <c r="H216" s="32">
        <f t="shared" si="266"/>
        <v>93.281679438534326</v>
      </c>
      <c r="I216" s="32">
        <f t="shared" si="266"/>
        <v>95.100784981427893</v>
      </c>
      <c r="J216" s="32">
        <f t="shared" si="266"/>
        <v>94.479740599434379</v>
      </c>
      <c r="K216" s="32">
        <f t="shared" si="266"/>
        <v>96.304220957495644</v>
      </c>
      <c r="L216" s="32">
        <f t="shared" si="266"/>
        <v>90.919714607630723</v>
      </c>
      <c r="M216" s="32">
        <f t="shared" si="266"/>
        <v>85.919860261323379</v>
      </c>
      <c r="N216" s="32">
        <f t="shared" si="266"/>
        <v>84.162405879461915</v>
      </c>
      <c r="O216" s="32">
        <f t="shared" si="266"/>
        <v>81.150639369004054</v>
      </c>
      <c r="P216" s="32">
        <f t="shared" si="266"/>
        <v>83.578056177282775</v>
      </c>
      <c r="Q216" s="32">
        <f t="shared" si="266"/>
        <v>85.777714879458713</v>
      </c>
      <c r="R216" s="32">
        <f t="shared" si="266"/>
        <v>86.247690686591568</v>
      </c>
      <c r="S216" s="32">
        <f t="shared" si="266"/>
        <v>86.40295603315036</v>
      </c>
      <c r="T216" s="32">
        <f t="shared" si="266"/>
        <v>87.985759346471141</v>
      </c>
      <c r="U216" s="32">
        <f t="shared" si="266"/>
        <v>91.371315852118542</v>
      </c>
      <c r="V216" s="32">
        <f t="shared" si="266"/>
        <v>96.238362151079201</v>
      </c>
      <c r="W216" s="32">
        <f t="shared" ref="W216" si="267">IF(W4=0,0,W64/W4*1000)</f>
        <v>98.890870733405805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86.989642756805665</v>
      </c>
      <c r="C217" s="141">
        <f t="shared" si="268"/>
        <v>91.561475976511758</v>
      </c>
      <c r="D217" s="141">
        <f t="shared" si="268"/>
        <v>95.477283219146031</v>
      </c>
      <c r="E217" s="141">
        <f t="shared" si="268"/>
        <v>98.263887157963026</v>
      </c>
      <c r="F217" s="141">
        <f t="shared" si="268"/>
        <v>99.804078010601785</v>
      </c>
      <c r="G217" s="141">
        <f t="shared" si="268"/>
        <v>101.16396716414997</v>
      </c>
      <c r="H217" s="141">
        <f t="shared" si="268"/>
        <v>103.8617463533995</v>
      </c>
      <c r="I217" s="141">
        <f t="shared" si="268"/>
        <v>106.14286833228481</v>
      </c>
      <c r="J217" s="141">
        <f t="shared" si="268"/>
        <v>103.09057258023786</v>
      </c>
      <c r="K217" s="141">
        <f t="shared" si="268"/>
        <v>106.11533689938365</v>
      </c>
      <c r="L217" s="141">
        <f t="shared" si="268"/>
        <v>99.587717345624114</v>
      </c>
      <c r="M217" s="141">
        <f t="shared" si="268"/>
        <v>94.182062233082121</v>
      </c>
      <c r="N217" s="141">
        <f t="shared" si="268"/>
        <v>94.54980873794257</v>
      </c>
      <c r="O217" s="141">
        <f t="shared" si="268"/>
        <v>90.80377709413861</v>
      </c>
      <c r="P217" s="141">
        <f t="shared" si="268"/>
        <v>94.020109095138935</v>
      </c>
      <c r="Q217" s="141">
        <f t="shared" si="268"/>
        <v>97.819468622371289</v>
      </c>
      <c r="R217" s="141">
        <f t="shared" si="268"/>
        <v>98.997935545987019</v>
      </c>
      <c r="S217" s="141">
        <f t="shared" si="268"/>
        <v>98.665912005709217</v>
      </c>
      <c r="T217" s="141">
        <f t="shared" si="268"/>
        <v>99.962396283481482</v>
      </c>
      <c r="U217" s="141">
        <f t="shared" si="268"/>
        <v>105.30694165659239</v>
      </c>
      <c r="V217" s="141">
        <f t="shared" si="268"/>
        <v>103.68672781576936</v>
      </c>
      <c r="W217" s="141">
        <f t="shared" ref="W217" si="269">IF(W5=0,0,W65/W5*1000)</f>
        <v>106.79001196730742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121.69985263295149</v>
      </c>
      <c r="C218" s="97">
        <f t="shared" si="270"/>
        <v>121.23240403415581</v>
      </c>
      <c r="D218" s="97">
        <f t="shared" si="270"/>
        <v>120.24326721471155</v>
      </c>
      <c r="E218" s="97">
        <f t="shared" si="270"/>
        <v>119.05551546965452</v>
      </c>
      <c r="F218" s="97">
        <f t="shared" si="270"/>
        <v>117.35216478205191</v>
      </c>
      <c r="G218" s="97">
        <f t="shared" si="270"/>
        <v>116.12199188395526</v>
      </c>
      <c r="H218" s="97">
        <f t="shared" si="270"/>
        <v>114.39631084472111</v>
      </c>
      <c r="I218" s="97">
        <f t="shared" si="270"/>
        <v>111.94042495409637</v>
      </c>
      <c r="J218" s="97">
        <f t="shared" si="270"/>
        <v>109.14425596884517</v>
      </c>
      <c r="K218" s="97">
        <f t="shared" si="270"/>
        <v>107.91115235767944</v>
      </c>
      <c r="L218" s="97">
        <f t="shared" si="270"/>
        <v>105.7420783195992</v>
      </c>
      <c r="M218" s="97">
        <f t="shared" si="270"/>
        <v>104.98278753029744</v>
      </c>
      <c r="N218" s="97">
        <f t="shared" si="270"/>
        <v>104.90064251574124</v>
      </c>
      <c r="O218" s="97">
        <f t="shared" si="270"/>
        <v>105.61924247739744</v>
      </c>
      <c r="P218" s="97">
        <f t="shared" si="270"/>
        <v>102.12525048749296</v>
      </c>
      <c r="Q218" s="97">
        <f t="shared" si="270"/>
        <v>102.05863511162291</v>
      </c>
      <c r="R218" s="97">
        <f t="shared" si="270"/>
        <v>100.8449999110354</v>
      </c>
      <c r="S218" s="97">
        <f t="shared" si="270"/>
        <v>99.867830812447252</v>
      </c>
      <c r="T218" s="97">
        <f t="shared" si="270"/>
        <v>98.823442094323426</v>
      </c>
      <c r="U218" s="97">
        <f t="shared" si="270"/>
        <v>98.661092329408504</v>
      </c>
      <c r="V218" s="97">
        <f t="shared" si="270"/>
        <v>95.085944273731286</v>
      </c>
      <c r="W218" s="97">
        <f t="shared" ref="W218" si="271">IF(W6=0,0,W66/W6*1000)</f>
        <v>90.100853376742336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96.626043874361187</v>
      </c>
      <c r="C219" s="97">
        <f t="shared" si="272"/>
        <v>102.76830558555324</v>
      </c>
      <c r="D219" s="97">
        <f t="shared" si="272"/>
        <v>107.97749115174516</v>
      </c>
      <c r="E219" s="97">
        <f t="shared" si="272"/>
        <v>111.12316763833155</v>
      </c>
      <c r="F219" s="97">
        <f t="shared" si="272"/>
        <v>112.7474266123365</v>
      </c>
      <c r="G219" s="97">
        <f t="shared" si="272"/>
        <v>112.96760069592884</v>
      </c>
      <c r="H219" s="97">
        <f t="shared" si="272"/>
        <v>114.19083536422123</v>
      </c>
      <c r="I219" s="97">
        <f t="shared" si="272"/>
        <v>115.72555567138949</v>
      </c>
      <c r="J219" s="97">
        <f t="shared" si="272"/>
        <v>115.25793512611243</v>
      </c>
      <c r="K219" s="97">
        <f t="shared" si="272"/>
        <v>117.3600911767308</v>
      </c>
      <c r="L219" s="97">
        <f t="shared" si="272"/>
        <v>109.32012039888528</v>
      </c>
      <c r="M219" s="97">
        <f t="shared" si="272"/>
        <v>103.5498622870753</v>
      </c>
      <c r="N219" s="97">
        <f t="shared" si="272"/>
        <v>105.70456992759426</v>
      </c>
      <c r="O219" s="97">
        <f t="shared" si="272"/>
        <v>101.60970165478041</v>
      </c>
      <c r="P219" s="97">
        <f t="shared" si="272"/>
        <v>104.61955822802943</v>
      </c>
      <c r="Q219" s="97">
        <f t="shared" si="272"/>
        <v>108.59447064276853</v>
      </c>
      <c r="R219" s="97">
        <f t="shared" si="272"/>
        <v>109.87134041343435</v>
      </c>
      <c r="S219" s="97">
        <f t="shared" si="272"/>
        <v>108.27604544025735</v>
      </c>
      <c r="T219" s="97">
        <f t="shared" si="272"/>
        <v>109.89512113706388</v>
      </c>
      <c r="U219" s="97">
        <f t="shared" si="272"/>
        <v>116.23098014056141</v>
      </c>
      <c r="V219" s="97">
        <f t="shared" si="272"/>
        <v>108.41842877452166</v>
      </c>
      <c r="W219" s="97">
        <f t="shared" ref="W219" si="273">IF(W7=0,0,W67/W7*1000)</f>
        <v>110.10243747995757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62.711031649640397</v>
      </c>
      <c r="C220" s="97">
        <f t="shared" si="274"/>
        <v>63.304424676222517</v>
      </c>
      <c r="D220" s="97">
        <f t="shared" si="274"/>
        <v>64.457102191217132</v>
      </c>
      <c r="E220" s="97">
        <f t="shared" si="274"/>
        <v>65.245521348485724</v>
      </c>
      <c r="F220" s="97">
        <f t="shared" si="274"/>
        <v>64.576050277575192</v>
      </c>
      <c r="G220" s="97">
        <f t="shared" si="274"/>
        <v>68.169582781626787</v>
      </c>
      <c r="H220" s="97">
        <f t="shared" si="274"/>
        <v>73.488812739237375</v>
      </c>
      <c r="I220" s="97">
        <f t="shared" si="274"/>
        <v>75.849813066751224</v>
      </c>
      <c r="J220" s="97">
        <f t="shared" si="274"/>
        <v>65.720086628409305</v>
      </c>
      <c r="K220" s="97">
        <f t="shared" si="274"/>
        <v>68.51831393230178</v>
      </c>
      <c r="L220" s="97">
        <f t="shared" si="274"/>
        <v>68.327781934416834</v>
      </c>
      <c r="M220" s="97">
        <f t="shared" si="274"/>
        <v>64.139627668288966</v>
      </c>
      <c r="N220" s="97">
        <f t="shared" si="274"/>
        <v>60.432889647671331</v>
      </c>
      <c r="O220" s="97">
        <f t="shared" si="274"/>
        <v>57.735763063884697</v>
      </c>
      <c r="P220" s="97">
        <f t="shared" si="274"/>
        <v>62.095267695360803</v>
      </c>
      <c r="Q220" s="97">
        <f t="shared" si="274"/>
        <v>64.672046609548687</v>
      </c>
      <c r="R220" s="97">
        <f t="shared" si="274"/>
        <v>64.367113264948756</v>
      </c>
      <c r="S220" s="97">
        <f t="shared" si="274"/>
        <v>66.803651923832035</v>
      </c>
      <c r="T220" s="97">
        <f t="shared" si="274"/>
        <v>66.331136162662929</v>
      </c>
      <c r="U220" s="97">
        <f t="shared" si="274"/>
        <v>66.511428073728524</v>
      </c>
      <c r="V220" s="97">
        <f t="shared" si="274"/>
        <v>79.704025132981243</v>
      </c>
      <c r="W220" s="97">
        <f t="shared" ref="W220" si="275">IF(W8=0,0,W68/W8*1000)</f>
        <v>89.205418838664215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18.386811147077921</v>
      </c>
      <c r="C221" s="130">
        <f t="shared" si="276"/>
        <v>17.559275782025438</v>
      </c>
      <c r="D221" s="130">
        <f t="shared" si="276"/>
        <v>16.341627295266687</v>
      </c>
      <c r="E221" s="130">
        <f t="shared" si="276"/>
        <v>16.153145338808525</v>
      </c>
      <c r="F221" s="130">
        <f t="shared" si="276"/>
        <v>15.330763998651262</v>
      </c>
      <c r="G221" s="130">
        <f t="shared" si="276"/>
        <v>14.160177786981071</v>
      </c>
      <c r="H221" s="130">
        <f t="shared" si="276"/>
        <v>13.193585136488615</v>
      </c>
      <c r="I221" s="130">
        <f t="shared" si="276"/>
        <v>13.641857831552835</v>
      </c>
      <c r="J221" s="130">
        <f t="shared" si="276"/>
        <v>14.467600900857812</v>
      </c>
      <c r="K221" s="130">
        <f t="shared" si="276"/>
        <v>15.970435617572095</v>
      </c>
      <c r="L221" s="130">
        <f t="shared" si="276"/>
        <v>14.503295727131569</v>
      </c>
      <c r="M221" s="130">
        <f t="shared" si="276"/>
        <v>12.985585590493082</v>
      </c>
      <c r="N221" s="130">
        <f t="shared" si="276"/>
        <v>10.588339179481796</v>
      </c>
      <c r="O221" s="130">
        <f t="shared" si="276"/>
        <v>12.310181777044741</v>
      </c>
      <c r="P221" s="130">
        <f t="shared" si="276"/>
        <v>12.81189158713849</v>
      </c>
      <c r="Q221" s="130">
        <f t="shared" si="276"/>
        <v>10.458086646905549</v>
      </c>
      <c r="R221" s="130">
        <f t="shared" si="276"/>
        <v>10.169247734307504</v>
      </c>
      <c r="S221" s="130">
        <f t="shared" si="276"/>
        <v>10.346121996622562</v>
      </c>
      <c r="T221" s="130">
        <f t="shared" si="276"/>
        <v>10.416569101626509</v>
      </c>
      <c r="U221" s="130">
        <f t="shared" si="276"/>
        <v>9.3014289862575144</v>
      </c>
      <c r="V221" s="130">
        <f t="shared" si="276"/>
        <v>11.321520061151171</v>
      </c>
      <c r="W221" s="130">
        <f t="shared" ref="W221" si="277">IF(W9=0,0,W69/W9*1000)</f>
        <v>10.838998848930988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23.261886422842935</v>
      </c>
      <c r="C223" s="97">
        <f t="shared" si="280"/>
        <v>22.071509468740821</v>
      </c>
      <c r="D223" s="97">
        <f t="shared" si="280"/>
        <v>20.276900946467553</v>
      </c>
      <c r="E223" s="97">
        <f t="shared" si="280"/>
        <v>20.104274414488305</v>
      </c>
      <c r="F223" s="97">
        <f t="shared" si="280"/>
        <v>18.980586809938629</v>
      </c>
      <c r="G223" s="97">
        <f t="shared" si="280"/>
        <v>17.54246368006466</v>
      </c>
      <c r="H223" s="97">
        <f t="shared" si="280"/>
        <v>16.312342111701234</v>
      </c>
      <c r="I223" s="97">
        <f t="shared" si="280"/>
        <v>17.195723902844026</v>
      </c>
      <c r="J223" s="97">
        <f t="shared" si="280"/>
        <v>18.541629856900141</v>
      </c>
      <c r="K223" s="97">
        <f t="shared" si="280"/>
        <v>20.96416449501907</v>
      </c>
      <c r="L223" s="97">
        <f t="shared" si="280"/>
        <v>19.20303574338342</v>
      </c>
      <c r="M223" s="97">
        <f t="shared" si="280"/>
        <v>17.174014879768919</v>
      </c>
      <c r="N223" s="97">
        <f t="shared" si="280"/>
        <v>13.978179419274062</v>
      </c>
      <c r="O223" s="97">
        <f t="shared" si="280"/>
        <v>16.251087268417347</v>
      </c>
      <c r="P223" s="97">
        <f t="shared" si="280"/>
        <v>17.48011770805812</v>
      </c>
      <c r="Q223" s="97">
        <f t="shared" si="280"/>
        <v>14.508096359743661</v>
      </c>
      <c r="R223" s="97">
        <f t="shared" si="280"/>
        <v>14.238945464580508</v>
      </c>
      <c r="S223" s="97">
        <f t="shared" si="280"/>
        <v>14.421983783080067</v>
      </c>
      <c r="T223" s="97">
        <f t="shared" si="280"/>
        <v>14.046549044544669</v>
      </c>
      <c r="U223" s="97">
        <f t="shared" si="280"/>
        <v>12.669873820695322</v>
      </c>
      <c r="V223" s="97">
        <f t="shared" si="280"/>
        <v>15.624817241378596</v>
      </c>
      <c r="W223" s="97">
        <f t="shared" ref="W223" si="281">IF(W11=0,0,W71/W11*1000)</f>
        <v>14.362490537911464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187.25606875745788</v>
      </c>
      <c r="C225" s="130">
        <f t="shared" si="284"/>
        <v>184.17886423255146</v>
      </c>
      <c r="D225" s="130">
        <f t="shared" si="284"/>
        <v>181.95620976229108</v>
      </c>
      <c r="E225" s="130">
        <f t="shared" si="284"/>
        <v>160.77368937633813</v>
      </c>
      <c r="F225" s="130">
        <f t="shared" si="284"/>
        <v>140.1270275365587</v>
      </c>
      <c r="G225" s="130">
        <f t="shared" si="284"/>
        <v>129.95677904089388</v>
      </c>
      <c r="H225" s="130">
        <f t="shared" si="284"/>
        <v>127.41512426747705</v>
      </c>
      <c r="I225" s="130">
        <f t="shared" si="284"/>
        <v>112.13933976131223</v>
      </c>
      <c r="J225" s="130">
        <f t="shared" si="284"/>
        <v>132.51065715737016</v>
      </c>
      <c r="K225" s="130">
        <f t="shared" si="284"/>
        <v>124.17534568150319</v>
      </c>
      <c r="L225" s="130">
        <f t="shared" si="284"/>
        <v>122.43404033734897</v>
      </c>
      <c r="M225" s="130">
        <f t="shared" si="284"/>
        <v>115.78740551661987</v>
      </c>
      <c r="N225" s="130">
        <f t="shared" si="284"/>
        <v>91.230715978927748</v>
      </c>
      <c r="O225" s="130">
        <f t="shared" si="284"/>
        <v>89.012501539372849</v>
      </c>
      <c r="P225" s="130">
        <f t="shared" si="284"/>
        <v>84.810267082164074</v>
      </c>
      <c r="Q225" s="130">
        <f t="shared" si="284"/>
        <v>73.895422656044019</v>
      </c>
      <c r="R225" s="130">
        <f t="shared" si="284"/>
        <v>69.113433846942101</v>
      </c>
      <c r="S225" s="130">
        <f t="shared" si="284"/>
        <v>69.984732321773478</v>
      </c>
      <c r="T225" s="130">
        <f t="shared" si="284"/>
        <v>71.699256470695147</v>
      </c>
      <c r="U225" s="130">
        <f t="shared" si="284"/>
        <v>64.944548525462295</v>
      </c>
      <c r="V225" s="130">
        <f t="shared" si="284"/>
        <v>95.030075469530004</v>
      </c>
      <c r="W225" s="130">
        <f t="shared" ref="W225" si="285">IF(W13=0,0,W73/W13*1000)</f>
        <v>99.254340305835228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195.49639501147709</v>
      </c>
      <c r="C227" s="97">
        <f t="shared" si="288"/>
        <v>191.09866978170075</v>
      </c>
      <c r="D227" s="97">
        <f t="shared" si="288"/>
        <v>180.43494192764058</v>
      </c>
      <c r="E227" s="97">
        <f t="shared" si="288"/>
        <v>161.73662167864649</v>
      </c>
      <c r="F227" s="97">
        <f t="shared" si="288"/>
        <v>145.34877260884215</v>
      </c>
      <c r="G227" s="97">
        <f t="shared" si="288"/>
        <v>127.11370278307652</v>
      </c>
      <c r="H227" s="97">
        <f t="shared" si="288"/>
        <v>126.95265870367211</v>
      </c>
      <c r="I227" s="97">
        <f t="shared" si="288"/>
        <v>117.74616305706664</v>
      </c>
      <c r="J227" s="97">
        <f t="shared" si="288"/>
        <v>137.41911600809743</v>
      </c>
      <c r="K227" s="97">
        <f t="shared" si="288"/>
        <v>118.93543503348982</v>
      </c>
      <c r="L227" s="97">
        <f t="shared" si="288"/>
        <v>117.7402321405071</v>
      </c>
      <c r="M227" s="97">
        <f t="shared" si="288"/>
        <v>109.57377259357273</v>
      </c>
      <c r="N227" s="97">
        <f t="shared" si="288"/>
        <v>73.958907883359601</v>
      </c>
      <c r="O227" s="97">
        <f t="shared" si="288"/>
        <v>75.401563215620328</v>
      </c>
      <c r="P227" s="97">
        <f t="shared" si="288"/>
        <v>77.000438464194076</v>
      </c>
      <c r="Q227" s="97">
        <f t="shared" si="288"/>
        <v>70.085476621813186</v>
      </c>
      <c r="R227" s="97">
        <f t="shared" si="288"/>
        <v>65.350668556309543</v>
      </c>
      <c r="S227" s="97">
        <f t="shared" si="288"/>
        <v>69.118531836974313</v>
      </c>
      <c r="T227" s="97">
        <f t="shared" si="288"/>
        <v>77.9978075030198</v>
      </c>
      <c r="U227" s="97">
        <f t="shared" si="288"/>
        <v>72.473056604777042</v>
      </c>
      <c r="V227" s="97">
        <f t="shared" si="288"/>
        <v>86.94081232026484</v>
      </c>
      <c r="W227" s="97">
        <f t="shared" ref="W227" si="289">IF(W15=0,0,W75/W15*1000)</f>
        <v>100.16055318974114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175.01309770403086</v>
      </c>
      <c r="C228" s="97">
        <f t="shared" si="290"/>
        <v>173.73813106465502</v>
      </c>
      <c r="D228" s="97">
        <f t="shared" si="290"/>
        <v>184.65713869656923</v>
      </c>
      <c r="E228" s="97">
        <f t="shared" si="290"/>
        <v>159.30911210615488</v>
      </c>
      <c r="F228" s="97">
        <f t="shared" si="290"/>
        <v>131.34312218228669</v>
      </c>
      <c r="G228" s="97">
        <f t="shared" si="290"/>
        <v>136.09847102510747</v>
      </c>
      <c r="H228" s="97">
        <f t="shared" si="290"/>
        <v>128.35059276045379</v>
      </c>
      <c r="I228" s="97">
        <f t="shared" si="290"/>
        <v>102.39258840404345</v>
      </c>
      <c r="J228" s="97">
        <f t="shared" si="290"/>
        <v>123.55521330132643</v>
      </c>
      <c r="K228" s="97">
        <f t="shared" si="290"/>
        <v>135.36451553939946</v>
      </c>
      <c r="L228" s="97">
        <f t="shared" si="290"/>
        <v>132.15797057114196</v>
      </c>
      <c r="M228" s="97">
        <f t="shared" si="290"/>
        <v>129.29006170028237</v>
      </c>
      <c r="N228" s="97">
        <f t="shared" si="290"/>
        <v>160.96778472960375</v>
      </c>
      <c r="O228" s="97">
        <f t="shared" si="290"/>
        <v>134.13266880119167</v>
      </c>
      <c r="P228" s="97">
        <f t="shared" si="290"/>
        <v>105.33494381372824</v>
      </c>
      <c r="Q228" s="97">
        <f t="shared" si="290"/>
        <v>82.798941504023929</v>
      </c>
      <c r="R228" s="97">
        <f t="shared" si="290"/>
        <v>78.923099609266828</v>
      </c>
      <c r="S228" s="97">
        <f t="shared" si="290"/>
        <v>72.008408777187341</v>
      </c>
      <c r="T228" s="97">
        <f t="shared" si="290"/>
        <v>60.672932673590147</v>
      </c>
      <c r="U228" s="97">
        <f t="shared" si="290"/>
        <v>52.605903689983506</v>
      </c>
      <c r="V228" s="97">
        <f t="shared" si="290"/>
        <v>111.80198939102038</v>
      </c>
      <c r="W228" s="97">
        <f t="shared" ref="W228" si="291">IF(W16=0,0,W76/W16*1000)</f>
        <v>97.688396785271067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101.34227474436224</v>
      </c>
      <c r="C229" s="32">
        <f t="shared" si="292"/>
        <v>109.96369206097819</v>
      </c>
      <c r="D229" s="32">
        <f t="shared" si="292"/>
        <v>119.99962343280934</v>
      </c>
      <c r="E229" s="32">
        <f t="shared" si="292"/>
        <v>127.69568152562653</v>
      </c>
      <c r="F229" s="32">
        <f t="shared" si="292"/>
        <v>123.21827378283052</v>
      </c>
      <c r="G229" s="32">
        <f t="shared" si="292"/>
        <v>143.26411885190635</v>
      </c>
      <c r="H229" s="32">
        <f t="shared" si="292"/>
        <v>140.91862165499211</v>
      </c>
      <c r="I229" s="32">
        <f t="shared" si="292"/>
        <v>131.82851167457218</v>
      </c>
      <c r="J229" s="32">
        <f t="shared" si="292"/>
        <v>130.30359191522251</v>
      </c>
      <c r="K229" s="32">
        <f t="shared" si="292"/>
        <v>153.18922608355072</v>
      </c>
      <c r="L229" s="32">
        <f t="shared" si="292"/>
        <v>132.84377065622695</v>
      </c>
      <c r="M229" s="32">
        <f t="shared" si="292"/>
        <v>121.20034819026996</v>
      </c>
      <c r="N229" s="32">
        <f t="shared" si="292"/>
        <v>113.93378230730211</v>
      </c>
      <c r="O229" s="32">
        <f t="shared" si="292"/>
        <v>98.450161207434164</v>
      </c>
      <c r="P229" s="32">
        <f t="shared" si="292"/>
        <v>117.51602973631243</v>
      </c>
      <c r="Q229" s="32">
        <f t="shared" si="292"/>
        <v>129.4619920271428</v>
      </c>
      <c r="R229" s="32">
        <f t="shared" si="292"/>
        <v>116.08786990186007</v>
      </c>
      <c r="S229" s="32">
        <f t="shared" si="292"/>
        <v>111.43991810084724</v>
      </c>
      <c r="T229" s="32">
        <f t="shared" si="292"/>
        <v>123.79586869086181</v>
      </c>
      <c r="U229" s="32">
        <f t="shared" si="292"/>
        <v>121.0275023131157</v>
      </c>
      <c r="V229" s="32">
        <f t="shared" si="292"/>
        <v>101.47758281237448</v>
      </c>
      <c r="W229" s="32">
        <f t="shared" ref="W229" si="293">IF(W17=0,0,W77/W17*1000)</f>
        <v>112.62393372997381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146.53770509912076</v>
      </c>
      <c r="C230" s="141">
        <f t="shared" si="294"/>
        <v>154.05192657660908</v>
      </c>
      <c r="D230" s="141">
        <f t="shared" si="294"/>
        <v>170.89614320070925</v>
      </c>
      <c r="E230" s="141">
        <f t="shared" si="294"/>
        <v>181.71712212279525</v>
      </c>
      <c r="F230" s="141">
        <f t="shared" si="294"/>
        <v>180.61517905930992</v>
      </c>
      <c r="G230" s="141">
        <f t="shared" si="294"/>
        <v>211.46706366048824</v>
      </c>
      <c r="H230" s="141">
        <f t="shared" si="294"/>
        <v>207.28866646905607</v>
      </c>
      <c r="I230" s="141">
        <f t="shared" si="294"/>
        <v>190.2337197490734</v>
      </c>
      <c r="J230" s="141">
        <f t="shared" si="294"/>
        <v>185.18280384060185</v>
      </c>
      <c r="K230" s="141">
        <f t="shared" si="294"/>
        <v>214.41506929825522</v>
      </c>
      <c r="L230" s="141">
        <f t="shared" si="294"/>
        <v>198.70892658037215</v>
      </c>
      <c r="M230" s="141">
        <f t="shared" si="294"/>
        <v>180.88008437983751</v>
      </c>
      <c r="N230" s="141">
        <f t="shared" si="294"/>
        <v>173.79261530698614</v>
      </c>
      <c r="O230" s="141">
        <f t="shared" si="294"/>
        <v>151.03040117710449</v>
      </c>
      <c r="P230" s="141">
        <f t="shared" si="294"/>
        <v>180.22309576987382</v>
      </c>
      <c r="Q230" s="141">
        <f t="shared" si="294"/>
        <v>193.96951830627017</v>
      </c>
      <c r="R230" s="141">
        <f t="shared" si="294"/>
        <v>171.83006012185191</v>
      </c>
      <c r="S230" s="141">
        <f t="shared" si="294"/>
        <v>173.39845764017858</v>
      </c>
      <c r="T230" s="141">
        <f t="shared" si="294"/>
        <v>175.75425386712709</v>
      </c>
      <c r="U230" s="141">
        <f t="shared" si="294"/>
        <v>172.88582145275444</v>
      </c>
      <c r="V230" s="141">
        <f t="shared" si="294"/>
        <v>149.7461367352675</v>
      </c>
      <c r="W230" s="141">
        <f t="shared" ref="W230" si="295">IF(W18=0,0,W78/W18*1000)</f>
        <v>158.89576527835965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1978.1116516704672</v>
      </c>
      <c r="C231" s="97">
        <f t="shared" si="296"/>
        <v>1945.1722030870292</v>
      </c>
      <c r="D231" s="97">
        <f t="shared" si="296"/>
        <v>1976.2178020250046</v>
      </c>
      <c r="E231" s="97">
        <f t="shared" si="296"/>
        <v>1979.4235523550635</v>
      </c>
      <c r="F231" s="97">
        <f t="shared" si="296"/>
        <v>1968.0302507832234</v>
      </c>
      <c r="G231" s="97">
        <f t="shared" si="296"/>
        <v>2027.4872125176987</v>
      </c>
      <c r="H231" s="97">
        <f t="shared" si="296"/>
        <v>2005.1114842385477</v>
      </c>
      <c r="I231" s="97">
        <f t="shared" si="296"/>
        <v>1931.9704941487398</v>
      </c>
      <c r="J231" s="97">
        <f t="shared" si="296"/>
        <v>1864.3182937708925</v>
      </c>
      <c r="K231" s="97">
        <f t="shared" si="296"/>
        <v>1826.8748323956156</v>
      </c>
      <c r="L231" s="97">
        <f t="shared" si="296"/>
        <v>1814.0790208732019</v>
      </c>
      <c r="M231" s="97">
        <f t="shared" si="296"/>
        <v>1730.3979802278477</v>
      </c>
      <c r="N231" s="97">
        <f t="shared" si="296"/>
        <v>1685.4797895296022</v>
      </c>
      <c r="O231" s="97">
        <f t="shared" si="296"/>
        <v>1570.7846645713828</v>
      </c>
      <c r="P231" s="97">
        <f t="shared" si="296"/>
        <v>1681.5516635592605</v>
      </c>
      <c r="Q231" s="97">
        <f t="shared" si="296"/>
        <v>1739.8047525986224</v>
      </c>
      <c r="R231" s="97">
        <f t="shared" si="296"/>
        <v>1667.4472071863447</v>
      </c>
      <c r="S231" s="97">
        <f t="shared" si="296"/>
        <v>1689.2773422477321</v>
      </c>
      <c r="T231" s="97">
        <f t="shared" si="296"/>
        <v>1681.3709903584058</v>
      </c>
      <c r="U231" s="97">
        <f t="shared" si="296"/>
        <v>1654.6380064976615</v>
      </c>
      <c r="V231" s="97">
        <f t="shared" si="296"/>
        <v>1532.213775080894</v>
      </c>
      <c r="W231" s="97">
        <f t="shared" ref="W231" si="297">IF(W19=0,0,W79/W19*1000)</f>
        <v>1601.2564656766526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98.450849127926219</v>
      </c>
      <c r="C232" s="97">
        <f t="shared" si="298"/>
        <v>104.97807013725543</v>
      </c>
      <c r="D232" s="97">
        <f t="shared" si="298"/>
        <v>117.37486935363786</v>
      </c>
      <c r="E232" s="97">
        <f t="shared" si="298"/>
        <v>125.16629073547317</v>
      </c>
      <c r="F232" s="97">
        <f t="shared" si="298"/>
        <v>127.87148431823981</v>
      </c>
      <c r="G232" s="97">
        <f t="shared" si="298"/>
        <v>157.47821502396067</v>
      </c>
      <c r="H232" s="97">
        <f t="shared" si="298"/>
        <v>158.11671519964423</v>
      </c>
      <c r="I232" s="97">
        <f t="shared" si="298"/>
        <v>143.73244913288926</v>
      </c>
      <c r="J232" s="97">
        <f t="shared" si="298"/>
        <v>137.73185273687844</v>
      </c>
      <c r="K232" s="97">
        <f t="shared" si="298"/>
        <v>150.23058155841093</v>
      </c>
      <c r="L232" s="97">
        <f t="shared" si="298"/>
        <v>141.06045075699004</v>
      </c>
      <c r="M232" s="97">
        <f t="shared" si="298"/>
        <v>121.88064249613262</v>
      </c>
      <c r="N232" s="97">
        <f t="shared" si="298"/>
        <v>110.17106297668255</v>
      </c>
      <c r="O232" s="97">
        <f t="shared" si="298"/>
        <v>88.867132736800642</v>
      </c>
      <c r="P232" s="97">
        <f t="shared" si="298"/>
        <v>114.89039364531276</v>
      </c>
      <c r="Q232" s="97">
        <f t="shared" si="298"/>
        <v>128.44930886549449</v>
      </c>
      <c r="R232" s="97">
        <f t="shared" si="298"/>
        <v>110.72344105932237</v>
      </c>
      <c r="S232" s="97">
        <f t="shared" si="298"/>
        <v>111.46601023424282</v>
      </c>
      <c r="T232" s="97">
        <f t="shared" si="298"/>
        <v>113.17668226945001</v>
      </c>
      <c r="U232" s="97">
        <f t="shared" si="298"/>
        <v>108.88638863113256</v>
      </c>
      <c r="V232" s="97">
        <f t="shared" si="298"/>
        <v>83.932535331889497</v>
      </c>
      <c r="W232" s="97">
        <f t="shared" ref="W232" si="299">IF(W20=0,0,W80/W20*1000)</f>
        <v>95.676782287697662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4.9259757958193475</v>
      </c>
      <c r="C233" s="130">
        <f t="shared" si="300"/>
        <v>4.8854781600169854</v>
      </c>
      <c r="D233" s="130">
        <f t="shared" si="300"/>
        <v>4.6225282888141228</v>
      </c>
      <c r="E233" s="130">
        <f t="shared" si="300"/>
        <v>4.1605688223719879</v>
      </c>
      <c r="F233" s="130">
        <f t="shared" si="300"/>
        <v>3.6845666106953772</v>
      </c>
      <c r="G233" s="130">
        <f t="shared" si="300"/>
        <v>3.5145846213072613</v>
      </c>
      <c r="H233" s="130">
        <f t="shared" si="300"/>
        <v>3.6214881720457801</v>
      </c>
      <c r="I233" s="130">
        <f t="shared" si="300"/>
        <v>3.6061927151979578</v>
      </c>
      <c r="J233" s="130">
        <f t="shared" si="300"/>
        <v>3.3405717264111803</v>
      </c>
      <c r="K233" s="130">
        <f t="shared" si="300"/>
        <v>3.0931285385385197</v>
      </c>
      <c r="L233" s="130">
        <f t="shared" si="300"/>
        <v>2.6873165370725332</v>
      </c>
      <c r="M233" s="130">
        <f t="shared" si="300"/>
        <v>1.0791194788718923</v>
      </c>
      <c r="N233" s="130">
        <f t="shared" si="300"/>
        <v>2.0028648464947603</v>
      </c>
      <c r="O233" s="130">
        <f t="shared" si="300"/>
        <v>2.2572077392585004</v>
      </c>
      <c r="P233" s="130">
        <f t="shared" si="300"/>
        <v>2.3096130316052683</v>
      </c>
      <c r="Q233" s="130">
        <f t="shared" si="300"/>
        <v>2.0299994803906531</v>
      </c>
      <c r="R233" s="130">
        <f t="shared" si="300"/>
        <v>1.727302363180599</v>
      </c>
      <c r="S233" s="130">
        <f t="shared" si="300"/>
        <v>1.6484743465864025</v>
      </c>
      <c r="T233" s="130">
        <f t="shared" si="300"/>
        <v>2.3026921696795082</v>
      </c>
      <c r="U233" s="130">
        <f t="shared" si="300"/>
        <v>2.1252582797148105</v>
      </c>
      <c r="V233" s="130">
        <f t="shared" si="300"/>
        <v>2.5062964303879527</v>
      </c>
      <c r="W233" s="130">
        <f t="shared" ref="W233" si="301">IF(W21=0,0,W81/W21*1000)</f>
        <v>2.365667923367516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390.07226961560156</v>
      </c>
      <c r="C234" s="130">
        <f t="shared" si="302"/>
        <v>395.92191204544616</v>
      </c>
      <c r="D234" s="130">
        <f t="shared" si="302"/>
        <v>556.70508504729617</v>
      </c>
      <c r="E234" s="130">
        <f t="shared" si="302"/>
        <v>454.65615243922031</v>
      </c>
      <c r="F234" s="130">
        <f t="shared" si="302"/>
        <v>443.47292276472581</v>
      </c>
      <c r="G234" s="130">
        <f t="shared" si="302"/>
        <v>436.46188498156226</v>
      </c>
      <c r="H234" s="130">
        <f t="shared" si="302"/>
        <v>274.16724025657174</v>
      </c>
      <c r="I234" s="130">
        <f t="shared" si="302"/>
        <v>361.2891691397819</v>
      </c>
      <c r="J234" s="130">
        <f t="shared" si="302"/>
        <v>391.03596801243992</v>
      </c>
      <c r="K234" s="130">
        <f t="shared" si="302"/>
        <v>382.86599118104402</v>
      </c>
      <c r="L234" s="130">
        <f t="shared" si="302"/>
        <v>375.02427338584005</v>
      </c>
      <c r="M234" s="130">
        <f t="shared" si="302"/>
        <v>482.28233413104994</v>
      </c>
      <c r="N234" s="130">
        <f t="shared" si="302"/>
        <v>442.47227791364929</v>
      </c>
      <c r="O234" s="130">
        <f t="shared" si="302"/>
        <v>454.53062591118641</v>
      </c>
      <c r="P234" s="130">
        <f t="shared" si="302"/>
        <v>410.03371455657367</v>
      </c>
      <c r="Q234" s="130">
        <f t="shared" si="302"/>
        <v>357.22421405945039</v>
      </c>
      <c r="R234" s="130">
        <f t="shared" si="302"/>
        <v>279.9743805266678</v>
      </c>
      <c r="S234" s="130">
        <f t="shared" si="302"/>
        <v>313.52066445409031</v>
      </c>
      <c r="T234" s="130">
        <f t="shared" si="302"/>
        <v>291.30492994625678</v>
      </c>
      <c r="U234" s="130">
        <f t="shared" si="302"/>
        <v>223.73043614218858</v>
      </c>
      <c r="V234" s="130">
        <f t="shared" si="302"/>
        <v>405.90218389330312</v>
      </c>
      <c r="W234" s="130">
        <f t="shared" ref="W234" si="303">IF(W22=0,0,W82/W22*1000)</f>
        <v>432.75793590681644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746.79514878619921</v>
      </c>
      <c r="C236" s="97">
        <f t="shared" si="306"/>
        <v>710.49457304293753</v>
      </c>
      <c r="D236" s="97">
        <f t="shared" si="306"/>
        <v>756.73019893660717</v>
      </c>
      <c r="E236" s="97">
        <f t="shared" si="306"/>
        <v>627.41813512022122</v>
      </c>
      <c r="F236" s="97">
        <f t="shared" si="306"/>
        <v>583.50635659440184</v>
      </c>
      <c r="G236" s="97">
        <f t="shared" si="306"/>
        <v>539.9816642222321</v>
      </c>
      <c r="H236" s="97">
        <f t="shared" si="306"/>
        <v>634.58949274414113</v>
      </c>
      <c r="I236" s="97">
        <f t="shared" si="306"/>
        <v>633.5705387534997</v>
      </c>
      <c r="J236" s="97">
        <f t="shared" si="306"/>
        <v>764.30307991911593</v>
      </c>
      <c r="K236" s="97">
        <f t="shared" si="306"/>
        <v>695.91505311470075</v>
      </c>
      <c r="L236" s="97">
        <f t="shared" si="306"/>
        <v>724.31450946771542</v>
      </c>
      <c r="M236" s="97">
        <f t="shared" si="306"/>
        <v>675.86202886692433</v>
      </c>
      <c r="N236" s="97">
        <f t="shared" si="306"/>
        <v>511.82357101023968</v>
      </c>
      <c r="O236" s="97">
        <f t="shared" si="306"/>
        <v>545.74815389591754</v>
      </c>
      <c r="P236" s="97">
        <f t="shared" si="306"/>
        <v>492.80647886358935</v>
      </c>
      <c r="Q236" s="97">
        <f t="shared" si="306"/>
        <v>452.33334507061784</v>
      </c>
      <c r="R236" s="97">
        <f t="shared" si="306"/>
        <v>401.79340438793474</v>
      </c>
      <c r="S236" s="97">
        <f t="shared" si="306"/>
        <v>477.66879817849912</v>
      </c>
      <c r="T236" s="97">
        <f t="shared" si="306"/>
        <v>510.13771745360668</v>
      </c>
      <c r="U236" s="97">
        <f t="shared" si="306"/>
        <v>440.83034522204099</v>
      </c>
      <c r="V236" s="97">
        <f t="shared" si="306"/>
        <v>622.80287518053717</v>
      </c>
      <c r="W236" s="97">
        <f t="shared" ref="W236" si="307">IF(W24=0,0,W84/W24*1000)</f>
        <v>764.33933892392054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173.91186265087046</v>
      </c>
      <c r="C237" s="97">
        <f t="shared" si="308"/>
        <v>165.44119119973411</v>
      </c>
      <c r="D237" s="97">
        <f t="shared" si="308"/>
        <v>171.05945504040048</v>
      </c>
      <c r="E237" s="97">
        <f t="shared" si="308"/>
        <v>159.28830911030144</v>
      </c>
      <c r="F237" s="97">
        <f t="shared" si="308"/>
        <v>140.52465368605058</v>
      </c>
      <c r="G237" s="97">
        <f t="shared" si="308"/>
        <v>167.24211238228247</v>
      </c>
      <c r="H237" s="97">
        <f t="shared" si="308"/>
        <v>160.47551004295232</v>
      </c>
      <c r="I237" s="97">
        <f t="shared" si="308"/>
        <v>134.0054896909306</v>
      </c>
      <c r="J237" s="97">
        <f t="shared" si="308"/>
        <v>175.11395538922042</v>
      </c>
      <c r="K237" s="97">
        <f t="shared" si="308"/>
        <v>182.5337177850792</v>
      </c>
      <c r="L237" s="97">
        <f t="shared" si="308"/>
        <v>187.41903058088931</v>
      </c>
      <c r="M237" s="97">
        <f t="shared" si="308"/>
        <v>185.11801775307868</v>
      </c>
      <c r="N237" s="97">
        <f t="shared" si="308"/>
        <v>273.37640357111974</v>
      </c>
      <c r="O237" s="97">
        <f t="shared" si="308"/>
        <v>260.64072324049999</v>
      </c>
      <c r="P237" s="97">
        <f t="shared" si="308"/>
        <v>174.53890370732705</v>
      </c>
      <c r="Q237" s="97">
        <f t="shared" si="308"/>
        <v>130.53136737711844</v>
      </c>
      <c r="R237" s="97">
        <f t="shared" si="308"/>
        <v>109.61528481725381</v>
      </c>
      <c r="S237" s="97">
        <f t="shared" si="308"/>
        <v>108.74947438657159</v>
      </c>
      <c r="T237" s="97">
        <f t="shared" si="308"/>
        <v>81.607592419210135</v>
      </c>
      <c r="U237" s="97">
        <f t="shared" si="308"/>
        <v>83.085155529348071</v>
      </c>
      <c r="V237" s="97">
        <f t="shared" si="308"/>
        <v>214.61542397673364</v>
      </c>
      <c r="W237" s="97">
        <f t="shared" ref="W237" si="309">IF(W25=0,0,W85/W25*1000)</f>
        <v>195.11587022568716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3.5759612121212121</v>
      </c>
      <c r="C238" s="130">
        <f t="shared" si="310"/>
        <v>2.9311696780128793</v>
      </c>
      <c r="D238" s="130">
        <f t="shared" si="310"/>
        <v>4.529232153518123</v>
      </c>
      <c r="E238" s="130">
        <f t="shared" si="310"/>
        <v>18.903559657218192</v>
      </c>
      <c r="F238" s="130">
        <f t="shared" si="310"/>
        <v>3.3469693487394956</v>
      </c>
      <c r="G238" s="130">
        <f t="shared" si="310"/>
        <v>1.5100385971563981</v>
      </c>
      <c r="H238" s="130">
        <f t="shared" si="310"/>
        <v>1.6655417877679037</v>
      </c>
      <c r="I238" s="130">
        <f t="shared" si="310"/>
        <v>1.4070022242314644</v>
      </c>
      <c r="J238" s="130">
        <f t="shared" si="310"/>
        <v>1.3832395199999998</v>
      </c>
      <c r="K238" s="130">
        <f t="shared" si="310"/>
        <v>1.699775488803932</v>
      </c>
      <c r="L238" s="130">
        <f t="shared" si="310"/>
        <v>1.3005804095277891</v>
      </c>
      <c r="M238" s="130">
        <f t="shared" si="310"/>
        <v>1.691461369565217</v>
      </c>
      <c r="N238" s="130">
        <f t="shared" si="310"/>
        <v>9.42139253279516</v>
      </c>
      <c r="O238" s="130">
        <f t="shared" si="310"/>
        <v>8.087791621621621</v>
      </c>
      <c r="P238" s="130">
        <f t="shared" si="310"/>
        <v>10.310988404196578</v>
      </c>
      <c r="Q238" s="130">
        <f t="shared" si="310"/>
        <v>10.237500000000004</v>
      </c>
      <c r="R238" s="130">
        <f t="shared" si="310"/>
        <v>8.0477777620253192</v>
      </c>
      <c r="S238" s="130">
        <f t="shared" si="310"/>
        <v>7.9790969277108452</v>
      </c>
      <c r="T238" s="130">
        <f t="shared" si="310"/>
        <v>9.8845529104477627</v>
      </c>
      <c r="U238" s="130">
        <f t="shared" si="310"/>
        <v>7.4973401320754727</v>
      </c>
      <c r="V238" s="130">
        <f t="shared" si="310"/>
        <v>6.3641886486486481</v>
      </c>
      <c r="W238" s="130">
        <f t="shared" ref="W238" si="311">IF(W26=0,0,W86/W26*1000)</f>
        <v>5.0916550987720237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3.5759612121212121</v>
      </c>
      <c r="C240" s="98">
        <f t="shared" si="314"/>
        <v>2.9311696780128793</v>
      </c>
      <c r="D240" s="98">
        <f t="shared" si="314"/>
        <v>4.529232153518123</v>
      </c>
      <c r="E240" s="98">
        <f t="shared" si="314"/>
        <v>18.903559657218192</v>
      </c>
      <c r="F240" s="98">
        <f t="shared" si="314"/>
        <v>3.3469693487394956</v>
      </c>
      <c r="G240" s="98">
        <f t="shared" si="314"/>
        <v>1.5100385971563981</v>
      </c>
      <c r="H240" s="98">
        <f t="shared" si="314"/>
        <v>1.6655417877679037</v>
      </c>
      <c r="I240" s="98">
        <f t="shared" si="314"/>
        <v>1.4070022242314644</v>
      </c>
      <c r="J240" s="98">
        <f t="shared" si="314"/>
        <v>1.3832395199999998</v>
      </c>
      <c r="K240" s="98">
        <f t="shared" si="314"/>
        <v>1.699775488803932</v>
      </c>
      <c r="L240" s="98">
        <f t="shared" si="314"/>
        <v>1.3005804095277891</v>
      </c>
      <c r="M240" s="98">
        <f t="shared" si="314"/>
        <v>1.691461369565217</v>
      </c>
      <c r="N240" s="98">
        <f t="shared" si="314"/>
        <v>9.42139253279516</v>
      </c>
      <c r="O240" s="98">
        <f t="shared" si="314"/>
        <v>8.087791621621621</v>
      </c>
      <c r="P240" s="98">
        <f t="shared" si="314"/>
        <v>10.310988404196578</v>
      </c>
      <c r="Q240" s="98">
        <f t="shared" si="314"/>
        <v>10.237500000000004</v>
      </c>
      <c r="R240" s="98">
        <f t="shared" si="314"/>
        <v>8.0477777620253192</v>
      </c>
      <c r="S240" s="98">
        <f t="shared" si="314"/>
        <v>7.9790969277108452</v>
      </c>
      <c r="T240" s="98">
        <f t="shared" si="314"/>
        <v>9.8845529104477627</v>
      </c>
      <c r="U240" s="98">
        <f t="shared" si="314"/>
        <v>7.4973401320754727</v>
      </c>
      <c r="V240" s="98">
        <f t="shared" si="314"/>
        <v>6.3641886486486481</v>
      </c>
      <c r="W240" s="98">
        <f t="shared" ref="W240:W243" si="315">IF(W28=0,0,W88/W28*1000)</f>
        <v>5.0916550987720237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0</v>
      </c>
      <c r="C241" s="32">
        <f t="shared" si="316"/>
        <v>0</v>
      </c>
      <c r="D241" s="32">
        <f t="shared" si="316"/>
        <v>0</v>
      </c>
      <c r="E241" s="32">
        <f t="shared" si="316"/>
        <v>0</v>
      </c>
      <c r="F241" s="32">
        <f t="shared" si="316"/>
        <v>0</v>
      </c>
      <c r="G241" s="32">
        <f t="shared" si="316"/>
        <v>0</v>
      </c>
      <c r="H241" s="32">
        <f t="shared" si="316"/>
        <v>0</v>
      </c>
      <c r="I241" s="32">
        <f t="shared" si="316"/>
        <v>0</v>
      </c>
      <c r="J241" s="32">
        <f t="shared" si="316"/>
        <v>0</v>
      </c>
      <c r="K241" s="32">
        <f t="shared" si="316"/>
        <v>0</v>
      </c>
      <c r="L241" s="32">
        <f t="shared" si="316"/>
        <v>0</v>
      </c>
      <c r="M241" s="32">
        <f t="shared" si="316"/>
        <v>0</v>
      </c>
      <c r="N241" s="32">
        <f t="shared" si="316"/>
        <v>0</v>
      </c>
      <c r="O241" s="32">
        <f t="shared" si="316"/>
        <v>0</v>
      </c>
      <c r="P241" s="32">
        <f t="shared" si="316"/>
        <v>0</v>
      </c>
      <c r="Q241" s="32">
        <f t="shared" si="316"/>
        <v>0</v>
      </c>
      <c r="R241" s="32">
        <f t="shared" si="316"/>
        <v>0</v>
      </c>
      <c r="S241" s="32">
        <f t="shared" si="316"/>
        <v>0</v>
      </c>
      <c r="T241" s="32">
        <f t="shared" si="316"/>
        <v>0</v>
      </c>
      <c r="U241" s="32">
        <f t="shared" si="316"/>
        <v>0</v>
      </c>
      <c r="V241" s="32">
        <f t="shared" si="316"/>
        <v>0</v>
      </c>
      <c r="W241" s="32">
        <f t="shared" si="315"/>
        <v>0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0</v>
      </c>
      <c r="C242" s="97">
        <f t="shared" si="317"/>
        <v>0</v>
      </c>
      <c r="D242" s="97">
        <f t="shared" si="317"/>
        <v>0</v>
      </c>
      <c r="E242" s="97">
        <f t="shared" si="317"/>
        <v>0</v>
      </c>
      <c r="F242" s="97">
        <f t="shared" si="317"/>
        <v>0</v>
      </c>
      <c r="G242" s="97">
        <f t="shared" si="317"/>
        <v>0</v>
      </c>
      <c r="H242" s="97">
        <f t="shared" si="317"/>
        <v>0</v>
      </c>
      <c r="I242" s="97">
        <f t="shared" si="317"/>
        <v>0</v>
      </c>
      <c r="J242" s="97">
        <f t="shared" si="317"/>
        <v>0</v>
      </c>
      <c r="K242" s="97">
        <f t="shared" si="317"/>
        <v>0</v>
      </c>
      <c r="L242" s="97">
        <f t="shared" si="317"/>
        <v>0</v>
      </c>
      <c r="M242" s="97">
        <f t="shared" si="317"/>
        <v>0</v>
      </c>
      <c r="N242" s="97">
        <f t="shared" si="317"/>
        <v>0</v>
      </c>
      <c r="O242" s="97">
        <f t="shared" si="317"/>
        <v>0</v>
      </c>
      <c r="P242" s="97">
        <f t="shared" si="317"/>
        <v>0</v>
      </c>
      <c r="Q242" s="97">
        <f t="shared" si="317"/>
        <v>0</v>
      </c>
      <c r="R242" s="97">
        <f t="shared" si="317"/>
        <v>0</v>
      </c>
      <c r="S242" s="97">
        <f t="shared" si="317"/>
        <v>0</v>
      </c>
      <c r="T242" s="97">
        <f t="shared" si="317"/>
        <v>0</v>
      </c>
      <c r="U242" s="97">
        <f t="shared" si="317"/>
        <v>0</v>
      </c>
      <c r="V242" s="97">
        <f t="shared" si="317"/>
        <v>0</v>
      </c>
      <c r="W242" s="97">
        <f t="shared" si="315"/>
        <v>0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0</v>
      </c>
      <c r="C243" s="98">
        <f t="shared" si="318"/>
        <v>0</v>
      </c>
      <c r="D243" s="98">
        <f t="shared" si="318"/>
        <v>0</v>
      </c>
      <c r="E243" s="98">
        <f t="shared" si="318"/>
        <v>0</v>
      </c>
      <c r="F243" s="98">
        <f t="shared" si="318"/>
        <v>0</v>
      </c>
      <c r="G243" s="98">
        <f t="shared" si="318"/>
        <v>0</v>
      </c>
      <c r="H243" s="98">
        <f t="shared" si="318"/>
        <v>0</v>
      </c>
      <c r="I243" s="98">
        <f t="shared" si="318"/>
        <v>0</v>
      </c>
      <c r="J243" s="98">
        <f t="shared" si="318"/>
        <v>0</v>
      </c>
      <c r="K243" s="98">
        <f t="shared" si="318"/>
        <v>0</v>
      </c>
      <c r="L243" s="98">
        <f t="shared" si="318"/>
        <v>0</v>
      </c>
      <c r="M243" s="98">
        <f t="shared" si="318"/>
        <v>0</v>
      </c>
      <c r="N243" s="98">
        <f t="shared" si="318"/>
        <v>0</v>
      </c>
      <c r="O243" s="98">
        <f t="shared" si="318"/>
        <v>0</v>
      </c>
      <c r="P243" s="98">
        <f t="shared" si="318"/>
        <v>0</v>
      </c>
      <c r="Q243" s="98">
        <f t="shared" si="318"/>
        <v>0</v>
      </c>
      <c r="R243" s="98">
        <f t="shared" si="318"/>
        <v>0</v>
      </c>
      <c r="S243" s="98">
        <f t="shared" si="318"/>
        <v>0</v>
      </c>
      <c r="T243" s="98">
        <f t="shared" si="318"/>
        <v>0</v>
      </c>
      <c r="U243" s="98">
        <f t="shared" si="318"/>
        <v>0</v>
      </c>
      <c r="V243" s="98">
        <f t="shared" si="318"/>
        <v>0</v>
      </c>
      <c r="W243" s="98">
        <f t="shared" si="315"/>
        <v>0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65193.702118356399</v>
      </c>
      <c r="C4" s="29">
        <f t="shared" si="0"/>
        <v>65084.49126739068</v>
      </c>
      <c r="D4" s="29">
        <f t="shared" si="0"/>
        <v>65499.209666767027</v>
      </c>
      <c r="E4" s="29">
        <f t="shared" si="0"/>
        <v>66543.365973298351</v>
      </c>
      <c r="F4" s="29">
        <f t="shared" si="0"/>
        <v>67695.612275086969</v>
      </c>
      <c r="G4" s="29">
        <f t="shared" si="0"/>
        <v>67625.715777416248</v>
      </c>
      <c r="H4" s="29">
        <f t="shared" si="0"/>
        <v>70645.624829271823</v>
      </c>
      <c r="I4" s="29">
        <f t="shared" si="0"/>
        <v>71509.586913511564</v>
      </c>
      <c r="J4" s="29">
        <f t="shared" si="0"/>
        <v>72095.122032512372</v>
      </c>
      <c r="K4" s="29">
        <f t="shared" si="0"/>
        <v>71123.600901338519</v>
      </c>
      <c r="L4" s="29">
        <f t="shared" ref="L4" si="1">L5+L6+L13</f>
        <v>69493.747839134478</v>
      </c>
      <c r="M4" s="29">
        <f t="shared" ref="M4:V4" si="2">M5+M6+M13</f>
        <v>69159.684183059086</v>
      </c>
      <c r="N4" s="29">
        <f t="shared" si="2"/>
        <v>69329.698160851316</v>
      </c>
      <c r="O4" s="29">
        <f t="shared" si="2"/>
        <v>69453.385856853987</v>
      </c>
      <c r="P4" s="29">
        <f t="shared" si="2"/>
        <v>70846.858773933505</v>
      </c>
      <c r="Q4" s="29">
        <f t="shared" si="2"/>
        <v>72914.728165758643</v>
      </c>
      <c r="R4" s="29">
        <f t="shared" si="2"/>
        <v>74994.987718796285</v>
      </c>
      <c r="S4" s="29">
        <f t="shared" si="2"/>
        <v>79480.498329813825</v>
      </c>
      <c r="T4" s="29">
        <f t="shared" si="2"/>
        <v>83367.775881056412</v>
      </c>
      <c r="U4" s="29">
        <f t="shared" si="2"/>
        <v>86379.523498495808</v>
      </c>
      <c r="V4" s="29">
        <f t="shared" si="2"/>
        <v>76867.505749793563</v>
      </c>
      <c r="W4" s="29">
        <f t="shared" ref="W4" si="3">W5+W6+W13</f>
        <v>80117.079958476825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281.7021183563993</v>
      </c>
      <c r="C5" s="152">
        <f t="shared" si="4"/>
        <v>287.4912673906814</v>
      </c>
      <c r="D5" s="152">
        <f t="shared" si="4"/>
        <v>301.20966676701914</v>
      </c>
      <c r="E5" s="152">
        <f t="shared" si="4"/>
        <v>319.36597329835098</v>
      </c>
      <c r="F5" s="152">
        <f t="shared" si="4"/>
        <v>351.61227508697016</v>
      </c>
      <c r="G5" s="152">
        <f t="shared" si="4"/>
        <v>377.71577741625606</v>
      </c>
      <c r="H5" s="152">
        <f t="shared" si="4"/>
        <v>400.62482927181412</v>
      </c>
      <c r="I5" s="152">
        <f t="shared" si="4"/>
        <v>418.58691351157313</v>
      </c>
      <c r="J5" s="152">
        <f t="shared" si="4"/>
        <v>436.12203251236866</v>
      </c>
      <c r="K5" s="152">
        <f t="shared" si="4"/>
        <v>437.60090133852071</v>
      </c>
      <c r="L5" s="152">
        <f t="shared" ref="L5:L7" si="5">IF(L32=0,0,L32*L142)</f>
        <v>437.74783913448505</v>
      </c>
      <c r="M5" s="152">
        <f t="shared" ref="M5:V5" si="6">IF(M32=0,0,M32*M142)</f>
        <v>452.97958305907258</v>
      </c>
      <c r="N5" s="152">
        <f t="shared" si="6"/>
        <v>462.34776085132393</v>
      </c>
      <c r="O5" s="152">
        <f t="shared" si="6"/>
        <v>479.55045685397363</v>
      </c>
      <c r="P5" s="152">
        <f t="shared" si="6"/>
        <v>493.79387393351038</v>
      </c>
      <c r="Q5" s="152">
        <f t="shared" si="6"/>
        <v>498.55166575863853</v>
      </c>
      <c r="R5" s="152">
        <f t="shared" si="6"/>
        <v>496.05421879628278</v>
      </c>
      <c r="S5" s="152">
        <f t="shared" si="6"/>
        <v>524.28352981383102</v>
      </c>
      <c r="T5" s="152">
        <f t="shared" si="6"/>
        <v>553.27588105642462</v>
      </c>
      <c r="U5" s="152">
        <f t="shared" si="6"/>
        <v>567.26949849582786</v>
      </c>
      <c r="V5" s="152">
        <f t="shared" si="6"/>
        <v>522.50574979356088</v>
      </c>
      <c r="W5" s="152">
        <f t="shared" ref="W5" si="7">IF(W32=0,0,W32*W142)</f>
        <v>532.31795847682099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46180</v>
      </c>
      <c r="C6" s="116">
        <f t="shared" si="8"/>
        <v>46180</v>
      </c>
      <c r="D6" s="116">
        <f t="shared" si="8"/>
        <v>46300</v>
      </c>
      <c r="E6" s="116">
        <f t="shared" si="8"/>
        <v>47517</v>
      </c>
      <c r="F6" s="116">
        <f t="shared" si="8"/>
        <v>49121</v>
      </c>
      <c r="G6" s="116">
        <f t="shared" si="8"/>
        <v>49403</v>
      </c>
      <c r="H6" s="116">
        <f t="shared" si="8"/>
        <v>52315</v>
      </c>
      <c r="I6" s="116">
        <f t="shared" si="8"/>
        <v>53946</v>
      </c>
      <c r="J6" s="116">
        <f t="shared" si="8"/>
        <v>54005</v>
      </c>
      <c r="K6" s="116">
        <f t="shared" si="8"/>
        <v>54396</v>
      </c>
      <c r="L6" s="116">
        <f t="shared" ref="L6" si="9">SUM(L7:L12)</f>
        <v>52595</v>
      </c>
      <c r="M6" s="116">
        <f t="shared" ref="M6:V6" si="10">SUM(M7:M12)</f>
        <v>52251.000000000007</v>
      </c>
      <c r="N6" s="116">
        <f t="shared" si="10"/>
        <v>51793</v>
      </c>
      <c r="O6" s="116">
        <f t="shared" si="10"/>
        <v>51824.000000000007</v>
      </c>
      <c r="P6" s="116">
        <f t="shared" si="10"/>
        <v>52723</v>
      </c>
      <c r="Q6" s="116">
        <f t="shared" si="10"/>
        <v>54603</v>
      </c>
      <c r="R6" s="116">
        <f t="shared" si="10"/>
        <v>56676.999999999993</v>
      </c>
      <c r="S6" s="116">
        <f t="shared" si="10"/>
        <v>60645</v>
      </c>
      <c r="T6" s="116">
        <f t="shared" si="10"/>
        <v>63946.999999999993</v>
      </c>
      <c r="U6" s="116">
        <f t="shared" si="10"/>
        <v>67033.999999999985</v>
      </c>
      <c r="V6" s="116">
        <f t="shared" si="10"/>
        <v>63921</v>
      </c>
      <c r="W6" s="116">
        <f t="shared" ref="W6" si="11">SUM(W7:W12)</f>
        <v>67394.762000000002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39432.927813446811</v>
      </c>
      <c r="C7" s="87">
        <f t="shared" si="12"/>
        <v>38977.089859940716</v>
      </c>
      <c r="D7" s="87">
        <f t="shared" si="12"/>
        <v>38340.968280583729</v>
      </c>
      <c r="E7" s="87">
        <f t="shared" si="12"/>
        <v>37641.132217689177</v>
      </c>
      <c r="F7" s="87">
        <f t="shared" si="12"/>
        <v>37589.908649457007</v>
      </c>
      <c r="G7" s="87">
        <f t="shared" si="12"/>
        <v>39775.977053404597</v>
      </c>
      <c r="H7" s="87">
        <f t="shared" si="12"/>
        <v>39370.519814534004</v>
      </c>
      <c r="I7" s="87">
        <f t="shared" si="12"/>
        <v>39670.485168118314</v>
      </c>
      <c r="J7" s="87">
        <f t="shared" si="12"/>
        <v>38752.018117536027</v>
      </c>
      <c r="K7" s="87">
        <f t="shared" si="12"/>
        <v>38836.278108875034</v>
      </c>
      <c r="L7" s="87">
        <f t="shared" si="5"/>
        <v>35611.332106185175</v>
      </c>
      <c r="M7" s="87">
        <f t="shared" ref="M7:V7" si="13">IF(M34=0,0,M34*M144)</f>
        <v>33486.651526840731</v>
      </c>
      <c r="N7" s="87">
        <f t="shared" si="13"/>
        <v>32450.834168760488</v>
      </c>
      <c r="O7" s="87">
        <f t="shared" si="13"/>
        <v>31270.970584682858</v>
      </c>
      <c r="P7" s="87">
        <f t="shared" si="13"/>
        <v>33175.460571780452</v>
      </c>
      <c r="Q7" s="87">
        <f t="shared" si="13"/>
        <v>33039.363195754195</v>
      </c>
      <c r="R7" s="87">
        <f t="shared" si="13"/>
        <v>32607.474216898074</v>
      </c>
      <c r="S7" s="87">
        <f t="shared" si="13"/>
        <v>33829.832579694186</v>
      </c>
      <c r="T7" s="87">
        <f t="shared" si="13"/>
        <v>34881.65992691421</v>
      </c>
      <c r="U7" s="87">
        <f t="shared" si="13"/>
        <v>35740.448857682735</v>
      </c>
      <c r="V7" s="87">
        <f t="shared" si="13"/>
        <v>34123.372546513194</v>
      </c>
      <c r="W7" s="87">
        <f t="shared" ref="W7" si="14">IF(W34=0,0,W34*W144)</f>
        <v>35330.82041642673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6747.0721865531887</v>
      </c>
      <c r="C8" s="87">
        <f t="shared" si="15"/>
        <v>7148.4374261972989</v>
      </c>
      <c r="D8" s="87">
        <f t="shared" si="15"/>
        <v>7906.9468893960284</v>
      </c>
      <c r="E8" s="87">
        <f t="shared" si="15"/>
        <v>9004.7999724726687</v>
      </c>
      <c r="F8" s="87">
        <f t="shared" si="15"/>
        <v>10726.915792242944</v>
      </c>
      <c r="G8" s="87">
        <f t="shared" si="15"/>
        <v>8838.0849256374931</v>
      </c>
      <c r="H8" s="87">
        <f t="shared" si="15"/>
        <v>12174.671264432232</v>
      </c>
      <c r="I8" s="87">
        <f t="shared" si="15"/>
        <v>13468.200133598257</v>
      </c>
      <c r="J8" s="87">
        <f t="shared" si="15"/>
        <v>14504.906403556459</v>
      </c>
      <c r="K8" s="87">
        <f t="shared" si="15"/>
        <v>14935.609884039259</v>
      </c>
      <c r="L8" s="87">
        <f t="shared" ref="L8" si="16">IF(L35=0,0,L35*L145)</f>
        <v>16380.965259358549</v>
      </c>
      <c r="M8" s="87">
        <f t="shared" ref="M8:V8" si="17">IF(M35=0,0,M35*M145)</f>
        <v>18130.205156790125</v>
      </c>
      <c r="N8" s="87">
        <f t="shared" si="17"/>
        <v>18691.220792267784</v>
      </c>
      <c r="O8" s="87">
        <f t="shared" si="17"/>
        <v>19830.527851159739</v>
      </c>
      <c r="P8" s="87">
        <f t="shared" si="17"/>
        <v>18764.908607661782</v>
      </c>
      <c r="Q8" s="87">
        <f t="shared" si="17"/>
        <v>20723.038602730303</v>
      </c>
      <c r="R8" s="87">
        <f t="shared" si="17"/>
        <v>23206.973645055863</v>
      </c>
      <c r="S8" s="87">
        <f t="shared" si="17"/>
        <v>25940.453030575583</v>
      </c>
      <c r="T8" s="87">
        <f t="shared" si="17"/>
        <v>28225.79343590029</v>
      </c>
      <c r="U8" s="87">
        <f t="shared" si="17"/>
        <v>30514.274103202781</v>
      </c>
      <c r="V8" s="87">
        <f t="shared" si="17"/>
        <v>29128.646301318564</v>
      </c>
      <c r="W8" s="87">
        <f t="shared" ref="W8" si="18">IF(W35=0,0,W35*W145)</f>
        <v>31368.933800169729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54.472713861986804</v>
      </c>
      <c r="D9" s="87">
        <f t="shared" si="19"/>
        <v>52.084830020237987</v>
      </c>
      <c r="E9" s="87">
        <f t="shared" si="19"/>
        <v>871.06780983815224</v>
      </c>
      <c r="F9" s="87">
        <f t="shared" si="19"/>
        <v>804.17555830004551</v>
      </c>
      <c r="G9" s="87">
        <f t="shared" si="19"/>
        <v>788.93802095790682</v>
      </c>
      <c r="H9" s="87">
        <f t="shared" si="19"/>
        <v>769.80892103376743</v>
      </c>
      <c r="I9" s="87">
        <f t="shared" si="19"/>
        <v>807.31469828343086</v>
      </c>
      <c r="J9" s="87">
        <f t="shared" si="19"/>
        <v>748.07547890751425</v>
      </c>
      <c r="K9" s="87">
        <f t="shared" si="19"/>
        <v>624.11200708570766</v>
      </c>
      <c r="L9" s="87">
        <f t="shared" ref="L9" si="20">IF(L36=0,0,L36*L146)</f>
        <v>600.67674370346811</v>
      </c>
      <c r="M9" s="87">
        <f t="shared" ref="M9:V9" si="21">IF(M36=0,0,M36*M146)</f>
        <v>627.94461133299842</v>
      </c>
      <c r="N9" s="87">
        <f t="shared" si="21"/>
        <v>644.81736363483401</v>
      </c>
      <c r="O9" s="87">
        <f t="shared" si="21"/>
        <v>710.22051398371116</v>
      </c>
      <c r="P9" s="87">
        <f t="shared" si="21"/>
        <v>766.14679050112068</v>
      </c>
      <c r="Q9" s="87">
        <f t="shared" si="21"/>
        <v>806.47291356662436</v>
      </c>
      <c r="R9" s="87">
        <f t="shared" si="21"/>
        <v>821.12610979117119</v>
      </c>
      <c r="S9" s="87">
        <f t="shared" si="21"/>
        <v>812.30156339130474</v>
      </c>
      <c r="T9" s="87">
        <f t="shared" si="21"/>
        <v>745.34089072177085</v>
      </c>
      <c r="U9" s="87">
        <f t="shared" si="21"/>
        <v>647.96797739503336</v>
      </c>
      <c r="V9" s="87">
        <f t="shared" si="21"/>
        <v>469.96721327370898</v>
      </c>
      <c r="W9" s="87">
        <f t="shared" ref="W9" si="22">IF(W36=0,0,W36*W146)</f>
        <v>341.71351748791307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3.0817103665633252E-2</v>
      </c>
      <c r="M10" s="87">
        <f t="shared" ref="M10:V10" si="25">IF(M37=0,0,M37*M147)</f>
        <v>5.3773501191674775E-2</v>
      </c>
      <c r="N10" s="87">
        <f t="shared" si="25"/>
        <v>4.027739058715487E-2</v>
      </c>
      <c r="O10" s="87">
        <f t="shared" si="25"/>
        <v>5.9315403434244311</v>
      </c>
      <c r="P10" s="87">
        <f t="shared" si="25"/>
        <v>9.6594021927362874</v>
      </c>
      <c r="Q10" s="87">
        <f t="shared" si="25"/>
        <v>25.186667247318887</v>
      </c>
      <c r="R10" s="87">
        <f t="shared" si="25"/>
        <v>27.572987552739349</v>
      </c>
      <c r="S10" s="87">
        <f t="shared" si="25"/>
        <v>31.222915673457798</v>
      </c>
      <c r="T10" s="87">
        <f t="shared" si="25"/>
        <v>32.724216668931106</v>
      </c>
      <c r="U10" s="87">
        <f t="shared" si="25"/>
        <v>32.778583005379929</v>
      </c>
      <c r="V10" s="87">
        <f t="shared" si="25"/>
        <v>29.531431947393866</v>
      </c>
      <c r="W10" s="87">
        <f t="shared" ref="W10" si="26">IF(W37=0,0,W37*W147)</f>
        <v>30.293453999499029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0.22944314053528775</v>
      </c>
      <c r="O11" s="87">
        <f t="shared" si="29"/>
        <v>0.23476781436255614</v>
      </c>
      <c r="P11" s="87">
        <f t="shared" si="29"/>
        <v>0.59254175115018759</v>
      </c>
      <c r="Q11" s="87">
        <f t="shared" si="29"/>
        <v>1.5760796967375577</v>
      </c>
      <c r="R11" s="87">
        <f t="shared" si="29"/>
        <v>4.4014437464889946</v>
      </c>
      <c r="S11" s="87">
        <f t="shared" si="29"/>
        <v>7.8914157106374008</v>
      </c>
      <c r="T11" s="87">
        <f t="shared" si="29"/>
        <v>18.424058200469418</v>
      </c>
      <c r="U11" s="87">
        <f t="shared" si="29"/>
        <v>29.870835671062107</v>
      </c>
      <c r="V11" s="87">
        <f t="shared" si="29"/>
        <v>60.822055253807108</v>
      </c>
      <c r="W11" s="87">
        <f t="shared" ref="W11" si="30">IF(W38=0,0,W38*W148)</f>
        <v>126.78282134218848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1.9950736491431811</v>
      </c>
      <c r="M12" s="87">
        <f t="shared" ref="M12:V12" si="33">IF(M39=0,0,M39*M149)</f>
        <v>6.144931534960409</v>
      </c>
      <c r="N12" s="87">
        <f t="shared" si="33"/>
        <v>5.8579548057643507</v>
      </c>
      <c r="O12" s="87">
        <f t="shared" si="33"/>
        <v>6.1147420159101431</v>
      </c>
      <c r="P12" s="87">
        <f t="shared" si="33"/>
        <v>6.2320861127516149</v>
      </c>
      <c r="Q12" s="87">
        <f t="shared" si="33"/>
        <v>7.3625410048189339</v>
      </c>
      <c r="R12" s="87">
        <f t="shared" si="33"/>
        <v>9.4515969556593085</v>
      </c>
      <c r="S12" s="87">
        <f t="shared" si="33"/>
        <v>23.298494954823166</v>
      </c>
      <c r="T12" s="87">
        <f t="shared" si="33"/>
        <v>43.057471594324049</v>
      </c>
      <c r="U12" s="87">
        <f t="shared" si="33"/>
        <v>68.659643043008444</v>
      </c>
      <c r="V12" s="87">
        <f t="shared" si="33"/>
        <v>108.66045169333853</v>
      </c>
      <c r="W12" s="87">
        <f t="shared" ref="W12" si="34">IF(W39=0,0,W39*W149)</f>
        <v>196.21799057394486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18732</v>
      </c>
      <c r="C13" s="116">
        <f t="shared" si="35"/>
        <v>18617</v>
      </c>
      <c r="D13" s="116">
        <f t="shared" si="35"/>
        <v>18898.000000000004</v>
      </c>
      <c r="E13" s="116">
        <f t="shared" si="35"/>
        <v>18706.999999999996</v>
      </c>
      <c r="F13" s="116">
        <f t="shared" si="35"/>
        <v>18223</v>
      </c>
      <c r="G13" s="116">
        <f t="shared" si="35"/>
        <v>17845</v>
      </c>
      <c r="H13" s="116">
        <f t="shared" si="35"/>
        <v>17930.000000000007</v>
      </c>
      <c r="I13" s="116">
        <f t="shared" si="35"/>
        <v>17145</v>
      </c>
      <c r="J13" s="116">
        <f t="shared" si="35"/>
        <v>17654</v>
      </c>
      <c r="K13" s="116">
        <f t="shared" si="35"/>
        <v>16290</v>
      </c>
      <c r="L13" s="116">
        <f t="shared" ref="L13" si="36">SUM(L14:L18)</f>
        <v>16461</v>
      </c>
      <c r="M13" s="116">
        <f t="shared" ref="M13:V13" si="37">SUM(M14:M18)</f>
        <v>16455.704600000001</v>
      </c>
      <c r="N13" s="116">
        <f t="shared" si="37"/>
        <v>17074.350399999999</v>
      </c>
      <c r="O13" s="116">
        <f t="shared" si="37"/>
        <v>17149.8354</v>
      </c>
      <c r="P13" s="116">
        <f t="shared" si="37"/>
        <v>17630.064900000001</v>
      </c>
      <c r="Q13" s="116">
        <f t="shared" si="37"/>
        <v>17813.176500000001</v>
      </c>
      <c r="R13" s="116">
        <f t="shared" si="37"/>
        <v>17821.933500000003</v>
      </c>
      <c r="S13" s="116">
        <f t="shared" si="37"/>
        <v>18311.214800000002</v>
      </c>
      <c r="T13" s="116">
        <f t="shared" si="37"/>
        <v>18867.5</v>
      </c>
      <c r="U13" s="116">
        <f t="shared" si="37"/>
        <v>18778.254000000001</v>
      </c>
      <c r="V13" s="116">
        <f t="shared" si="37"/>
        <v>12424</v>
      </c>
      <c r="W13" s="116">
        <f t="shared" ref="W13" si="38">SUM(W14:W18)</f>
        <v>12190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353.15076031307842</v>
      </c>
      <c r="C14" s="101">
        <f t="shared" si="39"/>
        <v>320.85562044791538</v>
      </c>
      <c r="D14" s="101">
        <f t="shared" si="39"/>
        <v>294.60684232583571</v>
      </c>
      <c r="E14" s="101">
        <f t="shared" si="39"/>
        <v>261.98059158466708</v>
      </c>
      <c r="F14" s="101">
        <f t="shared" si="39"/>
        <v>232.55589302006629</v>
      </c>
      <c r="G14" s="101">
        <f t="shared" si="39"/>
        <v>199.94242337356602</v>
      </c>
      <c r="H14" s="101">
        <f t="shared" si="39"/>
        <v>158.07794530192677</v>
      </c>
      <c r="I14" s="101">
        <f t="shared" si="39"/>
        <v>126.24968829433938</v>
      </c>
      <c r="J14" s="101">
        <f t="shared" si="39"/>
        <v>118.50215908803195</v>
      </c>
      <c r="K14" s="101">
        <f t="shared" si="39"/>
        <v>90.953705606685602</v>
      </c>
      <c r="L14" s="101">
        <f t="shared" ref="L14" si="40">IF(L41=0,0,L41*L151)</f>
        <v>74.592140456041477</v>
      </c>
      <c r="M14" s="101">
        <f t="shared" ref="M14:V14" si="41">IF(M41=0,0,M41*M151)</f>
        <v>59.251610251697393</v>
      </c>
      <c r="N14" s="101">
        <f t="shared" si="41"/>
        <v>51.495182788869897</v>
      </c>
      <c r="O14" s="101">
        <f t="shared" si="41"/>
        <v>50.73896437495106</v>
      </c>
      <c r="P14" s="101">
        <f t="shared" si="41"/>
        <v>45.072198365689594</v>
      </c>
      <c r="Q14" s="101">
        <f t="shared" si="41"/>
        <v>34.983278293947734</v>
      </c>
      <c r="R14" s="101">
        <f t="shared" si="41"/>
        <v>22.761753598408305</v>
      </c>
      <c r="S14" s="101">
        <f t="shared" si="41"/>
        <v>19.433358906501862</v>
      </c>
      <c r="T14" s="101">
        <f t="shared" si="41"/>
        <v>19.043021264128505</v>
      </c>
      <c r="U14" s="101">
        <f t="shared" si="41"/>
        <v>18.092891001256572</v>
      </c>
      <c r="V14" s="101">
        <f t="shared" si="41"/>
        <v>13.937511356717041</v>
      </c>
      <c r="W14" s="101">
        <f t="shared" ref="W14" si="42">IF(W41=0,0,W41*W151)</f>
        <v>12.588232792018351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17960.813069012547</v>
      </c>
      <c r="C15" s="101">
        <f t="shared" si="43"/>
        <v>17882.038037428687</v>
      </c>
      <c r="D15" s="101">
        <f t="shared" si="43"/>
        <v>18177.744390616925</v>
      </c>
      <c r="E15" s="101">
        <f t="shared" si="43"/>
        <v>18013.636620286939</v>
      </c>
      <c r="F15" s="101">
        <f t="shared" si="43"/>
        <v>17561.732582189881</v>
      </c>
      <c r="G15" s="101">
        <f t="shared" si="43"/>
        <v>17331.441884698965</v>
      </c>
      <c r="H15" s="101">
        <f t="shared" si="43"/>
        <v>17508.232259550212</v>
      </c>
      <c r="I15" s="101">
        <f t="shared" si="43"/>
        <v>16812.826120193709</v>
      </c>
      <c r="J15" s="101">
        <f t="shared" si="43"/>
        <v>17356.244692081065</v>
      </c>
      <c r="K15" s="101">
        <f t="shared" si="43"/>
        <v>16049.504624313817</v>
      </c>
      <c r="L15" s="101">
        <f t="shared" ref="L15" si="44">IF(L42=0,0,L42*L152)</f>
        <v>16279.004101942075</v>
      </c>
      <c r="M15" s="101">
        <f t="shared" ref="M15:V15" si="45">IF(M42=0,0,M42*M152)</f>
        <v>16313.067935398883</v>
      </c>
      <c r="N15" s="101">
        <f t="shared" si="45"/>
        <v>16925.886025797445</v>
      </c>
      <c r="O15" s="101">
        <f t="shared" si="45"/>
        <v>17037.099424094995</v>
      </c>
      <c r="P15" s="101">
        <f t="shared" si="45"/>
        <v>17507.582978560262</v>
      </c>
      <c r="Q15" s="101">
        <f t="shared" si="45"/>
        <v>17541.923950504948</v>
      </c>
      <c r="R15" s="101">
        <f t="shared" si="45"/>
        <v>17420.208668467865</v>
      </c>
      <c r="S15" s="101">
        <f t="shared" si="45"/>
        <v>17861.890797197491</v>
      </c>
      <c r="T15" s="101">
        <f t="shared" si="45"/>
        <v>18407.165794990175</v>
      </c>
      <c r="U15" s="101">
        <f t="shared" si="45"/>
        <v>18346.525136904987</v>
      </c>
      <c r="V15" s="101">
        <f t="shared" si="45"/>
        <v>12101.778182724287</v>
      </c>
      <c r="W15" s="101">
        <f t="shared" ref="W15" si="46">IF(W42=0,0,W42*W152)</f>
        <v>11876.045025554598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0.59577100419097395</v>
      </c>
      <c r="Q16" s="101">
        <f t="shared" si="49"/>
        <v>0.60430971032822189</v>
      </c>
      <c r="R16" s="101">
        <f t="shared" si="49"/>
        <v>1.1625630506843772</v>
      </c>
      <c r="S16" s="101">
        <f t="shared" si="49"/>
        <v>1.1569290051971299</v>
      </c>
      <c r="T16" s="101">
        <f t="shared" si="49"/>
        <v>1.1447100333174556</v>
      </c>
      <c r="U16" s="101">
        <f t="shared" si="49"/>
        <v>1.0982835101195945</v>
      </c>
      <c r="V16" s="101">
        <f t="shared" si="49"/>
        <v>0.81401841711188105</v>
      </c>
      <c r="W16" s="101">
        <f t="shared" ref="W16" si="50">IF(W43=0,0,W43*W153)</f>
        <v>0.74938267074679177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103.75252020225255</v>
      </c>
      <c r="C17" s="101">
        <f t="shared" si="51"/>
        <v>111.10355977384903</v>
      </c>
      <c r="D17" s="101">
        <f t="shared" si="51"/>
        <v>118.92491908305963</v>
      </c>
      <c r="E17" s="101">
        <f t="shared" si="51"/>
        <v>125.12786579347436</v>
      </c>
      <c r="F17" s="101">
        <f t="shared" si="51"/>
        <v>126.33714898169809</v>
      </c>
      <c r="G17" s="101">
        <f t="shared" si="51"/>
        <v>145.47761062980609</v>
      </c>
      <c r="H17" s="101">
        <f t="shared" si="51"/>
        <v>133.22967110507932</v>
      </c>
      <c r="I17" s="101">
        <f t="shared" si="51"/>
        <v>104.77408140295657</v>
      </c>
      <c r="J17" s="101">
        <f t="shared" si="51"/>
        <v>88.207266123185491</v>
      </c>
      <c r="K17" s="101">
        <f t="shared" si="51"/>
        <v>80.779485174211061</v>
      </c>
      <c r="L17" s="101">
        <f t="shared" ref="L17" si="52">IF(L44=0,0,L44*L154)</f>
        <v>54.104707582442678</v>
      </c>
      <c r="M17" s="101">
        <f t="shared" ref="M17:V17" si="53">IF(M44=0,0,M44*M154)</f>
        <v>42.445659465929715</v>
      </c>
      <c r="N17" s="101">
        <f t="shared" si="53"/>
        <v>65.537132102567838</v>
      </c>
      <c r="O17" s="101">
        <f t="shared" si="53"/>
        <v>38.325933627028355</v>
      </c>
      <c r="P17" s="101">
        <f t="shared" si="53"/>
        <v>58.766743104873683</v>
      </c>
      <c r="Q17" s="101">
        <f t="shared" si="53"/>
        <v>198.20568354601326</v>
      </c>
      <c r="R17" s="101">
        <f t="shared" si="53"/>
        <v>339.12247156056986</v>
      </c>
      <c r="S17" s="101">
        <f t="shared" si="53"/>
        <v>391.86513806110548</v>
      </c>
      <c r="T17" s="101">
        <f t="shared" si="53"/>
        <v>401.63374989244858</v>
      </c>
      <c r="U17" s="101">
        <f t="shared" si="53"/>
        <v>374.42856551449324</v>
      </c>
      <c r="V17" s="101">
        <f t="shared" si="53"/>
        <v>260.099551609233</v>
      </c>
      <c r="W17" s="101">
        <f t="shared" ref="W17" si="54">IF(W44=0,0,W44*W154)</f>
        <v>217.81598703505435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314.2836504721223</v>
      </c>
      <c r="C18" s="101">
        <f t="shared" si="55"/>
        <v>303.00278234954959</v>
      </c>
      <c r="D18" s="101">
        <f t="shared" si="55"/>
        <v>306.72384797418101</v>
      </c>
      <c r="E18" s="101">
        <f t="shared" si="55"/>
        <v>306.25492233491724</v>
      </c>
      <c r="F18" s="101">
        <f t="shared" si="55"/>
        <v>302.37437580835308</v>
      </c>
      <c r="G18" s="101">
        <f t="shared" si="55"/>
        <v>168.13808129766403</v>
      </c>
      <c r="H18" s="101">
        <f t="shared" si="55"/>
        <v>130.46012404278585</v>
      </c>
      <c r="I18" s="101">
        <f t="shared" si="55"/>
        <v>101.15011010899519</v>
      </c>
      <c r="J18" s="101">
        <f t="shared" si="55"/>
        <v>91.045882707716729</v>
      </c>
      <c r="K18" s="101">
        <f t="shared" si="55"/>
        <v>68.762184905286219</v>
      </c>
      <c r="L18" s="101">
        <f t="shared" ref="L18" si="56">IF(L45=0,0,L45*L155)</f>
        <v>53.299050019440713</v>
      </c>
      <c r="M18" s="101">
        <f t="shared" ref="M18:V18" si="57">IF(M45=0,0,M45*M155)</f>
        <v>40.939394883489562</v>
      </c>
      <c r="N18" s="101">
        <f t="shared" si="57"/>
        <v>31.432059311117108</v>
      </c>
      <c r="O18" s="101">
        <f t="shared" si="57"/>
        <v>23.671077903026301</v>
      </c>
      <c r="P18" s="101">
        <f t="shared" si="57"/>
        <v>18.04720896498462</v>
      </c>
      <c r="Q18" s="101">
        <f t="shared" si="57"/>
        <v>37.459277944763521</v>
      </c>
      <c r="R18" s="101">
        <f t="shared" si="57"/>
        <v>38.678043322469698</v>
      </c>
      <c r="S18" s="101">
        <f t="shared" si="57"/>
        <v>36.868576829705582</v>
      </c>
      <c r="T18" s="101">
        <f t="shared" si="57"/>
        <v>38.512723819930237</v>
      </c>
      <c r="U18" s="101">
        <f t="shared" si="57"/>
        <v>38.109123069144239</v>
      </c>
      <c r="V18" s="101">
        <f t="shared" si="57"/>
        <v>47.370735892651531</v>
      </c>
      <c r="W18" s="101">
        <f t="shared" ref="W18" si="58">IF(W45=0,0,W45*W155)</f>
        <v>82.801371947582226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20474.156292410626</v>
      </c>
      <c r="C19" s="29">
        <f t="shared" si="59"/>
        <v>20749.331626876683</v>
      </c>
      <c r="D19" s="29">
        <f t="shared" si="59"/>
        <v>20613.290011574914</v>
      </c>
      <c r="E19" s="29">
        <f t="shared" si="59"/>
        <v>20284.857686431395</v>
      </c>
      <c r="F19" s="29">
        <f t="shared" si="59"/>
        <v>22051.011463515617</v>
      </c>
      <c r="G19" s="29">
        <f t="shared" si="59"/>
        <v>22869.073172007749</v>
      </c>
      <c r="H19" s="29">
        <f t="shared" si="59"/>
        <v>24918.040742067344</v>
      </c>
      <c r="I19" s="29">
        <f t="shared" si="59"/>
        <v>26855.865907063791</v>
      </c>
      <c r="J19" s="29">
        <f t="shared" si="59"/>
        <v>27974.607515529791</v>
      </c>
      <c r="K19" s="29">
        <f t="shared" si="59"/>
        <v>23232.718278993147</v>
      </c>
      <c r="L19" s="29">
        <f t="shared" ref="L19" si="60">L20+L26</f>
        <v>22064.177934023774</v>
      </c>
      <c r="M19" s="29">
        <f t="shared" ref="M19:V19" si="61">M20+M26</f>
        <v>21875.85534238004</v>
      </c>
      <c r="N19" s="29">
        <f t="shared" si="61"/>
        <v>20590.595153604154</v>
      </c>
      <c r="O19" s="29">
        <f t="shared" si="61"/>
        <v>20926.890289292045</v>
      </c>
      <c r="P19" s="29">
        <f t="shared" si="61"/>
        <v>21647.439525334277</v>
      </c>
      <c r="Q19" s="29">
        <f t="shared" si="61"/>
        <v>23047.179324238856</v>
      </c>
      <c r="R19" s="29">
        <f t="shared" si="61"/>
        <v>25320.319989745614</v>
      </c>
      <c r="S19" s="29">
        <f t="shared" si="61"/>
        <v>26868.760205056875</v>
      </c>
      <c r="T19" s="29">
        <f t="shared" si="61"/>
        <v>28118.027991524439</v>
      </c>
      <c r="U19" s="29">
        <f t="shared" si="61"/>
        <v>28892.238014235772</v>
      </c>
      <c r="V19" s="29">
        <f t="shared" si="61"/>
        <v>27465.083600754053</v>
      </c>
      <c r="W19" s="29">
        <f t="shared" ref="W19" si="62">W20+W26</f>
        <v>31028.897040845251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523.78482513075301</v>
      </c>
      <c r="C20" s="152">
        <f t="shared" si="63"/>
        <v>553.33820668021826</v>
      </c>
      <c r="D20" s="152">
        <f t="shared" si="63"/>
        <v>593.51412656103673</v>
      </c>
      <c r="E20" s="152">
        <f t="shared" si="63"/>
        <v>618.64423588087016</v>
      </c>
      <c r="F20" s="152">
        <f t="shared" si="63"/>
        <v>632.03884282103184</v>
      </c>
      <c r="G20" s="152">
        <f t="shared" si="63"/>
        <v>660.2507964378575</v>
      </c>
      <c r="H20" s="152">
        <f t="shared" si="63"/>
        <v>663.38503261475398</v>
      </c>
      <c r="I20" s="152">
        <f t="shared" si="63"/>
        <v>698.35886315977439</v>
      </c>
      <c r="J20" s="152">
        <f t="shared" si="63"/>
        <v>768.81278679004038</v>
      </c>
      <c r="K20" s="152">
        <f t="shared" si="63"/>
        <v>889.38373229544391</v>
      </c>
      <c r="L20" s="152">
        <f t="shared" ref="L20" si="64">SUM(L21:L25)</f>
        <v>760.28219346305104</v>
      </c>
      <c r="M20" s="152">
        <f t="shared" ref="M20:V20" si="65">SUM(M21:M25)</f>
        <v>802.39312667225772</v>
      </c>
      <c r="N20" s="152">
        <f t="shared" si="65"/>
        <v>831.58659950019353</v>
      </c>
      <c r="O20" s="152">
        <f t="shared" si="65"/>
        <v>877.83825397057274</v>
      </c>
      <c r="P20" s="152">
        <f t="shared" si="65"/>
        <v>902.73867454819833</v>
      </c>
      <c r="Q20" s="152">
        <f t="shared" si="65"/>
        <v>937.13402726638856</v>
      </c>
      <c r="R20" s="152">
        <f t="shared" si="65"/>
        <v>993.90732114543232</v>
      </c>
      <c r="S20" s="152">
        <f t="shared" si="65"/>
        <v>1054.6559303379111</v>
      </c>
      <c r="T20" s="152">
        <f t="shared" si="65"/>
        <v>1122.0279915244387</v>
      </c>
      <c r="U20" s="152">
        <f t="shared" si="65"/>
        <v>1196.238014235774</v>
      </c>
      <c r="V20" s="152">
        <f t="shared" si="65"/>
        <v>1248.0836007540524</v>
      </c>
      <c r="W20" s="152">
        <f t="shared" ref="W20" si="66">SUM(W21:W25)</f>
        <v>1302.8970408452499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135.50170602988476</v>
      </c>
      <c r="C21" s="87">
        <f t="shared" si="67"/>
        <v>125.33472590788796</v>
      </c>
      <c r="D21" s="87">
        <f t="shared" si="67"/>
        <v>112.41413189348859</v>
      </c>
      <c r="E21" s="87">
        <f t="shared" si="67"/>
        <v>100.90477508549301</v>
      </c>
      <c r="F21" s="87">
        <f t="shared" si="67"/>
        <v>91.052293323422916</v>
      </c>
      <c r="G21" s="87">
        <f t="shared" si="67"/>
        <v>82.21012132235488</v>
      </c>
      <c r="H21" s="87">
        <f t="shared" si="67"/>
        <v>74.184153713541491</v>
      </c>
      <c r="I21" s="87">
        <f t="shared" si="67"/>
        <v>66.228014469565721</v>
      </c>
      <c r="J21" s="87">
        <f t="shared" si="67"/>
        <v>54.239045363798667</v>
      </c>
      <c r="K21" s="87">
        <f t="shared" si="67"/>
        <v>49.09369723793629</v>
      </c>
      <c r="L21" s="87">
        <f t="shared" ref="L21" si="68">IF(L48=0,0,L48*L158)</f>
        <v>44.341976331976149</v>
      </c>
      <c r="M21" s="87">
        <f t="shared" ref="M21:V21" si="69">IF(M48=0,0,M48*M158)</f>
        <v>39.353205071616358</v>
      </c>
      <c r="N21" s="87">
        <f t="shared" si="69"/>
        <v>37.559720354099696</v>
      </c>
      <c r="O21" s="87">
        <f t="shared" si="69"/>
        <v>35.849614284256958</v>
      </c>
      <c r="P21" s="87">
        <f t="shared" si="69"/>
        <v>33.017700114415632</v>
      </c>
      <c r="Q21" s="87">
        <f t="shared" si="69"/>
        <v>29.834835925340069</v>
      </c>
      <c r="R21" s="87">
        <f t="shared" si="69"/>
        <v>28.066822737152897</v>
      </c>
      <c r="S21" s="87">
        <f t="shared" si="69"/>
        <v>27.304447194057108</v>
      </c>
      <c r="T21" s="87">
        <f t="shared" si="69"/>
        <v>26.981110606203515</v>
      </c>
      <c r="U21" s="87">
        <f t="shared" si="69"/>
        <v>26.844375265273836</v>
      </c>
      <c r="V21" s="87">
        <f t="shared" si="69"/>
        <v>25.571268102240985</v>
      </c>
      <c r="W21" s="87">
        <f t="shared" ref="W21" si="70">IF(W48=0,0,W48*W158)</f>
        <v>24.837570153103108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388.2740467385097</v>
      </c>
      <c r="C22" s="87">
        <f t="shared" si="71"/>
        <v>427.75958496770272</v>
      </c>
      <c r="D22" s="87">
        <f t="shared" si="71"/>
        <v>480.86852459892822</v>
      </c>
      <c r="E22" s="87">
        <f t="shared" si="71"/>
        <v>517.51031000612124</v>
      </c>
      <c r="F22" s="87">
        <f t="shared" si="71"/>
        <v>540.7619685214471</v>
      </c>
      <c r="G22" s="87">
        <f t="shared" si="71"/>
        <v>577.82337727676895</v>
      </c>
      <c r="H22" s="87">
        <f t="shared" si="71"/>
        <v>588.98877236134751</v>
      </c>
      <c r="I22" s="87">
        <f t="shared" si="71"/>
        <v>631.9274516127914</v>
      </c>
      <c r="J22" s="87">
        <f t="shared" si="71"/>
        <v>714.38048975429024</v>
      </c>
      <c r="K22" s="87">
        <f t="shared" si="71"/>
        <v>840.10929385696954</v>
      </c>
      <c r="L22" s="87">
        <f t="shared" ref="L22" si="72">IF(L49=0,0,L49*L159)</f>
        <v>715.7734824382361</v>
      </c>
      <c r="M22" s="87">
        <f t="shared" ref="M22:V22" si="73">IF(M49=0,0,M49*M159)</f>
        <v>762.88846728720739</v>
      </c>
      <c r="N22" s="87">
        <f t="shared" si="73"/>
        <v>793.88469815766155</v>
      </c>
      <c r="O22" s="87">
        <f t="shared" si="73"/>
        <v>841.7449146141463</v>
      </c>
      <c r="P22" s="87">
        <f t="shared" si="73"/>
        <v>869.45979609929589</v>
      </c>
      <c r="Q22" s="87">
        <f t="shared" si="73"/>
        <v>906.60213458440285</v>
      </c>
      <c r="R22" s="87">
        <f t="shared" si="73"/>
        <v>965.07019914379316</v>
      </c>
      <c r="S22" s="87">
        <f t="shared" si="73"/>
        <v>1026.3752310245882</v>
      </c>
      <c r="T22" s="87">
        <f t="shared" si="73"/>
        <v>1093.7478297580412</v>
      </c>
      <c r="U22" s="87">
        <f t="shared" si="73"/>
        <v>1167.9344469710747</v>
      </c>
      <c r="V22" s="87">
        <f t="shared" si="73"/>
        <v>1220.7871527447974</v>
      </c>
      <c r="W22" s="87">
        <f t="shared" ref="W22" si="74">IF(W49=0,0,W49*W159)</f>
        <v>1275.8723043530285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0.23482627498700873</v>
      </c>
      <c r="D23" s="87">
        <f t="shared" si="75"/>
        <v>0.22240314222406202</v>
      </c>
      <c r="E23" s="87">
        <f t="shared" si="75"/>
        <v>0.22008674178687943</v>
      </c>
      <c r="F23" s="87">
        <f t="shared" si="75"/>
        <v>0.2155200856249809</v>
      </c>
      <c r="G23" s="87">
        <f t="shared" si="75"/>
        <v>0.20953374010674652</v>
      </c>
      <c r="H23" s="87">
        <f t="shared" si="75"/>
        <v>0.20434496906829641</v>
      </c>
      <c r="I23" s="87">
        <f t="shared" si="75"/>
        <v>0.19563777053422579</v>
      </c>
      <c r="J23" s="87">
        <f t="shared" si="75"/>
        <v>0.18678731098588003</v>
      </c>
      <c r="K23" s="87">
        <f t="shared" si="75"/>
        <v>0.17427936200522387</v>
      </c>
      <c r="L23" s="87">
        <f t="shared" ref="L23" si="76">IF(L50=0,0,L50*L160)</f>
        <v>0.16156727182091057</v>
      </c>
      <c r="M23" s="87">
        <f t="shared" ref="M23:V23" si="77">IF(M50=0,0,M50*M160)</f>
        <v>0.14628898846763669</v>
      </c>
      <c r="N23" s="87">
        <f t="shared" si="77"/>
        <v>0.13314529078908607</v>
      </c>
      <c r="O23" s="87">
        <f t="shared" si="77"/>
        <v>0.11740002013304017</v>
      </c>
      <c r="P23" s="87">
        <f t="shared" si="77"/>
        <v>0.10140715950941179</v>
      </c>
      <c r="Q23" s="87">
        <f t="shared" si="77"/>
        <v>9.1244231115964566E-2</v>
      </c>
      <c r="R23" s="87">
        <f t="shared" si="77"/>
        <v>7.6068497736800467E-2</v>
      </c>
      <c r="S23" s="87">
        <f t="shared" si="77"/>
        <v>6.1116161310690698E-2</v>
      </c>
      <c r="T23" s="87">
        <f t="shared" si="77"/>
        <v>4.9952754190310283E-2</v>
      </c>
      <c r="U23" s="87">
        <f t="shared" si="77"/>
        <v>3.77734125237454E-2</v>
      </c>
      <c r="V23" s="87">
        <f t="shared" si="77"/>
        <v>3.2802202976951071E-2</v>
      </c>
      <c r="W23" s="87">
        <f t="shared" ref="W23" si="78">IF(W50=0,0,W50*W160)</f>
        <v>2.6741293867739279E-2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9.0723623585391017E-3</v>
      </c>
      <c r="C24" s="87">
        <f t="shared" si="79"/>
        <v>9.0695296405461645E-3</v>
      </c>
      <c r="D24" s="87">
        <f t="shared" si="79"/>
        <v>9.0669263959313445E-3</v>
      </c>
      <c r="E24" s="87">
        <f t="shared" si="79"/>
        <v>9.0640474690494577E-3</v>
      </c>
      <c r="F24" s="87">
        <f t="shared" si="79"/>
        <v>9.0608905368523302E-3</v>
      </c>
      <c r="G24" s="87">
        <f t="shared" si="79"/>
        <v>7.7640986269089107E-3</v>
      </c>
      <c r="H24" s="87">
        <f t="shared" si="79"/>
        <v>7.7615707966856391E-3</v>
      </c>
      <c r="I24" s="87">
        <f t="shared" si="79"/>
        <v>7.7593068829798937E-3</v>
      </c>
      <c r="J24" s="87">
        <f t="shared" si="79"/>
        <v>6.4643609654849339E-3</v>
      </c>
      <c r="K24" s="87">
        <f t="shared" si="79"/>
        <v>6.4618385327518584E-3</v>
      </c>
      <c r="L24" s="87">
        <f t="shared" ref="L24" si="80">IF(L51=0,0,L51*L161)</f>
        <v>5.1674210178604841E-3</v>
      </c>
      <c r="M24" s="87">
        <f t="shared" ref="M24:V24" si="81">IF(M51=0,0,M51*M161)</f>
        <v>5.1653249663821468E-3</v>
      </c>
      <c r="N24" s="87">
        <f t="shared" si="81"/>
        <v>9.035697643235769E-3</v>
      </c>
      <c r="O24" s="87">
        <f t="shared" si="81"/>
        <v>0.1006469726091183</v>
      </c>
      <c r="P24" s="87">
        <f t="shared" si="81"/>
        <v>0.13286137113063393</v>
      </c>
      <c r="Q24" s="87">
        <f t="shared" si="81"/>
        <v>0.5531994934808353</v>
      </c>
      <c r="R24" s="87">
        <f t="shared" si="81"/>
        <v>0.57927235720394077</v>
      </c>
      <c r="S24" s="87">
        <f t="shared" si="81"/>
        <v>0.68410974951408576</v>
      </c>
      <c r="T24" s="87">
        <f t="shared" si="81"/>
        <v>0.77872357424838079</v>
      </c>
      <c r="U24" s="87">
        <f t="shared" si="81"/>
        <v>0.80107953894131989</v>
      </c>
      <c r="V24" s="87">
        <f t="shared" si="81"/>
        <v>0.8143762140516474</v>
      </c>
      <c r="W24" s="87">
        <f t="shared" ref="W24" si="82">IF(W51=0,0,W51*W161)</f>
        <v>0.81475404465670243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0</v>
      </c>
      <c r="O25" s="87">
        <f t="shared" si="85"/>
        <v>2.5678079427364664E-2</v>
      </c>
      <c r="P25" s="87">
        <f t="shared" si="85"/>
        <v>2.6909803846762011E-2</v>
      </c>
      <c r="Q25" s="87">
        <f t="shared" si="85"/>
        <v>5.2613032048887336E-2</v>
      </c>
      <c r="R25" s="87">
        <f t="shared" si="85"/>
        <v>0.11495840954548887</v>
      </c>
      <c r="S25" s="87">
        <f t="shared" si="85"/>
        <v>0.23102620844097599</v>
      </c>
      <c r="T25" s="87">
        <f t="shared" si="85"/>
        <v>0.47037483175489742</v>
      </c>
      <c r="U25" s="87">
        <f t="shared" si="85"/>
        <v>0.62033904796021422</v>
      </c>
      <c r="V25" s="87">
        <f t="shared" si="85"/>
        <v>0.8780014899855858</v>
      </c>
      <c r="W25" s="87">
        <f t="shared" ref="W25" si="86">IF(W52=0,0,W52*W162)</f>
        <v>1.345671000594024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19950.371467279874</v>
      </c>
      <c r="C26" s="116">
        <f t="shared" si="87"/>
        <v>20195.993420196464</v>
      </c>
      <c r="D26" s="116">
        <f t="shared" si="87"/>
        <v>20019.775885013878</v>
      </c>
      <c r="E26" s="116">
        <f t="shared" si="87"/>
        <v>19666.213450550524</v>
      </c>
      <c r="F26" s="116">
        <f t="shared" si="87"/>
        <v>21418.972620694585</v>
      </c>
      <c r="G26" s="116">
        <f t="shared" si="87"/>
        <v>22208.822375569893</v>
      </c>
      <c r="H26" s="116">
        <f t="shared" si="87"/>
        <v>24254.655709452589</v>
      </c>
      <c r="I26" s="116">
        <f t="shared" si="87"/>
        <v>26157.507043904017</v>
      </c>
      <c r="J26" s="116">
        <f t="shared" si="87"/>
        <v>27205.794728739751</v>
      </c>
      <c r="K26" s="116">
        <f t="shared" si="87"/>
        <v>22343.334546697704</v>
      </c>
      <c r="L26" s="116">
        <f t="shared" ref="L26" si="88">SUM(L27:L28)</f>
        <v>21303.895740560722</v>
      </c>
      <c r="M26" s="116">
        <f t="shared" ref="M26:V26" si="89">SUM(M27:M28)</f>
        <v>21073.462215707783</v>
      </c>
      <c r="N26" s="116">
        <f t="shared" si="89"/>
        <v>19759.008554103959</v>
      </c>
      <c r="O26" s="116">
        <f t="shared" si="89"/>
        <v>20049.052035321471</v>
      </c>
      <c r="P26" s="116">
        <f t="shared" si="89"/>
        <v>20744.700850786077</v>
      </c>
      <c r="Q26" s="116">
        <f t="shared" si="89"/>
        <v>22110.045296972468</v>
      </c>
      <c r="R26" s="116">
        <f t="shared" si="89"/>
        <v>24326.412668600184</v>
      </c>
      <c r="S26" s="116">
        <f t="shared" si="89"/>
        <v>25814.104274718964</v>
      </c>
      <c r="T26" s="116">
        <f t="shared" si="89"/>
        <v>26996</v>
      </c>
      <c r="U26" s="116">
        <f t="shared" si="89"/>
        <v>27696</v>
      </c>
      <c r="V26" s="116">
        <f t="shared" si="89"/>
        <v>26217</v>
      </c>
      <c r="W26" s="116">
        <f t="shared" ref="W26" si="90">SUM(W27:W28)</f>
        <v>29726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12145</v>
      </c>
      <c r="C27" s="101">
        <f t="shared" si="91"/>
        <v>11835</v>
      </c>
      <c r="D27" s="101">
        <f t="shared" si="91"/>
        <v>11166</v>
      </c>
      <c r="E27" s="101">
        <f t="shared" si="91"/>
        <v>10670.000000000002</v>
      </c>
      <c r="F27" s="101">
        <f t="shared" si="91"/>
        <v>10977</v>
      </c>
      <c r="G27" s="101">
        <f t="shared" si="91"/>
        <v>11394</v>
      </c>
      <c r="H27" s="101">
        <f t="shared" si="91"/>
        <v>12425</v>
      </c>
      <c r="I27" s="101">
        <f t="shared" si="91"/>
        <v>13186</v>
      </c>
      <c r="J27" s="101">
        <f t="shared" si="91"/>
        <v>13043</v>
      </c>
      <c r="K27" s="101">
        <f t="shared" si="91"/>
        <v>12171</v>
      </c>
      <c r="L27" s="101">
        <f t="shared" ref="L27:V27" si="92">IF(L54=0,0,L54*L164)</f>
        <v>11329</v>
      </c>
      <c r="M27" s="101">
        <f t="shared" si="92"/>
        <v>10534</v>
      </c>
      <c r="N27" s="101">
        <f t="shared" si="92"/>
        <v>9181</v>
      </c>
      <c r="O27" s="101">
        <f t="shared" si="92"/>
        <v>9246</v>
      </c>
      <c r="P27" s="101">
        <f t="shared" si="92"/>
        <v>9630</v>
      </c>
      <c r="Q27" s="101">
        <f t="shared" si="92"/>
        <v>10356</v>
      </c>
      <c r="R27" s="101">
        <f t="shared" si="92"/>
        <v>11720.000000000002</v>
      </c>
      <c r="S27" s="101">
        <f t="shared" si="92"/>
        <v>11940.000000000002</v>
      </c>
      <c r="T27" s="101">
        <f t="shared" si="92"/>
        <v>12979</v>
      </c>
      <c r="U27" s="101">
        <f t="shared" si="92"/>
        <v>13382</v>
      </c>
      <c r="V27" s="101">
        <f t="shared" si="92"/>
        <v>12860</v>
      </c>
      <c r="W27" s="101">
        <f t="shared" ref="W27" si="93">IF(W54=0,0,W54*W164)</f>
        <v>14777.999999999998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7805.3714672798742</v>
      </c>
      <c r="C28" s="88">
        <f t="shared" si="94"/>
        <v>8360.9934201964643</v>
      </c>
      <c r="D28" s="88">
        <f t="shared" si="94"/>
        <v>8853.775885013878</v>
      </c>
      <c r="E28" s="88">
        <f t="shared" si="94"/>
        <v>8996.2134505505237</v>
      </c>
      <c r="F28" s="88">
        <f t="shared" si="94"/>
        <v>10441.972620694585</v>
      </c>
      <c r="G28" s="88">
        <f t="shared" si="94"/>
        <v>10814.822375569893</v>
      </c>
      <c r="H28" s="88">
        <f t="shared" si="94"/>
        <v>11829.655709452589</v>
      </c>
      <c r="I28" s="88">
        <f t="shared" si="94"/>
        <v>12971.507043904017</v>
      </c>
      <c r="J28" s="88">
        <f t="shared" si="94"/>
        <v>14162.794728739751</v>
      </c>
      <c r="K28" s="88">
        <f t="shared" si="94"/>
        <v>10172.334546697704</v>
      </c>
      <c r="L28" s="88">
        <f t="shared" ref="L28:V28" si="95">IF(L55=0,0,L55*L165)</f>
        <v>9974.8957405607216</v>
      </c>
      <c r="M28" s="88">
        <f t="shared" si="95"/>
        <v>10539.462215707783</v>
      </c>
      <c r="N28" s="88">
        <f t="shared" si="95"/>
        <v>10578.008554103959</v>
      </c>
      <c r="O28" s="88">
        <f t="shared" si="95"/>
        <v>10803.052035321471</v>
      </c>
      <c r="P28" s="88">
        <f t="shared" si="95"/>
        <v>11114.700850786077</v>
      </c>
      <c r="Q28" s="88">
        <f t="shared" si="95"/>
        <v>11754.045296972468</v>
      </c>
      <c r="R28" s="88">
        <f t="shared" si="95"/>
        <v>12606.412668600184</v>
      </c>
      <c r="S28" s="88">
        <f t="shared" si="95"/>
        <v>13874.10427471896</v>
      </c>
      <c r="T28" s="88">
        <f t="shared" si="95"/>
        <v>14017</v>
      </c>
      <c r="U28" s="88">
        <f t="shared" si="95"/>
        <v>14314</v>
      </c>
      <c r="V28" s="88">
        <f t="shared" si="95"/>
        <v>13357</v>
      </c>
      <c r="W28" s="88">
        <f t="shared" ref="W28" si="96">IF(W55=0,0,W55*W165)</f>
        <v>14948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25745.629238082201</v>
      </c>
      <c r="C30" s="62">
        <f t="shared" ref="C30:V30" si="98">C31+C46</f>
        <v>27429.722273247717</v>
      </c>
      <c r="D30" s="62">
        <f t="shared" si="98"/>
        <v>28854.059696557691</v>
      </c>
      <c r="E30" s="62">
        <f t="shared" si="98"/>
        <v>30282.479424160061</v>
      </c>
      <c r="F30" s="62">
        <f t="shared" si="98"/>
        <v>31633.536709528271</v>
      </c>
      <c r="G30" s="62">
        <f t="shared" si="98"/>
        <v>34082.71839697253</v>
      </c>
      <c r="H30" s="62">
        <f t="shared" si="98"/>
        <v>34993.984238084508</v>
      </c>
      <c r="I30" s="62">
        <f t="shared" si="98"/>
        <v>36953.648425257219</v>
      </c>
      <c r="J30" s="62">
        <f t="shared" si="98"/>
        <v>38101.998346565611</v>
      </c>
      <c r="K30" s="62">
        <f t="shared" si="98"/>
        <v>41199.283391570541</v>
      </c>
      <c r="L30" s="62">
        <f t="shared" si="98"/>
        <v>36924.467964719566</v>
      </c>
      <c r="M30" s="62">
        <f t="shared" si="98"/>
        <v>34368.232111701327</v>
      </c>
      <c r="N30" s="62">
        <f t="shared" si="98"/>
        <v>34811.501497422403</v>
      </c>
      <c r="O30" s="62">
        <f t="shared" si="98"/>
        <v>34526.808623611338</v>
      </c>
      <c r="P30" s="62">
        <f t="shared" si="98"/>
        <v>36081.152493832611</v>
      </c>
      <c r="Q30" s="62">
        <f t="shared" si="98"/>
        <v>38385.083332207534</v>
      </c>
      <c r="R30" s="62">
        <f t="shared" si="98"/>
        <v>40409.702434918916</v>
      </c>
      <c r="S30" s="62">
        <f t="shared" si="98"/>
        <v>42776.800741031817</v>
      </c>
      <c r="T30" s="62">
        <f t="shared" si="98"/>
        <v>46523.161582027868</v>
      </c>
      <c r="U30" s="62">
        <f t="shared" si="98"/>
        <v>51634.971094957727</v>
      </c>
      <c r="V30" s="62">
        <f t="shared" si="98"/>
        <v>49918.862663036613</v>
      </c>
      <c r="W30" s="62">
        <f t="shared" ref="W30" si="99">W31+W46</f>
        <v>52461.66667633527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20579.395705163603</v>
      </c>
      <c r="C31" s="29">
        <f t="shared" ref="C31:V31" si="101">C32+C33+C40</f>
        <v>22068.200240807968</v>
      </c>
      <c r="D31" s="29">
        <f t="shared" si="101"/>
        <v>23292.375552933536</v>
      </c>
      <c r="E31" s="29">
        <f t="shared" si="101"/>
        <v>24589.994576158068</v>
      </c>
      <c r="F31" s="29">
        <f t="shared" si="101"/>
        <v>25708.33805643786</v>
      </c>
      <c r="G31" s="29">
        <f t="shared" si="101"/>
        <v>27579.108093639548</v>
      </c>
      <c r="H31" s="29">
        <f t="shared" si="101"/>
        <v>28309.346562805171</v>
      </c>
      <c r="I31" s="29">
        <f t="shared" si="101"/>
        <v>29907.94211232544</v>
      </c>
      <c r="J31" s="29">
        <f t="shared" si="101"/>
        <v>30663.807623392047</v>
      </c>
      <c r="K31" s="29">
        <f t="shared" si="101"/>
        <v>33244.254630354968</v>
      </c>
      <c r="L31" s="29">
        <f t="shared" si="101"/>
        <v>30129.523473739813</v>
      </c>
      <c r="M31" s="29">
        <f t="shared" si="101"/>
        <v>27386.181422934987</v>
      </c>
      <c r="N31" s="29">
        <f t="shared" si="101"/>
        <v>27844.265912290226</v>
      </c>
      <c r="O31" s="29">
        <f t="shared" si="101"/>
        <v>27270.873306029942</v>
      </c>
      <c r="P31" s="29">
        <f t="shared" si="101"/>
        <v>28651.697636520628</v>
      </c>
      <c r="Q31" s="29">
        <f t="shared" si="101"/>
        <v>30665.414846914835</v>
      </c>
      <c r="R31" s="29">
        <f t="shared" si="101"/>
        <v>32197.520837464606</v>
      </c>
      <c r="S31" s="29">
        <f t="shared" si="101"/>
        <v>34124.835962421188</v>
      </c>
      <c r="T31" s="29">
        <f t="shared" si="101"/>
        <v>37315.725292891191</v>
      </c>
      <c r="U31" s="29">
        <f t="shared" si="101"/>
        <v>41887.174449210514</v>
      </c>
      <c r="V31" s="29">
        <f t="shared" si="101"/>
        <v>39919.175738762176</v>
      </c>
      <c r="W31" s="29">
        <f t="shared" ref="W31" si="102">W32+W33+W40</f>
        <v>41824.648458028605</v>
      </c>
      <c r="DA31" s="173" t="s">
        <v>474</v>
      </c>
    </row>
    <row r="32" spans="1:105" ht="11.45" customHeight="1" x14ac:dyDescent="0.25">
      <c r="A32" s="136" t="s">
        <v>180</v>
      </c>
      <c r="B32" s="152">
        <v>243.9090736181559</v>
      </c>
      <c r="C32" s="152">
        <v>248.92632717226695</v>
      </c>
      <c r="D32" s="152">
        <v>260.8498254280226</v>
      </c>
      <c r="E32" s="152">
        <v>276.45721914192956</v>
      </c>
      <c r="F32" s="152">
        <v>304.33027947966576</v>
      </c>
      <c r="G32" s="152">
        <v>327.21989872751698</v>
      </c>
      <c r="H32" s="152">
        <v>346.96951130675075</v>
      </c>
      <c r="I32" s="152">
        <v>361.94500362826534</v>
      </c>
      <c r="J32" s="152">
        <v>376.90896547719308</v>
      </c>
      <c r="K32" s="152">
        <v>378.00564422151047</v>
      </c>
      <c r="L32" s="152">
        <v>378.78331759999713</v>
      </c>
      <c r="M32" s="152">
        <v>392.30701133565492</v>
      </c>
      <c r="N32" s="152">
        <v>402.90706615823018</v>
      </c>
      <c r="O32" s="152">
        <v>418.11322968926157</v>
      </c>
      <c r="P32" s="152">
        <v>429.5990837950493</v>
      </c>
      <c r="Q32" s="152">
        <v>432.99</v>
      </c>
      <c r="R32" s="152">
        <v>432.92</v>
      </c>
      <c r="S32" s="152">
        <v>456.16</v>
      </c>
      <c r="T32" s="152">
        <v>481.61</v>
      </c>
      <c r="U32" s="152">
        <v>494.02</v>
      </c>
      <c r="V32" s="152">
        <v>455.64</v>
      </c>
      <c r="W32" s="152">
        <v>464.34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19653.044755130461</v>
      </c>
      <c r="C33" s="116">
        <f t="shared" ref="C33:V33" si="104">SUM(C34:C39)</f>
        <v>21134.437057064661</v>
      </c>
      <c r="D33" s="116">
        <f t="shared" si="104"/>
        <v>22346.37907231351</v>
      </c>
      <c r="E33" s="116">
        <f t="shared" si="104"/>
        <v>23632.948639457423</v>
      </c>
      <c r="F33" s="116">
        <f t="shared" si="104"/>
        <v>24747.397617022107</v>
      </c>
      <c r="G33" s="116">
        <f t="shared" si="104"/>
        <v>26604.333946980809</v>
      </c>
      <c r="H33" s="116">
        <f t="shared" si="104"/>
        <v>27258.829155596508</v>
      </c>
      <c r="I33" s="116">
        <f t="shared" si="104"/>
        <v>28826.849283366264</v>
      </c>
      <c r="J33" s="116">
        <f t="shared" si="104"/>
        <v>29623.968657914855</v>
      </c>
      <c r="K33" s="116">
        <f t="shared" si="104"/>
        <v>32219.446253607624</v>
      </c>
      <c r="L33" s="116">
        <f t="shared" si="104"/>
        <v>29105.078052128269</v>
      </c>
      <c r="M33" s="116">
        <f t="shared" si="104"/>
        <v>26355.177619611255</v>
      </c>
      <c r="N33" s="116">
        <f t="shared" si="104"/>
        <v>26800.450500264462</v>
      </c>
      <c r="O33" s="116">
        <f t="shared" si="104"/>
        <v>26194.924057144926</v>
      </c>
      <c r="P33" s="116">
        <f t="shared" si="104"/>
        <v>27556.989099602255</v>
      </c>
      <c r="Q33" s="116">
        <f t="shared" si="104"/>
        <v>29563.634846914832</v>
      </c>
      <c r="R33" s="116">
        <f t="shared" si="104"/>
        <v>31075.890837464609</v>
      </c>
      <c r="S33" s="116">
        <f t="shared" si="104"/>
        <v>32950.135962421184</v>
      </c>
      <c r="T33" s="116">
        <f t="shared" si="104"/>
        <v>36103.385292891187</v>
      </c>
      <c r="U33" s="116">
        <f t="shared" si="104"/>
        <v>40658.624449210518</v>
      </c>
      <c r="V33" s="116">
        <f t="shared" si="104"/>
        <v>38830.605738762177</v>
      </c>
      <c r="W33" s="116">
        <f t="shared" ref="W33" si="105">SUM(W34:W39)</f>
        <v>40695.518458028608</v>
      </c>
      <c r="DA33" s="176" t="s">
        <v>476</v>
      </c>
    </row>
    <row r="34" spans="1:105" ht="11.45" customHeight="1" x14ac:dyDescent="0.25">
      <c r="A34" s="111" t="s">
        <v>110</v>
      </c>
      <c r="B34" s="87">
        <v>16863.649357031194</v>
      </c>
      <c r="C34" s="87">
        <v>17929.815557436606</v>
      </c>
      <c r="D34" s="87">
        <v>18610.240961718249</v>
      </c>
      <c r="E34" s="87">
        <v>18831.267532847745</v>
      </c>
      <c r="F34" s="87">
        <v>19069.108823113955</v>
      </c>
      <c r="G34" s="87">
        <v>21539.580385261663</v>
      </c>
      <c r="H34" s="87">
        <v>20667.046099768933</v>
      </c>
      <c r="I34" s="87">
        <v>21368.781063797131</v>
      </c>
      <c r="J34" s="87">
        <v>21442.17833305593</v>
      </c>
      <c r="K34" s="87">
        <v>23209.489467990501</v>
      </c>
      <c r="L34" s="87">
        <v>19908.131566566113</v>
      </c>
      <c r="M34" s="87">
        <v>17083.342506994144</v>
      </c>
      <c r="N34" s="87">
        <v>16991.403494399467</v>
      </c>
      <c r="O34" s="87">
        <v>16005.566120584535</v>
      </c>
      <c r="P34" s="87">
        <v>17542.340216660024</v>
      </c>
      <c r="Q34" s="87">
        <v>18111.579323672009</v>
      </c>
      <c r="R34" s="87">
        <v>18120.091808172037</v>
      </c>
      <c r="S34" s="87">
        <v>18639.972022309325</v>
      </c>
      <c r="T34" s="87">
        <v>19979.80929785407</v>
      </c>
      <c r="U34" s="87">
        <v>22002.134648644522</v>
      </c>
      <c r="V34" s="87">
        <v>21036.611128200297</v>
      </c>
      <c r="W34" s="87">
        <v>21651.517397018204</v>
      </c>
      <c r="DA34" s="171" t="s">
        <v>477</v>
      </c>
    </row>
    <row r="35" spans="1:105" ht="11.45" customHeight="1" x14ac:dyDescent="0.25">
      <c r="A35" s="111" t="s">
        <v>111</v>
      </c>
      <c r="B35" s="87">
        <v>2789.3953980992678</v>
      </c>
      <c r="C35" s="87">
        <v>3178.9208539599676</v>
      </c>
      <c r="D35" s="87">
        <v>3710.2222468748087</v>
      </c>
      <c r="E35" s="87">
        <v>4355.0498345160695</v>
      </c>
      <c r="F35" s="87">
        <v>5260.6109179804389</v>
      </c>
      <c r="G35" s="87">
        <v>4626.7574849953462</v>
      </c>
      <c r="H35" s="87">
        <v>6178.2671936305223</v>
      </c>
      <c r="I35" s="87">
        <v>7013.325287793089</v>
      </c>
      <c r="J35" s="87">
        <v>7758.7488435735759</v>
      </c>
      <c r="K35" s="87">
        <v>8628.8541865682</v>
      </c>
      <c r="L35" s="87">
        <v>8852.8673251245746</v>
      </c>
      <c r="M35" s="87">
        <v>8941.4103742786156</v>
      </c>
      <c r="N35" s="87">
        <v>9461.1350014503842</v>
      </c>
      <c r="O35" s="87">
        <v>9812.1942441161118</v>
      </c>
      <c r="P35" s="87">
        <v>9592.221657958713</v>
      </c>
      <c r="Q35" s="87">
        <v>10981.970529540025</v>
      </c>
      <c r="R35" s="87">
        <v>12467.05648017573</v>
      </c>
      <c r="S35" s="87">
        <v>13817.362382673216</v>
      </c>
      <c r="T35" s="87">
        <v>15629.408331668874</v>
      </c>
      <c r="U35" s="87">
        <v>18159.757405825556</v>
      </c>
      <c r="V35" s="87">
        <v>17359.863941200485</v>
      </c>
      <c r="W35" s="87">
        <v>18583.887058156532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25.700645668086192</v>
      </c>
      <c r="D36" s="87">
        <v>25.91586372045273</v>
      </c>
      <c r="E36" s="87">
        <v>446.63127209360601</v>
      </c>
      <c r="F36" s="87">
        <v>417.67787592771577</v>
      </c>
      <c r="G36" s="87">
        <v>437.99607672379966</v>
      </c>
      <c r="H36" s="87">
        <v>413.51586219705081</v>
      </c>
      <c r="I36" s="87">
        <v>444.74293177604426</v>
      </c>
      <c r="J36" s="87">
        <v>423.04148128534962</v>
      </c>
      <c r="K36" s="87">
        <v>381.10259904892075</v>
      </c>
      <c r="L36" s="87">
        <v>342.683656566227</v>
      </c>
      <c r="M36" s="87">
        <v>326.52838818965887</v>
      </c>
      <c r="N36" s="87">
        <v>343.98223689835885</v>
      </c>
      <c r="O36" s="87">
        <v>370.0902902852348</v>
      </c>
      <c r="P36" s="87">
        <v>412.83062077476376</v>
      </c>
      <c r="Q36" s="87">
        <v>450.15219945830529</v>
      </c>
      <c r="R36" s="87">
        <v>464.14626547473881</v>
      </c>
      <c r="S36" s="87">
        <v>454.99619564307039</v>
      </c>
      <c r="T36" s="87">
        <v>433.82139352635295</v>
      </c>
      <c r="U36" s="87">
        <v>405.17193533761736</v>
      </c>
      <c r="V36" s="87">
        <v>294.32451121247362</v>
      </c>
      <c r="W36" s="87">
        <v>212.72124514596439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1.7581033192343831E-2</v>
      </c>
      <c r="M37" s="87">
        <v>2.7961980013108144E-2</v>
      </c>
      <c r="N37" s="87">
        <v>2.1486249738219648E-2</v>
      </c>
      <c r="O37" s="87">
        <v>3.0908787402145865</v>
      </c>
      <c r="P37" s="87">
        <v>5.2048733388704349</v>
      </c>
      <c r="Q37" s="87">
        <v>14.058542410635365</v>
      </c>
      <c r="R37" s="87">
        <v>15.585790109439083</v>
      </c>
      <c r="S37" s="87">
        <v>17.488957904989505</v>
      </c>
      <c r="T37" s="87">
        <v>19.046942753437921</v>
      </c>
      <c r="U37" s="87">
        <v>20.496324474716729</v>
      </c>
      <c r="V37" s="87">
        <v>18.494533294727962</v>
      </c>
      <c r="W37" s="87">
        <v>18.858081184257994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0.12508649544177286</v>
      </c>
      <c r="O38" s="87">
        <v>0.12502276207632193</v>
      </c>
      <c r="P38" s="87">
        <v>0.32629838664153055</v>
      </c>
      <c r="Q38" s="87">
        <v>0.89904994555266071</v>
      </c>
      <c r="R38" s="87">
        <v>2.5425892593185133</v>
      </c>
      <c r="S38" s="87">
        <v>4.5173261974752927</v>
      </c>
      <c r="T38" s="87">
        <v>10.959162527348232</v>
      </c>
      <c r="U38" s="87">
        <v>19.088387326620111</v>
      </c>
      <c r="V38" s="87">
        <v>38.927455394729705</v>
      </c>
      <c r="W38" s="87">
        <v>80.657577359798609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1.3779228381606323</v>
      </c>
      <c r="M39" s="87">
        <v>3.8683881688213675</v>
      </c>
      <c r="N39" s="87">
        <v>3.7831947710719427</v>
      </c>
      <c r="O39" s="87">
        <v>3.8575006567506032</v>
      </c>
      <c r="P39" s="87">
        <v>4.0654324832444058</v>
      </c>
      <c r="Q39" s="87">
        <v>4.9752018883050111</v>
      </c>
      <c r="R39" s="87">
        <v>6.4679042733485916</v>
      </c>
      <c r="S39" s="87">
        <v>15.799077693100299</v>
      </c>
      <c r="T39" s="87">
        <v>30.340164561099559</v>
      </c>
      <c r="U39" s="87">
        <v>51.975747601481856</v>
      </c>
      <c r="V39" s="87">
        <v>82.384169459464701</v>
      </c>
      <c r="W39" s="87">
        <v>147.87709916385325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682.44187641498434</v>
      </c>
      <c r="C40" s="116">
        <f t="shared" ref="C40:V40" si="107">SUM(C41:C45)</f>
        <v>684.83685657103956</v>
      </c>
      <c r="D40" s="116">
        <f t="shared" si="107"/>
        <v>685.14665519200037</v>
      </c>
      <c r="E40" s="116">
        <f t="shared" si="107"/>
        <v>680.58871755871735</v>
      </c>
      <c r="F40" s="116">
        <f t="shared" si="107"/>
        <v>656.61015993608964</v>
      </c>
      <c r="G40" s="116">
        <f t="shared" si="107"/>
        <v>647.55424793122165</v>
      </c>
      <c r="H40" s="116">
        <f t="shared" si="107"/>
        <v>703.54789590191467</v>
      </c>
      <c r="I40" s="116">
        <f t="shared" si="107"/>
        <v>719.14782533091045</v>
      </c>
      <c r="J40" s="116">
        <f t="shared" si="107"/>
        <v>662.93</v>
      </c>
      <c r="K40" s="116">
        <f t="shared" si="107"/>
        <v>646.80273252583424</v>
      </c>
      <c r="L40" s="116">
        <f t="shared" si="107"/>
        <v>645.66210401154626</v>
      </c>
      <c r="M40" s="116">
        <f t="shared" si="107"/>
        <v>638.69679198807546</v>
      </c>
      <c r="N40" s="116">
        <f t="shared" si="107"/>
        <v>640.90834586753408</v>
      </c>
      <c r="O40" s="116">
        <f t="shared" si="107"/>
        <v>657.83601919575506</v>
      </c>
      <c r="P40" s="116">
        <f t="shared" si="107"/>
        <v>665.10945312332547</v>
      </c>
      <c r="Q40" s="116">
        <f t="shared" si="107"/>
        <v>668.79</v>
      </c>
      <c r="R40" s="116">
        <f t="shared" si="107"/>
        <v>688.71</v>
      </c>
      <c r="S40" s="116">
        <f t="shared" si="107"/>
        <v>718.54</v>
      </c>
      <c r="T40" s="116">
        <f t="shared" si="107"/>
        <v>730.7299999999999</v>
      </c>
      <c r="U40" s="116">
        <f t="shared" si="107"/>
        <v>734.53</v>
      </c>
      <c r="V40" s="116">
        <f t="shared" si="107"/>
        <v>632.93000000000006</v>
      </c>
      <c r="W40" s="116">
        <f t="shared" ref="W40" si="108">SUM(W41:W45)</f>
        <v>664.79000000000008</v>
      </c>
      <c r="DA40" s="176" t="s">
        <v>483</v>
      </c>
    </row>
    <row r="41" spans="1:105" ht="11.45" customHeight="1" x14ac:dyDescent="0.25">
      <c r="A41" s="111" t="s">
        <v>110</v>
      </c>
      <c r="B41" s="101">
        <v>33.451455027019676</v>
      </c>
      <c r="C41" s="101">
        <v>30.687423416974937</v>
      </c>
      <c r="D41" s="101">
        <v>27.770511207650582</v>
      </c>
      <c r="E41" s="101">
        <v>24.781241814021218</v>
      </c>
      <c r="F41" s="101">
        <v>21.78654785084581</v>
      </c>
      <c r="G41" s="101">
        <v>18.86417879253349</v>
      </c>
      <c r="H41" s="101">
        <v>16.127164255144347</v>
      </c>
      <c r="I41" s="101">
        <v>13.768427579032172</v>
      </c>
      <c r="J41" s="101">
        <v>11.569754981477027</v>
      </c>
      <c r="K41" s="101">
        <v>9.3895441271554194</v>
      </c>
      <c r="L41" s="101">
        <v>7.6070364928551442</v>
      </c>
      <c r="M41" s="101">
        <v>5.9793194639934111</v>
      </c>
      <c r="N41" s="101">
        <v>5.0256436283244135</v>
      </c>
      <c r="O41" s="101">
        <v>5.0602577614585087</v>
      </c>
      <c r="P41" s="101">
        <v>4.4210079757438443</v>
      </c>
      <c r="Q41" s="101">
        <v>3.4149335125346219</v>
      </c>
      <c r="R41" s="101">
        <v>2.286970885284441</v>
      </c>
      <c r="S41" s="101">
        <v>1.9826908940286359</v>
      </c>
      <c r="T41" s="101">
        <v>1.9175724401046887</v>
      </c>
      <c r="U41" s="101">
        <v>1.8400755038566297</v>
      </c>
      <c r="V41" s="101">
        <v>1.8460897910349308</v>
      </c>
      <c r="W41" s="101">
        <v>1.7849205350529358</v>
      </c>
      <c r="DA41" s="175" t="s">
        <v>484</v>
      </c>
    </row>
    <row r="42" spans="1:105" ht="11.45" customHeight="1" x14ac:dyDescent="0.25">
      <c r="A42" s="111" t="s">
        <v>111</v>
      </c>
      <c r="B42" s="101">
        <v>634.22880780578612</v>
      </c>
      <c r="C42" s="101">
        <v>639.34372199733207</v>
      </c>
      <c r="D42" s="101">
        <v>642.33526715031076</v>
      </c>
      <c r="E42" s="101">
        <v>640.46978207801897</v>
      </c>
      <c r="F42" s="101">
        <v>619.69579216643467</v>
      </c>
      <c r="G42" s="101">
        <v>617.51600126247808</v>
      </c>
      <c r="H42" s="101">
        <v>677.22116902487528</v>
      </c>
      <c r="I42" s="101">
        <v>696.84441841844648</v>
      </c>
      <c r="J42" s="101">
        <v>644.70184409930698</v>
      </c>
      <c r="K42" s="101">
        <v>631.52890169490991</v>
      </c>
      <c r="L42" s="101">
        <v>633.87297267546296</v>
      </c>
      <c r="M42" s="101">
        <v>629.49975337060209</v>
      </c>
      <c r="N42" s="101">
        <v>632.26045258230488</v>
      </c>
      <c r="O42" s="101">
        <v>650.40896114396867</v>
      </c>
      <c r="P42" s="101">
        <v>657.78007262534879</v>
      </c>
      <c r="Q42" s="101">
        <v>656.53234101621558</v>
      </c>
      <c r="R42" s="101">
        <v>671.80836121981804</v>
      </c>
      <c r="S42" s="101">
        <v>699.71688905219094</v>
      </c>
      <c r="T42" s="101">
        <v>711.74904145623077</v>
      </c>
      <c r="U42" s="101">
        <v>716.53511071808407</v>
      </c>
      <c r="V42" s="101">
        <v>615.40685254600351</v>
      </c>
      <c r="W42" s="101">
        <v>646.59702130631229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2.2383803343083895E-2</v>
      </c>
      <c r="Q43" s="101">
        <v>2.2617180985395741E-2</v>
      </c>
      <c r="R43" s="101">
        <v>4.4834111505719157E-2</v>
      </c>
      <c r="S43" s="101">
        <v>4.5321224587141405E-2</v>
      </c>
      <c r="T43" s="101">
        <v>4.4262450723444681E-2</v>
      </c>
      <c r="U43" s="101">
        <v>4.2894155195655086E-2</v>
      </c>
      <c r="V43" s="101">
        <v>4.1394950760577469E-2</v>
      </c>
      <c r="W43" s="101">
        <v>4.0800502328915397E-2</v>
      </c>
      <c r="DA43" s="175" t="s">
        <v>486</v>
      </c>
    </row>
    <row r="44" spans="1:105" ht="11.45" customHeight="1" x14ac:dyDescent="0.25">
      <c r="A44" s="111" t="s">
        <v>113</v>
      </c>
      <c r="B44" s="101">
        <v>3.6636892184045267</v>
      </c>
      <c r="C44" s="101">
        <v>3.9723304068745731</v>
      </c>
      <c r="D44" s="101">
        <v>4.2023734094026208</v>
      </c>
      <c r="E44" s="101">
        <v>4.4488860648149098</v>
      </c>
      <c r="F44" s="101">
        <v>4.4580225357525469</v>
      </c>
      <c r="G44" s="101">
        <v>5.1833397929025233</v>
      </c>
      <c r="H44" s="101">
        <v>5.1533445682596506</v>
      </c>
      <c r="I44" s="101">
        <v>4.3425913822350912</v>
      </c>
      <c r="J44" s="101">
        <v>3.2764799149508557</v>
      </c>
      <c r="K44" s="101">
        <v>3.1785765820003213</v>
      </c>
      <c r="L44" s="101">
        <v>2.1067327961990112</v>
      </c>
      <c r="M44" s="101">
        <v>1.6379219574924166</v>
      </c>
      <c r="N44" s="101">
        <v>2.4481162605585727</v>
      </c>
      <c r="O44" s="101">
        <v>1.4631323122980688</v>
      </c>
      <c r="P44" s="101">
        <v>2.2079342759544001</v>
      </c>
      <c r="Q44" s="101">
        <v>7.4181396401184099</v>
      </c>
      <c r="R44" s="101">
        <v>13.078219452348177</v>
      </c>
      <c r="S44" s="101">
        <v>15.350819151528171</v>
      </c>
      <c r="T44" s="101">
        <v>15.529953915024993</v>
      </c>
      <c r="U44" s="101">
        <v>14.623543785262047</v>
      </c>
      <c r="V44" s="101">
        <v>13.226737756023837</v>
      </c>
      <c r="W44" s="101">
        <v>11.859096871618961</v>
      </c>
      <c r="DA44" s="175" t="s">
        <v>487</v>
      </c>
    </row>
    <row r="45" spans="1:105" ht="11.45" customHeight="1" x14ac:dyDescent="0.25">
      <c r="A45" s="111" t="s">
        <v>115</v>
      </c>
      <c r="B45" s="101">
        <v>11.097924363773984</v>
      </c>
      <c r="C45" s="101">
        <v>10.833380749858003</v>
      </c>
      <c r="D45" s="101">
        <v>10.838503424636414</v>
      </c>
      <c r="E45" s="101">
        <v>10.888807601862272</v>
      </c>
      <c r="F45" s="101">
        <v>10.669797383056551</v>
      </c>
      <c r="G45" s="101">
        <v>5.9907280833075571</v>
      </c>
      <c r="H45" s="101">
        <v>5.0462180536354966</v>
      </c>
      <c r="I45" s="101">
        <v>4.1923879511966593</v>
      </c>
      <c r="J45" s="101">
        <v>3.3819210042651329</v>
      </c>
      <c r="K45" s="101">
        <v>2.7057101217685919</v>
      </c>
      <c r="L45" s="101">
        <v>2.0753620470290666</v>
      </c>
      <c r="M45" s="101">
        <v>1.5797971959875992</v>
      </c>
      <c r="N45" s="101">
        <v>1.1741333963463485</v>
      </c>
      <c r="O45" s="101">
        <v>0.90366797802984078</v>
      </c>
      <c r="P45" s="101">
        <v>0.67805444293536921</v>
      </c>
      <c r="Q45" s="101">
        <v>1.4019686501459703</v>
      </c>
      <c r="R45" s="101">
        <v>1.4916143310436505</v>
      </c>
      <c r="S45" s="101">
        <v>1.4442796776649696</v>
      </c>
      <c r="T45" s="101">
        <v>1.4891697379161095</v>
      </c>
      <c r="U45" s="101">
        <v>1.4883758376015233</v>
      </c>
      <c r="V45" s="101">
        <v>2.4089249561771484</v>
      </c>
      <c r="W45" s="101">
        <v>4.5081607846870293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5166.2335329185998</v>
      </c>
      <c r="C46" s="29">
        <f t="shared" ref="C46:V46" si="110">C47+C53</f>
        <v>5361.5220324397469</v>
      </c>
      <c r="D46" s="29">
        <f t="shared" si="110"/>
        <v>5561.6841436241548</v>
      </c>
      <c r="E46" s="29">
        <f t="shared" si="110"/>
        <v>5692.4848480019955</v>
      </c>
      <c r="F46" s="29">
        <f t="shared" si="110"/>
        <v>5925.1986530904123</v>
      </c>
      <c r="G46" s="29">
        <f t="shared" si="110"/>
        <v>6503.6103033329855</v>
      </c>
      <c r="H46" s="29">
        <f t="shared" si="110"/>
        <v>6684.6376752793385</v>
      </c>
      <c r="I46" s="29">
        <f t="shared" si="110"/>
        <v>7045.7063129317776</v>
      </c>
      <c r="J46" s="29">
        <f t="shared" si="110"/>
        <v>7438.1907231735659</v>
      </c>
      <c r="K46" s="29">
        <f t="shared" si="110"/>
        <v>7955.0287612155753</v>
      </c>
      <c r="L46" s="29">
        <f t="shared" si="110"/>
        <v>6794.9444909797548</v>
      </c>
      <c r="M46" s="29">
        <f t="shared" si="110"/>
        <v>6982.0506887663378</v>
      </c>
      <c r="N46" s="29">
        <f t="shared" si="110"/>
        <v>6967.2355851321736</v>
      </c>
      <c r="O46" s="29">
        <f t="shared" si="110"/>
        <v>7255.9353175813958</v>
      </c>
      <c r="P46" s="29">
        <f t="shared" si="110"/>
        <v>7429.4548573119855</v>
      </c>
      <c r="Q46" s="29">
        <f t="shared" si="110"/>
        <v>7719.6684852926974</v>
      </c>
      <c r="R46" s="29">
        <f t="shared" si="110"/>
        <v>8212.1815974543097</v>
      </c>
      <c r="S46" s="29">
        <f t="shared" si="110"/>
        <v>8651.9647786106289</v>
      </c>
      <c r="T46" s="29">
        <f t="shared" si="110"/>
        <v>9207.4362891366727</v>
      </c>
      <c r="U46" s="29">
        <f t="shared" si="110"/>
        <v>9747.7966457472103</v>
      </c>
      <c r="V46" s="29">
        <f t="shared" si="110"/>
        <v>9999.686924274436</v>
      </c>
      <c r="W46" s="29">
        <f t="shared" ref="W46" si="111">W47+W53</f>
        <v>10637.018218306668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3452.5354522339294</v>
      </c>
      <c r="C47" s="152">
        <f t="shared" ref="C47:V47" si="113">SUM(C48:C52)</f>
        <v>3609.5821131653593</v>
      </c>
      <c r="D47" s="152">
        <f t="shared" si="113"/>
        <v>3826.2058956266696</v>
      </c>
      <c r="E47" s="152">
        <f t="shared" si="113"/>
        <v>3952.3555364411131</v>
      </c>
      <c r="F47" s="152">
        <f t="shared" si="113"/>
        <v>4008.9777059641037</v>
      </c>
      <c r="G47" s="152">
        <f t="shared" si="113"/>
        <v>4158.0900877401773</v>
      </c>
      <c r="H47" s="152">
        <f t="shared" si="113"/>
        <v>4154.9909688657572</v>
      </c>
      <c r="I47" s="152">
        <f t="shared" si="113"/>
        <v>4344.735983604588</v>
      </c>
      <c r="J47" s="152">
        <f t="shared" si="113"/>
        <v>4742.4157499590365</v>
      </c>
      <c r="K47" s="152">
        <f t="shared" si="113"/>
        <v>5450.2421641075534</v>
      </c>
      <c r="L47" s="152">
        <f t="shared" si="113"/>
        <v>4652.4317844543812</v>
      </c>
      <c r="M47" s="152">
        <f t="shared" si="113"/>
        <v>4886.3271810991528</v>
      </c>
      <c r="N47" s="152">
        <f t="shared" si="113"/>
        <v>5047.2992994921897</v>
      </c>
      <c r="O47" s="152">
        <f t="shared" si="113"/>
        <v>5311.0420392602946</v>
      </c>
      <c r="P47" s="152">
        <f t="shared" si="113"/>
        <v>5445.3086892149486</v>
      </c>
      <c r="Q47" s="152">
        <f t="shared" si="113"/>
        <v>5636.4268992883544</v>
      </c>
      <c r="R47" s="152">
        <f t="shared" si="113"/>
        <v>5988.2665123160286</v>
      </c>
      <c r="S47" s="152">
        <f t="shared" si="113"/>
        <v>6367.460223088181</v>
      </c>
      <c r="T47" s="152">
        <f t="shared" si="113"/>
        <v>6789.2534586758393</v>
      </c>
      <c r="U47" s="152">
        <f t="shared" si="113"/>
        <v>7254.7656355557265</v>
      </c>
      <c r="V47" s="152">
        <f t="shared" si="113"/>
        <v>7582.8375829315864</v>
      </c>
      <c r="W47" s="152">
        <f t="shared" ref="W47" si="114">SUM(W48:W52)</f>
        <v>7931.4045955223628</v>
      </c>
      <c r="DA47" s="174" t="s">
        <v>490</v>
      </c>
    </row>
    <row r="48" spans="1:105" ht="11.45" customHeight="1" x14ac:dyDescent="0.25">
      <c r="A48" s="111" t="s">
        <v>110</v>
      </c>
      <c r="B48" s="87">
        <v>1074.3146196837934</v>
      </c>
      <c r="C48" s="87">
        <v>992.07867540169093</v>
      </c>
      <c r="D48" s="87">
        <v>888.46652638770183</v>
      </c>
      <c r="E48" s="87">
        <v>796.17365610357558</v>
      </c>
      <c r="F48" s="87">
        <v>717.12145204173066</v>
      </c>
      <c r="G48" s="87">
        <v>646.44056165479026</v>
      </c>
      <c r="H48" s="87">
        <v>581.66282422898053</v>
      </c>
      <c r="I48" s="87">
        <v>516.94405026540085</v>
      </c>
      <c r="J48" s="87">
        <v>421.51321660900544</v>
      </c>
      <c r="K48" s="87">
        <v>379.61365817705268</v>
      </c>
      <c r="L48" s="87">
        <v>341.1407968148003</v>
      </c>
      <c r="M48" s="87">
        <v>301.21769125005261</v>
      </c>
      <c r="N48" s="87">
        <v>286.03288400203826</v>
      </c>
      <c r="O48" s="87">
        <v>271.68009935256106</v>
      </c>
      <c r="P48" s="87">
        <v>249.03922589593489</v>
      </c>
      <c r="Q48" s="87">
        <v>223.99174325948147</v>
      </c>
      <c r="R48" s="87">
        <v>211.88866327787639</v>
      </c>
      <c r="S48" s="87">
        <v>207.28203371991862</v>
      </c>
      <c r="T48" s="87">
        <v>205.97562451141278</v>
      </c>
      <c r="U48" s="87">
        <v>206.08514991360852</v>
      </c>
      <c r="V48" s="87">
        <v>196.19410811080616</v>
      </c>
      <c r="W48" s="87">
        <v>190.45291860109222</v>
      </c>
      <c r="DA48" s="171" t="s">
        <v>491</v>
      </c>
    </row>
    <row r="49" spans="1:105" ht="11.45" customHeight="1" x14ac:dyDescent="0.25">
      <c r="A49" s="111" t="s">
        <v>111</v>
      </c>
      <c r="B49" s="87">
        <v>2378.152633518117</v>
      </c>
      <c r="C49" s="87">
        <v>2615.7069654374709</v>
      </c>
      <c r="D49" s="87">
        <v>2936.0344719635095</v>
      </c>
      <c r="E49" s="87">
        <v>3154.4941859678997</v>
      </c>
      <c r="F49" s="87">
        <v>3290.2023324134175</v>
      </c>
      <c r="G49" s="87">
        <v>3510.0480224368948</v>
      </c>
      <c r="H49" s="87">
        <v>3571.7619733613597</v>
      </c>
      <c r="I49" s="87">
        <v>3826.287234232695</v>
      </c>
      <c r="J49" s="87">
        <v>4319.4703142226235</v>
      </c>
      <c r="K49" s="87">
        <v>5069.286493591233</v>
      </c>
      <c r="L49" s="87">
        <v>4310.0507560120859</v>
      </c>
      <c r="M49" s="87">
        <v>4583.9808093937027</v>
      </c>
      <c r="N49" s="87">
        <v>4760.2047011178311</v>
      </c>
      <c r="O49" s="87">
        <v>5037.5762483492226</v>
      </c>
      <c r="P49" s="87">
        <v>5194.3528028478477</v>
      </c>
      <c r="Q49" s="87">
        <v>5407.2855106883708</v>
      </c>
      <c r="R49" s="87">
        <v>5770.7780900527532</v>
      </c>
      <c r="S49" s="87">
        <v>6153.2169399092581</v>
      </c>
      <c r="T49" s="87">
        <v>6574.2738892911393</v>
      </c>
      <c r="U49" s="87">
        <v>7038.7127059699469</v>
      </c>
      <c r="V49" s="87">
        <v>7375.0976319812517</v>
      </c>
      <c r="W49" s="87">
        <v>7726.6745152228095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1.7282999108791119</v>
      </c>
      <c r="D50" s="87">
        <v>1.6367493188378712</v>
      </c>
      <c r="E50" s="87">
        <v>1.6195734598341096</v>
      </c>
      <c r="F50" s="87">
        <v>1.5858302552920351</v>
      </c>
      <c r="G50" s="87">
        <v>1.5431620629927152</v>
      </c>
      <c r="H50" s="87">
        <v>1.5078534324706028</v>
      </c>
      <c r="I50" s="87">
        <v>1.4464025256315429</v>
      </c>
      <c r="J50" s="87">
        <v>1.3836548721206288</v>
      </c>
      <c r="K50" s="87">
        <v>1.2934717704086713</v>
      </c>
      <c r="L50" s="87">
        <v>1.2014184188507688</v>
      </c>
      <c r="M50" s="87">
        <v>1.0898869254190995</v>
      </c>
      <c r="N50" s="87">
        <v>0.99385968744306363</v>
      </c>
      <c r="O50" s="87">
        <v>0.87801313533233505</v>
      </c>
      <c r="P50" s="87">
        <v>0.7598681979356311</v>
      </c>
      <c r="Q50" s="87">
        <v>0.68503659417402896</v>
      </c>
      <c r="R50" s="87">
        <v>0.57002411615650661</v>
      </c>
      <c r="S50" s="87">
        <v>0.4571143545196415</v>
      </c>
      <c r="T50" s="87">
        <v>0.37291451970119149</v>
      </c>
      <c r="U50" s="87">
        <v>0.28146059424031278</v>
      </c>
      <c r="V50" s="87">
        <v>0.24395603969783941</v>
      </c>
      <c r="W50" s="87">
        <v>0.19850359642368962</v>
      </c>
      <c r="DA50" s="171" t="s">
        <v>493</v>
      </c>
    </row>
    <row r="51" spans="1:105" ht="11.45" customHeight="1" x14ac:dyDescent="0.25">
      <c r="A51" s="111" t="s">
        <v>113</v>
      </c>
      <c r="B51" s="87">
        <v>6.8199032019019473E-2</v>
      </c>
      <c r="C51" s="87">
        <v>6.8172415318095411E-2</v>
      </c>
      <c r="D51" s="87">
        <v>6.8147956620648195E-2</v>
      </c>
      <c r="E51" s="87">
        <v>6.8120909803983734E-2</v>
      </c>
      <c r="F51" s="87">
        <v>6.8091253663787155E-2</v>
      </c>
      <c r="G51" s="87">
        <v>5.8341585500083851E-2</v>
      </c>
      <c r="H51" s="87">
        <v>5.8317842946739931E-2</v>
      </c>
      <c r="I51" s="87">
        <v>5.8296580860540577E-2</v>
      </c>
      <c r="J51" s="87">
        <v>4.8564255286266997E-2</v>
      </c>
      <c r="K51" s="87">
        <v>4.8540568859211555E-2</v>
      </c>
      <c r="L51" s="87">
        <v>3.8813208643372163E-2</v>
      </c>
      <c r="M51" s="87">
        <v>3.879352997830459E-2</v>
      </c>
      <c r="N51" s="87">
        <v>6.7854684877405216E-2</v>
      </c>
      <c r="O51" s="87">
        <v>0.75575230433778073</v>
      </c>
      <c r="P51" s="87">
        <v>0.99756531835098894</v>
      </c>
      <c r="Q51" s="87">
        <v>4.1532696618515779</v>
      </c>
      <c r="R51" s="87">
        <v>4.3495482805937842</v>
      </c>
      <c r="S51" s="87">
        <v>5.1373658307475472</v>
      </c>
      <c r="T51" s="87">
        <v>5.848601890862053</v>
      </c>
      <c r="U51" s="87">
        <v>6.017261175008775</v>
      </c>
      <c r="V51" s="87">
        <v>6.1178447064544867</v>
      </c>
      <c r="W51" s="87">
        <v>6.1213928868976648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0.15192611884075785</v>
      </c>
      <c r="P52" s="87">
        <v>0.15922695487986882</v>
      </c>
      <c r="Q52" s="87">
        <v>0.31133908447771919</v>
      </c>
      <c r="R52" s="87">
        <v>0.68018658864838843</v>
      </c>
      <c r="S52" s="87">
        <v>1.3667692737373931</v>
      </c>
      <c r="T52" s="87">
        <v>2.782428462723165</v>
      </c>
      <c r="U52" s="87">
        <v>3.6690579029221455</v>
      </c>
      <c r="V52" s="87">
        <v>5.1840420933756475</v>
      </c>
      <c r="W52" s="87">
        <v>7.9572652151403105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1713.6980806846702</v>
      </c>
      <c r="C53" s="116">
        <f t="shared" ref="C53:V53" si="116">SUM(C54:C55)</f>
        <v>1751.9399192743872</v>
      </c>
      <c r="D53" s="116">
        <f t="shared" si="116"/>
        <v>1735.4782479974849</v>
      </c>
      <c r="E53" s="116">
        <f t="shared" si="116"/>
        <v>1740.1293115608828</v>
      </c>
      <c r="F53" s="116">
        <f t="shared" si="116"/>
        <v>1916.2209471263086</v>
      </c>
      <c r="G53" s="116">
        <f t="shared" si="116"/>
        <v>2345.5202155928082</v>
      </c>
      <c r="H53" s="116">
        <f t="shared" si="116"/>
        <v>2529.6467064135818</v>
      </c>
      <c r="I53" s="116">
        <f t="shared" si="116"/>
        <v>2700.9703293271896</v>
      </c>
      <c r="J53" s="116">
        <f t="shared" si="116"/>
        <v>2695.7749732145298</v>
      </c>
      <c r="K53" s="116">
        <f t="shared" si="116"/>
        <v>2504.7865971080223</v>
      </c>
      <c r="L53" s="116">
        <f t="shared" si="116"/>
        <v>2142.5127065253732</v>
      </c>
      <c r="M53" s="116">
        <f t="shared" si="116"/>
        <v>2095.7235076671845</v>
      </c>
      <c r="N53" s="116">
        <f t="shared" si="116"/>
        <v>1919.9362856399835</v>
      </c>
      <c r="O53" s="116">
        <f t="shared" si="116"/>
        <v>1944.893278321101</v>
      </c>
      <c r="P53" s="116">
        <f t="shared" si="116"/>
        <v>1984.1461680970372</v>
      </c>
      <c r="Q53" s="116">
        <f t="shared" si="116"/>
        <v>2083.2415860043425</v>
      </c>
      <c r="R53" s="116">
        <f t="shared" si="116"/>
        <v>2223.9150851382815</v>
      </c>
      <c r="S53" s="116">
        <f t="shared" si="116"/>
        <v>2284.5045555224488</v>
      </c>
      <c r="T53" s="116">
        <f t="shared" si="116"/>
        <v>2418.1828304608339</v>
      </c>
      <c r="U53" s="116">
        <f t="shared" si="116"/>
        <v>2493.0310101914838</v>
      </c>
      <c r="V53" s="116">
        <f t="shared" si="116"/>
        <v>2416.8493413428496</v>
      </c>
      <c r="W53" s="116">
        <f t="shared" ref="W53" si="117">SUM(W54:W55)</f>
        <v>2705.6136227843058</v>
      </c>
      <c r="DA53" s="176" t="s">
        <v>496</v>
      </c>
    </row>
    <row r="54" spans="1:105" ht="11.45" customHeight="1" x14ac:dyDescent="0.25">
      <c r="A54" s="128" t="s">
        <v>27</v>
      </c>
      <c r="B54" s="101">
        <v>1166.2378538234052</v>
      </c>
      <c r="C54" s="101">
        <v>1165</v>
      </c>
      <c r="D54" s="101">
        <v>1118</v>
      </c>
      <c r="E54" s="101">
        <v>1109</v>
      </c>
      <c r="F54" s="101">
        <v>1170</v>
      </c>
      <c r="G54" s="101">
        <v>1573</v>
      </c>
      <c r="H54" s="101">
        <v>1690</v>
      </c>
      <c r="I54" s="101">
        <v>1782</v>
      </c>
      <c r="J54" s="101">
        <v>1678</v>
      </c>
      <c r="K54" s="101">
        <v>1764</v>
      </c>
      <c r="L54" s="101">
        <v>1439</v>
      </c>
      <c r="M54" s="101">
        <v>1350</v>
      </c>
      <c r="N54" s="101">
        <v>1169</v>
      </c>
      <c r="O54" s="101">
        <v>1179</v>
      </c>
      <c r="P54" s="101">
        <v>1198</v>
      </c>
      <c r="Q54" s="101">
        <v>1244</v>
      </c>
      <c r="R54" s="101">
        <v>1319</v>
      </c>
      <c r="S54" s="101">
        <v>1297</v>
      </c>
      <c r="T54" s="101">
        <v>1428</v>
      </c>
      <c r="U54" s="101">
        <v>1478</v>
      </c>
      <c r="V54" s="101">
        <v>1455</v>
      </c>
      <c r="W54" s="101">
        <v>1641</v>
      </c>
      <c r="DA54" s="175" t="s">
        <v>497</v>
      </c>
    </row>
    <row r="55" spans="1:105" ht="11.45" customHeight="1" x14ac:dyDescent="0.25">
      <c r="A55" s="138" t="s">
        <v>116</v>
      </c>
      <c r="B55" s="88">
        <v>547.46022686126503</v>
      </c>
      <c r="C55" s="88">
        <v>586.93991927438719</v>
      </c>
      <c r="D55" s="88">
        <v>617.47824799748491</v>
      </c>
      <c r="E55" s="88">
        <v>631.12931156088291</v>
      </c>
      <c r="F55" s="88">
        <v>746.2209471263086</v>
      </c>
      <c r="G55" s="88">
        <v>772.52021559280831</v>
      </c>
      <c r="H55" s="88">
        <v>839.6467064135818</v>
      </c>
      <c r="I55" s="88">
        <v>918.97032932718946</v>
      </c>
      <c r="J55" s="88">
        <v>1017.7749732145298</v>
      </c>
      <c r="K55" s="88">
        <v>740.78659710802231</v>
      </c>
      <c r="L55" s="88">
        <v>703.51270652537335</v>
      </c>
      <c r="M55" s="88">
        <v>745.72350766718466</v>
      </c>
      <c r="N55" s="88">
        <v>750.93628563998334</v>
      </c>
      <c r="O55" s="88">
        <v>765.89327832110098</v>
      </c>
      <c r="P55" s="88">
        <v>786.14616809703716</v>
      </c>
      <c r="Q55" s="88">
        <v>839.24158600434259</v>
      </c>
      <c r="R55" s="88">
        <v>904.91508513828148</v>
      </c>
      <c r="S55" s="88">
        <v>987.50455552244887</v>
      </c>
      <c r="T55" s="88">
        <v>990.182830460834</v>
      </c>
      <c r="U55" s="88">
        <v>1015.0310101914837</v>
      </c>
      <c r="V55" s="88">
        <v>961.8493413428497</v>
      </c>
      <c r="W55" s="88">
        <v>1064.6136227843058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2822267</v>
      </c>
      <c r="C57" s="54">
        <f t="shared" si="118"/>
        <v>2958915</v>
      </c>
      <c r="D57" s="54">
        <f t="shared" si="118"/>
        <v>3127811</v>
      </c>
      <c r="E57" s="54">
        <f t="shared" si="118"/>
        <v>3293686</v>
      </c>
      <c r="F57" s="54">
        <f t="shared" si="118"/>
        <v>3358522</v>
      </c>
      <c r="G57" s="54">
        <f t="shared" si="118"/>
        <v>3465013</v>
      </c>
      <c r="H57" s="54">
        <f t="shared" si="118"/>
        <v>3789084</v>
      </c>
      <c r="I57" s="54">
        <f t="shared" si="118"/>
        <v>3854910</v>
      </c>
      <c r="J57" s="54">
        <f t="shared" si="118"/>
        <v>3664711</v>
      </c>
      <c r="K57" s="54">
        <f t="shared" si="118"/>
        <v>3615569</v>
      </c>
      <c r="L57" s="54">
        <f t="shared" ref="L57" si="119">L58+L73</f>
        <v>3585118</v>
      </c>
      <c r="M57" s="54">
        <f t="shared" ref="M57:V57" si="120">M58+M73</f>
        <v>3574046</v>
      </c>
      <c r="N57" s="54">
        <f t="shared" si="120"/>
        <v>3597092</v>
      </c>
      <c r="O57" s="54">
        <f t="shared" si="120"/>
        <v>3674835</v>
      </c>
      <c r="P57" s="54">
        <f t="shared" si="120"/>
        <v>3763430</v>
      </c>
      <c r="Q57" s="54">
        <f t="shared" si="120"/>
        <v>3860536</v>
      </c>
      <c r="R57" s="54">
        <f t="shared" si="120"/>
        <v>3996914</v>
      </c>
      <c r="S57" s="54">
        <f t="shared" si="120"/>
        <v>4187853</v>
      </c>
      <c r="T57" s="54">
        <f t="shared" si="120"/>
        <v>4397180</v>
      </c>
      <c r="U57" s="54">
        <f t="shared" si="120"/>
        <v>4606753</v>
      </c>
      <c r="V57" s="54">
        <f t="shared" si="120"/>
        <v>4741954</v>
      </c>
      <c r="W57" s="54">
        <f t="shared" ref="W57" si="121">W58+W73</f>
        <v>4870990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2472339</v>
      </c>
      <c r="C58" s="28">
        <f t="shared" si="122"/>
        <v>2594268</v>
      </c>
      <c r="D58" s="28">
        <f t="shared" si="122"/>
        <v>2745656</v>
      </c>
      <c r="E58" s="28">
        <f t="shared" si="122"/>
        <v>2900114</v>
      </c>
      <c r="F58" s="28">
        <f t="shared" si="122"/>
        <v>2961205</v>
      </c>
      <c r="G58" s="28">
        <f t="shared" si="122"/>
        <v>3053804</v>
      </c>
      <c r="H58" s="28">
        <f t="shared" si="122"/>
        <v>3363961</v>
      </c>
      <c r="I58" s="28">
        <f t="shared" si="122"/>
        <v>3417863</v>
      </c>
      <c r="J58" s="28">
        <f t="shared" si="122"/>
        <v>3215870</v>
      </c>
      <c r="K58" s="28">
        <f t="shared" si="122"/>
        <v>3173649</v>
      </c>
      <c r="L58" s="28">
        <f t="shared" ref="L58" si="123">L59+L60+L67</f>
        <v>3144073</v>
      </c>
      <c r="M58" s="28">
        <f t="shared" ref="M58:V58" si="124">M59+M60+M67</f>
        <v>3132604</v>
      </c>
      <c r="N58" s="28">
        <f t="shared" si="124"/>
        <v>3154738</v>
      </c>
      <c r="O58" s="28">
        <f t="shared" si="124"/>
        <v>3225469</v>
      </c>
      <c r="P58" s="28">
        <f t="shared" si="124"/>
        <v>3299146</v>
      </c>
      <c r="Q58" s="28">
        <f t="shared" si="124"/>
        <v>3377873</v>
      </c>
      <c r="R58" s="28">
        <f t="shared" si="124"/>
        <v>3493884</v>
      </c>
      <c r="S58" s="28">
        <f t="shared" si="124"/>
        <v>3658167</v>
      </c>
      <c r="T58" s="28">
        <f t="shared" si="124"/>
        <v>3837044</v>
      </c>
      <c r="U58" s="28">
        <f t="shared" si="124"/>
        <v>4017413</v>
      </c>
      <c r="V58" s="28">
        <f t="shared" si="124"/>
        <v>4132406</v>
      </c>
      <c r="W58" s="28">
        <f t="shared" ref="W58" si="125">W59+W60+W67</f>
        <v>4240452</v>
      </c>
      <c r="DA58" s="173" t="s">
        <v>500</v>
      </c>
    </row>
    <row r="59" spans="1:105" ht="11.45" customHeight="1" x14ac:dyDescent="0.25">
      <c r="A59" s="136" t="s">
        <v>180</v>
      </c>
      <c r="B59" s="137">
        <v>91193</v>
      </c>
      <c r="C59" s="137">
        <v>93088</v>
      </c>
      <c r="D59" s="137">
        <v>97593</v>
      </c>
      <c r="E59" s="137">
        <v>103493</v>
      </c>
      <c r="F59" s="137">
        <v>114038</v>
      </c>
      <c r="G59" s="137">
        <v>122705</v>
      </c>
      <c r="H59" s="137">
        <v>130187.99999999999</v>
      </c>
      <c r="I59" s="137">
        <v>135865</v>
      </c>
      <c r="J59" s="137">
        <v>141540</v>
      </c>
      <c r="K59" s="137">
        <v>141956</v>
      </c>
      <c r="L59" s="137">
        <v>142251</v>
      </c>
      <c r="M59" s="137">
        <v>147382</v>
      </c>
      <c r="N59" s="137">
        <v>151405</v>
      </c>
      <c r="O59" s="137">
        <v>157178</v>
      </c>
      <c r="P59" s="137">
        <v>161540</v>
      </c>
      <c r="Q59" s="137">
        <v>162828</v>
      </c>
      <c r="R59" s="137">
        <v>162148</v>
      </c>
      <c r="S59" s="137">
        <v>167400</v>
      </c>
      <c r="T59" s="137">
        <v>176070</v>
      </c>
      <c r="U59" s="137">
        <v>185943</v>
      </c>
      <c r="V59" s="137">
        <v>194594</v>
      </c>
      <c r="W59" s="137">
        <v>202521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2363000</v>
      </c>
      <c r="C60" s="110">
        <f t="shared" si="126"/>
        <v>2482800</v>
      </c>
      <c r="D60" s="110">
        <f t="shared" si="126"/>
        <v>2629500</v>
      </c>
      <c r="E60" s="110">
        <f t="shared" si="126"/>
        <v>2778000</v>
      </c>
      <c r="F60" s="110">
        <f t="shared" si="126"/>
        <v>2829000</v>
      </c>
      <c r="G60" s="110">
        <f t="shared" si="126"/>
        <v>2913000</v>
      </c>
      <c r="H60" s="110">
        <f t="shared" si="126"/>
        <v>3214000</v>
      </c>
      <c r="I60" s="110">
        <f t="shared" si="126"/>
        <v>3262000</v>
      </c>
      <c r="J60" s="110">
        <f t="shared" si="126"/>
        <v>3056000</v>
      </c>
      <c r="K60" s="110">
        <f t="shared" si="126"/>
        <v>3013730</v>
      </c>
      <c r="L60" s="110">
        <f t="shared" ref="L60" si="127">SUM(L61:L66)</f>
        <v>2984060</v>
      </c>
      <c r="M60" s="110">
        <f t="shared" ref="M60:V60" si="128">SUM(M61:M66)</f>
        <v>2967810</v>
      </c>
      <c r="N60" s="110">
        <f t="shared" si="128"/>
        <v>2986030</v>
      </c>
      <c r="O60" s="110">
        <f t="shared" si="128"/>
        <v>3050722</v>
      </c>
      <c r="P60" s="110">
        <f t="shared" si="128"/>
        <v>3119683</v>
      </c>
      <c r="Q60" s="110">
        <f t="shared" si="128"/>
        <v>3196856</v>
      </c>
      <c r="R60" s="110">
        <f t="shared" si="128"/>
        <v>3313206</v>
      </c>
      <c r="S60" s="110">
        <f t="shared" si="128"/>
        <v>3471997</v>
      </c>
      <c r="T60" s="110">
        <f t="shared" si="128"/>
        <v>3641823</v>
      </c>
      <c r="U60" s="110">
        <f t="shared" si="128"/>
        <v>3812013</v>
      </c>
      <c r="V60" s="110">
        <f t="shared" si="128"/>
        <v>3920799</v>
      </c>
      <c r="W60" s="110">
        <f t="shared" ref="W60" si="129">SUM(W61:W66)</f>
        <v>4020159</v>
      </c>
      <c r="DA60" s="176" t="s">
        <v>502</v>
      </c>
    </row>
    <row r="61" spans="1:105" ht="11.45" customHeight="1" x14ac:dyDescent="0.25">
      <c r="A61" s="111" t="s">
        <v>110</v>
      </c>
      <c r="B61" s="84">
        <v>2131608</v>
      </c>
      <c r="C61" s="84">
        <v>2222827</v>
      </c>
      <c r="D61" s="84">
        <v>2331164</v>
      </c>
      <c r="E61" s="84">
        <v>2385421</v>
      </c>
      <c r="F61" s="84">
        <v>2390611</v>
      </c>
      <c r="G61" s="84">
        <v>2503916</v>
      </c>
      <c r="H61" s="84">
        <v>2672623</v>
      </c>
      <c r="I61" s="84">
        <v>2669958</v>
      </c>
      <c r="J61" s="84">
        <v>2428796</v>
      </c>
      <c r="K61" s="84">
        <v>2378835</v>
      </c>
      <c r="L61" s="84">
        <v>2331639</v>
      </c>
      <c r="M61" s="84">
        <v>2285941</v>
      </c>
      <c r="N61" s="84">
        <v>2260220</v>
      </c>
      <c r="O61" s="84">
        <v>2260257</v>
      </c>
      <c r="P61" s="84">
        <v>2255798</v>
      </c>
      <c r="Q61" s="84">
        <v>2254345</v>
      </c>
      <c r="R61" s="84">
        <v>2287785</v>
      </c>
      <c r="S61" s="84">
        <v>2361058</v>
      </c>
      <c r="T61" s="84">
        <v>2453721</v>
      </c>
      <c r="U61" s="84">
        <v>2555178</v>
      </c>
      <c r="V61" s="84">
        <v>2618645</v>
      </c>
      <c r="W61" s="84">
        <v>2678687</v>
      </c>
      <c r="DA61" s="171" t="s">
        <v>503</v>
      </c>
    </row>
    <row r="62" spans="1:105" ht="11.45" customHeight="1" x14ac:dyDescent="0.25">
      <c r="A62" s="111" t="s">
        <v>111</v>
      </c>
      <c r="B62" s="84">
        <v>231392</v>
      </c>
      <c r="C62" s="84">
        <v>256573</v>
      </c>
      <c r="D62" s="84">
        <v>294959</v>
      </c>
      <c r="E62" s="84">
        <v>339365</v>
      </c>
      <c r="F62" s="84">
        <v>387907</v>
      </c>
      <c r="G62" s="84">
        <v>358835</v>
      </c>
      <c r="H62" s="84">
        <v>491494</v>
      </c>
      <c r="I62" s="84">
        <v>542674</v>
      </c>
      <c r="J62" s="84">
        <v>583503</v>
      </c>
      <c r="K62" s="84">
        <v>598013</v>
      </c>
      <c r="L62" s="84">
        <v>613328</v>
      </c>
      <c r="M62" s="84">
        <v>635659</v>
      </c>
      <c r="N62" s="84">
        <v>677346</v>
      </c>
      <c r="O62" s="84">
        <v>735833</v>
      </c>
      <c r="P62" s="84">
        <v>805234</v>
      </c>
      <c r="Q62" s="84">
        <v>880860</v>
      </c>
      <c r="R62" s="84">
        <v>963618</v>
      </c>
      <c r="S62" s="84">
        <v>1049631</v>
      </c>
      <c r="T62" s="84">
        <v>1129355</v>
      </c>
      <c r="U62" s="84">
        <v>1201892</v>
      </c>
      <c r="V62" s="84">
        <v>1249492</v>
      </c>
      <c r="W62" s="84">
        <v>1286700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3400</v>
      </c>
      <c r="D63" s="84">
        <v>3377</v>
      </c>
      <c r="E63" s="84">
        <v>53214</v>
      </c>
      <c r="F63" s="84">
        <v>50482</v>
      </c>
      <c r="G63" s="84">
        <v>50249</v>
      </c>
      <c r="H63" s="84">
        <v>49883</v>
      </c>
      <c r="I63" s="84">
        <v>49368</v>
      </c>
      <c r="J63" s="84">
        <v>43701</v>
      </c>
      <c r="K63" s="84">
        <v>36882</v>
      </c>
      <c r="L63" s="84">
        <v>38914</v>
      </c>
      <c r="M63" s="84">
        <v>45713</v>
      </c>
      <c r="N63" s="84">
        <v>47962</v>
      </c>
      <c r="O63" s="84">
        <v>53685</v>
      </c>
      <c r="P63" s="84">
        <v>57401</v>
      </c>
      <c r="Q63" s="84">
        <v>59182</v>
      </c>
      <c r="R63" s="84">
        <v>58803</v>
      </c>
      <c r="S63" s="84">
        <v>56653</v>
      </c>
      <c r="T63" s="84">
        <v>51381</v>
      </c>
      <c r="U63" s="84">
        <v>43954</v>
      </c>
      <c r="V63" s="84">
        <v>34723</v>
      </c>
      <c r="W63" s="84">
        <v>24141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2</v>
      </c>
      <c r="M64" s="84">
        <v>4</v>
      </c>
      <c r="N64" s="84">
        <v>3</v>
      </c>
      <c r="O64" s="84">
        <v>440</v>
      </c>
      <c r="P64" s="84">
        <v>696</v>
      </c>
      <c r="Q64" s="84">
        <v>1742</v>
      </c>
      <c r="R64" s="84">
        <v>1899</v>
      </c>
      <c r="S64" s="84">
        <v>2137</v>
      </c>
      <c r="T64" s="84">
        <v>2259</v>
      </c>
      <c r="U64" s="84">
        <v>2272</v>
      </c>
      <c r="V64" s="84">
        <v>2275</v>
      </c>
      <c r="W64" s="84">
        <v>2277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17</v>
      </c>
      <c r="O65" s="84">
        <v>17</v>
      </c>
      <c r="P65" s="84">
        <v>40</v>
      </c>
      <c r="Q65" s="84">
        <v>99</v>
      </c>
      <c r="R65" s="84">
        <v>284</v>
      </c>
      <c r="S65" s="84">
        <v>522</v>
      </c>
      <c r="T65" s="84">
        <v>1268</v>
      </c>
      <c r="U65" s="84">
        <v>2122</v>
      </c>
      <c r="V65" s="84">
        <v>4652</v>
      </c>
      <c r="W65" s="84">
        <v>9531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177</v>
      </c>
      <c r="M66" s="84">
        <v>493</v>
      </c>
      <c r="N66" s="84">
        <v>482</v>
      </c>
      <c r="O66" s="84">
        <v>490</v>
      </c>
      <c r="P66" s="84">
        <v>514</v>
      </c>
      <c r="Q66" s="84">
        <v>628</v>
      </c>
      <c r="R66" s="84">
        <v>817</v>
      </c>
      <c r="S66" s="84">
        <v>1996</v>
      </c>
      <c r="T66" s="84">
        <v>3839</v>
      </c>
      <c r="U66" s="84">
        <v>6595</v>
      </c>
      <c r="V66" s="84">
        <v>11012</v>
      </c>
      <c r="W66" s="84">
        <v>18823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18146</v>
      </c>
      <c r="C67" s="110">
        <f t="shared" si="130"/>
        <v>18380</v>
      </c>
      <c r="D67" s="110">
        <f t="shared" si="130"/>
        <v>18563</v>
      </c>
      <c r="E67" s="110">
        <f t="shared" si="130"/>
        <v>18621</v>
      </c>
      <c r="F67" s="110">
        <f t="shared" si="130"/>
        <v>18167</v>
      </c>
      <c r="G67" s="110">
        <f t="shared" si="130"/>
        <v>18099</v>
      </c>
      <c r="H67" s="110">
        <f t="shared" si="130"/>
        <v>19773</v>
      </c>
      <c r="I67" s="110">
        <f t="shared" si="130"/>
        <v>19998</v>
      </c>
      <c r="J67" s="110">
        <f t="shared" si="130"/>
        <v>18330</v>
      </c>
      <c r="K67" s="110">
        <f t="shared" si="130"/>
        <v>17963</v>
      </c>
      <c r="L67" s="110">
        <f t="shared" ref="L67" si="131">SUM(L68:L72)</f>
        <v>17762</v>
      </c>
      <c r="M67" s="110">
        <f t="shared" ref="M67:V67" si="132">SUM(M68:M72)</f>
        <v>17412</v>
      </c>
      <c r="N67" s="110">
        <f t="shared" si="132"/>
        <v>17303</v>
      </c>
      <c r="O67" s="110">
        <f t="shared" si="132"/>
        <v>17569</v>
      </c>
      <c r="P67" s="110">
        <f t="shared" si="132"/>
        <v>17923</v>
      </c>
      <c r="Q67" s="110">
        <f t="shared" si="132"/>
        <v>18189</v>
      </c>
      <c r="R67" s="110">
        <f t="shared" si="132"/>
        <v>18530</v>
      </c>
      <c r="S67" s="110">
        <f t="shared" si="132"/>
        <v>18770</v>
      </c>
      <c r="T67" s="110">
        <f t="shared" si="132"/>
        <v>19151</v>
      </c>
      <c r="U67" s="110">
        <f t="shared" si="132"/>
        <v>19457</v>
      </c>
      <c r="V67" s="110">
        <f t="shared" si="132"/>
        <v>17013</v>
      </c>
      <c r="W67" s="110">
        <f t="shared" ref="W67" si="133">SUM(W68:W72)</f>
        <v>17772</v>
      </c>
      <c r="DA67" s="176" t="s">
        <v>509</v>
      </c>
    </row>
    <row r="68" spans="1:105" ht="11.45" customHeight="1" x14ac:dyDescent="0.25">
      <c r="A68" s="111" t="s">
        <v>110</v>
      </c>
      <c r="B68" s="102">
        <v>2355</v>
      </c>
      <c r="C68" s="102">
        <v>2138</v>
      </c>
      <c r="D68" s="102">
        <v>1915</v>
      </c>
      <c r="E68" s="102">
        <v>1692</v>
      </c>
      <c r="F68" s="102">
        <v>1475</v>
      </c>
      <c r="G68" s="102">
        <v>1265</v>
      </c>
      <c r="H68" s="102">
        <v>1066</v>
      </c>
      <c r="I68" s="102">
        <v>882</v>
      </c>
      <c r="J68" s="102">
        <v>722</v>
      </c>
      <c r="K68" s="102">
        <v>575</v>
      </c>
      <c r="L68" s="102">
        <v>452</v>
      </c>
      <c r="M68" s="102">
        <v>352</v>
      </c>
      <c r="N68" s="102">
        <v>287</v>
      </c>
      <c r="O68" s="102">
        <v>280</v>
      </c>
      <c r="P68" s="102">
        <v>242</v>
      </c>
      <c r="Q68" s="102">
        <v>185</v>
      </c>
      <c r="R68" s="102">
        <v>125</v>
      </c>
      <c r="S68" s="102">
        <v>103</v>
      </c>
      <c r="T68" s="102">
        <v>102</v>
      </c>
      <c r="U68" s="102">
        <v>101</v>
      </c>
      <c r="V68" s="102">
        <v>105</v>
      </c>
      <c r="W68" s="102">
        <v>103</v>
      </c>
      <c r="DA68" s="175" t="s">
        <v>510</v>
      </c>
    </row>
    <row r="69" spans="1:105" ht="11.45" customHeight="1" x14ac:dyDescent="0.25">
      <c r="A69" s="111" t="s">
        <v>111</v>
      </c>
      <c r="B69" s="102">
        <v>15449</v>
      </c>
      <c r="C69" s="102">
        <v>15896</v>
      </c>
      <c r="D69" s="102">
        <v>16302</v>
      </c>
      <c r="E69" s="102">
        <v>16572</v>
      </c>
      <c r="F69" s="102">
        <v>16340</v>
      </c>
      <c r="G69" s="102">
        <v>16581</v>
      </c>
      <c r="H69" s="102">
        <v>18475</v>
      </c>
      <c r="I69" s="102">
        <v>18923</v>
      </c>
      <c r="J69" s="102">
        <v>17458</v>
      </c>
      <c r="K69" s="102">
        <v>17253</v>
      </c>
      <c r="L69" s="102">
        <v>17209</v>
      </c>
      <c r="M69" s="102">
        <v>16980</v>
      </c>
      <c r="N69" s="102">
        <v>16935</v>
      </c>
      <c r="O69" s="102">
        <v>17230</v>
      </c>
      <c r="P69" s="102">
        <v>17607</v>
      </c>
      <c r="Q69" s="102">
        <v>17789</v>
      </c>
      <c r="R69" s="102">
        <v>18080</v>
      </c>
      <c r="S69" s="102">
        <v>18303</v>
      </c>
      <c r="T69" s="102">
        <v>18679</v>
      </c>
      <c r="U69" s="102">
        <v>19002</v>
      </c>
      <c r="V69" s="102">
        <v>16559</v>
      </c>
      <c r="W69" s="102">
        <v>17281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1</v>
      </c>
      <c r="Q70" s="102">
        <v>1</v>
      </c>
      <c r="R70" s="102">
        <v>2</v>
      </c>
      <c r="S70" s="102">
        <v>2</v>
      </c>
      <c r="T70" s="102">
        <v>2</v>
      </c>
      <c r="U70" s="102">
        <v>2</v>
      </c>
      <c r="V70" s="102">
        <v>2</v>
      </c>
      <c r="W70" s="102">
        <v>2</v>
      </c>
      <c r="DA70" s="175" t="s">
        <v>512</v>
      </c>
    </row>
    <row r="71" spans="1:105" ht="11.45" customHeight="1" x14ac:dyDescent="0.25">
      <c r="A71" s="111" t="s">
        <v>113</v>
      </c>
      <c r="B71" s="102">
        <v>95</v>
      </c>
      <c r="C71" s="102">
        <v>105</v>
      </c>
      <c r="D71" s="102">
        <v>105</v>
      </c>
      <c r="E71" s="102">
        <v>115</v>
      </c>
      <c r="F71" s="102">
        <v>115</v>
      </c>
      <c r="G71" s="102">
        <v>120</v>
      </c>
      <c r="H71" s="102">
        <v>120</v>
      </c>
      <c r="I71" s="102">
        <v>100</v>
      </c>
      <c r="J71" s="102">
        <v>75</v>
      </c>
      <c r="K71" s="102">
        <v>75</v>
      </c>
      <c r="L71" s="102">
        <v>55</v>
      </c>
      <c r="M71" s="102">
        <v>45</v>
      </c>
      <c r="N71" s="102">
        <v>55</v>
      </c>
      <c r="O71" s="102">
        <v>39</v>
      </c>
      <c r="P71" s="102">
        <v>58</v>
      </c>
      <c r="Q71" s="102">
        <v>183</v>
      </c>
      <c r="R71" s="102">
        <v>290</v>
      </c>
      <c r="S71" s="102">
        <v>330</v>
      </c>
      <c r="T71" s="102">
        <v>335</v>
      </c>
      <c r="U71" s="102">
        <v>319</v>
      </c>
      <c r="V71" s="102">
        <v>293</v>
      </c>
      <c r="W71" s="102">
        <v>286</v>
      </c>
      <c r="DA71" s="175" t="s">
        <v>513</v>
      </c>
    </row>
    <row r="72" spans="1:105" ht="11.45" customHeight="1" x14ac:dyDescent="0.25">
      <c r="A72" s="111" t="s">
        <v>115</v>
      </c>
      <c r="B72" s="102">
        <v>247</v>
      </c>
      <c r="C72" s="102">
        <v>241</v>
      </c>
      <c r="D72" s="102">
        <v>241</v>
      </c>
      <c r="E72" s="102">
        <v>242</v>
      </c>
      <c r="F72" s="102">
        <v>237</v>
      </c>
      <c r="G72" s="102">
        <v>133</v>
      </c>
      <c r="H72" s="102">
        <v>112</v>
      </c>
      <c r="I72" s="102">
        <v>93</v>
      </c>
      <c r="J72" s="102">
        <v>75</v>
      </c>
      <c r="K72" s="102">
        <v>60</v>
      </c>
      <c r="L72" s="102">
        <v>46</v>
      </c>
      <c r="M72" s="102">
        <v>35</v>
      </c>
      <c r="N72" s="102">
        <v>26</v>
      </c>
      <c r="O72" s="102">
        <v>20</v>
      </c>
      <c r="P72" s="102">
        <v>15</v>
      </c>
      <c r="Q72" s="102">
        <v>31</v>
      </c>
      <c r="R72" s="102">
        <v>33</v>
      </c>
      <c r="S72" s="102">
        <v>32</v>
      </c>
      <c r="T72" s="102">
        <v>33</v>
      </c>
      <c r="U72" s="102">
        <v>33</v>
      </c>
      <c r="V72" s="102">
        <v>54</v>
      </c>
      <c r="W72" s="102">
        <v>100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349928</v>
      </c>
      <c r="C73" s="28">
        <f t="shared" si="134"/>
        <v>364647</v>
      </c>
      <c r="D73" s="28">
        <f t="shared" si="134"/>
        <v>382155</v>
      </c>
      <c r="E73" s="28">
        <f t="shared" si="134"/>
        <v>393572</v>
      </c>
      <c r="F73" s="28">
        <f t="shared" si="134"/>
        <v>397317</v>
      </c>
      <c r="G73" s="28">
        <f t="shared" si="134"/>
        <v>411209</v>
      </c>
      <c r="H73" s="28">
        <f t="shared" si="134"/>
        <v>425123</v>
      </c>
      <c r="I73" s="28">
        <f t="shared" si="134"/>
        <v>437047</v>
      </c>
      <c r="J73" s="28">
        <f t="shared" si="134"/>
        <v>448841</v>
      </c>
      <c r="K73" s="28">
        <f t="shared" si="134"/>
        <v>441920</v>
      </c>
      <c r="L73" s="28">
        <f t="shared" ref="L73" si="135">L74+L80</f>
        <v>441045</v>
      </c>
      <c r="M73" s="28">
        <f t="shared" ref="M73:V73" si="136">M74+M80</f>
        <v>441442</v>
      </c>
      <c r="N73" s="28">
        <f t="shared" si="136"/>
        <v>442354</v>
      </c>
      <c r="O73" s="28">
        <f t="shared" si="136"/>
        <v>449366</v>
      </c>
      <c r="P73" s="28">
        <f t="shared" si="136"/>
        <v>464284</v>
      </c>
      <c r="Q73" s="28">
        <f t="shared" si="136"/>
        <v>482663</v>
      </c>
      <c r="R73" s="28">
        <f t="shared" si="136"/>
        <v>503030</v>
      </c>
      <c r="S73" s="28">
        <f t="shared" si="136"/>
        <v>529686</v>
      </c>
      <c r="T73" s="28">
        <f t="shared" si="136"/>
        <v>560136</v>
      </c>
      <c r="U73" s="28">
        <f t="shared" si="136"/>
        <v>589340</v>
      </c>
      <c r="V73" s="28">
        <f t="shared" si="136"/>
        <v>609548</v>
      </c>
      <c r="W73" s="28">
        <f t="shared" ref="W73" si="137">W74+W80</f>
        <v>630538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220504</v>
      </c>
      <c r="C74" s="137">
        <f t="shared" si="138"/>
        <v>230397</v>
      </c>
      <c r="D74" s="137">
        <f t="shared" si="138"/>
        <v>243373</v>
      </c>
      <c r="E74" s="137">
        <f t="shared" si="138"/>
        <v>251478</v>
      </c>
      <c r="F74" s="137">
        <f t="shared" si="138"/>
        <v>255904</v>
      </c>
      <c r="G74" s="137">
        <f t="shared" si="138"/>
        <v>265913</v>
      </c>
      <c r="H74" s="137">
        <f t="shared" si="138"/>
        <v>267161</v>
      </c>
      <c r="I74" s="137">
        <f t="shared" si="138"/>
        <v>280510</v>
      </c>
      <c r="J74" s="137">
        <f t="shared" si="138"/>
        <v>306139</v>
      </c>
      <c r="K74" s="137">
        <f t="shared" si="138"/>
        <v>353776</v>
      </c>
      <c r="L74" s="137">
        <f t="shared" ref="L74" si="139">SUM(L75:L79)</f>
        <v>305966</v>
      </c>
      <c r="M74" s="137">
        <f t="shared" ref="M74:V74" si="140">SUM(M75:M79)</f>
        <v>323840</v>
      </c>
      <c r="N74" s="137">
        <f t="shared" si="140"/>
        <v>337798</v>
      </c>
      <c r="O74" s="137">
        <f t="shared" si="140"/>
        <v>358475</v>
      </c>
      <c r="P74" s="137">
        <f t="shared" si="140"/>
        <v>370285</v>
      </c>
      <c r="Q74" s="137">
        <f t="shared" si="140"/>
        <v>385901</v>
      </c>
      <c r="R74" s="137">
        <f t="shared" si="140"/>
        <v>403682</v>
      </c>
      <c r="S74" s="137">
        <f t="shared" si="140"/>
        <v>422995</v>
      </c>
      <c r="T74" s="137">
        <f t="shared" si="140"/>
        <v>444588</v>
      </c>
      <c r="U74" s="137">
        <f t="shared" si="140"/>
        <v>468274</v>
      </c>
      <c r="V74" s="137">
        <f t="shared" si="140"/>
        <v>483463</v>
      </c>
      <c r="W74" s="137">
        <f t="shared" ref="W74" si="141">SUM(W75:W79)</f>
        <v>499641</v>
      </c>
      <c r="DA74" s="174" t="s">
        <v>516</v>
      </c>
    </row>
    <row r="75" spans="1:105" ht="11.45" customHeight="1" x14ac:dyDescent="0.25">
      <c r="A75" s="111" t="s">
        <v>110</v>
      </c>
      <c r="B75" s="84">
        <v>80599</v>
      </c>
      <c r="C75" s="84">
        <v>75042</v>
      </c>
      <c r="D75" s="84">
        <v>67713</v>
      </c>
      <c r="E75" s="84">
        <v>61187</v>
      </c>
      <c r="F75" s="84">
        <v>55618</v>
      </c>
      <c r="G75" s="84">
        <v>50541</v>
      </c>
      <c r="H75" s="84">
        <v>46132</v>
      </c>
      <c r="I75" s="84">
        <v>41934</v>
      </c>
      <c r="J75" s="84">
        <v>34950</v>
      </c>
      <c r="K75" s="84">
        <v>32277</v>
      </c>
      <c r="L75" s="84">
        <v>29749</v>
      </c>
      <c r="M75" s="84">
        <v>26947</v>
      </c>
      <c r="N75" s="84">
        <v>26247</v>
      </c>
      <c r="O75" s="84">
        <v>25546</v>
      </c>
      <c r="P75" s="84">
        <v>23977</v>
      </c>
      <c r="Q75" s="84">
        <v>22071</v>
      </c>
      <c r="R75" s="84">
        <v>20308</v>
      </c>
      <c r="S75" s="84">
        <v>19322</v>
      </c>
      <c r="T75" s="84">
        <v>18671</v>
      </c>
      <c r="U75" s="84">
        <v>18164</v>
      </c>
      <c r="V75" s="84">
        <v>17344</v>
      </c>
      <c r="W75" s="84">
        <v>16886</v>
      </c>
      <c r="DA75" s="171" t="s">
        <v>517</v>
      </c>
    </row>
    <row r="76" spans="1:105" ht="11.45" customHeight="1" x14ac:dyDescent="0.25">
      <c r="A76" s="111" t="s">
        <v>111</v>
      </c>
      <c r="B76" s="84">
        <v>139898</v>
      </c>
      <c r="C76" s="84">
        <v>155139</v>
      </c>
      <c r="D76" s="84">
        <v>175455</v>
      </c>
      <c r="E76" s="84">
        <v>190088</v>
      </c>
      <c r="F76" s="84">
        <v>200087</v>
      </c>
      <c r="G76" s="84">
        <v>215180</v>
      </c>
      <c r="H76" s="84">
        <v>220843</v>
      </c>
      <c r="I76" s="84">
        <v>238399</v>
      </c>
      <c r="J76" s="84">
        <v>271022</v>
      </c>
      <c r="K76" s="84">
        <v>321344</v>
      </c>
      <c r="L76" s="84">
        <v>276075</v>
      </c>
      <c r="M76" s="84">
        <v>296765</v>
      </c>
      <c r="N76" s="84">
        <v>311432</v>
      </c>
      <c r="O76" s="84">
        <v>332732</v>
      </c>
      <c r="P76" s="84">
        <v>346099</v>
      </c>
      <c r="Q76" s="84">
        <v>363283</v>
      </c>
      <c r="R76" s="84">
        <v>382768</v>
      </c>
      <c r="S76" s="84">
        <v>402903</v>
      </c>
      <c r="T76" s="84">
        <v>424887</v>
      </c>
      <c r="U76" s="84">
        <v>448950</v>
      </c>
      <c r="V76" s="84">
        <v>464737</v>
      </c>
      <c r="W76" s="84">
        <v>480999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209</v>
      </c>
      <c r="D77" s="84">
        <v>198</v>
      </c>
      <c r="E77" s="84">
        <v>196</v>
      </c>
      <c r="F77" s="84">
        <v>192</v>
      </c>
      <c r="G77" s="84">
        <v>186</v>
      </c>
      <c r="H77" s="84">
        <v>180</v>
      </c>
      <c r="I77" s="84">
        <v>171</v>
      </c>
      <c r="J77" s="84">
        <v>162</v>
      </c>
      <c r="K77" s="84">
        <v>150</v>
      </c>
      <c r="L77" s="84">
        <v>138</v>
      </c>
      <c r="M77" s="84">
        <v>124</v>
      </c>
      <c r="N77" s="84">
        <v>112</v>
      </c>
      <c r="O77" s="84">
        <v>98</v>
      </c>
      <c r="P77" s="84">
        <v>84</v>
      </c>
      <c r="Q77" s="84">
        <v>75</v>
      </c>
      <c r="R77" s="84">
        <v>63</v>
      </c>
      <c r="S77" s="84">
        <v>51</v>
      </c>
      <c r="T77" s="84">
        <v>42</v>
      </c>
      <c r="U77" s="84">
        <v>32</v>
      </c>
      <c r="V77" s="84">
        <v>28</v>
      </c>
      <c r="W77" s="84">
        <v>23</v>
      </c>
      <c r="DA77" s="171" t="s">
        <v>519</v>
      </c>
    </row>
    <row r="78" spans="1:105" ht="11.45" customHeight="1" x14ac:dyDescent="0.25">
      <c r="A78" s="111" t="s">
        <v>113</v>
      </c>
      <c r="B78" s="84">
        <v>7</v>
      </c>
      <c r="C78" s="84">
        <v>7</v>
      </c>
      <c r="D78" s="84">
        <v>7</v>
      </c>
      <c r="E78" s="84">
        <v>7</v>
      </c>
      <c r="F78" s="84">
        <v>7</v>
      </c>
      <c r="G78" s="84">
        <v>6</v>
      </c>
      <c r="H78" s="84">
        <v>6</v>
      </c>
      <c r="I78" s="84">
        <v>6</v>
      </c>
      <c r="J78" s="84">
        <v>5</v>
      </c>
      <c r="K78" s="84">
        <v>5</v>
      </c>
      <c r="L78" s="84">
        <v>4</v>
      </c>
      <c r="M78" s="84">
        <v>4</v>
      </c>
      <c r="N78" s="84">
        <v>7</v>
      </c>
      <c r="O78" s="84">
        <v>78</v>
      </c>
      <c r="P78" s="84">
        <v>103</v>
      </c>
      <c r="Q78" s="84">
        <v>429</v>
      </c>
      <c r="R78" s="84">
        <v>449</v>
      </c>
      <c r="S78" s="84">
        <v>530</v>
      </c>
      <c r="T78" s="84">
        <v>603</v>
      </c>
      <c r="U78" s="84">
        <v>620</v>
      </c>
      <c r="V78" s="84">
        <v>630</v>
      </c>
      <c r="W78" s="84">
        <v>630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21</v>
      </c>
      <c r="P79" s="84">
        <v>22</v>
      </c>
      <c r="Q79" s="84">
        <v>43</v>
      </c>
      <c r="R79" s="84">
        <v>94</v>
      </c>
      <c r="S79" s="84">
        <v>189</v>
      </c>
      <c r="T79" s="84">
        <v>385</v>
      </c>
      <c r="U79" s="84">
        <v>508</v>
      </c>
      <c r="V79" s="84">
        <v>724</v>
      </c>
      <c r="W79" s="84">
        <v>1103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129424</v>
      </c>
      <c r="C80" s="110">
        <f t="shared" si="142"/>
        <v>134250</v>
      </c>
      <c r="D80" s="110">
        <f t="shared" si="142"/>
        <v>138782</v>
      </c>
      <c r="E80" s="110">
        <f t="shared" si="142"/>
        <v>142094</v>
      </c>
      <c r="F80" s="110">
        <f t="shared" si="142"/>
        <v>141413</v>
      </c>
      <c r="G80" s="110">
        <f t="shared" si="142"/>
        <v>145296</v>
      </c>
      <c r="H80" s="110">
        <f t="shared" si="142"/>
        <v>157962</v>
      </c>
      <c r="I80" s="110">
        <f t="shared" si="142"/>
        <v>156537</v>
      </c>
      <c r="J80" s="110">
        <f t="shared" si="142"/>
        <v>142702</v>
      </c>
      <c r="K80" s="110">
        <f t="shared" si="142"/>
        <v>88144</v>
      </c>
      <c r="L80" s="110">
        <f t="shared" ref="L80" si="143">SUM(L81:L82)</f>
        <v>135079</v>
      </c>
      <c r="M80" s="110">
        <f t="shared" ref="M80:V80" si="144">SUM(M81:M82)</f>
        <v>117602</v>
      </c>
      <c r="N80" s="110">
        <f t="shared" si="144"/>
        <v>104556</v>
      </c>
      <c r="O80" s="110">
        <f t="shared" si="144"/>
        <v>90891</v>
      </c>
      <c r="P80" s="110">
        <f t="shared" si="144"/>
        <v>93999</v>
      </c>
      <c r="Q80" s="110">
        <f t="shared" si="144"/>
        <v>96762</v>
      </c>
      <c r="R80" s="110">
        <f t="shared" si="144"/>
        <v>99348</v>
      </c>
      <c r="S80" s="110">
        <f t="shared" si="144"/>
        <v>106691</v>
      </c>
      <c r="T80" s="110">
        <f t="shared" si="144"/>
        <v>115548</v>
      </c>
      <c r="U80" s="110">
        <f t="shared" si="144"/>
        <v>121066</v>
      </c>
      <c r="V80" s="110">
        <f t="shared" si="144"/>
        <v>126085</v>
      </c>
      <c r="W80" s="110">
        <f t="shared" ref="W80" si="145">SUM(W81:W82)</f>
        <v>130897</v>
      </c>
      <c r="DA80" s="176" t="s">
        <v>522</v>
      </c>
    </row>
    <row r="81" spans="1:105" ht="11.45" customHeight="1" x14ac:dyDescent="0.25">
      <c r="A81" s="128" t="s">
        <v>27</v>
      </c>
      <c r="B81" s="102">
        <v>122983</v>
      </c>
      <c r="C81" s="102">
        <v>127345</v>
      </c>
      <c r="D81" s="102">
        <v>131518</v>
      </c>
      <c r="E81" s="102">
        <v>134669</v>
      </c>
      <c r="F81" s="102">
        <v>132634</v>
      </c>
      <c r="G81" s="102">
        <v>136208</v>
      </c>
      <c r="H81" s="102">
        <v>148084</v>
      </c>
      <c r="I81" s="102">
        <v>145726</v>
      </c>
      <c r="J81" s="102">
        <v>130728</v>
      </c>
      <c r="K81" s="102">
        <v>79429</v>
      </c>
      <c r="L81" s="102">
        <v>126802</v>
      </c>
      <c r="M81" s="102">
        <v>108829</v>
      </c>
      <c r="N81" s="102">
        <v>95721</v>
      </c>
      <c r="O81" s="102">
        <v>81880</v>
      </c>
      <c r="P81" s="102">
        <v>84750</v>
      </c>
      <c r="Q81" s="102">
        <v>86889</v>
      </c>
      <c r="R81" s="102">
        <v>88702</v>
      </c>
      <c r="S81" s="102">
        <v>95073</v>
      </c>
      <c r="T81" s="102">
        <v>103899</v>
      </c>
      <c r="U81" s="102">
        <v>109124</v>
      </c>
      <c r="V81" s="102">
        <v>114769</v>
      </c>
      <c r="W81" s="102">
        <v>118372</v>
      </c>
      <c r="DA81" s="175" t="s">
        <v>523</v>
      </c>
    </row>
    <row r="82" spans="1:105" ht="11.45" customHeight="1" x14ac:dyDescent="0.25">
      <c r="A82" s="138" t="s">
        <v>116</v>
      </c>
      <c r="B82" s="86">
        <v>6441</v>
      </c>
      <c r="C82" s="86">
        <v>6905</v>
      </c>
      <c r="D82" s="86">
        <v>7264</v>
      </c>
      <c r="E82" s="86">
        <v>7425</v>
      </c>
      <c r="F82" s="86">
        <v>8779</v>
      </c>
      <c r="G82" s="86">
        <v>9088</v>
      </c>
      <c r="H82" s="86">
        <v>9878</v>
      </c>
      <c r="I82" s="86">
        <v>10811</v>
      </c>
      <c r="J82" s="86">
        <v>11974</v>
      </c>
      <c r="K82" s="86">
        <v>8715</v>
      </c>
      <c r="L82" s="86">
        <v>8277</v>
      </c>
      <c r="M82" s="86">
        <v>8773</v>
      </c>
      <c r="N82" s="86">
        <v>8835</v>
      </c>
      <c r="O82" s="86">
        <v>9011</v>
      </c>
      <c r="P82" s="86">
        <v>9249</v>
      </c>
      <c r="Q82" s="86">
        <v>9873</v>
      </c>
      <c r="R82" s="86">
        <v>10646</v>
      </c>
      <c r="S82" s="86">
        <v>11618</v>
      </c>
      <c r="T82" s="86">
        <v>11649</v>
      </c>
      <c r="U82" s="86">
        <v>11942</v>
      </c>
      <c r="V82" s="86">
        <v>11316</v>
      </c>
      <c r="W82" s="86">
        <v>12525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2822267</v>
      </c>
      <c r="C84" s="54">
        <f t="shared" si="146"/>
        <v>2958915</v>
      </c>
      <c r="D84" s="54">
        <f t="shared" ref="D84:V84" si="147">D85+D100</f>
        <v>3127811</v>
      </c>
      <c r="E84" s="54">
        <f t="shared" si="147"/>
        <v>3293686</v>
      </c>
      <c r="F84" s="54">
        <f t="shared" si="147"/>
        <v>3358522</v>
      </c>
      <c r="G84" s="54">
        <f t="shared" si="147"/>
        <v>3465013</v>
      </c>
      <c r="H84" s="54">
        <f t="shared" si="147"/>
        <v>3789084</v>
      </c>
      <c r="I84" s="54">
        <f t="shared" si="147"/>
        <v>3854910</v>
      </c>
      <c r="J84" s="54">
        <f t="shared" si="147"/>
        <v>3664711</v>
      </c>
      <c r="K84" s="54">
        <f t="shared" si="147"/>
        <v>3615569</v>
      </c>
      <c r="L84" s="54">
        <f t="shared" si="147"/>
        <v>3585118</v>
      </c>
      <c r="M84" s="54">
        <f t="shared" si="147"/>
        <v>3574046</v>
      </c>
      <c r="N84" s="54">
        <f t="shared" si="147"/>
        <v>3597092</v>
      </c>
      <c r="O84" s="54">
        <f t="shared" si="147"/>
        <v>3674835</v>
      </c>
      <c r="P84" s="54">
        <f t="shared" si="147"/>
        <v>3763430</v>
      </c>
      <c r="Q84" s="54">
        <f t="shared" si="147"/>
        <v>3860536</v>
      </c>
      <c r="R84" s="54">
        <f t="shared" si="147"/>
        <v>3996914</v>
      </c>
      <c r="S84" s="54">
        <f t="shared" si="147"/>
        <v>4187853</v>
      </c>
      <c r="T84" s="54">
        <f t="shared" si="147"/>
        <v>4397180</v>
      </c>
      <c r="U84" s="54">
        <f t="shared" si="147"/>
        <v>4606753</v>
      </c>
      <c r="V84" s="54">
        <f t="shared" si="147"/>
        <v>4741954</v>
      </c>
      <c r="W84" s="54">
        <f t="shared" ref="W84" si="148">W85+W100</f>
        <v>4870990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2472339</v>
      </c>
      <c r="C85" s="28">
        <f t="shared" si="149"/>
        <v>2594268</v>
      </c>
      <c r="D85" s="28">
        <f t="shared" ref="D85:V85" si="150">D86+D87+D94</f>
        <v>2745656</v>
      </c>
      <c r="E85" s="28">
        <f t="shared" si="150"/>
        <v>2900114</v>
      </c>
      <c r="F85" s="28">
        <f t="shared" si="150"/>
        <v>2961205</v>
      </c>
      <c r="G85" s="28">
        <f t="shared" si="150"/>
        <v>3053804</v>
      </c>
      <c r="H85" s="28">
        <f t="shared" si="150"/>
        <v>3363961</v>
      </c>
      <c r="I85" s="28">
        <f t="shared" si="150"/>
        <v>3417863</v>
      </c>
      <c r="J85" s="28">
        <f t="shared" si="150"/>
        <v>3215870</v>
      </c>
      <c r="K85" s="28">
        <f t="shared" si="150"/>
        <v>3173649</v>
      </c>
      <c r="L85" s="28">
        <f t="shared" si="150"/>
        <v>3144073</v>
      </c>
      <c r="M85" s="28">
        <f t="shared" si="150"/>
        <v>3132604</v>
      </c>
      <c r="N85" s="28">
        <f t="shared" si="150"/>
        <v>3154738</v>
      </c>
      <c r="O85" s="28">
        <f t="shared" si="150"/>
        <v>3225469</v>
      </c>
      <c r="P85" s="28">
        <f t="shared" si="150"/>
        <v>3299146</v>
      </c>
      <c r="Q85" s="28">
        <f t="shared" si="150"/>
        <v>3377873</v>
      </c>
      <c r="R85" s="28">
        <f t="shared" si="150"/>
        <v>3493884</v>
      </c>
      <c r="S85" s="28">
        <f t="shared" si="150"/>
        <v>3658167</v>
      </c>
      <c r="T85" s="28">
        <f t="shared" si="150"/>
        <v>3837044</v>
      </c>
      <c r="U85" s="28">
        <f t="shared" si="150"/>
        <v>4017413</v>
      </c>
      <c r="V85" s="28">
        <f t="shared" si="150"/>
        <v>4132406</v>
      </c>
      <c r="W85" s="28">
        <f t="shared" ref="W85" si="151">W86+W87+W94</f>
        <v>4240452</v>
      </c>
      <c r="DA85" s="173"/>
    </row>
    <row r="86" spans="1:105" ht="11.45" hidden="1" customHeight="1" x14ac:dyDescent="0.25">
      <c r="A86" s="136" t="s">
        <v>180</v>
      </c>
      <c r="B86" s="137">
        <v>91193</v>
      </c>
      <c r="C86" s="137">
        <v>93088</v>
      </c>
      <c r="D86" s="137">
        <v>97593</v>
      </c>
      <c r="E86" s="137">
        <v>103493</v>
      </c>
      <c r="F86" s="137">
        <v>114038</v>
      </c>
      <c r="G86" s="137">
        <v>122705</v>
      </c>
      <c r="H86" s="137">
        <v>130187.99999999999</v>
      </c>
      <c r="I86" s="137">
        <v>135865</v>
      </c>
      <c r="J86" s="137">
        <v>141540</v>
      </c>
      <c r="K86" s="137">
        <v>141956</v>
      </c>
      <c r="L86" s="137">
        <v>142251</v>
      </c>
      <c r="M86" s="137">
        <v>147382</v>
      </c>
      <c r="N86" s="137">
        <v>151405</v>
      </c>
      <c r="O86" s="137">
        <v>157178</v>
      </c>
      <c r="P86" s="137">
        <v>161540</v>
      </c>
      <c r="Q86" s="137">
        <v>162828</v>
      </c>
      <c r="R86" s="137">
        <v>162148</v>
      </c>
      <c r="S86" s="137">
        <v>167400</v>
      </c>
      <c r="T86" s="137">
        <v>176070</v>
      </c>
      <c r="U86" s="137">
        <v>185943</v>
      </c>
      <c r="V86" s="137">
        <v>194594</v>
      </c>
      <c r="W86" s="137">
        <v>202521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2363000</v>
      </c>
      <c r="C87" s="110">
        <f t="shared" si="152"/>
        <v>2482800</v>
      </c>
      <c r="D87" s="110">
        <f t="shared" ref="D87:V87" si="153">SUM(D88:D93)</f>
        <v>2629500</v>
      </c>
      <c r="E87" s="110">
        <f t="shared" si="153"/>
        <v>2778000</v>
      </c>
      <c r="F87" s="110">
        <f t="shared" si="153"/>
        <v>2829000</v>
      </c>
      <c r="G87" s="110">
        <f t="shared" si="153"/>
        <v>2913000</v>
      </c>
      <c r="H87" s="110">
        <f t="shared" si="153"/>
        <v>3214000</v>
      </c>
      <c r="I87" s="110">
        <f t="shared" si="153"/>
        <v>3262000</v>
      </c>
      <c r="J87" s="110">
        <f t="shared" si="153"/>
        <v>3056000</v>
      </c>
      <c r="K87" s="110">
        <f t="shared" si="153"/>
        <v>3013730</v>
      </c>
      <c r="L87" s="110">
        <f t="shared" si="153"/>
        <v>2984060</v>
      </c>
      <c r="M87" s="110">
        <f t="shared" si="153"/>
        <v>2967810</v>
      </c>
      <c r="N87" s="110">
        <f t="shared" si="153"/>
        <v>2986030</v>
      </c>
      <c r="O87" s="110">
        <f t="shared" si="153"/>
        <v>3050722</v>
      </c>
      <c r="P87" s="110">
        <f t="shared" si="153"/>
        <v>3119683</v>
      </c>
      <c r="Q87" s="110">
        <f t="shared" si="153"/>
        <v>3196856</v>
      </c>
      <c r="R87" s="110">
        <f t="shared" si="153"/>
        <v>3313206</v>
      </c>
      <c r="S87" s="110">
        <f t="shared" si="153"/>
        <v>3471997</v>
      </c>
      <c r="T87" s="110">
        <f t="shared" si="153"/>
        <v>3641823</v>
      </c>
      <c r="U87" s="110">
        <f t="shared" si="153"/>
        <v>3812013</v>
      </c>
      <c r="V87" s="110">
        <f t="shared" si="153"/>
        <v>3920799</v>
      </c>
      <c r="W87" s="110">
        <f t="shared" ref="W87" si="154">SUM(W88:W93)</f>
        <v>4020159</v>
      </c>
      <c r="DA87" s="176"/>
    </row>
    <row r="88" spans="1:105" ht="11.45" hidden="1" customHeight="1" x14ac:dyDescent="0.25">
      <c r="A88" s="111" t="s">
        <v>110</v>
      </c>
      <c r="B88" s="84">
        <v>2131608</v>
      </c>
      <c r="C88" s="84">
        <v>2222827</v>
      </c>
      <c r="D88" s="84">
        <v>2331164</v>
      </c>
      <c r="E88" s="84">
        <v>2385421</v>
      </c>
      <c r="F88" s="84">
        <v>2390611</v>
      </c>
      <c r="G88" s="84">
        <v>2503916</v>
      </c>
      <c r="H88" s="84">
        <v>2672623</v>
      </c>
      <c r="I88" s="84">
        <v>2669958</v>
      </c>
      <c r="J88" s="84">
        <v>2428796</v>
      </c>
      <c r="K88" s="84">
        <v>2378835</v>
      </c>
      <c r="L88" s="84">
        <v>2331639</v>
      </c>
      <c r="M88" s="84">
        <v>2285941</v>
      </c>
      <c r="N88" s="84">
        <v>2260220</v>
      </c>
      <c r="O88" s="84">
        <v>2260257</v>
      </c>
      <c r="P88" s="84">
        <v>2255798</v>
      </c>
      <c r="Q88" s="84">
        <v>2254345</v>
      </c>
      <c r="R88" s="84">
        <v>2287785</v>
      </c>
      <c r="S88" s="84">
        <v>2361058</v>
      </c>
      <c r="T88" s="84">
        <v>2453721</v>
      </c>
      <c r="U88" s="84">
        <v>2555178</v>
      </c>
      <c r="V88" s="84">
        <v>2618645</v>
      </c>
      <c r="W88" s="84">
        <v>2678687</v>
      </c>
      <c r="DA88" s="171"/>
    </row>
    <row r="89" spans="1:105" ht="11.45" hidden="1" customHeight="1" x14ac:dyDescent="0.25">
      <c r="A89" s="111" t="s">
        <v>111</v>
      </c>
      <c r="B89" s="84">
        <v>231392</v>
      </c>
      <c r="C89" s="84">
        <v>256573</v>
      </c>
      <c r="D89" s="84">
        <v>294959</v>
      </c>
      <c r="E89" s="84">
        <v>339365</v>
      </c>
      <c r="F89" s="84">
        <v>387907</v>
      </c>
      <c r="G89" s="84">
        <v>358835</v>
      </c>
      <c r="H89" s="84">
        <v>491494</v>
      </c>
      <c r="I89" s="84">
        <v>542674</v>
      </c>
      <c r="J89" s="84">
        <v>583503</v>
      </c>
      <c r="K89" s="84">
        <v>598013</v>
      </c>
      <c r="L89" s="84">
        <v>613328</v>
      </c>
      <c r="M89" s="84">
        <v>635659</v>
      </c>
      <c r="N89" s="84">
        <v>677346</v>
      </c>
      <c r="O89" s="84">
        <v>735833</v>
      </c>
      <c r="P89" s="84">
        <v>805234</v>
      </c>
      <c r="Q89" s="84">
        <v>880860</v>
      </c>
      <c r="R89" s="84">
        <v>963618</v>
      </c>
      <c r="S89" s="84">
        <v>1049631</v>
      </c>
      <c r="T89" s="84">
        <v>1129355</v>
      </c>
      <c r="U89" s="84">
        <v>1201892</v>
      </c>
      <c r="V89" s="84">
        <v>1249492</v>
      </c>
      <c r="W89" s="84">
        <v>1286700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3400</v>
      </c>
      <c r="D90" s="84">
        <v>3377</v>
      </c>
      <c r="E90" s="84">
        <v>53214</v>
      </c>
      <c r="F90" s="84">
        <v>50482</v>
      </c>
      <c r="G90" s="84">
        <v>50249</v>
      </c>
      <c r="H90" s="84">
        <v>49883</v>
      </c>
      <c r="I90" s="84">
        <v>49368</v>
      </c>
      <c r="J90" s="84">
        <v>43701</v>
      </c>
      <c r="K90" s="84">
        <v>36882</v>
      </c>
      <c r="L90" s="84">
        <v>38914</v>
      </c>
      <c r="M90" s="84">
        <v>45713</v>
      </c>
      <c r="N90" s="84">
        <v>47962</v>
      </c>
      <c r="O90" s="84">
        <v>53685</v>
      </c>
      <c r="P90" s="84">
        <v>57401</v>
      </c>
      <c r="Q90" s="84">
        <v>59182</v>
      </c>
      <c r="R90" s="84">
        <v>58803</v>
      </c>
      <c r="S90" s="84">
        <v>56653</v>
      </c>
      <c r="T90" s="84">
        <v>51381</v>
      </c>
      <c r="U90" s="84">
        <v>43954</v>
      </c>
      <c r="V90" s="84">
        <v>34723</v>
      </c>
      <c r="W90" s="84">
        <v>24141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2</v>
      </c>
      <c r="M91" s="84">
        <v>4</v>
      </c>
      <c r="N91" s="84">
        <v>3</v>
      </c>
      <c r="O91" s="84">
        <v>440</v>
      </c>
      <c r="P91" s="84">
        <v>696</v>
      </c>
      <c r="Q91" s="84">
        <v>1742</v>
      </c>
      <c r="R91" s="84">
        <v>1899</v>
      </c>
      <c r="S91" s="84">
        <v>2137</v>
      </c>
      <c r="T91" s="84">
        <v>2259</v>
      </c>
      <c r="U91" s="84">
        <v>2272</v>
      </c>
      <c r="V91" s="84">
        <v>2275</v>
      </c>
      <c r="W91" s="84">
        <v>2277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17</v>
      </c>
      <c r="O92" s="84">
        <v>17</v>
      </c>
      <c r="P92" s="84">
        <v>40</v>
      </c>
      <c r="Q92" s="84">
        <v>99</v>
      </c>
      <c r="R92" s="84">
        <v>284</v>
      </c>
      <c r="S92" s="84">
        <v>522</v>
      </c>
      <c r="T92" s="84">
        <v>1268</v>
      </c>
      <c r="U92" s="84">
        <v>2122</v>
      </c>
      <c r="V92" s="84">
        <v>4652</v>
      </c>
      <c r="W92" s="84">
        <v>9531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177</v>
      </c>
      <c r="M93" s="84">
        <v>493</v>
      </c>
      <c r="N93" s="84">
        <v>482</v>
      </c>
      <c r="O93" s="84">
        <v>490</v>
      </c>
      <c r="P93" s="84">
        <v>514</v>
      </c>
      <c r="Q93" s="84">
        <v>628</v>
      </c>
      <c r="R93" s="84">
        <v>817</v>
      </c>
      <c r="S93" s="84">
        <v>1996</v>
      </c>
      <c r="T93" s="84">
        <v>3839</v>
      </c>
      <c r="U93" s="84">
        <v>6595</v>
      </c>
      <c r="V93" s="84">
        <v>11012</v>
      </c>
      <c r="W93" s="84">
        <v>18823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18146</v>
      </c>
      <c r="C94" s="110">
        <f t="shared" si="155"/>
        <v>18380</v>
      </c>
      <c r="D94" s="110">
        <f t="shared" ref="D94:V94" si="156">SUM(D95:D99)</f>
        <v>18563</v>
      </c>
      <c r="E94" s="110">
        <f t="shared" si="156"/>
        <v>18621</v>
      </c>
      <c r="F94" s="110">
        <f t="shared" si="156"/>
        <v>18167</v>
      </c>
      <c r="G94" s="110">
        <f t="shared" si="156"/>
        <v>18099</v>
      </c>
      <c r="H94" s="110">
        <f t="shared" si="156"/>
        <v>19773</v>
      </c>
      <c r="I94" s="110">
        <f t="shared" si="156"/>
        <v>19998</v>
      </c>
      <c r="J94" s="110">
        <f t="shared" si="156"/>
        <v>18330</v>
      </c>
      <c r="K94" s="110">
        <f t="shared" si="156"/>
        <v>17963</v>
      </c>
      <c r="L94" s="110">
        <f t="shared" si="156"/>
        <v>17762</v>
      </c>
      <c r="M94" s="110">
        <f t="shared" si="156"/>
        <v>17412</v>
      </c>
      <c r="N94" s="110">
        <f t="shared" si="156"/>
        <v>17303</v>
      </c>
      <c r="O94" s="110">
        <f t="shared" si="156"/>
        <v>17569</v>
      </c>
      <c r="P94" s="110">
        <f t="shared" si="156"/>
        <v>17923</v>
      </c>
      <c r="Q94" s="110">
        <f t="shared" si="156"/>
        <v>18189</v>
      </c>
      <c r="R94" s="110">
        <f t="shared" si="156"/>
        <v>18530</v>
      </c>
      <c r="S94" s="110">
        <f t="shared" si="156"/>
        <v>18770</v>
      </c>
      <c r="T94" s="110">
        <f t="shared" si="156"/>
        <v>19151</v>
      </c>
      <c r="U94" s="110">
        <f t="shared" si="156"/>
        <v>19457</v>
      </c>
      <c r="V94" s="110">
        <f t="shared" si="156"/>
        <v>17013</v>
      </c>
      <c r="W94" s="110">
        <f t="shared" ref="W94" si="157">SUM(W95:W99)</f>
        <v>17772</v>
      </c>
      <c r="DA94" s="176"/>
    </row>
    <row r="95" spans="1:105" ht="11.45" hidden="1" customHeight="1" x14ac:dyDescent="0.25">
      <c r="A95" s="111" t="s">
        <v>110</v>
      </c>
      <c r="B95" s="102">
        <v>2355</v>
      </c>
      <c r="C95" s="102">
        <v>2138</v>
      </c>
      <c r="D95" s="102">
        <v>1915</v>
      </c>
      <c r="E95" s="102">
        <v>1692</v>
      </c>
      <c r="F95" s="102">
        <v>1475</v>
      </c>
      <c r="G95" s="102">
        <v>1265</v>
      </c>
      <c r="H95" s="102">
        <v>1066</v>
      </c>
      <c r="I95" s="102">
        <v>882</v>
      </c>
      <c r="J95" s="102">
        <v>722</v>
      </c>
      <c r="K95" s="102">
        <v>575</v>
      </c>
      <c r="L95" s="102">
        <v>452</v>
      </c>
      <c r="M95" s="102">
        <v>352</v>
      </c>
      <c r="N95" s="102">
        <v>287</v>
      </c>
      <c r="O95" s="102">
        <v>280</v>
      </c>
      <c r="P95" s="102">
        <v>242</v>
      </c>
      <c r="Q95" s="102">
        <v>185</v>
      </c>
      <c r="R95" s="102">
        <v>125</v>
      </c>
      <c r="S95" s="102">
        <v>103</v>
      </c>
      <c r="T95" s="102">
        <v>102</v>
      </c>
      <c r="U95" s="102">
        <v>101</v>
      </c>
      <c r="V95" s="102">
        <v>105</v>
      </c>
      <c r="W95" s="102">
        <v>103</v>
      </c>
      <c r="DA95" s="175"/>
    </row>
    <row r="96" spans="1:105" ht="11.45" hidden="1" customHeight="1" x14ac:dyDescent="0.25">
      <c r="A96" s="111" t="s">
        <v>111</v>
      </c>
      <c r="B96" s="102">
        <v>15449</v>
      </c>
      <c r="C96" s="102">
        <v>15896</v>
      </c>
      <c r="D96" s="102">
        <v>16302</v>
      </c>
      <c r="E96" s="102">
        <v>16572</v>
      </c>
      <c r="F96" s="102">
        <v>16340</v>
      </c>
      <c r="G96" s="102">
        <v>16581</v>
      </c>
      <c r="H96" s="102">
        <v>18475</v>
      </c>
      <c r="I96" s="102">
        <v>18923</v>
      </c>
      <c r="J96" s="102">
        <v>17458</v>
      </c>
      <c r="K96" s="102">
        <v>17253</v>
      </c>
      <c r="L96" s="102">
        <v>17209</v>
      </c>
      <c r="M96" s="102">
        <v>16980</v>
      </c>
      <c r="N96" s="102">
        <v>16935</v>
      </c>
      <c r="O96" s="102">
        <v>17230</v>
      </c>
      <c r="P96" s="102">
        <v>17607</v>
      </c>
      <c r="Q96" s="102">
        <v>17789</v>
      </c>
      <c r="R96" s="102">
        <v>18080</v>
      </c>
      <c r="S96" s="102">
        <v>18303</v>
      </c>
      <c r="T96" s="102">
        <v>18679</v>
      </c>
      <c r="U96" s="102">
        <v>19002</v>
      </c>
      <c r="V96" s="102">
        <v>16559</v>
      </c>
      <c r="W96" s="102">
        <v>17281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1</v>
      </c>
      <c r="Q97" s="102">
        <v>1</v>
      </c>
      <c r="R97" s="102">
        <v>2</v>
      </c>
      <c r="S97" s="102">
        <v>2</v>
      </c>
      <c r="T97" s="102">
        <v>2</v>
      </c>
      <c r="U97" s="102">
        <v>2</v>
      </c>
      <c r="V97" s="102">
        <v>2</v>
      </c>
      <c r="W97" s="102">
        <v>2</v>
      </c>
      <c r="DA97" s="175"/>
    </row>
    <row r="98" spans="1:105" ht="11.45" hidden="1" customHeight="1" x14ac:dyDescent="0.25">
      <c r="A98" s="111" t="s">
        <v>113</v>
      </c>
      <c r="B98" s="102">
        <v>95</v>
      </c>
      <c r="C98" s="102">
        <v>105</v>
      </c>
      <c r="D98" s="102">
        <v>105</v>
      </c>
      <c r="E98" s="102">
        <v>115</v>
      </c>
      <c r="F98" s="102">
        <v>115</v>
      </c>
      <c r="G98" s="102">
        <v>120</v>
      </c>
      <c r="H98" s="102">
        <v>120</v>
      </c>
      <c r="I98" s="102">
        <v>100</v>
      </c>
      <c r="J98" s="102">
        <v>75</v>
      </c>
      <c r="K98" s="102">
        <v>75</v>
      </c>
      <c r="L98" s="102">
        <v>55</v>
      </c>
      <c r="M98" s="102">
        <v>45</v>
      </c>
      <c r="N98" s="102">
        <v>55</v>
      </c>
      <c r="O98" s="102">
        <v>39</v>
      </c>
      <c r="P98" s="102">
        <v>58</v>
      </c>
      <c r="Q98" s="102">
        <v>183</v>
      </c>
      <c r="R98" s="102">
        <v>290</v>
      </c>
      <c r="S98" s="102">
        <v>330</v>
      </c>
      <c r="T98" s="102">
        <v>335</v>
      </c>
      <c r="U98" s="102">
        <v>319</v>
      </c>
      <c r="V98" s="102">
        <v>293</v>
      </c>
      <c r="W98" s="102">
        <v>286</v>
      </c>
      <c r="DA98" s="175"/>
    </row>
    <row r="99" spans="1:105" ht="11.45" hidden="1" customHeight="1" x14ac:dyDescent="0.25">
      <c r="A99" s="111" t="s">
        <v>115</v>
      </c>
      <c r="B99" s="102">
        <v>247</v>
      </c>
      <c r="C99" s="102">
        <v>241</v>
      </c>
      <c r="D99" s="102">
        <v>241</v>
      </c>
      <c r="E99" s="102">
        <v>242</v>
      </c>
      <c r="F99" s="102">
        <v>237</v>
      </c>
      <c r="G99" s="102">
        <v>133</v>
      </c>
      <c r="H99" s="102">
        <v>112</v>
      </c>
      <c r="I99" s="102">
        <v>93</v>
      </c>
      <c r="J99" s="102">
        <v>75</v>
      </c>
      <c r="K99" s="102">
        <v>60</v>
      </c>
      <c r="L99" s="102">
        <v>46</v>
      </c>
      <c r="M99" s="102">
        <v>35</v>
      </c>
      <c r="N99" s="102">
        <v>26</v>
      </c>
      <c r="O99" s="102">
        <v>20</v>
      </c>
      <c r="P99" s="102">
        <v>15</v>
      </c>
      <c r="Q99" s="102">
        <v>31</v>
      </c>
      <c r="R99" s="102">
        <v>33</v>
      </c>
      <c r="S99" s="102">
        <v>32</v>
      </c>
      <c r="T99" s="102">
        <v>33</v>
      </c>
      <c r="U99" s="102">
        <v>33</v>
      </c>
      <c r="V99" s="102">
        <v>54</v>
      </c>
      <c r="W99" s="102">
        <v>100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349928</v>
      </c>
      <c r="C100" s="28">
        <f t="shared" si="158"/>
        <v>364647</v>
      </c>
      <c r="D100" s="28">
        <f t="shared" ref="D100:V100" si="159">D101+D107</f>
        <v>382155</v>
      </c>
      <c r="E100" s="28">
        <f t="shared" si="159"/>
        <v>393572</v>
      </c>
      <c r="F100" s="28">
        <f t="shared" si="159"/>
        <v>397317</v>
      </c>
      <c r="G100" s="28">
        <f t="shared" si="159"/>
        <v>411209</v>
      </c>
      <c r="H100" s="28">
        <f t="shared" si="159"/>
        <v>425123</v>
      </c>
      <c r="I100" s="28">
        <f t="shared" si="159"/>
        <v>437047</v>
      </c>
      <c r="J100" s="28">
        <f t="shared" si="159"/>
        <v>448841</v>
      </c>
      <c r="K100" s="28">
        <f t="shared" si="159"/>
        <v>441920</v>
      </c>
      <c r="L100" s="28">
        <f t="shared" si="159"/>
        <v>441045</v>
      </c>
      <c r="M100" s="28">
        <f t="shared" si="159"/>
        <v>441442</v>
      </c>
      <c r="N100" s="28">
        <f t="shared" si="159"/>
        <v>442354</v>
      </c>
      <c r="O100" s="28">
        <f t="shared" si="159"/>
        <v>449366</v>
      </c>
      <c r="P100" s="28">
        <f t="shared" si="159"/>
        <v>464284</v>
      </c>
      <c r="Q100" s="28">
        <f t="shared" si="159"/>
        <v>482663</v>
      </c>
      <c r="R100" s="28">
        <f t="shared" si="159"/>
        <v>503030</v>
      </c>
      <c r="S100" s="28">
        <f t="shared" si="159"/>
        <v>529686</v>
      </c>
      <c r="T100" s="28">
        <f t="shared" si="159"/>
        <v>560136</v>
      </c>
      <c r="U100" s="28">
        <f t="shared" si="159"/>
        <v>589340</v>
      </c>
      <c r="V100" s="28">
        <f t="shared" si="159"/>
        <v>609548</v>
      </c>
      <c r="W100" s="28">
        <f t="shared" ref="W100" si="160">W101+W107</f>
        <v>630538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220504</v>
      </c>
      <c r="C101" s="137">
        <f t="shared" si="161"/>
        <v>230397</v>
      </c>
      <c r="D101" s="137">
        <f t="shared" ref="D101:V101" si="162">SUM(D102:D106)</f>
        <v>243373</v>
      </c>
      <c r="E101" s="137">
        <f t="shared" si="162"/>
        <v>251478</v>
      </c>
      <c r="F101" s="137">
        <f t="shared" si="162"/>
        <v>255904</v>
      </c>
      <c r="G101" s="137">
        <f t="shared" si="162"/>
        <v>265913</v>
      </c>
      <c r="H101" s="137">
        <f t="shared" si="162"/>
        <v>267161</v>
      </c>
      <c r="I101" s="137">
        <f t="shared" si="162"/>
        <v>280510</v>
      </c>
      <c r="J101" s="137">
        <f t="shared" si="162"/>
        <v>306139</v>
      </c>
      <c r="K101" s="137">
        <f t="shared" si="162"/>
        <v>353776</v>
      </c>
      <c r="L101" s="137">
        <f t="shared" si="162"/>
        <v>305966</v>
      </c>
      <c r="M101" s="137">
        <f t="shared" si="162"/>
        <v>323840</v>
      </c>
      <c r="N101" s="137">
        <f t="shared" si="162"/>
        <v>337798</v>
      </c>
      <c r="O101" s="137">
        <f t="shared" si="162"/>
        <v>358475</v>
      </c>
      <c r="P101" s="137">
        <f t="shared" si="162"/>
        <v>370285</v>
      </c>
      <c r="Q101" s="137">
        <f t="shared" si="162"/>
        <v>385901</v>
      </c>
      <c r="R101" s="137">
        <f t="shared" si="162"/>
        <v>403682</v>
      </c>
      <c r="S101" s="137">
        <f t="shared" si="162"/>
        <v>422995</v>
      </c>
      <c r="T101" s="137">
        <f t="shared" si="162"/>
        <v>444588</v>
      </c>
      <c r="U101" s="137">
        <f t="shared" si="162"/>
        <v>468274</v>
      </c>
      <c r="V101" s="137">
        <f t="shared" si="162"/>
        <v>483463</v>
      </c>
      <c r="W101" s="137">
        <f t="shared" ref="W101" si="163">SUM(W102:W106)</f>
        <v>499641</v>
      </c>
      <c r="DA101" s="174"/>
    </row>
    <row r="102" spans="1:105" ht="11.45" hidden="1" customHeight="1" x14ac:dyDescent="0.25">
      <c r="A102" s="111" t="s">
        <v>110</v>
      </c>
      <c r="B102" s="84">
        <v>80599</v>
      </c>
      <c r="C102" s="84">
        <v>75042</v>
      </c>
      <c r="D102" s="84">
        <v>67713</v>
      </c>
      <c r="E102" s="84">
        <v>61187</v>
      </c>
      <c r="F102" s="84">
        <v>55618</v>
      </c>
      <c r="G102" s="84">
        <v>50541</v>
      </c>
      <c r="H102" s="84">
        <v>46132</v>
      </c>
      <c r="I102" s="84">
        <v>41934</v>
      </c>
      <c r="J102" s="84">
        <v>34950</v>
      </c>
      <c r="K102" s="84">
        <v>32277</v>
      </c>
      <c r="L102" s="84">
        <v>29749</v>
      </c>
      <c r="M102" s="84">
        <v>26947</v>
      </c>
      <c r="N102" s="84">
        <v>26247</v>
      </c>
      <c r="O102" s="84">
        <v>25546</v>
      </c>
      <c r="P102" s="84">
        <v>23977</v>
      </c>
      <c r="Q102" s="84">
        <v>22071</v>
      </c>
      <c r="R102" s="84">
        <v>20308</v>
      </c>
      <c r="S102" s="84">
        <v>19322</v>
      </c>
      <c r="T102" s="84">
        <v>18671</v>
      </c>
      <c r="U102" s="84">
        <v>18164</v>
      </c>
      <c r="V102" s="84">
        <v>17344</v>
      </c>
      <c r="W102" s="84">
        <v>16886</v>
      </c>
      <c r="DA102" s="171"/>
    </row>
    <row r="103" spans="1:105" ht="11.45" hidden="1" customHeight="1" x14ac:dyDescent="0.25">
      <c r="A103" s="111" t="s">
        <v>111</v>
      </c>
      <c r="B103" s="84">
        <v>139898</v>
      </c>
      <c r="C103" s="84">
        <v>155139</v>
      </c>
      <c r="D103" s="84">
        <v>175455</v>
      </c>
      <c r="E103" s="84">
        <v>190088</v>
      </c>
      <c r="F103" s="84">
        <v>200087</v>
      </c>
      <c r="G103" s="84">
        <v>215180</v>
      </c>
      <c r="H103" s="84">
        <v>220843</v>
      </c>
      <c r="I103" s="84">
        <v>238399</v>
      </c>
      <c r="J103" s="84">
        <v>271022</v>
      </c>
      <c r="K103" s="84">
        <v>321344</v>
      </c>
      <c r="L103" s="84">
        <v>276075</v>
      </c>
      <c r="M103" s="84">
        <v>296765</v>
      </c>
      <c r="N103" s="84">
        <v>311432</v>
      </c>
      <c r="O103" s="84">
        <v>332732</v>
      </c>
      <c r="P103" s="84">
        <v>346099</v>
      </c>
      <c r="Q103" s="84">
        <v>363283</v>
      </c>
      <c r="R103" s="84">
        <v>382768</v>
      </c>
      <c r="S103" s="84">
        <v>402903</v>
      </c>
      <c r="T103" s="84">
        <v>424887</v>
      </c>
      <c r="U103" s="84">
        <v>448950</v>
      </c>
      <c r="V103" s="84">
        <v>464737</v>
      </c>
      <c r="W103" s="84">
        <v>480999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209</v>
      </c>
      <c r="D104" s="84">
        <v>198</v>
      </c>
      <c r="E104" s="84">
        <v>196</v>
      </c>
      <c r="F104" s="84">
        <v>192</v>
      </c>
      <c r="G104" s="84">
        <v>186</v>
      </c>
      <c r="H104" s="84">
        <v>180</v>
      </c>
      <c r="I104" s="84">
        <v>171</v>
      </c>
      <c r="J104" s="84">
        <v>162</v>
      </c>
      <c r="K104" s="84">
        <v>150</v>
      </c>
      <c r="L104" s="84">
        <v>138</v>
      </c>
      <c r="M104" s="84">
        <v>124</v>
      </c>
      <c r="N104" s="84">
        <v>112</v>
      </c>
      <c r="O104" s="84">
        <v>98</v>
      </c>
      <c r="P104" s="84">
        <v>84</v>
      </c>
      <c r="Q104" s="84">
        <v>75</v>
      </c>
      <c r="R104" s="84">
        <v>63</v>
      </c>
      <c r="S104" s="84">
        <v>51</v>
      </c>
      <c r="T104" s="84">
        <v>42</v>
      </c>
      <c r="U104" s="84">
        <v>32</v>
      </c>
      <c r="V104" s="84">
        <v>28</v>
      </c>
      <c r="W104" s="84">
        <v>23</v>
      </c>
      <c r="DA104" s="171"/>
    </row>
    <row r="105" spans="1:105" ht="11.45" hidden="1" customHeight="1" x14ac:dyDescent="0.25">
      <c r="A105" s="111" t="s">
        <v>113</v>
      </c>
      <c r="B105" s="84">
        <v>7</v>
      </c>
      <c r="C105" s="84">
        <v>7</v>
      </c>
      <c r="D105" s="84">
        <v>7</v>
      </c>
      <c r="E105" s="84">
        <v>7</v>
      </c>
      <c r="F105" s="84">
        <v>7</v>
      </c>
      <c r="G105" s="84">
        <v>6</v>
      </c>
      <c r="H105" s="84">
        <v>6</v>
      </c>
      <c r="I105" s="84">
        <v>6</v>
      </c>
      <c r="J105" s="84">
        <v>5</v>
      </c>
      <c r="K105" s="84">
        <v>5</v>
      </c>
      <c r="L105" s="84">
        <v>4</v>
      </c>
      <c r="M105" s="84">
        <v>4</v>
      </c>
      <c r="N105" s="84">
        <v>7</v>
      </c>
      <c r="O105" s="84">
        <v>78</v>
      </c>
      <c r="P105" s="84">
        <v>103</v>
      </c>
      <c r="Q105" s="84">
        <v>429</v>
      </c>
      <c r="R105" s="84">
        <v>449</v>
      </c>
      <c r="S105" s="84">
        <v>530</v>
      </c>
      <c r="T105" s="84">
        <v>603</v>
      </c>
      <c r="U105" s="84">
        <v>620</v>
      </c>
      <c r="V105" s="84">
        <v>630</v>
      </c>
      <c r="W105" s="84">
        <v>630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21</v>
      </c>
      <c r="P106" s="84">
        <v>22</v>
      </c>
      <c r="Q106" s="84">
        <v>43</v>
      </c>
      <c r="R106" s="84">
        <v>94</v>
      </c>
      <c r="S106" s="84">
        <v>189</v>
      </c>
      <c r="T106" s="84">
        <v>385</v>
      </c>
      <c r="U106" s="84">
        <v>508</v>
      </c>
      <c r="V106" s="84">
        <v>724</v>
      </c>
      <c r="W106" s="84">
        <v>1103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129424</v>
      </c>
      <c r="C107" s="110">
        <f t="shared" si="164"/>
        <v>134250</v>
      </c>
      <c r="D107" s="110">
        <f t="shared" ref="D107:V107" si="165">SUM(D108:D109)</f>
        <v>138782</v>
      </c>
      <c r="E107" s="110">
        <f t="shared" si="165"/>
        <v>142094</v>
      </c>
      <c r="F107" s="110">
        <f t="shared" si="165"/>
        <v>141413</v>
      </c>
      <c r="G107" s="110">
        <f t="shared" si="165"/>
        <v>145296</v>
      </c>
      <c r="H107" s="110">
        <f t="shared" si="165"/>
        <v>157962</v>
      </c>
      <c r="I107" s="110">
        <f t="shared" si="165"/>
        <v>156537</v>
      </c>
      <c r="J107" s="110">
        <f t="shared" si="165"/>
        <v>142702</v>
      </c>
      <c r="K107" s="110">
        <f t="shared" si="165"/>
        <v>88144</v>
      </c>
      <c r="L107" s="110">
        <f t="shared" si="165"/>
        <v>135079</v>
      </c>
      <c r="M107" s="110">
        <f t="shared" si="165"/>
        <v>117602</v>
      </c>
      <c r="N107" s="110">
        <f t="shared" si="165"/>
        <v>104556</v>
      </c>
      <c r="O107" s="110">
        <f t="shared" si="165"/>
        <v>90891</v>
      </c>
      <c r="P107" s="110">
        <f t="shared" si="165"/>
        <v>93999</v>
      </c>
      <c r="Q107" s="110">
        <f t="shared" si="165"/>
        <v>96762</v>
      </c>
      <c r="R107" s="110">
        <f t="shared" si="165"/>
        <v>99348</v>
      </c>
      <c r="S107" s="110">
        <f t="shared" si="165"/>
        <v>106691</v>
      </c>
      <c r="T107" s="110">
        <f t="shared" si="165"/>
        <v>115548</v>
      </c>
      <c r="U107" s="110">
        <f t="shared" si="165"/>
        <v>121066</v>
      </c>
      <c r="V107" s="110">
        <f t="shared" si="165"/>
        <v>126085</v>
      </c>
      <c r="W107" s="110">
        <f t="shared" ref="W107" si="166">SUM(W108:W109)</f>
        <v>130897</v>
      </c>
      <c r="DA107" s="176"/>
    </row>
    <row r="108" spans="1:105" ht="11.45" hidden="1" customHeight="1" x14ac:dyDescent="0.25">
      <c r="A108" s="128" t="s">
        <v>27</v>
      </c>
      <c r="B108" s="102">
        <v>122983</v>
      </c>
      <c r="C108" s="102">
        <v>127345</v>
      </c>
      <c r="D108" s="102">
        <v>131518</v>
      </c>
      <c r="E108" s="102">
        <v>134669</v>
      </c>
      <c r="F108" s="102">
        <v>132634</v>
      </c>
      <c r="G108" s="102">
        <v>136208</v>
      </c>
      <c r="H108" s="102">
        <v>148084</v>
      </c>
      <c r="I108" s="102">
        <v>145726</v>
      </c>
      <c r="J108" s="102">
        <v>130728</v>
      </c>
      <c r="K108" s="102">
        <v>79429</v>
      </c>
      <c r="L108" s="102">
        <v>126802</v>
      </c>
      <c r="M108" s="102">
        <v>108829</v>
      </c>
      <c r="N108" s="102">
        <v>95721</v>
      </c>
      <c r="O108" s="102">
        <v>81880</v>
      </c>
      <c r="P108" s="102">
        <v>84750</v>
      </c>
      <c r="Q108" s="102">
        <v>86889</v>
      </c>
      <c r="R108" s="102">
        <v>88702</v>
      </c>
      <c r="S108" s="102">
        <v>95073</v>
      </c>
      <c r="T108" s="102">
        <v>103899</v>
      </c>
      <c r="U108" s="102">
        <v>109124</v>
      </c>
      <c r="V108" s="102">
        <v>114769</v>
      </c>
      <c r="W108" s="102">
        <v>118372</v>
      </c>
      <c r="DA108" s="175"/>
    </row>
    <row r="109" spans="1:105" ht="11.45" hidden="1" customHeight="1" x14ac:dyDescent="0.25">
      <c r="A109" s="138" t="s">
        <v>116</v>
      </c>
      <c r="B109" s="86">
        <v>6441</v>
      </c>
      <c r="C109" s="86">
        <v>6905</v>
      </c>
      <c r="D109" s="86">
        <v>7264</v>
      </c>
      <c r="E109" s="86">
        <v>7425</v>
      </c>
      <c r="F109" s="86">
        <v>8779</v>
      </c>
      <c r="G109" s="86">
        <v>9088</v>
      </c>
      <c r="H109" s="86">
        <v>9878</v>
      </c>
      <c r="I109" s="86">
        <v>10811</v>
      </c>
      <c r="J109" s="86">
        <v>11974</v>
      </c>
      <c r="K109" s="86">
        <v>8715</v>
      </c>
      <c r="L109" s="86">
        <v>8277</v>
      </c>
      <c r="M109" s="86">
        <v>8773</v>
      </c>
      <c r="N109" s="86">
        <v>8835</v>
      </c>
      <c r="O109" s="86">
        <v>9011</v>
      </c>
      <c r="P109" s="86">
        <v>9249</v>
      </c>
      <c r="Q109" s="86">
        <v>9873</v>
      </c>
      <c r="R109" s="86">
        <v>10646</v>
      </c>
      <c r="S109" s="86">
        <v>11618</v>
      </c>
      <c r="T109" s="86">
        <v>11649</v>
      </c>
      <c r="U109" s="86">
        <v>11942</v>
      </c>
      <c r="V109" s="86">
        <v>11316</v>
      </c>
      <c r="W109" s="86">
        <v>12525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172685</v>
      </c>
      <c r="C111" s="54">
        <f t="shared" si="167"/>
        <v>227607</v>
      </c>
      <c r="D111" s="54">
        <f t="shared" si="167"/>
        <v>286414</v>
      </c>
      <c r="E111" s="54">
        <f t="shared" si="167"/>
        <v>319711</v>
      </c>
      <c r="F111" s="54">
        <f t="shared" si="167"/>
        <v>303616</v>
      </c>
      <c r="G111" s="54">
        <f t="shared" si="167"/>
        <v>289186</v>
      </c>
      <c r="H111" s="54">
        <f t="shared" si="167"/>
        <v>366753</v>
      </c>
      <c r="I111" s="54">
        <f t="shared" si="167"/>
        <v>253860</v>
      </c>
      <c r="J111" s="54">
        <f t="shared" si="167"/>
        <v>240860</v>
      </c>
      <c r="K111" s="54">
        <f t="shared" si="167"/>
        <v>136191</v>
      </c>
      <c r="L111" s="54">
        <f t="shared" ref="L111" si="168">L112+L127</f>
        <v>127530</v>
      </c>
      <c r="M111" s="54">
        <f t="shared" ref="M111:V111" si="169">M112+M127</f>
        <v>118084</v>
      </c>
      <c r="N111" s="54">
        <f t="shared" si="169"/>
        <v>135829</v>
      </c>
      <c r="O111" s="54">
        <f t="shared" si="169"/>
        <v>184548</v>
      </c>
      <c r="P111" s="54">
        <f t="shared" si="169"/>
        <v>216054</v>
      </c>
      <c r="Q111" s="54">
        <f t="shared" si="169"/>
        <v>254284</v>
      </c>
      <c r="R111" s="54">
        <f t="shared" si="169"/>
        <v>296512</v>
      </c>
      <c r="S111" s="54">
        <f t="shared" si="169"/>
        <v>337733</v>
      </c>
      <c r="T111" s="54">
        <f t="shared" si="169"/>
        <v>372234</v>
      </c>
      <c r="U111" s="54">
        <f t="shared" si="169"/>
        <v>394522</v>
      </c>
      <c r="V111" s="54">
        <f t="shared" si="169"/>
        <v>324911</v>
      </c>
      <c r="W111" s="54">
        <f t="shared" ref="W111" si="170">W112+W127</f>
        <v>221717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150084</v>
      </c>
      <c r="C112" s="28">
        <f t="shared" si="171"/>
        <v>195593</v>
      </c>
      <c r="D112" s="28">
        <f t="shared" si="171"/>
        <v>248365</v>
      </c>
      <c r="E112" s="28">
        <f t="shared" si="171"/>
        <v>284964</v>
      </c>
      <c r="F112" s="28">
        <f t="shared" si="171"/>
        <v>273171</v>
      </c>
      <c r="G112" s="28">
        <f t="shared" si="171"/>
        <v>254013</v>
      </c>
      <c r="H112" s="28">
        <f t="shared" si="171"/>
        <v>316660</v>
      </c>
      <c r="I112" s="28">
        <f t="shared" si="171"/>
        <v>210059</v>
      </c>
      <c r="J112" s="28">
        <f t="shared" si="171"/>
        <v>189966</v>
      </c>
      <c r="K112" s="28">
        <f t="shared" si="171"/>
        <v>83855</v>
      </c>
      <c r="L112" s="28">
        <f t="shared" ref="L112" si="172">L113+L114+L121</f>
        <v>68038</v>
      </c>
      <c r="M112" s="28">
        <f t="shared" ref="M112:V112" si="173">M113+M114+M121</f>
        <v>83324</v>
      </c>
      <c r="N112" s="28">
        <f t="shared" si="173"/>
        <v>114903</v>
      </c>
      <c r="O112" s="28">
        <f t="shared" si="173"/>
        <v>135868</v>
      </c>
      <c r="P112" s="28">
        <f t="shared" si="173"/>
        <v>173942</v>
      </c>
      <c r="Q112" s="28">
        <f t="shared" si="173"/>
        <v>209766</v>
      </c>
      <c r="R112" s="28">
        <f t="shared" si="173"/>
        <v>248695</v>
      </c>
      <c r="S112" s="28">
        <f t="shared" si="173"/>
        <v>280725</v>
      </c>
      <c r="T112" s="28">
        <f t="shared" si="173"/>
        <v>308116</v>
      </c>
      <c r="U112" s="28">
        <f t="shared" si="173"/>
        <v>328509</v>
      </c>
      <c r="V112" s="28">
        <f t="shared" si="173"/>
        <v>270651</v>
      </c>
      <c r="W112" s="28">
        <f t="shared" ref="W112" si="174">W113+W114+W121</f>
        <v>160111</v>
      </c>
      <c r="DA112" s="173" t="s">
        <v>526</v>
      </c>
    </row>
    <row r="113" spans="1:105" ht="11.45" customHeight="1" x14ac:dyDescent="0.25">
      <c r="A113" s="136" t="s">
        <v>180</v>
      </c>
      <c r="B113" s="137">
        <v>0</v>
      </c>
      <c r="C113" s="137">
        <v>3263</v>
      </c>
      <c r="D113" s="137">
        <v>7438</v>
      </c>
      <c r="E113" s="137">
        <v>8875</v>
      </c>
      <c r="F113" s="137">
        <v>16152.000000000002</v>
      </c>
      <c r="G113" s="137">
        <v>12537</v>
      </c>
      <c r="H113" s="137">
        <v>12005</v>
      </c>
      <c r="I113" s="137">
        <v>12642</v>
      </c>
      <c r="J113" s="137">
        <v>12165</v>
      </c>
      <c r="K113" s="137">
        <v>7344</v>
      </c>
      <c r="L113" s="137">
        <v>6057</v>
      </c>
      <c r="M113" s="137">
        <v>6076</v>
      </c>
      <c r="N113" s="137">
        <v>7070</v>
      </c>
      <c r="O113" s="137">
        <v>7467</v>
      </c>
      <c r="P113" s="137">
        <v>7969</v>
      </c>
      <c r="Q113" s="137">
        <v>8380</v>
      </c>
      <c r="R113" s="137">
        <v>8650</v>
      </c>
      <c r="S113" s="137">
        <v>7684</v>
      </c>
      <c r="T113" s="137">
        <v>11181</v>
      </c>
      <c r="U113" s="137">
        <v>12514</v>
      </c>
      <c r="V113" s="137">
        <v>11440</v>
      </c>
      <c r="W113" s="137">
        <v>10846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149137</v>
      </c>
      <c r="C114" s="110">
        <f t="shared" si="175"/>
        <v>190518</v>
      </c>
      <c r="D114" s="110">
        <f t="shared" si="175"/>
        <v>239127</v>
      </c>
      <c r="E114" s="110">
        <f t="shared" si="175"/>
        <v>274389</v>
      </c>
      <c r="F114" s="110">
        <f t="shared" si="175"/>
        <v>255822</v>
      </c>
      <c r="G114" s="110">
        <f t="shared" si="175"/>
        <v>239810</v>
      </c>
      <c r="H114" s="110">
        <f t="shared" si="175"/>
        <v>301366</v>
      </c>
      <c r="I114" s="110">
        <f t="shared" si="175"/>
        <v>195611</v>
      </c>
      <c r="J114" s="110">
        <f t="shared" si="175"/>
        <v>176678</v>
      </c>
      <c r="K114" s="110">
        <f t="shared" si="175"/>
        <v>75837</v>
      </c>
      <c r="L114" s="110">
        <f t="shared" ref="L114" si="176">SUM(L115:L120)</f>
        <v>61324</v>
      </c>
      <c r="M114" s="110">
        <f t="shared" ref="M114:V114" si="177">SUM(M115:M120)</f>
        <v>76528</v>
      </c>
      <c r="N114" s="110">
        <f t="shared" si="177"/>
        <v>106671</v>
      </c>
      <c r="O114" s="110">
        <f t="shared" si="177"/>
        <v>126937</v>
      </c>
      <c r="P114" s="110">
        <f t="shared" si="177"/>
        <v>164420</v>
      </c>
      <c r="Q114" s="110">
        <f t="shared" si="177"/>
        <v>199906</v>
      </c>
      <c r="R114" s="110">
        <f t="shared" si="177"/>
        <v>238655</v>
      </c>
      <c r="S114" s="110">
        <f t="shared" si="177"/>
        <v>271720</v>
      </c>
      <c r="T114" s="110">
        <f t="shared" si="177"/>
        <v>295431</v>
      </c>
      <c r="U114" s="110">
        <f t="shared" si="177"/>
        <v>314498</v>
      </c>
      <c r="V114" s="110">
        <f t="shared" si="177"/>
        <v>258511</v>
      </c>
      <c r="W114" s="110">
        <f t="shared" ref="W114" si="178">SUM(W115:W120)</f>
        <v>148179</v>
      </c>
      <c r="DA114" s="176" t="s">
        <v>528</v>
      </c>
    </row>
    <row r="115" spans="1:105" ht="11.45" customHeight="1" x14ac:dyDescent="0.25">
      <c r="A115" s="111" t="s">
        <v>110</v>
      </c>
      <c r="B115" s="84">
        <v>141705</v>
      </c>
      <c r="C115" s="84">
        <v>161937</v>
      </c>
      <c r="D115" s="84">
        <v>200741</v>
      </c>
      <c r="E115" s="84">
        <v>176886</v>
      </c>
      <c r="F115" s="84">
        <v>201848</v>
      </c>
      <c r="G115" s="84">
        <v>226731</v>
      </c>
      <c r="H115" s="84">
        <v>168707</v>
      </c>
      <c r="I115" s="84">
        <v>124450</v>
      </c>
      <c r="J115" s="84">
        <v>111339</v>
      </c>
      <c r="K115" s="84">
        <v>42308</v>
      </c>
      <c r="L115" s="84">
        <v>28710</v>
      </c>
      <c r="M115" s="84">
        <v>47069</v>
      </c>
      <c r="N115" s="84">
        <v>62709</v>
      </c>
      <c r="O115" s="84">
        <v>60019</v>
      </c>
      <c r="P115" s="84">
        <v>84946</v>
      </c>
      <c r="Q115" s="84">
        <v>106093</v>
      </c>
      <c r="R115" s="84">
        <v>121766</v>
      </c>
      <c r="S115" s="84">
        <v>148776</v>
      </c>
      <c r="T115" s="84">
        <v>177297</v>
      </c>
      <c r="U115" s="84">
        <v>207156</v>
      </c>
      <c r="V115" s="84">
        <v>198083</v>
      </c>
      <c r="W115" s="84">
        <v>61807</v>
      </c>
      <c r="DA115" s="171" t="s">
        <v>529</v>
      </c>
    </row>
    <row r="116" spans="1:105" ht="11.45" customHeight="1" x14ac:dyDescent="0.25">
      <c r="A116" s="111" t="s">
        <v>111</v>
      </c>
      <c r="B116" s="84">
        <v>7432</v>
      </c>
      <c r="C116" s="84">
        <v>25181</v>
      </c>
      <c r="D116" s="84">
        <v>38386</v>
      </c>
      <c r="E116" s="84">
        <v>47666</v>
      </c>
      <c r="F116" s="84">
        <v>53974</v>
      </c>
      <c r="G116" s="84">
        <v>13079</v>
      </c>
      <c r="H116" s="84">
        <v>132659</v>
      </c>
      <c r="I116" s="84">
        <v>71161</v>
      </c>
      <c r="J116" s="84">
        <v>65339</v>
      </c>
      <c r="K116" s="84">
        <v>33529</v>
      </c>
      <c r="L116" s="84">
        <v>30403</v>
      </c>
      <c r="M116" s="84">
        <v>22331</v>
      </c>
      <c r="N116" s="84">
        <v>41687</v>
      </c>
      <c r="O116" s="84">
        <v>60747</v>
      </c>
      <c r="P116" s="84">
        <v>75438</v>
      </c>
      <c r="Q116" s="84">
        <v>90794</v>
      </c>
      <c r="R116" s="84">
        <v>116239</v>
      </c>
      <c r="S116" s="84">
        <v>121155</v>
      </c>
      <c r="T116" s="84">
        <v>115389</v>
      </c>
      <c r="U116" s="84">
        <v>103509</v>
      </c>
      <c r="V116" s="84">
        <v>52659</v>
      </c>
      <c r="W116" s="84">
        <v>73010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3400</v>
      </c>
      <c r="D117" s="84">
        <v>0</v>
      </c>
      <c r="E117" s="84">
        <v>49837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2032</v>
      </c>
      <c r="M117" s="84">
        <v>6799</v>
      </c>
      <c r="N117" s="84">
        <v>2249</v>
      </c>
      <c r="O117" s="84">
        <v>5723</v>
      </c>
      <c r="P117" s="84">
        <v>3716</v>
      </c>
      <c r="Q117" s="84">
        <v>1781</v>
      </c>
      <c r="R117" s="84">
        <v>7</v>
      </c>
      <c r="S117" s="84">
        <v>0</v>
      </c>
      <c r="T117" s="84">
        <v>29</v>
      </c>
      <c r="U117" s="84">
        <v>10</v>
      </c>
      <c r="V117" s="84">
        <v>322</v>
      </c>
      <c r="W117" s="84">
        <v>594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2</v>
      </c>
      <c r="M118" s="84">
        <v>4</v>
      </c>
      <c r="N118" s="84">
        <v>3</v>
      </c>
      <c r="O118" s="84">
        <v>437</v>
      </c>
      <c r="P118" s="84">
        <v>268</v>
      </c>
      <c r="Q118" s="84">
        <v>1047</v>
      </c>
      <c r="R118" s="84">
        <v>158</v>
      </c>
      <c r="S118" s="84">
        <v>241</v>
      </c>
      <c r="T118" s="84">
        <v>126</v>
      </c>
      <c r="U118" s="84">
        <v>19</v>
      </c>
      <c r="V118" s="84">
        <v>11</v>
      </c>
      <c r="W118" s="84">
        <v>11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17</v>
      </c>
      <c r="O119" s="84">
        <v>0</v>
      </c>
      <c r="P119" s="84">
        <v>23</v>
      </c>
      <c r="Q119" s="84">
        <v>70</v>
      </c>
      <c r="R119" s="84">
        <v>284</v>
      </c>
      <c r="S119" s="84">
        <v>369</v>
      </c>
      <c r="T119" s="84">
        <v>747</v>
      </c>
      <c r="U119" s="84">
        <v>1035</v>
      </c>
      <c r="V119" s="84">
        <v>2982</v>
      </c>
      <c r="W119" s="84">
        <v>4885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177</v>
      </c>
      <c r="M120" s="84">
        <v>325</v>
      </c>
      <c r="N120" s="84">
        <v>6</v>
      </c>
      <c r="O120" s="84">
        <v>11</v>
      </c>
      <c r="P120" s="84">
        <v>29</v>
      </c>
      <c r="Q120" s="84">
        <v>121</v>
      </c>
      <c r="R120" s="84">
        <v>201</v>
      </c>
      <c r="S120" s="84">
        <v>1179</v>
      </c>
      <c r="T120" s="84">
        <v>1843</v>
      </c>
      <c r="U120" s="84">
        <v>2769</v>
      </c>
      <c r="V120" s="84">
        <v>4454</v>
      </c>
      <c r="W120" s="84">
        <v>7872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947</v>
      </c>
      <c r="C121" s="110">
        <f t="shared" si="179"/>
        <v>1812</v>
      </c>
      <c r="D121" s="110">
        <f t="shared" si="179"/>
        <v>1800</v>
      </c>
      <c r="E121" s="110">
        <f t="shared" si="179"/>
        <v>1700</v>
      </c>
      <c r="F121" s="110">
        <f t="shared" si="179"/>
        <v>1197</v>
      </c>
      <c r="G121" s="110">
        <f t="shared" si="179"/>
        <v>1666</v>
      </c>
      <c r="H121" s="110">
        <f t="shared" si="179"/>
        <v>3289</v>
      </c>
      <c r="I121" s="110">
        <f t="shared" si="179"/>
        <v>1806</v>
      </c>
      <c r="J121" s="110">
        <f t="shared" si="179"/>
        <v>1123</v>
      </c>
      <c r="K121" s="110">
        <f t="shared" si="179"/>
        <v>674</v>
      </c>
      <c r="L121" s="110">
        <f t="shared" ref="L121" si="180">SUM(L122:L126)</f>
        <v>657</v>
      </c>
      <c r="M121" s="110">
        <f t="shared" ref="M121:V121" si="181">SUM(M122:M126)</f>
        <v>720</v>
      </c>
      <c r="N121" s="110">
        <f t="shared" si="181"/>
        <v>1162</v>
      </c>
      <c r="O121" s="110">
        <f t="shared" si="181"/>
        <v>1464</v>
      </c>
      <c r="P121" s="110">
        <f t="shared" si="181"/>
        <v>1553</v>
      </c>
      <c r="Q121" s="110">
        <f t="shared" si="181"/>
        <v>1480</v>
      </c>
      <c r="R121" s="110">
        <f t="shared" si="181"/>
        <v>1390</v>
      </c>
      <c r="S121" s="110">
        <f t="shared" si="181"/>
        <v>1321</v>
      </c>
      <c r="T121" s="110">
        <f t="shared" si="181"/>
        <v>1504</v>
      </c>
      <c r="U121" s="110">
        <f t="shared" si="181"/>
        <v>1497</v>
      </c>
      <c r="V121" s="110">
        <f t="shared" si="181"/>
        <v>700</v>
      </c>
      <c r="W121" s="110">
        <f t="shared" ref="W121" si="182">SUM(W122:W126)</f>
        <v>1086</v>
      </c>
      <c r="DA121" s="176" t="s">
        <v>535</v>
      </c>
    </row>
    <row r="122" spans="1:105" ht="11.45" customHeight="1" x14ac:dyDescent="0.25">
      <c r="A122" s="111" t="s">
        <v>110</v>
      </c>
      <c r="B122" s="102">
        <v>6</v>
      </c>
      <c r="C122" s="102">
        <v>0</v>
      </c>
      <c r="D122" s="102">
        <v>0</v>
      </c>
      <c r="E122" s="102">
        <v>0</v>
      </c>
      <c r="F122" s="102">
        <v>2</v>
      </c>
      <c r="G122" s="102">
        <v>1</v>
      </c>
      <c r="H122" s="102">
        <v>0</v>
      </c>
      <c r="I122" s="102">
        <v>1</v>
      </c>
      <c r="J122" s="102">
        <v>7</v>
      </c>
      <c r="K122" s="102">
        <v>0</v>
      </c>
      <c r="L122" s="102">
        <v>4</v>
      </c>
      <c r="M122" s="102">
        <v>7</v>
      </c>
      <c r="N122" s="102">
        <v>5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1</v>
      </c>
      <c r="U122" s="102">
        <v>0</v>
      </c>
      <c r="V122" s="102">
        <v>6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941</v>
      </c>
      <c r="C123" s="102">
        <v>1793</v>
      </c>
      <c r="D123" s="102">
        <v>1791</v>
      </c>
      <c r="E123" s="102">
        <v>1680</v>
      </c>
      <c r="F123" s="102">
        <v>1186</v>
      </c>
      <c r="G123" s="102">
        <v>1650</v>
      </c>
      <c r="H123" s="102">
        <v>3280</v>
      </c>
      <c r="I123" s="102">
        <v>1805</v>
      </c>
      <c r="J123" s="102">
        <v>1116</v>
      </c>
      <c r="K123" s="102">
        <v>674</v>
      </c>
      <c r="L123" s="102">
        <v>653</v>
      </c>
      <c r="M123" s="102">
        <v>713</v>
      </c>
      <c r="N123" s="102">
        <v>1147</v>
      </c>
      <c r="O123" s="102">
        <v>1463</v>
      </c>
      <c r="P123" s="102">
        <v>1532</v>
      </c>
      <c r="Q123" s="102">
        <v>1335</v>
      </c>
      <c r="R123" s="102">
        <v>1280</v>
      </c>
      <c r="S123" s="102">
        <v>1281</v>
      </c>
      <c r="T123" s="102">
        <v>1497</v>
      </c>
      <c r="U123" s="102">
        <v>1497</v>
      </c>
      <c r="V123" s="102">
        <v>672</v>
      </c>
      <c r="W123" s="102">
        <v>1039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1</v>
      </c>
      <c r="Q124" s="102">
        <v>0</v>
      </c>
      <c r="R124" s="102">
        <v>1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19</v>
      </c>
      <c r="D125" s="102">
        <v>9</v>
      </c>
      <c r="E125" s="102">
        <v>19</v>
      </c>
      <c r="F125" s="102">
        <v>9</v>
      </c>
      <c r="G125" s="102">
        <v>15</v>
      </c>
      <c r="H125" s="102">
        <v>9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10</v>
      </c>
      <c r="O125" s="102">
        <v>0</v>
      </c>
      <c r="P125" s="102">
        <v>19</v>
      </c>
      <c r="Q125" s="102">
        <v>125</v>
      </c>
      <c r="R125" s="102">
        <v>107</v>
      </c>
      <c r="S125" s="102">
        <v>40</v>
      </c>
      <c r="T125" s="102">
        <v>5</v>
      </c>
      <c r="U125" s="102">
        <v>0</v>
      </c>
      <c r="V125" s="102">
        <v>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1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1</v>
      </c>
      <c r="P126" s="102">
        <v>1</v>
      </c>
      <c r="Q126" s="102">
        <v>20</v>
      </c>
      <c r="R126" s="102">
        <v>2</v>
      </c>
      <c r="S126" s="102">
        <v>0</v>
      </c>
      <c r="T126" s="102">
        <v>1</v>
      </c>
      <c r="U126" s="102">
        <v>0</v>
      </c>
      <c r="V126" s="102">
        <v>22</v>
      </c>
      <c r="W126" s="102">
        <v>47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22601</v>
      </c>
      <c r="C127" s="28">
        <f t="shared" si="183"/>
        <v>32014</v>
      </c>
      <c r="D127" s="28">
        <f t="shared" si="183"/>
        <v>38049</v>
      </c>
      <c r="E127" s="28">
        <f t="shared" si="183"/>
        <v>34747</v>
      </c>
      <c r="F127" s="28">
        <f t="shared" si="183"/>
        <v>30445</v>
      </c>
      <c r="G127" s="28">
        <f t="shared" si="183"/>
        <v>35173</v>
      </c>
      <c r="H127" s="28">
        <f t="shared" si="183"/>
        <v>50093</v>
      </c>
      <c r="I127" s="28">
        <f t="shared" si="183"/>
        <v>43801</v>
      </c>
      <c r="J127" s="28">
        <f t="shared" si="183"/>
        <v>50894</v>
      </c>
      <c r="K127" s="28">
        <f t="shared" si="183"/>
        <v>52336</v>
      </c>
      <c r="L127" s="28">
        <f t="shared" ref="L127" si="184">L128+L134</f>
        <v>59492</v>
      </c>
      <c r="M127" s="28">
        <f t="shared" ref="M127:V127" si="185">M128+M134</f>
        <v>34760</v>
      </c>
      <c r="N127" s="28">
        <f t="shared" si="185"/>
        <v>20926</v>
      </c>
      <c r="O127" s="28">
        <f t="shared" si="185"/>
        <v>48680</v>
      </c>
      <c r="P127" s="28">
        <f t="shared" si="185"/>
        <v>42112</v>
      </c>
      <c r="Q127" s="28">
        <f t="shared" si="185"/>
        <v>44518</v>
      </c>
      <c r="R127" s="28">
        <f t="shared" si="185"/>
        <v>47817</v>
      </c>
      <c r="S127" s="28">
        <f t="shared" si="185"/>
        <v>57008</v>
      </c>
      <c r="T127" s="28">
        <f t="shared" si="185"/>
        <v>64118</v>
      </c>
      <c r="U127" s="28">
        <f t="shared" si="185"/>
        <v>66013</v>
      </c>
      <c r="V127" s="28">
        <f t="shared" si="185"/>
        <v>54260</v>
      </c>
      <c r="W127" s="28">
        <f t="shared" ref="W127" si="186">W128+W134</f>
        <v>61606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21957</v>
      </c>
      <c r="C128" s="137">
        <f t="shared" si="187"/>
        <v>23068</v>
      </c>
      <c r="D128" s="137">
        <f t="shared" si="187"/>
        <v>29516</v>
      </c>
      <c r="E128" s="137">
        <f t="shared" si="187"/>
        <v>25194</v>
      </c>
      <c r="F128" s="137">
        <f t="shared" si="187"/>
        <v>21741</v>
      </c>
      <c r="G128" s="137">
        <f t="shared" si="187"/>
        <v>19942</v>
      </c>
      <c r="H128" s="137">
        <f t="shared" si="187"/>
        <v>26247</v>
      </c>
      <c r="I128" s="137">
        <f t="shared" si="187"/>
        <v>31793</v>
      </c>
      <c r="J128" s="137">
        <f t="shared" si="187"/>
        <v>47306</v>
      </c>
      <c r="K128" s="137">
        <f t="shared" si="187"/>
        <v>51029</v>
      </c>
      <c r="L128" s="137">
        <f t="shared" ref="L128" si="188">SUM(L129:L133)</f>
        <v>11915</v>
      </c>
      <c r="M128" s="137">
        <f t="shared" ref="M128:V128" si="189">SUM(M129:M133)</f>
        <v>32283</v>
      </c>
      <c r="N128" s="137">
        <f t="shared" si="189"/>
        <v>18998</v>
      </c>
      <c r="O128" s="137">
        <f t="shared" si="189"/>
        <v>46712</v>
      </c>
      <c r="P128" s="137">
        <f t="shared" si="189"/>
        <v>37633</v>
      </c>
      <c r="Q128" s="137">
        <f t="shared" si="189"/>
        <v>40818</v>
      </c>
      <c r="R128" s="137">
        <f t="shared" si="189"/>
        <v>43474</v>
      </c>
      <c r="S128" s="137">
        <f t="shared" si="189"/>
        <v>45748</v>
      </c>
      <c r="T128" s="137">
        <f t="shared" si="189"/>
        <v>49010</v>
      </c>
      <c r="U128" s="137">
        <f t="shared" si="189"/>
        <v>52274</v>
      </c>
      <c r="V128" s="137">
        <f t="shared" si="189"/>
        <v>45067</v>
      </c>
      <c r="W128" s="137">
        <f t="shared" ref="W128" si="190">SUM(W129:W133)</f>
        <v>47126</v>
      </c>
      <c r="DA128" s="174" t="s">
        <v>542</v>
      </c>
    </row>
    <row r="129" spans="1:105" ht="11.45" customHeight="1" x14ac:dyDescent="0.25">
      <c r="A129" s="111" t="s">
        <v>110</v>
      </c>
      <c r="B129" s="84">
        <v>2668</v>
      </c>
      <c r="C129" s="84">
        <v>1647</v>
      </c>
      <c r="D129" s="84">
        <v>1345</v>
      </c>
      <c r="E129" s="84">
        <v>956</v>
      </c>
      <c r="F129" s="84">
        <v>960</v>
      </c>
      <c r="G129" s="84">
        <v>723</v>
      </c>
      <c r="H129" s="84">
        <v>340</v>
      </c>
      <c r="I129" s="84">
        <v>629</v>
      </c>
      <c r="J129" s="84">
        <v>644</v>
      </c>
      <c r="K129" s="84">
        <v>707</v>
      </c>
      <c r="L129" s="84">
        <v>323</v>
      </c>
      <c r="M129" s="84">
        <v>159</v>
      </c>
      <c r="N129" s="84">
        <v>240</v>
      </c>
      <c r="O129" s="84">
        <v>7294</v>
      </c>
      <c r="P129" s="84">
        <v>2882</v>
      </c>
      <c r="Q129" s="84">
        <v>1317</v>
      </c>
      <c r="R129" s="84">
        <v>764</v>
      </c>
      <c r="S129" s="84">
        <v>986</v>
      </c>
      <c r="T129" s="84">
        <v>1079</v>
      </c>
      <c r="U129" s="84">
        <v>1057</v>
      </c>
      <c r="V129" s="84">
        <v>471</v>
      </c>
      <c r="W129" s="84">
        <v>703</v>
      </c>
      <c r="DA129" s="171" t="s">
        <v>543</v>
      </c>
    </row>
    <row r="130" spans="1:105" ht="11.45" customHeight="1" x14ac:dyDescent="0.25">
      <c r="A130" s="111" t="s">
        <v>111</v>
      </c>
      <c r="B130" s="84">
        <v>19282</v>
      </c>
      <c r="C130" s="84">
        <v>21212</v>
      </c>
      <c r="D130" s="84">
        <v>28171</v>
      </c>
      <c r="E130" s="84">
        <v>24238</v>
      </c>
      <c r="F130" s="84">
        <v>20781</v>
      </c>
      <c r="G130" s="84">
        <v>19219</v>
      </c>
      <c r="H130" s="84">
        <v>25907</v>
      </c>
      <c r="I130" s="84">
        <v>31164</v>
      </c>
      <c r="J130" s="84">
        <v>46662</v>
      </c>
      <c r="K130" s="84">
        <v>50322</v>
      </c>
      <c r="L130" s="84">
        <v>11592</v>
      </c>
      <c r="M130" s="84">
        <v>32124</v>
      </c>
      <c r="N130" s="84">
        <v>18750</v>
      </c>
      <c r="O130" s="84">
        <v>39326</v>
      </c>
      <c r="P130" s="84">
        <v>34724</v>
      </c>
      <c r="Q130" s="84">
        <v>39149</v>
      </c>
      <c r="R130" s="84">
        <v>42638</v>
      </c>
      <c r="S130" s="84">
        <v>44584</v>
      </c>
      <c r="T130" s="84">
        <v>47659</v>
      </c>
      <c r="U130" s="84">
        <v>51073</v>
      </c>
      <c r="V130" s="84">
        <v>44294</v>
      </c>
      <c r="W130" s="84">
        <v>45963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209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1</v>
      </c>
      <c r="O131" s="84">
        <v>0</v>
      </c>
      <c r="P131" s="84">
        <v>0</v>
      </c>
      <c r="Q131" s="84">
        <v>5</v>
      </c>
      <c r="R131" s="84">
        <v>0</v>
      </c>
      <c r="S131" s="84">
        <v>0</v>
      </c>
      <c r="T131" s="84">
        <v>0</v>
      </c>
      <c r="U131" s="84">
        <v>0</v>
      </c>
      <c r="V131" s="84">
        <v>3</v>
      </c>
      <c r="W131" s="84">
        <v>1</v>
      </c>
      <c r="DA131" s="171" t="s">
        <v>545</v>
      </c>
    </row>
    <row r="132" spans="1:105" ht="11.45" customHeight="1" x14ac:dyDescent="0.25">
      <c r="A132" s="111" t="s">
        <v>113</v>
      </c>
      <c r="B132" s="84">
        <v>7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7</v>
      </c>
      <c r="O132" s="84">
        <v>71</v>
      </c>
      <c r="P132" s="84">
        <v>25</v>
      </c>
      <c r="Q132" s="84">
        <v>326</v>
      </c>
      <c r="R132" s="84">
        <v>21</v>
      </c>
      <c r="S132" s="84">
        <v>83</v>
      </c>
      <c r="T132" s="84">
        <v>76</v>
      </c>
      <c r="U132" s="84">
        <v>21</v>
      </c>
      <c r="V132" s="84">
        <v>83</v>
      </c>
      <c r="W132" s="84">
        <v>80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0</v>
      </c>
      <c r="O133" s="84">
        <v>21</v>
      </c>
      <c r="P133" s="84">
        <v>2</v>
      </c>
      <c r="Q133" s="84">
        <v>21</v>
      </c>
      <c r="R133" s="84">
        <v>51</v>
      </c>
      <c r="S133" s="84">
        <v>95</v>
      </c>
      <c r="T133" s="84">
        <v>196</v>
      </c>
      <c r="U133" s="84">
        <v>123</v>
      </c>
      <c r="V133" s="84">
        <v>216</v>
      </c>
      <c r="W133" s="84">
        <v>379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644</v>
      </c>
      <c r="C134" s="110">
        <f t="shared" si="191"/>
        <v>8946</v>
      </c>
      <c r="D134" s="110">
        <f t="shared" si="191"/>
        <v>8533</v>
      </c>
      <c r="E134" s="110">
        <f t="shared" si="191"/>
        <v>9553</v>
      </c>
      <c r="F134" s="110">
        <f t="shared" si="191"/>
        <v>8704</v>
      </c>
      <c r="G134" s="110">
        <f t="shared" si="191"/>
        <v>15231</v>
      </c>
      <c r="H134" s="110">
        <f t="shared" si="191"/>
        <v>23846</v>
      </c>
      <c r="I134" s="110">
        <f t="shared" si="191"/>
        <v>12008</v>
      </c>
      <c r="J134" s="110">
        <f t="shared" si="191"/>
        <v>3588</v>
      </c>
      <c r="K134" s="110">
        <f t="shared" si="191"/>
        <v>1307</v>
      </c>
      <c r="L134" s="110">
        <f t="shared" ref="L134" si="192">SUM(L135:L136)</f>
        <v>47577</v>
      </c>
      <c r="M134" s="110">
        <f t="shared" ref="M134:V134" si="193">SUM(M135:M136)</f>
        <v>2477</v>
      </c>
      <c r="N134" s="110">
        <f t="shared" si="193"/>
        <v>1928</v>
      </c>
      <c r="O134" s="110">
        <f t="shared" si="193"/>
        <v>1968</v>
      </c>
      <c r="P134" s="110">
        <f t="shared" si="193"/>
        <v>4479</v>
      </c>
      <c r="Q134" s="110">
        <f t="shared" si="193"/>
        <v>3700</v>
      </c>
      <c r="R134" s="110">
        <f t="shared" si="193"/>
        <v>4343</v>
      </c>
      <c r="S134" s="110">
        <f t="shared" si="193"/>
        <v>11260</v>
      </c>
      <c r="T134" s="110">
        <f t="shared" si="193"/>
        <v>15108</v>
      </c>
      <c r="U134" s="110">
        <f t="shared" si="193"/>
        <v>13739</v>
      </c>
      <c r="V134" s="110">
        <f t="shared" si="193"/>
        <v>9193</v>
      </c>
      <c r="W134" s="110">
        <f t="shared" ref="W134" si="194">SUM(W135:W136)</f>
        <v>14480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8030</v>
      </c>
      <c r="D135" s="102">
        <v>7633</v>
      </c>
      <c r="E135" s="102">
        <v>8766</v>
      </c>
      <c r="F135" s="102">
        <v>6650</v>
      </c>
      <c r="G135" s="102">
        <v>14139</v>
      </c>
      <c r="H135" s="102">
        <v>22204</v>
      </c>
      <c r="I135" s="102">
        <v>10162</v>
      </c>
      <c r="J135" s="102">
        <v>1457</v>
      </c>
      <c r="K135" s="102">
        <v>1307</v>
      </c>
      <c r="L135" s="102">
        <v>47373</v>
      </c>
      <c r="M135" s="102">
        <v>1268</v>
      </c>
      <c r="N135" s="102">
        <v>1088</v>
      </c>
      <c r="O135" s="102">
        <v>957</v>
      </c>
      <c r="P135" s="102">
        <v>3353</v>
      </c>
      <c r="Q135" s="102">
        <v>2139</v>
      </c>
      <c r="R135" s="102">
        <v>2596</v>
      </c>
      <c r="S135" s="102">
        <v>9275</v>
      </c>
      <c r="T135" s="102">
        <v>14016</v>
      </c>
      <c r="U135" s="102">
        <v>12349</v>
      </c>
      <c r="V135" s="102">
        <v>8689</v>
      </c>
      <c r="W135" s="102">
        <v>12126</v>
      </c>
      <c r="DA135" s="175" t="s">
        <v>549</v>
      </c>
    </row>
    <row r="136" spans="1:105" ht="11.45" customHeight="1" x14ac:dyDescent="0.25">
      <c r="A136" s="138" t="s">
        <v>116</v>
      </c>
      <c r="B136" s="86">
        <v>644</v>
      </c>
      <c r="C136" s="86">
        <v>916</v>
      </c>
      <c r="D136" s="86">
        <v>900</v>
      </c>
      <c r="E136" s="86">
        <v>787</v>
      </c>
      <c r="F136" s="86">
        <v>2054</v>
      </c>
      <c r="G136" s="86">
        <v>1092</v>
      </c>
      <c r="H136" s="86">
        <v>1642</v>
      </c>
      <c r="I136" s="86">
        <v>1846</v>
      </c>
      <c r="J136" s="86">
        <v>2131</v>
      </c>
      <c r="K136" s="86">
        <v>0</v>
      </c>
      <c r="L136" s="86">
        <v>204</v>
      </c>
      <c r="M136" s="86">
        <v>1209</v>
      </c>
      <c r="N136" s="86">
        <v>840</v>
      </c>
      <c r="O136" s="86">
        <v>1011</v>
      </c>
      <c r="P136" s="86">
        <v>1126</v>
      </c>
      <c r="Q136" s="86">
        <v>1561</v>
      </c>
      <c r="R136" s="86">
        <v>1747</v>
      </c>
      <c r="S136" s="86">
        <v>1985</v>
      </c>
      <c r="T136" s="86">
        <v>1092</v>
      </c>
      <c r="U136" s="86">
        <v>1390</v>
      </c>
      <c r="V136" s="86">
        <v>504</v>
      </c>
      <c r="W136" s="86">
        <v>2354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3.1679113931415666</v>
      </c>
      <c r="C141" s="32">
        <f t="shared" si="195"/>
        <v>2.9492432802489281</v>
      </c>
      <c r="D141" s="32">
        <f t="shared" si="195"/>
        <v>2.8120450624675675</v>
      </c>
      <c r="E141" s="32">
        <f t="shared" si="195"/>
        <v>2.7061155205710121</v>
      </c>
      <c r="F141" s="32">
        <f t="shared" si="195"/>
        <v>2.6332162011590903</v>
      </c>
      <c r="G141" s="32">
        <f t="shared" si="195"/>
        <v>2.4520631902890462</v>
      </c>
      <c r="H141" s="32">
        <f t="shared" si="195"/>
        <v>2.4954876536108772</v>
      </c>
      <c r="I141" s="32">
        <f t="shared" si="195"/>
        <v>2.3909898797096294</v>
      </c>
      <c r="J141" s="32">
        <f t="shared" si="195"/>
        <v>2.351147089036465</v>
      </c>
      <c r="K141" s="32">
        <f t="shared" si="195"/>
        <v>2.1394253440832549</v>
      </c>
      <c r="L141" s="32">
        <f t="shared" ref="L141" si="196">IF(L4=0,0,L4/L31)</f>
        <v>2.306500064619462</v>
      </c>
      <c r="M141" s="32">
        <f t="shared" ref="M141:V141" si="197">IF(M4=0,0,M4/M31)</f>
        <v>2.525349668688758</v>
      </c>
      <c r="N141" s="32">
        <f t="shared" si="197"/>
        <v>2.4899093543798463</v>
      </c>
      <c r="O141" s="32">
        <f t="shared" si="197"/>
        <v>2.5467972762535971</v>
      </c>
      <c r="P141" s="32">
        <f t="shared" si="197"/>
        <v>2.472693230003558</v>
      </c>
      <c r="Q141" s="32">
        <f t="shared" si="197"/>
        <v>2.3777512396214786</v>
      </c>
      <c r="R141" s="32">
        <f t="shared" si="197"/>
        <v>2.329216218148483</v>
      </c>
      <c r="S141" s="32">
        <f t="shared" si="197"/>
        <v>2.3291100480992499</v>
      </c>
      <c r="T141" s="32">
        <f t="shared" si="197"/>
        <v>2.2341191341372197</v>
      </c>
      <c r="U141" s="32">
        <f t="shared" si="197"/>
        <v>2.0621950426193973</v>
      </c>
      <c r="V141" s="32">
        <f t="shared" si="197"/>
        <v>1.9255784801977749</v>
      </c>
      <c r="W141" s="32">
        <f t="shared" ref="W141" si="198">IF(W4=0,0,W4/W31)</f>
        <v>1.9155470018803626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1.1549472685768514</v>
      </c>
      <c r="C142" s="141">
        <v>1.1549251164250134</v>
      </c>
      <c r="D142" s="141">
        <v>1.154724433005738</v>
      </c>
      <c r="E142" s="141">
        <v>1.1552093820866824</v>
      </c>
      <c r="F142" s="141">
        <v>1.1553640856511078</v>
      </c>
      <c r="G142" s="141">
        <v>1.1543178727366703</v>
      </c>
      <c r="H142" s="141">
        <v>1.1546398637822315</v>
      </c>
      <c r="I142" s="141">
        <v>1.156493139331968</v>
      </c>
      <c r="J142" s="141">
        <v>1.1571017737935942</v>
      </c>
      <c r="K142" s="141">
        <v>1.1576570562583652</v>
      </c>
      <c r="L142" s="141">
        <v>1.1556682113354202</v>
      </c>
      <c r="M142" s="141">
        <v>1.1546558434345866</v>
      </c>
      <c r="N142" s="141">
        <v>1.1475295413899496</v>
      </c>
      <c r="O142" s="141">
        <v>1.1469392088128179</v>
      </c>
      <c r="P142" s="141">
        <v>1.1494295322312345</v>
      </c>
      <c r="Q142" s="141">
        <v>1.1514161199072461</v>
      </c>
      <c r="R142" s="141">
        <v>1.1458334537473038</v>
      </c>
      <c r="S142" s="141">
        <v>1.1493413052740946</v>
      </c>
      <c r="T142" s="141">
        <v>1.1488048027582995</v>
      </c>
      <c r="U142" s="141">
        <v>1.1482723341075824</v>
      </c>
      <c r="V142" s="141">
        <v>1.1467512724816979</v>
      </c>
      <c r="W142" s="141">
        <v>1.1463969472300921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2.3497631321449384</v>
      </c>
      <c r="C143" s="130">
        <f t="shared" si="199"/>
        <v>2.1850593831910605</v>
      </c>
      <c r="D143" s="130">
        <f t="shared" si="199"/>
        <v>2.0719240396921532</v>
      </c>
      <c r="E143" s="130">
        <f t="shared" si="199"/>
        <v>2.0106251117842278</v>
      </c>
      <c r="F143" s="130">
        <f t="shared" si="199"/>
        <v>1.9848955740789851</v>
      </c>
      <c r="G143" s="130">
        <f t="shared" si="199"/>
        <v>1.8569530851046356</v>
      </c>
      <c r="H143" s="130">
        <f t="shared" si="199"/>
        <v>1.919194683725409</v>
      </c>
      <c r="I143" s="130">
        <f t="shared" si="199"/>
        <v>1.8713803742377093</v>
      </c>
      <c r="J143" s="130">
        <f t="shared" si="199"/>
        <v>1.8230170516188109</v>
      </c>
      <c r="K143" s="130">
        <f t="shared" si="199"/>
        <v>1.6882971722057221</v>
      </c>
      <c r="L143" s="130">
        <f t="shared" ref="L143" si="200">IF(L6=0,0,L6/L33)</f>
        <v>1.8070729755749293</v>
      </c>
      <c r="M143" s="130">
        <f t="shared" ref="M143:V143" si="201">IF(M6=0,0,M6/M33)</f>
        <v>1.9825705883734706</v>
      </c>
      <c r="N143" s="130">
        <f t="shared" si="201"/>
        <v>1.9325421413900827</v>
      </c>
      <c r="O143" s="130">
        <f t="shared" si="201"/>
        <v>1.9783985587033797</v>
      </c>
      <c r="P143" s="130">
        <f t="shared" si="201"/>
        <v>1.9132351437030173</v>
      </c>
      <c r="Q143" s="130">
        <f t="shared" si="201"/>
        <v>1.8469650394054369</v>
      </c>
      <c r="R143" s="130">
        <f t="shared" si="201"/>
        <v>1.8238254309888065</v>
      </c>
      <c r="S143" s="130">
        <f t="shared" si="201"/>
        <v>1.8405083386959047</v>
      </c>
      <c r="T143" s="130">
        <f t="shared" si="201"/>
        <v>1.7712189447395466</v>
      </c>
      <c r="U143" s="130">
        <f t="shared" si="201"/>
        <v>1.6487030957905811</v>
      </c>
      <c r="V143" s="130">
        <f t="shared" si="201"/>
        <v>1.6461499578460514</v>
      </c>
      <c r="W143" s="130">
        <f t="shared" ref="W143" si="202">IF(W6=0,0,W6/W33)</f>
        <v>1.6560733111069148</v>
      </c>
      <c r="DA143" s="176" t="s">
        <v>553</v>
      </c>
    </row>
    <row r="144" spans="1:105" ht="11.45" customHeight="1" x14ac:dyDescent="0.25">
      <c r="A144" s="111" t="s">
        <v>110</v>
      </c>
      <c r="B144" s="96">
        <v>2.3383389311878391</v>
      </c>
      <c r="C144" s="96">
        <v>2.1738700956003143</v>
      </c>
      <c r="D144" s="96">
        <v>2.060208052085521</v>
      </c>
      <c r="E144" s="96">
        <v>1.9988634409251007</v>
      </c>
      <c r="F144" s="96">
        <v>1.9712462180662429</v>
      </c>
      <c r="G144" s="96">
        <v>1.8466458650522777</v>
      </c>
      <c r="H144" s="96">
        <v>1.9049901773323177</v>
      </c>
      <c r="I144" s="96">
        <v>1.8564692599770152</v>
      </c>
      <c r="J144" s="96">
        <v>1.8072799095134242</v>
      </c>
      <c r="K144" s="96">
        <v>1.6732930796446992</v>
      </c>
      <c r="L144" s="96">
        <v>1.7887832410144984</v>
      </c>
      <c r="M144" s="96">
        <v>1.9601931831040007</v>
      </c>
      <c r="N144" s="96">
        <v>1.9098383591123949</v>
      </c>
      <c r="O144" s="96">
        <v>1.9537559839552128</v>
      </c>
      <c r="P144" s="96">
        <v>1.8911650419522474</v>
      </c>
      <c r="Q144" s="96">
        <v>1.8242121576096584</v>
      </c>
      <c r="R144" s="96">
        <v>1.7995203645818354</v>
      </c>
      <c r="S144" s="96">
        <v>1.8149079053983996</v>
      </c>
      <c r="T144" s="96">
        <v>1.7458454886584265</v>
      </c>
      <c r="U144" s="96">
        <v>1.624408241674159</v>
      </c>
      <c r="V144" s="96">
        <v>1.6220945635473409</v>
      </c>
      <c r="W144" s="96">
        <v>1.6317941956942199</v>
      </c>
      <c r="DA144" s="171" t="s">
        <v>554</v>
      </c>
    </row>
    <row r="145" spans="1:105" ht="11.45" customHeight="1" x14ac:dyDescent="0.25">
      <c r="A145" s="111" t="s">
        <v>111</v>
      </c>
      <c r="B145" s="96">
        <v>2.4188296113024119</v>
      </c>
      <c r="C145" s="96">
        <v>2.2486994029098026</v>
      </c>
      <c r="D145" s="96">
        <v>2.1311248661872484</v>
      </c>
      <c r="E145" s="96">
        <v>2.0676686409199898</v>
      </c>
      <c r="F145" s="96">
        <v>2.0391007735582605</v>
      </c>
      <c r="G145" s="96">
        <v>1.9102114070814289</v>
      </c>
      <c r="H145" s="96">
        <v>1.9705640566959772</v>
      </c>
      <c r="I145" s="96">
        <v>1.9203729444918345</v>
      </c>
      <c r="J145" s="96">
        <v>1.8694903902670592</v>
      </c>
      <c r="K145" s="96">
        <v>1.7308914441141265</v>
      </c>
      <c r="L145" s="96">
        <v>1.8503570264595648</v>
      </c>
      <c r="M145" s="96">
        <v>2.0276672692425048</v>
      </c>
      <c r="N145" s="96">
        <v>1.9755791233718192</v>
      </c>
      <c r="O145" s="96">
        <v>2.0210084877856067</v>
      </c>
      <c r="P145" s="96">
        <v>1.9562630302743731</v>
      </c>
      <c r="Q145" s="96">
        <v>1.8870054829402532</v>
      </c>
      <c r="R145" s="96">
        <v>1.8614637450273865</v>
      </c>
      <c r="S145" s="96">
        <v>1.8773809582576018</v>
      </c>
      <c r="T145" s="96">
        <v>1.8059412638614198</v>
      </c>
      <c r="U145" s="96">
        <v>1.6803238843605894</v>
      </c>
      <c r="V145" s="96">
        <v>1.677930564431845</v>
      </c>
      <c r="W145" s="96">
        <v>1.6879640788820762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2.1195076016953287</v>
      </c>
      <c r="D146" s="96">
        <v>2.0097663185013888</v>
      </c>
      <c r="E146" s="96">
        <v>1.9503063584307008</v>
      </c>
      <c r="F146" s="96">
        <v>1.9253487068566155</v>
      </c>
      <c r="G146" s="96">
        <v>1.8012444925514963</v>
      </c>
      <c r="H146" s="96">
        <v>1.8616188432136467</v>
      </c>
      <c r="I146" s="96">
        <v>1.8152389630105781</v>
      </c>
      <c r="J146" s="96">
        <v>1.7683265400702466</v>
      </c>
      <c r="K146" s="96">
        <v>1.6376482570395503</v>
      </c>
      <c r="L146" s="96">
        <v>1.7528607863076815</v>
      </c>
      <c r="M146" s="96">
        <v>1.923093470722266</v>
      </c>
      <c r="N146" s="96">
        <v>1.8745658771483804</v>
      </c>
      <c r="O146" s="96">
        <v>1.9190466019422781</v>
      </c>
      <c r="P146" s="96">
        <v>1.8558380893919268</v>
      </c>
      <c r="Q146" s="96">
        <v>1.7915560882232739</v>
      </c>
      <c r="R146" s="96">
        <v>1.7691106680591422</v>
      </c>
      <c r="S146" s="96">
        <v>1.7852930885350276</v>
      </c>
      <c r="T146" s="96">
        <v>1.7180823763973603</v>
      </c>
      <c r="U146" s="96">
        <v>1.5992420029168641</v>
      </c>
      <c r="V146" s="96">
        <v>1.5967654591106699</v>
      </c>
      <c r="W146" s="96">
        <v>1.6063911117737073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1.7528607863076813</v>
      </c>
      <c r="M147" s="96">
        <v>1.923093470722266</v>
      </c>
      <c r="N147" s="96">
        <v>1.8745658771483802</v>
      </c>
      <c r="O147" s="96">
        <v>1.9190466019422781</v>
      </c>
      <c r="P147" s="96">
        <v>1.8558380893919268</v>
      </c>
      <c r="Q147" s="96">
        <v>1.7915560882232737</v>
      </c>
      <c r="R147" s="96">
        <v>1.7691106680591424</v>
      </c>
      <c r="S147" s="96">
        <v>1.7852930885350276</v>
      </c>
      <c r="T147" s="96">
        <v>1.7180823763973603</v>
      </c>
      <c r="U147" s="96">
        <v>1.5992420029168644</v>
      </c>
      <c r="V147" s="96">
        <v>1.5967654591106699</v>
      </c>
      <c r="W147" s="96">
        <v>1.6063911117737073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1.8342758722670618</v>
      </c>
      <c r="O148" s="96">
        <v>1.8778005737806271</v>
      </c>
      <c r="P148" s="96">
        <v>1.8159506004580721</v>
      </c>
      <c r="Q148" s="96">
        <v>1.7530502109854593</v>
      </c>
      <c r="R148" s="96">
        <v>1.7310872097637617</v>
      </c>
      <c r="S148" s="96">
        <v>1.7469218218174873</v>
      </c>
      <c r="T148" s="96">
        <v>1.6811556680989794</v>
      </c>
      <c r="U148" s="96">
        <v>1.5648695282605203</v>
      </c>
      <c r="V148" s="96">
        <v>1.5624462127581464</v>
      </c>
      <c r="W148" s="96">
        <v>1.5718649814714079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1.4478848843280467</v>
      </c>
      <c r="M149" s="96">
        <v>1.5884992060744167</v>
      </c>
      <c r="N149" s="96">
        <v>1.5484148081819586</v>
      </c>
      <c r="O149" s="96">
        <v>1.5851564419592206</v>
      </c>
      <c r="P149" s="96">
        <v>1.5329454217815759</v>
      </c>
      <c r="Q149" s="96">
        <v>1.479847686608605</v>
      </c>
      <c r="R149" s="96">
        <v>1.4613074894452613</v>
      </c>
      <c r="S149" s="96">
        <v>1.4746743707069672</v>
      </c>
      <c r="T149" s="96">
        <v>1.4191574837247225</v>
      </c>
      <c r="U149" s="96">
        <v>1.3209938521605973</v>
      </c>
      <c r="V149" s="96">
        <v>1.3189481960706357</v>
      </c>
      <c r="W149" s="96">
        <v>1.3268991052937016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27.448491435495242</v>
      </c>
      <c r="C150" s="130">
        <f t="shared" si="203"/>
        <v>27.184576620503222</v>
      </c>
      <c r="D150" s="130">
        <f t="shared" si="203"/>
        <v>27.582415905838683</v>
      </c>
      <c r="E150" s="130">
        <f t="shared" si="203"/>
        <v>27.486497377009577</v>
      </c>
      <c r="F150" s="130">
        <f t="shared" si="203"/>
        <v>27.753149603676121</v>
      </c>
      <c r="G150" s="130">
        <f t="shared" si="203"/>
        <v>27.557536773189945</v>
      </c>
      <c r="H150" s="130">
        <f t="shared" si="203"/>
        <v>25.485116371522377</v>
      </c>
      <c r="I150" s="130">
        <f t="shared" si="203"/>
        <v>23.840717299132287</v>
      </c>
      <c r="J150" s="130">
        <f t="shared" si="203"/>
        <v>26.630262621996291</v>
      </c>
      <c r="K150" s="130">
        <f t="shared" si="203"/>
        <v>25.185422356497781</v>
      </c>
      <c r="L150" s="130">
        <f t="shared" ref="L150" si="204">IF(L13=0,0,L13/L40)</f>
        <v>25.494759407012729</v>
      </c>
      <c r="M150" s="130">
        <f t="shared" ref="M150:V150" si="205">IF(M13=0,0,M13/M40)</f>
        <v>25.764501726677267</v>
      </c>
      <c r="N150" s="130">
        <f t="shared" si="205"/>
        <v>26.640861380714497</v>
      </c>
      <c r="O150" s="130">
        <f t="shared" si="205"/>
        <v>26.070076583776498</v>
      </c>
      <c r="P150" s="130">
        <f t="shared" si="205"/>
        <v>26.507012969384171</v>
      </c>
      <c r="Q150" s="130">
        <f t="shared" si="205"/>
        <v>26.634932490019292</v>
      </c>
      <c r="R150" s="130">
        <f t="shared" si="205"/>
        <v>25.877268371302872</v>
      </c>
      <c r="S150" s="130">
        <f t="shared" si="205"/>
        <v>25.483918501405633</v>
      </c>
      <c r="T150" s="130">
        <f t="shared" si="205"/>
        <v>25.82007034061829</v>
      </c>
      <c r="U150" s="130">
        <f t="shared" si="205"/>
        <v>25.564992580289438</v>
      </c>
      <c r="V150" s="130">
        <f t="shared" si="205"/>
        <v>19.629342897318818</v>
      </c>
      <c r="W150" s="130">
        <f t="shared" ref="W150" si="206">IF(W13=0,0,W13/W40)</f>
        <v>18.33661757848343</v>
      </c>
      <c r="DA150" s="176" t="s">
        <v>560</v>
      </c>
    </row>
    <row r="151" spans="1:105" ht="11.45" customHeight="1" x14ac:dyDescent="0.25">
      <c r="A151" s="111" t="s">
        <v>110</v>
      </c>
      <c r="B151" s="97">
        <v>10.557112090575094</v>
      </c>
      <c r="C151" s="97">
        <v>10.45560639250124</v>
      </c>
      <c r="D151" s="97">
        <v>10.608621502245647</v>
      </c>
      <c r="E151" s="97">
        <v>10.571729760388301</v>
      </c>
      <c r="F151" s="97">
        <v>10.674288309106203</v>
      </c>
      <c r="G151" s="97">
        <v>10.599052605073057</v>
      </c>
      <c r="H151" s="97">
        <v>9.8019678352009123</v>
      </c>
      <c r="I151" s="97">
        <v>9.1695066535124177</v>
      </c>
      <c r="J151" s="97">
        <v>10.242408700767804</v>
      </c>
      <c r="K151" s="97">
        <v>9.6867009063453011</v>
      </c>
      <c r="L151" s="97">
        <v>9.8056766950048981</v>
      </c>
      <c r="M151" s="97">
        <v>9.9094237410297179</v>
      </c>
      <c r="N151" s="97">
        <v>10.246485146428652</v>
      </c>
      <c r="O151" s="97">
        <v>10.026952532221731</v>
      </c>
      <c r="P151" s="97">
        <v>10.195004988224682</v>
      </c>
      <c r="Q151" s="97">
        <v>10.244204803853574</v>
      </c>
      <c r="R151" s="97">
        <v>9.9527955274241808</v>
      </c>
      <c r="S151" s="97">
        <v>9.8015071159252454</v>
      </c>
      <c r="T151" s="97">
        <v>9.9307962848531872</v>
      </c>
      <c r="U151" s="97">
        <v>9.8326894539574763</v>
      </c>
      <c r="V151" s="97">
        <v>7.549747268199547</v>
      </c>
      <c r="W151" s="97">
        <v>7.0525452224936274</v>
      </c>
      <c r="DA151" s="175" t="s">
        <v>561</v>
      </c>
    </row>
    <row r="152" spans="1:105" ht="11.45" customHeight="1" x14ac:dyDescent="0.25">
      <c r="A152" s="111" t="s">
        <v>111</v>
      </c>
      <c r="B152" s="97">
        <v>28.319137900958477</v>
      </c>
      <c r="C152" s="97">
        <v>27.969365182103576</v>
      </c>
      <c r="D152" s="97">
        <v>28.299464968289232</v>
      </c>
      <c r="E152" s="97">
        <v>28.125662013032496</v>
      </c>
      <c r="F152" s="97">
        <v>28.339280021241844</v>
      </c>
      <c r="G152" s="97">
        <v>28.066385080331148</v>
      </c>
      <c r="H152" s="97">
        <v>25.85304928485942</v>
      </c>
      <c r="I152" s="97">
        <v>24.127087303579167</v>
      </c>
      <c r="J152" s="97">
        <v>26.921351088004002</v>
      </c>
      <c r="K152" s="97">
        <v>25.413729413237991</v>
      </c>
      <c r="L152" s="97">
        <v>25.681808191365768</v>
      </c>
      <c r="M152" s="97">
        <v>25.914335705537564</v>
      </c>
      <c r="N152" s="97">
        <v>26.770432907305882</v>
      </c>
      <c r="O152" s="97">
        <v>26.194441408263156</v>
      </c>
      <c r="P152" s="97">
        <v>26.616165048423472</v>
      </c>
      <c r="Q152" s="97">
        <v>26.719055337552188</v>
      </c>
      <c r="R152" s="97">
        <v>25.930324291941808</v>
      </c>
      <c r="S152" s="97">
        <v>25.527311226391159</v>
      </c>
      <c r="T152" s="97">
        <v>25.861876480127481</v>
      </c>
      <c r="U152" s="97">
        <v>25.604502644006939</v>
      </c>
      <c r="V152" s="97">
        <v>19.664678956137628</v>
      </c>
      <c r="W152" s="97">
        <v>18.36699618807641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26.616165048423468</v>
      </c>
      <c r="Q153" s="97">
        <v>26.719055337552184</v>
      </c>
      <c r="R153" s="97">
        <v>25.930324291941808</v>
      </c>
      <c r="S153" s="97">
        <v>25.527311226391163</v>
      </c>
      <c r="T153" s="97">
        <v>25.861876480127481</v>
      </c>
      <c r="U153" s="97">
        <v>25.604502644006935</v>
      </c>
      <c r="V153" s="97">
        <v>19.664678956137628</v>
      </c>
      <c r="W153" s="97">
        <v>18.36699618807641</v>
      </c>
      <c r="DA153" s="175" t="s">
        <v>563</v>
      </c>
    </row>
    <row r="154" spans="1:105" ht="11.45" customHeight="1" x14ac:dyDescent="0.25">
      <c r="A154" s="111" t="s">
        <v>113</v>
      </c>
      <c r="B154" s="97">
        <v>28.319137900958474</v>
      </c>
      <c r="C154" s="97">
        <v>27.96936518210358</v>
      </c>
      <c r="D154" s="97">
        <v>28.299464968289229</v>
      </c>
      <c r="E154" s="97">
        <v>28.1256620130325</v>
      </c>
      <c r="F154" s="97">
        <v>28.339280021241851</v>
      </c>
      <c r="G154" s="97">
        <v>28.066385080331141</v>
      </c>
      <c r="H154" s="97">
        <v>25.853049284859416</v>
      </c>
      <c r="I154" s="97">
        <v>24.127087303579167</v>
      </c>
      <c r="J154" s="97">
        <v>26.921351088004005</v>
      </c>
      <c r="K154" s="97">
        <v>25.413729413237995</v>
      </c>
      <c r="L154" s="97">
        <v>25.681808191365768</v>
      </c>
      <c r="M154" s="97">
        <v>25.914335705537564</v>
      </c>
      <c r="N154" s="97">
        <v>26.770432907305885</v>
      </c>
      <c r="O154" s="97">
        <v>26.194441408263156</v>
      </c>
      <c r="P154" s="97">
        <v>26.616165048423468</v>
      </c>
      <c r="Q154" s="97">
        <v>26.719055337552188</v>
      </c>
      <c r="R154" s="97">
        <v>25.930324291941812</v>
      </c>
      <c r="S154" s="97">
        <v>25.527311226391159</v>
      </c>
      <c r="T154" s="97">
        <v>25.861876480127481</v>
      </c>
      <c r="U154" s="97">
        <v>25.604502644006935</v>
      </c>
      <c r="V154" s="97">
        <v>19.664678956137628</v>
      </c>
      <c r="W154" s="97">
        <v>18.36699618807641</v>
      </c>
      <c r="DA154" s="175" t="s">
        <v>564</v>
      </c>
    </row>
    <row r="155" spans="1:105" ht="11.45" customHeight="1" x14ac:dyDescent="0.25">
      <c r="A155" s="111" t="s">
        <v>115</v>
      </c>
      <c r="B155" s="97">
        <v>28.319137900958474</v>
      </c>
      <c r="C155" s="97">
        <v>27.96936518210358</v>
      </c>
      <c r="D155" s="97">
        <v>28.299464968289225</v>
      </c>
      <c r="E155" s="97">
        <v>28.125662013032503</v>
      </c>
      <c r="F155" s="97">
        <v>28.339280021241848</v>
      </c>
      <c r="G155" s="97">
        <v>28.066385080331148</v>
      </c>
      <c r="H155" s="97">
        <v>25.853049284859416</v>
      </c>
      <c r="I155" s="97">
        <v>24.127087303579167</v>
      </c>
      <c r="J155" s="97">
        <v>26.921351088004005</v>
      </c>
      <c r="K155" s="97">
        <v>25.413729413237995</v>
      </c>
      <c r="L155" s="97">
        <v>25.681808191365768</v>
      </c>
      <c r="M155" s="97">
        <v>25.91433570553756</v>
      </c>
      <c r="N155" s="97">
        <v>26.770432907305882</v>
      </c>
      <c r="O155" s="97">
        <v>26.194441408263156</v>
      </c>
      <c r="P155" s="97">
        <v>26.616165048423468</v>
      </c>
      <c r="Q155" s="97">
        <v>26.719055337552188</v>
      </c>
      <c r="R155" s="97">
        <v>25.930324291941808</v>
      </c>
      <c r="S155" s="97">
        <v>25.527311226391159</v>
      </c>
      <c r="T155" s="97">
        <v>25.861876480127481</v>
      </c>
      <c r="U155" s="97">
        <v>25.604502644006935</v>
      </c>
      <c r="V155" s="97">
        <v>19.664678956137628</v>
      </c>
      <c r="W155" s="97">
        <v>18.36699618807641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3.96307216116961</v>
      </c>
      <c r="C156" s="32">
        <f t="shared" si="207"/>
        <v>3.8700450173166132</v>
      </c>
      <c r="D156" s="32">
        <f t="shared" si="207"/>
        <v>3.7063036086300825</v>
      </c>
      <c r="E156" s="32">
        <f t="shared" si="207"/>
        <v>3.5634451786992765</v>
      </c>
      <c r="F156" s="32">
        <f t="shared" si="207"/>
        <v>3.7215649220493976</v>
      </c>
      <c r="G156" s="32">
        <f t="shared" si="207"/>
        <v>3.5163658499476442</v>
      </c>
      <c r="H156" s="32">
        <f t="shared" si="207"/>
        <v>3.7276576461604654</v>
      </c>
      <c r="I156" s="32">
        <f t="shared" si="207"/>
        <v>3.8116641134718035</v>
      </c>
      <c r="J156" s="32">
        <f t="shared" si="207"/>
        <v>3.7609424867764338</v>
      </c>
      <c r="K156" s="32">
        <f t="shared" si="207"/>
        <v>2.9205071378576699</v>
      </c>
      <c r="L156" s="32">
        <f t="shared" ref="L156" si="208">IF(L19=0,0,L19/L46)</f>
        <v>3.2471461633445022</v>
      </c>
      <c r="M156" s="32">
        <f t="shared" ref="M156:V156" si="209">IF(M19=0,0,M19/M46)</f>
        <v>3.133156191142648</v>
      </c>
      <c r="N156" s="32">
        <f t="shared" si="209"/>
        <v>2.9553464788163231</v>
      </c>
      <c r="O156" s="32">
        <f t="shared" si="209"/>
        <v>2.8841065105122183</v>
      </c>
      <c r="P156" s="32">
        <f t="shared" si="209"/>
        <v>2.9137318876134111</v>
      </c>
      <c r="Q156" s="32">
        <f t="shared" si="209"/>
        <v>2.9855141277307071</v>
      </c>
      <c r="R156" s="32">
        <f t="shared" si="209"/>
        <v>3.0832635261736843</v>
      </c>
      <c r="S156" s="32">
        <f t="shared" si="209"/>
        <v>3.1055096608208315</v>
      </c>
      <c r="T156" s="32">
        <f t="shared" si="209"/>
        <v>3.0538389958450534</v>
      </c>
      <c r="U156" s="32">
        <f t="shared" si="209"/>
        <v>2.9639762773304201</v>
      </c>
      <c r="V156" s="32">
        <f t="shared" si="209"/>
        <v>2.7465943492772782</v>
      </c>
      <c r="W156" s="32">
        <f t="shared" ref="W156" si="210">IF(W19=0,0,W19/W46)</f>
        <v>2.9170672085005429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0.15171019454466228</v>
      </c>
      <c r="C157" s="141">
        <f t="shared" si="211"/>
        <v>0.15329702700542752</v>
      </c>
      <c r="D157" s="141">
        <f t="shared" si="211"/>
        <v>0.15511818829180621</v>
      </c>
      <c r="E157" s="141">
        <f t="shared" si="211"/>
        <v>0.15652545176589214</v>
      </c>
      <c r="F157" s="141">
        <f t="shared" si="211"/>
        <v>0.15765586370828552</v>
      </c>
      <c r="G157" s="141">
        <f t="shared" si="211"/>
        <v>0.15878703503431982</v>
      </c>
      <c r="H157" s="141">
        <f t="shared" si="211"/>
        <v>0.15965980132944715</v>
      </c>
      <c r="I157" s="141">
        <f t="shared" si="211"/>
        <v>0.16073677797572053</v>
      </c>
      <c r="J157" s="141">
        <f t="shared" si="211"/>
        <v>0.16211416866956069</v>
      </c>
      <c r="K157" s="141">
        <f t="shared" si="211"/>
        <v>0.1631824248383788</v>
      </c>
      <c r="L157" s="141">
        <f t="shared" ref="L157" si="212">IF(L20=0,0,L20/L47)</f>
        <v>0.16341608618603615</v>
      </c>
      <c r="M157" s="141">
        <f t="shared" ref="M157:V157" si="213">IF(M20=0,0,M20/M47)</f>
        <v>0.16421191151014242</v>
      </c>
      <c r="N157" s="141">
        <f t="shared" si="213"/>
        <v>0.16475872544032799</v>
      </c>
      <c r="O157" s="141">
        <f t="shared" si="213"/>
        <v>0.16528550282249985</v>
      </c>
      <c r="P157" s="141">
        <f t="shared" si="213"/>
        <v>0.16578282813170439</v>
      </c>
      <c r="Q157" s="141">
        <f t="shared" si="213"/>
        <v>0.16626384835838276</v>
      </c>
      <c r="R157" s="141">
        <f t="shared" si="213"/>
        <v>0.16597579935717116</v>
      </c>
      <c r="S157" s="141">
        <f t="shared" si="213"/>
        <v>0.16563211914756321</v>
      </c>
      <c r="T157" s="141">
        <f t="shared" si="213"/>
        <v>0.16526529733407191</v>
      </c>
      <c r="U157" s="141">
        <f t="shared" si="213"/>
        <v>0.1648899598317817</v>
      </c>
      <c r="V157" s="141">
        <f t="shared" si="213"/>
        <v>0.16459321291061244</v>
      </c>
      <c r="W157" s="141">
        <f t="shared" ref="W157" si="214">IF(W20=0,0,W20/W47)</f>
        <v>0.16427065662250975</v>
      </c>
      <c r="DA157" s="174" t="s">
        <v>567</v>
      </c>
    </row>
    <row r="158" spans="1:105" ht="11.45" customHeight="1" x14ac:dyDescent="0.25">
      <c r="A158" s="111" t="s">
        <v>110</v>
      </c>
      <c r="B158" s="96">
        <v>0.1261285135166153</v>
      </c>
      <c r="C158" s="96">
        <v>0.12633547017542751</v>
      </c>
      <c r="D158" s="96">
        <v>0.1265260182063789</v>
      </c>
      <c r="E158" s="96">
        <v>0.12673714372730532</v>
      </c>
      <c r="F158" s="96">
        <v>0.12696913899896053</v>
      </c>
      <c r="G158" s="96">
        <v>0.12717351942135155</v>
      </c>
      <c r="H158" s="96">
        <v>0.12753806951970126</v>
      </c>
      <c r="I158" s="96">
        <v>0.12811447280525626</v>
      </c>
      <c r="J158" s="96">
        <v>0.12867697435478201</v>
      </c>
      <c r="K158" s="96">
        <v>0.12932542383667048</v>
      </c>
      <c r="L158" s="96">
        <v>0.12998145266116815</v>
      </c>
      <c r="M158" s="96">
        <v>0.1306470576422675</v>
      </c>
      <c r="N158" s="96">
        <v>0.13131259535121159</v>
      </c>
      <c r="O158" s="96">
        <v>0.13195524578241072</v>
      </c>
      <c r="P158" s="96">
        <v>0.13258031940804627</v>
      </c>
      <c r="Q158" s="96">
        <v>0.13319614147909969</v>
      </c>
      <c r="R158" s="96">
        <v>0.13246023785777214</v>
      </c>
      <c r="S158" s="96">
        <v>0.13172606763860262</v>
      </c>
      <c r="T158" s="96">
        <v>0.13099176502173215</v>
      </c>
      <c r="U158" s="96">
        <v>0.13025865898890374</v>
      </c>
      <c r="V158" s="96">
        <v>0.13033657508103602</v>
      </c>
      <c r="W158" s="96">
        <v>0.13041317683939482</v>
      </c>
      <c r="DA158" s="171" t="s">
        <v>568</v>
      </c>
    </row>
    <row r="159" spans="1:105" ht="11.45" customHeight="1" x14ac:dyDescent="0.25">
      <c r="A159" s="111" t="s">
        <v>111</v>
      </c>
      <c r="B159" s="96">
        <v>0.16326708440244939</v>
      </c>
      <c r="C159" s="96">
        <v>0.16353497949880672</v>
      </c>
      <c r="D159" s="96">
        <v>0.16378163444291627</v>
      </c>
      <c r="E159" s="96">
        <v>0.16405492592383158</v>
      </c>
      <c r="F159" s="96">
        <v>0.16435523225855514</v>
      </c>
      <c r="G159" s="96">
        <v>0.16461979254506262</v>
      </c>
      <c r="H159" s="96">
        <v>0.16490146229062805</v>
      </c>
      <c r="I159" s="96">
        <v>0.16515421162298471</v>
      </c>
      <c r="J159" s="96">
        <v>0.16538613250843873</v>
      </c>
      <c r="K159" s="96">
        <v>0.16572535304900693</v>
      </c>
      <c r="L159" s="96">
        <v>0.16607077803893708</v>
      </c>
      <c r="M159" s="96">
        <v>0.16642488243490494</v>
      </c>
      <c r="N159" s="96">
        <v>0.1667753275339682</v>
      </c>
      <c r="O159" s="96">
        <v>0.16709323553960698</v>
      </c>
      <c r="P159" s="96">
        <v>0.16738558759863351</v>
      </c>
      <c r="Q159" s="96">
        <v>0.16766307841380998</v>
      </c>
      <c r="R159" s="96">
        <v>0.1672339819836966</v>
      </c>
      <c r="S159" s="96">
        <v>0.1668030301950843</v>
      </c>
      <c r="T159" s="96">
        <v>0.1663678526596909</v>
      </c>
      <c r="U159" s="96">
        <v>0.16593012042961786</v>
      </c>
      <c r="V159" s="96">
        <v>0.16552827008702856</v>
      </c>
      <c r="W159" s="96">
        <v>0.16512566976120865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0.13587125331017502</v>
      </c>
      <c r="D160" s="96">
        <v>0.13588100490670937</v>
      </c>
      <c r="E160" s="96">
        <v>0.13589179326847117</v>
      </c>
      <c r="F160" s="96">
        <v>0.13590362833964992</v>
      </c>
      <c r="G160" s="96">
        <v>0.1357820705496022</v>
      </c>
      <c r="H160" s="96">
        <v>0.13552044560025919</v>
      </c>
      <c r="I160" s="96">
        <v>0.13525817818162647</v>
      </c>
      <c r="J160" s="96">
        <v>0.13499559373473277</v>
      </c>
      <c r="K160" s="96">
        <v>0.13473766184333535</v>
      </c>
      <c r="L160" s="96">
        <v>0.13448043519713945</v>
      </c>
      <c r="M160" s="96">
        <v>0.13422400531264606</v>
      </c>
      <c r="N160" s="96">
        <v>0.1339678955402985</v>
      </c>
      <c r="O160" s="96">
        <v>0.13371100659969434</v>
      </c>
      <c r="P160" s="96">
        <v>0.13345361706794584</v>
      </c>
      <c r="Q160" s="96">
        <v>0.13319614147909969</v>
      </c>
      <c r="R160" s="96">
        <v>0.13344785874974277</v>
      </c>
      <c r="S160" s="96">
        <v>0.13369993898991556</v>
      </c>
      <c r="T160" s="96">
        <v>0.13395229081006652</v>
      </c>
      <c r="U160" s="96">
        <v>0.13420497681282598</v>
      </c>
      <c r="V160" s="96">
        <v>0.13445948301824964</v>
      </c>
      <c r="W160" s="96">
        <v>0.13471440492524975</v>
      </c>
      <c r="DA160" s="171" t="s">
        <v>570</v>
      </c>
    </row>
    <row r="161" spans="1:105" ht="11.45" customHeight="1" x14ac:dyDescent="0.25">
      <c r="A161" s="111" t="s">
        <v>113</v>
      </c>
      <c r="B161" s="96">
        <v>0.13302772913270947</v>
      </c>
      <c r="C161" s="96">
        <v>0.13303811517059136</v>
      </c>
      <c r="D161" s="96">
        <v>0.13304766343036836</v>
      </c>
      <c r="E161" s="96">
        <v>0.13305822683711999</v>
      </c>
      <c r="F161" s="96">
        <v>0.13306981512768309</v>
      </c>
      <c r="G161" s="96">
        <v>0.13308000734566516</v>
      </c>
      <c r="H161" s="96">
        <v>0.13309084157612047</v>
      </c>
      <c r="I161" s="96">
        <v>0.13310054841024072</v>
      </c>
      <c r="J161" s="96">
        <v>0.13310944288922158</v>
      </c>
      <c r="K161" s="96">
        <v>0.13312243108427424</v>
      </c>
      <c r="L161" s="96">
        <v>0.13313563084516811</v>
      </c>
      <c r="M161" s="96">
        <v>0.13314913515915855</v>
      </c>
      <c r="N161" s="96">
        <v>0.13316247300478654</v>
      </c>
      <c r="O161" s="96">
        <v>0.13317454942768459</v>
      </c>
      <c r="P161" s="96">
        <v>0.13318563575391584</v>
      </c>
      <c r="Q161" s="96">
        <v>0.13319614147909969</v>
      </c>
      <c r="R161" s="96">
        <v>0.13317988899869407</v>
      </c>
      <c r="S161" s="96">
        <v>0.13316352622186919</v>
      </c>
      <c r="T161" s="96">
        <v>0.13314696209107182</v>
      </c>
      <c r="U161" s="96">
        <v>0.13313025904017731</v>
      </c>
      <c r="V161" s="96">
        <v>0.13311488818806713</v>
      </c>
      <c r="W161" s="96">
        <v>0.133099452969375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0.16901688546575244</v>
      </c>
      <c r="P162" s="96">
        <v>0.16900281655869459</v>
      </c>
      <c r="Q162" s="96">
        <v>0.16898948661440083</v>
      </c>
      <c r="R162" s="96">
        <v>0.16901010908480993</v>
      </c>
      <c r="S162" s="96">
        <v>0.16903087659356078</v>
      </c>
      <c r="T162" s="96">
        <v>0.16905190485815444</v>
      </c>
      <c r="U162" s="96">
        <v>0.16907311478136061</v>
      </c>
      <c r="V162" s="96">
        <v>0.16936619614017548</v>
      </c>
      <c r="W162" s="96">
        <v>0.16911224701089667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11.641707306638953</v>
      </c>
      <c r="C163" s="130">
        <f t="shared" si="215"/>
        <v>11.52778882312424</v>
      </c>
      <c r="D163" s="130">
        <f t="shared" si="215"/>
        <v>11.535595970801756</v>
      </c>
      <c r="E163" s="130">
        <f t="shared" si="215"/>
        <v>11.301581623787532</v>
      </c>
      <c r="F163" s="130">
        <f t="shared" si="215"/>
        <v>11.177715520131377</v>
      </c>
      <c r="G163" s="130">
        <f t="shared" si="215"/>
        <v>9.4686126463236739</v>
      </c>
      <c r="H163" s="130">
        <f t="shared" si="215"/>
        <v>9.5881593457134322</v>
      </c>
      <c r="I163" s="130">
        <f t="shared" si="215"/>
        <v>9.6844851496091184</v>
      </c>
      <c r="J163" s="130">
        <f t="shared" si="215"/>
        <v>10.092012500694253</v>
      </c>
      <c r="K163" s="130">
        <f t="shared" si="215"/>
        <v>8.9202547524387441</v>
      </c>
      <c r="L163" s="130">
        <f t="shared" ref="L163" si="216">IF(L26=0,0,L26/L53)</f>
        <v>9.9434162867161628</v>
      </c>
      <c r="M163" s="130">
        <f t="shared" ref="M163:V163" si="217">IF(M26=0,0,M26/M53)</f>
        <v>10.05545919517089</v>
      </c>
      <c r="N163" s="130">
        <f t="shared" si="217"/>
        <v>10.291491807248997</v>
      </c>
      <c r="O163" s="130">
        <f t="shared" si="217"/>
        <v>10.308561533324083</v>
      </c>
      <c r="P163" s="130">
        <f t="shared" si="217"/>
        <v>10.455228140113279</v>
      </c>
      <c r="Q163" s="130">
        <f t="shared" si="217"/>
        <v>10.613289138193299</v>
      </c>
      <c r="R163" s="130">
        <f t="shared" si="217"/>
        <v>10.938552839164533</v>
      </c>
      <c r="S163" s="130">
        <f t="shared" si="217"/>
        <v>11.299651039135474</v>
      </c>
      <c r="T163" s="130">
        <f t="shared" si="217"/>
        <v>11.163754725218755</v>
      </c>
      <c r="U163" s="130">
        <f t="shared" si="217"/>
        <v>11.1093684301475</v>
      </c>
      <c r="V163" s="130">
        <f t="shared" si="217"/>
        <v>10.847593828679992</v>
      </c>
      <c r="W163" s="130">
        <f t="shared" ref="W163" si="218">IF(W26=0,0,W26/W53)</f>
        <v>10.9867867864331</v>
      </c>
      <c r="DA163" s="176" t="s">
        <v>573</v>
      </c>
    </row>
    <row r="164" spans="1:105" ht="11.45" customHeight="1" x14ac:dyDescent="0.25">
      <c r="A164" s="128" t="s">
        <v>27</v>
      </c>
      <c r="B164" s="97">
        <v>10.413827642606281</v>
      </c>
      <c r="C164" s="97">
        <v>10.158798283261802</v>
      </c>
      <c r="D164" s="97">
        <v>9.9874776386404296</v>
      </c>
      <c r="E164" s="97">
        <v>9.6212804328223633</v>
      </c>
      <c r="F164" s="97">
        <v>9.3820512820512825</v>
      </c>
      <c r="G164" s="97">
        <v>7.2434837889383346</v>
      </c>
      <c r="H164" s="97">
        <v>7.3520710059171597</v>
      </c>
      <c r="I164" s="97">
        <v>7.3995510662177333</v>
      </c>
      <c r="J164" s="97">
        <v>7.7729439809296785</v>
      </c>
      <c r="K164" s="97">
        <v>6.899659863945578</v>
      </c>
      <c r="L164" s="97">
        <v>7.8728283530229328</v>
      </c>
      <c r="M164" s="97">
        <v>7.8029629629629627</v>
      </c>
      <c r="N164" s="97">
        <v>7.8537211291702311</v>
      </c>
      <c r="O164" s="97">
        <v>7.8422391857506364</v>
      </c>
      <c r="P164" s="97">
        <v>8.0383973288814694</v>
      </c>
      <c r="Q164" s="97">
        <v>8.32475884244373</v>
      </c>
      <c r="R164" s="97">
        <v>8.8855193328279007</v>
      </c>
      <c r="S164" s="97">
        <v>9.2058596761757912</v>
      </c>
      <c r="T164" s="97">
        <v>9.0889355742296924</v>
      </c>
      <c r="U164" s="97">
        <v>9.0541271989174561</v>
      </c>
      <c r="V164" s="97">
        <v>8.8384879725085916</v>
      </c>
      <c r="W164" s="97">
        <v>9.0054844606946975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14.257421972058395</v>
      </c>
      <c r="C165" s="98">
        <v>14.245058387803748</v>
      </c>
      <c r="D165" s="98">
        <v>14.338603689647607</v>
      </c>
      <c r="E165" s="98">
        <v>14.254152494203542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14.105166269382362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14.040774681152577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9122.3223168049662</v>
      </c>
      <c r="C167" s="54">
        <f t="shared" si="219"/>
        <v>9270.1960932462462</v>
      </c>
      <c r="D167" s="54">
        <f t="shared" si="219"/>
        <v>9225.0010299719797</v>
      </c>
      <c r="E167" s="54">
        <f t="shared" si="219"/>
        <v>9194.1002949765279</v>
      </c>
      <c r="F167" s="54">
        <f t="shared" si="219"/>
        <v>9418.8862569690682</v>
      </c>
      <c r="G167" s="54">
        <f t="shared" si="219"/>
        <v>9836.2454619860091</v>
      </c>
      <c r="H167" s="54">
        <f t="shared" si="219"/>
        <v>9235.4733328911443</v>
      </c>
      <c r="I167" s="54">
        <f t="shared" si="219"/>
        <v>9586.1248188043865</v>
      </c>
      <c r="J167" s="54">
        <f t="shared" si="219"/>
        <v>10396.999475965666</v>
      </c>
      <c r="K167" s="54">
        <f t="shared" si="219"/>
        <v>11394.965326777208</v>
      </c>
      <c r="L167" s="54">
        <f t="shared" si="219"/>
        <v>10299.373120973862</v>
      </c>
      <c r="M167" s="54">
        <f>IF(M30=0,0,M30*1000000/M57)</f>
        <v>9616.0575750008047</v>
      </c>
      <c r="N167" s="54">
        <f t="shared" ref="N167:V167" si="220">IF(N30=0,0,N30*1000000/N57)</f>
        <v>9677.6789410508263</v>
      </c>
      <c r="O167" s="54">
        <f t="shared" si="220"/>
        <v>9395.4718031180546</v>
      </c>
      <c r="P167" s="54">
        <f t="shared" si="220"/>
        <v>9587.3053288708998</v>
      </c>
      <c r="Q167" s="54">
        <f t="shared" si="220"/>
        <v>9942.9414289123415</v>
      </c>
      <c r="R167" s="54">
        <f t="shared" si="220"/>
        <v>10110.22564781702</v>
      </c>
      <c r="S167" s="54">
        <f t="shared" si="220"/>
        <v>10214.494334216557</v>
      </c>
      <c r="T167" s="54">
        <f t="shared" si="220"/>
        <v>10580.226777622902</v>
      </c>
      <c r="U167" s="54">
        <f t="shared" si="220"/>
        <v>11208.539093577998</v>
      </c>
      <c r="V167" s="54">
        <f t="shared" si="220"/>
        <v>10527.065986518766</v>
      </c>
      <c r="W167" s="54">
        <f t="shared" ref="W167:W191" si="221">IF(W30=0,0,W30*1000000/W57)</f>
        <v>10770.226725231476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8323.8567628321198</v>
      </c>
      <c r="C168" s="28">
        <f t="shared" si="219"/>
        <v>8506.5229347191453</v>
      </c>
      <c r="D168" s="28">
        <f t="shared" si="219"/>
        <v>8483.3553631385494</v>
      </c>
      <c r="E168" s="28">
        <f t="shared" si="219"/>
        <v>8478.975163099818</v>
      </c>
      <c r="F168" s="28">
        <f t="shared" si="219"/>
        <v>8681.7150641167555</v>
      </c>
      <c r="G168" s="28">
        <f t="shared" si="219"/>
        <v>9031.0668574799001</v>
      </c>
      <c r="H168" s="28">
        <f t="shared" si="219"/>
        <v>8415.4800138304727</v>
      </c>
      <c r="I168" s="28">
        <f t="shared" si="219"/>
        <v>8750.4800842881759</v>
      </c>
      <c r="J168" s="28">
        <f t="shared" si="219"/>
        <v>9535.1514903873758</v>
      </c>
      <c r="K168" s="28">
        <f t="shared" si="219"/>
        <v>10475.08865358298</v>
      </c>
      <c r="L168" s="28">
        <f t="shared" si="219"/>
        <v>9582.9592613593304</v>
      </c>
      <c r="M168" s="28">
        <f t="shared" ref="M168:M192" si="222">IF(M31=0,0,M31*1000000/M58)</f>
        <v>8742.3055780223058</v>
      </c>
      <c r="N168" s="28">
        <f t="shared" si="219"/>
        <v>8826.1738097712787</v>
      </c>
      <c r="O168" s="28">
        <f t="shared" si="219"/>
        <v>8454.8551872704229</v>
      </c>
      <c r="P168" s="28">
        <f t="shared" si="219"/>
        <v>8684.5800811848367</v>
      </c>
      <c r="Q168" s="28">
        <f t="shared" si="219"/>
        <v>9078.3208388577168</v>
      </c>
      <c r="R168" s="28">
        <f t="shared" si="219"/>
        <v>9215.394912213631</v>
      </c>
      <c r="S168" s="28">
        <f t="shared" si="219"/>
        <v>9328.397517779038</v>
      </c>
      <c r="T168" s="28">
        <f t="shared" si="219"/>
        <v>9725.1231137540217</v>
      </c>
      <c r="U168" s="28">
        <f t="shared" si="219"/>
        <v>10426.404865322662</v>
      </c>
      <c r="V168" s="28">
        <f t="shared" si="219"/>
        <v>9660.0323730926193</v>
      </c>
      <c r="W168" s="28">
        <f t="shared" si="221"/>
        <v>9863.2524216825477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2674.6468875698342</v>
      </c>
      <c r="C169" s="137">
        <f t="shared" si="219"/>
        <v>2674.0968456972646</v>
      </c>
      <c r="D169" s="137">
        <f t="shared" si="219"/>
        <v>2672.83335308908</v>
      </c>
      <c r="E169" s="137">
        <f t="shared" si="219"/>
        <v>2671.264908176684</v>
      </c>
      <c r="F169" s="137">
        <f t="shared" si="219"/>
        <v>2668.6742969857919</v>
      </c>
      <c r="G169" s="137">
        <f t="shared" si="219"/>
        <v>2666.7201721813858</v>
      </c>
      <c r="H169" s="137">
        <f t="shared" si="219"/>
        <v>2665.1420354160969</v>
      </c>
      <c r="I169" s="137">
        <f t="shared" si="219"/>
        <v>2664.0047372632048</v>
      </c>
      <c r="J169" s="137">
        <f t="shared" si="219"/>
        <v>2662.9148331015476</v>
      </c>
      <c r="K169" s="137">
        <f t="shared" si="219"/>
        <v>2662.8366833491395</v>
      </c>
      <c r="L169" s="137">
        <f t="shared" si="219"/>
        <v>2662.7814047001229</v>
      </c>
      <c r="M169" s="137">
        <f t="shared" si="222"/>
        <v>2661.8380218456455</v>
      </c>
      <c r="N169" s="137">
        <f t="shared" si="219"/>
        <v>2661.1212718089241</v>
      </c>
      <c r="O169" s="137">
        <f t="shared" si="219"/>
        <v>2660.1256517404572</v>
      </c>
      <c r="P169" s="137">
        <f t="shared" si="219"/>
        <v>2659.3975720877138</v>
      </c>
      <c r="Q169" s="137">
        <f t="shared" si="219"/>
        <v>2659.1863807207606</v>
      </c>
      <c r="R169" s="137">
        <f t="shared" si="219"/>
        <v>2669.9065051681182</v>
      </c>
      <c r="S169" s="137">
        <f t="shared" si="219"/>
        <v>2724.9701314217441</v>
      </c>
      <c r="T169" s="137">
        <f t="shared" si="219"/>
        <v>2735.3325381950362</v>
      </c>
      <c r="U169" s="137">
        <f t="shared" si="219"/>
        <v>2656.8356969608967</v>
      </c>
      <c r="V169" s="137">
        <f t="shared" si="219"/>
        <v>2341.4904878876018</v>
      </c>
      <c r="W169" s="137">
        <f t="shared" si="221"/>
        <v>2292.7992652613802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8316.9888934111132</v>
      </c>
      <c r="C170" s="110">
        <f t="shared" si="219"/>
        <v>8512.3397201001535</v>
      </c>
      <c r="D170" s="110">
        <f t="shared" si="219"/>
        <v>8498.3377342892218</v>
      </c>
      <c r="E170" s="110">
        <f t="shared" si="219"/>
        <v>8507.1809357298134</v>
      </c>
      <c r="F170" s="110">
        <f t="shared" si="219"/>
        <v>8747.754548258079</v>
      </c>
      <c r="G170" s="110">
        <f t="shared" si="219"/>
        <v>9132.9673693720597</v>
      </c>
      <c r="H170" s="110">
        <f t="shared" si="219"/>
        <v>8481.2785176093676</v>
      </c>
      <c r="I170" s="110">
        <f t="shared" si="219"/>
        <v>8837.1702278866542</v>
      </c>
      <c r="J170" s="110">
        <f t="shared" si="219"/>
        <v>9693.7070215689982</v>
      </c>
      <c r="K170" s="110">
        <f t="shared" si="219"/>
        <v>10690.886792648189</v>
      </c>
      <c r="L170" s="110">
        <f t="shared" si="219"/>
        <v>9753.5163676763441</v>
      </c>
      <c r="M170" s="110">
        <f t="shared" si="222"/>
        <v>8880.3453117319696</v>
      </c>
      <c r="N170" s="110">
        <f t="shared" si="219"/>
        <v>8975.2783797431584</v>
      </c>
      <c r="O170" s="110">
        <f t="shared" si="219"/>
        <v>8586.4670911164394</v>
      </c>
      <c r="P170" s="110">
        <f t="shared" si="219"/>
        <v>8833.2657836075832</v>
      </c>
      <c r="Q170" s="110">
        <f t="shared" si="219"/>
        <v>9247.7217763061053</v>
      </c>
      <c r="R170" s="110">
        <f t="shared" si="219"/>
        <v>9379.4019561308924</v>
      </c>
      <c r="S170" s="110">
        <f t="shared" si="219"/>
        <v>9490.2547330603065</v>
      </c>
      <c r="T170" s="110">
        <f t="shared" si="219"/>
        <v>9913.547498846372</v>
      </c>
      <c r="U170" s="110">
        <f t="shared" si="219"/>
        <v>10665.919672679636</v>
      </c>
      <c r="V170" s="110">
        <f t="shared" si="219"/>
        <v>9903.7481234723273</v>
      </c>
      <c r="W170" s="110">
        <f t="shared" si="221"/>
        <v>10122.862916125609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7911.2338464817149</v>
      </c>
      <c r="C171" s="84">
        <f t="shared" si="219"/>
        <v>8066.22177858943</v>
      </c>
      <c r="D171" s="84">
        <f t="shared" si="219"/>
        <v>7983.2396870053972</v>
      </c>
      <c r="E171" s="84">
        <f t="shared" si="219"/>
        <v>7894.3161533531165</v>
      </c>
      <c r="F171" s="84">
        <f t="shared" si="219"/>
        <v>7976.6673972109875</v>
      </c>
      <c r="G171" s="84">
        <f t="shared" si="219"/>
        <v>8602.3574214397213</v>
      </c>
      <c r="H171" s="84">
        <f t="shared" si="219"/>
        <v>7732.8699557584187</v>
      </c>
      <c r="I171" s="84">
        <f t="shared" si="219"/>
        <v>8003.4146843497656</v>
      </c>
      <c r="J171" s="84">
        <f t="shared" si="219"/>
        <v>8828.3158952237773</v>
      </c>
      <c r="K171" s="84">
        <f t="shared" si="219"/>
        <v>9756.6621762293307</v>
      </c>
      <c r="L171" s="84">
        <f t="shared" si="219"/>
        <v>8538.2563795536589</v>
      </c>
      <c r="M171" s="84">
        <f t="shared" si="222"/>
        <v>7473.2210966924104</v>
      </c>
      <c r="N171" s="84">
        <f t="shared" si="219"/>
        <v>7517.5883296313932</v>
      </c>
      <c r="O171" s="84">
        <f t="shared" si="219"/>
        <v>7081.3036396235184</v>
      </c>
      <c r="P171" s="84">
        <f t="shared" si="219"/>
        <v>7776.5563302476648</v>
      </c>
      <c r="Q171" s="84">
        <f t="shared" si="219"/>
        <v>8034.0761168641038</v>
      </c>
      <c r="R171" s="84">
        <f t="shared" si="219"/>
        <v>7920.3648105796829</v>
      </c>
      <c r="S171" s="84">
        <f t="shared" si="219"/>
        <v>7894.7539714438726</v>
      </c>
      <c r="T171" s="84">
        <f t="shared" si="219"/>
        <v>8142.6573346578807</v>
      </c>
      <c r="U171" s="84">
        <f t="shared" si="219"/>
        <v>8610.803102032236</v>
      </c>
      <c r="V171" s="84">
        <f t="shared" si="219"/>
        <v>8033.3955645764499</v>
      </c>
      <c r="W171" s="84">
        <f t="shared" si="221"/>
        <v>8082.8844120340318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12054.848041847894</v>
      </c>
      <c r="C172" s="84">
        <f t="shared" si="219"/>
        <v>12389.927443495488</v>
      </c>
      <c r="D172" s="84">
        <f t="shared" si="219"/>
        <v>12578.772801897243</v>
      </c>
      <c r="E172" s="84">
        <f t="shared" si="219"/>
        <v>12832.937499494848</v>
      </c>
      <c r="F172" s="84">
        <f t="shared" si="219"/>
        <v>13561.526133790932</v>
      </c>
      <c r="G172" s="84">
        <f t="shared" si="219"/>
        <v>12893.829991487302</v>
      </c>
      <c r="H172" s="84">
        <f t="shared" si="219"/>
        <v>12570.381721100406</v>
      </c>
      <c r="I172" s="84">
        <f t="shared" si="219"/>
        <v>12923.643454068351</v>
      </c>
      <c r="J172" s="84">
        <f t="shared" si="219"/>
        <v>13296.844820975344</v>
      </c>
      <c r="K172" s="84">
        <f t="shared" si="219"/>
        <v>14429.208372674506</v>
      </c>
      <c r="L172" s="84">
        <f t="shared" si="219"/>
        <v>14434.14832703639</v>
      </c>
      <c r="M172" s="84">
        <f t="shared" si="222"/>
        <v>14066.363214048124</v>
      </c>
      <c r="N172" s="84">
        <f t="shared" si="219"/>
        <v>13967.949912526808</v>
      </c>
      <c r="O172" s="84">
        <f t="shared" si="219"/>
        <v>13334.811355451728</v>
      </c>
      <c r="P172" s="84">
        <f t="shared" si="219"/>
        <v>11912.340584176418</v>
      </c>
      <c r="Q172" s="84">
        <f t="shared" si="219"/>
        <v>12467.327985763941</v>
      </c>
      <c r="R172" s="84">
        <f t="shared" si="219"/>
        <v>12937.757991419556</v>
      </c>
      <c r="S172" s="84">
        <f t="shared" si="219"/>
        <v>13164.018957779654</v>
      </c>
      <c r="T172" s="84">
        <f t="shared" si="219"/>
        <v>13839.234192675354</v>
      </c>
      <c r="U172" s="84">
        <f t="shared" si="219"/>
        <v>15109.30882793592</v>
      </c>
      <c r="V172" s="84">
        <f t="shared" si="219"/>
        <v>13893.53748659494</v>
      </c>
      <c r="W172" s="84">
        <f t="shared" si="221"/>
        <v>14443.061364853138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7559.0134317900565</v>
      </c>
      <c r="D173" s="84">
        <f t="shared" si="219"/>
        <v>7674.2267457662811</v>
      </c>
      <c r="E173" s="84">
        <f t="shared" si="219"/>
        <v>8393.1159486903071</v>
      </c>
      <c r="F173" s="84">
        <f t="shared" si="219"/>
        <v>8273.7981048238144</v>
      </c>
      <c r="G173" s="84">
        <f t="shared" si="219"/>
        <v>8716.5132982507039</v>
      </c>
      <c r="H173" s="84">
        <f t="shared" si="219"/>
        <v>8289.7151774562644</v>
      </c>
      <c r="I173" s="84">
        <f t="shared" si="219"/>
        <v>9008.728969697866</v>
      </c>
      <c r="J173" s="84">
        <f t="shared" si="219"/>
        <v>9680.3615772030298</v>
      </c>
      <c r="K173" s="84">
        <f t="shared" si="219"/>
        <v>10333.024213679322</v>
      </c>
      <c r="L173" s="84">
        <f t="shared" si="219"/>
        <v>8806.179178861772</v>
      </c>
      <c r="M173" s="84">
        <f t="shared" si="222"/>
        <v>7143.0093887878475</v>
      </c>
      <c r="N173" s="84">
        <f t="shared" si="219"/>
        <v>7171.9744151277846</v>
      </c>
      <c r="O173" s="84">
        <f t="shared" si="219"/>
        <v>6893.7373621166953</v>
      </c>
      <c r="P173" s="84">
        <f t="shared" si="219"/>
        <v>7192.0457966719005</v>
      </c>
      <c r="Q173" s="84">
        <f t="shared" si="219"/>
        <v>7606.234994733285</v>
      </c>
      <c r="R173" s="84">
        <f t="shared" si="219"/>
        <v>7893.2412542682996</v>
      </c>
      <c r="S173" s="84">
        <f t="shared" si="219"/>
        <v>8031.2815851423647</v>
      </c>
      <c r="T173" s="84">
        <f t="shared" si="219"/>
        <v>8443.225969256202</v>
      </c>
      <c r="U173" s="84">
        <f t="shared" si="219"/>
        <v>9218.0901701237053</v>
      </c>
      <c r="V173" s="84">
        <f t="shared" si="219"/>
        <v>8476.3560525436642</v>
      </c>
      <c r="W173" s="84">
        <f t="shared" si="221"/>
        <v>8811.6169647472925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8790.5165961719158</v>
      </c>
      <c r="M174" s="84">
        <f t="shared" si="222"/>
        <v>6990.4950032770357</v>
      </c>
      <c r="N174" s="84">
        <f t="shared" si="219"/>
        <v>7162.0832460732163</v>
      </c>
      <c r="O174" s="84">
        <f t="shared" si="219"/>
        <v>7024.7244095786064</v>
      </c>
      <c r="P174" s="84">
        <f t="shared" si="219"/>
        <v>7478.2662914805105</v>
      </c>
      <c r="Q174" s="84">
        <f t="shared" si="219"/>
        <v>8070.3458155197277</v>
      </c>
      <c r="R174" s="84">
        <f t="shared" si="219"/>
        <v>8207.367092911576</v>
      </c>
      <c r="S174" s="84">
        <f t="shared" si="219"/>
        <v>8183.8829691106703</v>
      </c>
      <c r="T174" s="84">
        <f t="shared" si="219"/>
        <v>8431.581564160213</v>
      </c>
      <c r="U174" s="84">
        <f t="shared" si="219"/>
        <v>9021.2695751394058</v>
      </c>
      <c r="V174" s="84">
        <f t="shared" si="219"/>
        <v>8129.465184495808</v>
      </c>
      <c r="W174" s="84">
        <f t="shared" si="221"/>
        <v>8281.9855881677631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7358.0291436336975</v>
      </c>
      <c r="O175" s="84">
        <f t="shared" si="219"/>
        <v>7354.2801221365844</v>
      </c>
      <c r="P175" s="84">
        <f t="shared" si="219"/>
        <v>8157.459666038264</v>
      </c>
      <c r="Q175" s="84">
        <f t="shared" si="219"/>
        <v>9081.3125813400075</v>
      </c>
      <c r="R175" s="84">
        <f t="shared" si="219"/>
        <v>8952.7790821074414</v>
      </c>
      <c r="S175" s="84">
        <f t="shared" si="219"/>
        <v>8653.8816043587976</v>
      </c>
      <c r="T175" s="84">
        <f t="shared" si="219"/>
        <v>8642.8726556374058</v>
      </c>
      <c r="U175" s="84">
        <f t="shared" si="219"/>
        <v>8995.4699936946818</v>
      </c>
      <c r="V175" s="84">
        <f t="shared" si="219"/>
        <v>8367.8966884629626</v>
      </c>
      <c r="W175" s="84">
        <f t="shared" si="221"/>
        <v>8462.6563172593233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7784.8747918679801</v>
      </c>
      <c r="M176" s="84">
        <f t="shared" si="222"/>
        <v>7846.6291456822864</v>
      </c>
      <c r="N176" s="84">
        <f t="shared" si="219"/>
        <v>7848.9518072032006</v>
      </c>
      <c r="O176" s="84">
        <f t="shared" si="219"/>
        <v>7872.4503198991897</v>
      </c>
      <c r="P176" s="84">
        <f t="shared" si="219"/>
        <v>7909.4017183743299</v>
      </c>
      <c r="Q176" s="84">
        <f t="shared" si="219"/>
        <v>7922.2960004856868</v>
      </c>
      <c r="R176" s="84">
        <f t="shared" si="219"/>
        <v>7916.6514973666972</v>
      </c>
      <c r="S176" s="84">
        <f t="shared" si="219"/>
        <v>7915.3695857215935</v>
      </c>
      <c r="T176" s="84">
        <f t="shared" si="219"/>
        <v>7903.1426311798796</v>
      </c>
      <c r="U176" s="84">
        <f t="shared" si="219"/>
        <v>7881.0837909752627</v>
      </c>
      <c r="V176" s="84">
        <f t="shared" si="219"/>
        <v>7481.3085233803758</v>
      </c>
      <c r="W176" s="84">
        <f t="shared" si="221"/>
        <v>7856.1918484754424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37608.391734541183</v>
      </c>
      <c r="C177" s="110">
        <f t="shared" si="219"/>
        <v>37259.894263930335</v>
      </c>
      <c r="D177" s="110">
        <f t="shared" si="219"/>
        <v>36909.263329849724</v>
      </c>
      <c r="E177" s="110">
        <f t="shared" si="219"/>
        <v>36549.525673095828</v>
      </c>
      <c r="F177" s="110">
        <f t="shared" si="219"/>
        <v>36143.015353998439</v>
      </c>
      <c r="G177" s="110">
        <f t="shared" si="219"/>
        <v>35778.45449644851</v>
      </c>
      <c r="H177" s="110">
        <f t="shared" si="219"/>
        <v>35581.241890553516</v>
      </c>
      <c r="I177" s="110">
        <f t="shared" si="219"/>
        <v>35960.987365282053</v>
      </c>
      <c r="J177" s="110">
        <f t="shared" si="219"/>
        <v>36166.393889798142</v>
      </c>
      <c r="K177" s="110">
        <f t="shared" si="219"/>
        <v>36007.500558138076</v>
      </c>
      <c r="L177" s="110">
        <f t="shared" si="219"/>
        <v>36350.754645397268</v>
      </c>
      <c r="M177" s="110">
        <f t="shared" si="222"/>
        <v>36681.41465587385</v>
      </c>
      <c r="N177" s="110">
        <f t="shared" si="219"/>
        <v>37040.302020894298</v>
      </c>
      <c r="O177" s="110">
        <f t="shared" si="219"/>
        <v>37442.997279057148</v>
      </c>
      <c r="P177" s="110">
        <f t="shared" si="219"/>
        <v>37109.270385723677</v>
      </c>
      <c r="Q177" s="110">
        <f t="shared" si="219"/>
        <v>36768.926274121724</v>
      </c>
      <c r="R177" s="110">
        <f t="shared" si="219"/>
        <v>37167.296276308691</v>
      </c>
      <c r="S177" s="110">
        <f t="shared" si="219"/>
        <v>38281.299946723491</v>
      </c>
      <c r="T177" s="110">
        <f t="shared" si="219"/>
        <v>38156.232050545659</v>
      </c>
      <c r="U177" s="110">
        <f t="shared" si="219"/>
        <v>37751.451919617619</v>
      </c>
      <c r="V177" s="110">
        <f t="shared" si="219"/>
        <v>37202.727326162356</v>
      </c>
      <c r="W177" s="110">
        <f t="shared" si="221"/>
        <v>37406.594643259064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14204.439501919183</v>
      </c>
      <c r="C178" s="102">
        <f t="shared" si="219"/>
        <v>14353.331813365265</v>
      </c>
      <c r="D178" s="102">
        <f t="shared" si="219"/>
        <v>14501.572432193516</v>
      </c>
      <c r="E178" s="102">
        <f t="shared" si="219"/>
        <v>14646.12400355864</v>
      </c>
      <c r="F178" s="102">
        <f t="shared" si="219"/>
        <v>14770.540915827667</v>
      </c>
      <c r="G178" s="102">
        <f t="shared" si="219"/>
        <v>14912.394302398017</v>
      </c>
      <c r="H178" s="102">
        <f t="shared" si="219"/>
        <v>15128.671909141038</v>
      </c>
      <c r="I178" s="102">
        <f t="shared" si="219"/>
        <v>15610.462107746227</v>
      </c>
      <c r="J178" s="102">
        <f t="shared" si="219"/>
        <v>16024.591387087296</v>
      </c>
      <c r="K178" s="102">
        <f t="shared" si="219"/>
        <v>16329.641960270295</v>
      </c>
      <c r="L178" s="102">
        <f t="shared" si="219"/>
        <v>16829.7267541043</v>
      </c>
      <c r="M178" s="102">
        <f t="shared" si="222"/>
        <v>16986.703022708556</v>
      </c>
      <c r="N178" s="102">
        <f t="shared" si="219"/>
        <v>17510.953408795867</v>
      </c>
      <c r="O178" s="102">
        <f t="shared" si="219"/>
        <v>18072.349148066103</v>
      </c>
      <c r="P178" s="102">
        <f t="shared" si="219"/>
        <v>18268.627998941505</v>
      </c>
      <c r="Q178" s="102">
        <f t="shared" si="219"/>
        <v>18459.100067754713</v>
      </c>
      <c r="R178" s="102">
        <f t="shared" si="219"/>
        <v>18295.767082275528</v>
      </c>
      <c r="S178" s="102">
        <f t="shared" si="219"/>
        <v>19249.426155617824</v>
      </c>
      <c r="T178" s="102">
        <f t="shared" si="219"/>
        <v>18799.729804947929</v>
      </c>
      <c r="U178" s="102">
        <f t="shared" si="219"/>
        <v>18218.569345115146</v>
      </c>
      <c r="V178" s="102">
        <f t="shared" si="219"/>
        <v>17581.807533666008</v>
      </c>
      <c r="W178" s="102">
        <f t="shared" si="221"/>
        <v>17329.325583038211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41053.065428557587</v>
      </c>
      <c r="C179" s="102">
        <f t="shared" si="219"/>
        <v>40220.415324442132</v>
      </c>
      <c r="D179" s="102">
        <f t="shared" si="219"/>
        <v>39402.236974009982</v>
      </c>
      <c r="E179" s="102">
        <f t="shared" si="219"/>
        <v>38647.705894159968</v>
      </c>
      <c r="F179" s="102">
        <f t="shared" si="219"/>
        <v>37925.079079953161</v>
      </c>
      <c r="G179" s="102">
        <f t="shared" si="219"/>
        <v>37242.385939477601</v>
      </c>
      <c r="H179" s="102">
        <f t="shared" si="219"/>
        <v>36656.084926921532</v>
      </c>
      <c r="I179" s="102">
        <f t="shared" si="219"/>
        <v>36825.261238622123</v>
      </c>
      <c r="J179" s="102">
        <f t="shared" si="219"/>
        <v>36928.734339518094</v>
      </c>
      <c r="K179" s="102">
        <f t="shared" si="219"/>
        <v>36604.005198800784</v>
      </c>
      <c r="L179" s="102">
        <f t="shared" si="219"/>
        <v>36833.806303414662</v>
      </c>
      <c r="M179" s="102">
        <f t="shared" si="222"/>
        <v>37073.012565995414</v>
      </c>
      <c r="N179" s="102">
        <f t="shared" si="219"/>
        <v>37334.541044127829</v>
      </c>
      <c r="O179" s="102">
        <f t="shared" si="219"/>
        <v>37748.633844687676</v>
      </c>
      <c r="P179" s="102">
        <f t="shared" si="219"/>
        <v>37359.00906601629</v>
      </c>
      <c r="Q179" s="102">
        <f t="shared" si="219"/>
        <v>36906.646861330912</v>
      </c>
      <c r="R179" s="102">
        <f t="shared" si="219"/>
        <v>37157.542102866042</v>
      </c>
      <c r="S179" s="102">
        <f t="shared" si="219"/>
        <v>38229.628424421731</v>
      </c>
      <c r="T179" s="102">
        <f t="shared" si="219"/>
        <v>38104.236921474956</v>
      </c>
      <c r="U179" s="102">
        <f t="shared" si="219"/>
        <v>37708.404942536792</v>
      </c>
      <c r="V179" s="102">
        <f t="shared" si="219"/>
        <v>37164.493782595775</v>
      </c>
      <c r="W179" s="102">
        <f t="shared" si="221"/>
        <v>37416.643788340509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22383.803343083895</v>
      </c>
      <c r="Q180" s="102">
        <f t="shared" si="223"/>
        <v>22617.180985395742</v>
      </c>
      <c r="R180" s="102">
        <f t="shared" si="223"/>
        <v>22417.055752859578</v>
      </c>
      <c r="S180" s="102">
        <f t="shared" si="223"/>
        <v>22660.612293570703</v>
      </c>
      <c r="T180" s="102">
        <f t="shared" si="223"/>
        <v>22131.22536172234</v>
      </c>
      <c r="U180" s="102">
        <f t="shared" si="223"/>
        <v>21447.077597827541</v>
      </c>
      <c r="V180" s="102">
        <f t="shared" si="223"/>
        <v>20697.475380288735</v>
      </c>
      <c r="W180" s="102">
        <f t="shared" si="221"/>
        <v>20400.251164457699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38565.149667416073</v>
      </c>
      <c r="C181" s="102">
        <f t="shared" si="223"/>
        <v>37831.718160710217</v>
      </c>
      <c r="D181" s="102">
        <f t="shared" si="223"/>
        <v>40022.603899072579</v>
      </c>
      <c r="E181" s="102">
        <f t="shared" si="223"/>
        <v>38685.965780999213</v>
      </c>
      <c r="F181" s="102">
        <f t="shared" si="223"/>
        <v>38765.413354369972</v>
      </c>
      <c r="G181" s="102">
        <f t="shared" si="223"/>
        <v>43194.498274187696</v>
      </c>
      <c r="H181" s="102">
        <f t="shared" si="223"/>
        <v>42944.538068830421</v>
      </c>
      <c r="I181" s="102">
        <f t="shared" si="223"/>
        <v>43425.913822350914</v>
      </c>
      <c r="J181" s="102">
        <f t="shared" si="223"/>
        <v>43686.398866011405</v>
      </c>
      <c r="K181" s="102">
        <f t="shared" si="223"/>
        <v>42381.021093337615</v>
      </c>
      <c r="L181" s="102">
        <f t="shared" si="223"/>
        <v>38304.232658163841</v>
      </c>
      <c r="M181" s="102">
        <f t="shared" si="222"/>
        <v>36398.265722053708</v>
      </c>
      <c r="N181" s="102">
        <f t="shared" si="223"/>
        <v>44511.20473742859</v>
      </c>
      <c r="O181" s="102">
        <f t="shared" si="223"/>
        <v>37516.213135847916</v>
      </c>
      <c r="P181" s="102">
        <f t="shared" si="223"/>
        <v>38067.832344041381</v>
      </c>
      <c r="Q181" s="102">
        <f t="shared" si="223"/>
        <v>40536.282186439399</v>
      </c>
      <c r="R181" s="102">
        <f t="shared" si="223"/>
        <v>45097.30845637303</v>
      </c>
      <c r="S181" s="102">
        <f t="shared" si="223"/>
        <v>46517.633792509609</v>
      </c>
      <c r="T181" s="102">
        <f t="shared" si="223"/>
        <v>46358.071388134311</v>
      </c>
      <c r="U181" s="102">
        <f t="shared" si="223"/>
        <v>45841.830047843403</v>
      </c>
      <c r="V181" s="102">
        <f t="shared" si="223"/>
        <v>45142.449679262245</v>
      </c>
      <c r="W181" s="102">
        <f t="shared" si="221"/>
        <v>41465.37367698938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44930.867869530302</v>
      </c>
      <c r="C182" s="102">
        <f t="shared" si="223"/>
        <v>44951.787343809141</v>
      </c>
      <c r="D182" s="102">
        <f t="shared" si="223"/>
        <v>44973.043255752753</v>
      </c>
      <c r="E182" s="102">
        <f t="shared" si="223"/>
        <v>44995.072734968067</v>
      </c>
      <c r="F182" s="102">
        <f t="shared" si="223"/>
        <v>45020.242122601485</v>
      </c>
      <c r="G182" s="102">
        <f t="shared" si="223"/>
        <v>45043.068295545541</v>
      </c>
      <c r="H182" s="102">
        <f t="shared" si="223"/>
        <v>45055.518336031222</v>
      </c>
      <c r="I182" s="102">
        <f t="shared" si="223"/>
        <v>45079.440335447951</v>
      </c>
      <c r="J182" s="102">
        <f t="shared" si="223"/>
        <v>45092.28005686844</v>
      </c>
      <c r="K182" s="102">
        <f t="shared" si="223"/>
        <v>45095.168696143199</v>
      </c>
      <c r="L182" s="102">
        <f t="shared" si="223"/>
        <v>45116.566239762316</v>
      </c>
      <c r="M182" s="102">
        <f t="shared" si="222"/>
        <v>45137.062742502836</v>
      </c>
      <c r="N182" s="102">
        <f t="shared" si="223"/>
        <v>45158.976782551865</v>
      </c>
      <c r="O182" s="102">
        <f t="shared" si="223"/>
        <v>45183.398901492037</v>
      </c>
      <c r="P182" s="102">
        <f t="shared" si="223"/>
        <v>45203.629529024613</v>
      </c>
      <c r="Q182" s="102">
        <f t="shared" si="223"/>
        <v>45224.795165999043</v>
      </c>
      <c r="R182" s="102">
        <f t="shared" si="223"/>
        <v>45200.434274050014</v>
      </c>
      <c r="S182" s="102">
        <f t="shared" si="223"/>
        <v>45133.739927030299</v>
      </c>
      <c r="T182" s="102">
        <f t="shared" si="223"/>
        <v>45126.355694427562</v>
      </c>
      <c r="U182" s="102">
        <f t="shared" si="223"/>
        <v>45102.298109137068</v>
      </c>
      <c r="V182" s="102">
        <f t="shared" si="223"/>
        <v>44609.721410687933</v>
      </c>
      <c r="W182" s="102">
        <f t="shared" si="221"/>
        <v>45081.607846870291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14763.704341803457</v>
      </c>
      <c r="C183" s="28">
        <f t="shared" si="223"/>
        <v>14703.321383254894</v>
      </c>
      <c r="D183" s="28">
        <f t="shared" si="223"/>
        <v>14553.477368146838</v>
      </c>
      <c r="E183" s="28">
        <f t="shared" si="223"/>
        <v>14463.642860777685</v>
      </c>
      <c r="F183" s="28">
        <f t="shared" si="223"/>
        <v>14913.025752964037</v>
      </c>
      <c r="G183" s="28">
        <f t="shared" si="223"/>
        <v>15815.826753142528</v>
      </c>
      <c r="H183" s="28">
        <f t="shared" si="223"/>
        <v>15724.008522896524</v>
      </c>
      <c r="I183" s="28">
        <f t="shared" si="223"/>
        <v>16121.163886107852</v>
      </c>
      <c r="J183" s="28">
        <f t="shared" si="223"/>
        <v>16571.99481146679</v>
      </c>
      <c r="K183" s="28">
        <f t="shared" si="223"/>
        <v>18001.060737725325</v>
      </c>
      <c r="L183" s="28">
        <f t="shared" si="223"/>
        <v>15406.465306215363</v>
      </c>
      <c r="M183" s="28">
        <f t="shared" si="222"/>
        <v>15816.462159845092</v>
      </c>
      <c r="N183" s="28">
        <f t="shared" si="223"/>
        <v>15750.361893714477</v>
      </c>
      <c r="O183" s="28">
        <f t="shared" si="223"/>
        <v>16147.05010521801</v>
      </c>
      <c r="P183" s="28">
        <f t="shared" si="223"/>
        <v>16001.961853761892</v>
      </c>
      <c r="Q183" s="28">
        <f t="shared" si="223"/>
        <v>15993.909798954337</v>
      </c>
      <c r="R183" s="28">
        <f t="shared" si="223"/>
        <v>16325.431082548375</v>
      </c>
      <c r="S183" s="28">
        <f t="shared" si="223"/>
        <v>16334.139053345998</v>
      </c>
      <c r="T183" s="28">
        <f t="shared" si="223"/>
        <v>16437.858464973993</v>
      </c>
      <c r="U183" s="28">
        <f t="shared" si="223"/>
        <v>16540.191817536921</v>
      </c>
      <c r="V183" s="28">
        <f t="shared" si="223"/>
        <v>16405.085283315566</v>
      </c>
      <c r="W183" s="28">
        <f t="shared" si="221"/>
        <v>16869.749671402307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15657.473117194832</v>
      </c>
      <c r="C184" s="137">
        <f t="shared" si="223"/>
        <v>15666.793027536642</v>
      </c>
      <c r="D184" s="137">
        <f t="shared" si="223"/>
        <v>15721.570986209108</v>
      </c>
      <c r="E184" s="137">
        <f t="shared" si="223"/>
        <v>15716.506161338619</v>
      </c>
      <c r="F184" s="137">
        <f t="shared" si="223"/>
        <v>15665.943892882111</v>
      </c>
      <c r="G184" s="137">
        <f t="shared" si="223"/>
        <v>15637.031990689351</v>
      </c>
      <c r="H184" s="137">
        <f t="shared" si="223"/>
        <v>15552.385897888378</v>
      </c>
      <c r="I184" s="137">
        <f t="shared" si="223"/>
        <v>15488.702661597046</v>
      </c>
      <c r="J184" s="137">
        <f t="shared" si="223"/>
        <v>15491.053900218649</v>
      </c>
      <c r="K184" s="137">
        <f t="shared" si="223"/>
        <v>15405.91267951346</v>
      </c>
      <c r="L184" s="137">
        <f t="shared" si="223"/>
        <v>15205.714963278211</v>
      </c>
      <c r="M184" s="137">
        <f t="shared" si="222"/>
        <v>15088.707945587797</v>
      </c>
      <c r="N184" s="137">
        <f t="shared" si="223"/>
        <v>14941.767859762904</v>
      </c>
      <c r="O184" s="137">
        <f t="shared" si="223"/>
        <v>14815.655315601633</v>
      </c>
      <c r="P184" s="137">
        <f t="shared" si="223"/>
        <v>14705.72313006184</v>
      </c>
      <c r="Q184" s="137">
        <f t="shared" si="223"/>
        <v>14605.888295931742</v>
      </c>
      <c r="R184" s="137">
        <f t="shared" si="223"/>
        <v>14834.118222551486</v>
      </c>
      <c r="S184" s="137">
        <f t="shared" si="223"/>
        <v>15053.275388806442</v>
      </c>
      <c r="T184" s="137">
        <f t="shared" si="223"/>
        <v>15270.887785265997</v>
      </c>
      <c r="U184" s="137">
        <f t="shared" si="223"/>
        <v>15492.565539738969</v>
      </c>
      <c r="V184" s="137">
        <f t="shared" si="223"/>
        <v>15684.421730166707</v>
      </c>
      <c r="W184" s="137">
        <f t="shared" si="221"/>
        <v>15874.206871578519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13329.130878593944</v>
      </c>
      <c r="C185" s="84">
        <f t="shared" si="223"/>
        <v>13220.31229713615</v>
      </c>
      <c r="D185" s="84">
        <f t="shared" si="223"/>
        <v>13121.062814935121</v>
      </c>
      <c r="E185" s="84">
        <f t="shared" si="223"/>
        <v>13012.137481876471</v>
      </c>
      <c r="F185" s="84">
        <f t="shared" si="223"/>
        <v>12893.693625116521</v>
      </c>
      <c r="G185" s="84">
        <f t="shared" si="223"/>
        <v>12790.418900591407</v>
      </c>
      <c r="H185" s="84">
        <f t="shared" si="223"/>
        <v>12608.662625270539</v>
      </c>
      <c r="I185" s="84">
        <f t="shared" si="223"/>
        <v>12327.563558577785</v>
      </c>
      <c r="J185" s="84">
        <f t="shared" si="223"/>
        <v>12060.463994535206</v>
      </c>
      <c r="K185" s="84">
        <f t="shared" si="223"/>
        <v>11761.119626268013</v>
      </c>
      <c r="L185" s="84">
        <f t="shared" si="223"/>
        <v>11467.302995556163</v>
      </c>
      <c r="M185" s="84">
        <f t="shared" si="222"/>
        <v>11178.153087544166</v>
      </c>
      <c r="N185" s="84">
        <f t="shared" si="223"/>
        <v>10897.736274699517</v>
      </c>
      <c r="O185" s="84">
        <f t="shared" si="223"/>
        <v>10634.936951090624</v>
      </c>
      <c r="P185" s="84">
        <f t="shared" si="223"/>
        <v>10386.588226047248</v>
      </c>
      <c r="Q185" s="84">
        <f t="shared" si="223"/>
        <v>10148.690284059692</v>
      </c>
      <c r="R185" s="84">
        <f t="shared" si="223"/>
        <v>10433.753362117213</v>
      </c>
      <c r="S185" s="84">
        <f t="shared" si="223"/>
        <v>10727.773197387362</v>
      </c>
      <c r="T185" s="84">
        <f t="shared" si="223"/>
        <v>11031.847491372329</v>
      </c>
      <c r="U185" s="84">
        <f t="shared" si="223"/>
        <v>11345.802131337179</v>
      </c>
      <c r="V185" s="84">
        <f t="shared" si="223"/>
        <v>11311.929665060319</v>
      </c>
      <c r="W185" s="84">
        <f t="shared" si="221"/>
        <v>11278.746808071315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16999.189649016549</v>
      </c>
      <c r="C186" s="84">
        <f t="shared" si="223"/>
        <v>16860.408829742817</v>
      </c>
      <c r="D186" s="84">
        <f t="shared" si="223"/>
        <v>16733.831876911514</v>
      </c>
      <c r="E186" s="84">
        <f t="shared" si="223"/>
        <v>16594.914912924014</v>
      </c>
      <c r="F186" s="84">
        <f t="shared" si="223"/>
        <v>16443.858583583227</v>
      </c>
      <c r="G186" s="84">
        <f t="shared" si="223"/>
        <v>16312.148073412469</v>
      </c>
      <c r="H186" s="84">
        <f t="shared" si="223"/>
        <v>16173.308519452097</v>
      </c>
      <c r="I186" s="84">
        <f t="shared" si="223"/>
        <v>16049.929883232291</v>
      </c>
      <c r="J186" s="84">
        <f t="shared" si="223"/>
        <v>15937.711013211561</v>
      </c>
      <c r="K186" s="84">
        <f t="shared" si="223"/>
        <v>15775.264182904406</v>
      </c>
      <c r="L186" s="84">
        <f t="shared" si="223"/>
        <v>15611.883567914827</v>
      </c>
      <c r="M186" s="84">
        <f t="shared" si="222"/>
        <v>15446.500798253508</v>
      </c>
      <c r="N186" s="84">
        <f t="shared" si="223"/>
        <v>15284.892692844123</v>
      </c>
      <c r="O186" s="84">
        <f t="shared" si="223"/>
        <v>15140.041379696639</v>
      </c>
      <c r="P186" s="84">
        <f t="shared" si="223"/>
        <v>15008.286076665485</v>
      </c>
      <c r="Q186" s="84">
        <f t="shared" si="223"/>
        <v>14884.499166458025</v>
      </c>
      <c r="R186" s="84">
        <f t="shared" si="223"/>
        <v>15076.438182013004</v>
      </c>
      <c r="S186" s="84">
        <f t="shared" si="223"/>
        <v>15272.204326870879</v>
      </c>
      <c r="T186" s="84">
        <f t="shared" si="223"/>
        <v>15472.993735489999</v>
      </c>
      <c r="U186" s="84">
        <f t="shared" si="223"/>
        <v>15678.166178794847</v>
      </c>
      <c r="V186" s="84">
        <f t="shared" si="223"/>
        <v>15869.400611488329</v>
      </c>
      <c r="W186" s="84">
        <f t="shared" si="221"/>
        <v>16063.805777606211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8269.3775640148888</v>
      </c>
      <c r="D187" s="84">
        <f t="shared" si="223"/>
        <v>8266.4107012013701</v>
      </c>
      <c r="E187" s="84">
        <f t="shared" si="223"/>
        <v>8263.1298971128035</v>
      </c>
      <c r="F187" s="84">
        <f t="shared" si="223"/>
        <v>8259.5325796460165</v>
      </c>
      <c r="G187" s="84">
        <f t="shared" si="223"/>
        <v>8296.5702311436307</v>
      </c>
      <c r="H187" s="84">
        <f t="shared" si="223"/>
        <v>8376.96351372557</v>
      </c>
      <c r="I187" s="84">
        <f t="shared" si="223"/>
        <v>8458.4943019388484</v>
      </c>
      <c r="J187" s="84">
        <f t="shared" si="223"/>
        <v>8541.0794575347463</v>
      </c>
      <c r="K187" s="84">
        <f t="shared" si="223"/>
        <v>8623.1451360578085</v>
      </c>
      <c r="L187" s="84">
        <f t="shared" si="223"/>
        <v>8705.9305713823833</v>
      </c>
      <c r="M187" s="84">
        <f t="shared" si="222"/>
        <v>8789.4106888637052</v>
      </c>
      <c r="N187" s="84">
        <f t="shared" si="223"/>
        <v>8873.7472093130673</v>
      </c>
      <c r="O187" s="84">
        <f t="shared" si="223"/>
        <v>8959.3177074728064</v>
      </c>
      <c r="P187" s="84">
        <f t="shared" si="223"/>
        <v>9046.049975424181</v>
      </c>
      <c r="Q187" s="84">
        <f t="shared" si="223"/>
        <v>9133.8212556537201</v>
      </c>
      <c r="R187" s="84">
        <f t="shared" si="223"/>
        <v>9048.001843754073</v>
      </c>
      <c r="S187" s="84">
        <f t="shared" si="223"/>
        <v>8963.0265592086562</v>
      </c>
      <c r="T187" s="84">
        <f t="shared" si="223"/>
        <v>8878.9171357426549</v>
      </c>
      <c r="U187" s="84">
        <f t="shared" si="223"/>
        <v>8795.6435700097736</v>
      </c>
      <c r="V187" s="84">
        <f t="shared" si="223"/>
        <v>8712.7157034942647</v>
      </c>
      <c r="W187" s="84">
        <f t="shared" si="221"/>
        <v>8630.5911488560705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9742.7188598599259</v>
      </c>
      <c r="C188" s="84">
        <f t="shared" si="223"/>
        <v>9738.9164740136312</v>
      </c>
      <c r="D188" s="84">
        <f t="shared" si="223"/>
        <v>9735.4223743783132</v>
      </c>
      <c r="E188" s="84">
        <f t="shared" si="223"/>
        <v>9731.5585434262484</v>
      </c>
      <c r="F188" s="84">
        <f t="shared" si="223"/>
        <v>9727.321951969594</v>
      </c>
      <c r="G188" s="84">
        <f t="shared" si="223"/>
        <v>9723.5975833473076</v>
      </c>
      <c r="H188" s="84">
        <f t="shared" si="223"/>
        <v>9719.6404911233221</v>
      </c>
      <c r="I188" s="84">
        <f t="shared" si="223"/>
        <v>9716.0968100900955</v>
      </c>
      <c r="J188" s="84">
        <f t="shared" si="223"/>
        <v>9712.8510572533996</v>
      </c>
      <c r="K188" s="84">
        <f t="shared" si="223"/>
        <v>9708.1137718423106</v>
      </c>
      <c r="L188" s="84">
        <f t="shared" si="223"/>
        <v>9703.3021608430408</v>
      </c>
      <c r="M188" s="84">
        <f t="shared" si="222"/>
        <v>9698.382494576148</v>
      </c>
      <c r="N188" s="84">
        <f t="shared" si="223"/>
        <v>9693.5264110578883</v>
      </c>
      <c r="O188" s="84">
        <f t="shared" si="223"/>
        <v>9689.1321068946236</v>
      </c>
      <c r="P188" s="84">
        <f t="shared" si="223"/>
        <v>9685.1001781649411</v>
      </c>
      <c r="Q188" s="84">
        <f t="shared" si="223"/>
        <v>9681.2812630572917</v>
      </c>
      <c r="R188" s="84">
        <f t="shared" si="223"/>
        <v>9687.1899345073143</v>
      </c>
      <c r="S188" s="84">
        <f t="shared" si="223"/>
        <v>9693.1430768821647</v>
      </c>
      <c r="T188" s="84">
        <f t="shared" si="223"/>
        <v>9699.1739483616147</v>
      </c>
      <c r="U188" s="84">
        <f t="shared" si="223"/>
        <v>9705.2599596915716</v>
      </c>
      <c r="V188" s="84">
        <f t="shared" si="223"/>
        <v>9710.8646134198207</v>
      </c>
      <c r="W188" s="84">
        <f t="shared" si="221"/>
        <v>9716.4966458693088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0</v>
      </c>
      <c r="O189" s="84">
        <f t="shared" si="223"/>
        <v>7234.5770876551351</v>
      </c>
      <c r="P189" s="84">
        <f t="shared" si="223"/>
        <v>7237.5888581758563</v>
      </c>
      <c r="Q189" s="84">
        <f t="shared" si="223"/>
        <v>7240.4438250632375</v>
      </c>
      <c r="R189" s="84">
        <f t="shared" si="223"/>
        <v>7236.0275388126429</v>
      </c>
      <c r="S189" s="84">
        <f t="shared" si="223"/>
        <v>7231.5834589280057</v>
      </c>
      <c r="T189" s="84">
        <f t="shared" si="223"/>
        <v>7227.0869161640649</v>
      </c>
      <c r="U189" s="84">
        <f t="shared" si="223"/>
        <v>7222.5549270120973</v>
      </c>
      <c r="V189" s="84">
        <f t="shared" si="223"/>
        <v>7160.2791344967509</v>
      </c>
      <c r="W189" s="84">
        <f t="shared" si="221"/>
        <v>7214.2023709340983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13240.960569018653</v>
      </c>
      <c r="C190" s="110">
        <f t="shared" si="223"/>
        <v>13049.831800926533</v>
      </c>
      <c r="D190" s="110">
        <f t="shared" si="223"/>
        <v>12505.067285364708</v>
      </c>
      <c r="E190" s="110">
        <f t="shared" si="223"/>
        <v>12246.325049339752</v>
      </c>
      <c r="F190" s="110">
        <f t="shared" si="223"/>
        <v>13550.528926805235</v>
      </c>
      <c r="G190" s="110">
        <f t="shared" si="223"/>
        <v>16143.047403870776</v>
      </c>
      <c r="H190" s="110">
        <f t="shared" si="223"/>
        <v>16014.273726678453</v>
      </c>
      <c r="I190" s="110">
        <f t="shared" si="223"/>
        <v>17254.517010848485</v>
      </c>
      <c r="J190" s="110">
        <f t="shared" si="223"/>
        <v>18890.940373747599</v>
      </c>
      <c r="K190" s="110">
        <f t="shared" si="223"/>
        <v>28416.983539526482</v>
      </c>
      <c r="L190" s="110">
        <f t="shared" si="223"/>
        <v>15861.182763607765</v>
      </c>
      <c r="M190" s="110">
        <f t="shared" si="222"/>
        <v>17820.475057117947</v>
      </c>
      <c r="N190" s="110">
        <f t="shared" si="223"/>
        <v>18362.755706415541</v>
      </c>
      <c r="O190" s="110">
        <f t="shared" si="223"/>
        <v>21398.08428030389</v>
      </c>
      <c r="P190" s="110">
        <f t="shared" si="223"/>
        <v>21108.162513399475</v>
      </c>
      <c r="Q190" s="110">
        <f t="shared" si="223"/>
        <v>21529.542444392868</v>
      </c>
      <c r="R190" s="110">
        <f t="shared" si="223"/>
        <v>22385.101714561755</v>
      </c>
      <c r="S190" s="110">
        <f t="shared" si="223"/>
        <v>21412.345516701957</v>
      </c>
      <c r="T190" s="110">
        <f t="shared" si="223"/>
        <v>20927.950552677969</v>
      </c>
      <c r="U190" s="110">
        <f t="shared" si="223"/>
        <v>20592.329887759435</v>
      </c>
      <c r="V190" s="110">
        <f t="shared" si="223"/>
        <v>19168.412906712532</v>
      </c>
      <c r="W190" s="110">
        <f t="shared" si="221"/>
        <v>20669.790925569767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9482.9192150411454</v>
      </c>
      <c r="C191" s="102">
        <f t="shared" si="223"/>
        <v>9148.3764576544036</v>
      </c>
      <c r="D191" s="102">
        <f t="shared" si="223"/>
        <v>8500.7375416292834</v>
      </c>
      <c r="E191" s="102">
        <f t="shared" si="223"/>
        <v>8235.0058291069217</v>
      </c>
      <c r="F191" s="102">
        <f t="shared" si="223"/>
        <v>8821.2675482907853</v>
      </c>
      <c r="G191" s="102">
        <f t="shared" si="223"/>
        <v>11548.514037354635</v>
      </c>
      <c r="H191" s="102">
        <f t="shared" si="223"/>
        <v>11412.44158720726</v>
      </c>
      <c r="I191" s="102">
        <f t="shared" si="223"/>
        <v>12228.428694948054</v>
      </c>
      <c r="J191" s="102">
        <f t="shared" si="223"/>
        <v>12835.811761826082</v>
      </c>
      <c r="K191" s="102">
        <f t="shared" si="223"/>
        <v>22208.513263417644</v>
      </c>
      <c r="L191" s="102">
        <f t="shared" si="223"/>
        <v>11348.401444772164</v>
      </c>
      <c r="M191" s="102">
        <f t="shared" si="222"/>
        <v>12404.781813670988</v>
      </c>
      <c r="N191" s="102">
        <f t="shared" si="223"/>
        <v>12212.576132719048</v>
      </c>
      <c r="O191" s="102">
        <f t="shared" si="223"/>
        <v>14399.120664386908</v>
      </c>
      <c r="P191" s="102">
        <f t="shared" si="223"/>
        <v>14135.693215339234</v>
      </c>
      <c r="Q191" s="102">
        <f t="shared" si="223"/>
        <v>14317.117241538055</v>
      </c>
      <c r="R191" s="102">
        <f t="shared" si="223"/>
        <v>14870.014204865731</v>
      </c>
      <c r="S191" s="102">
        <f t="shared" si="223"/>
        <v>13642.148664710276</v>
      </c>
      <c r="T191" s="102">
        <f t="shared" si="223"/>
        <v>13744.116882741893</v>
      </c>
      <c r="U191" s="102">
        <f t="shared" si="223"/>
        <v>13544.224918441407</v>
      </c>
      <c r="V191" s="102">
        <f t="shared" si="223"/>
        <v>12677.63943225087</v>
      </c>
      <c r="W191" s="102">
        <f t="shared" si="221"/>
        <v>13863.075727367959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84996.15383655722</v>
      </c>
      <c r="C192" s="86">
        <f t="shared" si="223"/>
        <v>85002.160647992365</v>
      </c>
      <c r="D192" s="86">
        <f t="shared" si="223"/>
        <v>85005.265418155963</v>
      </c>
      <c r="E192" s="86">
        <f t="shared" si="223"/>
        <v>85000.58068160039</v>
      </c>
      <c r="F192" s="86">
        <f t="shared" si="223"/>
        <v>85000.677426393508</v>
      </c>
      <c r="G192" s="86">
        <f t="shared" si="223"/>
        <v>85004.425131250915</v>
      </c>
      <c r="H192" s="86">
        <f t="shared" si="223"/>
        <v>85001.691274912111</v>
      </c>
      <c r="I192" s="86">
        <f t="shared" si="223"/>
        <v>85003.267905576678</v>
      </c>
      <c r="J192" s="86">
        <f t="shared" si="223"/>
        <v>84998.745048816592</v>
      </c>
      <c r="K192" s="86">
        <f t="shared" si="223"/>
        <v>85001.330706600376</v>
      </c>
      <c r="L192" s="86">
        <f t="shared" si="223"/>
        <v>84996.098408284801</v>
      </c>
      <c r="M192" s="86">
        <f t="shared" si="222"/>
        <v>85002.109616685819</v>
      </c>
      <c r="N192" s="86">
        <f t="shared" si="223"/>
        <v>84995.61806904168</v>
      </c>
      <c r="O192" s="86">
        <f t="shared" si="223"/>
        <v>84995.369916890573</v>
      </c>
      <c r="P192" s="86">
        <f t="shared" si="223"/>
        <v>84997.963898479531</v>
      </c>
      <c r="Q192" s="86">
        <f t="shared" si="223"/>
        <v>85003.705662346052</v>
      </c>
      <c r="R192" s="86">
        <f t="shared" si="223"/>
        <v>85000.477657174662</v>
      </c>
      <c r="S192" s="86">
        <f t="shared" si="223"/>
        <v>84997.809908973053</v>
      </c>
      <c r="T192" s="86">
        <f t="shared" si="223"/>
        <v>85001.530643045247</v>
      </c>
      <c r="U192" s="86">
        <f t="shared" si="223"/>
        <v>84996.735068789465</v>
      </c>
      <c r="V192" s="86">
        <f t="shared" ref="V192:W192" si="224">IF(V55=0,0,V55*1000000/V82)</f>
        <v>84999.05808968273</v>
      </c>
      <c r="W192" s="86">
        <f t="shared" si="224"/>
        <v>84999.091639465536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26369.240673854354</v>
      </c>
      <c r="C195" s="28">
        <f t="shared" si="225"/>
        <v>25087.805603503832</v>
      </c>
      <c r="D195" s="28">
        <f t="shared" si="225"/>
        <v>23855.577562071514</v>
      </c>
      <c r="E195" s="28">
        <f t="shared" si="225"/>
        <v>22945.086287400547</v>
      </c>
      <c r="F195" s="28">
        <f t="shared" si="225"/>
        <v>22860.832760679172</v>
      </c>
      <c r="G195" s="28">
        <f t="shared" si="225"/>
        <v>22144.746610265833</v>
      </c>
      <c r="H195" s="28">
        <f t="shared" si="225"/>
        <v>21000.726473723036</v>
      </c>
      <c r="I195" s="28">
        <f t="shared" si="225"/>
        <v>20922.309324133697</v>
      </c>
      <c r="J195" s="28">
        <f t="shared" si="225"/>
        <v>22418.543670145988</v>
      </c>
      <c r="K195" s="28">
        <f t="shared" si="225"/>
        <v>22410.670146994365</v>
      </c>
      <c r="L195" s="28">
        <f t="shared" si="225"/>
        <v>22103.096155570965</v>
      </c>
      <c r="M195" s="28">
        <f>IF(M4=0,0,M4*1000000/M58)</f>
        <v>22077.378495034507</v>
      </c>
      <c r="N195" s="28">
        <f t="shared" ref="N195:V195" si="226">IF(N4=0,0,N4*1000000/N58)</f>
        <v>21976.372732331914</v>
      </c>
      <c r="O195" s="28">
        <f t="shared" si="226"/>
        <v>21532.80216205891</v>
      </c>
      <c r="P195" s="28">
        <f t="shared" si="226"/>
        <v>21474.302372169495</v>
      </c>
      <c r="Q195" s="28">
        <f t="shared" si="226"/>
        <v>21585.988628275438</v>
      </c>
      <c r="R195" s="28">
        <f t="shared" si="226"/>
        <v>21464.647286170999</v>
      </c>
      <c r="S195" s="28">
        <f t="shared" si="226"/>
        <v>21726.864391323259</v>
      </c>
      <c r="T195" s="28">
        <f t="shared" si="226"/>
        <v>21727.083630277997</v>
      </c>
      <c r="U195" s="28">
        <f t="shared" si="226"/>
        <v>21501.280425611159</v>
      </c>
      <c r="V195" s="28">
        <f t="shared" si="226"/>
        <v>18601.150455640989</v>
      </c>
      <c r="W195" s="28">
        <f t="shared" ref="W195" si="227">IF(W4=0,0,W4*1000000/W58)</f>
        <v>18893.523605143229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3089.0761172063567</v>
      </c>
      <c r="C196" s="137">
        <f t="shared" si="228"/>
        <v>3088.3816108486744</v>
      </c>
      <c r="D196" s="137">
        <f t="shared" si="228"/>
        <v>3086.3859781646138</v>
      </c>
      <c r="E196" s="137">
        <f t="shared" si="228"/>
        <v>3085.8702839646257</v>
      </c>
      <c r="F196" s="137">
        <f t="shared" si="228"/>
        <v>3083.2904390376029</v>
      </c>
      <c r="G196" s="137">
        <f t="shared" si="228"/>
        <v>3078.2427563363844</v>
      </c>
      <c r="H196" s="137">
        <f t="shared" si="228"/>
        <v>3077.2792367331408</v>
      </c>
      <c r="I196" s="137">
        <f t="shared" si="228"/>
        <v>3080.9032017927584</v>
      </c>
      <c r="J196" s="137">
        <f t="shared" si="228"/>
        <v>3081.2634768430739</v>
      </c>
      <c r="K196" s="137">
        <f t="shared" si="228"/>
        <v>3082.6516761427533</v>
      </c>
      <c r="L196" s="137">
        <f t="shared" si="228"/>
        <v>3077.291823147008</v>
      </c>
      <c r="M196" s="137">
        <f>IF(M5=0,0,M5*1000000/M59)</f>
        <v>3073.5068262004352</v>
      </c>
      <c r="N196" s="137">
        <f t="shared" ref="N196:V196" si="229">IF(N5=0,0,N5*1000000/N59)</f>
        <v>3053.7152726219338</v>
      </c>
      <c r="O196" s="137">
        <f t="shared" si="229"/>
        <v>3051.0024103498813</v>
      </c>
      <c r="P196" s="137">
        <f t="shared" si="229"/>
        <v>3056.7901073016615</v>
      </c>
      <c r="Q196" s="137">
        <f t="shared" si="229"/>
        <v>3061.8300645996915</v>
      </c>
      <c r="R196" s="137">
        <f t="shared" si="229"/>
        <v>3059.2681919991783</v>
      </c>
      <c r="S196" s="137">
        <f t="shared" si="229"/>
        <v>3131.920727681189</v>
      </c>
      <c r="T196" s="137">
        <f t="shared" si="229"/>
        <v>3142.3631570195071</v>
      </c>
      <c r="U196" s="137">
        <f t="shared" si="229"/>
        <v>3050.7709270896344</v>
      </c>
      <c r="V196" s="137">
        <f t="shared" si="229"/>
        <v>2685.1071964888993</v>
      </c>
      <c r="W196" s="137">
        <f t="shared" ref="W196" si="230">IF(W5=0,0,W5*1000000/W59)</f>
        <v>2628.4580783070446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19542.953872196362</v>
      </c>
      <c r="C197" s="110">
        <f t="shared" si="231"/>
        <v>18599.967778314807</v>
      </c>
      <c r="D197" s="110">
        <f t="shared" si="231"/>
        <v>17607.910249096785</v>
      </c>
      <c r="E197" s="110">
        <f t="shared" si="231"/>
        <v>17104.751619870411</v>
      </c>
      <c r="F197" s="110">
        <f t="shared" si="231"/>
        <v>17363.379285966774</v>
      </c>
      <c r="G197" s="110">
        <f t="shared" si="231"/>
        <v>16959.491932715413</v>
      </c>
      <c r="H197" s="110">
        <f t="shared" si="231"/>
        <v>16277.224642190416</v>
      </c>
      <c r="I197" s="110">
        <f t="shared" si="231"/>
        <v>16537.70692826487</v>
      </c>
      <c r="J197" s="110">
        <f t="shared" si="231"/>
        <v>17671.793193717276</v>
      </c>
      <c r="K197" s="110">
        <f t="shared" si="231"/>
        <v>18049.393940399437</v>
      </c>
      <c r="L197" s="110">
        <f t="shared" si="231"/>
        <v>17625.315844855668</v>
      </c>
      <c r="M197" s="110">
        <f>IF(M6=0,0,M6*1000000/M60)</f>
        <v>17605.91142964004</v>
      </c>
      <c r="N197" s="110">
        <f t="shared" ref="N197:V197" si="232">IF(N6=0,0,N6*1000000/N60)</f>
        <v>17345.103699560954</v>
      </c>
      <c r="O197" s="110">
        <f t="shared" si="232"/>
        <v>16987.454117418765</v>
      </c>
      <c r="P197" s="110">
        <f t="shared" si="232"/>
        <v>16900.114530867399</v>
      </c>
      <c r="Q197" s="110">
        <f t="shared" si="232"/>
        <v>17080.218814985725</v>
      </c>
      <c r="R197" s="110">
        <f t="shared" si="232"/>
        <v>17106.391815057679</v>
      </c>
      <c r="S197" s="110">
        <f t="shared" si="232"/>
        <v>17466.892972545771</v>
      </c>
      <c r="T197" s="110">
        <f t="shared" si="232"/>
        <v>17559.063139532042</v>
      </c>
      <c r="U197" s="110">
        <f t="shared" si="232"/>
        <v>17584.934783800574</v>
      </c>
      <c r="V197" s="110">
        <f t="shared" si="232"/>
        <v>16303.054555971883</v>
      </c>
      <c r="W197" s="110">
        <f t="shared" ref="W197:W209" si="233">IF(W6=0,0,W6*1000000/W60)</f>
        <v>16764.203107389534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18499.146096959106</v>
      </c>
      <c r="C198" s="84">
        <f t="shared" si="231"/>
        <v>17534.918308955537</v>
      </c>
      <c r="D198" s="84">
        <f t="shared" si="231"/>
        <v>16447.134684897217</v>
      </c>
      <c r="E198" s="84">
        <f t="shared" si="231"/>
        <v>15779.659950042018</v>
      </c>
      <c r="F198" s="84">
        <f t="shared" si="231"/>
        <v>15723.97543952446</v>
      </c>
      <c r="G198" s="84">
        <f t="shared" si="231"/>
        <v>15885.507762003435</v>
      </c>
      <c r="H198" s="84">
        <f t="shared" si="231"/>
        <v>14731.041308307982</v>
      </c>
      <c r="I198" s="84">
        <f t="shared" si="231"/>
        <v>14858.093336343985</v>
      </c>
      <c r="J198" s="84">
        <f t="shared" si="231"/>
        <v>15955.237952275953</v>
      </c>
      <c r="K198" s="84">
        <f t="shared" si="231"/>
        <v>16325.755299915731</v>
      </c>
      <c r="L198" s="84">
        <f t="shared" si="231"/>
        <v>15273.08991923071</v>
      </c>
      <c r="M198" s="84">
        <f t="shared" ref="M198:M219" si="234">IF(M7=0,0,M7*1000000/M61)</f>
        <v>14648.957049565466</v>
      </c>
      <c r="N198" s="84">
        <f t="shared" si="231"/>
        <v>14357.378559945708</v>
      </c>
      <c r="O198" s="84">
        <f t="shared" si="231"/>
        <v>13835.139360118277</v>
      </c>
      <c r="P198" s="84">
        <f t="shared" si="231"/>
        <v>14706.751478536842</v>
      </c>
      <c r="Q198" s="84">
        <f t="shared" si="231"/>
        <v>14655.859327544895</v>
      </c>
      <c r="R198" s="84">
        <f t="shared" si="231"/>
        <v>14252.857771555489</v>
      </c>
      <c r="S198" s="84">
        <f t="shared" si="231"/>
        <v>14328.251393948894</v>
      </c>
      <c r="T198" s="84">
        <f t="shared" si="231"/>
        <v>14215.821573403906</v>
      </c>
      <c r="U198" s="84">
        <f t="shared" si="231"/>
        <v>13987.459526374574</v>
      </c>
      <c r="V198" s="84">
        <f t="shared" si="231"/>
        <v>13030.92727212478</v>
      </c>
      <c r="W198" s="84">
        <f t="shared" si="233"/>
        <v>13189.603868024418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29158.623403372581</v>
      </c>
      <c r="C199" s="84">
        <f t="shared" si="231"/>
        <v>27861.222444284078</v>
      </c>
      <c r="D199" s="84">
        <f t="shared" si="231"/>
        <v>26806.935504243058</v>
      </c>
      <c r="E199" s="84">
        <f t="shared" si="231"/>
        <v>26534.262438591693</v>
      </c>
      <c r="F199" s="84">
        <f t="shared" si="231"/>
        <v>27653.318430043655</v>
      </c>
      <c r="G199" s="84">
        <f t="shared" si="231"/>
        <v>24629.941130707688</v>
      </c>
      <c r="H199" s="84">
        <f t="shared" si="231"/>
        <v>24770.742398548573</v>
      </c>
      <c r="I199" s="84">
        <f t="shared" si="231"/>
        <v>24818.215233451865</v>
      </c>
      <c r="J199" s="84">
        <f t="shared" si="231"/>
        <v>24858.323613685723</v>
      </c>
      <c r="K199" s="84">
        <f t="shared" si="231"/>
        <v>24975.393317602226</v>
      </c>
      <c r="L199" s="84">
        <f t="shared" si="231"/>
        <v>26708.327777891354</v>
      </c>
      <c r="M199" s="84">
        <f t="shared" si="234"/>
        <v>28521.904286402187</v>
      </c>
      <c r="N199" s="84">
        <f t="shared" si="231"/>
        <v>27594.790243491192</v>
      </c>
      <c r="O199" s="84">
        <f t="shared" si="231"/>
        <v>26949.76693238784</v>
      </c>
      <c r="P199" s="84">
        <f t="shared" si="231"/>
        <v>23303.67148886135</v>
      </c>
      <c r="Q199" s="84">
        <f t="shared" si="231"/>
        <v>23525.916266751021</v>
      </c>
      <c r="R199" s="84">
        <f t="shared" si="231"/>
        <v>24083.167442965845</v>
      </c>
      <c r="S199" s="84">
        <f t="shared" si="231"/>
        <v>24713.878525477605</v>
      </c>
      <c r="T199" s="84">
        <f t="shared" si="231"/>
        <v>24992.844088794303</v>
      </c>
      <c r="U199" s="84">
        <f t="shared" si="231"/>
        <v>25388.53249976103</v>
      </c>
      <c r="V199" s="84">
        <f t="shared" si="231"/>
        <v>23312.391196837249</v>
      </c>
      <c r="W199" s="84">
        <f t="shared" si="233"/>
        <v>24379.368772961629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16021.386429996119</v>
      </c>
      <c r="D200" s="84">
        <f t="shared" si="231"/>
        <v>15423.402434183592</v>
      </c>
      <c r="E200" s="84">
        <f t="shared" si="231"/>
        <v>16369.147401776831</v>
      </c>
      <c r="F200" s="84">
        <f t="shared" si="231"/>
        <v>15929.946481915247</v>
      </c>
      <c r="G200" s="84">
        <f t="shared" si="231"/>
        <v>15700.571572725961</v>
      </c>
      <c r="H200" s="84">
        <f t="shared" si="231"/>
        <v>15432.28997922674</v>
      </c>
      <c r="I200" s="84">
        <f t="shared" si="231"/>
        <v>16352.995832997707</v>
      </c>
      <c r="J200" s="84">
        <f t="shared" si="231"/>
        <v>17118.040294444389</v>
      </c>
      <c r="K200" s="84">
        <f t="shared" si="231"/>
        <v>16921.859093479412</v>
      </c>
      <c r="L200" s="84">
        <f t="shared" si="231"/>
        <v>15436.006159825978</v>
      </c>
      <c r="M200" s="84">
        <f t="shared" si="234"/>
        <v>13736.674716885753</v>
      </c>
      <c r="N200" s="84">
        <f t="shared" si="231"/>
        <v>13444.338510379761</v>
      </c>
      <c r="O200" s="84">
        <f t="shared" si="231"/>
        <v>13229.403259452569</v>
      </c>
      <c r="P200" s="84">
        <f t="shared" si="231"/>
        <v>13347.272530114818</v>
      </c>
      <c r="Q200" s="84">
        <f t="shared" si="231"/>
        <v>13626.99661327134</v>
      </c>
      <c r="R200" s="84">
        <f t="shared" si="231"/>
        <v>13964.017308490573</v>
      </c>
      <c r="S200" s="84">
        <f t="shared" si="231"/>
        <v>14338.191506033303</v>
      </c>
      <c r="T200" s="84">
        <f t="shared" si="231"/>
        <v>14506.157737719603</v>
      </c>
      <c r="U200" s="84">
        <f t="shared" si="231"/>
        <v>14741.956986736892</v>
      </c>
      <c r="V200" s="84">
        <f t="shared" si="231"/>
        <v>13534.75256382539</v>
      </c>
      <c r="W200" s="84">
        <f t="shared" si="233"/>
        <v>14154.903172524464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15408.551832816625</v>
      </c>
      <c r="M201" s="84">
        <f t="shared" si="234"/>
        <v>13443.375297918694</v>
      </c>
      <c r="N201" s="84">
        <f t="shared" si="231"/>
        <v>13425.796862384957</v>
      </c>
      <c r="O201" s="84">
        <f t="shared" si="231"/>
        <v>13480.773507782798</v>
      </c>
      <c r="P201" s="84">
        <f t="shared" si="231"/>
        <v>13878.45142634524</v>
      </c>
      <c r="Q201" s="84">
        <f t="shared" si="231"/>
        <v>14458.477179861588</v>
      </c>
      <c r="R201" s="84">
        <f t="shared" si="231"/>
        <v>14519.740680747418</v>
      </c>
      <c r="S201" s="84">
        <f t="shared" si="231"/>
        <v>14610.629702132803</v>
      </c>
      <c r="T201" s="84">
        <f t="shared" si="231"/>
        <v>14486.151690540553</v>
      </c>
      <c r="U201" s="84">
        <f t="shared" si="231"/>
        <v>14427.193224198913</v>
      </c>
      <c r="V201" s="84">
        <f t="shared" si="231"/>
        <v>12980.849207645655</v>
      </c>
      <c r="W201" s="84">
        <f t="shared" si="233"/>
        <v>13304.108036670632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13496.655325605163</v>
      </c>
      <c r="O202" s="84">
        <f t="shared" si="231"/>
        <v>13809.871433091539</v>
      </c>
      <c r="P202" s="84">
        <f t="shared" si="231"/>
        <v>14813.543778754689</v>
      </c>
      <c r="Q202" s="84">
        <f t="shared" si="231"/>
        <v>15919.996936743006</v>
      </c>
      <c r="R202" s="84">
        <f t="shared" si="231"/>
        <v>15498.041360876743</v>
      </c>
      <c r="S202" s="84">
        <f t="shared" si="231"/>
        <v>15117.654618079312</v>
      </c>
      <c r="T202" s="84">
        <f t="shared" si="231"/>
        <v>14530.014353682507</v>
      </c>
      <c r="U202" s="84">
        <f t="shared" si="231"/>
        <v>14076.73688551466</v>
      </c>
      <c r="V202" s="84">
        <f t="shared" si="231"/>
        <v>13074.388489640392</v>
      </c>
      <c r="W202" s="84">
        <f t="shared" si="233"/>
        <v>13302.153115327717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11271.602537532097</v>
      </c>
      <c r="M203" s="84">
        <f t="shared" si="234"/>
        <v>12464.36416827669</v>
      </c>
      <c r="N203" s="84">
        <f t="shared" si="231"/>
        <v>12153.433206979982</v>
      </c>
      <c r="O203" s="84">
        <f t="shared" si="231"/>
        <v>12479.065338592129</v>
      </c>
      <c r="P203" s="84">
        <f t="shared" si="231"/>
        <v>12124.68115321326</v>
      </c>
      <c r="Q203" s="84">
        <f t="shared" si="231"/>
        <v>11723.791408947347</v>
      </c>
      <c r="R203" s="84">
        <f t="shared" si="231"/>
        <v>11568.662124429997</v>
      </c>
      <c r="S203" s="84">
        <f t="shared" si="231"/>
        <v>11672.592662737057</v>
      </c>
      <c r="T203" s="84">
        <f t="shared" si="231"/>
        <v>11215.804009982821</v>
      </c>
      <c r="U203" s="84">
        <f t="shared" si="231"/>
        <v>10410.863236240857</v>
      </c>
      <c r="V203" s="84">
        <f t="shared" si="231"/>
        <v>9867.4583811604189</v>
      </c>
      <c r="W203" s="84">
        <f t="shared" si="233"/>
        <v>10424.373934757736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1032293.6184283037</v>
      </c>
      <c r="C204" s="110">
        <f t="shared" si="231"/>
        <v>1012894.4504896627</v>
      </c>
      <c r="D204" s="110">
        <f t="shared" si="231"/>
        <v>1018046.6519420354</v>
      </c>
      <c r="E204" s="110">
        <f t="shared" si="231"/>
        <v>1004618.4415444926</v>
      </c>
      <c r="F204" s="110">
        <f t="shared" si="231"/>
        <v>1003082.5122474817</v>
      </c>
      <c r="G204" s="110">
        <f t="shared" si="231"/>
        <v>985966.07547378307</v>
      </c>
      <c r="H204" s="110">
        <f t="shared" si="231"/>
        <v>906792.09022404323</v>
      </c>
      <c r="I204" s="110">
        <f t="shared" si="231"/>
        <v>857335.73357335734</v>
      </c>
      <c r="J204" s="110">
        <f t="shared" si="231"/>
        <v>963120.56737588649</v>
      </c>
      <c r="K204" s="110">
        <f t="shared" si="231"/>
        <v>906864.10955853702</v>
      </c>
      <c r="L204" s="110">
        <f t="shared" si="231"/>
        <v>926753.74394775368</v>
      </c>
      <c r="M204" s="110">
        <f t="shared" si="234"/>
        <v>945078.37123822654</v>
      </c>
      <c r="N204" s="110">
        <f t="shared" si="231"/>
        <v>986785.55163844419</v>
      </c>
      <c r="O204" s="110">
        <f t="shared" si="231"/>
        <v>976141.80659115489</v>
      </c>
      <c r="P204" s="110">
        <f t="shared" si="231"/>
        <v>983655.91139876132</v>
      </c>
      <c r="Q204" s="110">
        <f t="shared" si="231"/>
        <v>979337.86904172855</v>
      </c>
      <c r="R204" s="110">
        <f t="shared" si="231"/>
        <v>961788.10037776595</v>
      </c>
      <c r="S204" s="110">
        <f t="shared" si="231"/>
        <v>975557.52797016513</v>
      </c>
      <c r="T204" s="110">
        <f t="shared" si="231"/>
        <v>985196.59547804296</v>
      </c>
      <c r="U204" s="110">
        <f t="shared" si="231"/>
        <v>965115.5882201778</v>
      </c>
      <c r="V204" s="110">
        <f t="shared" si="231"/>
        <v>730265.09140069364</v>
      </c>
      <c r="W204" s="110">
        <f t="shared" si="233"/>
        <v>685910.42088678817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149957.86000555346</v>
      </c>
      <c r="C205" s="102">
        <f t="shared" si="231"/>
        <v>150072.78786151326</v>
      </c>
      <c r="D205" s="102">
        <f t="shared" si="231"/>
        <v>153841.69312054085</v>
      </c>
      <c r="E205" s="102">
        <f t="shared" si="231"/>
        <v>154834.86500275834</v>
      </c>
      <c r="F205" s="102">
        <f t="shared" si="231"/>
        <v>157665.0122169941</v>
      </c>
      <c r="G205" s="102">
        <f t="shared" si="231"/>
        <v>158057.2516787083</v>
      </c>
      <c r="H205" s="102">
        <f t="shared" si="231"/>
        <v>148290.75544270803</v>
      </c>
      <c r="I205" s="102">
        <f t="shared" si="231"/>
        <v>143140.23616138252</v>
      </c>
      <c r="J205" s="102">
        <f t="shared" si="231"/>
        <v>164130.41424935171</v>
      </c>
      <c r="K205" s="102">
        <f t="shared" si="231"/>
        <v>158180.35757684454</v>
      </c>
      <c r="L205" s="102">
        <f t="shared" si="231"/>
        <v>165026.85941602095</v>
      </c>
      <c r="M205" s="102">
        <f t="shared" si="234"/>
        <v>168328.43821504942</v>
      </c>
      <c r="N205" s="102">
        <f t="shared" si="231"/>
        <v>179425.72400303101</v>
      </c>
      <c r="O205" s="102">
        <f t="shared" si="231"/>
        <v>181210.58705339662</v>
      </c>
      <c r="P205" s="102">
        <f t="shared" si="231"/>
        <v>186248.75357722974</v>
      </c>
      <c r="Q205" s="102">
        <f t="shared" si="231"/>
        <v>189098.80158890667</v>
      </c>
      <c r="R205" s="102">
        <f t="shared" si="231"/>
        <v>182094.02878726643</v>
      </c>
      <c r="S205" s="102">
        <f t="shared" si="231"/>
        <v>188673.38744176566</v>
      </c>
      <c r="T205" s="102">
        <f t="shared" si="231"/>
        <v>186696.28690322064</v>
      </c>
      <c r="U205" s="102">
        <f t="shared" si="231"/>
        <v>179137.53466590663</v>
      </c>
      <c r="V205" s="102">
        <f t="shared" si="231"/>
        <v>132738.20339730516</v>
      </c>
      <c r="W205" s="102">
        <f t="shared" si="233"/>
        <v>122215.85234969272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1162587.4211283932</v>
      </c>
      <c r="C206" s="102">
        <f t="shared" si="231"/>
        <v>1124939.4839851968</v>
      </c>
      <c r="D206" s="102">
        <f t="shared" si="231"/>
        <v>1115062.2249182262</v>
      </c>
      <c r="E206" s="102">
        <f t="shared" si="231"/>
        <v>1086992.3135582269</v>
      </c>
      <c r="F206" s="102">
        <f t="shared" si="231"/>
        <v>1074769.4358745336</v>
      </c>
      <c r="G206" s="102">
        <f t="shared" si="231"/>
        <v>1045259.1450876885</v>
      </c>
      <c r="H206" s="102">
        <f t="shared" si="231"/>
        <v>947671.57020569488</v>
      </c>
      <c r="I206" s="102">
        <f t="shared" si="231"/>
        <v>888486.29288134584</v>
      </c>
      <c r="J206" s="102">
        <f t="shared" si="231"/>
        <v>994171.42238979647</v>
      </c>
      <c r="K206" s="102">
        <f t="shared" si="231"/>
        <v>930244.28356307978</v>
      </c>
      <c r="L206" s="102">
        <f t="shared" si="231"/>
        <v>945958.74844221491</v>
      </c>
      <c r="M206" s="102">
        <f t="shared" si="234"/>
        <v>960722.49325081764</v>
      </c>
      <c r="N206" s="102">
        <f t="shared" si="231"/>
        <v>999461.82614688191</v>
      </c>
      <c r="O206" s="102">
        <f t="shared" si="231"/>
        <v>988804.37748665095</v>
      </c>
      <c r="P206" s="102">
        <f t="shared" si="231"/>
        <v>994353.55134663836</v>
      </c>
      <c r="Q206" s="102">
        <f t="shared" si="231"/>
        <v>986110.73981139739</v>
      </c>
      <c r="R206" s="102">
        <f t="shared" si="231"/>
        <v>963507.11661879788</v>
      </c>
      <c r="S206" s="102">
        <f t="shared" si="231"/>
        <v>975899.62285950338</v>
      </c>
      <c r="T206" s="102">
        <f t="shared" si="231"/>
        <v>985447.06863269839</v>
      </c>
      <c r="U206" s="102">
        <f t="shared" si="231"/>
        <v>965504.95405246748</v>
      </c>
      <c r="V206" s="102">
        <f t="shared" si="231"/>
        <v>730827.8388021189</v>
      </c>
      <c r="W206" s="102">
        <f t="shared" si="233"/>
        <v>687231.35383106291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595771.00419097394</v>
      </c>
      <c r="Q207" s="102">
        <f t="shared" si="231"/>
        <v>604309.7103282219</v>
      </c>
      <c r="R207" s="102">
        <f t="shared" si="231"/>
        <v>581281.52534218854</v>
      </c>
      <c r="S207" s="102">
        <f t="shared" si="231"/>
        <v>578464.50259856496</v>
      </c>
      <c r="T207" s="102">
        <f t="shared" si="231"/>
        <v>572355.01665872778</v>
      </c>
      <c r="U207" s="102">
        <f t="shared" si="231"/>
        <v>549141.7550597972</v>
      </c>
      <c r="V207" s="102">
        <f t="shared" si="231"/>
        <v>407009.20855594054</v>
      </c>
      <c r="W207" s="102">
        <f t="shared" si="233"/>
        <v>374691.33537339588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1092131.7916026583</v>
      </c>
      <c r="C208" s="102">
        <f t="shared" si="231"/>
        <v>1058129.140703324</v>
      </c>
      <c r="D208" s="102">
        <f t="shared" si="231"/>
        <v>1132618.2769815205</v>
      </c>
      <c r="E208" s="102">
        <f t="shared" si="231"/>
        <v>1088068.3982041248</v>
      </c>
      <c r="F208" s="102">
        <f t="shared" si="231"/>
        <v>1098583.9041886791</v>
      </c>
      <c r="G208" s="102">
        <f t="shared" si="231"/>
        <v>1212313.4219150508</v>
      </c>
      <c r="H208" s="102">
        <f t="shared" si="231"/>
        <v>1110247.2592089945</v>
      </c>
      <c r="I208" s="102">
        <f t="shared" si="231"/>
        <v>1047740.8140295658</v>
      </c>
      <c r="J208" s="102">
        <f t="shared" si="231"/>
        <v>1176096.8816424732</v>
      </c>
      <c r="K208" s="102">
        <f t="shared" si="231"/>
        <v>1077059.802322814</v>
      </c>
      <c r="L208" s="102">
        <f t="shared" si="231"/>
        <v>983721.95604441233</v>
      </c>
      <c r="M208" s="102">
        <f t="shared" si="234"/>
        <v>943236.87702066032</v>
      </c>
      <c r="N208" s="102">
        <f t="shared" si="231"/>
        <v>1191584.2200466879</v>
      </c>
      <c r="O208" s="102">
        <f t="shared" si="231"/>
        <v>982716.24684688088</v>
      </c>
      <c r="P208" s="102">
        <f t="shared" si="231"/>
        <v>1013219.7087047186</v>
      </c>
      <c r="Q208" s="102">
        <f t="shared" si="231"/>
        <v>1083091.1669181052</v>
      </c>
      <c r="R208" s="102">
        <f t="shared" si="231"/>
        <v>1169387.8329674823</v>
      </c>
      <c r="S208" s="102">
        <f t="shared" si="231"/>
        <v>1187470.1153366833</v>
      </c>
      <c r="T208" s="102">
        <f t="shared" si="231"/>
        <v>1198906.7160968615</v>
      </c>
      <c r="U208" s="102">
        <f t="shared" si="231"/>
        <v>1173757.258666123</v>
      </c>
      <c r="V208" s="102">
        <f t="shared" si="231"/>
        <v>887711.78023629007</v>
      </c>
      <c r="W208" s="102">
        <f t="shared" si="233"/>
        <v>761594.36026242783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1272403.4432069729</v>
      </c>
      <c r="C209" s="102">
        <f t="shared" si="231"/>
        <v>1257272.9558072598</v>
      </c>
      <c r="D209" s="102">
        <f t="shared" si="231"/>
        <v>1272713.0621335311</v>
      </c>
      <c r="E209" s="102">
        <f t="shared" si="231"/>
        <v>1265516.2079955258</v>
      </c>
      <c r="F209" s="102">
        <f t="shared" si="231"/>
        <v>1275841.2481365108</v>
      </c>
      <c r="G209" s="102">
        <f t="shared" si="231"/>
        <v>1264196.0999824363</v>
      </c>
      <c r="H209" s="102">
        <f t="shared" si="231"/>
        <v>1164822.5360963023</v>
      </c>
      <c r="I209" s="102">
        <f t="shared" si="231"/>
        <v>1087635.5925698408</v>
      </c>
      <c r="J209" s="102">
        <f t="shared" si="231"/>
        <v>1213945.1027695565</v>
      </c>
      <c r="K209" s="102">
        <f t="shared" si="231"/>
        <v>1146036.4150881036</v>
      </c>
      <c r="L209" s="102">
        <f t="shared" si="231"/>
        <v>1158675.0004226242</v>
      </c>
      <c r="M209" s="102">
        <f t="shared" si="234"/>
        <v>1169696.9966711304</v>
      </c>
      <c r="N209" s="102">
        <f t="shared" si="231"/>
        <v>1208925.3581198887</v>
      </c>
      <c r="O209" s="102">
        <f t="shared" si="231"/>
        <v>1183553.895151315</v>
      </c>
      <c r="P209" s="102">
        <f t="shared" si="231"/>
        <v>1203147.264332308</v>
      </c>
      <c r="Q209" s="102">
        <f t="shared" si="231"/>
        <v>1208363.8046697909</v>
      </c>
      <c r="R209" s="102">
        <f t="shared" si="231"/>
        <v>1172061.9188627182</v>
      </c>
      <c r="S209" s="102">
        <f t="shared" si="231"/>
        <v>1152143.0259282994</v>
      </c>
      <c r="T209" s="102">
        <f t="shared" si="231"/>
        <v>1167052.236967583</v>
      </c>
      <c r="U209" s="102">
        <f t="shared" si="231"/>
        <v>1154821.9111861892</v>
      </c>
      <c r="V209" s="102">
        <f t="shared" si="231"/>
        <v>877235.84986391722</v>
      </c>
      <c r="W209" s="102">
        <f t="shared" si="233"/>
        <v>828013.71947582229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58509.625672740178</v>
      </c>
      <c r="C210" s="28">
        <f t="shared" si="231"/>
        <v>56902.515657270407</v>
      </c>
      <c r="D210" s="28">
        <f t="shared" si="231"/>
        <v>53939.605687678857</v>
      </c>
      <c r="E210" s="28">
        <f t="shared" si="231"/>
        <v>51540.398418666453</v>
      </c>
      <c r="F210" s="28">
        <f t="shared" ref="B210:V219" si="235">IF(F19=0,0,F19*1000000/F73)</f>
        <v>55499.793523850269</v>
      </c>
      <c r="G210" s="28">
        <f t="shared" si="235"/>
        <v>55614.23308343871</v>
      </c>
      <c r="H210" s="28">
        <f t="shared" si="235"/>
        <v>58613.720598667547</v>
      </c>
      <c r="I210" s="28">
        <f t="shared" si="235"/>
        <v>61448.461852074935</v>
      </c>
      <c r="J210" s="28">
        <f t="shared" si="235"/>
        <v>62326.319377084073</v>
      </c>
      <c r="K210" s="28">
        <f t="shared" si="235"/>
        <v>52572.226373536265</v>
      </c>
      <c r="L210" s="28">
        <f t="shared" si="235"/>
        <v>50027.044709777401</v>
      </c>
      <c r="M210" s="28">
        <f t="shared" si="234"/>
        <v>49555.446338092072</v>
      </c>
      <c r="N210" s="28">
        <f t="shared" si="235"/>
        <v>46547.776562671868</v>
      </c>
      <c r="O210" s="28">
        <f t="shared" si="235"/>
        <v>46569.812334026261</v>
      </c>
      <c r="P210" s="28">
        <f t="shared" si="235"/>
        <v>46625.426517679436</v>
      </c>
      <c r="Q210" s="28">
        <f t="shared" si="235"/>
        <v>47750.043662428769</v>
      </c>
      <c r="R210" s="28">
        <f t="shared" si="235"/>
        <v>50335.606205883574</v>
      </c>
      <c r="S210" s="28">
        <f t="shared" si="235"/>
        <v>50725.826631356831</v>
      </c>
      <c r="T210" s="28">
        <f t="shared" si="235"/>
        <v>50198.573188519287</v>
      </c>
      <c r="U210" s="28">
        <f t="shared" si="235"/>
        <v>49024.736169674165</v>
      </c>
      <c r="V210" s="28">
        <f t="shared" si="235"/>
        <v>45058.114538566369</v>
      </c>
      <c r="W210" s="28">
        <f t="shared" ref="W210" si="236">IF(W19=0,0,W19*1000000/W73)</f>
        <v>49210.193582060485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2375.3982926874478</v>
      </c>
      <c r="C211" s="137">
        <f t="shared" si="235"/>
        <v>2401.6727938307281</v>
      </c>
      <c r="D211" s="137">
        <f t="shared" si="235"/>
        <v>2438.7016084817819</v>
      </c>
      <c r="E211" s="137">
        <f t="shared" si="235"/>
        <v>2460.033227084954</v>
      </c>
      <c r="F211" s="137">
        <f t="shared" si="235"/>
        <v>2469.8279152378695</v>
      </c>
      <c r="G211" s="137">
        <f t="shared" si="235"/>
        <v>2482.9579465383699</v>
      </c>
      <c r="H211" s="137">
        <f t="shared" si="235"/>
        <v>2483.0908426557544</v>
      </c>
      <c r="I211" s="137">
        <f t="shared" si="235"/>
        <v>2489.6041608490764</v>
      </c>
      <c r="J211" s="137">
        <f t="shared" si="235"/>
        <v>2511.3193248493017</v>
      </c>
      <c r="K211" s="137">
        <f t="shared" si="235"/>
        <v>2513.9741878913319</v>
      </c>
      <c r="L211" s="137">
        <f t="shared" si="235"/>
        <v>2484.8584269593716</v>
      </c>
      <c r="M211" s="137">
        <f t="shared" si="234"/>
        <v>2477.7455739632464</v>
      </c>
      <c r="N211" s="137">
        <f t="shared" si="235"/>
        <v>2461.7866283997937</v>
      </c>
      <c r="O211" s="137">
        <f t="shared" si="235"/>
        <v>2448.8130384840579</v>
      </c>
      <c r="P211" s="137">
        <f t="shared" si="235"/>
        <v>2437.9563702234718</v>
      </c>
      <c r="Q211" s="137">
        <f t="shared" si="235"/>
        <v>2428.4311967742724</v>
      </c>
      <c r="R211" s="137">
        <f t="shared" si="235"/>
        <v>2462.1046297467619</v>
      </c>
      <c r="S211" s="137">
        <f t="shared" si="235"/>
        <v>2493.3059027598697</v>
      </c>
      <c r="T211" s="137">
        <f t="shared" si="235"/>
        <v>2523.7478103872318</v>
      </c>
      <c r="U211" s="137">
        <f t="shared" si="235"/>
        <v>2554.5685095388044</v>
      </c>
      <c r="V211" s="137">
        <f t="shared" si="235"/>
        <v>2581.5493652131649</v>
      </c>
      <c r="W211" s="137">
        <f t="shared" ref="W211" si="237">IF(W20=0,0,W20*1000000/W74)</f>
        <v>2607.6663861557595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1681.1834641854707</v>
      </c>
      <c r="C212" s="84">
        <f t="shared" si="235"/>
        <v>1670.1943699246815</v>
      </c>
      <c r="D212" s="84">
        <f t="shared" si="235"/>
        <v>1660.1558326095223</v>
      </c>
      <c r="E212" s="84">
        <f t="shared" si="235"/>
        <v>1649.121138240035</v>
      </c>
      <c r="F212" s="84">
        <f t="shared" si="235"/>
        <v>1637.1011780974309</v>
      </c>
      <c r="G212" s="84">
        <f t="shared" si="235"/>
        <v>1626.6025864615833</v>
      </c>
      <c r="H212" s="84">
        <f t="shared" si="235"/>
        <v>1608.084490452213</v>
      </c>
      <c r="I212" s="84">
        <f t="shared" si="235"/>
        <v>1579.3393062804817</v>
      </c>
      <c r="J212" s="84">
        <f t="shared" si="235"/>
        <v>1551.9040161315784</v>
      </c>
      <c r="K212" s="84">
        <f t="shared" si="235"/>
        <v>1521.0117804608944</v>
      </c>
      <c r="L212" s="84">
        <f t="shared" si="235"/>
        <v>1490.5367014681551</v>
      </c>
      <c r="M212" s="84">
        <f t="shared" si="234"/>
        <v>1460.3928107624729</v>
      </c>
      <c r="N212" s="84">
        <f t="shared" si="235"/>
        <v>1431.0100336838382</v>
      </c>
      <c r="O212" s="84">
        <f t="shared" si="235"/>
        <v>1403.3357192616049</v>
      </c>
      <c r="P212" s="84">
        <f t="shared" si="235"/>
        <v>1377.0571845691968</v>
      </c>
      <c r="Q212" s="84">
        <f t="shared" si="235"/>
        <v>1351.7663869031792</v>
      </c>
      <c r="R212" s="84">
        <f t="shared" si="235"/>
        <v>1382.057452095376</v>
      </c>
      <c r="S212" s="84">
        <f t="shared" si="235"/>
        <v>1413.1273778106358</v>
      </c>
      <c r="T212" s="84">
        <f t="shared" si="235"/>
        <v>1445.0811743454296</v>
      </c>
      <c r="U212" s="84">
        <f t="shared" si="235"/>
        <v>1477.8889707814267</v>
      </c>
      <c r="V212" s="84">
        <f t="shared" si="235"/>
        <v>1474.358170101533</v>
      </c>
      <c r="W212" s="84">
        <f t="shared" ref="W212" si="238">IF(W21=0,0,W21*1000000/W75)</f>
        <v>1470.8972020077645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2775.408131199229</v>
      </c>
      <c r="C213" s="84">
        <f t="shared" si="235"/>
        <v>2757.2666123134914</v>
      </c>
      <c r="D213" s="84">
        <f t="shared" si="235"/>
        <v>2740.6943352935409</v>
      </c>
      <c r="E213" s="84">
        <f t="shared" si="235"/>
        <v>2722.4775367520369</v>
      </c>
      <c r="F213" s="84">
        <f t="shared" si="235"/>
        <v>2702.6341967316571</v>
      </c>
      <c r="G213" s="84">
        <f t="shared" si="235"/>
        <v>2685.3024318095031</v>
      </c>
      <c r="H213" s="84">
        <f t="shared" si="235"/>
        <v>2667.0022249351236</v>
      </c>
      <c r="I213" s="84">
        <f t="shared" si="235"/>
        <v>2650.7135164694123</v>
      </c>
      <c r="J213" s="84">
        <f t="shared" si="235"/>
        <v>2635.8763855122102</v>
      </c>
      <c r="K213" s="84">
        <f t="shared" si="235"/>
        <v>2614.3612261531866</v>
      </c>
      <c r="L213" s="84">
        <f t="shared" si="235"/>
        <v>2592.6776507769123</v>
      </c>
      <c r="M213" s="84">
        <f t="shared" si="234"/>
        <v>2570.6820793800057</v>
      </c>
      <c r="N213" s="84">
        <f t="shared" si="235"/>
        <v>2549.1429851706362</v>
      </c>
      <c r="O213" s="84">
        <f t="shared" si="235"/>
        <v>2529.7985003370472</v>
      </c>
      <c r="P213" s="84">
        <f t="shared" si="235"/>
        <v>2512.1707837910421</v>
      </c>
      <c r="Q213" s="84">
        <f t="shared" si="235"/>
        <v>2495.5809508961411</v>
      </c>
      <c r="R213" s="84">
        <f t="shared" si="235"/>
        <v>2521.292791309078</v>
      </c>
      <c r="S213" s="84">
        <f t="shared" si="235"/>
        <v>2547.4499594805407</v>
      </c>
      <c r="T213" s="84">
        <f t="shared" si="235"/>
        <v>2574.20874199032</v>
      </c>
      <c r="U213" s="84">
        <f t="shared" si="235"/>
        <v>2601.4800021629912</v>
      </c>
      <c r="V213" s="84">
        <f t="shared" si="235"/>
        <v>2626.8344305376963</v>
      </c>
      <c r="W213" s="84">
        <f t="shared" ref="W213" si="239">IF(W22=0,0,W22*1000000/W76)</f>
        <v>2652.5466879411983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1123.5706937177451</v>
      </c>
      <c r="D214" s="84">
        <f t="shared" si="235"/>
        <v>1123.2481930508184</v>
      </c>
      <c r="E214" s="84">
        <f t="shared" si="235"/>
        <v>1122.8915397289766</v>
      </c>
      <c r="F214" s="84">
        <f t="shared" si="235"/>
        <v>1122.5004459634422</v>
      </c>
      <c r="G214" s="84">
        <f t="shared" si="235"/>
        <v>1126.5254844448739</v>
      </c>
      <c r="H214" s="84">
        <f t="shared" si="235"/>
        <v>1135.2498281572023</v>
      </c>
      <c r="I214" s="84">
        <f t="shared" si="235"/>
        <v>1144.080529439917</v>
      </c>
      <c r="J214" s="84">
        <f t="shared" si="235"/>
        <v>1153.0080925054324</v>
      </c>
      <c r="K214" s="84">
        <f t="shared" si="235"/>
        <v>1161.8624133681592</v>
      </c>
      <c r="L214" s="84">
        <f t="shared" si="235"/>
        <v>1170.7773320355839</v>
      </c>
      <c r="M214" s="84">
        <f t="shared" si="234"/>
        <v>1179.7499069970702</v>
      </c>
      <c r="N214" s="84">
        <f t="shared" si="235"/>
        <v>1188.7972391882686</v>
      </c>
      <c r="O214" s="84">
        <f t="shared" si="235"/>
        <v>1197.9593891126549</v>
      </c>
      <c r="P214" s="84">
        <f t="shared" si="235"/>
        <v>1207.2280893977593</v>
      </c>
      <c r="Q214" s="84">
        <f t="shared" si="235"/>
        <v>1216.5897482128607</v>
      </c>
      <c r="R214" s="84">
        <f t="shared" si="235"/>
        <v>1207.4364720127057</v>
      </c>
      <c r="S214" s="84">
        <f t="shared" si="235"/>
        <v>1198.35610413119</v>
      </c>
      <c r="T214" s="84">
        <f t="shared" si="235"/>
        <v>1189.3512902454829</v>
      </c>
      <c r="U214" s="84">
        <f t="shared" si="235"/>
        <v>1180.4191413670437</v>
      </c>
      <c r="V214" s="84">
        <f t="shared" si="235"/>
        <v>1171.507249176824</v>
      </c>
      <c r="W214" s="84">
        <f t="shared" ref="W214" si="240">IF(W23=0,0,W23*1000000/W77)</f>
        <v>1162.664950771273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1296.051765505586</v>
      </c>
      <c r="C215" s="84">
        <f t="shared" si="235"/>
        <v>1295.647091506595</v>
      </c>
      <c r="D215" s="84">
        <f t="shared" si="235"/>
        <v>1295.2751994187636</v>
      </c>
      <c r="E215" s="84">
        <f t="shared" si="235"/>
        <v>1294.8639241499225</v>
      </c>
      <c r="F215" s="84">
        <f t="shared" si="235"/>
        <v>1294.4129338360472</v>
      </c>
      <c r="G215" s="84">
        <f t="shared" si="235"/>
        <v>1294.0164378181519</v>
      </c>
      <c r="H215" s="84">
        <f t="shared" si="235"/>
        <v>1293.5951327809398</v>
      </c>
      <c r="I215" s="84">
        <f t="shared" si="235"/>
        <v>1293.2178138299823</v>
      </c>
      <c r="J215" s="84">
        <f t="shared" si="235"/>
        <v>1292.8721930969868</v>
      </c>
      <c r="K215" s="84">
        <f t="shared" si="235"/>
        <v>1292.3677065503716</v>
      </c>
      <c r="L215" s="84">
        <f t="shared" si="235"/>
        <v>1291.8552544651211</v>
      </c>
      <c r="M215" s="84">
        <f t="shared" si="234"/>
        <v>1291.3312415955368</v>
      </c>
      <c r="N215" s="84">
        <f t="shared" si="235"/>
        <v>1290.8139490336814</v>
      </c>
      <c r="O215" s="84">
        <f t="shared" si="235"/>
        <v>1290.3458026810038</v>
      </c>
      <c r="P215" s="84">
        <f t="shared" si="235"/>
        <v>1289.9162245692614</v>
      </c>
      <c r="Q215" s="84">
        <f t="shared" si="235"/>
        <v>1289.5093088131359</v>
      </c>
      <c r="R215" s="84">
        <f t="shared" si="235"/>
        <v>1290.1388801869505</v>
      </c>
      <c r="S215" s="84">
        <f t="shared" si="235"/>
        <v>1290.7731122907278</v>
      </c>
      <c r="T215" s="84">
        <f t="shared" si="235"/>
        <v>1291.4155460172153</v>
      </c>
      <c r="U215" s="84">
        <f t="shared" si="235"/>
        <v>1292.0637724859998</v>
      </c>
      <c r="V215" s="84">
        <f t="shared" si="235"/>
        <v>1292.660657224837</v>
      </c>
      <c r="W215" s="84">
        <f t="shared" ref="W215" si="241">IF(W24=0,0,W24*1000000/W78)</f>
        <v>1293.2603883439722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0</v>
      </c>
      <c r="O216" s="84">
        <f t="shared" si="235"/>
        <v>1222.7656870173651</v>
      </c>
      <c r="P216" s="84">
        <f t="shared" si="235"/>
        <v>1223.172902125546</v>
      </c>
      <c r="Q216" s="84">
        <f t="shared" si="235"/>
        <v>1223.558884857845</v>
      </c>
      <c r="R216" s="84">
        <f t="shared" si="235"/>
        <v>1222.9618036754136</v>
      </c>
      <c r="S216" s="84">
        <f t="shared" si="235"/>
        <v>1222.3608912220952</v>
      </c>
      <c r="T216" s="84">
        <f t="shared" si="235"/>
        <v>1221.7528097529803</v>
      </c>
      <c r="U216" s="84">
        <f t="shared" si="235"/>
        <v>1221.139858189398</v>
      </c>
      <c r="V216" s="84">
        <f t="shared" si="235"/>
        <v>1212.7092403115826</v>
      </c>
      <c r="W216" s="84">
        <f t="shared" ref="W216" si="242">IF(W25=0,0,W25*1000000/W79)</f>
        <v>1220.0099733400036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154147.38740326272</v>
      </c>
      <c r="C217" s="110">
        <f t="shared" si="235"/>
        <v>150435.70517837218</v>
      </c>
      <c r="D217" s="110">
        <f t="shared" si="235"/>
        <v>144253.40379165797</v>
      </c>
      <c r="E217" s="110">
        <f t="shared" si="235"/>
        <v>138402.84213654709</v>
      </c>
      <c r="F217" s="110">
        <f t="shared" si="235"/>
        <v>151463.95749114003</v>
      </c>
      <c r="G217" s="110">
        <f t="shared" si="235"/>
        <v>152852.26279849338</v>
      </c>
      <c r="H217" s="110">
        <f t="shared" si="235"/>
        <v>153547.40829726509</v>
      </c>
      <c r="I217" s="110">
        <f t="shared" si="235"/>
        <v>167101.11375524011</v>
      </c>
      <c r="J217" s="110">
        <f t="shared" si="235"/>
        <v>190647.60640173053</v>
      </c>
      <c r="K217" s="110">
        <f t="shared" si="235"/>
        <v>253486.73246843467</v>
      </c>
      <c r="L217" s="110">
        <f t="shared" si="235"/>
        <v>157714.34301823913</v>
      </c>
      <c r="M217" s="110">
        <f t="shared" si="234"/>
        <v>179193.05977541013</v>
      </c>
      <c r="N217" s="110">
        <f t="shared" si="235"/>
        <v>188980.1499110903</v>
      </c>
      <c r="O217" s="110">
        <f t="shared" si="235"/>
        <v>220583.46849876744</v>
      </c>
      <c r="P217" s="110">
        <f t="shared" si="235"/>
        <v>220690.65469617842</v>
      </c>
      <c r="Q217" s="110">
        <f t="shared" si="235"/>
        <v>228499.2589753464</v>
      </c>
      <c r="R217" s="110">
        <f t="shared" si="235"/>
        <v>244860.61791480638</v>
      </c>
      <c r="S217" s="110">
        <f t="shared" si="235"/>
        <v>241952.03226812911</v>
      </c>
      <c r="T217" s="110">
        <f t="shared" si="235"/>
        <v>233634.50687160314</v>
      </c>
      <c r="U217" s="110">
        <f t="shared" si="235"/>
        <v>228767.77955825749</v>
      </c>
      <c r="V217" s="110">
        <f t="shared" si="235"/>
        <v>207931.15755244478</v>
      </c>
      <c r="W217" s="110">
        <f t="shared" ref="W217" si="243">IF(W26=0,0,W26*1000000/W80)</f>
        <v>227094.58581938469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98753.486254197735</v>
      </c>
      <c r="C218" s="163">
        <f t="shared" si="235"/>
        <v>92936.511052652248</v>
      </c>
      <c r="D218" s="163">
        <f t="shared" si="235"/>
        <v>84900.926108973683</v>
      </c>
      <c r="E218" s="163">
        <f t="shared" si="235"/>
        <v>79231.30044776453</v>
      </c>
      <c r="F218" s="163">
        <f t="shared" si="235"/>
        <v>82761.584510758927</v>
      </c>
      <c r="G218" s="163">
        <f t="shared" si="235"/>
        <v>83651.47421590508</v>
      </c>
      <c r="H218" s="163">
        <f t="shared" si="235"/>
        <v>83905.080900029716</v>
      </c>
      <c r="I218" s="163">
        <f t="shared" si="235"/>
        <v>90484.882587870394</v>
      </c>
      <c r="J218" s="163">
        <f t="shared" si="235"/>
        <v>99772.045774432409</v>
      </c>
      <c r="K218" s="163">
        <f t="shared" si="235"/>
        <v>153231.18760150575</v>
      </c>
      <c r="L218" s="163">
        <f t="shared" si="235"/>
        <v>89344.016655888714</v>
      </c>
      <c r="M218" s="163">
        <f t="shared" si="234"/>
        <v>96794.053055711251</v>
      </c>
      <c r="N218" s="163">
        <f t="shared" si="235"/>
        <v>95914.167215135662</v>
      </c>
      <c r="O218" s="163">
        <f t="shared" si="235"/>
        <v>112921.34831460674</v>
      </c>
      <c r="P218" s="163">
        <f t="shared" si="235"/>
        <v>113628.3185840708</v>
      </c>
      <c r="Q218" s="163">
        <f t="shared" si="235"/>
        <v>119186.5483547975</v>
      </c>
      <c r="R218" s="163">
        <f t="shared" si="235"/>
        <v>132127.79869675997</v>
      </c>
      <c r="S218" s="163">
        <f t="shared" si="235"/>
        <v>125587.70628885174</v>
      </c>
      <c r="T218" s="163">
        <f t="shared" si="235"/>
        <v>124919.3928719237</v>
      </c>
      <c r="U218" s="163">
        <f t="shared" si="235"/>
        <v>122631.1352223159</v>
      </c>
      <c r="V218" s="163">
        <f t="shared" si="235"/>
        <v>112051.16364174995</v>
      </c>
      <c r="W218" s="163">
        <f t="shared" ref="W218" si="244">IF(W27=0,0,W27*1000000/W81)</f>
        <v>124843.71304024599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1211826.0312497863</v>
      </c>
      <c r="C219" s="86">
        <f t="shared" si="235"/>
        <v>1210860.7415201252</v>
      </c>
      <c r="D219" s="86">
        <f t="shared" si="235"/>
        <v>1218856.8123642453</v>
      </c>
      <c r="E219" s="86">
        <f t="shared" si="235"/>
        <v>1211611.2391313836</v>
      </c>
      <c r="F219" s="86">
        <f t="shared" si="235"/>
        <v>1189426.2012409826</v>
      </c>
      <c r="G219" s="86">
        <f t="shared" si="235"/>
        <v>1190011.2649174619</v>
      </c>
      <c r="H219" s="86">
        <f t="shared" si="235"/>
        <v>1197575.9981223515</v>
      </c>
      <c r="I219" s="86">
        <f t="shared" si="235"/>
        <v>1199843.4043015463</v>
      </c>
      <c r="J219" s="86">
        <f t="shared" si="235"/>
        <v>1182795.6179004302</v>
      </c>
      <c r="K219" s="86">
        <f t="shared" si="235"/>
        <v>1167221.4052435691</v>
      </c>
      <c r="L219" s="86">
        <f t="shared" si="235"/>
        <v>1205134.1960324661</v>
      </c>
      <c r="M219" s="86">
        <f t="shared" si="234"/>
        <v>1201352.1276311162</v>
      </c>
      <c r="N219" s="86">
        <f t="shared" si="235"/>
        <v>1197284.499615615</v>
      </c>
      <c r="O219" s="86">
        <f t="shared" si="235"/>
        <v>1198873.8248054013</v>
      </c>
      <c r="P219" s="86">
        <f t="shared" si="235"/>
        <v>1201719.1967549007</v>
      </c>
      <c r="Q219" s="86">
        <f t="shared" si="235"/>
        <v>1190524.1868705021</v>
      </c>
      <c r="R219" s="86">
        <f t="shared" si="235"/>
        <v>1184145.4695284786</v>
      </c>
      <c r="S219" s="86">
        <f t="shared" si="235"/>
        <v>1194190.4178618488</v>
      </c>
      <c r="T219" s="86">
        <f t="shared" si="235"/>
        <v>1203279.2514378917</v>
      </c>
      <c r="U219" s="86">
        <f t="shared" si="235"/>
        <v>1198626.6956958633</v>
      </c>
      <c r="V219" s="86">
        <f t="shared" si="235"/>
        <v>1180364.0862495583</v>
      </c>
      <c r="W219" s="86">
        <f t="shared" ref="W219" si="245">IF(W28=0,0,W28*1000000/W82)</f>
        <v>1193453.0938123753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4.3210020171117304E-3</v>
      </c>
      <c r="C223" s="154">
        <f t="shared" si="250"/>
        <v>4.4172008076326982E-3</v>
      </c>
      <c r="D223" s="154">
        <f t="shared" si="250"/>
        <v>4.5986763550193927E-3</v>
      </c>
      <c r="E223" s="154">
        <f t="shared" si="250"/>
        <v>4.7993660769505104E-3</v>
      </c>
      <c r="F223" s="154">
        <f t="shared" si="250"/>
        <v>5.1940186855562115E-3</v>
      </c>
      <c r="G223" s="154">
        <f t="shared" si="250"/>
        <v>5.5853867581893311E-3</v>
      </c>
      <c r="H223" s="154">
        <f t="shared" si="250"/>
        <v>5.6709078621641172E-3</v>
      </c>
      <c r="I223" s="154">
        <f t="shared" si="250"/>
        <v>5.8535775632131658E-3</v>
      </c>
      <c r="J223" s="154">
        <f t="shared" si="250"/>
        <v>6.049258538125408E-3</v>
      </c>
      <c r="K223" s="154">
        <f t="shared" si="250"/>
        <v>6.1526820323053307E-3</v>
      </c>
      <c r="L223" s="154">
        <f t="shared" ref="L223" si="251">IF(L5=0,0,L5/L$4)</f>
        <v>6.2990967208703804E-3</v>
      </c>
      <c r="M223" s="154">
        <f t="shared" ref="M223:V223" si="252">IF(M5=0,0,M5/M$4)</f>
        <v>6.5497636145948682E-3</v>
      </c>
      <c r="N223" s="154">
        <f t="shared" si="252"/>
        <v>6.6688269690520548E-3</v>
      </c>
      <c r="O223" s="154">
        <f t="shared" si="252"/>
        <v>6.9046375628445955E-3</v>
      </c>
      <c r="P223" s="154">
        <f t="shared" si="252"/>
        <v>6.9698767521812928E-3</v>
      </c>
      <c r="Q223" s="154">
        <f t="shared" si="252"/>
        <v>6.8374617625299259E-3</v>
      </c>
      <c r="R223" s="154">
        <f t="shared" si="252"/>
        <v>6.6144983002904712E-3</v>
      </c>
      <c r="S223" s="154">
        <f t="shared" si="252"/>
        <v>6.5963794997642546E-3</v>
      </c>
      <c r="T223" s="154">
        <f t="shared" si="252"/>
        <v>6.6365676091179613E-3</v>
      </c>
      <c r="U223" s="154">
        <f t="shared" si="252"/>
        <v>6.5671755934808571E-3</v>
      </c>
      <c r="V223" s="154">
        <f t="shared" si="252"/>
        <v>6.7974854224402111E-3</v>
      </c>
      <c r="W223" s="154">
        <f t="shared" ref="W223" si="253">IF(W5=0,0,W5/W$4)</f>
        <v>6.6442506236212224E-3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0.70835063049743929</v>
      </c>
      <c r="C224" s="156">
        <f t="shared" si="254"/>
        <v>0.70953923278397957</v>
      </c>
      <c r="D224" s="156">
        <f t="shared" si="254"/>
        <v>0.70687875831716607</v>
      </c>
      <c r="E224" s="156">
        <f t="shared" si="254"/>
        <v>0.71407569041618657</v>
      </c>
      <c r="F224" s="156">
        <f t="shared" si="254"/>
        <v>0.72561571347331311</v>
      </c>
      <c r="G224" s="156">
        <f t="shared" si="254"/>
        <v>0.73053570571593474</v>
      </c>
      <c r="H224" s="156">
        <f t="shared" si="254"/>
        <v>0.74052710449414016</v>
      </c>
      <c r="I224" s="156">
        <f t="shared" si="254"/>
        <v>0.75438836005647558</v>
      </c>
      <c r="J224" s="156">
        <f t="shared" si="254"/>
        <v>0.74907980564407173</v>
      </c>
      <c r="K224" s="156">
        <f t="shared" si="254"/>
        <v>0.76480942065148294</v>
      </c>
      <c r="L224" s="156">
        <f t="shared" ref="L224" si="255">IF(L6=0,0,L6/L$4)</f>
        <v>0.75683067377151625</v>
      </c>
      <c r="M224" s="156">
        <f t="shared" ref="M224:V224" si="256">IF(M6=0,0,M6/M$4)</f>
        <v>0.75551241474290998</v>
      </c>
      <c r="N224" s="156">
        <f t="shared" si="256"/>
        <v>0.74705359137487437</v>
      </c>
      <c r="O224" s="156">
        <f t="shared" si="256"/>
        <v>0.74616952594379204</v>
      </c>
      <c r="P224" s="156">
        <f t="shared" si="256"/>
        <v>0.74418260615103282</v>
      </c>
      <c r="Q224" s="156">
        <f t="shared" si="256"/>
        <v>0.7488610514445011</v>
      </c>
      <c r="R224" s="156">
        <f t="shared" si="256"/>
        <v>0.75574384000858785</v>
      </c>
      <c r="S224" s="156">
        <f t="shared" si="256"/>
        <v>0.76301735991068309</v>
      </c>
      <c r="T224" s="156">
        <f t="shared" si="256"/>
        <v>0.76704697137698996</v>
      </c>
      <c r="U224" s="156">
        <f t="shared" si="256"/>
        <v>0.77604040037529609</v>
      </c>
      <c r="V224" s="156">
        <f t="shared" si="256"/>
        <v>0.83157374987637955</v>
      </c>
      <c r="W224" s="156">
        <f t="shared" ref="W224" si="257">IF(W6=0,0,W6/W$4)</f>
        <v>0.84120342422526428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0.60485793155078083</v>
      </c>
      <c r="C225" s="103">
        <f t="shared" si="258"/>
        <v>0.59886908695051022</v>
      </c>
      <c r="D225" s="103">
        <f t="shared" si="258"/>
        <v>0.58536535746991103</v>
      </c>
      <c r="E225" s="103">
        <f t="shared" si="258"/>
        <v>0.56566318320587083</v>
      </c>
      <c r="F225" s="103">
        <f t="shared" si="258"/>
        <v>0.55527836127262087</v>
      </c>
      <c r="G225" s="103">
        <f t="shared" si="258"/>
        <v>0.58817827798412547</v>
      </c>
      <c r="H225" s="103">
        <f t="shared" si="258"/>
        <v>0.55729593884518858</v>
      </c>
      <c r="I225" s="103">
        <f t="shared" si="258"/>
        <v>0.55475757699591288</v>
      </c>
      <c r="J225" s="103">
        <f t="shared" si="258"/>
        <v>0.53751234514951274</v>
      </c>
      <c r="K225" s="103">
        <f t="shared" si="258"/>
        <v>0.54603925584066082</v>
      </c>
      <c r="L225" s="103">
        <f t="shared" ref="L225" si="259">IF(L7=0,0,L7/L$4)</f>
        <v>0.51243936632427711</v>
      </c>
      <c r="M225" s="103">
        <f t="shared" ref="M225:V225" si="260">IF(M7=0,0,M7/M$4)</f>
        <v>0.48419323949202486</v>
      </c>
      <c r="N225" s="103">
        <f t="shared" si="260"/>
        <v>0.4680654182782038</v>
      </c>
      <c r="O225" s="103">
        <f t="shared" si="260"/>
        <v>0.45024400464987396</v>
      </c>
      <c r="P225" s="103">
        <f t="shared" si="260"/>
        <v>0.4682700284234283</v>
      </c>
      <c r="Q225" s="103">
        <f t="shared" si="260"/>
        <v>0.45312331303828068</v>
      </c>
      <c r="R225" s="103">
        <f t="shared" si="260"/>
        <v>0.43479538044814608</v>
      </c>
      <c r="S225" s="103">
        <f t="shared" si="260"/>
        <v>0.42563689572394542</v>
      </c>
      <c r="T225" s="103">
        <f t="shared" si="260"/>
        <v>0.41840698709152369</v>
      </c>
      <c r="U225" s="103">
        <f t="shared" si="260"/>
        <v>0.41376066236699155</v>
      </c>
      <c r="V225" s="103">
        <f t="shared" si="260"/>
        <v>0.44392454540655935</v>
      </c>
      <c r="W225" s="103">
        <f t="shared" ref="W225" si="261">IF(W7=0,0,W7/W$4)</f>
        <v>0.44098986676421592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0.10349269894665845</v>
      </c>
      <c r="C226" s="103">
        <f t="shared" si="262"/>
        <v>0.10983319200927494</v>
      </c>
      <c r="D226" s="103">
        <f t="shared" si="262"/>
        <v>0.12071820300768993</v>
      </c>
      <c r="E226" s="103">
        <f t="shared" si="262"/>
        <v>0.13532227955054146</v>
      </c>
      <c r="F226" s="103">
        <f t="shared" si="262"/>
        <v>0.15845806591796813</v>
      </c>
      <c r="G226" s="103">
        <f t="shared" si="262"/>
        <v>0.1306911849144374</v>
      </c>
      <c r="H226" s="103">
        <f t="shared" si="262"/>
        <v>0.17233439853996013</v>
      </c>
      <c r="I226" s="103">
        <f t="shared" si="262"/>
        <v>0.18834118213950238</v>
      </c>
      <c r="J226" s="103">
        <f t="shared" si="262"/>
        <v>0.20119123173153455</v>
      </c>
      <c r="K226" s="103">
        <f t="shared" si="262"/>
        <v>0.20999513093772754</v>
      </c>
      <c r="L226" s="103">
        <f t="shared" ref="L226" si="263">IF(L8=0,0,L8/L$4)</f>
        <v>0.23571854690119082</v>
      </c>
      <c r="M226" s="103">
        <f t="shared" ref="M226:V226" si="264">IF(M8=0,0,M8/M$4)</f>
        <v>0.2621499124952798</v>
      </c>
      <c r="N226" s="103">
        <f t="shared" si="264"/>
        <v>0.26959905045168986</v>
      </c>
      <c r="O226" s="103">
        <f t="shared" si="264"/>
        <v>0.28552283818144153</v>
      </c>
      <c r="P226" s="103">
        <f t="shared" si="264"/>
        <v>0.26486578138261657</v>
      </c>
      <c r="Q226" s="103">
        <f t="shared" si="264"/>
        <v>0.28420922801248283</v>
      </c>
      <c r="R226" s="103">
        <f t="shared" si="264"/>
        <v>0.30944699573888201</v>
      </c>
      <c r="S226" s="103">
        <f t="shared" si="264"/>
        <v>0.32637506779251146</v>
      </c>
      <c r="T226" s="103">
        <f t="shared" si="264"/>
        <v>0.33856958684097527</v>
      </c>
      <c r="U226" s="103">
        <f t="shared" si="264"/>
        <v>0.35325818975760093</v>
      </c>
      <c r="V226" s="103">
        <f t="shared" si="264"/>
        <v>0.37894616219411792</v>
      </c>
      <c r="W226" s="103">
        <f t="shared" ref="W226" si="265">IF(W8=0,0,W8/W$4)</f>
        <v>0.39153865588246173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8.3695382419435608E-4</v>
      </c>
      <c r="D227" s="103">
        <f t="shared" si="266"/>
        <v>7.9519783956515089E-4</v>
      </c>
      <c r="E227" s="103">
        <f t="shared" si="266"/>
        <v>1.3090227659774273E-2</v>
      </c>
      <c r="F227" s="103">
        <f t="shared" si="266"/>
        <v>1.1879286282724036E-2</v>
      </c>
      <c r="G227" s="103">
        <f t="shared" si="266"/>
        <v>1.1666242817371766E-2</v>
      </c>
      <c r="H227" s="103">
        <f t="shared" si="266"/>
        <v>1.0896767108991571E-2</v>
      </c>
      <c r="I227" s="103">
        <f t="shared" si="266"/>
        <v>1.1289600921060428E-2</v>
      </c>
      <c r="J227" s="103">
        <f t="shared" si="266"/>
        <v>1.0376228763024473E-2</v>
      </c>
      <c r="K227" s="103">
        <f t="shared" si="266"/>
        <v>8.7750338730946068E-3</v>
      </c>
      <c r="L227" s="103">
        <f t="shared" ref="L227" si="267">IF(L9=0,0,L9/L$4)</f>
        <v>8.643608416312884E-3</v>
      </c>
      <c r="M227" s="103">
        <f t="shared" ref="M227:V227" si="268">IF(M9=0,0,M9/M$4)</f>
        <v>9.0796338755811685E-3</v>
      </c>
      <c r="N227" s="103">
        <f t="shared" si="268"/>
        <v>9.3007380782013215E-3</v>
      </c>
      <c r="O227" s="103">
        <f t="shared" si="268"/>
        <v>1.0225858757231823E-2</v>
      </c>
      <c r="P227" s="103">
        <f t="shared" si="268"/>
        <v>1.0814125054518394E-2</v>
      </c>
      <c r="Q227" s="103">
        <f t="shared" si="268"/>
        <v>1.1060494002435995E-2</v>
      </c>
      <c r="R227" s="103">
        <f t="shared" si="268"/>
        <v>1.0949079862111494E-2</v>
      </c>
      <c r="S227" s="103">
        <f t="shared" si="268"/>
        <v>1.0220136768903515E-2</v>
      </c>
      <c r="T227" s="103">
        <f t="shared" si="268"/>
        <v>8.9403955286653392E-3</v>
      </c>
      <c r="U227" s="103">
        <f t="shared" si="268"/>
        <v>7.5014071755827288E-3</v>
      </c>
      <c r="V227" s="103">
        <f t="shared" si="268"/>
        <v>6.113990673815654E-3</v>
      </c>
      <c r="W227" s="103">
        <f t="shared" ref="W227" si="269">IF(W9=0,0,W9/W$4)</f>
        <v>4.2651768844423283E-3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4.4345145604996441E-7</v>
      </c>
      <c r="M228" s="103">
        <f t="shared" ref="M228:V228" si="272">IF(M10=0,0,M10/M$4)</f>
        <v>7.7752670254163464E-7</v>
      </c>
      <c r="N228" s="103">
        <f t="shared" si="272"/>
        <v>5.8095436235287791E-7</v>
      </c>
      <c r="O228" s="103">
        <f t="shared" si="272"/>
        <v>8.5403184743931086E-5</v>
      </c>
      <c r="P228" s="103">
        <f t="shared" si="272"/>
        <v>1.3634199680692471E-4</v>
      </c>
      <c r="Q228" s="103">
        <f t="shared" si="272"/>
        <v>3.4542633403311174E-4</v>
      </c>
      <c r="R228" s="103">
        <f t="shared" si="272"/>
        <v>3.6766440520169091E-4</v>
      </c>
      <c r="S228" s="103">
        <f t="shared" si="272"/>
        <v>3.9283744226029609E-4</v>
      </c>
      <c r="T228" s="103">
        <f t="shared" si="272"/>
        <v>3.9252836390429603E-4</v>
      </c>
      <c r="U228" s="103">
        <f t="shared" si="272"/>
        <v>3.7947168122489966E-4</v>
      </c>
      <c r="V228" s="103">
        <f t="shared" si="272"/>
        <v>3.8418616110063095E-4</v>
      </c>
      <c r="W228" s="103">
        <f t="shared" ref="W228" si="273">IF(W10=0,0,W10/W$4)</f>
        <v>3.781148041740857E-4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3.3094495810865704E-6</v>
      </c>
      <c r="O229" s="103">
        <f t="shared" si="276"/>
        <v>3.3802213019019884E-6</v>
      </c>
      <c r="P229" s="103">
        <f t="shared" si="276"/>
        <v>8.3636982839414177E-6</v>
      </c>
      <c r="Q229" s="103">
        <f t="shared" si="276"/>
        <v>2.1615381917829019E-5</v>
      </c>
      <c r="R229" s="103">
        <f t="shared" si="276"/>
        <v>5.8689838886203904E-5</v>
      </c>
      <c r="S229" s="103">
        <f t="shared" si="276"/>
        <v>9.9287446310301528E-5</v>
      </c>
      <c r="T229" s="103">
        <f t="shared" si="276"/>
        <v>2.2099735786109534E-4</v>
      </c>
      <c r="U229" s="103">
        <f t="shared" si="276"/>
        <v>3.4580922030187248E-4</v>
      </c>
      <c r="V229" s="103">
        <f t="shared" si="276"/>
        <v>7.9125834330809482E-4</v>
      </c>
      <c r="W229" s="103">
        <f t="shared" ref="W229" si="277">IF(W11=0,0,W11/W$4)</f>
        <v>1.582469323743422E-3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2.8708678279395977E-5</v>
      </c>
      <c r="M230" s="103">
        <f t="shared" ref="M230:V230" si="280">IF(M12=0,0,M12/M$4)</f>
        <v>8.8851353321616708E-5</v>
      </c>
      <c r="N230" s="103">
        <f t="shared" si="280"/>
        <v>8.4494162835865134E-5</v>
      </c>
      <c r="O230" s="103">
        <f t="shared" si="280"/>
        <v>8.8040949198831775E-5</v>
      </c>
      <c r="P230" s="103">
        <f t="shared" si="280"/>
        <v>8.7965595378585357E-5</v>
      </c>
      <c r="Q230" s="103">
        <f t="shared" si="280"/>
        <v>1.0097467535065767E-4</v>
      </c>
      <c r="R230" s="103">
        <f t="shared" si="280"/>
        <v>1.2602971536043625E-4</v>
      </c>
      <c r="S230" s="103">
        <f t="shared" si="280"/>
        <v>2.9313473675194229E-4</v>
      </c>
      <c r="T230" s="103">
        <f t="shared" si="280"/>
        <v>5.1647619406034752E-4</v>
      </c>
      <c r="U230" s="103">
        <f t="shared" si="280"/>
        <v>7.9486017359431328E-4</v>
      </c>
      <c r="V230" s="103">
        <f t="shared" si="280"/>
        <v>1.4136070974779919E-3</v>
      </c>
      <c r="W230" s="103">
        <f t="shared" ref="W230" si="281">IF(W12=0,0,W12/W$4)</f>
        <v>2.4491405662268391E-3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0.28732836748544899</v>
      </c>
      <c r="C231" s="156">
        <f t="shared" si="282"/>
        <v>0.28604356640838779</v>
      </c>
      <c r="D231" s="156">
        <f t="shared" si="282"/>
        <v>0.28852256532781445</v>
      </c>
      <c r="E231" s="156">
        <f t="shared" si="282"/>
        <v>0.28112494350686285</v>
      </c>
      <c r="F231" s="156">
        <f t="shared" si="282"/>
        <v>0.26919026784113076</v>
      </c>
      <c r="G231" s="156">
        <f t="shared" si="282"/>
        <v>0.26387890752587606</v>
      </c>
      <c r="H231" s="156">
        <f t="shared" si="282"/>
        <v>0.25380198764369566</v>
      </c>
      <c r="I231" s="156">
        <f t="shared" si="282"/>
        <v>0.23975806238031133</v>
      </c>
      <c r="J231" s="156">
        <f t="shared" si="282"/>
        <v>0.24487093581780284</v>
      </c>
      <c r="K231" s="156">
        <f t="shared" si="282"/>
        <v>0.2290378973162118</v>
      </c>
      <c r="L231" s="156">
        <f t="shared" ref="L231" si="283">IF(L13=0,0,L13/L$4)</f>
        <v>0.23687022950761344</v>
      </c>
      <c r="M231" s="156">
        <f t="shared" ref="M231:V231" si="284">IF(M13=0,0,M13/M$4)</f>
        <v>0.23793782164249508</v>
      </c>
      <c r="N231" s="156">
        <f t="shared" si="284"/>
        <v>0.24627758165607366</v>
      </c>
      <c r="O231" s="156">
        <f t="shared" si="284"/>
        <v>0.2469258364933633</v>
      </c>
      <c r="P231" s="156">
        <f t="shared" si="284"/>
        <v>0.24884751709678601</v>
      </c>
      <c r="Q231" s="156">
        <f t="shared" si="284"/>
        <v>0.2443014867929689</v>
      </c>
      <c r="R231" s="156">
        <f t="shared" si="284"/>
        <v>0.23764166169112155</v>
      </c>
      <c r="S231" s="156">
        <f t="shared" si="284"/>
        <v>0.23038626058955278</v>
      </c>
      <c r="T231" s="156">
        <f t="shared" si="284"/>
        <v>0.22631646101389213</v>
      </c>
      <c r="U231" s="156">
        <f t="shared" si="284"/>
        <v>0.21739242403122311</v>
      </c>
      <c r="V231" s="156">
        <f t="shared" si="284"/>
        <v>0.16162876470118021</v>
      </c>
      <c r="W231" s="156">
        <f t="shared" ref="W231" si="285">IF(W13=0,0,W13/W$4)</f>
        <v>0.15215232515111443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5.4169459447470586E-3</v>
      </c>
      <c r="C232" s="103">
        <f t="shared" si="286"/>
        <v>4.9298321950420445E-3</v>
      </c>
      <c r="D232" s="103">
        <f t="shared" si="286"/>
        <v>4.4978686586399112E-3</v>
      </c>
      <c r="E232" s="103">
        <f t="shared" si="286"/>
        <v>3.9369903784216625E-3</v>
      </c>
      <c r="F232" s="103">
        <f t="shared" si="286"/>
        <v>3.4353170789719035E-3</v>
      </c>
      <c r="G232" s="103">
        <f t="shared" si="286"/>
        <v>2.9566034322159027E-3</v>
      </c>
      <c r="H232" s="103">
        <f t="shared" si="286"/>
        <v>2.2376183335337647E-3</v>
      </c>
      <c r="I232" s="103">
        <f t="shared" si="286"/>
        <v>1.7654931841101825E-3</v>
      </c>
      <c r="J232" s="103">
        <f t="shared" si="286"/>
        <v>1.6436917747998489E-3</v>
      </c>
      <c r="K232" s="103">
        <f t="shared" si="286"/>
        <v>1.278811877548988E-3</v>
      </c>
      <c r="L232" s="103">
        <f t="shared" ref="L232" si="287">IF(L14=0,0,L14/L$4)</f>
        <v>1.0733647669817559E-3</v>
      </c>
      <c r="M232" s="103">
        <f t="shared" ref="M232:V232" si="288">IF(M14=0,0,M14/M$4)</f>
        <v>8.5673627564382794E-4</v>
      </c>
      <c r="N232" s="103">
        <f t="shared" si="288"/>
        <v>7.4275792560637305E-4</v>
      </c>
      <c r="O232" s="103">
        <f t="shared" si="288"/>
        <v>7.3054702443918213E-4</v>
      </c>
      <c r="P232" s="103">
        <f t="shared" si="288"/>
        <v>6.3619190950316184E-4</v>
      </c>
      <c r="Q232" s="103">
        <f t="shared" si="288"/>
        <v>4.7978342886254043E-4</v>
      </c>
      <c r="R232" s="103">
        <f t="shared" si="288"/>
        <v>3.0351033170052029E-4</v>
      </c>
      <c r="S232" s="103">
        <f t="shared" si="288"/>
        <v>2.4450474411799508E-4</v>
      </c>
      <c r="T232" s="103">
        <f t="shared" si="288"/>
        <v>2.2842184600555757E-4</v>
      </c>
      <c r="U232" s="103">
        <f t="shared" si="288"/>
        <v>2.0945810150911097E-4</v>
      </c>
      <c r="V232" s="103">
        <f t="shared" si="288"/>
        <v>1.8131863679932754E-4</v>
      </c>
      <c r="W232" s="103">
        <f t="shared" ref="W232" si="289">IF(W14=0,0,W14/W$4)</f>
        <v>1.5712296052904819E-4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0.27549920445391263</v>
      </c>
      <c r="C233" s="103">
        <f t="shared" si="290"/>
        <v>0.27475113793181227</v>
      </c>
      <c r="D233" s="103">
        <f t="shared" si="290"/>
        <v>0.2775261637979724</v>
      </c>
      <c r="E233" s="103">
        <f t="shared" si="290"/>
        <v>0.27070522142680931</v>
      </c>
      <c r="F233" s="103">
        <f t="shared" si="290"/>
        <v>0.25942202148680277</v>
      </c>
      <c r="G233" s="103">
        <f t="shared" si="290"/>
        <v>0.25628478287377826</v>
      </c>
      <c r="H233" s="103">
        <f t="shared" si="290"/>
        <v>0.2478317985276807</v>
      </c>
      <c r="I233" s="103">
        <f t="shared" si="290"/>
        <v>0.23511289668793997</v>
      </c>
      <c r="J233" s="103">
        <f t="shared" si="290"/>
        <v>0.24074090178048393</v>
      </c>
      <c r="K233" s="103">
        <f t="shared" si="290"/>
        <v>0.22565652499199843</v>
      </c>
      <c r="L233" s="103">
        <f t="shared" ref="L233" si="291">IF(L15=0,0,L15/L$4)</f>
        <v>0.23425134790003038</v>
      </c>
      <c r="M233" s="103">
        <f t="shared" ref="M233:V233" si="292">IF(M15=0,0,M15/M$4)</f>
        <v>0.23587539659984202</v>
      </c>
      <c r="N233" s="103">
        <f t="shared" si="292"/>
        <v>0.2441361562908845</v>
      </c>
      <c r="O233" s="103">
        <f t="shared" si="292"/>
        <v>0.24530264743621125</v>
      </c>
      <c r="P233" s="103">
        <f t="shared" si="292"/>
        <v>0.24711869067371806</v>
      </c>
      <c r="Q233" s="103">
        <f t="shared" si="292"/>
        <v>0.24058135292812874</v>
      </c>
      <c r="R233" s="103">
        <f t="shared" si="292"/>
        <v>0.23228497261426673</v>
      </c>
      <c r="S233" s="103">
        <f t="shared" si="292"/>
        <v>0.22473299957276868</v>
      </c>
      <c r="T233" s="103">
        <f t="shared" si="292"/>
        <v>0.22079473274244826</v>
      </c>
      <c r="U233" s="103">
        <f t="shared" si="292"/>
        <v>0.21239437767012537</v>
      </c>
      <c r="V233" s="103">
        <f t="shared" si="292"/>
        <v>0.15743685273353347</v>
      </c>
      <c r="W233" s="103">
        <f t="shared" ref="W233" si="293">IF(W15=0,0,W15/W$4)</f>
        <v>0.14823362298912704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8.4092790351090957E-6</v>
      </c>
      <c r="Q234" s="103">
        <f t="shared" si="296"/>
        <v>8.2878963623704592E-6</v>
      </c>
      <c r="R234" s="103">
        <f t="shared" si="296"/>
        <v>1.5501876672659278E-5</v>
      </c>
      <c r="S234" s="103">
        <f t="shared" si="296"/>
        <v>1.4556136782086025E-5</v>
      </c>
      <c r="T234" s="103">
        <f t="shared" si="296"/>
        <v>1.3730845296276725E-5</v>
      </c>
      <c r="U234" s="103">
        <f t="shared" si="296"/>
        <v>1.2714628023373151E-5</v>
      </c>
      <c r="V234" s="103">
        <f t="shared" si="296"/>
        <v>1.0589889826288102E-5</v>
      </c>
      <c r="W234" s="103">
        <f t="shared" ref="W234" si="297">IF(W16=0,0,W16/W$4)</f>
        <v>9.353594403779852E-6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1.5914500454951041E-3</v>
      </c>
      <c r="C235" s="103">
        <f t="shared" si="298"/>
        <v>1.7070665777718893E-3</v>
      </c>
      <c r="D235" s="103">
        <f t="shared" si="298"/>
        <v>1.8156695277408779E-3</v>
      </c>
      <c r="E235" s="103">
        <f t="shared" si="298"/>
        <v>1.8803957984885229E-3</v>
      </c>
      <c r="F235" s="103">
        <f t="shared" si="298"/>
        <v>1.8662531401343438E-3</v>
      </c>
      <c r="G235" s="103">
        <f t="shared" si="298"/>
        <v>2.151217313671505E-3</v>
      </c>
      <c r="H235" s="103">
        <f t="shared" si="298"/>
        <v>1.8858870797314538E-3</v>
      </c>
      <c r="I235" s="103">
        <f t="shared" si="298"/>
        <v>1.4651753132020925E-3</v>
      </c>
      <c r="J235" s="103">
        <f t="shared" si="298"/>
        <v>1.2234845248393796E-3</v>
      </c>
      <c r="K235" s="103">
        <f t="shared" si="298"/>
        <v>1.1357620276603686E-3</v>
      </c>
      <c r="L235" s="103">
        <f t="shared" ref="L235" si="299">IF(L17=0,0,L17/L$4)</f>
        <v>7.7855503933512609E-4</v>
      </c>
      <c r="M235" s="103">
        <f t="shared" ref="M235:V235" si="300">IF(M17=0,0,M17/M$4)</f>
        <v>6.137341424749729E-4</v>
      </c>
      <c r="N235" s="103">
        <f t="shared" si="300"/>
        <v>9.4529665988903663E-4</v>
      </c>
      <c r="O235" s="103">
        <f t="shared" si="300"/>
        <v>5.5182239359819732E-4</v>
      </c>
      <c r="P235" s="103">
        <f t="shared" si="300"/>
        <v>8.2948974904298192E-4</v>
      </c>
      <c r="Q235" s="103">
        <f t="shared" si="300"/>
        <v>2.7183216413483426E-3</v>
      </c>
      <c r="R235" s="103">
        <f t="shared" si="300"/>
        <v>4.5219351569488198E-3</v>
      </c>
      <c r="S235" s="103">
        <f t="shared" si="300"/>
        <v>4.9303306634416689E-3</v>
      </c>
      <c r="T235" s="103">
        <f t="shared" si="300"/>
        <v>4.8176138279792044E-3</v>
      </c>
      <c r="U235" s="103">
        <f t="shared" si="300"/>
        <v>4.3346912595670136E-3</v>
      </c>
      <c r="V235" s="103">
        <f t="shared" si="300"/>
        <v>3.3837386691831293E-3</v>
      </c>
      <c r="W235" s="103">
        <f t="shared" ref="W235" si="301">IF(W17=0,0,W17/W$4)</f>
        <v>2.7187209911787133E-3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4.8207670412941678E-3</v>
      </c>
      <c r="C236" s="103">
        <f t="shared" si="302"/>
        <v>4.655529703761597E-3</v>
      </c>
      <c r="D236" s="103">
        <f t="shared" si="302"/>
        <v>4.6828633434611725E-3</v>
      </c>
      <c r="E236" s="103">
        <f t="shared" si="302"/>
        <v>4.6023359031433309E-3</v>
      </c>
      <c r="F236" s="103">
        <f t="shared" si="302"/>
        <v>4.4666761352217142E-3</v>
      </c>
      <c r="G236" s="103">
        <f t="shared" si="302"/>
        <v>2.4863039062103963E-3</v>
      </c>
      <c r="H236" s="103">
        <f t="shared" si="302"/>
        <v>1.8466837027497002E-3</v>
      </c>
      <c r="I236" s="103">
        <f t="shared" si="302"/>
        <v>1.4144971950590744E-3</v>
      </c>
      <c r="J236" s="103">
        <f t="shared" si="302"/>
        <v>1.2628577376796481E-3</v>
      </c>
      <c r="K236" s="103">
        <f t="shared" si="302"/>
        <v>9.6679841900400938E-4</v>
      </c>
      <c r="L236" s="103">
        <f t="shared" ref="L236" si="303">IF(L18=0,0,L18/L$4)</f>
        <v>7.6696180126618625E-4</v>
      </c>
      <c r="M236" s="103">
        <f t="shared" ref="M236:V236" si="304">IF(M18=0,0,M18/M$4)</f>
        <v>5.9195462453424301E-4</v>
      </c>
      <c r="N236" s="103">
        <f t="shared" si="304"/>
        <v>4.5337077969374422E-4</v>
      </c>
      <c r="O236" s="103">
        <f t="shared" si="304"/>
        <v>3.4081963911469017E-4</v>
      </c>
      <c r="P236" s="103">
        <f t="shared" si="304"/>
        <v>2.5473548548668581E-4</v>
      </c>
      <c r="Q236" s="103">
        <f t="shared" si="304"/>
        <v>5.1374089826689787E-4</v>
      </c>
      <c r="R236" s="103">
        <f t="shared" si="304"/>
        <v>5.1574171153275178E-4</v>
      </c>
      <c r="S236" s="103">
        <f t="shared" si="304"/>
        <v>4.6386947244234702E-4</v>
      </c>
      <c r="T236" s="103">
        <f t="shared" si="304"/>
        <v>4.619617521628216E-4</v>
      </c>
      <c r="U236" s="103">
        <f t="shared" si="304"/>
        <v>4.411823719982417E-4</v>
      </c>
      <c r="V236" s="103">
        <f t="shared" si="304"/>
        <v>6.1626477183798496E-4</v>
      </c>
      <c r="W236" s="103">
        <f t="shared" ref="W236" si="305">IF(W18=0,0,W18/W$4)</f>
        <v>1.0335046158758735E-3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2.5582730621476691E-2</v>
      </c>
      <c r="C238" s="154">
        <f t="shared" si="310"/>
        <v>2.6667760515402691E-2</v>
      </c>
      <c r="D238" s="154">
        <f t="shared" si="310"/>
        <v>2.8792789808311174E-2</v>
      </c>
      <c r="E238" s="154">
        <f t="shared" si="310"/>
        <v>3.0497834662881723E-2</v>
      </c>
      <c r="F238" s="154">
        <f t="shared" si="310"/>
        <v>2.8662578306975547E-2</v>
      </c>
      <c r="G238" s="154">
        <f t="shared" si="310"/>
        <v>2.8870903139442444E-2</v>
      </c>
      <c r="H238" s="154">
        <f t="shared" si="310"/>
        <v>2.6622680309483907E-2</v>
      </c>
      <c r="I238" s="154">
        <f t="shared" si="310"/>
        <v>2.6003960012925438E-2</v>
      </c>
      <c r="J238" s="154">
        <f t="shared" si="310"/>
        <v>2.7482522725769881E-2</v>
      </c>
      <c r="K238" s="154">
        <f t="shared" si="310"/>
        <v>3.82815184006952E-2</v>
      </c>
      <c r="L238" s="154">
        <f t="shared" ref="L238" si="311">IF(L20=0,0,L20/L$19)</f>
        <v>3.4457762067385614E-2</v>
      </c>
      <c r="M238" s="154">
        <f t="shared" ref="M238:V238" si="312">IF(M20=0,0,M20/M$19)</f>
        <v>3.6679394433450266E-2</v>
      </c>
      <c r="N238" s="154">
        <f t="shared" si="312"/>
        <v>4.0386719922208443E-2</v>
      </c>
      <c r="O238" s="154">
        <f t="shared" si="312"/>
        <v>4.1947859516411216E-2</v>
      </c>
      <c r="P238" s="154">
        <f t="shared" si="312"/>
        <v>4.1701868412276272E-2</v>
      </c>
      <c r="Q238" s="154">
        <f t="shared" si="312"/>
        <v>4.0661549688243155E-2</v>
      </c>
      <c r="R238" s="154">
        <f t="shared" si="312"/>
        <v>3.9253347570170967E-2</v>
      </c>
      <c r="S238" s="154">
        <f t="shared" si="312"/>
        <v>3.925212485760389E-2</v>
      </c>
      <c r="T238" s="154">
        <f t="shared" si="312"/>
        <v>3.9904220589816942E-2</v>
      </c>
      <c r="U238" s="154">
        <f t="shared" si="312"/>
        <v>4.1403439001380375E-2</v>
      </c>
      <c r="V238" s="154">
        <f t="shared" si="312"/>
        <v>4.5442556043040275E-2</v>
      </c>
      <c r="W238" s="154">
        <f t="shared" ref="W238" si="313">IF(W20=0,0,W20/W$19)</f>
        <v>4.1989795484195465E-2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6.6181826540081959E-3</v>
      </c>
      <c r="C239" s="103">
        <f t="shared" si="314"/>
        <v>6.0404223211479946E-3</v>
      </c>
      <c r="D239" s="103">
        <f t="shared" si="314"/>
        <v>5.4534784030285822E-3</v>
      </c>
      <c r="E239" s="103">
        <f t="shared" si="314"/>
        <v>4.9743891056720866E-3</v>
      </c>
      <c r="F239" s="103">
        <f t="shared" si="314"/>
        <v>4.1291662957988568E-3</v>
      </c>
      <c r="G239" s="103">
        <f t="shared" si="314"/>
        <v>3.5948164888020859E-3</v>
      </c>
      <c r="H239" s="103">
        <f t="shared" si="314"/>
        <v>2.9771262709391792E-3</v>
      </c>
      <c r="I239" s="103">
        <f t="shared" si="314"/>
        <v>2.4660539600082688E-3</v>
      </c>
      <c r="J239" s="103">
        <f t="shared" si="314"/>
        <v>1.9388670719933591E-3</v>
      </c>
      <c r="K239" s="103">
        <f t="shared" si="314"/>
        <v>2.1131275577996591E-3</v>
      </c>
      <c r="L239" s="103">
        <f t="shared" ref="L239" si="315">IF(L21=0,0,L21/L$19)</f>
        <v>2.0096817776110837E-3</v>
      </c>
      <c r="M239" s="103">
        <f t="shared" ref="M239:V239" si="316">IF(M21=0,0,M21/M$19)</f>
        <v>1.7989333196667054E-3</v>
      </c>
      <c r="N239" s="103">
        <f t="shared" si="316"/>
        <v>1.824120190499947E-3</v>
      </c>
      <c r="O239" s="103">
        <f t="shared" si="316"/>
        <v>1.7130884612416891E-3</v>
      </c>
      <c r="P239" s="103">
        <f t="shared" si="316"/>
        <v>1.5252473658963035E-3</v>
      </c>
      <c r="Q239" s="103">
        <f t="shared" si="316"/>
        <v>1.2945113805732658E-3</v>
      </c>
      <c r="R239" s="103">
        <f t="shared" si="316"/>
        <v>1.108470301659678E-3</v>
      </c>
      <c r="S239" s="103">
        <f t="shared" si="316"/>
        <v>1.0162153737528327E-3</v>
      </c>
      <c r="T239" s="103">
        <f t="shared" si="316"/>
        <v>9.5956624747426734E-4</v>
      </c>
      <c r="U239" s="103">
        <f t="shared" si="316"/>
        <v>9.2912066043644964E-4</v>
      </c>
      <c r="V239" s="103">
        <f t="shared" si="316"/>
        <v>9.3104643240696076E-4</v>
      </c>
      <c r="W239" s="103">
        <f t="shared" ref="W239" si="317">IF(W21=0,0,W21/W$19)</f>
        <v>8.0046577615723439E-4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1.8964104854588583E-2</v>
      </c>
      <c r="C240" s="103">
        <f t="shared" si="318"/>
        <v>2.0615583800955989E-2</v>
      </c>
      <c r="D240" s="103">
        <f t="shared" si="318"/>
        <v>2.3328082238638647E-2</v>
      </c>
      <c r="E240" s="103">
        <f t="shared" si="318"/>
        <v>2.5512148914521866E-2</v>
      </c>
      <c r="F240" s="103">
        <f t="shared" si="318"/>
        <v>2.4523227400074683E-2</v>
      </c>
      <c r="G240" s="103">
        <f t="shared" si="318"/>
        <v>2.5266584829683327E-2</v>
      </c>
      <c r="H240" s="103">
        <f t="shared" si="318"/>
        <v>2.3637041870912427E-2</v>
      </c>
      <c r="I240" s="103">
        <f t="shared" si="318"/>
        <v>2.3530332397384293E-2</v>
      </c>
      <c r="J240" s="103">
        <f t="shared" si="318"/>
        <v>2.5536747543561063E-2</v>
      </c>
      <c r="K240" s="103">
        <f t="shared" si="318"/>
        <v>3.6160611245245042E-2</v>
      </c>
      <c r="L240" s="103">
        <f t="shared" ref="L240" si="319">IF(L22=0,0,L22/L$19)</f>
        <v>3.244052348465188E-2</v>
      </c>
      <c r="M240" s="103">
        <f t="shared" ref="M240:V240" si="320">IF(M22=0,0,M22/M$19)</f>
        <v>3.487353775873922E-2</v>
      </c>
      <c r="N240" s="103">
        <f t="shared" si="320"/>
        <v>3.8555694589464104E-2</v>
      </c>
      <c r="O240" s="103">
        <f t="shared" si="320"/>
        <v>4.0223124553047121E-2</v>
      </c>
      <c r="P240" s="103">
        <f t="shared" si="320"/>
        <v>4.0164555955070617E-2</v>
      </c>
      <c r="Q240" s="103">
        <f t="shared" si="320"/>
        <v>3.9336793532513716E-2</v>
      </c>
      <c r="R240" s="103">
        <f t="shared" si="320"/>
        <v>3.8114455091192906E-2</v>
      </c>
      <c r="S240" s="103">
        <f t="shared" si="320"/>
        <v>3.819957538760637E-2</v>
      </c>
      <c r="T240" s="103">
        <f t="shared" si="320"/>
        <v>3.8898454403976247E-2</v>
      </c>
      <c r="U240" s="103">
        <f t="shared" si="320"/>
        <v>4.0423813703722451E-2</v>
      </c>
      <c r="V240" s="103">
        <f t="shared" si="320"/>
        <v>4.4448696042246189E-2</v>
      </c>
      <c r="W240" s="103">
        <f t="shared" ref="W240" si="321">IF(W22=0,0,W22/W$19)</f>
        <v>4.1118841661484745E-2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1.1317293453579845E-5</v>
      </c>
      <c r="D241" s="103">
        <f t="shared" si="322"/>
        <v>1.0789308358790697E-5</v>
      </c>
      <c r="E241" s="103">
        <f t="shared" si="322"/>
        <v>1.0849804577830296E-5</v>
      </c>
      <c r="F241" s="103">
        <f t="shared" si="322"/>
        <v>9.7737052099205747E-6</v>
      </c>
      <c r="G241" s="103">
        <f t="shared" si="322"/>
        <v>9.1623188456636029E-6</v>
      </c>
      <c r="H241" s="103">
        <f t="shared" si="322"/>
        <v>8.2006836405606901E-6</v>
      </c>
      <c r="I241" s="103">
        <f t="shared" si="322"/>
        <v>7.2847314330225327E-6</v>
      </c>
      <c r="J241" s="103">
        <f t="shared" si="322"/>
        <v>6.6770306207937727E-6</v>
      </c>
      <c r="K241" s="103">
        <f t="shared" si="322"/>
        <v>7.5014623735529904E-6</v>
      </c>
      <c r="L241" s="103">
        <f t="shared" ref="L241" si="323">IF(L23=0,0,L23/L$19)</f>
        <v>7.3226055511348963E-6</v>
      </c>
      <c r="M241" s="103">
        <f t="shared" ref="M241:V241" si="324">IF(M23=0,0,M23/M$19)</f>
        <v>6.6872351356351944E-6</v>
      </c>
      <c r="N241" s="103">
        <f t="shared" si="324"/>
        <v>6.4663158007737561E-6</v>
      </c>
      <c r="O241" s="103">
        <f t="shared" si="324"/>
        <v>5.6100079137468356E-6</v>
      </c>
      <c r="P241" s="103">
        <f t="shared" si="324"/>
        <v>4.684487483645984E-6</v>
      </c>
      <c r="Q241" s="103">
        <f t="shared" si="324"/>
        <v>3.9590194458200997E-6</v>
      </c>
      <c r="R241" s="103">
        <f t="shared" si="324"/>
        <v>3.0042470935441247E-6</v>
      </c>
      <c r="S241" s="103">
        <f t="shared" si="324"/>
        <v>2.2746178403567814E-6</v>
      </c>
      <c r="T241" s="103">
        <f t="shared" si="324"/>
        <v>1.7765383193077212E-6</v>
      </c>
      <c r="U241" s="103">
        <f t="shared" si="324"/>
        <v>1.3073896354146639E-6</v>
      </c>
      <c r="V241" s="103">
        <f t="shared" si="324"/>
        <v>1.1943237986739821E-6</v>
      </c>
      <c r="W241" s="103">
        <f t="shared" ref="W241" si="325">IF(W23=0,0,W23/W$19)</f>
        <v>8.6181902735820953E-7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4.4311287991398462E-7</v>
      </c>
      <c r="C242" s="103">
        <f t="shared" si="326"/>
        <v>4.3709984512457116E-7</v>
      </c>
      <c r="D242" s="103">
        <f t="shared" si="326"/>
        <v>4.3985828515681009E-7</v>
      </c>
      <c r="E242" s="103">
        <f t="shared" si="326"/>
        <v>4.468381099420987E-7</v>
      </c>
      <c r="F242" s="103">
        <f t="shared" si="326"/>
        <v>4.1090589208771571E-7</v>
      </c>
      <c r="G242" s="103">
        <f t="shared" si="326"/>
        <v>3.3950211136725641E-7</v>
      </c>
      <c r="H242" s="103">
        <f t="shared" si="326"/>
        <v>3.1148399174026291E-7</v>
      </c>
      <c r="I242" s="103">
        <f t="shared" si="326"/>
        <v>2.8892409985332086E-7</v>
      </c>
      <c r="J242" s="103">
        <f t="shared" si="326"/>
        <v>2.3107959466084792E-7</v>
      </c>
      <c r="K242" s="103">
        <f t="shared" si="326"/>
        <v>2.7813527694667588E-7</v>
      </c>
      <c r="L242" s="103">
        <f t="shared" ref="L242" si="327">IF(L24=0,0,L24/L$19)</f>
        <v>2.341995715096247E-7</v>
      </c>
      <c r="M242" s="103">
        <f t="shared" ref="M242:V242" si="328">IF(M24=0,0,M24/M$19)</f>
        <v>2.3611990870936943E-7</v>
      </c>
      <c r="N242" s="103">
        <f t="shared" si="328"/>
        <v>4.3882644361807923E-7</v>
      </c>
      <c r="O242" s="103">
        <f t="shared" si="328"/>
        <v>4.8094566950837288E-6</v>
      </c>
      <c r="P242" s="103">
        <f t="shared" si="328"/>
        <v>6.1375097491389013E-6</v>
      </c>
      <c r="Q242" s="103">
        <f t="shared" si="328"/>
        <v>2.4002915311160533E-5</v>
      </c>
      <c r="R242" s="103">
        <f t="shared" si="328"/>
        <v>2.2877766056611379E-5</v>
      </c>
      <c r="S242" s="103">
        <f t="shared" si="328"/>
        <v>2.5461158024899558E-5</v>
      </c>
      <c r="T242" s="103">
        <f t="shared" si="328"/>
        <v>2.7694814674880822E-5</v>
      </c>
      <c r="U242" s="103">
        <f t="shared" si="328"/>
        <v>2.7726461984239928E-5</v>
      </c>
      <c r="V242" s="103">
        <f t="shared" si="328"/>
        <v>2.9651328424475967E-5</v>
      </c>
      <c r="W242" s="103">
        <f t="shared" ref="W242" si="329">IF(W24=0,0,W24/W$19)</f>
        <v>2.6257911893683858E-5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0</v>
      </c>
      <c r="O243" s="103">
        <f t="shared" si="332"/>
        <v>1.2270375135718911E-6</v>
      </c>
      <c r="P243" s="103">
        <f t="shared" si="332"/>
        <v>1.24309407656592E-6</v>
      </c>
      <c r="Q243" s="103">
        <f t="shared" si="332"/>
        <v>2.2828403991960048E-6</v>
      </c>
      <c r="R243" s="103">
        <f t="shared" si="332"/>
        <v>4.5401641682271579E-6</v>
      </c>
      <c r="S243" s="103">
        <f t="shared" si="332"/>
        <v>8.5983203794232148E-6</v>
      </c>
      <c r="T243" s="103">
        <f t="shared" si="332"/>
        <v>1.6728585372227439E-5</v>
      </c>
      <c r="U243" s="103">
        <f t="shared" si="332"/>
        <v>2.1470785601813226E-5</v>
      </c>
      <c r="V243" s="103">
        <f t="shared" si="332"/>
        <v>3.1967916163979209E-5</v>
      </c>
      <c r="W243" s="103">
        <f t="shared" ref="W243" si="333">IF(W25=0,0,W25/W$19)</f>
        <v>4.3368315632445272E-5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0.97441726937852335</v>
      </c>
      <c r="C244" s="156">
        <f t="shared" si="334"/>
        <v>0.97333223948459724</v>
      </c>
      <c r="D244" s="156">
        <f t="shared" si="334"/>
        <v>0.97120721019168887</v>
      </c>
      <c r="E244" s="156">
        <f t="shared" si="334"/>
        <v>0.96950216533711819</v>
      </c>
      <c r="F244" s="156">
        <f t="shared" si="334"/>
        <v>0.97133742169302451</v>
      </c>
      <c r="G244" s="156">
        <f t="shared" si="334"/>
        <v>0.97112909686055759</v>
      </c>
      <c r="H244" s="156">
        <f t="shared" si="334"/>
        <v>0.97337731969051611</v>
      </c>
      <c r="I244" s="156">
        <f t="shared" si="334"/>
        <v>0.97399603998707462</v>
      </c>
      <c r="J244" s="156">
        <f t="shared" si="334"/>
        <v>0.9725174772742301</v>
      </c>
      <c r="K244" s="156">
        <f t="shared" si="334"/>
        <v>0.96171848159930484</v>
      </c>
      <c r="L244" s="156">
        <f t="shared" ref="L244" si="335">IF(L26=0,0,L26/L$19)</f>
        <v>0.9655422379326144</v>
      </c>
      <c r="M244" s="156">
        <f t="shared" ref="M244:V244" si="336">IF(M26=0,0,M26/M$19)</f>
        <v>0.96332060556654975</v>
      </c>
      <c r="N244" s="156">
        <f t="shared" si="336"/>
        <v>0.95961328007779145</v>
      </c>
      <c r="O244" s="156">
        <f t="shared" si="336"/>
        <v>0.95805214048358867</v>
      </c>
      <c r="P244" s="156">
        <f t="shared" si="336"/>
        <v>0.9582981315877237</v>
      </c>
      <c r="Q244" s="156">
        <f t="shared" si="336"/>
        <v>0.95933845031175691</v>
      </c>
      <c r="R244" s="156">
        <f t="shared" si="336"/>
        <v>0.96074665242982915</v>
      </c>
      <c r="S244" s="156">
        <f t="shared" si="336"/>
        <v>0.96074787514239612</v>
      </c>
      <c r="T244" s="156">
        <f t="shared" si="336"/>
        <v>0.96009577941018309</v>
      </c>
      <c r="U244" s="156">
        <f t="shared" si="336"/>
        <v>0.95859656099861967</v>
      </c>
      <c r="V244" s="156">
        <f t="shared" si="336"/>
        <v>0.95455744395695974</v>
      </c>
      <c r="W244" s="156">
        <f t="shared" ref="W244" si="337">IF(W26=0,0,W26/W$19)</f>
        <v>0.95801020451580454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0.59318683644619419</v>
      </c>
      <c r="C245" s="103">
        <f t="shared" si="338"/>
        <v>0.5703798181465316</v>
      </c>
      <c r="D245" s="103">
        <f t="shared" si="338"/>
        <v>0.5416893661191392</v>
      </c>
      <c r="E245" s="103">
        <f t="shared" si="338"/>
        <v>0.52600812709360034</v>
      </c>
      <c r="F245" s="103">
        <f t="shared" si="338"/>
        <v>0.49780029447456126</v>
      </c>
      <c r="G245" s="103">
        <f t="shared" si="338"/>
        <v>0.49822744954729986</v>
      </c>
      <c r="H245" s="103">
        <f t="shared" si="338"/>
        <v>0.49863470922991798</v>
      </c>
      <c r="I245" s="103">
        <f t="shared" si="338"/>
        <v>0.49099142979157262</v>
      </c>
      <c r="J245" s="103">
        <f t="shared" si="338"/>
        <v>0.46624425357028954</v>
      </c>
      <c r="K245" s="103">
        <f t="shared" si="338"/>
        <v>0.52387326587629346</v>
      </c>
      <c r="L245" s="103">
        <f t="shared" ref="L245" si="339">IF(L27=0,0,L27/L$19)</f>
        <v>0.51345670044340364</v>
      </c>
      <c r="M245" s="103">
        <f t="shared" ref="M245:V245" si="340">IF(M27=0,0,M27/M$19)</f>
        <v>0.48153545702016542</v>
      </c>
      <c r="N245" s="103">
        <f t="shared" si="340"/>
        <v>0.44588317780571624</v>
      </c>
      <c r="O245" s="103">
        <f t="shared" si="340"/>
        <v>0.44182388650123666</v>
      </c>
      <c r="P245" s="103">
        <f t="shared" si="340"/>
        <v>0.44485630685004973</v>
      </c>
      <c r="Q245" s="103">
        <f t="shared" si="340"/>
        <v>0.44933915141227426</v>
      </c>
      <c r="R245" s="103">
        <f t="shared" si="340"/>
        <v>0.46286934781023475</v>
      </c>
      <c r="S245" s="103">
        <f t="shared" si="340"/>
        <v>0.44438224573357188</v>
      </c>
      <c r="T245" s="103">
        <f t="shared" si="340"/>
        <v>0.46158998077362445</v>
      </c>
      <c r="U245" s="103">
        <f t="shared" si="340"/>
        <v>0.46316938111220135</v>
      </c>
      <c r="V245" s="103">
        <f t="shared" si="340"/>
        <v>0.46823087040037004</v>
      </c>
      <c r="W245" s="103">
        <f t="shared" ref="W245" si="341">IF(W27=0,0,W27/W$19)</f>
        <v>0.47626572032343933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0.38123043293232917</v>
      </c>
      <c r="C246" s="105">
        <f t="shared" si="342"/>
        <v>0.40295242133806564</v>
      </c>
      <c r="D246" s="105">
        <f t="shared" si="342"/>
        <v>0.42951784407254961</v>
      </c>
      <c r="E246" s="105">
        <f t="shared" si="342"/>
        <v>0.44349403824351796</v>
      </c>
      <c r="F246" s="105">
        <f t="shared" si="342"/>
        <v>0.47353712721846319</v>
      </c>
      <c r="G246" s="105">
        <f t="shared" si="342"/>
        <v>0.47290164731325773</v>
      </c>
      <c r="H246" s="105">
        <f t="shared" si="342"/>
        <v>0.47474261046059807</v>
      </c>
      <c r="I246" s="105">
        <f t="shared" si="342"/>
        <v>0.48300461019550195</v>
      </c>
      <c r="J246" s="105">
        <f t="shared" si="342"/>
        <v>0.50627322370394057</v>
      </c>
      <c r="K246" s="105">
        <f t="shared" si="342"/>
        <v>0.43784521572301138</v>
      </c>
      <c r="L246" s="105">
        <f t="shared" ref="L246" si="343">IF(L28=0,0,L28/L$19)</f>
        <v>0.45208553748921076</v>
      </c>
      <c r="M246" s="105">
        <f t="shared" ref="M246:V246" si="344">IF(M28=0,0,M28/M$19)</f>
        <v>0.48178514854638432</v>
      </c>
      <c r="N246" s="105">
        <f t="shared" si="344"/>
        <v>0.51373010227207527</v>
      </c>
      <c r="O246" s="105">
        <f t="shared" si="344"/>
        <v>0.51622825398235206</v>
      </c>
      <c r="P246" s="105">
        <f t="shared" si="344"/>
        <v>0.51344182473767397</v>
      </c>
      <c r="Q246" s="105">
        <f t="shared" si="344"/>
        <v>0.50999929889948259</v>
      </c>
      <c r="R246" s="105">
        <f t="shared" si="344"/>
        <v>0.49787730461959445</v>
      </c>
      <c r="S246" s="105">
        <f t="shared" si="344"/>
        <v>0.51636562940882413</v>
      </c>
      <c r="T246" s="105">
        <f t="shared" si="344"/>
        <v>0.49850579863655858</v>
      </c>
      <c r="U246" s="105">
        <f t="shared" si="344"/>
        <v>0.49542717988641832</v>
      </c>
      <c r="V246" s="105">
        <f t="shared" si="344"/>
        <v>0.48632657355658965</v>
      </c>
      <c r="W246" s="105">
        <f t="shared" ref="W246" si="345">IF(W28=0,0,W28/W$19)</f>
        <v>0.4817444841923651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1.1852100864018876E-2</v>
      </c>
      <c r="C250" s="154">
        <f t="shared" si="350"/>
        <v>1.1279865347241076E-2</v>
      </c>
      <c r="D250" s="154">
        <f t="shared" si="350"/>
        <v>1.1198936099721701E-2</v>
      </c>
      <c r="E250" s="154">
        <f t="shared" si="350"/>
        <v>1.1242671009369662E-2</v>
      </c>
      <c r="F250" s="154">
        <f t="shared" si="350"/>
        <v>1.1837804482404323E-2</v>
      </c>
      <c r="G250" s="154">
        <f t="shared" si="350"/>
        <v>1.1864774510346921E-2</v>
      </c>
      <c r="H250" s="154">
        <f t="shared" si="350"/>
        <v>1.2256358886171676E-2</v>
      </c>
      <c r="I250" s="154">
        <f t="shared" si="350"/>
        <v>1.2101969512609938E-2</v>
      </c>
      <c r="J250" s="154">
        <f t="shared" si="350"/>
        <v>1.229165569084989E-2</v>
      </c>
      <c r="K250" s="154">
        <f t="shared" si="350"/>
        <v>1.1370555556879823E-2</v>
      </c>
      <c r="L250" s="154">
        <f t="shared" ref="L250" si="351">IF(L32=0,0,L32/L$31)</f>
        <v>1.257183234013428E-2</v>
      </c>
      <c r="M250" s="154">
        <f t="shared" ref="M250:V250" si="352">IF(M32=0,0,M32/M$31)</f>
        <v>1.4324998628947636E-2</v>
      </c>
      <c r="N250" s="154">
        <f t="shared" si="352"/>
        <v>1.4470019336383021E-2</v>
      </c>
      <c r="O250" s="154">
        <f t="shared" si="352"/>
        <v>1.5331860663105766E-2</v>
      </c>
      <c r="P250" s="154">
        <f t="shared" si="352"/>
        <v>1.4993843968514615E-2</v>
      </c>
      <c r="Q250" s="154">
        <f t="shared" si="352"/>
        <v>1.4119815504258929E-2</v>
      </c>
      <c r="R250" s="154">
        <f t="shared" si="352"/>
        <v>1.3445755720926813E-2</v>
      </c>
      <c r="S250" s="154">
        <f t="shared" si="352"/>
        <v>1.3367390263863266E-2</v>
      </c>
      <c r="T250" s="154">
        <f t="shared" si="352"/>
        <v>1.2906355061300358E-2</v>
      </c>
      <c r="U250" s="154">
        <f t="shared" si="352"/>
        <v>1.1794063612455273E-2</v>
      </c>
      <c r="V250" s="154">
        <f t="shared" si="352"/>
        <v>1.1414063330911065E-2</v>
      </c>
      <c r="W250" s="154">
        <f t="shared" ref="W250" si="353">IF(W32=0,0,W32/W$31)</f>
        <v>1.1102065818101714E-2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0.95498648437958211</v>
      </c>
      <c r="C251" s="156">
        <f t="shared" si="354"/>
        <v>0.95768738847961798</v>
      </c>
      <c r="D251" s="156">
        <f t="shared" si="354"/>
        <v>0.95938600257967743</v>
      </c>
      <c r="E251" s="156">
        <f t="shared" si="354"/>
        <v>0.96107986385533506</v>
      </c>
      <c r="F251" s="156">
        <f t="shared" si="354"/>
        <v>0.9626214484457849</v>
      </c>
      <c r="G251" s="156">
        <f t="shared" si="354"/>
        <v>0.964655341886</v>
      </c>
      <c r="H251" s="156">
        <f t="shared" si="354"/>
        <v>0.96289149928352968</v>
      </c>
      <c r="I251" s="156">
        <f t="shared" si="354"/>
        <v>0.9638526507474533</v>
      </c>
      <c r="J251" s="156">
        <f t="shared" si="354"/>
        <v>0.96608904614037738</v>
      </c>
      <c r="K251" s="156">
        <f t="shared" si="354"/>
        <v>0.96917336880786609</v>
      </c>
      <c r="L251" s="156">
        <f t="shared" ref="L251" si="355">IF(L33=0,0,L33/L$31)</f>
        <v>0.96599861851434765</v>
      </c>
      <c r="M251" s="156">
        <f t="shared" ref="M251:V251" si="356">IF(M33=0,0,M33/M$31)</f>
        <v>0.96235313761339858</v>
      </c>
      <c r="N251" s="156">
        <f t="shared" si="356"/>
        <v>0.96251237452932692</v>
      </c>
      <c r="O251" s="156">
        <f t="shared" si="356"/>
        <v>0.96054584549563693</v>
      </c>
      <c r="P251" s="156">
        <f t="shared" si="356"/>
        <v>0.96179254190079777</v>
      </c>
      <c r="Q251" s="156">
        <f t="shared" si="356"/>
        <v>0.96407092467197297</v>
      </c>
      <c r="R251" s="156">
        <f t="shared" si="356"/>
        <v>0.96516408807802112</v>
      </c>
      <c r="S251" s="156">
        <f t="shared" si="356"/>
        <v>0.9655763913035772</v>
      </c>
      <c r="T251" s="156">
        <f t="shared" si="356"/>
        <v>0.96751128403684117</v>
      </c>
      <c r="U251" s="156">
        <f t="shared" si="356"/>
        <v>0.97067001973385314</v>
      </c>
      <c r="V251" s="156">
        <f t="shared" si="356"/>
        <v>0.97273064937202647</v>
      </c>
      <c r="W251" s="156">
        <f t="shared" ref="W251" si="357">IF(W33=0,0,W33/W$31)</f>
        <v>0.97300323991645532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0.81944336940855433</v>
      </c>
      <c r="C252" s="103">
        <f t="shared" si="358"/>
        <v>0.81247294123610658</v>
      </c>
      <c r="D252" s="103">
        <f t="shared" si="358"/>
        <v>0.79898423925997542</v>
      </c>
      <c r="E252" s="103">
        <f t="shared" si="358"/>
        <v>0.76581015398458607</v>
      </c>
      <c r="F252" s="103">
        <f t="shared" si="358"/>
        <v>0.74174801892099296</v>
      </c>
      <c r="G252" s="103">
        <f t="shared" si="358"/>
        <v>0.78101076772055744</v>
      </c>
      <c r="H252" s="103">
        <f t="shared" si="358"/>
        <v>0.73004320512726939</v>
      </c>
      <c r="I252" s="103">
        <f t="shared" si="358"/>
        <v>0.71448516863989742</v>
      </c>
      <c r="J252" s="103">
        <f t="shared" si="358"/>
        <v>0.69926665978358971</v>
      </c>
      <c r="K252" s="103">
        <f t="shared" si="358"/>
        <v>0.69815039398712131</v>
      </c>
      <c r="L252" s="103">
        <f t="shared" ref="L252" si="359">IF(L34=0,0,L34/L$31)</f>
        <v>0.66075162403141141</v>
      </c>
      <c r="M252" s="103">
        <f t="shared" ref="M252:V252" si="360">IF(M34=0,0,M34/M$31)</f>
        <v>0.6237942502158198</v>
      </c>
      <c r="N252" s="103">
        <f t="shared" si="360"/>
        <v>0.6102298960914464</v>
      </c>
      <c r="O252" s="103">
        <f t="shared" si="360"/>
        <v>0.58691065522443309</v>
      </c>
      <c r="P252" s="103">
        <f t="shared" si="360"/>
        <v>0.61226180867900259</v>
      </c>
      <c r="Q252" s="103">
        <f t="shared" si="360"/>
        <v>0.59061908714057931</v>
      </c>
      <c r="R252" s="103">
        <f t="shared" si="360"/>
        <v>0.5627791002805328</v>
      </c>
      <c r="S252" s="103">
        <f t="shared" si="360"/>
        <v>0.54622891206967139</v>
      </c>
      <c r="T252" s="103">
        <f t="shared" si="360"/>
        <v>0.53542599376087463</v>
      </c>
      <c r="U252" s="103">
        <f t="shared" si="360"/>
        <v>0.52527139722262206</v>
      </c>
      <c r="V252" s="103">
        <f t="shared" si="360"/>
        <v>0.52698009763196085</v>
      </c>
      <c r="W252" s="103">
        <f t="shared" ref="W252" si="361">IF(W34=0,0,W34/W$31)</f>
        <v>0.51767362536820094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0.13554311497102789</v>
      </c>
      <c r="C253" s="103">
        <f t="shared" si="362"/>
        <v>0.14404984635229048</v>
      </c>
      <c r="D253" s="103">
        <f t="shared" si="362"/>
        <v>0.15928913040419909</v>
      </c>
      <c r="E253" s="103">
        <f t="shared" si="362"/>
        <v>0.17710657971184071</v>
      </c>
      <c r="F253" s="103">
        <f t="shared" si="362"/>
        <v>0.20462664317046667</v>
      </c>
      <c r="G253" s="103">
        <f t="shared" si="362"/>
        <v>0.16776312958657266</v>
      </c>
      <c r="H253" s="103">
        <f t="shared" si="362"/>
        <v>0.21824125046206358</v>
      </c>
      <c r="I253" s="103">
        <f t="shared" si="362"/>
        <v>0.2344970864746595</v>
      </c>
      <c r="J253" s="103">
        <f t="shared" si="362"/>
        <v>0.25302626923783506</v>
      </c>
      <c r="K253" s="103">
        <f t="shared" si="362"/>
        <v>0.25955926166830906</v>
      </c>
      <c r="L253" s="103">
        <f t="shared" ref="L253" si="363">IF(L35=0,0,L35/L$31)</f>
        <v>0.29382699440435978</v>
      </c>
      <c r="M253" s="103">
        <f t="shared" ref="M253:V253" si="364">IF(M35=0,0,M35/M$31)</f>
        <v>0.32649350547245304</v>
      </c>
      <c r="N253" s="103">
        <f t="shared" si="364"/>
        <v>0.33978755379125719</v>
      </c>
      <c r="O253" s="103">
        <f t="shared" si="364"/>
        <v>0.35980491471633619</v>
      </c>
      <c r="P253" s="103">
        <f t="shared" si="364"/>
        <v>0.33478720108130955</v>
      </c>
      <c r="Q253" s="103">
        <f t="shared" si="364"/>
        <v>0.3581223532883297</v>
      </c>
      <c r="R253" s="103">
        <f t="shared" si="364"/>
        <v>0.38720547905257441</v>
      </c>
      <c r="S253" s="103">
        <f t="shared" si="364"/>
        <v>0.40490633853563768</v>
      </c>
      <c r="T253" s="103">
        <f t="shared" si="364"/>
        <v>0.41884241051175131</v>
      </c>
      <c r="U253" s="103">
        <f t="shared" si="364"/>
        <v>0.43353980411939269</v>
      </c>
      <c r="V253" s="103">
        <f t="shared" si="364"/>
        <v>0.43487531042239863</v>
      </c>
      <c r="W253" s="103">
        <f t="shared" ref="W253" si="365">IF(W35=0,0,W35/W$31)</f>
        <v>0.44432858955899229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1.1646008912208979E-3</v>
      </c>
      <c r="D254" s="103">
        <f t="shared" si="366"/>
        <v>1.1126329155030639E-3</v>
      </c>
      <c r="E254" s="103">
        <f t="shared" si="366"/>
        <v>1.8163130158908216E-2</v>
      </c>
      <c r="F254" s="103">
        <f t="shared" si="366"/>
        <v>1.6246786354325273E-2</v>
      </c>
      <c r="G254" s="103">
        <f t="shared" si="366"/>
        <v>1.5881444578869933E-2</v>
      </c>
      <c r="H254" s="103">
        <f t="shared" si="366"/>
        <v>1.4607043694196648E-2</v>
      </c>
      <c r="I254" s="103">
        <f t="shared" si="366"/>
        <v>1.4870395632896457E-2</v>
      </c>
      <c r="J254" s="103">
        <f t="shared" si="366"/>
        <v>1.3796117118952645E-2</v>
      </c>
      <c r="K254" s="103">
        <f t="shared" si="366"/>
        <v>1.1463713152435672E-2</v>
      </c>
      <c r="L254" s="103">
        <f t="shared" ref="L254" si="367">IF(L36=0,0,L36/L$31)</f>
        <v>1.1373683253401006E-2</v>
      </c>
      <c r="M254" s="103">
        <f t="shared" ref="M254:V254" si="368">IF(M36=0,0,M36/M$31)</f>
        <v>1.1923107612082148E-2</v>
      </c>
      <c r="N254" s="103">
        <f t="shared" si="368"/>
        <v>1.2353790830108685E-2</v>
      </c>
      <c r="O254" s="103">
        <f t="shared" si="368"/>
        <v>1.3570899843658585E-2</v>
      </c>
      <c r="P254" s="103">
        <f t="shared" si="368"/>
        <v>1.4408591979853679E-2</v>
      </c>
      <c r="Q254" s="103">
        <f t="shared" si="368"/>
        <v>1.467947528854624E-2</v>
      </c>
      <c r="R254" s="103">
        <f t="shared" si="368"/>
        <v>1.4415590188380728E-2</v>
      </c>
      <c r="S254" s="103">
        <f t="shared" si="368"/>
        <v>1.3333285942945467E-2</v>
      </c>
      <c r="T254" s="103">
        <f t="shared" si="368"/>
        <v>1.1625699088555512E-2</v>
      </c>
      <c r="U254" s="103">
        <f t="shared" si="368"/>
        <v>9.672935466890964E-3</v>
      </c>
      <c r="V254" s="103">
        <f t="shared" si="368"/>
        <v>7.3730107339535994E-3</v>
      </c>
      <c r="W254" s="103">
        <f t="shared" ref="W254" si="369">IF(W36=0,0,W36/W$31)</f>
        <v>5.086025895936268E-3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5.8351514280227655E-7</v>
      </c>
      <c r="M255" s="103">
        <f t="shared" ref="M255:V255" si="372">IF(M37=0,0,M37/M$31)</f>
        <v>1.0210251506510122E-6</v>
      </c>
      <c r="N255" s="103">
        <f t="shared" si="372"/>
        <v>7.716579710128324E-7</v>
      </c>
      <c r="O255" s="103">
        <f t="shared" si="372"/>
        <v>1.1333992518424972E-4</v>
      </c>
      <c r="P255" s="103">
        <f t="shared" si="372"/>
        <v>1.8166020753465197E-4</v>
      </c>
      <c r="Q255" s="103">
        <f t="shared" si="372"/>
        <v>4.5844944478387703E-4</v>
      </c>
      <c r="R255" s="103">
        <f t="shared" si="372"/>
        <v>4.8406801840791624E-4</v>
      </c>
      <c r="S255" s="103">
        <f t="shared" si="372"/>
        <v>5.124993985098895E-4</v>
      </c>
      <c r="T255" s="103">
        <f t="shared" si="372"/>
        <v>5.104267062729837E-4</v>
      </c>
      <c r="U255" s="103">
        <f t="shared" si="372"/>
        <v>4.8932220289934223E-4</v>
      </c>
      <c r="V255" s="103">
        <f t="shared" si="372"/>
        <v>4.6329947831987586E-4</v>
      </c>
      <c r="W255" s="103">
        <f t="shared" ref="W255" si="373">IF(W37=0,0,W37/W$31)</f>
        <v>4.508843918480807E-4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4.4923610425139892E-6</v>
      </c>
      <c r="O256" s="103">
        <f t="shared" si="376"/>
        <v>4.5844795901229093E-6</v>
      </c>
      <c r="P256" s="103">
        <f t="shared" si="376"/>
        <v>1.1388448628105626E-5</v>
      </c>
      <c r="Q256" s="103">
        <f t="shared" si="376"/>
        <v>2.9318042819274357E-5</v>
      </c>
      <c r="R256" s="103">
        <f t="shared" si="376"/>
        <v>7.8968479348260582E-5</v>
      </c>
      <c r="S256" s="103">
        <f t="shared" si="376"/>
        <v>1.3237649559546145E-4</v>
      </c>
      <c r="T256" s="103">
        <f t="shared" si="376"/>
        <v>2.9368751220376253E-4</v>
      </c>
      <c r="U256" s="103">
        <f t="shared" si="376"/>
        <v>4.5570959554135998E-4</v>
      </c>
      <c r="V256" s="103">
        <f t="shared" si="376"/>
        <v>9.7515679305298138E-4</v>
      </c>
      <c r="W256" s="103">
        <f t="shared" ref="W256" si="377">IF(W38=0,0,W38/W$31)</f>
        <v>1.9284699413729485E-3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4.5733310032652773E-5</v>
      </c>
      <c r="M257" s="103">
        <f t="shared" ref="M257:V257" si="380">IF(M39=0,0,M39/M$31)</f>
        <v>1.4125328789291248E-4</v>
      </c>
      <c r="N257" s="103">
        <f t="shared" si="380"/>
        <v>1.3586979750118217E-4</v>
      </c>
      <c r="O257" s="103">
        <f t="shared" si="380"/>
        <v>1.4145130643460765E-4</v>
      </c>
      <c r="P257" s="103">
        <f t="shared" si="380"/>
        <v>1.4189150446926533E-4</v>
      </c>
      <c r="Q257" s="103">
        <f t="shared" si="380"/>
        <v>1.6224146691449546E-4</v>
      </c>
      <c r="R257" s="103">
        <f t="shared" si="380"/>
        <v>2.0088205877710386E-4</v>
      </c>
      <c r="S257" s="103">
        <f t="shared" si="380"/>
        <v>4.6297886121704718E-4</v>
      </c>
      <c r="T257" s="103">
        <f t="shared" si="380"/>
        <v>8.1306645718285135E-4</v>
      </c>
      <c r="U257" s="103">
        <f t="shared" si="380"/>
        <v>1.2408511265066123E-3</v>
      </c>
      <c r="V257" s="103">
        <f t="shared" si="380"/>
        <v>2.0637743123405306E-3</v>
      </c>
      <c r="W257" s="103">
        <f t="shared" ref="W257" si="381">IF(W39=0,0,W39/W$31)</f>
        <v>3.5356447601047787E-3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3.3161414756398895E-2</v>
      </c>
      <c r="C258" s="156">
        <f t="shared" si="382"/>
        <v>3.1032746173140856E-2</v>
      </c>
      <c r="D258" s="156">
        <f t="shared" si="382"/>
        <v>2.9415061320600691E-2</v>
      </c>
      <c r="E258" s="156">
        <f t="shared" si="382"/>
        <v>2.7677465135295377E-2</v>
      </c>
      <c r="F258" s="156">
        <f t="shared" si="382"/>
        <v>2.5540747071810886E-2</v>
      </c>
      <c r="G258" s="156">
        <f t="shared" si="382"/>
        <v>2.3479883603653023E-2</v>
      </c>
      <c r="H258" s="156">
        <f t="shared" si="382"/>
        <v>2.4852141830298755E-2</v>
      </c>
      <c r="I258" s="156">
        <f t="shared" si="382"/>
        <v>2.4045379739936722E-2</v>
      </c>
      <c r="J258" s="156">
        <f t="shared" si="382"/>
        <v>2.1619298168772762E-2</v>
      </c>
      <c r="K258" s="156">
        <f t="shared" si="382"/>
        <v>1.9456075635254151E-2</v>
      </c>
      <c r="L258" s="156">
        <f t="shared" ref="L258" si="383">IF(L40=0,0,L40/L$31)</f>
        <v>2.1429549145518024E-2</v>
      </c>
      <c r="M258" s="156">
        <f t="shared" ref="M258:V258" si="384">IF(M40=0,0,M40/M$31)</f>
        <v>2.332186375765366E-2</v>
      </c>
      <c r="N258" s="156">
        <f t="shared" si="384"/>
        <v>2.3017606134290023E-2</v>
      </c>
      <c r="O258" s="156">
        <f t="shared" si="384"/>
        <v>2.4122293841257334E-2</v>
      </c>
      <c r="P258" s="156">
        <f t="shared" si="384"/>
        <v>2.3213614130687659E-2</v>
      </c>
      <c r="Q258" s="156">
        <f t="shared" si="384"/>
        <v>2.1809259823768051E-2</v>
      </c>
      <c r="R258" s="156">
        <f t="shared" si="384"/>
        <v>2.1390156201052172E-2</v>
      </c>
      <c r="S258" s="156">
        <f t="shared" si="384"/>
        <v>2.1056218432559431E-2</v>
      </c>
      <c r="T258" s="156">
        <f t="shared" si="384"/>
        <v>1.9582360901858369E-2</v>
      </c>
      <c r="U258" s="156">
        <f t="shared" si="384"/>
        <v>1.7535916653691697E-2</v>
      </c>
      <c r="V258" s="156">
        <f t="shared" si="384"/>
        <v>1.5855287297062464E-2</v>
      </c>
      <c r="W258" s="156">
        <f t="shared" ref="W258" si="385">IF(W40=0,0,W40/W$31)</f>
        <v>1.5894694265443082E-2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1.6254828619008638E-3</v>
      </c>
      <c r="C259" s="103">
        <f t="shared" si="386"/>
        <v>1.3905720938778014E-3</v>
      </c>
      <c r="D259" s="103">
        <f t="shared" si="386"/>
        <v>1.1922575756405855E-3</v>
      </c>
      <c r="E259" s="103">
        <f t="shared" si="386"/>
        <v>1.0077774412381765E-3</v>
      </c>
      <c r="F259" s="103">
        <f t="shared" si="386"/>
        <v>8.4745065211984957E-4</v>
      </c>
      <c r="G259" s="103">
        <f t="shared" si="386"/>
        <v>6.8400249669002371E-4</v>
      </c>
      <c r="H259" s="103">
        <f t="shared" si="386"/>
        <v>5.6967631588972667E-4</v>
      </c>
      <c r="I259" s="103">
        <f t="shared" si="386"/>
        <v>4.6036024569400349E-4</v>
      </c>
      <c r="J259" s="103">
        <f t="shared" si="386"/>
        <v>3.7730979542967714E-4</v>
      </c>
      <c r="K259" s="103">
        <f t="shared" si="386"/>
        <v>2.8244110844289852E-4</v>
      </c>
      <c r="L259" s="103">
        <f t="shared" ref="L259" si="387">IF(L41=0,0,L41/L$31)</f>
        <v>2.5247782293952504E-4</v>
      </c>
      <c r="M259" s="103">
        <f t="shared" ref="M259:V259" si="388">IF(M41=0,0,M41/M$31)</f>
        <v>2.1833344969320682E-4</v>
      </c>
      <c r="N259" s="103">
        <f t="shared" si="388"/>
        <v>1.8049115190018841E-4</v>
      </c>
      <c r="O259" s="103">
        <f t="shared" si="388"/>
        <v>1.8555539841621501E-4</v>
      </c>
      <c r="P259" s="103">
        <f t="shared" si="388"/>
        <v>1.5430178106126062E-4</v>
      </c>
      <c r="Q259" s="103">
        <f t="shared" si="388"/>
        <v>1.1136107336497322E-4</v>
      </c>
      <c r="R259" s="103">
        <f t="shared" si="388"/>
        <v>7.1029409277479285E-5</v>
      </c>
      <c r="S259" s="103">
        <f t="shared" si="388"/>
        <v>5.8101111349282576E-5</v>
      </c>
      <c r="T259" s="103">
        <f t="shared" si="388"/>
        <v>5.1387784239852218E-5</v>
      </c>
      <c r="U259" s="103">
        <f t="shared" si="388"/>
        <v>4.3929329873701026E-5</v>
      </c>
      <c r="V259" s="103">
        <f t="shared" si="388"/>
        <v>4.6245689117331831E-5</v>
      </c>
      <c r="W259" s="103">
        <f t="shared" ref="W259" si="389">IF(W41=0,0,W41/W$31)</f>
        <v>4.2676283025884104E-5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3.0818631260715344E-2</v>
      </c>
      <c r="C260" s="103">
        <f t="shared" si="390"/>
        <v>2.8971267027705937E-2</v>
      </c>
      <c r="D260" s="103">
        <f t="shared" si="390"/>
        <v>2.757706124437842E-2</v>
      </c>
      <c r="E260" s="103">
        <f t="shared" si="390"/>
        <v>2.6045950522453745E-2</v>
      </c>
      <c r="F260" s="103">
        <f t="shared" si="390"/>
        <v>2.4104856206807617E-2</v>
      </c>
      <c r="G260" s="103">
        <f t="shared" si="390"/>
        <v>2.2390716884890603E-2</v>
      </c>
      <c r="H260" s="103">
        <f t="shared" si="390"/>
        <v>2.3922175933041724E-2</v>
      </c>
      <c r="I260" s="103">
        <f t="shared" si="390"/>
        <v>2.3299644482435589E-2</v>
      </c>
      <c r="J260" s="103">
        <f t="shared" si="390"/>
        <v>2.1024846360159551E-2</v>
      </c>
      <c r="K260" s="103">
        <f t="shared" si="390"/>
        <v>1.8996632913473949E-2</v>
      </c>
      <c r="L260" s="103">
        <f t="shared" ref="L260" si="391">IF(L42=0,0,L42/L$31)</f>
        <v>2.1038267439839591E-2</v>
      </c>
      <c r="M260" s="103">
        <f t="shared" ref="M260:V260" si="392">IF(M42=0,0,M42/M$31)</f>
        <v>2.298603604675669E-2</v>
      </c>
      <c r="N260" s="103">
        <f t="shared" si="392"/>
        <v>2.2707025373695715E-2</v>
      </c>
      <c r="O260" s="103">
        <f t="shared" si="392"/>
        <v>2.3849949865747601E-2</v>
      </c>
      <c r="P260" s="103">
        <f t="shared" si="392"/>
        <v>2.2957804489284969E-2</v>
      </c>
      <c r="Q260" s="103">
        <f t="shared" si="392"/>
        <v>2.1409537235797988E-2</v>
      </c>
      <c r="R260" s="103">
        <f t="shared" si="392"/>
        <v>2.086522017055769E-2</v>
      </c>
      <c r="S260" s="103">
        <f t="shared" si="392"/>
        <v>2.0504622786252522E-2</v>
      </c>
      <c r="T260" s="103">
        <f t="shared" si="392"/>
        <v>1.9073702463765916E-2</v>
      </c>
      <c r="U260" s="103">
        <f t="shared" si="392"/>
        <v>1.7106312854473029E-2</v>
      </c>
      <c r="V260" s="103">
        <f t="shared" si="392"/>
        <v>1.5416321633826556E-2</v>
      </c>
      <c r="W260" s="103">
        <f t="shared" ref="W260" si="393">IF(W42=0,0,W42/W$31)</f>
        <v>1.5459712039305674E-2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7.8123829265015636E-7</v>
      </c>
      <c r="Q261" s="103">
        <f t="shared" si="396"/>
        <v>7.3754687808083557E-7</v>
      </c>
      <c r="R261" s="103">
        <f t="shared" si="396"/>
        <v>1.392470921349658E-6</v>
      </c>
      <c r="S261" s="103">
        <f t="shared" si="396"/>
        <v>1.3281008775265573E-6</v>
      </c>
      <c r="T261" s="103">
        <f t="shared" si="396"/>
        <v>1.186160804219364E-6</v>
      </c>
      <c r="U261" s="103">
        <f t="shared" si="396"/>
        <v>1.0240403120927998E-6</v>
      </c>
      <c r="V261" s="103">
        <f t="shared" si="396"/>
        <v>1.0369690755007821E-6</v>
      </c>
      <c r="W261" s="103">
        <f t="shared" ref="W261" si="397">IF(W43=0,0,W43/W$31)</f>
        <v>9.7551333563171612E-7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1.7802705535640512E-4</v>
      </c>
      <c r="C262" s="103">
        <f t="shared" si="398"/>
        <v>1.8000246343283756E-4</v>
      </c>
      <c r="D262" s="103">
        <f t="shared" si="398"/>
        <v>1.8041841201866407E-4</v>
      </c>
      <c r="E262" s="103">
        <f t="shared" si="398"/>
        <v>1.8092261269258086E-4</v>
      </c>
      <c r="F262" s="103">
        <f t="shared" si="398"/>
        <v>1.7340765186632406E-4</v>
      </c>
      <c r="G262" s="103">
        <f t="shared" si="398"/>
        <v>1.8794443153504064E-4</v>
      </c>
      <c r="H262" s="103">
        <f t="shared" si="398"/>
        <v>1.8203686039968442E-4</v>
      </c>
      <c r="I262" s="103">
        <f t="shared" si="398"/>
        <v>1.4519860196083014E-4</v>
      </c>
      <c r="J262" s="103">
        <f t="shared" si="398"/>
        <v>1.0685169810586001E-4</v>
      </c>
      <c r="K262" s="103">
        <f t="shared" si="398"/>
        <v>9.5612809411524532E-5</v>
      </c>
      <c r="L262" s="103">
        <f t="shared" ref="L262" si="399">IF(L44=0,0,L44/L$31)</f>
        <v>6.9922539532866828E-5</v>
      </c>
      <c r="M262" s="103">
        <f t="shared" ref="M262:V262" si="400">IF(M44=0,0,M44/M$31)</f>
        <v>5.9808336627782406E-5</v>
      </c>
      <c r="N262" s="103">
        <f t="shared" si="400"/>
        <v>8.7921738295064719E-5</v>
      </c>
      <c r="O262" s="103">
        <f t="shared" si="400"/>
        <v>5.3651831970285726E-5</v>
      </c>
      <c r="P262" s="103">
        <f t="shared" si="400"/>
        <v>7.7061202584382876E-5</v>
      </c>
      <c r="Q262" s="103">
        <f t="shared" si="400"/>
        <v>2.4190573247257827E-4</v>
      </c>
      <c r="R262" s="103">
        <f t="shared" si="400"/>
        <v>4.0618715702888948E-4</v>
      </c>
      <c r="S262" s="103">
        <f t="shared" si="400"/>
        <v>4.4984301663553009E-4</v>
      </c>
      <c r="T262" s="103">
        <f t="shared" si="400"/>
        <v>4.1617719589075007E-4</v>
      </c>
      <c r="U262" s="103">
        <f t="shared" si="400"/>
        <v>3.4911745606029226E-4</v>
      </c>
      <c r="V262" s="103">
        <f t="shared" si="400"/>
        <v>3.3133794752130758E-4</v>
      </c>
      <c r="W262" s="103">
        <f t="shared" ref="W262" si="401">IF(W44=0,0,W44/W$31)</f>
        <v>2.8354325281465705E-4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5.3927357842627958E-4</v>
      </c>
      <c r="C263" s="103">
        <f t="shared" si="402"/>
        <v>4.9090458812428139E-4</v>
      </c>
      <c r="D263" s="103">
        <f t="shared" si="402"/>
        <v>4.6532408856302207E-4</v>
      </c>
      <c r="E263" s="103">
        <f t="shared" si="402"/>
        <v>4.4281455891087616E-4</v>
      </c>
      <c r="F263" s="103">
        <f t="shared" si="402"/>
        <v>4.1503256101709109E-4</v>
      </c>
      <c r="G263" s="103">
        <f t="shared" si="402"/>
        <v>2.1721979053735871E-4</v>
      </c>
      <c r="H263" s="103">
        <f t="shared" si="402"/>
        <v>1.7825272096762474E-4</v>
      </c>
      <c r="I263" s="103">
        <f t="shared" si="402"/>
        <v>1.4017640984629709E-4</v>
      </c>
      <c r="J263" s="103">
        <f t="shared" si="402"/>
        <v>1.1029031507767537E-4</v>
      </c>
      <c r="K263" s="103">
        <f t="shared" si="402"/>
        <v>8.1388803925777823E-5</v>
      </c>
      <c r="L263" s="103">
        <f t="shared" ref="L263" si="403">IF(L45=0,0,L45/L$31)</f>
        <v>6.8881343206038533E-5</v>
      </c>
      <c r="M263" s="103">
        <f t="shared" ref="M263:V263" si="404">IF(M45=0,0,M45/M$31)</f>
        <v>5.768592457598244E-5</v>
      </c>
      <c r="N263" s="103">
        <f t="shared" si="404"/>
        <v>4.2167870399057487E-5</v>
      </c>
      <c r="O263" s="103">
        <f t="shared" si="404"/>
        <v>3.3136745123231097E-5</v>
      </c>
      <c r="P263" s="103">
        <f t="shared" si="404"/>
        <v>2.3665419464398272E-5</v>
      </c>
      <c r="Q263" s="103">
        <f t="shared" si="404"/>
        <v>4.5718235254430891E-5</v>
      </c>
      <c r="R263" s="103">
        <f t="shared" si="404"/>
        <v>4.6326993266761954E-5</v>
      </c>
      <c r="S263" s="103">
        <f t="shared" si="404"/>
        <v>4.2323417444568327E-5</v>
      </c>
      <c r="T263" s="103">
        <f t="shared" si="404"/>
        <v>3.9907297157635652E-5</v>
      </c>
      <c r="U263" s="103">
        <f t="shared" si="404"/>
        <v>3.5532972972579585E-5</v>
      </c>
      <c r="V263" s="103">
        <f t="shared" si="404"/>
        <v>6.0345057521767479E-5</v>
      </c>
      <c r="W263" s="103">
        <f t="shared" ref="W263" si="405">IF(W45=0,0,W45/W$31)</f>
        <v>1.0778717696123633E-4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0.6682886923780742</v>
      </c>
      <c r="C265" s="154">
        <f t="shared" si="410"/>
        <v>0.67323832511098125</v>
      </c>
      <c r="D265" s="154">
        <f t="shared" si="410"/>
        <v>0.68795814304071623</v>
      </c>
      <c r="E265" s="154">
        <f t="shared" si="410"/>
        <v>0.69431112106136739</v>
      </c>
      <c r="F265" s="154">
        <f t="shared" si="410"/>
        <v>0.67659802492413257</v>
      </c>
      <c r="G265" s="154">
        <f t="shared" si="410"/>
        <v>0.63935105177031126</v>
      </c>
      <c r="H265" s="154">
        <f t="shared" si="410"/>
        <v>0.6215731009971498</v>
      </c>
      <c r="I265" s="154">
        <f t="shared" si="410"/>
        <v>0.61665016829188657</v>
      </c>
      <c r="J265" s="154">
        <f t="shared" si="410"/>
        <v>0.63757651913712232</v>
      </c>
      <c r="K265" s="154">
        <f t="shared" si="410"/>
        <v>0.68513167302172318</v>
      </c>
      <c r="L265" s="154">
        <f t="shared" ref="L265" si="411">IF(L47=0,0,L47/L$46)</f>
        <v>0.68469018262481096</v>
      </c>
      <c r="M265" s="154">
        <f t="shared" ref="M265:V265" si="412">IF(M47=0,0,M47/M$46)</f>
        <v>0.69984126425219639</v>
      </c>
      <c r="N265" s="154">
        <f t="shared" si="412"/>
        <v>0.72443356304226914</v>
      </c>
      <c r="O265" s="154">
        <f t="shared" si="412"/>
        <v>0.73195829438989712</v>
      </c>
      <c r="P265" s="154">
        <f t="shared" si="412"/>
        <v>0.73293516062699238</v>
      </c>
      <c r="Q265" s="154">
        <f t="shared" si="412"/>
        <v>0.73013846514610337</v>
      </c>
      <c r="R265" s="154">
        <f t="shared" si="412"/>
        <v>0.72919314329000329</v>
      </c>
      <c r="S265" s="154">
        <f t="shared" si="412"/>
        <v>0.73595540273462556</v>
      </c>
      <c r="T265" s="154">
        <f t="shared" si="412"/>
        <v>0.73736632494390331</v>
      </c>
      <c r="U265" s="154">
        <f t="shared" si="412"/>
        <v>0.74424671535601339</v>
      </c>
      <c r="V265" s="154">
        <f t="shared" si="412"/>
        <v>0.75830749906020556</v>
      </c>
      <c r="W265" s="154">
        <f t="shared" ref="W265" si="413">IF(W47=0,0,W47/W$46)</f>
        <v>0.74564172334236933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0.20794929474991669</v>
      </c>
      <c r="C266" s="103">
        <f t="shared" si="414"/>
        <v>0.18503676183724421</v>
      </c>
      <c r="D266" s="103">
        <f t="shared" si="414"/>
        <v>0.1597477496823024</v>
      </c>
      <c r="E266" s="103">
        <f t="shared" si="414"/>
        <v>0.13986399215151613</v>
      </c>
      <c r="F266" s="103">
        <f t="shared" si="414"/>
        <v>0.12102909860544521</v>
      </c>
      <c r="G266" s="103">
        <f t="shared" si="414"/>
        <v>9.9397185794404208E-2</v>
      </c>
      <c r="H266" s="103">
        <f t="shared" si="414"/>
        <v>8.7014861909426366E-2</v>
      </c>
      <c r="I266" s="103">
        <f t="shared" si="414"/>
        <v>7.3370082047926874E-2</v>
      </c>
      <c r="J266" s="103">
        <f t="shared" si="414"/>
        <v>5.6668783081319452E-2</v>
      </c>
      <c r="K266" s="103">
        <f t="shared" si="414"/>
        <v>4.7719960489375463E-2</v>
      </c>
      <c r="L266" s="103">
        <f t="shared" ref="L266" si="415">IF(L48=0,0,L48/L$46)</f>
        <v>5.0205089573235294E-2</v>
      </c>
      <c r="M266" s="103">
        <f t="shared" ref="M266:V266" si="416">IF(M48=0,0,M48/M$46)</f>
        <v>4.3141722207014642E-2</v>
      </c>
      <c r="N266" s="103">
        <f t="shared" si="416"/>
        <v>4.1053999180452862E-2</v>
      </c>
      <c r="O266" s="103">
        <f t="shared" si="416"/>
        <v>3.7442464335958214E-2</v>
      </c>
      <c r="P266" s="103">
        <f t="shared" si="416"/>
        <v>3.3520524813584848E-2</v>
      </c>
      <c r="Q266" s="103">
        <f t="shared" si="416"/>
        <v>2.9015720517820739E-2</v>
      </c>
      <c r="R266" s="103">
        <f t="shared" si="416"/>
        <v>2.5801750821433326E-2</v>
      </c>
      <c r="S266" s="103">
        <f t="shared" si="416"/>
        <v>2.3957799069219615E-2</v>
      </c>
      <c r="T266" s="103">
        <f t="shared" si="416"/>
        <v>2.2370572876451139E-2</v>
      </c>
      <c r="U266" s="103">
        <f t="shared" si="416"/>
        <v>2.1141716164495471E-2</v>
      </c>
      <c r="V266" s="103">
        <f t="shared" si="416"/>
        <v>1.962002506643894E-2</v>
      </c>
      <c r="W266" s="103">
        <f t="shared" ref="W266" si="417">IF(W48=0,0,W48/W$46)</f>
        <v>1.790472806310666E-2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0.46032619670884467</v>
      </c>
      <c r="C267" s="103">
        <f t="shared" si="418"/>
        <v>0.48786649567253576</v>
      </c>
      <c r="D267" s="103">
        <f t="shared" si="418"/>
        <v>0.52790385001085383</v>
      </c>
      <c r="E267" s="103">
        <f t="shared" si="418"/>
        <v>0.55415065128809171</v>
      </c>
      <c r="F267" s="103">
        <f t="shared" si="418"/>
        <v>0.55528979280675139</v>
      </c>
      <c r="G267" s="103">
        <f t="shared" si="418"/>
        <v>0.53970761757328189</v>
      </c>
      <c r="H267" s="103">
        <f t="shared" si="418"/>
        <v>0.53432394497164759</v>
      </c>
      <c r="I267" s="103">
        <f t="shared" si="418"/>
        <v>0.5430665236798019</v>
      </c>
      <c r="J267" s="103">
        <f t="shared" si="418"/>
        <v>0.58071518666029653</v>
      </c>
      <c r="K267" s="103">
        <f t="shared" si="418"/>
        <v>0.6372430126596571</v>
      </c>
      <c r="L267" s="103">
        <f t="shared" ref="L267" si="419">IF(L49=0,0,L49/L$46)</f>
        <v>0.63430257034971371</v>
      </c>
      <c r="M267" s="103">
        <f t="shared" ref="M267:V267" si="420">IF(M49=0,0,M49/M$46)</f>
        <v>0.65653788746750685</v>
      </c>
      <c r="N267" s="103">
        <f t="shared" si="420"/>
        <v>0.68322717711396674</v>
      </c>
      <c r="O267" s="103">
        <f t="shared" si="420"/>
        <v>0.69426972924400132</v>
      </c>
      <c r="P267" s="103">
        <f t="shared" si="420"/>
        <v>0.69915665450684106</v>
      </c>
      <c r="Q267" s="103">
        <f t="shared" si="420"/>
        <v>0.70045566347702415</v>
      </c>
      <c r="R267" s="103">
        <f t="shared" si="420"/>
        <v>0.70270950801205301</v>
      </c>
      <c r="S267" s="103">
        <f t="shared" si="420"/>
        <v>0.71119301769711651</v>
      </c>
      <c r="T267" s="103">
        <f t="shared" si="420"/>
        <v>0.71401785283572894</v>
      </c>
      <c r="U267" s="103">
        <f t="shared" si="420"/>
        <v>0.72208243172992448</v>
      </c>
      <c r="V267" s="103">
        <f t="shared" si="420"/>
        <v>0.73753285356145082</v>
      </c>
      <c r="W267" s="103">
        <f t="shared" ref="W267" si="421">IF(W49=0,0,W49/W$46)</f>
        <v>0.72639478062799046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3.2235247760282977E-4</v>
      </c>
      <c r="D268" s="103">
        <f t="shared" si="422"/>
        <v>2.9429023234162267E-4</v>
      </c>
      <c r="E268" s="103">
        <f t="shared" si="422"/>
        <v>2.8451080733268239E-4</v>
      </c>
      <c r="F268" s="103">
        <f t="shared" si="422"/>
        <v>2.6764170252163813E-4</v>
      </c>
      <c r="G268" s="103">
        <f t="shared" si="422"/>
        <v>2.3727775666415189E-4</v>
      </c>
      <c r="H268" s="103">
        <f t="shared" si="422"/>
        <v>2.255699569247921E-4</v>
      </c>
      <c r="I268" s="103">
        <f t="shared" si="422"/>
        <v>2.0528850641656716E-4</v>
      </c>
      <c r="J268" s="103">
        <f t="shared" si="422"/>
        <v>1.8602035409093153E-4</v>
      </c>
      <c r="K268" s="103">
        <f t="shared" si="422"/>
        <v>1.6259800048931832E-4</v>
      </c>
      <c r="L268" s="103">
        <f t="shared" ref="L268" si="423">IF(L50=0,0,L50/L$46)</f>
        <v>1.7681063038051952E-4</v>
      </c>
      <c r="M268" s="103">
        <f t="shared" ref="M268:V268" si="424">IF(M50=0,0,M50/M$46)</f>
        <v>1.5609839773473089E-4</v>
      </c>
      <c r="N268" s="103">
        <f t="shared" si="424"/>
        <v>1.4264763625388582E-4</v>
      </c>
      <c r="O268" s="103">
        <f t="shared" si="424"/>
        <v>1.210061965691559E-4</v>
      </c>
      <c r="P268" s="103">
        <f t="shared" si="424"/>
        <v>1.0227778653070048E-4</v>
      </c>
      <c r="Q268" s="103">
        <f t="shared" si="424"/>
        <v>8.8739120789855432E-5</v>
      </c>
      <c r="R268" s="103">
        <f t="shared" si="424"/>
        <v>6.9412020349526621E-5</v>
      </c>
      <c r="S268" s="103">
        <f t="shared" si="424"/>
        <v>5.2833589388819373E-5</v>
      </c>
      <c r="T268" s="103">
        <f t="shared" si="424"/>
        <v>4.0501449914040896E-5</v>
      </c>
      <c r="U268" s="103">
        <f t="shared" si="424"/>
        <v>2.8874278410712333E-5</v>
      </c>
      <c r="V268" s="103">
        <f t="shared" si="424"/>
        <v>2.4396367760837725E-5</v>
      </c>
      <c r="W268" s="103">
        <f t="shared" ref="W268" si="425">IF(W50=0,0,W50/W$46)</f>
        <v>1.8661582818581451E-5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1.3200919312776648E-5</v>
      </c>
      <c r="C269" s="103">
        <f t="shared" si="426"/>
        <v>1.2715123598414782E-5</v>
      </c>
      <c r="D269" s="103">
        <f t="shared" si="426"/>
        <v>1.2253115218485063E-5</v>
      </c>
      <c r="E269" s="103">
        <f t="shared" si="426"/>
        <v>1.1966814426900667E-5</v>
      </c>
      <c r="F269" s="103">
        <f t="shared" si="426"/>
        <v>1.1491809414402118E-5</v>
      </c>
      <c r="G269" s="103">
        <f t="shared" si="426"/>
        <v>8.970645961087924E-6</v>
      </c>
      <c r="H269" s="103">
        <f t="shared" si="426"/>
        <v>8.724159151124513E-6</v>
      </c>
      <c r="I269" s="103">
        <f t="shared" si="426"/>
        <v>8.2740577411724212E-6</v>
      </c>
      <c r="J269" s="103">
        <f t="shared" si="426"/>
        <v>6.5290414152686116E-6</v>
      </c>
      <c r="K269" s="103">
        <f t="shared" si="426"/>
        <v>6.1018722013764623E-6</v>
      </c>
      <c r="L269" s="103">
        <f t="shared" ref="L269" si="427">IF(L51=0,0,L51/L$46)</f>
        <v>5.7120714812161375E-6</v>
      </c>
      <c r="M269" s="103">
        <f t="shared" ref="M269:V269" si="428">IF(M51=0,0,M51/M$46)</f>
        <v>5.5561799401887527E-6</v>
      </c>
      <c r="N269" s="103">
        <f t="shared" si="428"/>
        <v>9.7391115957388663E-6</v>
      </c>
      <c r="O269" s="103">
        <f t="shared" si="428"/>
        <v>1.0415642798063061E-4</v>
      </c>
      <c r="P269" s="103">
        <f t="shared" si="428"/>
        <v>1.3427167100547039E-4</v>
      </c>
      <c r="Q269" s="103">
        <f t="shared" si="428"/>
        <v>5.3801140162485915E-4</v>
      </c>
      <c r="R269" s="103">
        <f t="shared" si="428"/>
        <v>5.2964589603596908E-4</v>
      </c>
      <c r="S269" s="103">
        <f t="shared" si="428"/>
        <v>5.9378025248647956E-4</v>
      </c>
      <c r="T269" s="103">
        <f t="shared" si="428"/>
        <v>6.3520416619797671E-4</v>
      </c>
      <c r="U269" s="103">
        <f t="shared" si="428"/>
        <v>6.1729449163611745E-4</v>
      </c>
      <c r="V269" s="103">
        <f t="shared" si="428"/>
        <v>6.1180362473182027E-4</v>
      </c>
      <c r="W269" s="103">
        <f t="shared" ref="W269" si="429">IF(W51=0,0,W51/W$46)</f>
        <v>5.7548015442547052E-4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0</v>
      </c>
      <c r="O270" s="103">
        <f t="shared" si="432"/>
        <v>2.0938185387710847E-5</v>
      </c>
      <c r="P270" s="103">
        <f t="shared" si="432"/>
        <v>2.1431849030371245E-5</v>
      </c>
      <c r="Q270" s="103">
        <f t="shared" si="432"/>
        <v>4.0330628843825863E-5</v>
      </c>
      <c r="R270" s="103">
        <f t="shared" si="432"/>
        <v>8.2826540131460211E-5</v>
      </c>
      <c r="S270" s="103">
        <f t="shared" si="432"/>
        <v>1.5797212641414324E-4</v>
      </c>
      <c r="T270" s="103">
        <f t="shared" si="432"/>
        <v>3.0219361561111132E-4</v>
      </c>
      <c r="U270" s="103">
        <f t="shared" si="432"/>
        <v>3.7639869154665735E-4</v>
      </c>
      <c r="V270" s="103">
        <f t="shared" si="432"/>
        <v>5.1842043982309918E-4</v>
      </c>
      <c r="W270" s="103">
        <f t="shared" ref="W270" si="433">IF(W52=0,0,W52/W$46)</f>
        <v>7.4807291402825544E-4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0.3317113076219258</v>
      </c>
      <c r="C271" s="156">
        <f t="shared" si="434"/>
        <v>0.32676167488901869</v>
      </c>
      <c r="D271" s="156">
        <f t="shared" si="434"/>
        <v>0.31204185695928371</v>
      </c>
      <c r="E271" s="156">
        <f t="shared" si="434"/>
        <v>0.30568887893863267</v>
      </c>
      <c r="F271" s="156">
        <f t="shared" si="434"/>
        <v>0.32340197507586738</v>
      </c>
      <c r="G271" s="156">
        <f t="shared" si="434"/>
        <v>0.36064894822968874</v>
      </c>
      <c r="H271" s="156">
        <f t="shared" si="434"/>
        <v>0.37842689900285026</v>
      </c>
      <c r="I271" s="156">
        <f t="shared" si="434"/>
        <v>0.38334983170811349</v>
      </c>
      <c r="J271" s="156">
        <f t="shared" si="434"/>
        <v>0.36242348086287779</v>
      </c>
      <c r="K271" s="156">
        <f t="shared" si="434"/>
        <v>0.31486832697827682</v>
      </c>
      <c r="L271" s="156">
        <f t="shared" ref="L271" si="435">IF(L53=0,0,L53/L$46)</f>
        <v>0.31530981737518904</v>
      </c>
      <c r="M271" s="156">
        <f t="shared" ref="M271:V271" si="436">IF(M53=0,0,M53/M$46)</f>
        <v>0.3001587357478035</v>
      </c>
      <c r="N271" s="156">
        <f t="shared" si="436"/>
        <v>0.27556643695773075</v>
      </c>
      <c r="O271" s="156">
        <f t="shared" si="436"/>
        <v>0.26804170561010288</v>
      </c>
      <c r="P271" s="156">
        <f t="shared" si="436"/>
        <v>0.26706483937300768</v>
      </c>
      <c r="Q271" s="156">
        <f t="shared" si="436"/>
        <v>0.26986153485389663</v>
      </c>
      <c r="R271" s="156">
        <f t="shared" si="436"/>
        <v>0.27080685670999677</v>
      </c>
      <c r="S271" s="156">
        <f t="shared" si="436"/>
        <v>0.26404459726537455</v>
      </c>
      <c r="T271" s="156">
        <f t="shared" si="436"/>
        <v>0.26263367505609669</v>
      </c>
      <c r="U271" s="156">
        <f t="shared" si="436"/>
        <v>0.25575328464398656</v>
      </c>
      <c r="V271" s="156">
        <f t="shared" si="436"/>
        <v>0.24169250093979447</v>
      </c>
      <c r="W271" s="156">
        <f t="shared" ref="W271" si="437">IF(W53=0,0,W53/W$46)</f>
        <v>0.25435827665763072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0.22574238009030798</v>
      </c>
      <c r="C272" s="104">
        <f t="shared" si="438"/>
        <v>0.21728904459427723</v>
      </c>
      <c r="D272" s="104">
        <f t="shared" si="438"/>
        <v>0.20101824755396461</v>
      </c>
      <c r="E272" s="104">
        <f t="shared" si="438"/>
        <v>0.19481826120086165</v>
      </c>
      <c r="F272" s="104">
        <f t="shared" si="438"/>
        <v>0.19746173394368166</v>
      </c>
      <c r="G272" s="104">
        <f t="shared" si="438"/>
        <v>0.24186566024625819</v>
      </c>
      <c r="H272" s="104">
        <f t="shared" si="438"/>
        <v>0.25281848951213021</v>
      </c>
      <c r="I272" s="104">
        <f t="shared" si="438"/>
        <v>0.25291999422815775</v>
      </c>
      <c r="J272" s="104">
        <f t="shared" si="438"/>
        <v>0.22559249452588215</v>
      </c>
      <c r="K272" s="104">
        <f t="shared" si="438"/>
        <v>0.22174652700192757</v>
      </c>
      <c r="L272" s="104">
        <f t="shared" ref="L272" si="439">IF(L54=0,0,L54/L$46)</f>
        <v>0.21177509277820639</v>
      </c>
      <c r="M272" s="104">
        <f t="shared" ref="M272:V272" si="440">IF(M54=0,0,M54/M$46)</f>
        <v>0.19335293600375339</v>
      </c>
      <c r="N272" s="104">
        <f t="shared" si="440"/>
        <v>0.16778534121834537</v>
      </c>
      <c r="O272" s="104">
        <f t="shared" si="440"/>
        <v>0.16248766677167586</v>
      </c>
      <c r="P272" s="104">
        <f t="shared" si="440"/>
        <v>0.16125005441293475</v>
      </c>
      <c r="Q272" s="104">
        <f t="shared" si="440"/>
        <v>0.16114681639114878</v>
      </c>
      <c r="R272" s="104">
        <f t="shared" si="440"/>
        <v>0.16061505512845409</v>
      </c>
      <c r="S272" s="104">
        <f t="shared" si="440"/>
        <v>0.14990814609028935</v>
      </c>
      <c r="T272" s="104">
        <f t="shared" si="440"/>
        <v>0.15509203160979951</v>
      </c>
      <c r="U272" s="104">
        <f t="shared" si="440"/>
        <v>0.15162400834908935</v>
      </c>
      <c r="V272" s="104">
        <f t="shared" si="440"/>
        <v>0.14550455539442531</v>
      </c>
      <c r="W272" s="104">
        <f t="shared" ref="W272" si="441">IF(W54=0,0,W54/W$46)</f>
        <v>0.154272557056994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0.10596892753161782</v>
      </c>
      <c r="C273" s="105">
        <f t="shared" si="442"/>
        <v>0.10947263029474145</v>
      </c>
      <c r="D273" s="105">
        <f t="shared" si="442"/>
        <v>0.11102360940531912</v>
      </c>
      <c r="E273" s="105">
        <f t="shared" si="442"/>
        <v>0.11087061773777104</v>
      </c>
      <c r="F273" s="105">
        <f t="shared" si="442"/>
        <v>0.12594024113218572</v>
      </c>
      <c r="G273" s="105">
        <f t="shared" si="442"/>
        <v>0.11878328798343057</v>
      </c>
      <c r="H273" s="105">
        <f t="shared" si="442"/>
        <v>0.12560840949072</v>
      </c>
      <c r="I273" s="105">
        <f t="shared" si="442"/>
        <v>0.13042983747995568</v>
      </c>
      <c r="J273" s="105">
        <f t="shared" si="442"/>
        <v>0.13683098633699564</v>
      </c>
      <c r="K273" s="105">
        <f t="shared" si="442"/>
        <v>9.312179997634927E-2</v>
      </c>
      <c r="L273" s="105">
        <f t="shared" ref="L273" si="443">IF(L55=0,0,L55/L$46)</f>
        <v>0.10353472459698265</v>
      </c>
      <c r="M273" s="105">
        <f t="shared" ref="M273:V273" si="444">IF(M55=0,0,M55/M$46)</f>
        <v>0.10680579974405012</v>
      </c>
      <c r="N273" s="105">
        <f t="shared" si="444"/>
        <v>0.10778109573938535</v>
      </c>
      <c r="O273" s="105">
        <f t="shared" si="444"/>
        <v>0.10555403883842703</v>
      </c>
      <c r="P273" s="105">
        <f t="shared" si="444"/>
        <v>0.10581478496007295</v>
      </c>
      <c r="Q273" s="105">
        <f t="shared" si="444"/>
        <v>0.10871471846274783</v>
      </c>
      <c r="R273" s="105">
        <f t="shared" si="444"/>
        <v>0.11019180158154268</v>
      </c>
      <c r="S273" s="105">
        <f t="shared" si="444"/>
        <v>0.1141364511750852</v>
      </c>
      <c r="T273" s="105">
        <f t="shared" si="444"/>
        <v>0.10754164344629721</v>
      </c>
      <c r="U273" s="105">
        <f t="shared" si="444"/>
        <v>0.10412927629489722</v>
      </c>
      <c r="V273" s="105">
        <f t="shared" si="444"/>
        <v>9.6187945545369177E-2</v>
      </c>
      <c r="W273" s="105">
        <f t="shared" ref="W273" si="445">IF(W55=0,0,W55/W$46)</f>
        <v>0.10008571960063674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2890.6297705614475</v>
      </c>
      <c r="C4" s="145">
        <f t="shared" si="0"/>
        <v>3050.7927890711762</v>
      </c>
      <c r="D4" s="145">
        <f t="shared" si="0"/>
        <v>3253.2139710718361</v>
      </c>
      <c r="E4" s="145">
        <f t="shared" si="0"/>
        <v>3403.9489403346274</v>
      </c>
      <c r="F4" s="145">
        <f t="shared" si="0"/>
        <v>3570.112047407466</v>
      </c>
      <c r="G4" s="145">
        <f t="shared" si="0"/>
        <v>3875.5074146823749</v>
      </c>
      <c r="H4" s="145">
        <f t="shared" si="0"/>
        <v>4151.6459222660251</v>
      </c>
      <c r="I4" s="145">
        <f t="shared" si="0"/>
        <v>4233.7252318013998</v>
      </c>
      <c r="J4" s="145">
        <f t="shared" si="0"/>
        <v>4338.3011076813445</v>
      </c>
      <c r="K4" s="145">
        <f t="shared" si="0"/>
        <v>4314.9445696311313</v>
      </c>
      <c r="L4" s="145">
        <f t="shared" ref="L4" si="1">L5+L9+L10+L15</f>
        <v>3911.3176101963813</v>
      </c>
      <c r="M4" s="145">
        <f t="shared" ref="M4:V4" si="2">M5+M9+M10+M15</f>
        <v>3620.4927767825093</v>
      </c>
      <c r="N4" s="145">
        <f t="shared" si="2"/>
        <v>3504.3106892988467</v>
      </c>
      <c r="O4" s="145">
        <f t="shared" si="2"/>
        <v>3269.4626872816534</v>
      </c>
      <c r="P4" s="145">
        <f t="shared" si="2"/>
        <v>3678.6671206102237</v>
      </c>
      <c r="Q4" s="145">
        <f t="shared" si="2"/>
        <v>4004.2478048362004</v>
      </c>
      <c r="R4" s="145">
        <f t="shared" si="2"/>
        <v>4073.8774666758381</v>
      </c>
      <c r="S4" s="145">
        <f t="shared" si="2"/>
        <v>4287.1206559177299</v>
      </c>
      <c r="T4" s="145">
        <f t="shared" si="2"/>
        <v>4569.622935785952</v>
      </c>
      <c r="U4" s="145">
        <f t="shared" si="2"/>
        <v>4848.9381803608912</v>
      </c>
      <c r="V4" s="145">
        <f t="shared" si="2"/>
        <v>4265.3590340021628</v>
      </c>
      <c r="W4" s="145">
        <f t="shared" ref="W4" si="3">W5+W9+W10+W15</f>
        <v>4730.969494594061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2885.3491831470342</v>
      </c>
      <c r="C5" s="97">
        <f t="shared" si="4"/>
        <v>3045.4261392949265</v>
      </c>
      <c r="D5" s="97">
        <f t="shared" si="4"/>
        <v>3247.7811693895096</v>
      </c>
      <c r="E5" s="97">
        <f t="shared" si="4"/>
        <v>3398.416509028375</v>
      </c>
      <c r="F5" s="97">
        <f t="shared" si="4"/>
        <v>3564.6937231298371</v>
      </c>
      <c r="G5" s="97">
        <f t="shared" si="4"/>
        <v>3868.3385210662082</v>
      </c>
      <c r="H5" s="97">
        <f t="shared" si="4"/>
        <v>4136.3332760103176</v>
      </c>
      <c r="I5" s="97">
        <f t="shared" si="4"/>
        <v>4201.6074806534825</v>
      </c>
      <c r="J5" s="97">
        <f t="shared" si="4"/>
        <v>4171.0280309544287</v>
      </c>
      <c r="K5" s="97">
        <f t="shared" si="4"/>
        <v>4143.5846087704213</v>
      </c>
      <c r="L5" s="97">
        <f t="shared" ref="L5" si="5">SUM(L6:L8)</f>
        <v>3734.9288048151325</v>
      </c>
      <c r="M5" s="97">
        <f t="shared" ref="M5:V5" si="6">SUM(M6:M8)</f>
        <v>3459.6349957007728</v>
      </c>
      <c r="N5" s="97">
        <f t="shared" si="6"/>
        <v>3348.9300085984523</v>
      </c>
      <c r="O5" s="97">
        <f t="shared" si="6"/>
        <v>3131.1980223559758</v>
      </c>
      <c r="P5" s="97">
        <f t="shared" si="6"/>
        <v>3488.5115219260533</v>
      </c>
      <c r="Q5" s="97">
        <f t="shared" si="6"/>
        <v>3824.3766122098023</v>
      </c>
      <c r="R5" s="97">
        <f t="shared" si="6"/>
        <v>3878.0619948409285</v>
      </c>
      <c r="S5" s="97">
        <f t="shared" si="6"/>
        <v>4113.4055030094587</v>
      </c>
      <c r="T5" s="97">
        <f t="shared" si="6"/>
        <v>4365.6835769561485</v>
      </c>
      <c r="U5" s="97">
        <f t="shared" si="6"/>
        <v>4635.6435081685295</v>
      </c>
      <c r="V5" s="97">
        <f t="shared" si="6"/>
        <v>3975.5403267411862</v>
      </c>
      <c r="W5" s="97">
        <f t="shared" ref="W5" si="7">SUM(W6:W8)</f>
        <v>4433.5058469475489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2.259501289767841</v>
      </c>
      <c r="D6" s="97">
        <v>2.259501289767841</v>
      </c>
      <c r="E6" s="97">
        <v>44.05993121238177</v>
      </c>
      <c r="F6" s="97">
        <v>39.290111779879616</v>
      </c>
      <c r="G6" s="97">
        <v>32.554686156491833</v>
      </c>
      <c r="H6" s="97">
        <v>33.67730008598452</v>
      </c>
      <c r="I6" s="97">
        <v>32.554686156491833</v>
      </c>
      <c r="J6" s="97">
        <v>30.309544282029229</v>
      </c>
      <c r="K6" s="97">
        <v>26.941788478073949</v>
      </c>
      <c r="L6" s="97">
        <v>29.186930352536539</v>
      </c>
      <c r="M6" s="97">
        <v>31.432158211521919</v>
      </c>
      <c r="N6" s="97">
        <v>23.574118658641439</v>
      </c>
      <c r="O6" s="97">
        <v>32.554686156491833</v>
      </c>
      <c r="P6" s="97">
        <v>30.309544282029229</v>
      </c>
      <c r="Q6" s="97">
        <v>30.309544282029229</v>
      </c>
      <c r="R6" s="97">
        <v>27.562854686156491</v>
      </c>
      <c r="S6" s="97">
        <v>26.448839208942388</v>
      </c>
      <c r="T6" s="97">
        <v>23.14273430782459</v>
      </c>
      <c r="U6" s="97">
        <v>19.836629406706791</v>
      </c>
      <c r="V6" s="97">
        <v>14.326483233018051</v>
      </c>
      <c r="W6" s="97">
        <v>14.326483233018051</v>
      </c>
      <c r="DA6" s="175" t="s">
        <v>629</v>
      </c>
    </row>
    <row r="7" spans="1:105" ht="11.45" customHeight="1" x14ac:dyDescent="0.25">
      <c r="A7" s="128" t="s">
        <v>53</v>
      </c>
      <c r="B7" s="97">
        <v>1413.604643164231</v>
      </c>
      <c r="C7" s="97">
        <v>1471.7994840928629</v>
      </c>
      <c r="D7" s="97">
        <v>1507.774462596733</v>
      </c>
      <c r="E7" s="97">
        <v>1506.7163370593289</v>
      </c>
      <c r="F7" s="97">
        <v>1525.7619088564061</v>
      </c>
      <c r="G7" s="97">
        <v>1568.0853826311261</v>
      </c>
      <c r="H7" s="97">
        <v>1597.7118658641441</v>
      </c>
      <c r="I7" s="97">
        <v>1622.0478933791919</v>
      </c>
      <c r="J7" s="97">
        <v>1578.6662940670681</v>
      </c>
      <c r="K7" s="97">
        <v>1578.6662940670681</v>
      </c>
      <c r="L7" s="97">
        <v>1348.332846087704</v>
      </c>
      <c r="M7" s="97">
        <v>1245.342476354256</v>
      </c>
      <c r="N7" s="97">
        <v>1233.782373172829</v>
      </c>
      <c r="O7" s="97">
        <v>1167.5742906276871</v>
      </c>
      <c r="P7" s="97">
        <v>1243.2406706792781</v>
      </c>
      <c r="Q7" s="97">
        <v>1283.175666380052</v>
      </c>
      <c r="R7" s="97">
        <v>1306.295958727429</v>
      </c>
      <c r="S7" s="97">
        <v>1337.8236457437661</v>
      </c>
      <c r="T7" s="97">
        <v>1396.6752364574379</v>
      </c>
      <c r="U7" s="97">
        <v>1507.022098022356</v>
      </c>
      <c r="V7" s="97">
        <v>1308.39785038693</v>
      </c>
      <c r="W7" s="97">
        <v>1388.267927773001</v>
      </c>
      <c r="DA7" s="175" t="s">
        <v>630</v>
      </c>
    </row>
    <row r="8" spans="1:105" ht="11.45" customHeight="1" x14ac:dyDescent="0.25">
      <c r="A8" s="128" t="s">
        <v>54</v>
      </c>
      <c r="B8" s="97">
        <v>1471.7445399828032</v>
      </c>
      <c r="C8" s="97">
        <v>1571.3671539122961</v>
      </c>
      <c r="D8" s="97">
        <v>1737.7472055030089</v>
      </c>
      <c r="E8" s="97">
        <v>1847.6402407566641</v>
      </c>
      <c r="F8" s="97">
        <v>1999.6417024935511</v>
      </c>
      <c r="G8" s="97">
        <v>2267.6984522785901</v>
      </c>
      <c r="H8" s="97">
        <v>2504.9441100601889</v>
      </c>
      <c r="I8" s="97">
        <v>2547.0049011177989</v>
      </c>
      <c r="J8" s="97">
        <v>2562.0521926053311</v>
      </c>
      <c r="K8" s="97">
        <v>2537.976526225279</v>
      </c>
      <c r="L8" s="97">
        <v>2357.4090283748919</v>
      </c>
      <c r="M8" s="97">
        <v>2182.8603611349949</v>
      </c>
      <c r="N8" s="97">
        <v>2091.5735167669818</v>
      </c>
      <c r="O8" s="97">
        <v>1931.069045571797</v>
      </c>
      <c r="P8" s="97">
        <v>2214.9613069647462</v>
      </c>
      <c r="Q8" s="97">
        <v>2510.8914015477212</v>
      </c>
      <c r="R8" s="97">
        <v>2544.2031814273432</v>
      </c>
      <c r="S8" s="97">
        <v>2749.1330180567502</v>
      </c>
      <c r="T8" s="97">
        <v>2945.865606190886</v>
      </c>
      <c r="U8" s="97">
        <v>3108.7847807394669</v>
      </c>
      <c r="V8" s="97">
        <v>2652.8159931212381</v>
      </c>
      <c r="W8" s="97">
        <v>3030.9114359415298</v>
      </c>
      <c r="DA8" s="175" t="s">
        <v>631</v>
      </c>
    </row>
    <row r="9" spans="1:105" ht="11.45" customHeight="1" x14ac:dyDescent="0.25">
      <c r="A9" s="92" t="s">
        <v>55</v>
      </c>
      <c r="B9" s="97">
        <v>1.676698194325021</v>
      </c>
      <c r="C9" s="97">
        <v>1.848667239896818</v>
      </c>
      <c r="D9" s="97">
        <v>1.9131556319862419</v>
      </c>
      <c r="E9" s="97">
        <v>1.999140154772141</v>
      </c>
      <c r="F9" s="97">
        <v>1.956147893379192</v>
      </c>
      <c r="G9" s="97">
        <v>2.6655202063628551</v>
      </c>
      <c r="H9" s="97">
        <v>2.7944969905417021</v>
      </c>
      <c r="I9" s="97">
        <v>2.1066208082545139</v>
      </c>
      <c r="J9" s="97">
        <v>1.5692175408426481</v>
      </c>
      <c r="K9" s="97">
        <v>1.397248495270851</v>
      </c>
      <c r="L9" s="97">
        <v>0.92433361994840924</v>
      </c>
      <c r="M9" s="97">
        <v>0.85984522785898532</v>
      </c>
      <c r="N9" s="97">
        <v>1.1177987962166811</v>
      </c>
      <c r="O9" s="97">
        <v>1.0963026655202059</v>
      </c>
      <c r="P9" s="97">
        <v>1.4402407566638</v>
      </c>
      <c r="Q9" s="97">
        <v>4.2347377472055028</v>
      </c>
      <c r="R9" s="97">
        <v>8.082545141874462</v>
      </c>
      <c r="S9" s="97">
        <v>8.7489251934651762</v>
      </c>
      <c r="T9" s="97">
        <v>9.651762682717111</v>
      </c>
      <c r="U9" s="97">
        <v>9.2433361994840926</v>
      </c>
      <c r="V9" s="97">
        <v>7.9535683576956142</v>
      </c>
      <c r="W9" s="97">
        <v>7.265692175408426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2.560447119518487</v>
      </c>
      <c r="H10" s="97">
        <f t="shared" si="8"/>
        <v>10.881857265692171</v>
      </c>
      <c r="I10" s="97">
        <f t="shared" si="8"/>
        <v>28.65202063628546</v>
      </c>
      <c r="J10" s="97">
        <f t="shared" si="8"/>
        <v>164.60782459157352</v>
      </c>
      <c r="K10" s="97">
        <f t="shared" si="8"/>
        <v>169.08615649183142</v>
      </c>
      <c r="L10" s="97">
        <f t="shared" si="8"/>
        <v>174.77308684436804</v>
      </c>
      <c r="M10" s="97">
        <f t="shared" si="8"/>
        <v>159.43198624247628</v>
      </c>
      <c r="N10" s="97">
        <f t="shared" si="8"/>
        <v>153.82871883061046</v>
      </c>
      <c r="O10" s="97">
        <f t="shared" si="8"/>
        <v>136.8205503009458</v>
      </c>
      <c r="P10" s="97">
        <f t="shared" si="8"/>
        <v>188.43740326741187</v>
      </c>
      <c r="Q10" s="97">
        <f t="shared" si="8"/>
        <v>175.1266552020636</v>
      </c>
      <c r="R10" s="97">
        <f t="shared" si="8"/>
        <v>187.14531384350812</v>
      </c>
      <c r="S10" s="97">
        <f t="shared" si="8"/>
        <v>164.23284608770422</v>
      </c>
      <c r="T10" s="97">
        <f t="shared" si="8"/>
        <v>193.23826311263969</v>
      </c>
      <c r="U10" s="97">
        <f t="shared" si="8"/>
        <v>202.48641444539982</v>
      </c>
      <c r="V10" s="97">
        <f t="shared" si="8"/>
        <v>279.12003439380908</v>
      </c>
      <c r="W10" s="97">
        <f t="shared" si="8"/>
        <v>284.98374892519348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2.560447119518487</v>
      </c>
      <c r="H12" s="97">
        <v>10.881857265692171</v>
      </c>
      <c r="I12" s="97">
        <v>26.884522785898529</v>
      </c>
      <c r="J12" s="97">
        <v>46.379105760963022</v>
      </c>
      <c r="K12" s="97">
        <v>46.379105760963022</v>
      </c>
      <c r="L12" s="97">
        <v>56.54436801375752</v>
      </c>
      <c r="M12" s="97">
        <v>54.638349097162497</v>
      </c>
      <c r="N12" s="97">
        <v>50.826397248495269</v>
      </c>
      <c r="O12" s="97">
        <v>31.131212381771281</v>
      </c>
      <c r="P12" s="97">
        <v>60.356319862424748</v>
      </c>
      <c r="Q12" s="97">
        <v>42.56715391229578</v>
      </c>
      <c r="R12" s="97">
        <v>43.837747205503007</v>
      </c>
      <c r="S12" s="97">
        <v>45.108426483233011</v>
      </c>
      <c r="T12" s="97">
        <v>50.826397248495269</v>
      </c>
      <c r="U12" s="97">
        <v>45.743766122098023</v>
      </c>
      <c r="V12" s="97">
        <v>83.863542562338765</v>
      </c>
      <c r="W12" s="97">
        <v>87.040240756663792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1.7674978503869301</v>
      </c>
      <c r="J13" s="97">
        <v>118.2287188306105</v>
      </c>
      <c r="K13" s="97">
        <v>122.7070507308684</v>
      </c>
      <c r="L13" s="97">
        <v>118.2287188306105</v>
      </c>
      <c r="M13" s="97">
        <v>104.7936371453138</v>
      </c>
      <c r="N13" s="97">
        <v>103.0023215821152</v>
      </c>
      <c r="O13" s="97">
        <v>105.68933791917451</v>
      </c>
      <c r="P13" s="97">
        <v>128.08108340498711</v>
      </c>
      <c r="Q13" s="97">
        <v>132.55950128976781</v>
      </c>
      <c r="R13" s="97">
        <v>143.30756663800511</v>
      </c>
      <c r="S13" s="97">
        <v>119.1244196044712</v>
      </c>
      <c r="T13" s="97">
        <v>142.4118658641444</v>
      </c>
      <c r="U13" s="97">
        <v>156.74264832330181</v>
      </c>
      <c r="V13" s="97">
        <v>195.2564918314703</v>
      </c>
      <c r="W13" s="97">
        <v>197.94350816852969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3.6038892200879475</v>
      </c>
      <c r="C15" s="98">
        <v>3.5179825363528368</v>
      </c>
      <c r="D15" s="98">
        <v>3.5196460503403886</v>
      </c>
      <c r="E15" s="98">
        <v>3.5332911514803307</v>
      </c>
      <c r="F15" s="98">
        <v>3.4621763842496147</v>
      </c>
      <c r="G15" s="98">
        <v>1.9429262902855748</v>
      </c>
      <c r="H15" s="98">
        <v>1.6362919994739611</v>
      </c>
      <c r="I15" s="98">
        <v>1.3591097033769199</v>
      </c>
      <c r="J15" s="98">
        <v>1.0960345944992074</v>
      </c>
      <c r="K15" s="98">
        <v>0.87655587360806553</v>
      </c>
      <c r="L15" s="98">
        <v>0.69138491693221049</v>
      </c>
      <c r="M15" s="98">
        <v>0.56594961140111466</v>
      </c>
      <c r="N15" s="98">
        <v>0.43416307356720296</v>
      </c>
      <c r="O15" s="98">
        <v>0.3478119592111939</v>
      </c>
      <c r="P15" s="98">
        <v>0.27795466009453351</v>
      </c>
      <c r="Q15" s="98">
        <v>0.50979967712862828</v>
      </c>
      <c r="R15" s="98">
        <v>0.58761284952679171</v>
      </c>
      <c r="S15" s="98">
        <v>0.73338162710235</v>
      </c>
      <c r="T15" s="98">
        <v>1.0493330344473637</v>
      </c>
      <c r="U15" s="98">
        <v>1.5649215474776783</v>
      </c>
      <c r="V15" s="98">
        <v>2.7451045094722977</v>
      </c>
      <c r="W15" s="98">
        <v>5.2142065459101934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2890.629770561447</v>
      </c>
      <c r="C17" s="79">
        <f t="shared" si="9"/>
        <v>3050.7927890711771</v>
      </c>
      <c r="D17" s="79">
        <f t="shared" si="9"/>
        <v>3253.2139710718361</v>
      </c>
      <c r="E17" s="79">
        <f t="shared" si="9"/>
        <v>3403.9489403346279</v>
      </c>
      <c r="F17" s="79">
        <f t="shared" si="9"/>
        <v>3570.1120474074655</v>
      </c>
      <c r="G17" s="79">
        <f t="shared" si="9"/>
        <v>3875.5074146823749</v>
      </c>
      <c r="H17" s="79">
        <f t="shared" si="9"/>
        <v>4151.6459222660251</v>
      </c>
      <c r="I17" s="79">
        <f t="shared" si="9"/>
        <v>4233.7252318013998</v>
      </c>
      <c r="J17" s="79">
        <f t="shared" si="9"/>
        <v>4338.3011076813436</v>
      </c>
      <c r="K17" s="79">
        <f t="shared" si="9"/>
        <v>4314.9445696311313</v>
      </c>
      <c r="L17" s="79">
        <f t="shared" ref="L17" si="10">L18+L42</f>
        <v>3911.3176101963809</v>
      </c>
      <c r="M17" s="79">
        <f t="shared" ref="M17:V17" si="11">M18+M42</f>
        <v>3620.4927767825093</v>
      </c>
      <c r="N17" s="79">
        <f t="shared" si="11"/>
        <v>3504.3106892988467</v>
      </c>
      <c r="O17" s="79">
        <f t="shared" si="11"/>
        <v>3269.4626872816534</v>
      </c>
      <c r="P17" s="79">
        <f t="shared" si="11"/>
        <v>3678.6671206102237</v>
      </c>
      <c r="Q17" s="79">
        <f t="shared" si="11"/>
        <v>4004.2478048362</v>
      </c>
      <c r="R17" s="79">
        <f t="shared" si="11"/>
        <v>4073.8774666758386</v>
      </c>
      <c r="S17" s="79">
        <f t="shared" si="11"/>
        <v>4287.1206559177299</v>
      </c>
      <c r="T17" s="79">
        <f t="shared" si="11"/>
        <v>4569.6229357859529</v>
      </c>
      <c r="U17" s="79">
        <f t="shared" si="11"/>
        <v>4848.9381803608903</v>
      </c>
      <c r="V17" s="79">
        <f t="shared" si="11"/>
        <v>4265.3590340021628</v>
      </c>
      <c r="W17" s="79">
        <f t="shared" ref="W17" si="12">W18+W42</f>
        <v>4730.969494594061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1917.4381785425333</v>
      </c>
      <c r="C18" s="32">
        <f t="shared" si="13"/>
        <v>2014.828615993313</v>
      </c>
      <c r="D18" s="32">
        <f t="shared" si="13"/>
        <v>2112.6913668832221</v>
      </c>
      <c r="E18" s="32">
        <f t="shared" si="13"/>
        <v>2211.300190283926</v>
      </c>
      <c r="F18" s="32">
        <f t="shared" si="13"/>
        <v>2282.3062200008335</v>
      </c>
      <c r="G18" s="32">
        <f t="shared" si="13"/>
        <v>2312.9797032890847</v>
      </c>
      <c r="H18" s="32">
        <f t="shared" si="13"/>
        <v>2483.1546963335177</v>
      </c>
      <c r="I18" s="32">
        <f t="shared" si="13"/>
        <v>2582.2929728566746</v>
      </c>
      <c r="J18" s="32">
        <f t="shared" si="13"/>
        <v>2589.6513556906057</v>
      </c>
      <c r="K18" s="32">
        <f t="shared" si="13"/>
        <v>2630.1038388974116</v>
      </c>
      <c r="L18" s="32">
        <f t="shared" ref="L18" si="14">L19+L21+L33</f>
        <v>2425.5730869034505</v>
      </c>
      <c r="M18" s="32">
        <f t="shared" ref="M18:V18" si="15">M19+M21+M33</f>
        <v>2282.273139779054</v>
      </c>
      <c r="N18" s="32">
        <f t="shared" si="15"/>
        <v>2292.6591719629396</v>
      </c>
      <c r="O18" s="32">
        <f t="shared" si="15"/>
        <v>2194.0843730931647</v>
      </c>
      <c r="P18" s="32">
        <f t="shared" si="15"/>
        <v>2347.3158799720827</v>
      </c>
      <c r="Q18" s="32">
        <f t="shared" si="15"/>
        <v>2486.3303799977866</v>
      </c>
      <c r="R18" s="32">
        <f t="shared" si="15"/>
        <v>2591.7011059964052</v>
      </c>
      <c r="S18" s="32">
        <f t="shared" si="15"/>
        <v>2719.3299803365267</v>
      </c>
      <c r="T18" s="32">
        <f t="shared" si="15"/>
        <v>2898.716199011852</v>
      </c>
      <c r="U18" s="32">
        <f t="shared" si="15"/>
        <v>3156.79966096204</v>
      </c>
      <c r="V18" s="32">
        <f t="shared" si="15"/>
        <v>2841.0635483818278</v>
      </c>
      <c r="W18" s="32">
        <f t="shared" ref="W18" si="16">W19+W21+W33</f>
        <v>3036.7744057909918</v>
      </c>
      <c r="DA18" s="173" t="s">
        <v>390</v>
      </c>
    </row>
    <row r="19" spans="1:105" ht="11.45" customHeight="1" x14ac:dyDescent="0.25">
      <c r="A19" s="107" t="s">
        <v>181</v>
      </c>
      <c r="B19" s="129">
        <v>11.815843089607139</v>
      </c>
      <c r="C19" s="129">
        <v>12.012348534340456</v>
      </c>
      <c r="D19" s="129">
        <v>12.482863564717071</v>
      </c>
      <c r="E19" s="129">
        <v>13.104568103375778</v>
      </c>
      <c r="F19" s="129">
        <v>14.221312624462936</v>
      </c>
      <c r="G19" s="129">
        <v>15.141632866280794</v>
      </c>
      <c r="H19" s="129">
        <v>15.903120143927358</v>
      </c>
      <c r="I19" s="129">
        <v>16.417095721423276</v>
      </c>
      <c r="J19" s="129">
        <v>16.887626844992781</v>
      </c>
      <c r="K19" s="129">
        <v>16.753449857407794</v>
      </c>
      <c r="L19" s="129">
        <v>16.622550355917159</v>
      </c>
      <c r="M19" s="129">
        <v>17.109188962620394</v>
      </c>
      <c r="N19" s="129">
        <v>17.40458924859109</v>
      </c>
      <c r="O19" s="129">
        <v>17.922140716325167</v>
      </c>
      <c r="P19" s="129">
        <v>18.224327974849661</v>
      </c>
      <c r="Q19" s="129">
        <v>18.118308333219879</v>
      </c>
      <c r="R19" s="129">
        <v>17.81981797794921</v>
      </c>
      <c r="S19" s="129">
        <v>18.654274466081542</v>
      </c>
      <c r="T19" s="129">
        <v>19.530344073558989</v>
      </c>
      <c r="U19" s="129">
        <v>19.874959684659302</v>
      </c>
      <c r="V19" s="129">
        <v>18.221029279914806</v>
      </c>
      <c r="W19" s="129">
        <v>17.566855489230093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2.4683699865952674E-2</v>
      </c>
      <c r="H20" s="97">
        <v>0.10758184680010928</v>
      </c>
      <c r="I20" s="97">
        <v>0.26766760097261133</v>
      </c>
      <c r="J20" s="97">
        <v>0.48197609222393623</v>
      </c>
      <c r="K20" s="97">
        <v>0.47814665539801737</v>
      </c>
      <c r="L20" s="97">
        <v>0.66903469941559934</v>
      </c>
      <c r="M20" s="97">
        <v>0.71910125211605103</v>
      </c>
      <c r="N20" s="97">
        <v>0.68862410678205654</v>
      </c>
      <c r="O20" s="97">
        <v>0.46545041094343487</v>
      </c>
      <c r="P20" s="97">
        <v>0.84378329844922528</v>
      </c>
      <c r="Q20" s="97">
        <v>0.58174542425998566</v>
      </c>
      <c r="R20" s="97">
        <v>0.57859504753688473</v>
      </c>
      <c r="S20" s="97">
        <v>0.60846442515158405</v>
      </c>
      <c r="T20" s="97">
        <v>0.68577264658491388</v>
      </c>
      <c r="U20" s="97">
        <v>0.58550714469892762</v>
      </c>
      <c r="V20" s="97">
        <v>1.0975525661232182</v>
      </c>
      <c r="W20" s="97">
        <v>1.036409452435946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1522.5252820607639</v>
      </c>
      <c r="C21" s="130">
        <f t="shared" si="17"/>
        <v>1618.5641545963406</v>
      </c>
      <c r="D21" s="130">
        <f t="shared" si="17"/>
        <v>1703.2228526004385</v>
      </c>
      <c r="E21" s="130">
        <f t="shared" si="17"/>
        <v>1800.429628083597</v>
      </c>
      <c r="F21" s="130">
        <f t="shared" si="17"/>
        <v>1884.5516762323482</v>
      </c>
      <c r="G21" s="130">
        <f t="shared" si="17"/>
        <v>1902.8827761322568</v>
      </c>
      <c r="H21" s="130">
        <f t="shared" si="17"/>
        <v>2039.9835902088953</v>
      </c>
      <c r="I21" s="130">
        <f t="shared" si="17"/>
        <v>2144.3206519704413</v>
      </c>
      <c r="J21" s="130">
        <f t="shared" si="17"/>
        <v>2179.9940428769892</v>
      </c>
      <c r="K21" s="130">
        <f t="shared" si="17"/>
        <v>2234.9289207109118</v>
      </c>
      <c r="L21" s="130">
        <f t="shared" ref="L21" si="18">L22+L24+L26+L27+L29+L32</f>
        <v>2027.281959928813</v>
      </c>
      <c r="M21" s="130">
        <f t="shared" ref="M21:V21" si="19">M22+M24+M26+M27+M29+M32</f>
        <v>1907.8643511810058</v>
      </c>
      <c r="N21" s="130">
        <f t="shared" si="19"/>
        <v>1925.6142239224546</v>
      </c>
      <c r="O21" s="130">
        <f t="shared" si="19"/>
        <v>1839.0441475356376</v>
      </c>
      <c r="P21" s="130">
        <f t="shared" si="19"/>
        <v>1955.3568379702481</v>
      </c>
      <c r="Q21" s="130">
        <f t="shared" si="19"/>
        <v>2076.2122926527773</v>
      </c>
      <c r="R21" s="130">
        <f t="shared" si="19"/>
        <v>2181.4731719426591</v>
      </c>
      <c r="S21" s="130">
        <f t="shared" si="19"/>
        <v>2287.3197109750504</v>
      </c>
      <c r="T21" s="130">
        <f t="shared" si="19"/>
        <v>2454.1756686700783</v>
      </c>
      <c r="U21" s="130">
        <f t="shared" si="19"/>
        <v>2712.0553830110271</v>
      </c>
      <c r="V21" s="130">
        <f t="shared" si="19"/>
        <v>2478.2442785034341</v>
      </c>
      <c r="W21" s="130">
        <f t="shared" ref="W21" si="20">W22+W24+W26+W27+W29+W32</f>
        <v>2643.3593640089889</v>
      </c>
      <c r="DA21" s="176" t="s">
        <v>392</v>
      </c>
    </row>
    <row r="22" spans="1:105" ht="11.45" customHeight="1" x14ac:dyDescent="0.25">
      <c r="A22" s="111" t="s">
        <v>110</v>
      </c>
      <c r="B22" s="96">
        <v>1300.3186225290253</v>
      </c>
      <c r="C22" s="96">
        <v>1366.7357366778435</v>
      </c>
      <c r="D22" s="96">
        <v>1412.1400538763585</v>
      </c>
      <c r="E22" s="96">
        <v>1419.3176799960818</v>
      </c>
      <c r="F22" s="96">
        <v>1444.9443908598871</v>
      </c>
      <c r="G22" s="96">
        <v>1495.8161950626493</v>
      </c>
      <c r="H22" s="96">
        <v>1539.270085300903</v>
      </c>
      <c r="I22" s="96">
        <v>1585.3368381132573</v>
      </c>
      <c r="J22" s="96">
        <v>1569.886003247022</v>
      </c>
      <c r="K22" s="96">
        <v>1574.2171130354554</v>
      </c>
      <c r="L22" s="96">
        <v>1357.933545130878</v>
      </c>
      <c r="M22" s="96">
        <v>1256.2911589616613</v>
      </c>
      <c r="N22" s="96">
        <v>1242.1700239942286</v>
      </c>
      <c r="O22" s="96">
        <v>1158.2385251545031</v>
      </c>
      <c r="P22" s="96">
        <v>1265.3189960759491</v>
      </c>
      <c r="Q22" s="96">
        <v>1290.0274103831659</v>
      </c>
      <c r="R22" s="96">
        <v>1316.080040711978</v>
      </c>
      <c r="S22" s="96">
        <v>1348.5768684155278</v>
      </c>
      <c r="T22" s="96">
        <v>1412.2679218921123</v>
      </c>
      <c r="U22" s="96">
        <v>1517.0117933113183</v>
      </c>
      <c r="V22" s="96">
        <v>1358.6398322237123</v>
      </c>
      <c r="W22" s="96">
        <v>1442.1504494447006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2.4384607881875615</v>
      </c>
      <c r="H23" s="96">
        <v>10.412894891199489</v>
      </c>
      <c r="I23" s="96">
        <v>25.847647805180266</v>
      </c>
      <c r="J23" s="96">
        <v>44.804846058426556</v>
      </c>
      <c r="K23" s="96">
        <v>44.928456758140761</v>
      </c>
      <c r="L23" s="96">
        <v>54.654950157488564</v>
      </c>
      <c r="M23" s="96">
        <v>52.802067205253032</v>
      </c>
      <c r="N23" s="96">
        <v>49.147280124046333</v>
      </c>
      <c r="O23" s="96">
        <v>30.08025693117208</v>
      </c>
      <c r="P23" s="96">
        <v>58.584055202081274</v>
      </c>
      <c r="Q23" s="96">
        <v>41.420398050318248</v>
      </c>
      <c r="R23" s="96">
        <v>42.732052294830822</v>
      </c>
      <c r="S23" s="96">
        <v>43.987829733350232</v>
      </c>
      <c r="T23" s="96">
        <v>49.589229295459241</v>
      </c>
      <c r="U23" s="96">
        <v>44.690467687433483</v>
      </c>
      <c r="V23" s="96">
        <v>81.838331489763476</v>
      </c>
      <c r="W23" s="96">
        <v>85.084001434154359</v>
      </c>
      <c r="DA23" s="171" t="s">
        <v>641</v>
      </c>
    </row>
    <row r="24" spans="1:105" ht="11.45" customHeight="1" x14ac:dyDescent="0.25">
      <c r="A24" s="111" t="s">
        <v>111</v>
      </c>
      <c r="B24" s="96">
        <v>222.20665953173847</v>
      </c>
      <c r="C24" s="96">
        <v>249.75360805405137</v>
      </c>
      <c r="D24" s="96">
        <v>288.99820548278717</v>
      </c>
      <c r="E24" s="96">
        <v>337.2250894586752</v>
      </c>
      <c r="F24" s="96">
        <v>400.48664027387071</v>
      </c>
      <c r="G24" s="96">
        <v>374.67680194060756</v>
      </c>
      <c r="H24" s="96">
        <v>467.19733866102922</v>
      </c>
      <c r="I24" s="96">
        <v>526.58369470747584</v>
      </c>
      <c r="J24" s="96">
        <v>579.94635694815997</v>
      </c>
      <c r="K24" s="96">
        <v>633.90824355496488</v>
      </c>
      <c r="L24" s="96">
        <v>640.26848315460234</v>
      </c>
      <c r="M24" s="96">
        <v>620.20038256906537</v>
      </c>
      <c r="N24" s="96">
        <v>659.91793807496765</v>
      </c>
      <c r="O24" s="96">
        <v>648.06645690443725</v>
      </c>
      <c r="P24" s="96">
        <v>659.38297508123503</v>
      </c>
      <c r="Q24" s="96">
        <v>755.03478472727943</v>
      </c>
      <c r="R24" s="96">
        <v>836.81297704360782</v>
      </c>
      <c r="S24" s="96">
        <v>910.97245549685113</v>
      </c>
      <c r="T24" s="96">
        <v>1016.9380680532295</v>
      </c>
      <c r="U24" s="96">
        <v>1172.6453810648479</v>
      </c>
      <c r="V24" s="96">
        <v>1101.6649225540671</v>
      </c>
      <c r="W24" s="96">
        <v>1180.8638611860674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0.36517013006773719</v>
      </c>
      <c r="J25" s="96">
        <v>25.581764388915104</v>
      </c>
      <c r="K25" s="96">
        <v>29.234972423741461</v>
      </c>
      <c r="L25" s="96">
        <v>30.577220983334474</v>
      </c>
      <c r="M25" s="96">
        <v>28.410351345607545</v>
      </c>
      <c r="N25" s="96">
        <v>30.97321973914466</v>
      </c>
      <c r="O25" s="96">
        <v>33.628787446284157</v>
      </c>
      <c r="P25" s="96">
        <v>36.04479636148676</v>
      </c>
      <c r="Q25" s="96">
        <v>37.862263457377473</v>
      </c>
      <c r="R25" s="96">
        <v>44.621823952723524</v>
      </c>
      <c r="S25" s="96">
        <v>37.83449268250093</v>
      </c>
      <c r="T25" s="96">
        <v>46.89476546398808</v>
      </c>
      <c r="U25" s="96">
        <v>56.286020119250608</v>
      </c>
      <c r="V25" s="96">
        <v>75.527301038922587</v>
      </c>
      <c r="W25" s="96">
        <v>72.392330841307171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2.0748098644454886</v>
      </c>
      <c r="D26" s="96">
        <v>2.0845932412927404</v>
      </c>
      <c r="E26" s="96">
        <v>43.88685862883991</v>
      </c>
      <c r="F26" s="96">
        <v>39.120645098590366</v>
      </c>
      <c r="G26" s="96">
        <v>32.389779128999983</v>
      </c>
      <c r="H26" s="96">
        <v>33.516166246963174</v>
      </c>
      <c r="I26" s="96">
        <v>32.400119149708352</v>
      </c>
      <c r="J26" s="96">
        <v>30.1616826818072</v>
      </c>
      <c r="K26" s="96">
        <v>26.803564120491536</v>
      </c>
      <c r="L26" s="96">
        <v>29.058543098224174</v>
      </c>
      <c r="M26" s="96">
        <v>31.315689554416302</v>
      </c>
      <c r="N26" s="96">
        <v>23.468010157024175</v>
      </c>
      <c r="O26" s="96">
        <v>32.460958258397511</v>
      </c>
      <c r="P26" s="96">
        <v>30.218080715955264</v>
      </c>
      <c r="Q26" s="96">
        <v>30.226904218260252</v>
      </c>
      <c r="R26" s="96">
        <v>27.482004813608729</v>
      </c>
      <c r="S26" s="96">
        <v>26.379804544805566</v>
      </c>
      <c r="T26" s="96">
        <v>23.083168319455517</v>
      </c>
      <c r="U26" s="96">
        <v>19.787442155701434</v>
      </c>
      <c r="V26" s="96">
        <v>14.283362979193065</v>
      </c>
      <c r="W26" s="96">
        <v>14.288731869614184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1.8625158706580256E-3</v>
      </c>
      <c r="M27" s="96">
        <v>2.1357232235510158E-3</v>
      </c>
      <c r="N27" s="96">
        <v>1.4182560132598059E-3</v>
      </c>
      <c r="O27" s="96">
        <v>0.22036235246352529</v>
      </c>
      <c r="P27" s="96">
        <v>0.37112406635351186</v>
      </c>
      <c r="Q27" s="96">
        <v>0.83254360847983966</v>
      </c>
      <c r="R27" s="96">
        <v>0.93197736530886277</v>
      </c>
      <c r="S27" s="96">
        <v>1.0338154962479944</v>
      </c>
      <c r="T27" s="96">
        <v>1.1361509052066254</v>
      </c>
      <c r="U27" s="96">
        <v>1.2242127642719045</v>
      </c>
      <c r="V27" s="96">
        <v>1.1040092574536384</v>
      </c>
      <c r="W27" s="96">
        <v>1.1244903240471757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3.1055444123172212E-3</v>
      </c>
      <c r="O29" s="96">
        <v>3.0978742924629779E-3</v>
      </c>
      <c r="P29" s="96">
        <v>7.9889902846149215E-3</v>
      </c>
      <c r="Q29" s="96">
        <v>2.01414503450194E-2</v>
      </c>
      <c r="R29" s="96">
        <v>7.4288326817684908E-2</v>
      </c>
      <c r="S29" s="96">
        <v>0.14388474398076495</v>
      </c>
      <c r="T29" s="96">
        <v>0.35152316279598245</v>
      </c>
      <c r="U29" s="96">
        <v>0.60702226826980188</v>
      </c>
      <c r="V29" s="96">
        <v>1.2748429549512235</v>
      </c>
      <c r="W29" s="96">
        <v>2.6306612891281258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7.6479203897579997E-5</v>
      </c>
      <c r="O30" s="96">
        <v>5.0016864779640242E-5</v>
      </c>
      <c r="P30" s="96">
        <v>2.1641921050201786E-4</v>
      </c>
      <c r="Q30" s="96">
        <v>3.3734474661272754E-4</v>
      </c>
      <c r="R30" s="96">
        <v>1.3616603200842855E-3</v>
      </c>
      <c r="S30" s="96">
        <v>2.7645396974944683E-3</v>
      </c>
      <c r="T30" s="96">
        <v>7.325173806837248E-3</v>
      </c>
      <c r="U30" s="96">
        <v>1.0374945390310487E-2</v>
      </c>
      <c r="V30" s="96">
        <v>3.9743443094709376E-2</v>
      </c>
      <c r="W30" s="96">
        <v>7.629585725599225E-2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1.1725752978364464E-3</v>
      </c>
      <c r="O31" s="96">
        <v>1.1719778538860678E-3</v>
      </c>
      <c r="P31" s="96">
        <v>3.3146921804742186E-3</v>
      </c>
      <c r="Q31" s="96">
        <v>9.6349368791055056E-3</v>
      </c>
      <c r="R31" s="96">
        <v>3.2351329335605375E-2</v>
      </c>
      <c r="S31" s="96">
        <v>5.912961260789578E-2</v>
      </c>
      <c r="T31" s="96">
        <v>0.14290713595589913</v>
      </c>
      <c r="U31" s="96">
        <v>0.25484617062543707</v>
      </c>
      <c r="V31" s="96">
        <v>0.61504180950701726</v>
      </c>
      <c r="W31" s="96">
        <v>1.3374674691636383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1.9526029237829597E-2</v>
      </c>
      <c r="M32" s="96">
        <v>5.4984372639289403E-2</v>
      </c>
      <c r="N32" s="96">
        <v>5.3727895808625463E-2</v>
      </c>
      <c r="O32" s="96">
        <v>5.4746991543619561E-2</v>
      </c>
      <c r="P32" s="96">
        <v>5.7673040470406139E-2</v>
      </c>
      <c r="Q32" s="96">
        <v>7.0508265247059845E-2</v>
      </c>
      <c r="R32" s="96">
        <v>9.1883681337887241E-2</v>
      </c>
      <c r="S32" s="96">
        <v>0.21288227763697998</v>
      </c>
      <c r="T32" s="96">
        <v>0.39883633727844214</v>
      </c>
      <c r="U32" s="96">
        <v>0.77953144661800178</v>
      </c>
      <c r="V32" s="96">
        <v>1.2773085340568326</v>
      </c>
      <c r="W32" s="96">
        <v>2.3011698954313142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383.09705339216225</v>
      </c>
      <c r="C33" s="130">
        <f t="shared" si="21"/>
        <v>384.25211286263192</v>
      </c>
      <c r="D33" s="130">
        <f t="shared" si="21"/>
        <v>396.98565071806684</v>
      </c>
      <c r="E33" s="130">
        <f t="shared" si="21"/>
        <v>397.76599409695297</v>
      </c>
      <c r="F33" s="130">
        <f t="shared" si="21"/>
        <v>383.5332311440223</v>
      </c>
      <c r="G33" s="130">
        <f t="shared" si="21"/>
        <v>394.95529429054722</v>
      </c>
      <c r="H33" s="130">
        <f t="shared" si="21"/>
        <v>427.26798598069502</v>
      </c>
      <c r="I33" s="130">
        <f t="shared" si="21"/>
        <v>421.55522516480988</v>
      </c>
      <c r="J33" s="130">
        <f t="shared" si="21"/>
        <v>392.76968596862372</v>
      </c>
      <c r="K33" s="130">
        <f t="shared" si="21"/>
        <v>378.42146832909202</v>
      </c>
      <c r="L33" s="130">
        <f t="shared" ref="L33" si="22">L34+L36+L38+L39+L41</f>
        <v>381.66857661872046</v>
      </c>
      <c r="M33" s="130">
        <f t="shared" ref="M33:V33" si="23">M34+M36+M38+M39+M41</f>
        <v>357.29959963542768</v>
      </c>
      <c r="N33" s="130">
        <f t="shared" si="23"/>
        <v>349.64035879189396</v>
      </c>
      <c r="O33" s="130">
        <f t="shared" si="23"/>
        <v>337.11808484120183</v>
      </c>
      <c r="P33" s="130">
        <f t="shared" si="23"/>
        <v>373.73471402698482</v>
      </c>
      <c r="Q33" s="130">
        <f t="shared" si="23"/>
        <v>391.99977901178943</v>
      </c>
      <c r="R33" s="130">
        <f t="shared" si="23"/>
        <v>392.40811607579684</v>
      </c>
      <c r="S33" s="130">
        <f t="shared" si="23"/>
        <v>413.35599489539487</v>
      </c>
      <c r="T33" s="130">
        <f t="shared" si="23"/>
        <v>425.0101862682148</v>
      </c>
      <c r="U33" s="130">
        <f t="shared" si="23"/>
        <v>424.86931826635373</v>
      </c>
      <c r="V33" s="130">
        <f t="shared" si="23"/>
        <v>344.59824059847875</v>
      </c>
      <c r="W33" s="130">
        <f t="shared" ref="W33" si="24">W34+W36+W38+W39+W41</f>
        <v>375.84818629277288</v>
      </c>
      <c r="DA33" s="176" t="s">
        <v>393</v>
      </c>
    </row>
    <row r="34" spans="1:105" ht="11.45" customHeight="1" x14ac:dyDescent="0.25">
      <c r="A34" s="111" t="s">
        <v>110</v>
      </c>
      <c r="B34" s="97">
        <v>6.8957919409584303</v>
      </c>
      <c r="C34" s="97">
        <v>6.3220239252231396</v>
      </c>
      <c r="D34" s="97">
        <v>5.7207360636236126</v>
      </c>
      <c r="E34" s="97">
        <v>5.1045451290718011</v>
      </c>
      <c r="F34" s="97">
        <v>4.4857238249266631</v>
      </c>
      <c r="G34" s="97">
        <v>3.8825741277664378</v>
      </c>
      <c r="H34" s="97">
        <v>3.3184539356909717</v>
      </c>
      <c r="I34" s="97">
        <v>2.8313357067381393</v>
      </c>
      <c r="J34" s="97">
        <v>2.3705604460812553</v>
      </c>
      <c r="K34" s="97">
        <v>1.9213165313788769</v>
      </c>
      <c r="L34" s="97">
        <v>1.5483280791187364</v>
      </c>
      <c r="M34" s="97">
        <v>1.202550344347709</v>
      </c>
      <c r="N34" s="97">
        <v>0.99753102963376794</v>
      </c>
      <c r="O34" s="97">
        <v>1.0034778207255552</v>
      </c>
      <c r="P34" s="97">
        <v>0.87206930078066858</v>
      </c>
      <c r="Q34" s="97">
        <v>0.66536204881665439</v>
      </c>
      <c r="R34" s="97">
        <v>0.43517453599393513</v>
      </c>
      <c r="S34" s="97">
        <v>0.37175930899784349</v>
      </c>
      <c r="T34" s="97">
        <v>0.35758832717845385</v>
      </c>
      <c r="U34" s="97">
        <v>0.34283098501149906</v>
      </c>
      <c r="V34" s="97">
        <v>0.33592517222663787</v>
      </c>
      <c r="W34" s="97">
        <v>0.32412188142157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6.3293236154549418E-3</v>
      </c>
      <c r="H35" s="97">
        <v>2.2448764751302537E-2</v>
      </c>
      <c r="I35" s="97">
        <v>4.6162661717427604E-2</v>
      </c>
      <c r="J35" s="97">
        <v>6.7656247421267732E-2</v>
      </c>
      <c r="K35" s="97">
        <v>5.4834740382353274E-2</v>
      </c>
      <c r="L35" s="97">
        <v>6.2318067253812837E-2</v>
      </c>
      <c r="M35" s="97">
        <v>5.0543334359233263E-2</v>
      </c>
      <c r="N35" s="97">
        <v>3.9467976201997726E-2</v>
      </c>
      <c r="O35" s="97">
        <v>2.6061014218233525E-2</v>
      </c>
      <c r="P35" s="97">
        <v>4.0376660917456536E-2</v>
      </c>
      <c r="Q35" s="97">
        <v>2.1363546764774029E-2</v>
      </c>
      <c r="R35" s="97">
        <v>1.4129764493207795E-2</v>
      </c>
      <c r="S35" s="97">
        <v>1.2126031202951327E-2</v>
      </c>
      <c r="T35" s="97">
        <v>1.2556066221538589E-2</v>
      </c>
      <c r="U35" s="97">
        <v>1.0099642682713928E-2</v>
      </c>
      <c r="V35" s="97">
        <v>2.0234616230442402E-2</v>
      </c>
      <c r="W35" s="97">
        <v>1.9122544831804759E-2</v>
      </c>
      <c r="DA35" s="175" t="s">
        <v>652</v>
      </c>
    </row>
    <row r="36" spans="1:105" ht="11.45" customHeight="1" x14ac:dyDescent="0.25">
      <c r="A36" s="111" t="s">
        <v>111</v>
      </c>
      <c r="B36" s="97">
        <v>370.92829102305626</v>
      </c>
      <c r="C36" s="97">
        <v>372.5706906025971</v>
      </c>
      <c r="D36" s="97">
        <v>385.83936181190387</v>
      </c>
      <c r="E36" s="97">
        <v>387.13626362446922</v>
      </c>
      <c r="F36" s="97">
        <v>373.63642584980914</v>
      </c>
      <c r="G36" s="97">
        <v>386.47047941062124</v>
      </c>
      <c r="H36" s="97">
        <v>419.52494627400222</v>
      </c>
      <c r="I36" s="97">
        <v>415.26435990382424</v>
      </c>
      <c r="J36" s="97">
        <v>387.73903912544745</v>
      </c>
      <c r="K36" s="97">
        <v>374.2315106475761</v>
      </c>
      <c r="L36" s="97">
        <v>378.53004707559535</v>
      </c>
      <c r="M36" s="97">
        <v>354.73250098224577</v>
      </c>
      <c r="N36" s="97">
        <v>347.15247503246945</v>
      </c>
      <c r="O36" s="97">
        <v>335.00796383130859</v>
      </c>
      <c r="P36" s="97">
        <v>371.64501030986526</v>
      </c>
      <c r="Q36" s="97">
        <v>387.88566481618324</v>
      </c>
      <c r="R36" s="97">
        <v>384.76136544209635</v>
      </c>
      <c r="S36" s="97">
        <v>405.29044259177965</v>
      </c>
      <c r="T36" s="97">
        <v>416.22340575737263</v>
      </c>
      <c r="U36" s="97">
        <v>416.60712552995545</v>
      </c>
      <c r="V36" s="97">
        <v>337.23798001072686</v>
      </c>
      <c r="W36" s="97">
        <v>368.58089785337359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0.28797348235936998</v>
      </c>
      <c r="J37" s="97">
        <v>17.103390036775714</v>
      </c>
      <c r="K37" s="97">
        <v>17.259040255608152</v>
      </c>
      <c r="L37" s="97">
        <v>18.077411590268241</v>
      </c>
      <c r="M37" s="97">
        <v>16.249707787771932</v>
      </c>
      <c r="N37" s="97">
        <v>16.293586326103345</v>
      </c>
      <c r="O37" s="97">
        <v>17.383883224427986</v>
      </c>
      <c r="P37" s="97">
        <v>20.315763708839146</v>
      </c>
      <c r="Q37" s="97">
        <v>19.451063089649633</v>
      </c>
      <c r="R37" s="97">
        <v>20.516835163362977</v>
      </c>
      <c r="S37" s="97">
        <v>16.832515837334508</v>
      </c>
      <c r="T37" s="97">
        <v>19.193596549079793</v>
      </c>
      <c r="U37" s="97">
        <v>19.996801614575656</v>
      </c>
      <c r="V37" s="97">
        <v>23.120164685808348</v>
      </c>
      <c r="W37" s="97">
        <v>22.595687086560059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1.0361874628054237E-2</v>
      </c>
      <c r="Q38" s="97">
        <v>1.0469909434899225E-2</v>
      </c>
      <c r="R38" s="97">
        <v>2.0951094783076843E-2</v>
      </c>
      <c r="S38" s="97">
        <v>2.1178723969787774E-2</v>
      </c>
      <c r="T38" s="97">
        <v>2.0683956239879162E-2</v>
      </c>
      <c r="U38" s="97">
        <v>2.0044548246027801E-2</v>
      </c>
      <c r="V38" s="97">
        <v>1.934396618554661E-2</v>
      </c>
      <c r="W38" s="97">
        <v>1.9066178915605626E-2</v>
      </c>
      <c r="DA38" s="175" t="s">
        <v>655</v>
      </c>
    </row>
    <row r="39" spans="1:105" ht="11.45" customHeight="1" x14ac:dyDescent="0.25">
      <c r="A39" s="111" t="s">
        <v>113</v>
      </c>
      <c r="B39" s="97">
        <v>1.6690812080596511</v>
      </c>
      <c r="C39" s="97">
        <v>1.8414157984588166</v>
      </c>
      <c r="D39" s="97">
        <v>1.9059067921989428</v>
      </c>
      <c r="E39" s="97">
        <v>1.9918941919315689</v>
      </c>
      <c r="F39" s="97">
        <v>1.9489050850368566</v>
      </c>
      <c r="G39" s="97">
        <v>2.6593144618739735</v>
      </c>
      <c r="H39" s="97">
        <v>2.7882937715278877</v>
      </c>
      <c r="I39" s="97">
        <v>2.1004198508706011</v>
      </c>
      <c r="J39" s="97">
        <v>1.5640518025958026</v>
      </c>
      <c r="K39" s="97">
        <v>1.3920852765289677</v>
      </c>
      <c r="L39" s="97">
        <v>0.91834257631201077</v>
      </c>
      <c r="M39" s="97">
        <v>0.85358307007244527</v>
      </c>
      <c r="N39" s="97">
        <v>1.1110901273300147</v>
      </c>
      <c r="O39" s="97">
        <v>0.81743449554616421</v>
      </c>
      <c r="P39" s="97">
        <v>0.99312569459796252</v>
      </c>
      <c r="Q39" s="97">
        <v>3.0142925886150072</v>
      </c>
      <c r="R39" s="97">
        <v>6.7397723345860587</v>
      </c>
      <c r="S39" s="97">
        <v>7.2366621981166368</v>
      </c>
      <c r="T39" s="97">
        <v>7.959072575932419</v>
      </c>
      <c r="U39" s="97">
        <v>7.4501211530165179</v>
      </c>
      <c r="V39" s="97">
        <v>6.2801259575460229</v>
      </c>
      <c r="W39" s="97">
        <v>5.5721009770204466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3.6038892200879475</v>
      </c>
      <c r="C41" s="97">
        <v>3.5179825363528368</v>
      </c>
      <c r="D41" s="97">
        <v>3.5196460503403886</v>
      </c>
      <c r="E41" s="97">
        <v>3.5332911514803307</v>
      </c>
      <c r="F41" s="97">
        <v>3.4621763842496147</v>
      </c>
      <c r="G41" s="97">
        <v>1.9429262902855748</v>
      </c>
      <c r="H41" s="97">
        <v>1.6362919994739611</v>
      </c>
      <c r="I41" s="97">
        <v>1.3591097033769199</v>
      </c>
      <c r="J41" s="97">
        <v>1.0960345944992074</v>
      </c>
      <c r="K41" s="97">
        <v>0.87655587360806553</v>
      </c>
      <c r="L41" s="97">
        <v>0.67185888769438085</v>
      </c>
      <c r="M41" s="97">
        <v>0.51096523876182531</v>
      </c>
      <c r="N41" s="97">
        <v>0.37926260246074106</v>
      </c>
      <c r="O41" s="97">
        <v>0.28920869362153834</v>
      </c>
      <c r="P41" s="97">
        <v>0.21414684711290749</v>
      </c>
      <c r="Q41" s="97">
        <v>0.42398964873962058</v>
      </c>
      <c r="R41" s="97">
        <v>0.45085266833743198</v>
      </c>
      <c r="S41" s="97">
        <v>0.43595207253095919</v>
      </c>
      <c r="T41" s="97">
        <v>0.44943565149137393</v>
      </c>
      <c r="U41" s="97">
        <v>0.44919605012423597</v>
      </c>
      <c r="V41" s="97">
        <v>0.7248654917937134</v>
      </c>
      <c r="W41" s="97">
        <v>1.3519994020417188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973.19159201891398</v>
      </c>
      <c r="C42" s="32">
        <f t="shared" si="25"/>
        <v>1035.964173077864</v>
      </c>
      <c r="D42" s="32">
        <f t="shared" si="25"/>
        <v>1140.522604188614</v>
      </c>
      <c r="E42" s="32">
        <f t="shared" si="25"/>
        <v>1192.6487500507017</v>
      </c>
      <c r="F42" s="32">
        <f t="shared" si="25"/>
        <v>1287.805827406632</v>
      </c>
      <c r="G42" s="32">
        <f t="shared" si="25"/>
        <v>1562.5277113932902</v>
      </c>
      <c r="H42" s="32">
        <f t="shared" si="25"/>
        <v>1668.4912259325076</v>
      </c>
      <c r="I42" s="32">
        <f t="shared" si="25"/>
        <v>1651.4322589447249</v>
      </c>
      <c r="J42" s="32">
        <f t="shared" si="25"/>
        <v>1748.6497519907382</v>
      </c>
      <c r="K42" s="32">
        <f t="shared" si="25"/>
        <v>1684.8407307337197</v>
      </c>
      <c r="L42" s="32">
        <f t="shared" ref="L42" si="26">L43+L52</f>
        <v>1485.7445232929304</v>
      </c>
      <c r="M42" s="32">
        <f t="shared" ref="M42:V42" si="27">M43+M52</f>
        <v>1338.2196370034553</v>
      </c>
      <c r="N42" s="32">
        <f t="shared" si="27"/>
        <v>1211.6515173359071</v>
      </c>
      <c r="O42" s="32">
        <f t="shared" si="27"/>
        <v>1075.3783141884885</v>
      </c>
      <c r="P42" s="32">
        <f t="shared" si="27"/>
        <v>1331.351240638141</v>
      </c>
      <c r="Q42" s="32">
        <f t="shared" si="27"/>
        <v>1517.9174248384134</v>
      </c>
      <c r="R42" s="32">
        <f t="shared" si="27"/>
        <v>1482.1763606794334</v>
      </c>
      <c r="S42" s="32">
        <f t="shared" si="27"/>
        <v>1567.7906755812032</v>
      </c>
      <c r="T42" s="32">
        <f t="shared" si="27"/>
        <v>1670.9067367741009</v>
      </c>
      <c r="U42" s="32">
        <f t="shared" si="27"/>
        <v>1692.1385193988508</v>
      </c>
      <c r="V42" s="32">
        <f t="shared" si="27"/>
        <v>1424.2954856203353</v>
      </c>
      <c r="W42" s="32">
        <f t="shared" ref="W42" si="28">W43+W52</f>
        <v>1694.1950888030692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340.09492197189951</v>
      </c>
      <c r="C43" s="141">
        <f t="shared" si="29"/>
        <v>352.5824150260712</v>
      </c>
      <c r="D43" s="141">
        <f t="shared" si="29"/>
        <v>383.1075901380886</v>
      </c>
      <c r="E43" s="141">
        <f t="shared" si="29"/>
        <v>399.22041264587438</v>
      </c>
      <c r="F43" s="141">
        <f t="shared" si="29"/>
        <v>404.98632490105308</v>
      </c>
      <c r="G43" s="141">
        <f t="shared" si="29"/>
        <v>435.2119197635642</v>
      </c>
      <c r="H43" s="141">
        <f t="shared" si="29"/>
        <v>432.3375225456727</v>
      </c>
      <c r="I43" s="141">
        <f t="shared" si="29"/>
        <v>438.73602723503723</v>
      </c>
      <c r="J43" s="141">
        <f t="shared" si="29"/>
        <v>485.11345061149706</v>
      </c>
      <c r="K43" s="141">
        <f t="shared" si="29"/>
        <v>550.58354000649717</v>
      </c>
      <c r="L43" s="141">
        <f t="shared" ref="L43" si="30">L44+L46+L48+L49+L51</f>
        <v>468.52186502879232</v>
      </c>
      <c r="M43" s="141">
        <f t="shared" ref="M43:V43" si="31">M44+M46+M48+M49+M51</f>
        <v>470.58957942222361</v>
      </c>
      <c r="N43" s="141">
        <f t="shared" si="31"/>
        <v>475.42793454716184</v>
      </c>
      <c r="O43" s="141">
        <f t="shared" si="31"/>
        <v>469.65219942221916</v>
      </c>
      <c r="P43" s="141">
        <f t="shared" si="31"/>
        <v>518.69949534205386</v>
      </c>
      <c r="Q43" s="141">
        <f t="shared" si="31"/>
        <v>554.16762728881599</v>
      </c>
      <c r="R43" s="141">
        <f t="shared" si="31"/>
        <v>565.07858729182544</v>
      </c>
      <c r="S43" s="141">
        <f t="shared" si="31"/>
        <v>600.13362005935483</v>
      </c>
      <c r="T43" s="141">
        <f t="shared" si="31"/>
        <v>638.47977384871626</v>
      </c>
      <c r="U43" s="141">
        <f t="shared" si="31"/>
        <v>671.07467084152347</v>
      </c>
      <c r="V43" s="141">
        <f t="shared" si="31"/>
        <v>662.81842721966973</v>
      </c>
      <c r="W43" s="141">
        <f t="shared" ref="W43" si="32">W44+W46+W48+W49+W51</f>
        <v>717.59243618586117</v>
      </c>
      <c r="DA43" s="174" t="s">
        <v>399</v>
      </c>
    </row>
    <row r="44" spans="1:105" ht="11.45" customHeight="1" x14ac:dyDescent="0.25">
      <c r="A44" s="111" t="s">
        <v>110</v>
      </c>
      <c r="B44" s="96">
        <v>94.574385604640199</v>
      </c>
      <c r="C44" s="96">
        <v>86.729374955455896</v>
      </c>
      <c r="D44" s="96">
        <v>77.430809092033698</v>
      </c>
      <c r="E44" s="96">
        <v>69.189543830799551</v>
      </c>
      <c r="F44" s="96">
        <v>62.110481547129353</v>
      </c>
      <c r="G44" s="96">
        <v>55.805427693948097</v>
      </c>
      <c r="H44" s="96">
        <v>50.102063749315022</v>
      </c>
      <c r="I44" s="96">
        <v>44.347146623671755</v>
      </c>
      <c r="J44" s="96">
        <v>35.901209289935018</v>
      </c>
      <c r="K44" s="96">
        <v>32.153520403789166</v>
      </c>
      <c r="L44" s="96">
        <v>28.772790535547713</v>
      </c>
      <c r="M44" s="96">
        <v>25.37792718278908</v>
      </c>
      <c r="N44" s="96">
        <v>24.034693179756609</v>
      </c>
      <c r="O44" s="96">
        <v>21.539433421465922</v>
      </c>
      <c r="P44" s="96">
        <v>19.176922892019341</v>
      </c>
      <c r="Q44" s="96">
        <v>16.921233013679309</v>
      </c>
      <c r="R44" s="96">
        <v>15.756735709529028</v>
      </c>
      <c r="S44" s="96">
        <v>15.244414905018889</v>
      </c>
      <c r="T44" s="96">
        <v>15.137163386243424</v>
      </c>
      <c r="U44" s="96">
        <v>15.184104065820582</v>
      </c>
      <c r="V44" s="96">
        <v>14.404805127970835</v>
      </c>
      <c r="W44" s="96">
        <v>13.973547894347996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9.0973307849517723E-2</v>
      </c>
      <c r="H45" s="96">
        <v>0.33893176294126964</v>
      </c>
      <c r="I45" s="96">
        <v>0.72304471802822434</v>
      </c>
      <c r="J45" s="96">
        <v>1.0246273628912572</v>
      </c>
      <c r="K45" s="96">
        <v>0.91766760704188965</v>
      </c>
      <c r="L45" s="96">
        <v>1.1580650895995457</v>
      </c>
      <c r="M45" s="96">
        <v>1.066637305434178</v>
      </c>
      <c r="N45" s="96">
        <v>0.95094856226098423</v>
      </c>
      <c r="O45" s="96">
        <v>0.55939400857275201</v>
      </c>
      <c r="P45" s="96">
        <v>0.88788828176628665</v>
      </c>
      <c r="Q45" s="96">
        <v>0.54330954620615812</v>
      </c>
      <c r="R45" s="96">
        <v>0.51160843832201031</v>
      </c>
      <c r="S45" s="96">
        <v>0.49724175383074976</v>
      </c>
      <c r="T45" s="96">
        <v>0.53151406642273025</v>
      </c>
      <c r="U45" s="96">
        <v>0.44731670189258982</v>
      </c>
      <c r="V45" s="96">
        <v>0.8676804471269256</v>
      </c>
      <c r="W45" s="96">
        <v>0.82441146798569087</v>
      </c>
      <c r="DA45" s="171" t="s">
        <v>660</v>
      </c>
    </row>
    <row r="46" spans="1:105" ht="11.45" customHeight="1" x14ac:dyDescent="0.25">
      <c r="A46" s="111" t="s">
        <v>111</v>
      </c>
      <c r="B46" s="96">
        <v>245.51291938099394</v>
      </c>
      <c r="C46" s="96">
        <v>265.66109720385492</v>
      </c>
      <c r="D46" s="96">
        <v>305.49462415779249</v>
      </c>
      <c r="E46" s="96">
        <v>329.85055026869242</v>
      </c>
      <c r="F46" s="96">
        <v>342.69913386429215</v>
      </c>
      <c r="G46" s="96">
        <v>379.23537929763535</v>
      </c>
      <c r="H46" s="96">
        <v>382.06812173832259</v>
      </c>
      <c r="I46" s="96">
        <v>394.22811264719815</v>
      </c>
      <c r="J46" s="96">
        <v>449.05921398309317</v>
      </c>
      <c r="K46" s="96">
        <v>518.2866320263837</v>
      </c>
      <c r="L46" s="96">
        <v>439.61655871116653</v>
      </c>
      <c r="M46" s="96">
        <v>445.09105714776592</v>
      </c>
      <c r="N46" s="96">
        <v>451.28184245291453</v>
      </c>
      <c r="O46" s="96">
        <v>447.95784798895625</v>
      </c>
      <c r="P46" s="96">
        <v>499.36265968254554</v>
      </c>
      <c r="Q46" s="96">
        <v>536.78065574442905</v>
      </c>
      <c r="R46" s="96">
        <v>548.83863219203624</v>
      </c>
      <c r="S46" s="96">
        <v>584.33748405074198</v>
      </c>
      <c r="T46" s="96">
        <v>622.68903531904391</v>
      </c>
      <c r="U46" s="96">
        <v>655.21107391063777</v>
      </c>
      <c r="V46" s="96">
        <v>647.69252398724882</v>
      </c>
      <c r="W46" s="96">
        <v>702.80753245341054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0.27338547056932277</v>
      </c>
      <c r="J47" s="96">
        <v>19.808257903780156</v>
      </c>
      <c r="K47" s="96">
        <v>23.902663435818468</v>
      </c>
      <c r="L47" s="96">
        <v>20.994712401607529</v>
      </c>
      <c r="M47" s="96">
        <v>20.388883447597273</v>
      </c>
      <c r="N47" s="96">
        <v>21.180893659830026</v>
      </c>
      <c r="O47" s="96">
        <v>23.244960596898835</v>
      </c>
      <c r="P47" s="96">
        <v>27.297376576291292</v>
      </c>
      <c r="Q47" s="96">
        <v>26.917608324443488</v>
      </c>
      <c r="R47" s="96">
        <v>29.266014624496421</v>
      </c>
      <c r="S47" s="96">
        <v>24.268694548366863</v>
      </c>
      <c r="T47" s="96">
        <v>28.714488311155542</v>
      </c>
      <c r="U47" s="96">
        <v>31.449596172886395</v>
      </c>
      <c r="V47" s="96">
        <v>44.40412618968881</v>
      </c>
      <c r="W47" s="96">
        <v>43.085301430114015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0.18469142532235225</v>
      </c>
      <c r="D48" s="96">
        <v>0.17490804847510052</v>
      </c>
      <c r="E48" s="96">
        <v>0.17307258354186048</v>
      </c>
      <c r="F48" s="96">
        <v>0.16946668128925352</v>
      </c>
      <c r="G48" s="96">
        <v>0.16490702749185143</v>
      </c>
      <c r="H48" s="96">
        <v>0.16113383902134334</v>
      </c>
      <c r="I48" s="96">
        <v>0.15456700678348012</v>
      </c>
      <c r="J48" s="96">
        <v>0.14786160022202921</v>
      </c>
      <c r="K48" s="96">
        <v>0.13822435758241125</v>
      </c>
      <c r="L48" s="96">
        <v>0.12838725431236556</v>
      </c>
      <c r="M48" s="96">
        <v>0.11646865710561816</v>
      </c>
      <c r="N48" s="96">
        <v>0.10610850161726525</v>
      </c>
      <c r="O48" s="96">
        <v>9.3727898094325163E-2</v>
      </c>
      <c r="P48" s="96">
        <v>8.1101691445913074E-2</v>
      </c>
      <c r="Q48" s="96">
        <v>7.2170154334079056E-2</v>
      </c>
      <c r="R48" s="96">
        <v>5.9898777764687272E-2</v>
      </c>
      <c r="S48" s="96">
        <v>4.7855940167036148E-2</v>
      </c>
      <c r="T48" s="96">
        <v>3.888203212919332E-2</v>
      </c>
      <c r="U48" s="96">
        <v>2.9142702759331503E-2</v>
      </c>
      <c r="V48" s="96">
        <v>2.3776287639439272E-2</v>
      </c>
      <c r="W48" s="96">
        <v>1.8685184488260179E-2</v>
      </c>
      <c r="DA48" s="171" t="s">
        <v>663</v>
      </c>
    </row>
    <row r="49" spans="1:105" ht="11.45" customHeight="1" x14ac:dyDescent="0.25">
      <c r="A49" s="111" t="s">
        <v>113</v>
      </c>
      <c r="B49" s="96">
        <v>7.6169862653698329E-3</v>
      </c>
      <c r="C49" s="96">
        <v>7.2514414380014467E-3</v>
      </c>
      <c r="D49" s="96">
        <v>7.2488397872991694E-3</v>
      </c>
      <c r="E49" s="96">
        <v>7.2459628405720893E-3</v>
      </c>
      <c r="F49" s="96">
        <v>7.2428083423353848E-3</v>
      </c>
      <c r="G49" s="96">
        <v>6.2057444888815169E-3</v>
      </c>
      <c r="H49" s="96">
        <v>6.2032190138142373E-3</v>
      </c>
      <c r="I49" s="96">
        <v>6.2009573839129804E-3</v>
      </c>
      <c r="J49" s="96">
        <v>5.1657382468454404E-3</v>
      </c>
      <c r="K49" s="96">
        <v>5.1632187418834017E-3</v>
      </c>
      <c r="L49" s="96">
        <v>4.1285277657404267E-3</v>
      </c>
      <c r="M49" s="96">
        <v>4.1264345629889957E-3</v>
      </c>
      <c r="N49" s="96">
        <v>5.2904128734065047E-3</v>
      </c>
      <c r="O49" s="96">
        <v>5.8505817510516332E-2</v>
      </c>
      <c r="P49" s="96">
        <v>7.5990995712325787E-2</v>
      </c>
      <c r="Q49" s="96">
        <v>0.38790155011065586</v>
      </c>
      <c r="R49" s="96">
        <v>0.41079544197954054</v>
      </c>
      <c r="S49" s="96">
        <v>0.47844749910054424</v>
      </c>
      <c r="T49" s="96">
        <v>0.55653920157806613</v>
      </c>
      <c r="U49" s="96">
        <v>0.56900228219567128</v>
      </c>
      <c r="V49" s="96">
        <v>0.56943314269595324</v>
      </c>
      <c r="W49" s="96">
        <v>0.56910087434080436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2.6842961921499137E-3</v>
      </c>
      <c r="P51" s="96">
        <v>2.8200803307456192E-3</v>
      </c>
      <c r="Q51" s="96">
        <v>5.6668262628423649E-3</v>
      </c>
      <c r="R51" s="96">
        <v>1.2525170515867165E-2</v>
      </c>
      <c r="S51" s="96">
        <v>2.5417664326515023E-2</v>
      </c>
      <c r="T51" s="96">
        <v>5.8153909721648508E-2</v>
      </c>
      <c r="U51" s="96">
        <v>8.1347880110003351E-2</v>
      </c>
      <c r="V51" s="96">
        <v>0.12788867411473459</v>
      </c>
      <c r="W51" s="96">
        <v>0.22356977927352203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633.09667004701441</v>
      </c>
      <c r="C52" s="130">
        <f t="shared" si="33"/>
        <v>683.38175805179264</v>
      </c>
      <c r="D52" s="130">
        <f t="shared" si="33"/>
        <v>757.41501405052531</v>
      </c>
      <c r="E52" s="130">
        <f t="shared" si="33"/>
        <v>793.42833740482729</v>
      </c>
      <c r="F52" s="130">
        <f t="shared" si="33"/>
        <v>882.81950250557884</v>
      </c>
      <c r="G52" s="130">
        <f t="shared" si="33"/>
        <v>1127.3157916297259</v>
      </c>
      <c r="H52" s="130">
        <f t="shared" si="33"/>
        <v>1236.1537033868349</v>
      </c>
      <c r="I52" s="130">
        <f t="shared" si="33"/>
        <v>1212.6962317096877</v>
      </c>
      <c r="J52" s="130">
        <f t="shared" si="33"/>
        <v>1263.5363013792412</v>
      </c>
      <c r="K52" s="130">
        <f t="shared" si="33"/>
        <v>1134.2571907272227</v>
      </c>
      <c r="L52" s="130">
        <f t="shared" ref="L52" si="34">L53+L55</f>
        <v>1017.2226582641381</v>
      </c>
      <c r="M52" s="130">
        <f t="shared" ref="M52:V52" si="35">M53+M55</f>
        <v>867.63005758123177</v>
      </c>
      <c r="N52" s="130">
        <f t="shared" si="35"/>
        <v>736.22358278874526</v>
      </c>
      <c r="O52" s="130">
        <f t="shared" si="35"/>
        <v>605.72611476626935</v>
      </c>
      <c r="P52" s="130">
        <f t="shared" si="35"/>
        <v>812.65174529608726</v>
      </c>
      <c r="Q52" s="130">
        <f t="shared" si="35"/>
        <v>963.74979754959725</v>
      </c>
      <c r="R52" s="130">
        <f t="shared" si="35"/>
        <v>917.09777338760796</v>
      </c>
      <c r="S52" s="130">
        <f t="shared" si="35"/>
        <v>967.65705552184841</v>
      </c>
      <c r="T52" s="130">
        <f t="shared" si="35"/>
        <v>1032.4269629253845</v>
      </c>
      <c r="U52" s="130">
        <f t="shared" si="35"/>
        <v>1021.0638485573272</v>
      </c>
      <c r="V52" s="130">
        <f t="shared" si="35"/>
        <v>761.47705840066556</v>
      </c>
      <c r="W52" s="130">
        <f t="shared" ref="W52" si="36">W53+W55</f>
        <v>976.60265261720815</v>
      </c>
      <c r="DA52" s="176" t="s">
        <v>400</v>
      </c>
    </row>
    <row r="53" spans="1:105" ht="11.45" customHeight="1" x14ac:dyDescent="0.25">
      <c r="A53" s="128" t="s">
        <v>27</v>
      </c>
      <c r="B53" s="97">
        <v>405.09058745440996</v>
      </c>
      <c r="C53" s="97">
        <v>413.23781089842322</v>
      </c>
      <c r="D53" s="97">
        <v>415.63165231444026</v>
      </c>
      <c r="E53" s="97">
        <v>420.08847038600265</v>
      </c>
      <c r="F53" s="97">
        <v>445.12069906778515</v>
      </c>
      <c r="G53" s="97">
        <v>611.3329791850216</v>
      </c>
      <c r="H53" s="97">
        <v>660.17838782257763</v>
      </c>
      <c r="I53" s="97">
        <v>667.74475424336413</v>
      </c>
      <c r="J53" s="97">
        <v>639.55973620498946</v>
      </c>
      <c r="K53" s="97">
        <v>656.60488963424177</v>
      </c>
      <c r="L53" s="97">
        <v>545.69574399862586</v>
      </c>
      <c r="M53" s="97">
        <v>479.42147386402803</v>
      </c>
      <c r="N53" s="97">
        <v>400.54780321461021</v>
      </c>
      <c r="O53" s="97">
        <v>371.31424075343256</v>
      </c>
      <c r="P53" s="97">
        <v>421.96812686936829</v>
      </c>
      <c r="Q53" s="97">
        <v>463.18723042169933</v>
      </c>
      <c r="R53" s="97">
        <v>465.60297182904048</v>
      </c>
      <c r="S53" s="97">
        <v>461.18693367108722</v>
      </c>
      <c r="T53" s="97">
        <v>507.0747722658075</v>
      </c>
      <c r="U53" s="97">
        <v>512.00019273621751</v>
      </c>
      <c r="V53" s="97">
        <v>450.58948825544525</v>
      </c>
      <c r="W53" s="97">
        <v>534.21636845700834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0.4630611262936179</v>
      </c>
      <c r="J54" s="97">
        <v>28.211344529051331</v>
      </c>
      <c r="K54" s="97">
        <v>30.281710384614094</v>
      </c>
      <c r="L54" s="97">
        <v>26.060722638884052</v>
      </c>
      <c r="M54" s="97">
        <v>21.961502923757479</v>
      </c>
      <c r="N54" s="97">
        <v>18.799693733417563</v>
      </c>
      <c r="O54" s="97">
        <v>19.267850611680181</v>
      </c>
      <c r="P54" s="97">
        <v>23.066648334635229</v>
      </c>
      <c r="Q54" s="97">
        <v>23.22716423542515</v>
      </c>
      <c r="R54" s="97">
        <v>24.827595186466198</v>
      </c>
      <c r="S54" s="97">
        <v>19.154007963640471</v>
      </c>
      <c r="T54" s="97">
        <v>23.38308817923566</v>
      </c>
      <c r="U54" s="97">
        <v>24.575590894530844</v>
      </c>
      <c r="V54" s="97">
        <v>30.891251257727962</v>
      </c>
      <c r="W54" s="97">
        <v>32.749895527616374</v>
      </c>
      <c r="DA54" s="175" t="s">
        <v>668</v>
      </c>
    </row>
    <row r="55" spans="1:105" ht="11.45" customHeight="1" x14ac:dyDescent="0.25">
      <c r="A55" s="128" t="s">
        <v>116</v>
      </c>
      <c r="B55" s="97">
        <v>228.00608259260449</v>
      </c>
      <c r="C55" s="97">
        <v>270.14394715336942</v>
      </c>
      <c r="D55" s="97">
        <v>341.78336173608506</v>
      </c>
      <c r="E55" s="97">
        <v>373.33986701882463</v>
      </c>
      <c r="F55" s="97">
        <v>437.69880343779369</v>
      </c>
      <c r="G55" s="97">
        <v>515.98281244470434</v>
      </c>
      <c r="H55" s="97">
        <v>575.97531556425724</v>
      </c>
      <c r="I55" s="97">
        <v>544.95147746632358</v>
      </c>
      <c r="J55" s="97">
        <v>623.97656517425185</v>
      </c>
      <c r="K55" s="97">
        <v>477.65230109298096</v>
      </c>
      <c r="L55" s="97">
        <v>471.52691426551229</v>
      </c>
      <c r="M55" s="97">
        <v>388.20858371720368</v>
      </c>
      <c r="N55" s="97">
        <v>335.67577957413499</v>
      </c>
      <c r="O55" s="97">
        <v>234.41187401283685</v>
      </c>
      <c r="P55" s="97">
        <v>390.68361842671902</v>
      </c>
      <c r="Q55" s="97">
        <v>500.56256712789792</v>
      </c>
      <c r="R55" s="97">
        <v>451.49480155856742</v>
      </c>
      <c r="S55" s="97">
        <v>506.47012185076119</v>
      </c>
      <c r="T55" s="97">
        <v>525.35219065957688</v>
      </c>
      <c r="U55" s="97">
        <v>509.06365582110976</v>
      </c>
      <c r="V55" s="97">
        <v>310.88757014522025</v>
      </c>
      <c r="W55" s="97">
        <v>442.38628416019986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0.37790764109688207</v>
      </c>
      <c r="J56" s="98">
        <v>27.523961972088188</v>
      </c>
      <c r="K56" s="98">
        <v>22.028664231086225</v>
      </c>
      <c r="L56" s="98">
        <v>22.518651216516211</v>
      </c>
      <c r="M56" s="98">
        <v>17.783191640579567</v>
      </c>
      <c r="N56" s="98">
        <v>15.754928123619619</v>
      </c>
      <c r="O56" s="98">
        <v>12.163856039883342</v>
      </c>
      <c r="P56" s="98">
        <v>21.356498423734681</v>
      </c>
      <c r="Q56" s="98">
        <v>25.101402182872057</v>
      </c>
      <c r="R56" s="98">
        <v>24.075297710956001</v>
      </c>
      <c r="S56" s="98">
        <v>21.034708572628421</v>
      </c>
      <c r="T56" s="98">
        <v>24.225927360685329</v>
      </c>
      <c r="U56" s="98">
        <v>24.434639522058294</v>
      </c>
      <c r="V56" s="98">
        <v>21.313648659322592</v>
      </c>
      <c r="W56" s="98">
        <v>27.120293282932078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11.227652444733065</v>
      </c>
      <c r="C60" s="79">
        <f>IF(C17=0,0,C17/TrRoad_act!C30*100)</f>
        <v>11.122215378923554</v>
      </c>
      <c r="D60" s="79">
        <f>IF(D17=0,0,D17/TrRoad_act!D30*100)</f>
        <v>11.274718376838829</v>
      </c>
      <c r="E60" s="79">
        <f>IF(E17=0,0,E17/TrRoad_act!E30*100)</f>
        <v>11.240654679084431</v>
      </c>
      <c r="F60" s="79">
        <f>IF(F17=0,0,F17/TrRoad_act!F30*100)</f>
        <v>11.285845399424211</v>
      </c>
      <c r="G60" s="79">
        <f>IF(G17=0,0,G17/TrRoad_act!G30*100)</f>
        <v>11.370887056434515</v>
      </c>
      <c r="H60" s="79">
        <f>IF(H17=0,0,H17/TrRoad_act!H30*100)</f>
        <v>11.86388464377178</v>
      </c>
      <c r="I60" s="79">
        <f>IF(I17=0,0,I17/TrRoad_act!I30*100)</f>
        <v>11.456853145000204</v>
      </c>
      <c r="J60" s="79">
        <f>IF(J17=0,0,J17/TrRoad_act!J30*100)</f>
        <v>11.386019883317704</v>
      </c>
      <c r="K60" s="79">
        <f>IF(K17=0,0,K17/TrRoad_act!K30*100)</f>
        <v>10.473348598373869</v>
      </c>
      <c r="L60" s="79">
        <f>IF(L17=0,0,L17/TrRoad_act!L30*100)</f>
        <v>10.592752789108701</v>
      </c>
      <c r="M60" s="79">
        <f>IF(M17=0,0,M17/TrRoad_act!M30*100)</f>
        <v>10.534416681706018</v>
      </c>
      <c r="N60" s="79">
        <f>IF(N17=0,0,N17/TrRoad_act!N30*100)</f>
        <v>10.066531285811735</v>
      </c>
      <c r="O60" s="79">
        <f>IF(O17=0,0,O17/TrRoad_act!O30*100)</f>
        <v>9.4693451773177042</v>
      </c>
      <c r="P60" s="79">
        <f>IF(P17=0,0,P17/TrRoad_act!P30*100)</f>
        <v>10.195536634366162</v>
      </c>
      <c r="Q60" s="79">
        <f>IF(Q17=0,0,Q17/TrRoad_act!Q30*100)</f>
        <v>10.431780934747589</v>
      </c>
      <c r="R60" s="79">
        <f>IF(R17=0,0,R17/TrRoad_act!R30*100)</f>
        <v>10.08143396560998</v>
      </c>
      <c r="S60" s="79">
        <f>IF(S17=0,0,S17/TrRoad_act!S30*100)</f>
        <v>10.022069396614535</v>
      </c>
      <c r="T60" s="79">
        <f>IF(T17=0,0,T17/TrRoad_act!T30*100)</f>
        <v>9.8222536482800447</v>
      </c>
      <c r="U60" s="79">
        <f>IF(U17=0,0,U17/TrRoad_act!U30*100)</f>
        <v>9.3908025462890201</v>
      </c>
      <c r="V60" s="79">
        <f>IF(V17=0,0,V17/TrRoad_act!V30*100)</f>
        <v>8.5445837634448552</v>
      </c>
      <c r="W60" s="79">
        <f>IF(W17=0,0,W17/TrRoad_act!W30*100)</f>
        <v>9.0179550028061453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9.3172715370909867</v>
      </c>
      <c r="C61" s="32">
        <f>IF(C18=0,0,C18/TrRoad_act!C31*100)</f>
        <v>9.1300087637755887</v>
      </c>
      <c r="D61" s="32">
        <f>IF(D18=0,0,D18/TrRoad_act!D31*100)</f>
        <v>9.0703129961217765</v>
      </c>
      <c r="E61" s="32">
        <f>IF(E18=0,0,E18/TrRoad_act!E31*100)</f>
        <v>8.9926827085515324</v>
      </c>
      <c r="F61" s="32">
        <f>IF(F18=0,0,F18/TrRoad_act!F31*100)</f>
        <v>8.8776886899124161</v>
      </c>
      <c r="G61" s="32">
        <f>IF(G18=0,0,G18/TrRoad_act!G31*100)</f>
        <v>8.3867095898671113</v>
      </c>
      <c r="H61" s="32">
        <f>IF(H18=0,0,H18/TrRoad_act!H31*100)</f>
        <v>8.771501280768037</v>
      </c>
      <c r="I61" s="32">
        <f>IF(I18=0,0,I18/TrRoad_act!I31*100)</f>
        <v>8.6341379261680444</v>
      </c>
      <c r="J61" s="32">
        <f>IF(J18=0,0,J18/TrRoad_act!J31*100)</f>
        <v>8.4453026430907965</v>
      </c>
      <c r="K61" s="32">
        <f>IF(K18=0,0,K18/TrRoad_act!K31*100)</f>
        <v>7.9114537779285703</v>
      </c>
      <c r="L61" s="32">
        <f>IF(L18=0,0,L18/TrRoad_act!L31*100)</f>
        <v>8.0504860590228819</v>
      </c>
      <c r="M61" s="32">
        <f>IF(M18=0,0,M18/TrRoad_act!M31*100)</f>
        <v>8.3336669122761631</v>
      </c>
      <c r="N61" s="32">
        <f>IF(N18=0,0,N18/TrRoad_act!N31*100)</f>
        <v>8.2338646642179167</v>
      </c>
      <c r="O61" s="32">
        <f>IF(O18=0,0,O18/TrRoad_act!O31*100)</f>
        <v>8.0455229595013531</v>
      </c>
      <c r="P61" s="32">
        <f>IF(P18=0,0,P18/TrRoad_act!P31*100)</f>
        <v>8.1925891783113673</v>
      </c>
      <c r="Q61" s="32">
        <f>IF(Q18=0,0,Q18/TrRoad_act!Q31*100)</f>
        <v>8.107930032611085</v>
      </c>
      <c r="R61" s="32">
        <f>IF(R18=0,0,R18/TrRoad_act!R31*100)</f>
        <v>8.0493809417175264</v>
      </c>
      <c r="S61" s="32">
        <f>IF(S18=0,0,S18/TrRoad_act!S31*100)</f>
        <v>7.9687708486894877</v>
      </c>
      <c r="T61" s="32">
        <f>IF(T18=0,0,T18/TrRoad_act!T31*100)</f>
        <v>7.7680821590892943</v>
      </c>
      <c r="U61" s="32">
        <f>IF(U18=0,0,U18/TrRoad_act!U31*100)</f>
        <v>7.5364349648118587</v>
      </c>
      <c r="V61" s="32">
        <f>IF(V18=0,0,V18/TrRoad_act!V31*100)</f>
        <v>7.1170396076668201</v>
      </c>
      <c r="W61" s="32">
        <f>IF(W18=0,0,W18/TrRoad_act!W31*100)</f>
        <v>7.2607290622858933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4.844363891154396</v>
      </c>
      <c r="C62" s="141">
        <f>IF(C19=0,0,C19/TrRoad_act!C32*100)</f>
        <v>4.8256641516376977</v>
      </c>
      <c r="D62" s="141">
        <f>IF(D19=0,0,D19/TrRoad_act!D32*100)</f>
        <v>4.7854598116882858</v>
      </c>
      <c r="E62" s="141">
        <f>IF(E19=0,0,E19/TrRoad_act!E32*100)</f>
        <v>4.7401793825640928</v>
      </c>
      <c r="F62" s="141">
        <f>IF(F19=0,0,F19/TrRoad_act!F32*100)</f>
        <v>4.6729864175126066</v>
      </c>
      <c r="G62" s="141">
        <f>IF(G19=0,0,G19/TrRoad_act!G32*100)</f>
        <v>4.6273569930077985</v>
      </c>
      <c r="H62" s="141">
        <f>IF(H19=0,0,H19/TrRoad_act!H32*100)</f>
        <v>4.5834344591354128</v>
      </c>
      <c r="I62" s="141">
        <f>IF(I19=0,0,I19/TrRoad_act!I32*100)</f>
        <v>4.5357984104912275</v>
      </c>
      <c r="J62" s="141">
        <f>IF(J19=0,0,J19/TrRoad_act!J32*100)</f>
        <v>4.4805585411352222</v>
      </c>
      <c r="K62" s="141">
        <f>IF(K19=0,0,K19/TrRoad_act!K32*100)</f>
        <v>4.4320634132093311</v>
      </c>
      <c r="L62" s="141">
        <f>IF(L19=0,0,L19/TrRoad_act!L32*100)</f>
        <v>4.3884061371126455</v>
      </c>
      <c r="M62" s="141">
        <f>IF(M19=0,0,M19/TrRoad_act!M32*100)</f>
        <v>4.3611733841743403</v>
      </c>
      <c r="N62" s="141">
        <f>IF(N19=0,0,N19/TrRoad_act!N32*100)</f>
        <v>4.3197527942475791</v>
      </c>
      <c r="O62" s="141">
        <f>IF(O19=0,0,O19/TrRoad_act!O32*100)</f>
        <v>4.2864323450479569</v>
      </c>
      <c r="P62" s="141">
        <f>IF(P19=0,0,P19/TrRoad_act!P32*100)</f>
        <v>4.2421710525677048</v>
      </c>
      <c r="Q62" s="141">
        <f>IF(Q19=0,0,Q19/TrRoad_act!Q32*100)</f>
        <v>4.1844634594840242</v>
      </c>
      <c r="R62" s="141">
        <f>IF(R19=0,0,R19/TrRoad_act!R32*100)</f>
        <v>4.1161919010323409</v>
      </c>
      <c r="S62" s="141">
        <f>IF(S19=0,0,S19/TrRoad_act!S32*100)</f>
        <v>4.0894147812349919</v>
      </c>
      <c r="T62" s="141">
        <f>IF(T19=0,0,T19/TrRoad_act!T32*100)</f>
        <v>4.0552197989159255</v>
      </c>
      <c r="U62" s="141">
        <f>IF(U19=0,0,U19/TrRoad_act!U32*100)</f>
        <v>4.0231083123475369</v>
      </c>
      <c r="V62" s="141">
        <f>IF(V19=0,0,V19/TrRoad_act!V32*100)</f>
        <v>3.9989968571492418</v>
      </c>
      <c r="W62" s="141">
        <f>IF(W19=0,0,W19/TrRoad_act!W32*100)</f>
        <v>3.7831880710750942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7.7470198690882546</v>
      </c>
      <c r="C63" s="130">
        <f>IF(C21=0,0,C21/TrRoad_act!C33*100)</f>
        <v>7.6584209469411872</v>
      </c>
      <c r="D63" s="130">
        <f>IF(D21=0,0,D21/TrRoad_act!D33*100)</f>
        <v>7.6219187327341107</v>
      </c>
      <c r="E63" s="130">
        <f>IF(E21=0,0,E21/TrRoad_act!E33*100)</f>
        <v>7.6183029699375346</v>
      </c>
      <c r="F63" s="130">
        <f>IF(F21=0,0,F21/TrRoad_act!F33*100)</f>
        <v>7.6151509156505774</v>
      </c>
      <c r="G63" s="130">
        <f>IF(G21=0,0,G21/TrRoad_act!G33*100)</f>
        <v>7.1525292831027834</v>
      </c>
      <c r="H63" s="130">
        <f>IF(H21=0,0,H21/TrRoad_act!H33*100)</f>
        <v>7.4837535338162775</v>
      </c>
      <c r="I63" s="130">
        <f>IF(I21=0,0,I21/TrRoad_act!I33*100)</f>
        <v>7.4386230381679699</v>
      </c>
      <c r="J63" s="130">
        <f>IF(J21=0,0,J21/TrRoad_act!J33*100)</f>
        <v>7.3588858672200361</v>
      </c>
      <c r="K63" s="130">
        <f>IF(K21=0,0,K21/TrRoad_act!K33*100)</f>
        <v>6.9365838975605181</v>
      </c>
      <c r="L63" s="130">
        <f>IF(L21=0,0,L21/TrRoad_act!L33*100)</f>
        <v>6.9653891884360384</v>
      </c>
      <c r="M63" s="130">
        <f>IF(M21=0,0,M21/TrRoad_act!M33*100)</f>
        <v>7.2390494904551028</v>
      </c>
      <c r="N63" s="130">
        <f>IF(N21=0,0,N21/TrRoad_act!N33*100)</f>
        <v>7.1850069233106844</v>
      </c>
      <c r="O63" s="130">
        <f>IF(O21=0,0,O21/TrRoad_act!O33*100)</f>
        <v>7.0206126329044274</v>
      </c>
      <c r="P63" s="130">
        <f>IF(P21=0,0,P21/TrRoad_act!P33*100)</f>
        <v>7.0956838967522433</v>
      </c>
      <c r="Q63" s="130">
        <f>IF(Q21=0,0,Q21/TrRoad_act!Q33*100)</f>
        <v>7.0228586687791683</v>
      </c>
      <c r="R63" s="130">
        <f>IF(R21=0,0,R21/TrRoad_act!R33*100)</f>
        <v>7.019825057799177</v>
      </c>
      <c r="S63" s="130">
        <f>IF(S21=0,0,S21/TrRoad_act!S33*100)</f>
        <v>6.941761070678683</v>
      </c>
      <c r="T63" s="130">
        <f>IF(T21=0,0,T21/TrRoad_act!T33*100)</f>
        <v>6.7976330993905698</v>
      </c>
      <c r="U63" s="130">
        <f>IF(U21=0,0,U21/TrRoad_act!U33*100)</f>
        <v>6.6703077631139296</v>
      </c>
      <c r="V63" s="130">
        <f>IF(V21=0,0,V21/TrRoad_act!V33*100)</f>
        <v>6.3821931987776264</v>
      </c>
      <c r="W63" s="130">
        <f>IF(W21=0,0,W21/TrRoad_act!W33*100)</f>
        <v>6.4954556771041556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7.7107783434008939</v>
      </c>
      <c r="C64" s="96">
        <f>IF(C22=0,0,C22/TrRoad_act!C34*100)</f>
        <v>7.6226982497372848</v>
      </c>
      <c r="D64" s="96">
        <f>IF(D22=0,0,D22/TrRoad_act!D34*100)</f>
        <v>7.5879729702649596</v>
      </c>
      <c r="E64" s="96">
        <f>IF(E22=0,0,E22/TrRoad_act!E34*100)</f>
        <v>7.5370267961003599</v>
      </c>
      <c r="F64" s="96">
        <f>IF(F22=0,0,F22/TrRoad_act!F34*100)</f>
        <v>7.5774091189224748</v>
      </c>
      <c r="G64" s="96">
        <f>IF(G22=0,0,G22/TrRoad_act!G34*100)</f>
        <v>6.944500163457934</v>
      </c>
      <c r="H64" s="96">
        <f>IF(H22=0,0,H22/TrRoad_act!H34*100)</f>
        <v>7.4479443161357866</v>
      </c>
      <c r="I64" s="96">
        <f>IF(I22=0,0,I22/TrRoad_act!I34*100)</f>
        <v>7.4189390278284337</v>
      </c>
      <c r="J64" s="96">
        <f>IF(J22=0,0,J22/TrRoad_act!J34*100)</f>
        <v>7.3214856198954221</v>
      </c>
      <c r="K64" s="96">
        <f>IF(K22=0,0,K22/TrRoad_act!K34*100)</f>
        <v>6.7826442938632745</v>
      </c>
      <c r="L64" s="96">
        <f>IF(L22=0,0,L22/TrRoad_act!L34*100)</f>
        <v>6.820999452361483</v>
      </c>
      <c r="M64" s="96">
        <f>IF(M22=0,0,M22/TrRoad_act!M34*100)</f>
        <v>7.3538955180891517</v>
      </c>
      <c r="N64" s="96">
        <f>IF(N22=0,0,N22/TrRoad_act!N34*100)</f>
        <v>7.3105792844226203</v>
      </c>
      <c r="O64" s="96">
        <f>IF(O22=0,0,O22/TrRoad_act!O34*100)</f>
        <v>7.2364733395147374</v>
      </c>
      <c r="P64" s="96">
        <f>IF(P22=0,0,P22/TrRoad_act!P34*100)</f>
        <v>7.2129429736761761</v>
      </c>
      <c r="Q64" s="96">
        <f>IF(Q22=0,0,Q22/TrRoad_act!Q34*100)</f>
        <v>7.1226665953812631</v>
      </c>
      <c r="R64" s="96">
        <f>IF(R22=0,0,R22/TrRoad_act!R34*100)</f>
        <v>7.263098082750524</v>
      </c>
      <c r="S64" s="96">
        <f>IF(S22=0,0,S22/TrRoad_act!S34*100)</f>
        <v>7.234865303453665</v>
      </c>
      <c r="T64" s="96">
        <f>IF(T22=0,0,T22/TrRoad_act!T34*100)</f>
        <v>7.0684754836163366</v>
      </c>
      <c r="U64" s="96">
        <f>IF(U22=0,0,U22/TrRoad_act!U34*100)</f>
        <v>6.8948391487313092</v>
      </c>
      <c r="V64" s="96">
        <f>IF(V22=0,0,V22/TrRoad_act!V34*100)</f>
        <v>6.4584539018378742</v>
      </c>
      <c r="W64" s="96">
        <f>IF(W22=0,0,W22/TrRoad_act!W34*100)</f>
        <v>6.6607361645854439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7.9661226831862244</v>
      </c>
      <c r="C65" s="96">
        <f>IF(C24=0,0,C24/TrRoad_act!C35*100)</f>
        <v>7.8565531992699471</v>
      </c>
      <c r="D65" s="96">
        <f>IF(D24=0,0,D24/TrRoad_act!D35*100)</f>
        <v>7.7892424295125693</v>
      </c>
      <c r="E65" s="96">
        <f>IF(E24=0,0,E24/TrRoad_act!E35*100)</f>
        <v>7.7433118396484995</v>
      </c>
      <c r="F65" s="96">
        <f>IF(F24=0,0,F24/TrRoad_act!F35*100)</f>
        <v>7.6129302569219179</v>
      </c>
      <c r="G65" s="96">
        <f>IF(G24=0,0,G24/TrRoad_act!G35*100)</f>
        <v>8.0980428119626087</v>
      </c>
      <c r="H65" s="96">
        <f>IF(H24=0,0,H24/TrRoad_act!H35*100)</f>
        <v>7.5619477762743221</v>
      </c>
      <c r="I65" s="96">
        <f>IF(I24=0,0,I24/TrRoad_act!I35*100)</f>
        <v>7.5083312565583</v>
      </c>
      <c r="J65" s="96">
        <f>IF(J24=0,0,J24/TrRoad_act!J35*100)</f>
        <v>7.47474069132317</v>
      </c>
      <c r="K65" s="96">
        <f>IF(K24=0,0,K24/TrRoad_act!K35*100)</f>
        <v>7.346377976136341</v>
      </c>
      <c r="L65" s="96">
        <f>IF(L24=0,0,L24/TrRoad_act!L35*100)</f>
        <v>7.2323289126621209</v>
      </c>
      <c r="M65" s="96">
        <f>IF(M24=0,0,M24/TrRoad_act!M35*100)</f>
        <v>6.936270192375579</v>
      </c>
      <c r="N65" s="96">
        <f>IF(N24=0,0,N24/TrRoad_act!N35*100)</f>
        <v>6.9750398654474619</v>
      </c>
      <c r="O65" s="96">
        <f>IF(O24=0,0,O24/TrRoad_act!O35*100)</f>
        <v>6.604704725378328</v>
      </c>
      <c r="P65" s="96">
        <f>IF(P24=0,0,P24/TrRoad_act!P35*100)</f>
        <v>6.8741423894655496</v>
      </c>
      <c r="Q65" s="96">
        <f>IF(Q24=0,0,Q24/TrRoad_act!Q35*100)</f>
        <v>6.8752213703026905</v>
      </c>
      <c r="R65" s="96">
        <f>IF(R24=0,0,R24/TrRoad_act!R35*100)</f>
        <v>6.7121936791916452</v>
      </c>
      <c r="S65" s="96">
        <f>IF(S24=0,0,S24/TrRoad_act!S35*100)</f>
        <v>6.5929547931608008</v>
      </c>
      <c r="T65" s="96">
        <f>IF(T24=0,0,T24/TrRoad_act!T35*100)</f>
        <v>6.5065679165389305</v>
      </c>
      <c r="U65" s="96">
        <f>IF(U24=0,0,U24/TrRoad_act!U35*100)</f>
        <v>6.4573846162100672</v>
      </c>
      <c r="V65" s="96">
        <f>IF(V24=0,0,V24/TrRoad_act!V35*100)</f>
        <v>6.3460458347226174</v>
      </c>
      <c r="W65" s="96">
        <f>IF(W24=0,0,W24/TrRoad_act!W35*100)</f>
        <v>6.354235028929442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8.0729873141743145</v>
      </c>
      <c r="D66" s="96">
        <f>IF(D26=0,0,D26/TrRoad_act!D36*100)</f>
        <v>8.0436957987535056</v>
      </c>
      <c r="E66" s="96">
        <f>IF(E26=0,0,E26/TrRoad_act!E36*100)</f>
        <v>9.8261947541465489</v>
      </c>
      <c r="F66" s="96">
        <f>IF(F26=0,0,F26/TrRoad_act!F36*100)</f>
        <v>9.3662239139907602</v>
      </c>
      <c r="G66" s="96">
        <f>IF(G26=0,0,G26/TrRoad_act!G36*100)</f>
        <v>7.3949929805935177</v>
      </c>
      <c r="H66" s="96">
        <f>IF(H26=0,0,H26/TrRoad_act!H36*100)</f>
        <v>8.1051706381681363</v>
      </c>
      <c r="I66" s="96">
        <f>IF(I26=0,0,I26/TrRoad_act!I36*100)</f>
        <v>7.2851341381235999</v>
      </c>
      <c r="J66" s="96">
        <f>IF(J26=0,0,J26/TrRoad_act!J36*100)</f>
        <v>7.1297222650992378</v>
      </c>
      <c r="K66" s="96">
        <f>IF(K26=0,0,K26/TrRoad_act!K36*100)</f>
        <v>7.0331622474846629</v>
      </c>
      <c r="L66" s="96">
        <f>IF(L26=0,0,L26/TrRoad_act!L36*100)</f>
        <v>8.4796991456779107</v>
      </c>
      <c r="M66" s="96">
        <f>IF(M26=0,0,M26/TrRoad_act!M36*100)</f>
        <v>9.590495248525551</v>
      </c>
      <c r="N66" s="96">
        <f>IF(N26=0,0,N26/TrRoad_act!N36*100)</f>
        <v>6.8224482661174717</v>
      </c>
      <c r="O66" s="96">
        <f>IF(O26=0,0,O26/TrRoad_act!O36*100)</f>
        <v>8.7710915715673874</v>
      </c>
      <c r="P66" s="96">
        <f>IF(P26=0,0,P26/TrRoad_act!P36*100)</f>
        <v>7.3197285267368644</v>
      </c>
      <c r="Q66" s="96">
        <f>IF(Q26=0,0,Q26/TrRoad_act!Q36*100)</f>
        <v>6.714818733449281</v>
      </c>
      <c r="R66" s="96">
        <f>IF(R26=0,0,R26/TrRoad_act!R36*100)</f>
        <v>5.9209794105527358</v>
      </c>
      <c r="S66" s="96">
        <f>IF(S26=0,0,S26/TrRoad_act!S36*100)</f>
        <v>5.7978077173857647</v>
      </c>
      <c r="T66" s="96">
        <f>IF(T26=0,0,T26/TrRoad_act!T36*100)</f>
        <v>5.3208921145686432</v>
      </c>
      <c r="U66" s="96">
        <f>IF(U26=0,0,U26/TrRoad_act!U36*100)</f>
        <v>4.8837148948169782</v>
      </c>
      <c r="V66" s="96">
        <f>IF(V26=0,0,V26/TrRoad_act!V36*100)</f>
        <v>4.8529301621372163</v>
      </c>
      <c r="W66" s="96">
        <f>IF(W26=0,0,W26/TrRoad_act!W36*100)</f>
        <v>6.7171155658709996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10.593893147696871</v>
      </c>
      <c r="M67" s="96">
        <f>IF(M27=0,0,M27/TrRoad_act!M37*100)</f>
        <v>7.637954188329374</v>
      </c>
      <c r="N67" s="96">
        <f>IF(N27=0,0,N27/TrRoad_act!N37*100)</f>
        <v>6.6007610939056454</v>
      </c>
      <c r="O67" s="96">
        <f>IF(O27=0,0,O27/TrRoad_act!O37*100)</f>
        <v>7.1294402331754521</v>
      </c>
      <c r="P67" s="96">
        <f>IF(P27=0,0,P27/TrRoad_act!P37*100)</f>
        <v>7.1303188798452766</v>
      </c>
      <c r="Q67" s="96">
        <f>IF(Q27=0,0,Q27/TrRoad_act!Q37*100)</f>
        <v>5.9219767182266052</v>
      </c>
      <c r="R67" s="96">
        <f>IF(R27=0,0,R27/TrRoad_act!R37*100)</f>
        <v>5.9796606958311189</v>
      </c>
      <c r="S67" s="96">
        <f>IF(S27=0,0,S27/TrRoad_act!S37*100)</f>
        <v>5.9112469814628144</v>
      </c>
      <c r="T67" s="96">
        <f>IF(T27=0,0,T27/TrRoad_act!T37*100)</f>
        <v>5.965004042454809</v>
      </c>
      <c r="U67" s="96">
        <f>IF(U27=0,0,U27/TrRoad_act!U37*100)</f>
        <v>5.9728404757742481</v>
      </c>
      <c r="V67" s="96">
        <f>IF(V27=0,0,V27/TrRoad_act!V37*100)</f>
        <v>5.9693815456719124</v>
      </c>
      <c r="W67" s="96">
        <f>IF(W27=0,0,W27/TrRoad_act!W37*100)</f>
        <v>5.9629095508712595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2.4827175798228645</v>
      </c>
      <c r="O68" s="96">
        <f>IF(O29=0,0,O29/TrRoad_act!O38*100)</f>
        <v>2.47784822620687</v>
      </c>
      <c r="P68" s="96">
        <f>IF(P29=0,0,P29/TrRoad_act!P38*100)</f>
        <v>2.448369532820148</v>
      </c>
      <c r="Q68" s="96">
        <f>IF(Q29=0,0,Q29/TrRoad_act!Q38*100)</f>
        <v>2.2403038279078169</v>
      </c>
      <c r="R68" s="96">
        <f>IF(R29=0,0,R29/TrRoad_act!R38*100)</f>
        <v>2.9217588544992243</v>
      </c>
      <c r="S68" s="96">
        <f>IF(S29=0,0,S29/TrRoad_act!S38*100)</f>
        <v>3.1851749838473316</v>
      </c>
      <c r="T68" s="96">
        <f>IF(T29=0,0,T29/TrRoad_act!T38*100)</f>
        <v>3.2075732239463361</v>
      </c>
      <c r="U68" s="96">
        <f>IF(U29=0,0,U29/TrRoad_act!U38*100)</f>
        <v>3.1800605147154903</v>
      </c>
      <c r="V68" s="96">
        <f>IF(V29=0,0,V29/TrRoad_act!V38*100)</f>
        <v>3.2749198272122899</v>
      </c>
      <c r="W68" s="96">
        <f>IF(W29=0,0,W29/TrRoad_act!W38*100)</f>
        <v>3.2615178576381361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1.4170626030042865</v>
      </c>
      <c r="M69" s="96">
        <f>IF(M32=0,0,M32/TrRoad_act!M39*100)</f>
        <v>1.4213768174159784</v>
      </c>
      <c r="N69" s="96">
        <f>IF(N32=0,0,N32/TrRoad_act!N39*100)</f>
        <v>1.420172607010715</v>
      </c>
      <c r="O69" s="96">
        <f>IF(O32=0,0,O32/TrRoad_act!O39*100)</f>
        <v>1.4192347951467656</v>
      </c>
      <c r="P69" s="96">
        <f>IF(P32=0,0,P32/TrRoad_act!P39*100)</f>
        <v>1.4186200535393063</v>
      </c>
      <c r="Q69" s="96">
        <f>IF(Q32=0,0,Q32/TrRoad_act!Q39*100)</f>
        <v>1.4171940522212882</v>
      </c>
      <c r="R69" s="96">
        <f>IF(R32=0,0,R32/TrRoad_act!R39*100)</f>
        <v>1.4206097903535733</v>
      </c>
      <c r="S69" s="96">
        <f>IF(S32=0,0,S32/TrRoad_act!S39*100)</f>
        <v>1.34743484254115</v>
      </c>
      <c r="T69" s="96">
        <f>IF(T32=0,0,T32/TrRoad_act!T39*100)</f>
        <v>1.3145490245290479</v>
      </c>
      <c r="U69" s="96">
        <f>IF(U32=0,0,U32/TrRoad_act!U39*100)</f>
        <v>1.4997984302120495</v>
      </c>
      <c r="V69" s="96">
        <f>IF(V32=0,0,V32/TrRoad_act!V39*100)</f>
        <v>1.5504295818449731</v>
      </c>
      <c r="W69" s="96">
        <f>IF(W32=0,0,W32/TrRoad_act!W39*100)</f>
        <v>1.5561367571063411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56.136217109749239</v>
      </c>
      <c r="C70" s="130">
        <f>IF(C33=0,0,C33/TrRoad_act!C40*100)</f>
        <v>56.108562086826389</v>
      </c>
      <c r="D70" s="130">
        <f>IF(D33=0,0,D33/TrRoad_act!D40*100)</f>
        <v>57.94170455474508</v>
      </c>
      <c r="E70" s="130">
        <f>IF(E33=0,0,E33/TrRoad_act!E40*100)</f>
        <v>58.444400242740727</v>
      </c>
      <c r="F70" s="130">
        <f>IF(F33=0,0,F33/TrRoad_act!F40*100)</f>
        <v>58.411102134233353</v>
      </c>
      <c r="G70" s="130">
        <f>IF(G33=0,0,G33/TrRoad_act!G40*100)</f>
        <v>60.991846714361508</v>
      </c>
      <c r="H70" s="130">
        <f>IF(H33=0,0,H33/TrRoad_act!H40*100)</f>
        <v>60.730475987417734</v>
      </c>
      <c r="I70" s="130">
        <f>IF(I33=0,0,I33/TrRoad_act!I40*100)</f>
        <v>58.618716530337053</v>
      </c>
      <c r="J70" s="130">
        <f>IF(J33=0,0,J33/TrRoad_act!J40*100)</f>
        <v>59.247535330822821</v>
      </c>
      <c r="K70" s="130">
        <f>IF(K33=0,0,K33/TrRoad_act!K40*100)</f>
        <v>58.506473349504184</v>
      </c>
      <c r="L70" s="130">
        <f>IF(L33=0,0,L33/TrRoad_act!L40*100)</f>
        <v>59.11274244645697</v>
      </c>
      <c r="M70" s="130">
        <f>IF(M33=0,0,M33/TrRoad_act!M40*100)</f>
        <v>55.941974989925811</v>
      </c>
      <c r="N70" s="130">
        <f>IF(N33=0,0,N33/TrRoad_act!N40*100)</f>
        <v>54.553878264546618</v>
      </c>
      <c r="O70" s="130">
        <f>IF(O33=0,0,O33/TrRoad_act!O40*100)</f>
        <v>51.246522690160603</v>
      </c>
      <c r="P70" s="130">
        <f>IF(P33=0,0,P33/TrRoad_act!P40*100)</f>
        <v>56.191460258449588</v>
      </c>
      <c r="Q70" s="130">
        <f>IF(Q33=0,0,Q33/TrRoad_act!Q40*100)</f>
        <v>58.613283543681796</v>
      </c>
      <c r="R70" s="130">
        <f>IF(R33=0,0,R33/TrRoad_act!R40*100)</f>
        <v>56.977264171537634</v>
      </c>
      <c r="S70" s="130">
        <f>IF(S33=0,0,S33/TrRoad_act!S40*100)</f>
        <v>57.527207239039569</v>
      </c>
      <c r="T70" s="130">
        <f>IF(T33=0,0,T33/TrRoad_act!T40*100)</f>
        <v>58.16241105034895</v>
      </c>
      <c r="U70" s="130">
        <f>IF(U33=0,0,U33/TrRoad_act!U40*100)</f>
        <v>57.842337040876991</v>
      </c>
      <c r="V70" s="130">
        <f>IF(V33=0,0,V33/TrRoad_act!V40*100)</f>
        <v>54.444921333872422</v>
      </c>
      <c r="W70" s="130">
        <f>IF(W33=0,0,W33/TrRoad_act!W40*100)</f>
        <v>56.536377847556793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20.614325850365869</v>
      </c>
      <c r="C71" s="97">
        <f>IF(C34=0,0,C34/TrRoad_act!C41*100)</f>
        <v>20.601351372256534</v>
      </c>
      <c r="D71" s="97">
        <f>IF(D34=0,0,D34/TrRoad_act!D41*100)</f>
        <v>20.600038727582334</v>
      </c>
      <c r="E71" s="97">
        <f>IF(E34=0,0,E34/TrRoad_act!E41*100)</f>
        <v>20.598423466348049</v>
      </c>
      <c r="F71" s="97">
        <f>IF(F34=0,0,F34/TrRoad_act!F41*100)</f>
        <v>20.58941992846524</v>
      </c>
      <c r="G71" s="97">
        <f>IF(G34=0,0,G34/TrRoad_act!G41*100)</f>
        <v>20.581728844211202</v>
      </c>
      <c r="H71" s="97">
        <f>IF(H34=0,0,H34/TrRoad_act!H41*100)</f>
        <v>20.576797527391896</v>
      </c>
      <c r="I71" s="97">
        <f>IF(I34=0,0,I34/TrRoad_act!I41*100)</f>
        <v>20.563972831944568</v>
      </c>
      <c r="J71" s="97">
        <f>IF(J34=0,0,J34/TrRoad_act!J41*100)</f>
        <v>20.489288233644366</v>
      </c>
      <c r="K71" s="97">
        <f>IF(K34=0,0,K34/TrRoad_act!K41*100)</f>
        <v>20.462298332698111</v>
      </c>
      <c r="L71" s="97">
        <f>IF(L34=0,0,L34/TrRoad_act!L41*100)</f>
        <v>20.35389314318385</v>
      </c>
      <c r="M71" s="97">
        <f>IF(M34=0,0,M34/TrRoad_act!M41*100)</f>
        <v>20.111826297111097</v>
      </c>
      <c r="N71" s="97">
        <f>IF(N34=0,0,N34/TrRoad_act!N41*100)</f>
        <v>19.848821432775409</v>
      </c>
      <c r="O71" s="97">
        <f>IF(O34=0,0,O34/TrRoad_act!O41*100)</f>
        <v>19.830567295771999</v>
      </c>
      <c r="P71" s="97">
        <f>IF(P34=0,0,P34/TrRoad_act!P41*100)</f>
        <v>19.725576284081257</v>
      </c>
      <c r="Q71" s="97">
        <f>IF(Q34=0,0,Q34/TrRoad_act!Q41*100)</f>
        <v>19.483894675384512</v>
      </c>
      <c r="R71" s="97">
        <f>IF(R34=0,0,R34/TrRoad_act!R41*100)</f>
        <v>19.028424838902595</v>
      </c>
      <c r="S71" s="97">
        <f>IF(S34=0,0,S34/TrRoad_act!S41*100)</f>
        <v>18.750240398918894</v>
      </c>
      <c r="T71" s="97">
        <f>IF(T34=0,0,T34/TrRoad_act!T41*100)</f>
        <v>18.647969677689545</v>
      </c>
      <c r="U71" s="97">
        <f>IF(U34=0,0,U34/TrRoad_act!U41*100)</f>
        <v>18.631354218506615</v>
      </c>
      <c r="V71" s="97">
        <f>IF(V34=0,0,V34/TrRoad_act!V41*100)</f>
        <v>18.196578186931845</v>
      </c>
      <c r="W71" s="97">
        <f>IF(W34=0,0,W34/TrRoad_act!W41*100)</f>
        <v>18.158896996047918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58.484932639111861</v>
      </c>
      <c r="C72" s="97">
        <f>IF(C36=0,0,C36/TrRoad_act!C42*100)</f>
        <v>58.273926494292198</v>
      </c>
      <c r="D72" s="97">
        <f>IF(D36=0,0,D36/TrRoad_act!D42*100)</f>
        <v>60.06822006265692</v>
      </c>
      <c r="E72" s="97">
        <f>IF(E36=0,0,E36/TrRoad_act!E42*100)</f>
        <v>60.445671982899285</v>
      </c>
      <c r="F72" s="97">
        <f>IF(F36=0,0,F36/TrRoad_act!F42*100)</f>
        <v>60.293523140376557</v>
      </c>
      <c r="G72" s="97">
        <f>IF(G36=0,0,G36/TrRoad_act!G42*100)</f>
        <v>62.584690699593736</v>
      </c>
      <c r="H72" s="97">
        <f>IF(H36=0,0,H36/TrRoad_act!H42*100)</f>
        <v>61.947996527939672</v>
      </c>
      <c r="I72" s="97">
        <f>IF(I36=0,0,I36/TrRoad_act!I42*100)</f>
        <v>59.592119693848666</v>
      </c>
      <c r="J72" s="97">
        <f>IF(J36=0,0,J36/TrRoad_act!J42*100)</f>
        <v>60.142380958619043</v>
      </c>
      <c r="K72" s="97">
        <f>IF(K36=0,0,K36/TrRoad_act!K42*100)</f>
        <v>59.258018064289075</v>
      </c>
      <c r="L72" s="97">
        <f>IF(L36=0,0,L36/TrRoad_act!L42*100)</f>
        <v>59.71701955959545</v>
      </c>
      <c r="M72" s="97">
        <f>IF(M36=0,0,M36/TrRoad_act!M42*100)</f>
        <v>56.351491653946042</v>
      </c>
      <c r="N72" s="97">
        <f>IF(N36=0,0,N36/TrRoad_act!N42*100)</f>
        <v>54.906561625769037</v>
      </c>
      <c r="O72" s="97">
        <f>IF(O36=0,0,O36/TrRoad_act!O42*100)</f>
        <v>51.507279856981278</v>
      </c>
      <c r="P72" s="97">
        <f>IF(P36=0,0,P36/TrRoad_act!P42*100)</f>
        <v>56.499888910672844</v>
      </c>
      <c r="Q72" s="97">
        <f>IF(Q36=0,0,Q36/TrRoad_act!Q42*100)</f>
        <v>59.080968382424729</v>
      </c>
      <c r="R72" s="97">
        <f>IF(R36=0,0,R36/TrRoad_act!R42*100)</f>
        <v>57.272488354190209</v>
      </c>
      <c r="S72" s="97">
        <f>IF(S36=0,0,S36/TrRoad_act!S42*100)</f>
        <v>57.922060898197017</v>
      </c>
      <c r="T72" s="97">
        <f>IF(T36=0,0,T36/TrRoad_act!T42*100)</f>
        <v>58.478955574816659</v>
      </c>
      <c r="U72" s="97">
        <f>IF(U36=0,0,U36/TrRoad_act!U42*100)</f>
        <v>58.141899719672871</v>
      </c>
      <c r="V72" s="97">
        <f>IF(V36=0,0,V36/TrRoad_act!V42*100)</f>
        <v>54.79919156173473</v>
      </c>
      <c r="W72" s="97">
        <f>IF(W36=0,0,W36/TrRoad_act!W42*100)</f>
        <v>57.003185246466806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46.291840887066357</v>
      </c>
      <c r="Q73" s="97">
        <f>IF(Q38=0,0,Q38/TrRoad_act!Q43*100)</f>
        <v>46.291840887066364</v>
      </c>
      <c r="R73" s="97">
        <f>IF(R38=0,0,R38/TrRoad_act!R43*100)</f>
        <v>46.73025533338442</v>
      </c>
      <c r="S73" s="97">
        <f>IF(S38=0,0,S38/TrRoad_act!S43*100)</f>
        <v>46.730255333384413</v>
      </c>
      <c r="T73" s="97">
        <f>IF(T38=0,0,T38/TrRoad_act!T43*100)</f>
        <v>46.730255333384427</v>
      </c>
      <c r="U73" s="97">
        <f>IF(U38=0,0,U38/TrRoad_act!U43*100)</f>
        <v>46.73025533338442</v>
      </c>
      <c r="V73" s="97">
        <f>IF(V38=0,0,V38/TrRoad_act!V43*100)</f>
        <v>46.730255333384427</v>
      </c>
      <c r="W73" s="97">
        <f>IF(W38=0,0,W38/TrRoad_act!W43*100)</f>
        <v>46.730255333384427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45.557390612583319</v>
      </c>
      <c r="C74" s="97">
        <f>IF(C39=0,0,C39/TrRoad_act!C44*100)</f>
        <v>46.356058279342413</v>
      </c>
      <c r="D74" s="97">
        <f>IF(D39=0,0,D39/TrRoad_act!D44*100)</f>
        <v>45.353104222831846</v>
      </c>
      <c r="E74" s="97">
        <f>IF(E39=0,0,E39/TrRoad_act!E44*100)</f>
        <v>44.772874892997265</v>
      </c>
      <c r="F74" s="97">
        <f>IF(F39=0,0,F39/TrRoad_act!F44*100)</f>
        <v>43.716806485543422</v>
      </c>
      <c r="G74" s="97">
        <f>IF(G39=0,0,G39/TrRoad_act!G44*100)</f>
        <v>51.305038221019906</v>
      </c>
      <c r="H74" s="97">
        <f>IF(H39=0,0,H39/TrRoad_act!H44*100)</f>
        <v>54.106488215468381</v>
      </c>
      <c r="I74" s="97">
        <f>IF(I39=0,0,I39/TrRoad_act!I44*100)</f>
        <v>48.367890643893247</v>
      </c>
      <c r="J74" s="97">
        <f>IF(J39=0,0,J39/TrRoad_act!J44*100)</f>
        <v>47.735736009212253</v>
      </c>
      <c r="K74" s="97">
        <f>IF(K39=0,0,K39/TrRoad_act!K44*100)</f>
        <v>43.795870277660875</v>
      </c>
      <c r="L74" s="97">
        <f>IF(L39=0,0,L39/TrRoad_act!L44*100)</f>
        <v>43.590842558149461</v>
      </c>
      <c r="M74" s="97">
        <f>IF(M39=0,0,M39/TrRoad_act!M44*100)</f>
        <v>52.113781500264011</v>
      </c>
      <c r="N74" s="97">
        <f>IF(N39=0,0,N39/TrRoad_act!N44*100)</f>
        <v>45.38551314864857</v>
      </c>
      <c r="O74" s="97">
        <f>IF(O39=0,0,O39/TrRoad_act!O44*100)</f>
        <v>55.86880206768592</v>
      </c>
      <c r="P74" s="97">
        <f>IF(P39=0,0,P39/TrRoad_act!P44*100)</f>
        <v>44.97985766214326</v>
      </c>
      <c r="Q74" s="97">
        <f>IF(Q39=0,0,Q39/TrRoad_act!Q44*100)</f>
        <v>40.634077206005422</v>
      </c>
      <c r="R74" s="97">
        <f>IF(R39=0,0,R39/TrRoad_act!R44*100)</f>
        <v>51.534326665362244</v>
      </c>
      <c r="S74" s="97">
        <f>IF(S39=0,0,S39/TrRoad_act!S44*100)</f>
        <v>47.141863419036035</v>
      </c>
      <c r="T74" s="97">
        <f>IF(T39=0,0,T39/TrRoad_act!T44*100)</f>
        <v>51.249814516398132</v>
      </c>
      <c r="U74" s="97">
        <f>IF(U39=0,0,U39/TrRoad_act!U44*100)</f>
        <v>50.946072049409295</v>
      </c>
      <c r="V74" s="97">
        <f>IF(V39=0,0,V39/TrRoad_act!V44*100)</f>
        <v>47.480535816066002</v>
      </c>
      <c r="W74" s="97">
        <f>IF(W39=0,0,W39/TrRoad_act!W44*100)</f>
        <v>46.985879593879758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32.473542817175961</v>
      </c>
      <c r="C75" s="97">
        <f>IF(C41=0,0,C41/TrRoad_act!C45*100)</f>
        <v>32.473542817175961</v>
      </c>
      <c r="D75" s="97">
        <f>IF(D41=0,0,D41/TrRoad_act!D45*100)</f>
        <v>32.473542817175961</v>
      </c>
      <c r="E75" s="97">
        <f>IF(E41=0,0,E41/TrRoad_act!E45*100)</f>
        <v>32.448834442405293</v>
      </c>
      <c r="F75" s="97">
        <f>IF(F41=0,0,F41/TrRoad_act!F45*100)</f>
        <v>32.448379851593891</v>
      </c>
      <c r="G75" s="97">
        <f>IF(G41=0,0,G41/TrRoad_act!G45*100)</f>
        <v>32.432222983034485</v>
      </c>
      <c r="H75" s="97">
        <f>IF(H41=0,0,H41/TrRoad_act!H45*100)</f>
        <v>32.426105691075144</v>
      </c>
      <c r="I75" s="97">
        <f>IF(I41=0,0,I41/TrRoad_act!I45*100)</f>
        <v>32.418509908869019</v>
      </c>
      <c r="J75" s="97">
        <f>IF(J41=0,0,J41/TrRoad_act!J45*100)</f>
        <v>32.408639738093697</v>
      </c>
      <c r="K75" s="97">
        <f>IF(K41=0,0,K41/TrRoad_act!K45*100)</f>
        <v>32.396518258027704</v>
      </c>
      <c r="L75" s="97">
        <f>IF(L41=0,0,L41/TrRoad_act!L45*100)</f>
        <v>32.373093102293346</v>
      </c>
      <c r="M75" s="97">
        <f>IF(M41=0,0,M41/TrRoad_act!M45*100)</f>
        <v>32.343723615891022</v>
      </c>
      <c r="N75" s="97">
        <f>IF(N41=0,0,N41/TrRoad_act!N45*100)</f>
        <v>32.301491776055855</v>
      </c>
      <c r="O75" s="97">
        <f>IF(O41=0,0,O41/TrRoad_act!O45*100)</f>
        <v>32.003866536475648</v>
      </c>
      <c r="P75" s="97">
        <f>IF(P41=0,0,P41/TrRoad_act!P45*100)</f>
        <v>31.582544638428029</v>
      </c>
      <c r="Q75" s="97">
        <f>IF(Q41=0,0,Q41/TrRoad_act!Q45*100)</f>
        <v>30.242448623617623</v>
      </c>
      <c r="R75" s="97">
        <f>IF(R41=0,0,R41/TrRoad_act!R45*100)</f>
        <v>30.225820371542021</v>
      </c>
      <c r="S75" s="97">
        <f>IF(S41=0,0,S41/TrRoad_act!S45*100)</f>
        <v>30.184740481551476</v>
      </c>
      <c r="T75" s="97">
        <f>IF(T41=0,0,T41/TrRoad_act!T45*100)</f>
        <v>30.180283687492736</v>
      </c>
      <c r="U75" s="97">
        <f>IF(U41=0,0,U41/TrRoad_act!U45*100)</f>
        <v>30.180283687492743</v>
      </c>
      <c r="V75" s="97">
        <f>IF(V41=0,0,V41/TrRoad_act!V45*100)</f>
        <v>30.090829103453732</v>
      </c>
      <c r="W75" s="97">
        <f>IF(W41=0,0,W41/TrRoad_act!W45*100)</f>
        <v>29.990043980553789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18.83754549262742</v>
      </c>
      <c r="C76" s="32">
        <f>IF(C42=0,0,C42/TrRoad_act!C46*100)</f>
        <v>19.322203038797383</v>
      </c>
      <c r="D76" s="32">
        <f>IF(D42=0,0,D42/TrRoad_act!D46*100)</f>
        <v>20.506784900686871</v>
      </c>
      <c r="E76" s="32">
        <f>IF(E42=0,0,E42/TrRoad_act!E46*100)</f>
        <v>20.951285456109897</v>
      </c>
      <c r="F76" s="32">
        <f>IF(F42=0,0,F42/TrRoad_act!F46*100)</f>
        <v>21.734390740383862</v>
      </c>
      <c r="G76" s="32">
        <f>IF(G42=0,0,G42/TrRoad_act!G46*100)</f>
        <v>24.025543329257019</v>
      </c>
      <c r="H76" s="32">
        <f>IF(H42=0,0,H42/TrRoad_act!H46*100)</f>
        <v>24.960084704408221</v>
      </c>
      <c r="I76" s="32">
        <f>IF(I42=0,0,I42/TrRoad_act!I46*100)</f>
        <v>23.438846094303781</v>
      </c>
      <c r="J76" s="32">
        <f>IF(J42=0,0,J42/TrRoad_act!J46*100)</f>
        <v>23.509073873876982</v>
      </c>
      <c r="K76" s="32">
        <f>IF(K42=0,0,K42/TrRoad_act!K46*100)</f>
        <v>21.179568060747854</v>
      </c>
      <c r="L76" s="32">
        <f>IF(L42=0,0,L42/TrRoad_act!L46*100)</f>
        <v>21.865440185203084</v>
      </c>
      <c r="M76" s="32">
        <f>IF(M42=0,0,M42/TrRoad_act!M46*100)</f>
        <v>19.166570061666309</v>
      </c>
      <c r="N76" s="32">
        <f>IF(N42=0,0,N42/TrRoad_act!N46*100)</f>
        <v>17.390706866888888</v>
      </c>
      <c r="O76" s="32">
        <f>IF(O42=0,0,O42/TrRoad_act!O46*100)</f>
        <v>14.820671176365197</v>
      </c>
      <c r="P76" s="32">
        <f>IF(P42=0,0,P42/TrRoad_act!P46*100)</f>
        <v>17.919904841037432</v>
      </c>
      <c r="Q76" s="32">
        <f>IF(Q42=0,0,Q42/TrRoad_act!Q46*100)</f>
        <v>19.662987183067621</v>
      </c>
      <c r="R76" s="32">
        <f>IF(R42=0,0,R42/TrRoad_act!R46*100)</f>
        <v>18.048509316195499</v>
      </c>
      <c r="S76" s="32">
        <f>IF(S42=0,0,S42/TrRoad_act!S46*100)</f>
        <v>18.120631737395563</v>
      </c>
      <c r="T76" s="32">
        <f>IF(T42=0,0,T42/TrRoad_act!T46*100)</f>
        <v>18.147361375125755</v>
      </c>
      <c r="U76" s="32">
        <f>IF(U42=0,0,U42/TrRoad_act!U46*100)</f>
        <v>17.359189783027539</v>
      </c>
      <c r="V76" s="32">
        <f>IF(V42=0,0,V42/TrRoad_act!V46*100)</f>
        <v>14.243400782506802</v>
      </c>
      <c r="W76" s="32">
        <f>IF(W42=0,0,W42/TrRoad_act!W46*100)</f>
        <v>15.927349695493632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9.8505844958621473</v>
      </c>
      <c r="C77" s="141">
        <f>IF(C43=0,0,C43/TrRoad_act!C47*100)</f>
        <v>9.7679566213519458</v>
      </c>
      <c r="D77" s="141">
        <f>IF(D43=0,0,D43/TrRoad_act!D47*100)</f>
        <v>10.012728028462302</v>
      </c>
      <c r="E77" s="141">
        <f>IF(E43=0,0,E43/TrRoad_act!E47*100)</f>
        <v>10.100822382121807</v>
      </c>
      <c r="F77" s="141">
        <f>IF(F43=0,0,F43/TrRoad_act!F47*100)</f>
        <v>10.101984959870448</v>
      </c>
      <c r="G77" s="141">
        <f>IF(G43=0,0,G43/TrRoad_act!G47*100)</f>
        <v>10.466630365868083</v>
      </c>
      <c r="H77" s="141">
        <f>IF(H43=0,0,H43/TrRoad_act!H47*100)</f>
        <v>10.405257816088433</v>
      </c>
      <c r="I77" s="141">
        <f>IF(I43=0,0,I43/TrRoad_act!I47*100)</f>
        <v>10.098105590090244</v>
      </c>
      <c r="J77" s="141">
        <f>IF(J43=0,0,J43/TrRoad_act!J47*100)</f>
        <v>10.229247627977097</v>
      </c>
      <c r="K77" s="141">
        <f>IF(K43=0,0,K43/TrRoad_act!K47*100)</f>
        <v>10.102001405228425</v>
      </c>
      <c r="L77" s="141">
        <f>IF(L43=0,0,L43/TrRoad_act!L47*100)</f>
        <v>10.070472534262825</v>
      </c>
      <c r="M77" s="141">
        <f>IF(M43=0,0,M43/TrRoad_act!M47*100)</f>
        <v>9.6307423138285841</v>
      </c>
      <c r="N77" s="141">
        <f>IF(N43=0,0,N43/TrRoad_act!N47*100)</f>
        <v>9.4194519947528121</v>
      </c>
      <c r="O77" s="141">
        <f>IF(O43=0,0,O43/TrRoad_act!O47*100)</f>
        <v>8.8429388423299109</v>
      </c>
      <c r="P77" s="141">
        <f>IF(P43=0,0,P43/TrRoad_act!P47*100)</f>
        <v>9.5256215018516226</v>
      </c>
      <c r="Q77" s="141">
        <f>IF(Q43=0,0,Q43/TrRoad_act!Q47*100)</f>
        <v>9.8318959367464558</v>
      </c>
      <c r="R77" s="141">
        <f>IF(R43=0,0,R43/TrRoad_act!R47*100)</f>
        <v>9.4364301610429671</v>
      </c>
      <c r="S77" s="141">
        <f>IF(S43=0,0,S43/TrRoad_act!S47*100)</f>
        <v>9.4250077587181771</v>
      </c>
      <c r="T77" s="141">
        <f>IF(T43=0,0,T43/TrRoad_act!T47*100)</f>
        <v>9.404270701262698</v>
      </c>
      <c r="U77" s="141">
        <f>IF(U43=0,0,U43/TrRoad_act!U47*100)</f>
        <v>9.2501219826120273</v>
      </c>
      <c r="V77" s="141">
        <f>IF(V43=0,0,V43/TrRoad_act!V47*100)</f>
        <v>8.7410342100907652</v>
      </c>
      <c r="W77" s="141">
        <f>IF(W43=0,0,W43/TrRoad_act!W47*100)</f>
        <v>9.0474824168089309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8.8032298799467696</v>
      </c>
      <c r="C78" s="96">
        <f>IF(C44=0,0,C44/TrRoad_act!C48*100)</f>
        <v>8.7421871980404511</v>
      </c>
      <c r="D78" s="96">
        <f>IF(D44=0,0,D44/TrRoad_act!D48*100)</f>
        <v>8.7151070740784515</v>
      </c>
      <c r="E78" s="96">
        <f>IF(E44=0,0,E44/TrRoad_act!E48*100)</f>
        <v>8.6902578728124311</v>
      </c>
      <c r="F78" s="96">
        <f>IF(F44=0,0,F44/TrRoad_act!F48*100)</f>
        <v>8.6610826339518034</v>
      </c>
      <c r="G78" s="96">
        <f>IF(G44=0,0,G44/TrRoad_act!G48*100)</f>
        <v>8.632723718804808</v>
      </c>
      <c r="H78" s="96">
        <f>IF(H44=0,0,H44/TrRoad_act!H48*100)</f>
        <v>8.6135922156839744</v>
      </c>
      <c r="I78" s="96">
        <f>IF(I44=0,0,I44/TrRoad_act!I48*100)</f>
        <v>8.5787130349800478</v>
      </c>
      <c r="J78" s="96">
        <f>IF(J44=0,0,J44/TrRoad_act!J48*100)</f>
        <v>8.5172203089510443</v>
      </c>
      <c r="K78" s="96">
        <f>IF(K44=0,0,K44/TrRoad_act!K48*100)</f>
        <v>8.4700641589646626</v>
      </c>
      <c r="L78" s="96">
        <f>IF(L44=0,0,L44/TrRoad_act!L48*100)</f>
        <v>8.4342860203753318</v>
      </c>
      <c r="M78" s="96">
        <f>IF(M44=0,0,M44/TrRoad_act!M48*100)</f>
        <v>8.4251117779539282</v>
      </c>
      <c r="N78" s="96">
        <f>IF(N44=0,0,N44/TrRoad_act!N48*100)</f>
        <v>8.4027727313987217</v>
      </c>
      <c r="O78" s="96">
        <f>IF(O44=0,0,O44/TrRoad_act!O48*100)</f>
        <v>7.9282337840704544</v>
      </c>
      <c r="P78" s="96">
        <f>IF(P44=0,0,P44/TrRoad_act!P48*100)</f>
        <v>7.7003623919200308</v>
      </c>
      <c r="Q78" s="96">
        <f>IF(Q44=0,0,Q44/TrRoad_act!Q48*100)</f>
        <v>7.554400339693343</v>
      </c>
      <c r="R78" s="96">
        <f>IF(R44=0,0,R44/TrRoad_act!R48*100)</f>
        <v>7.4363278647264055</v>
      </c>
      <c r="S78" s="96">
        <f>IF(S44=0,0,S44/TrRoad_act!S48*100)</f>
        <v>7.3544313665010073</v>
      </c>
      <c r="T78" s="96">
        <f>IF(T44=0,0,T44/TrRoad_act!T48*100)</f>
        <v>7.3490071566233786</v>
      </c>
      <c r="U78" s="96">
        <f>IF(U44=0,0,U44/TrRoad_act!U48*100)</f>
        <v>7.3678787977618967</v>
      </c>
      <c r="V78" s="96">
        <f>IF(V44=0,0,V44/TrRoad_act!V48*100)</f>
        <v>7.3421191220662525</v>
      </c>
      <c r="W78" s="96">
        <f>IF(W44=0,0,W44/TrRoad_act!W48*100)</f>
        <v>7.3370090608146032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10.32368216912111</v>
      </c>
      <c r="C79" s="96">
        <f>IF(C46=0,0,C46/TrRoad_act!C49*100)</f>
        <v>10.156378398427506</v>
      </c>
      <c r="D79" s="96">
        <f>IF(D46=0,0,D46/TrRoad_act!D49*100)</f>
        <v>10.405008084032787</v>
      </c>
      <c r="E79" s="96">
        <f>IF(E46=0,0,E46/TrRoad_act!E49*100)</f>
        <v>10.456527443796309</v>
      </c>
      <c r="F79" s="96">
        <f>IF(F46=0,0,F46/TrRoad_act!F49*100)</f>
        <v>10.415746487326714</v>
      </c>
      <c r="G79" s="96">
        <f>IF(G46=0,0,G46/TrRoad_act!G49*100)</f>
        <v>10.804278940729318</v>
      </c>
      <c r="H79" s="96">
        <f>IF(H46=0,0,H46/TrRoad_act!H49*100)</f>
        <v>10.696908825051436</v>
      </c>
      <c r="I79" s="96">
        <f>IF(I46=0,0,I46/TrRoad_act!I49*100)</f>
        <v>10.303149986236063</v>
      </c>
      <c r="J79" s="96">
        <f>IF(J46=0,0,J46/TrRoad_act!J49*100)</f>
        <v>10.396163911683475</v>
      </c>
      <c r="K79" s="96">
        <f>IF(K46=0,0,K46/TrRoad_act!K49*100)</f>
        <v>10.22405485824523</v>
      </c>
      <c r="L79" s="96">
        <f>IF(L46=0,0,L46/TrRoad_act!L49*100)</f>
        <v>10.199800039429832</v>
      </c>
      <c r="M79" s="96">
        <f>IF(M46=0,0,M46/TrRoad_act!M49*100)</f>
        <v>9.7097059445725655</v>
      </c>
      <c r="N79" s="96">
        <f>IF(N46=0,0,N46/TrRoad_act!N49*100)</f>
        <v>9.4803032808009444</v>
      </c>
      <c r="O79" s="96">
        <f>IF(O46=0,0,O46/TrRoad_act!O49*100)</f>
        <v>8.89232888803914</v>
      </c>
      <c r="P79" s="96">
        <f>IF(P46=0,0,P46/TrRoad_act!P49*100)</f>
        <v>9.6135684008364954</v>
      </c>
      <c r="Q79" s="96">
        <f>IF(Q46=0,0,Q46/TrRoad_act!Q49*100)</f>
        <v>9.926989331031173</v>
      </c>
      <c r="R79" s="96">
        <f>IF(R46=0,0,R46/TrRoad_act!R49*100)</f>
        <v>9.5106521794363275</v>
      </c>
      <c r="S79" s="96">
        <f>IF(S46=0,0,S46/TrRoad_act!S49*100)</f>
        <v>9.4964551023835551</v>
      </c>
      <c r="T79" s="96">
        <f>IF(T46=0,0,T46/TrRoad_act!T49*100)</f>
        <v>9.4716016674228403</v>
      </c>
      <c r="U79" s="96">
        <f>IF(U46=0,0,U46/TrRoad_act!U49*100)</f>
        <v>9.3086776130941473</v>
      </c>
      <c r="V79" s="96">
        <f>IF(V46=0,0,V46/TrRoad_act!V49*100)</f>
        <v>8.7821552514587147</v>
      </c>
      <c r="W79" s="96">
        <f>IF(W46=0,0,W46/TrRoad_act!W49*100)</f>
        <v>9.0958604645344519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10.686306477236792</v>
      </c>
      <c r="D80" s="96">
        <f>IF(D48=0,0,D48/TrRoad_act!D50*100)</f>
        <v>10.686306477236792</v>
      </c>
      <c r="E80" s="96">
        <f>IF(E48=0,0,E48/TrRoad_act!E50*100)</f>
        <v>10.686306477236792</v>
      </c>
      <c r="F80" s="96">
        <f>IF(F48=0,0,F48/TrRoad_act!F50*100)</f>
        <v>10.686306477236792</v>
      </c>
      <c r="G80" s="96">
        <f>IF(G48=0,0,G48/TrRoad_act!G50*100)</f>
        <v>10.686306477236792</v>
      </c>
      <c r="H80" s="96">
        <f>IF(H48=0,0,H48/TrRoad_act!H50*100)</f>
        <v>10.686306477236794</v>
      </c>
      <c r="I80" s="96">
        <f>IF(I48=0,0,I48/TrRoad_act!I50*100)</f>
        <v>10.686306477236791</v>
      </c>
      <c r="J80" s="96">
        <f>IF(J48=0,0,J48/TrRoad_act!J50*100)</f>
        <v>10.686306477236792</v>
      </c>
      <c r="K80" s="96">
        <f>IF(K48=0,0,K48/TrRoad_act!K50*100)</f>
        <v>10.686306477236791</v>
      </c>
      <c r="L80" s="96">
        <f>IF(L48=0,0,L48/TrRoad_act!L50*100)</f>
        <v>10.686306477236791</v>
      </c>
      <c r="M80" s="96">
        <f>IF(M48=0,0,M48/TrRoad_act!M50*100)</f>
        <v>10.686306477236792</v>
      </c>
      <c r="N80" s="96">
        <f>IF(N48=0,0,N48/TrRoad_act!N50*100)</f>
        <v>10.676406635453157</v>
      </c>
      <c r="O80" s="96">
        <f>IF(O48=0,0,O48/TrRoad_act!O50*100)</f>
        <v>10.674999532763071</v>
      </c>
      <c r="P80" s="96">
        <f>IF(P48=0,0,P48/TrRoad_act!P50*100)</f>
        <v>10.673126164017098</v>
      </c>
      <c r="Q80" s="96">
        <f>IF(Q48=0,0,Q48/TrRoad_act!Q50*100)</f>
        <v>10.53522613942938</v>
      </c>
      <c r="R80" s="96">
        <f>IF(R48=0,0,R48/TrRoad_act!R50*100)</f>
        <v>10.508112914338765</v>
      </c>
      <c r="S80" s="96">
        <f>IF(S48=0,0,S48/TrRoad_act!S50*100)</f>
        <v>10.46913965703955</v>
      </c>
      <c r="T80" s="96">
        <f>IF(T48=0,0,T48/TrRoad_act!T50*100)</f>
        <v>10.426526744077616</v>
      </c>
      <c r="U80" s="96">
        <f>IF(U48=0,0,U48/TrRoad_act!U50*100)</f>
        <v>10.354096934240566</v>
      </c>
      <c r="V80" s="96">
        <f>IF(V48=0,0,V48/TrRoad_act!V50*100)</f>
        <v>9.7461360943915363</v>
      </c>
      <c r="W80" s="96">
        <f>IF(W48=0,0,W48/TrRoad_act!W50*100)</f>
        <v>9.4130206328242991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11.1687600833478</v>
      </c>
      <c r="C81" s="96">
        <f>IF(C49=0,0,C49/TrRoad_act!C51*100)</f>
        <v>10.636914365093139</v>
      </c>
      <c r="D81" s="96">
        <f>IF(D49=0,0,D49/TrRoad_act!D51*100)</f>
        <v>10.636914365093141</v>
      </c>
      <c r="E81" s="96">
        <f>IF(E49=0,0,E49/TrRoad_act!E51*100)</f>
        <v>10.636914365093144</v>
      </c>
      <c r="F81" s="96">
        <f>IF(F49=0,0,F49/TrRoad_act!F51*100)</f>
        <v>10.636914365093141</v>
      </c>
      <c r="G81" s="96">
        <f>IF(G49=0,0,G49/TrRoad_act!G51*100)</f>
        <v>10.636914365093142</v>
      </c>
      <c r="H81" s="96">
        <f>IF(H49=0,0,H49/TrRoad_act!H51*100)</f>
        <v>10.636914365093142</v>
      </c>
      <c r="I81" s="96">
        <f>IF(I49=0,0,I49/TrRoad_act!I51*100)</f>
        <v>10.636914365093144</v>
      </c>
      <c r="J81" s="96">
        <f>IF(J49=0,0,J49/TrRoad_act!J51*100)</f>
        <v>10.636914365093144</v>
      </c>
      <c r="K81" s="96">
        <f>IF(K49=0,0,K49/TrRoad_act!K51*100)</f>
        <v>10.636914365093141</v>
      </c>
      <c r="L81" s="96">
        <f>IF(L49=0,0,L49/TrRoad_act!L51*100)</f>
        <v>10.636914365093142</v>
      </c>
      <c r="M81" s="96">
        <f>IF(M49=0,0,M49/TrRoad_act!M51*100)</f>
        <v>10.636914365093144</v>
      </c>
      <c r="N81" s="96">
        <f>IF(N49=0,0,N49/TrRoad_act!N51*100)</f>
        <v>7.7966803367591027</v>
      </c>
      <c r="O81" s="96">
        <f>IF(O49=0,0,O49/TrRoad_act!O51*100)</f>
        <v>7.7414011409176418</v>
      </c>
      <c r="P81" s="96">
        <f>IF(P49=0,0,P49/TrRoad_act!P51*100)</f>
        <v>7.6176461144360568</v>
      </c>
      <c r="Q81" s="96">
        <f>IF(Q49=0,0,Q49/TrRoad_act!Q51*100)</f>
        <v>9.3396668575024488</v>
      </c>
      <c r="R81" s="96">
        <f>IF(R49=0,0,R49/TrRoad_act!R51*100)</f>
        <v>9.4445541347907565</v>
      </c>
      <c r="S81" s="96">
        <f>IF(S49=0,0,S49/TrRoad_act!S51*100)</f>
        <v>9.3130899153997859</v>
      </c>
      <c r="T81" s="96">
        <f>IF(T49=0,0,T49/TrRoad_act!T51*100)</f>
        <v>9.5157648265923456</v>
      </c>
      <c r="U81" s="96">
        <f>IF(U49=0,0,U49/TrRoad_act!U51*100)</f>
        <v>9.4561672768814375</v>
      </c>
      <c r="V81" s="96">
        <f>IF(V49=0,0,V49/TrRoad_act!V51*100)</f>
        <v>9.3077410431027499</v>
      </c>
      <c r="W81" s="96">
        <f>IF(W49=0,0,W49/TrRoad_act!W51*100)</f>
        <v>9.2969179540643072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0</v>
      </c>
      <c r="O82" s="96">
        <f>IF(O51=0,0,O51/TrRoad_act!O52*100)</f>
        <v>1.7668431291682458</v>
      </c>
      <c r="P82" s="96">
        <f>IF(P51=0,0,P51/TrRoad_act!P52*100)</f>
        <v>1.7711073686445058</v>
      </c>
      <c r="Q82" s="96">
        <f>IF(Q51=0,0,Q51/TrRoad_act!Q52*100)</f>
        <v>1.8201461189328794</v>
      </c>
      <c r="R82" s="96">
        <f>IF(R51=0,0,R51/TrRoad_act!R52*100)</f>
        <v>1.8414315608245331</v>
      </c>
      <c r="S82" s="96">
        <f>IF(S51=0,0,S51/TrRoad_act!S52*100)</f>
        <v>1.8596894746551562</v>
      </c>
      <c r="T82" s="96">
        <f>IF(T51=0,0,T51/TrRoad_act!T52*100)</f>
        <v>2.0900415051366039</v>
      </c>
      <c r="U82" s="96">
        <f>IF(U51=0,0,U51/TrRoad_act!U52*100)</f>
        <v>2.2171326335628421</v>
      </c>
      <c r="V82" s="96">
        <f>IF(V51=0,0,V51/TrRoad_act!V52*100)</f>
        <v>2.4669682809511766</v>
      </c>
      <c r="W82" s="96">
        <f>IF(W51=0,0,W51/TrRoad_act!W52*100)</f>
        <v>2.8096308622230564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36.943302742923919</v>
      </c>
      <c r="C83" s="130">
        <f>IF(C52=0,0,C52/TrRoad_act!C53*100)</f>
        <v>39.007145766438924</v>
      </c>
      <c r="D83" s="130">
        <f>IF(D52=0,0,D52/TrRoad_act!D53*100)</f>
        <v>43.643013960243131</v>
      </c>
      <c r="E83" s="130">
        <f>IF(E52=0,0,E52/TrRoad_act!E53*100)</f>
        <v>45.595941182849685</v>
      </c>
      <c r="F83" s="130">
        <f>IF(F52=0,0,F52/TrRoad_act!F53*100)</f>
        <v>46.070861704623013</v>
      </c>
      <c r="G83" s="130">
        <f>IF(G52=0,0,G52/TrRoad_act!G53*100)</f>
        <v>48.062505884000984</v>
      </c>
      <c r="H83" s="130">
        <f>IF(H52=0,0,H52/TrRoad_act!H53*100)</f>
        <v>48.866653997680068</v>
      </c>
      <c r="I83" s="130">
        <f>IF(I52=0,0,I52/TrRoad_act!I53*100)</f>
        <v>44.898539556033171</v>
      </c>
      <c r="J83" s="130">
        <f>IF(J52=0,0,J52/TrRoad_act!J53*100)</f>
        <v>46.870985669570167</v>
      </c>
      <c r="K83" s="130">
        <f>IF(K52=0,0,K52/TrRoad_act!K53*100)</f>
        <v>45.283585916533326</v>
      </c>
      <c r="L83" s="130">
        <f>IF(L52=0,0,L52/TrRoad_act!L53*100)</f>
        <v>47.478022191701356</v>
      </c>
      <c r="M83" s="130">
        <f>IF(M52=0,0,M52/TrRoad_act!M53*100)</f>
        <v>41.400025070435845</v>
      </c>
      <c r="N83" s="130">
        <f>IF(N52=0,0,N52/TrRoad_act!N53*100)</f>
        <v>38.346250773802929</v>
      </c>
      <c r="O83" s="130">
        <f>IF(O52=0,0,O52/TrRoad_act!O53*100)</f>
        <v>31.144439724176181</v>
      </c>
      <c r="P83" s="130">
        <f>IF(P52=0,0,P52/TrRoad_act!P53*100)</f>
        <v>40.957251958684502</v>
      </c>
      <c r="Q83" s="130">
        <f>IF(Q52=0,0,Q52/TrRoad_act!Q53*100)</f>
        <v>46.262027602764469</v>
      </c>
      <c r="R83" s="130">
        <f>IF(R52=0,0,R52/TrRoad_act!R53*100)</f>
        <v>41.23798518730689</v>
      </c>
      <c r="S83" s="130">
        <f>IF(S52=0,0,S52/TrRoad_act!S53*100)</f>
        <v>42.357414135274183</v>
      </c>
      <c r="T83" s="130">
        <f>IF(T52=0,0,T52/TrRoad_act!T53*100)</f>
        <v>42.694330218556495</v>
      </c>
      <c r="U83" s="130">
        <f>IF(U52=0,0,U52/TrRoad_act!U53*100)</f>
        <v>40.956724741217784</v>
      </c>
      <c r="V83" s="130">
        <f>IF(V52=0,0,V52/TrRoad_act!V53*100)</f>
        <v>31.507013919931548</v>
      </c>
      <c r="W83" s="130">
        <f>IF(W52=0,0,W52/TrRoad_act!W53*100)</f>
        <v>36.095421918086046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34.734817269595318</v>
      </c>
      <c r="C84" s="97">
        <f>IF(C53=0,0,C53/TrRoad_act!C54*100)</f>
        <v>35.471056729478391</v>
      </c>
      <c r="D84" s="97">
        <f>IF(D53=0,0,D53/TrRoad_act!D54*100)</f>
        <v>37.176355305406105</v>
      </c>
      <c r="E84" s="97">
        <f>IF(E53=0,0,E53/TrRoad_act!E54*100)</f>
        <v>37.879934209738742</v>
      </c>
      <c r="F84" s="97">
        <f>IF(F53=0,0,F53/TrRoad_act!F54*100)</f>
        <v>38.044504193827791</v>
      </c>
      <c r="G84" s="97">
        <f>IF(G53=0,0,G53/TrRoad_act!G54*100)</f>
        <v>38.864143622696865</v>
      </c>
      <c r="H84" s="97">
        <f>IF(H53=0,0,H53/TrRoad_act!H54*100)</f>
        <v>39.063809930330038</v>
      </c>
      <c r="I84" s="97">
        <f>IF(I53=0,0,I53/TrRoad_act!I54*100)</f>
        <v>37.471647263937378</v>
      </c>
      <c r="J84" s="97">
        <f>IF(J53=0,0,J53/TrRoad_act!J54*100)</f>
        <v>38.114406210070882</v>
      </c>
      <c r="K84" s="97">
        <f>IF(K53=0,0,K53/TrRoad_act!K54*100)</f>
        <v>37.222499412371981</v>
      </c>
      <c r="L84" s="97">
        <f>IF(L53=0,0,L53/TrRoad_act!L54*100)</f>
        <v>37.921872411301308</v>
      </c>
      <c r="M84" s="97">
        <f>IF(M53=0,0,M53/TrRoad_act!M54*100)</f>
        <v>35.512701767705778</v>
      </c>
      <c r="N84" s="97">
        <f>IF(N53=0,0,N53/TrRoad_act!N54*100)</f>
        <v>34.264140565834921</v>
      </c>
      <c r="O84" s="97">
        <f>IF(O53=0,0,O53/TrRoad_act!O54*100)</f>
        <v>31.49399836755153</v>
      </c>
      <c r="P84" s="97">
        <f>IF(P53=0,0,P53/TrRoad_act!P54*100)</f>
        <v>35.222715097610042</v>
      </c>
      <c r="Q84" s="97">
        <f>IF(Q53=0,0,Q53/TrRoad_act!Q54*100)</f>
        <v>37.233700194670369</v>
      </c>
      <c r="R84" s="97">
        <f>IF(R53=0,0,R53/TrRoad_act!R54*100)</f>
        <v>35.299694604172892</v>
      </c>
      <c r="S84" s="97">
        <f>IF(S53=0,0,S53/TrRoad_act!S54*100)</f>
        <v>35.557974839713744</v>
      </c>
      <c r="T84" s="97">
        <f>IF(T53=0,0,T53/TrRoad_act!T54*100)</f>
        <v>35.509437833740023</v>
      </c>
      <c r="U84" s="97">
        <f>IF(U53=0,0,U53/TrRoad_act!U54*100)</f>
        <v>34.641420347511328</v>
      </c>
      <c r="V84" s="97">
        <f>IF(V53=0,0,V53/TrRoad_act!V54*100)</f>
        <v>30.968349708278026</v>
      </c>
      <c r="W84" s="97">
        <f>IF(W53=0,0,W53/TrRoad_act!W54*100)</f>
        <v>32.554318614077296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41.647972109284346</v>
      </c>
      <c r="C85" s="98">
        <f>IF(C55=0,0,C55/TrRoad_act!C55*100)</f>
        <v>46.025826201655988</v>
      </c>
      <c r="D85" s="98">
        <f>IF(D55=0,0,D55/TrRoad_act!D55*100)</f>
        <v>55.351482071555857</v>
      </c>
      <c r="E85" s="98">
        <f>IF(E55=0,0,E55/TrRoad_act!E55*100)</f>
        <v>59.154258910190038</v>
      </c>
      <c r="F85" s="98">
        <f>IF(F55=0,0,F55/TrRoad_act!F55*100)</f>
        <v>58.65538954961913</v>
      </c>
      <c r="G85" s="98">
        <f>IF(G55=0,0,G55/TrRoad_act!G55*100)</f>
        <v>66.792143691509082</v>
      </c>
      <c r="H85" s="98">
        <f>IF(H55=0,0,H55/TrRoad_act!H55*100)</f>
        <v>68.597341139399546</v>
      </c>
      <c r="I85" s="98">
        <f>IF(I55=0,0,I55/TrRoad_act!I55*100)</f>
        <v>59.300225488814398</v>
      </c>
      <c r="J85" s="98">
        <f>IF(J55=0,0,J55/TrRoad_act!J55*100)</f>
        <v>61.307910058300095</v>
      </c>
      <c r="K85" s="98">
        <f>IF(K55=0,0,K55/TrRoad_act!K55*100)</f>
        <v>64.479069000127879</v>
      </c>
      <c r="L85" s="98">
        <f>IF(L55=0,0,L55/TrRoad_act!L55*100)</f>
        <v>67.024647869456203</v>
      </c>
      <c r="M85" s="98">
        <f>IF(M55=0,0,M55/TrRoad_act!M55*100)</f>
        <v>52.057978557176</v>
      </c>
      <c r="N85" s="98">
        <f>IF(N55=0,0,N55/TrRoad_act!N55*100)</f>
        <v>44.700966778833475</v>
      </c>
      <c r="O85" s="98">
        <f>IF(O55=0,0,O55/TrRoad_act!O55*100)</f>
        <v>30.606336502480652</v>
      </c>
      <c r="P85" s="98">
        <f>IF(P55=0,0,P55/TrRoad_act!P55*100)</f>
        <v>49.696053263531951</v>
      </c>
      <c r="Q85" s="98">
        <f>IF(Q55=0,0,Q55/TrRoad_act!Q55*100)</f>
        <v>59.64463337798751</v>
      </c>
      <c r="R85" s="98">
        <f>IF(R55=0,0,R55/TrRoad_act!R55*100)</f>
        <v>49.893609795395747</v>
      </c>
      <c r="S85" s="98">
        <f>IF(S55=0,0,S55/TrRoad_act!S55*100)</f>
        <v>51.287877004558048</v>
      </c>
      <c r="T85" s="98">
        <f>IF(T55=0,0,T55/TrRoad_act!T55*100)</f>
        <v>53.056079594419593</v>
      </c>
      <c r="U85" s="98">
        <f>IF(U55=0,0,U55/TrRoad_act!U55*100)</f>
        <v>50.152522505206598</v>
      </c>
      <c r="V85" s="98">
        <f>IF(V55=0,0,V55/TrRoad_act!V55*100)</f>
        <v>32.321857153968239</v>
      </c>
      <c r="W85" s="98">
        <f>IF(W55=0,0,W55/TrRoad_act!W55*100)</f>
        <v>41.553693724415993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29.411401964280316</v>
      </c>
      <c r="C88" s="29">
        <f>IF(TrRoad_act!C4=0,0,C18/TrRoad_act!C4*1000)</f>
        <v>30.9571232218082</v>
      </c>
      <c r="D88" s="29">
        <f>IF(TrRoad_act!D4=0,0,D18/TrRoad_act!D4*1000)</f>
        <v>32.25521922526584</v>
      </c>
      <c r="E88" s="29">
        <f>IF(TrRoad_act!E4=0,0,E18/TrRoad_act!E4*1000)</f>
        <v>33.230963867551388</v>
      </c>
      <c r="F88" s="29">
        <f>IF(TrRoad_act!F4=0,0,F18/TrRoad_act!F4*1000)</f>
        <v>33.714241489189654</v>
      </c>
      <c r="G88" s="29">
        <f>IF(TrRoad_act!G4=0,0,G18/TrRoad_act!G4*1000)</f>
        <v>34.202665017284872</v>
      </c>
      <c r="H88" s="29">
        <f>IF(TrRoad_act!H4=0,0,H18/TrRoad_act!H4*1000)</f>
        <v>35.149447716465367</v>
      </c>
      <c r="I88" s="29">
        <f>IF(TrRoad_act!I4=0,0,I18/TrRoad_act!I4*1000)</f>
        <v>36.111143754471286</v>
      </c>
      <c r="J88" s="29">
        <f>IF(TrRoad_act!J4=0,0,J18/TrRoad_act!J4*1000)</f>
        <v>35.919924714500986</v>
      </c>
      <c r="K88" s="29">
        <f>IF(TrRoad_act!K4=0,0,K18/TrRoad_act!K4*1000)</f>
        <v>36.979340269144245</v>
      </c>
      <c r="L88" s="29">
        <f>IF(TrRoad_act!L4=0,0,L18/TrRoad_act!L4*1000)</f>
        <v>34.903472072310961</v>
      </c>
      <c r="M88" s="29">
        <f>IF(TrRoad_act!M4=0,0,M18/TrRoad_act!M4*1000)</f>
        <v>33.000051500207761</v>
      </c>
      <c r="N88" s="29">
        <f>IF(TrRoad_act!N4=0,0,N18/TrRoad_act!N4*1000)</f>
        <v>33.068933412110894</v>
      </c>
      <c r="O88" s="29">
        <f>IF(TrRoad_act!O4=0,0,O18/TrRoad_act!O4*1000)</f>
        <v>31.590747463561449</v>
      </c>
      <c r="P88" s="29">
        <f>IF(TrRoad_act!P4=0,0,P18/TrRoad_act!P4*1000)</f>
        <v>33.132250612016193</v>
      </c>
      <c r="Q88" s="29">
        <f>IF(TrRoad_act!Q4=0,0,Q18/TrRoad_act!Q4*1000)</f>
        <v>34.09915174264323</v>
      </c>
      <c r="R88" s="29">
        <f>IF(TrRoad_act!R4=0,0,R18/TrRoad_act!R4*1000)</f>
        <v>34.558324293809264</v>
      </c>
      <c r="S88" s="29">
        <f>IF(TrRoad_act!S4=0,0,S18/TrRoad_act!S4*1000)</f>
        <v>34.213801340957147</v>
      </c>
      <c r="T88" s="29">
        <f>IF(TrRoad_act!T4=0,0,T18/TrRoad_act!T4*1000)</f>
        <v>34.770223487160642</v>
      </c>
      <c r="U88" s="29">
        <f>IF(TrRoad_act!U4=0,0,U18/TrRoad_act!U4*1000)</f>
        <v>36.545694316281008</v>
      </c>
      <c r="V88" s="29">
        <f>IF(TrRoad_act!V4=0,0,V18/TrRoad_act!V4*1000)</f>
        <v>36.960527347271935</v>
      </c>
      <c r="W88" s="29">
        <f>IF(TrRoad_act!W4=0,0,W18/TrRoad_act!W4*1000)</f>
        <v>37.904207284700028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41.944459482758177</v>
      </c>
      <c r="C89" s="152">
        <f>IF(TrRoad_act!C5=0,0,C19/TrRoad_act!C5*1000)</f>
        <v>41.783350998333034</v>
      </c>
      <c r="D89" s="152">
        <f>IF(TrRoad_act!D5=0,0,D19/TrRoad_act!D5*1000)</f>
        <v>41.442440074051035</v>
      </c>
      <c r="E89" s="152">
        <f>IF(TrRoad_act!E5=0,0,E19/TrRoad_act!E5*1000)</f>
        <v>41.033075527847544</v>
      </c>
      <c r="F89" s="152">
        <f>IF(TrRoad_act!F5=0,0,F19/TrRoad_act!F5*1000)</f>
        <v>40.446007241770324</v>
      </c>
      <c r="G89" s="152">
        <f>IF(TrRoad_act!G5=0,0,G19/TrRoad_act!G5*1000)</f>
        <v>40.087371964857539</v>
      </c>
      <c r="H89" s="152">
        <f>IF(TrRoad_act!H5=0,0,H19/TrRoad_act!H5*1000)</f>
        <v>39.695792626815646</v>
      </c>
      <c r="I89" s="152">
        <f>IF(TrRoad_act!I5=0,0,I19/TrRoad_act!I5*1000)</f>
        <v>39.220279448534107</v>
      </c>
      <c r="J89" s="152">
        <f>IF(TrRoad_act!J5=0,0,J19/TrRoad_act!J5*1000)</f>
        <v>38.722251081212782</v>
      </c>
      <c r="K89" s="152">
        <f>IF(TrRoad_act!K5=0,0,K19/TrRoad_act!K5*1000)</f>
        <v>38.28476999513218</v>
      </c>
      <c r="L89" s="152">
        <f>IF(TrRoad_act!L5=0,0,L19/TrRoad_act!L5*1000)</f>
        <v>37.972889572186723</v>
      </c>
      <c r="M89" s="152">
        <f>IF(TrRoad_act!M5=0,0,M19/TrRoad_act!M5*1000)</f>
        <v>37.770331384646987</v>
      </c>
      <c r="N89" s="152">
        <f>IF(TrRoad_act!N5=0,0,N19/TrRoad_act!N5*1000)</f>
        <v>37.643935414640936</v>
      </c>
      <c r="O89" s="152">
        <f>IF(TrRoad_act!O5=0,0,O19/TrRoad_act!O5*1000)</f>
        <v>37.372794583287366</v>
      </c>
      <c r="P89" s="152">
        <f>IF(TrRoad_act!P5=0,0,P19/TrRoad_act!P5*1000)</f>
        <v>36.906751859184823</v>
      </c>
      <c r="Q89" s="152">
        <f>IF(TrRoad_act!Q5=0,0,Q19/TrRoad_act!Q5*1000)</f>
        <v>36.341887065304505</v>
      </c>
      <c r="R89" s="152">
        <f>IF(TrRoad_act!R5=0,0,R19/TrRoad_act!R5*1000)</f>
        <v>35.923125542991038</v>
      </c>
      <c r="S89" s="152">
        <f>IF(TrRoad_act!S5=0,0,S19/TrRoad_act!S5*1000)</f>
        <v>35.580508265643076</v>
      </c>
      <c r="T89" s="152">
        <f>IF(TrRoad_act!T5=0,0,T19/TrRoad_act!T5*1000)</f>
        <v>35.299467665692866</v>
      </c>
      <c r="U89" s="152">
        <f>IF(TrRoad_act!U5=0,0,U19/TrRoad_act!U5*1000)</f>
        <v>35.036186040955414</v>
      </c>
      <c r="V89" s="152">
        <f>IF(TrRoad_act!V5=0,0,V19/TrRoad_act!V5*1000)</f>
        <v>34.872399561371019</v>
      </c>
      <c r="W89" s="152">
        <f>IF(TrRoad_act!W5=0,0,W19/TrRoad_act!W5*1000)</f>
        <v>33.00068165931512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32.9693651377385</v>
      </c>
      <c r="C90" s="116">
        <f>IF(TrRoad_act!C6=0,0,C21/TrRoad_act!C6*1000)</f>
        <v>35.049028899877449</v>
      </c>
      <c r="D90" s="116">
        <f>IF(TrRoad_act!D6=0,0,D21/TrRoad_act!D6*1000)</f>
        <v>36.786670682514874</v>
      </c>
      <c r="E90" s="116">
        <f>IF(TrRoad_act!E6=0,0,E21/TrRoad_act!E6*1000)</f>
        <v>37.890220933215417</v>
      </c>
      <c r="F90" s="116">
        <f>IF(TrRoad_act!F6=0,0,F21/TrRoad_act!F6*1000)</f>
        <v>38.365498997014477</v>
      </c>
      <c r="G90" s="116">
        <f>IF(TrRoad_act!G6=0,0,G21/TrRoad_act!G6*1000)</f>
        <v>38.517555130908185</v>
      </c>
      <c r="H90" s="116">
        <f>IF(TrRoad_act!H6=0,0,H21/TrRoad_act!H6*1000)</f>
        <v>38.994238558900804</v>
      </c>
      <c r="I90" s="116">
        <f>IF(TrRoad_act!I6=0,0,I21/TrRoad_act!I6*1000)</f>
        <v>39.749391094250569</v>
      </c>
      <c r="J90" s="116">
        <f>IF(TrRoad_act!J6=0,0,J21/TrRoad_act!J6*1000)</f>
        <v>40.366522412313479</v>
      </c>
      <c r="K90" s="116">
        <f>IF(TrRoad_act!K6=0,0,K21/TrRoad_act!K6*1000)</f>
        <v>41.086273268455621</v>
      </c>
      <c r="L90" s="116">
        <f>IF(TrRoad_act!L6=0,0,L21/TrRoad_act!L6*1000)</f>
        <v>38.545146115197504</v>
      </c>
      <c r="M90" s="116">
        <f>IF(TrRoad_act!M6=0,0,M21/TrRoad_act!M6*1000)</f>
        <v>36.513451439800299</v>
      </c>
      <c r="N90" s="116">
        <f>IF(TrRoad_act!N6=0,0,N21/TrRoad_act!N6*1000)</f>
        <v>37.179043961972745</v>
      </c>
      <c r="O90" s="116">
        <f>IF(TrRoad_act!O6=0,0,O21/TrRoad_act!O6*1000)</f>
        <v>35.486341222901309</v>
      </c>
      <c r="P90" s="116">
        <f>IF(TrRoad_act!P6=0,0,P21/TrRoad_act!P6*1000)</f>
        <v>37.087359178541583</v>
      </c>
      <c r="Q90" s="116">
        <f>IF(TrRoad_act!Q6=0,0,Q21/TrRoad_act!Q6*1000)</f>
        <v>38.023776947288198</v>
      </c>
      <c r="R90" s="116">
        <f>IF(TrRoad_act!R6=0,0,R21/TrRoad_act!R6*1000)</f>
        <v>38.489566701530769</v>
      </c>
      <c r="S90" s="116">
        <f>IF(TrRoad_act!S6=0,0,S21/TrRoad_act!S6*1000)</f>
        <v>37.716542352626767</v>
      </c>
      <c r="T90" s="116">
        <f>IF(TrRoad_act!T6=0,0,T21/TrRoad_act!T6*1000)</f>
        <v>38.378276833472697</v>
      </c>
      <c r="U90" s="116">
        <f>IF(TrRoad_act!U6=0,0,U21/TrRoad_act!U6*1000)</f>
        <v>40.457907673882325</v>
      </c>
      <c r="V90" s="116">
        <f>IF(TrRoad_act!V6=0,0,V21/TrRoad_act!V6*1000)</f>
        <v>38.770424093857009</v>
      </c>
      <c r="W90" s="116">
        <f>IF(TrRoad_act!W6=0,0,W21/TrRoad_act!W6*1000)</f>
        <v>39.222029807138256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32.975452106440109</v>
      </c>
      <c r="C91" s="87">
        <f>IF(TrRoad_act!C7=0,0,C22/TrRoad_act!C7*1000)</f>
        <v>35.065104695836375</v>
      </c>
      <c r="D91" s="87">
        <f>IF(TrRoad_act!D7=0,0,D22/TrRoad_act!D7*1000)</f>
        <v>36.831100444364132</v>
      </c>
      <c r="E91" s="87">
        <f>IF(TrRoad_act!E7=0,0,E22/TrRoad_act!E7*1000)</f>
        <v>37.706561848027611</v>
      </c>
      <c r="F91" s="87">
        <f>IF(TrRoad_act!F7=0,0,F22/TrRoad_act!F7*1000)</f>
        <v>38.439688809426244</v>
      </c>
      <c r="G91" s="87">
        <f>IF(TrRoad_act!G7=0,0,G22/TrRoad_act!G7*1000)</f>
        <v>37.606020162730758</v>
      </c>
      <c r="H91" s="87">
        <f>IF(TrRoad_act!H7=0,0,H22/TrRoad_act!H7*1000)</f>
        <v>39.097022151398335</v>
      </c>
      <c r="I91" s="87">
        <f>IF(TrRoad_act!I7=0,0,I22/TrRoad_act!I7*1000)</f>
        <v>39.962627918332934</v>
      </c>
      <c r="J91" s="87">
        <f>IF(TrRoad_act!J7=0,0,J22/TrRoad_act!J7*1000)</f>
        <v>40.511077345327173</v>
      </c>
      <c r="K91" s="87">
        <f>IF(TrRoad_act!K7=0,0,K22/TrRoad_act!K7*1000)</f>
        <v>40.534705942269696</v>
      </c>
      <c r="L91" s="87">
        <f>IF(TrRoad_act!L7=0,0,L22/TrRoad_act!L7*1000)</f>
        <v>38.132062599675251</v>
      </c>
      <c r="M91" s="87">
        <f>IF(TrRoad_act!M7=0,0,M22/TrRoad_act!M7*1000)</f>
        <v>37.516177392496218</v>
      </c>
      <c r="N91" s="87">
        <f>IF(TrRoad_act!N7=0,0,N22/TrRoad_act!N7*1000)</f>
        <v>38.278523674748271</v>
      </c>
      <c r="O91" s="87">
        <f>IF(TrRoad_act!O7=0,0,O22/TrRoad_act!O7*1000)</f>
        <v>37.038777610626241</v>
      </c>
      <c r="P91" s="87">
        <f>IF(TrRoad_act!P7=0,0,P22/TrRoad_act!P7*1000)</f>
        <v>38.140208885366576</v>
      </c>
      <c r="Q91" s="87">
        <f>IF(TrRoad_act!Q7=0,0,Q22/TrRoad_act!Q7*1000)</f>
        <v>39.04516569341579</v>
      </c>
      <c r="R91" s="87">
        <f>IF(TrRoad_act!R7=0,0,R22/TrRoad_act!R7*1000)</f>
        <v>40.361299742436039</v>
      </c>
      <c r="S91" s="87">
        <f>IF(TrRoad_act!S7=0,0,S22/TrRoad_act!S7*1000)</f>
        <v>39.863539532412268</v>
      </c>
      <c r="T91" s="87">
        <f>IF(TrRoad_act!T7=0,0,T22/TrRoad_act!T7*1000)</f>
        <v>40.487405841670565</v>
      </c>
      <c r="U91" s="87">
        <f>IF(TrRoad_act!U7=0,0,U22/TrRoad_act!U7*1000)</f>
        <v>42.445236190289833</v>
      </c>
      <c r="V91" s="87">
        <f>IF(TrRoad_act!V7=0,0,V22/TrRoad_act!V7*1000)</f>
        <v>39.815520296880543</v>
      </c>
      <c r="W91" s="87">
        <f>IF(TrRoad_act!W7=0,0,W22/TrRoad_act!W7*1000)</f>
        <v>40.818481780122674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32.933790151911062</v>
      </c>
      <c r="C92" s="87">
        <f>IF(TrRoad_act!C8=0,0,C24/TrRoad_act!C8*1000)</f>
        <v>34.938210011990122</v>
      </c>
      <c r="D92" s="87">
        <f>IF(TrRoad_act!D8=0,0,D24/TrRoad_act!D8*1000)</f>
        <v>36.549911049783503</v>
      </c>
      <c r="E92" s="87">
        <f>IF(TrRoad_act!E8=0,0,E24/TrRoad_act!E8*1000)</f>
        <v>37.449481442070841</v>
      </c>
      <c r="F92" s="87">
        <f>IF(TrRoad_act!F8=0,0,F24/TrRoad_act!F8*1000)</f>
        <v>37.334742625972545</v>
      </c>
      <c r="G92" s="87">
        <f>IF(TrRoad_act!G8=0,0,G24/TrRoad_act!G8*1000)</f>
        <v>42.393437616077442</v>
      </c>
      <c r="H92" s="87">
        <f>IF(TrRoad_act!H8=0,0,H24/TrRoad_act!H8*1000)</f>
        <v>38.3745341877054</v>
      </c>
      <c r="I92" s="87">
        <f>IF(TrRoad_act!I8=0,0,I24/TrRoad_act!I8*1000)</f>
        <v>39.098297432768412</v>
      </c>
      <c r="J92" s="87">
        <f>IF(TrRoad_act!J8=0,0,J24/TrRoad_act!J8*1000)</f>
        <v>39.982771402507147</v>
      </c>
      <c r="K92" s="87">
        <f>IF(TrRoad_act!K8=0,0,K24/TrRoad_act!K8*1000)</f>
        <v>42.442742444175813</v>
      </c>
      <c r="L92" s="87">
        <f>IF(TrRoad_act!L8=0,0,L24/TrRoad_act!L8*1000)</f>
        <v>39.08612667307947</v>
      </c>
      <c r="M92" s="87">
        <f>IF(TrRoad_act!M8=0,0,M24/TrRoad_act!M8*1000)</f>
        <v>34.208128215073607</v>
      </c>
      <c r="N92" s="87">
        <f>IF(TrRoad_act!N8=0,0,N24/TrRoad_act!N8*1000)</f>
        <v>35.306304783899591</v>
      </c>
      <c r="O92" s="87">
        <f>IF(TrRoad_act!O8=0,0,O24/TrRoad_act!O8*1000)</f>
        <v>32.680242390347502</v>
      </c>
      <c r="P92" s="87">
        <f>IF(TrRoad_act!P8=0,0,P24/TrRoad_act!P8*1000)</f>
        <v>35.139151960058385</v>
      </c>
      <c r="Q92" s="87">
        <f>IF(TrRoad_act!Q8=0,0,Q24/TrRoad_act!Q8*1000)</f>
        <v>36.434559583737979</v>
      </c>
      <c r="R92" s="87">
        <f>IF(TrRoad_act!R8=0,0,R24/TrRoad_act!R8*1000)</f>
        <v>36.058686058872951</v>
      </c>
      <c r="S92" s="87">
        <f>IF(TrRoad_act!S8=0,0,S24/TrRoad_act!S8*1000)</f>
        <v>35.117831381861492</v>
      </c>
      <c r="T92" s="87">
        <f>IF(TrRoad_act!T8=0,0,T24/TrRoad_act!T8*1000)</f>
        <v>36.028679596293991</v>
      </c>
      <c r="U92" s="87">
        <f>IF(TrRoad_act!U8=0,0,U24/TrRoad_act!U8*1000)</f>
        <v>38.429404451792841</v>
      </c>
      <c r="V92" s="87">
        <f>IF(TrRoad_act!V8=0,0,V24/TrRoad_act!V8*1000)</f>
        <v>37.82067011140844</v>
      </c>
      <c r="W92" s="87">
        <f>IF(TrRoad_act!W8=0,0,W24/TrRoad_act!W8*1000)</f>
        <v>37.644373529191419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38.088975513543708</v>
      </c>
      <c r="D93" s="87">
        <f>IF(TrRoad_act!D9=0,0,D26/TrRoad_act!D9*1000)</f>
        <v>40.023040115188138</v>
      </c>
      <c r="E93" s="87">
        <f>IF(TrRoad_act!E9=0,0,E26/TrRoad_act!E9*1000)</f>
        <v>50.382826839846444</v>
      </c>
      <c r="F93" s="87">
        <f>IF(TrRoad_act!F9=0,0,F26/TrRoad_act!F9*1000)</f>
        <v>48.646896433022512</v>
      </c>
      <c r="G93" s="87">
        <f>IF(TrRoad_act!G9=0,0,G26/TrRoad_act!G9*1000)</f>
        <v>41.054909598187706</v>
      </c>
      <c r="H93" s="87">
        <f>IF(TrRoad_act!H9=0,0,H26/TrRoad_act!H9*1000)</f>
        <v>43.53829285578388</v>
      </c>
      <c r="I93" s="87">
        <f>IF(TrRoad_act!I9=0,0,I26/TrRoad_act!I9*1000)</f>
        <v>40.133196160802918</v>
      </c>
      <c r="J93" s="87">
        <f>IF(TrRoad_act!J9=0,0,J26/TrRoad_act!J9*1000)</f>
        <v>40.319036691130648</v>
      </c>
      <c r="K93" s="87">
        <f>IF(TrRoad_act!K9=0,0,K26/TrRoad_act!K9*1000)</f>
        <v>42.946720806816131</v>
      </c>
      <c r="L93" s="87">
        <f>IF(TrRoad_act!L9=0,0,L26/TrRoad_act!L9*1000)</f>
        <v>48.376341189878495</v>
      </c>
      <c r="M93" s="87">
        <f>IF(TrRoad_act!M9=0,0,M26/TrRoad_act!M9*1000)</f>
        <v>49.87014617091701</v>
      </c>
      <c r="N93" s="87">
        <f>IF(TrRoad_act!N9=0,0,N26/TrRoad_act!N9*1000)</f>
        <v>36.394817324296376</v>
      </c>
      <c r="O93" s="87">
        <f>IF(TrRoad_act!O9=0,0,O26/TrRoad_act!O9*1000)</f>
        <v>45.705464175232208</v>
      </c>
      <c r="P93" s="87">
        <f>IF(TrRoad_act!P9=0,0,P26/TrRoad_act!P9*1000)</f>
        <v>39.441633236093374</v>
      </c>
      <c r="Q93" s="87">
        <f>IF(TrRoad_act!Q9=0,0,Q26/TrRoad_act!Q9*1000)</f>
        <v>37.480371268244888</v>
      </c>
      <c r="R93" s="87">
        <f>IF(TrRoad_act!R9=0,0,R26/TrRoad_act!R9*1000)</f>
        <v>33.468677327284055</v>
      </c>
      <c r="S93" s="87">
        <f>IF(TrRoad_act!S9=0,0,S26/TrRoad_act!S9*1000)</f>
        <v>32.47538319964773</v>
      </c>
      <c r="T93" s="87">
        <f>IF(TrRoad_act!T9=0,0,T26/TrRoad_act!T9*1000)</f>
        <v>30.969947586133792</v>
      </c>
      <c r="U93" s="87">
        <f>IF(TrRoad_act!U9=0,0,U26/TrRoad_act!U9*1000)</f>
        <v>30.537685265329138</v>
      </c>
      <c r="V93" s="87">
        <f>IF(TrRoad_act!V9=0,0,V26/TrRoad_act!V9*1000)</f>
        <v>30.392254131299222</v>
      </c>
      <c r="W93" s="87">
        <f>IF(TrRoad_act!W9=0,0,W26/TrRoad_act!W9*1000)</f>
        <v>41.814944795444319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60.437732593769802</v>
      </c>
      <c r="M94" s="87">
        <f>IF(TrRoad_act!M10=0,0,M27/TrRoad_act!M10*1000)</f>
        <v>39.717020023268802</v>
      </c>
      <c r="N94" s="87">
        <f>IF(TrRoad_act!N10=0,0,N27/TrRoad_act!N10*1000)</f>
        <v>35.212211927952239</v>
      </c>
      <c r="O94" s="87">
        <f>IF(TrRoad_act!O10=0,0,O27/TrRoad_act!O10*1000)</f>
        <v>37.150948944958948</v>
      </c>
      <c r="P94" s="87">
        <f>IF(TrRoad_act!P10=0,0,P27/TrRoad_act!P10*1000)</f>
        <v>38.421018086667011</v>
      </c>
      <c r="Q94" s="87">
        <f>IF(TrRoad_act!Q10=0,0,Q27/TrRoad_act!Q10*1000)</f>
        <v>33.054933402054758</v>
      </c>
      <c r="R94" s="87">
        <f>IF(TrRoad_act!R10=0,0,R27/TrRoad_act!R10*1000)</f>
        <v>33.800376673955</v>
      </c>
      <c r="S94" s="87">
        <f>IF(TrRoad_act!S10=0,0,S27/TrRoad_act!S10*1000)</f>
        <v>33.110792952844818</v>
      </c>
      <c r="T94" s="87">
        <f>IF(TrRoad_act!T10=0,0,T27/TrRoad_act!T10*1000)</f>
        <v>34.718964145146522</v>
      </c>
      <c r="U94" s="87">
        <f>IF(TrRoad_act!U10=0,0,U27/TrRoad_act!U10*1000)</f>
        <v>37.347946495154325</v>
      </c>
      <c r="V94" s="87">
        <f>IF(TrRoad_act!V10=0,0,V27/TrRoad_act!V10*1000)</f>
        <v>37.384210133131276</v>
      </c>
      <c r="W94" s="87">
        <f>IF(TrRoad_act!W10=0,0,W27/TrRoad_act!W10*1000)</f>
        <v>37.119911254285221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13.535137311457767</v>
      </c>
      <c r="O95" s="87">
        <f>IF(TrRoad_act!O11=0,0,O29/TrRoad_act!O11*1000)</f>
        <v>13.195481249737561</v>
      </c>
      <c r="P95" s="87">
        <f>IF(TrRoad_act!P11=0,0,P29/TrRoad_act!P11*1000)</f>
        <v>13.482577842164588</v>
      </c>
      <c r="Q95" s="87">
        <f>IF(TrRoad_act!Q11=0,0,Q29/TrRoad_act!Q11*1000)</f>
        <v>12.779461842387576</v>
      </c>
      <c r="R95" s="87">
        <f>IF(TrRoad_act!R11=0,0,R29/TrRoad_act!R11*1000)</f>
        <v>16.878172503498256</v>
      </c>
      <c r="S95" s="87">
        <f>IF(TrRoad_act!S11=0,0,S29/TrRoad_act!S11*1000)</f>
        <v>18.233071131560393</v>
      </c>
      <c r="T95" s="87">
        <f>IF(TrRoad_act!T11=0,0,T29/TrRoad_act!T11*1000)</f>
        <v>19.079572967644346</v>
      </c>
      <c r="U95" s="87">
        <f>IF(TrRoad_act!U11=0,0,U29/TrRoad_act!U11*1000)</f>
        <v>20.321569672651151</v>
      </c>
      <c r="V95" s="87">
        <f>IF(TrRoad_act!V11=0,0,V29/TrRoad_act!V11*1000)</f>
        <v>20.960208424910562</v>
      </c>
      <c r="W95" s="87">
        <f>IF(TrRoad_act!W11=0,0,W29/TrRoad_act!W11*1000)</f>
        <v>20.749351223443252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9.7871220173828615</v>
      </c>
      <c r="M96" s="87">
        <f>IF(TrRoad_act!M12=0,0,M32/TrRoad_act!M12*1000)</f>
        <v>8.9479227435596904</v>
      </c>
      <c r="N96" s="87">
        <f>IF(TrRoad_act!N12=0,0,N32/TrRoad_act!N12*1000)</f>
        <v>9.1717839399778374</v>
      </c>
      <c r="O96" s="87">
        <f>IF(TrRoad_act!O12=0,0,O32/TrRoad_act!O12*1000)</f>
        <v>8.9532790428723903</v>
      </c>
      <c r="P96" s="87">
        <f>IF(TrRoad_act!P12=0,0,P32/TrRoad_act!P12*1000)</f>
        <v>9.254211098335114</v>
      </c>
      <c r="Q96" s="87">
        <f>IF(TrRoad_act!Q12=0,0,Q32/TrRoad_act!Q12*1000)</f>
        <v>9.576621060705909</v>
      </c>
      <c r="R96" s="87">
        <f>IF(TrRoad_act!R12=0,0,R32/TrRoad_act!R12*1000)</f>
        <v>9.7214980461973983</v>
      </c>
      <c r="S96" s="87">
        <f>IF(TrRoad_act!S12=0,0,S32/TrRoad_act!S12*1000)</f>
        <v>9.1371686475786671</v>
      </c>
      <c r="T96" s="87">
        <f>IF(TrRoad_act!T12=0,0,T32/TrRoad_act!T12*1000)</f>
        <v>9.2628833628730263</v>
      </c>
      <c r="U96" s="87">
        <f>IF(TrRoad_act!U12=0,0,U32/TrRoad_act!U12*1000)</f>
        <v>11.35356101588968</v>
      </c>
      <c r="V96" s="87">
        <f>IF(TrRoad_act!V12=0,0,V32/TrRoad_act!V12*1000)</f>
        <v>11.755045319171433</v>
      </c>
      <c r="W96" s="87">
        <f>IF(TrRoad_act!W12=0,0,W32/TrRoad_act!W12*1000)</f>
        <v>11.727619311054545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20.451476264796192</v>
      </c>
      <c r="C97" s="116">
        <f>IF(TrRoad_act!C13=0,0,C33/TrRoad_act!C13*1000)</f>
        <v>20.639851365022931</v>
      </c>
      <c r="D97" s="116">
        <f>IF(TrRoad_act!D13=0,0,D33/TrRoad_act!D13*1000)</f>
        <v>21.006754721032213</v>
      </c>
      <c r="E97" s="116">
        <f>IF(TrRoad_act!E13=0,0,E33/TrRoad_act!E13*1000)</f>
        <v>21.26294938242118</v>
      </c>
      <c r="F97" s="116">
        <f>IF(TrRoad_act!F13=0,0,F33/TrRoad_act!F13*1000)</f>
        <v>21.046657034737546</v>
      </c>
      <c r="G97" s="116">
        <f>IF(TrRoad_act!G13=0,0,G33/TrRoad_act!G13*1000)</f>
        <v>22.132546611966781</v>
      </c>
      <c r="H97" s="116">
        <f>IF(TrRoad_act!H13=0,0,H33/TrRoad_act!H13*1000)</f>
        <v>23.829781705560226</v>
      </c>
      <c r="I97" s="116">
        <f>IF(TrRoad_act!I13=0,0,I33/TrRoad_act!I13*1000)</f>
        <v>24.587648011945749</v>
      </c>
      <c r="J97" s="116">
        <f>IF(TrRoad_act!J13=0,0,J33/TrRoad_act!J13*1000)</f>
        <v>22.248197913709287</v>
      </c>
      <c r="K97" s="116">
        <f>IF(TrRoad_act!K13=0,0,K33/TrRoad_act!K13*1000)</f>
        <v>23.230292715106938</v>
      </c>
      <c r="L97" s="116">
        <f>IF(TrRoad_act!L13=0,0,L33/TrRoad_act!L13*1000)</f>
        <v>23.186232708749191</v>
      </c>
      <c r="M97" s="116">
        <f>IF(TrRoad_act!M13=0,0,M33/TrRoad_act!M13*1000)</f>
        <v>21.712810743784722</v>
      </c>
      <c r="N97" s="116">
        <f>IF(TrRoad_act!N13=0,0,N33/TrRoad_act!N13*1000)</f>
        <v>20.477520409320753</v>
      </c>
      <c r="O97" s="116">
        <f>IF(TrRoad_act!O13=0,0,O33/TrRoad_act!O13*1000)</f>
        <v>19.65721984953872</v>
      </c>
      <c r="P97" s="116">
        <f>IF(TrRoad_act!P13=0,0,P33/TrRoad_act!P13*1000)</f>
        <v>21.198714590493925</v>
      </c>
      <c r="Q97" s="116">
        <f>IF(TrRoad_act!Q13=0,0,Q33/TrRoad_act!Q13*1000)</f>
        <v>22.00616936635582</v>
      </c>
      <c r="R97" s="116">
        <f>IF(TrRoad_act!R13=0,0,R33/TrRoad_act!R13*1000)</f>
        <v>22.018268448583132</v>
      </c>
      <c r="S97" s="116">
        <f>IF(TrRoad_act!S13=0,0,S33/TrRoad_act!S13*1000)</f>
        <v>22.573925291695822</v>
      </c>
      <c r="T97" s="116">
        <f>IF(TrRoad_act!T13=0,0,T33/TrRoad_act!T13*1000)</f>
        <v>22.526046708266321</v>
      </c>
      <c r="U97" s="116">
        <f>IF(TrRoad_act!U13=0,0,U33/TrRoad_act!U13*1000)</f>
        <v>22.625602905698994</v>
      </c>
      <c r="V97" s="116">
        <f>IF(TrRoad_act!V13=0,0,V33/TrRoad_act!V13*1000)</f>
        <v>27.736497150553667</v>
      </c>
      <c r="W97" s="116">
        <f>IF(TrRoad_act!W13=0,0,W33/TrRoad_act!W13*1000)</f>
        <v>30.832500926396463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19.526481933226222</v>
      </c>
      <c r="C98" s="101">
        <f>IF(TrRoad_act!C14=0,0,C34/TrRoad_act!C14*1000)</f>
        <v>19.703640897415404</v>
      </c>
      <c r="D98" s="101">
        <f>IF(TrRoad_act!D14=0,0,D34/TrRoad_act!D14*1000)</f>
        <v>19.41820501676084</v>
      </c>
      <c r="E98" s="101">
        <f>IF(TrRoad_act!E14=0,0,E34/TrRoad_act!E14*1000)</f>
        <v>19.484440042659077</v>
      </c>
      <c r="F98" s="101">
        <f>IF(TrRoad_act!F14=0,0,F34/TrRoad_act!F14*1000)</f>
        <v>19.288798777245386</v>
      </c>
      <c r="G98" s="101">
        <f>IF(TrRoad_act!G14=0,0,G34/TrRoad_act!G14*1000)</f>
        <v>19.418460886174021</v>
      </c>
      <c r="H98" s="101">
        <f>IF(TrRoad_act!H14=0,0,H34/TrRoad_act!H14*1000)</f>
        <v>20.992516883697906</v>
      </c>
      <c r="I98" s="101">
        <f>IF(TrRoad_act!I14=0,0,I34/TrRoad_act!I14*1000)</f>
        <v>22.426476809488385</v>
      </c>
      <c r="J98" s="101">
        <f>IF(TrRoad_act!J14=0,0,J34/TrRoad_act!J14*1000)</f>
        <v>20.004365020220703</v>
      </c>
      <c r="K98" s="101">
        <f>IF(TrRoad_act!K14=0,0,K34/TrRoad_act!K14*1000)</f>
        <v>21.124114939168013</v>
      </c>
      <c r="L98" s="101">
        <f>IF(TrRoad_act!L14=0,0,L34/TrRoad_act!L14*1000)</f>
        <v>20.757254982261763</v>
      </c>
      <c r="M98" s="101">
        <f>IF(TrRoad_act!M14=0,0,M34/TrRoad_act!M14*1000)</f>
        <v>20.295656763408541</v>
      </c>
      <c r="N98" s="101">
        <f>IF(TrRoad_act!N14=0,0,N34/TrRoad_act!N14*1000)</f>
        <v>19.371346514559281</v>
      </c>
      <c r="O98" s="101">
        <f>IF(TrRoad_act!O14=0,0,O34/TrRoad_act!O14*1000)</f>
        <v>19.777262565117603</v>
      </c>
      <c r="P98" s="101">
        <f>IF(TrRoad_act!P14=0,0,P34/TrRoad_act!P14*1000)</f>
        <v>19.348275265058199</v>
      </c>
      <c r="Q98" s="101">
        <f>IF(TrRoad_act!Q14=0,0,Q34/TrRoad_act!Q14*1000)</f>
        <v>19.019431032904802</v>
      </c>
      <c r="R98" s="101">
        <f>IF(TrRoad_act!R14=0,0,R34/TrRoad_act!R14*1000)</f>
        <v>19.118673528930838</v>
      </c>
      <c r="S98" s="101">
        <f>IF(TrRoad_act!S14=0,0,S34/TrRoad_act!S14*1000)</f>
        <v>19.12995642114463</v>
      </c>
      <c r="T98" s="101">
        <f>IF(TrRoad_act!T14=0,0,T34/TrRoad_act!T14*1000)</f>
        <v>18.777919859389428</v>
      </c>
      <c r="U98" s="101">
        <f>IF(TrRoad_act!U14=0,0,U34/TrRoad_act!U14*1000)</f>
        <v>18.948380609140301</v>
      </c>
      <c r="V98" s="101">
        <f>IF(TrRoad_act!V14=0,0,V34/TrRoad_act!V14*1000)</f>
        <v>24.102234870269157</v>
      </c>
      <c r="W98" s="101">
        <f>IF(TrRoad_act!W14=0,0,W34/TrRoad_act!W14*1000)</f>
        <v>25.748005043812149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20.652087942667354</v>
      </c>
      <c r="C99" s="101">
        <f>IF(TrRoad_act!C15=0,0,C36/TrRoad_act!C15*1000)</f>
        <v>20.834912095745111</v>
      </c>
      <c r="D99" s="101">
        <f>IF(TrRoad_act!D15=0,0,D36/TrRoad_act!D15*1000)</f>
        <v>21.225920747959705</v>
      </c>
      <c r="E99" s="101">
        <f>IF(TrRoad_act!E15=0,0,E36/TrRoad_act!E15*1000)</f>
        <v>21.491288615674456</v>
      </c>
      <c r="F99" s="101">
        <f>IF(TrRoad_act!F15=0,0,F36/TrRoad_act!F15*1000)</f>
        <v>21.275601601446212</v>
      </c>
      <c r="G99" s="101">
        <f>IF(TrRoad_act!G15=0,0,G36/TrRoad_act!G15*1000)</f>
        <v>22.298807103396058</v>
      </c>
      <c r="H99" s="101">
        <f>IF(TrRoad_act!H15=0,0,H36/TrRoad_act!H15*1000)</f>
        <v>23.961582189153564</v>
      </c>
      <c r="I99" s="101">
        <f>IF(TrRoad_act!I15=0,0,I36/TrRoad_act!I15*1000)</f>
        <v>24.699259775550441</v>
      </c>
      <c r="J99" s="101">
        <f>IF(TrRoad_act!J15=0,0,J36/TrRoad_act!J15*1000)</f>
        <v>22.340030692374178</v>
      </c>
      <c r="K99" s="101">
        <f>IF(TrRoad_act!K15=0,0,K36/TrRoad_act!K15*1000)</f>
        <v>23.317324703009398</v>
      </c>
      <c r="L99" s="101">
        <f>IF(TrRoad_act!L15=0,0,L36/TrRoad_act!L15*1000)</f>
        <v>23.252653829753442</v>
      </c>
      <c r="M99" s="101">
        <f>IF(TrRoad_act!M15=0,0,M36/TrRoad_act!M15*1000)</f>
        <v>21.745296616615352</v>
      </c>
      <c r="N99" s="101">
        <f>IF(TrRoad_act!N15=0,0,N36/TrRoad_act!N15*1000)</f>
        <v>20.510150812983142</v>
      </c>
      <c r="O99" s="101">
        <f>IF(TrRoad_act!O15=0,0,O36/TrRoad_act!O15*1000)</f>
        <v>19.663438915988138</v>
      </c>
      <c r="P99" s="101">
        <f>IF(TrRoad_act!P15=0,0,P36/TrRoad_act!P15*1000)</f>
        <v>21.227659509880986</v>
      </c>
      <c r="Q99" s="101">
        <f>IF(TrRoad_act!Q15=0,0,Q36/TrRoad_act!Q15*1000)</f>
        <v>22.111922609550355</v>
      </c>
      <c r="R99" s="101">
        <f>IF(TrRoad_act!R15=0,0,R36/TrRoad_act!R15*1000)</f>
        <v>22.087069837375072</v>
      </c>
      <c r="S99" s="101">
        <f>IF(TrRoad_act!S15=0,0,S36/TrRoad_act!S15*1000)</f>
        <v>22.690231800956326</v>
      </c>
      <c r="T99" s="101">
        <f>IF(TrRoad_act!T15=0,0,T36/TrRoad_act!T15*1000)</f>
        <v>22.612031118373203</v>
      </c>
      <c r="U99" s="101">
        <f>IF(TrRoad_act!U15=0,0,U36/TrRoad_act!U15*1000)</f>
        <v>22.707685647345208</v>
      </c>
      <c r="V99" s="101">
        <f>IF(TrRoad_act!V15=0,0,V36/TrRoad_act!V15*1000)</f>
        <v>27.866812208816217</v>
      </c>
      <c r="W99" s="101">
        <f>IF(TrRoad_act!W15=0,0,W36/TrRoad_act!W15*1000)</f>
        <v>31.035660193294127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17.39237820431547</v>
      </c>
      <c r="Q100" s="101">
        <f>IF(TrRoad_act!Q16=0,0,Q38/TrRoad_act!Q16*1000)</f>
        <v>17.325403275768394</v>
      </c>
      <c r="R100" s="101">
        <f>IF(TrRoad_act!R16=0,0,R38/TrRoad_act!R16*1000)</f>
        <v>18.021469692111204</v>
      </c>
      <c r="S100" s="101">
        <f>IF(TrRoad_act!S16=0,0,S38/TrRoad_act!S16*1000)</f>
        <v>18.305984096387242</v>
      </c>
      <c r="T100" s="101">
        <f>IF(TrRoad_act!T16=0,0,T38/TrRoad_act!T16*1000)</f>
        <v>18.06916654686384</v>
      </c>
      <c r="U100" s="101">
        <f>IF(TrRoad_act!U16=0,0,U38/TrRoad_act!U16*1000)</f>
        <v>18.250795956906526</v>
      </c>
      <c r="V100" s="101">
        <f>IF(TrRoad_act!V16=0,0,V38/TrRoad_act!V16*1000)</f>
        <v>23.763548562179423</v>
      </c>
      <c r="W100" s="101">
        <f>IF(TrRoad_act!W16=0,0,W38/TrRoad_act!W16*1000)</f>
        <v>25.442513764837081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16.087138941839545</v>
      </c>
      <c r="C101" s="101">
        <f>IF(TrRoad_act!C17=0,0,C39/TrRoad_act!C17*1000)</f>
        <v>16.573868579971812</v>
      </c>
      <c r="D101" s="101">
        <f>IF(TrRoad_act!D17=0,0,D39/TrRoad_act!D17*1000)</f>
        <v>16.026134866384208</v>
      </c>
      <c r="E101" s="101">
        <f>IF(TrRoad_act!E17=0,0,E39/TrRoad_act!E17*1000)</f>
        <v>15.918869704205006</v>
      </c>
      <c r="F101" s="101">
        <f>IF(TrRoad_act!F17=0,0,F39/TrRoad_act!F17*1000)</f>
        <v>15.426223408913446</v>
      </c>
      <c r="G101" s="101">
        <f>IF(TrRoad_act!G17=0,0,G39/TrRoad_act!G17*1000)</f>
        <v>18.27988822720684</v>
      </c>
      <c r="H101" s="101">
        <f>IF(TrRoad_act!H17=0,0,H39/TrRoad_act!H17*1000)</f>
        <v>20.9284744786973</v>
      </c>
      <c r="I101" s="101">
        <f>IF(TrRoad_act!I17=0,0,I39/TrRoad_act!I17*1000)</f>
        <v>20.047132103143692</v>
      </c>
      <c r="J101" s="101">
        <f>IF(TrRoad_act!J17=0,0,J39/TrRoad_act!J17*1000)</f>
        <v>17.73155286789563</v>
      </c>
      <c r="K101" s="101">
        <f>IF(TrRoad_act!K17=0,0,K39/TrRoad_act!K17*1000)</f>
        <v>17.233153609815187</v>
      </c>
      <c r="L101" s="101">
        <f>IF(TrRoad_act!L17=0,0,L39/TrRoad_act!L17*1000)</f>
        <v>16.973432023686211</v>
      </c>
      <c r="M101" s="101">
        <f>IF(TrRoad_act!M17=0,0,M39/TrRoad_act!M17*1000)</f>
        <v>20.110020219089758</v>
      </c>
      <c r="N101" s="101">
        <f>IF(TrRoad_act!N17=0,0,N39/TrRoad_act!N17*1000)</f>
        <v>16.953597017201194</v>
      </c>
      <c r="O101" s="101">
        <f>IF(TrRoad_act!O17=0,0,O39/TrRoad_act!O17*1000)</f>
        <v>21.328495308192313</v>
      </c>
      <c r="P101" s="101">
        <f>IF(TrRoad_act!P17=0,0,P39/TrRoad_act!P17*1000)</f>
        <v>16.899450984133232</v>
      </c>
      <c r="Q101" s="101">
        <f>IF(TrRoad_act!Q17=0,0,Q39/TrRoad_act!Q17*1000)</f>
        <v>15.20790188599835</v>
      </c>
      <c r="R101" s="101">
        <f>IF(TrRoad_act!R17=0,0,R39/TrRoad_act!R17*1000)</f>
        <v>19.874154324162159</v>
      </c>
      <c r="S101" s="101">
        <f>IF(TrRoad_act!S17=0,0,S39/TrRoad_act!S17*1000)</f>
        <v>18.467226336904172</v>
      </c>
      <c r="T101" s="101">
        <f>IF(TrRoad_act!T17=0,0,T39/TrRoad_act!T17*1000)</f>
        <v>19.816742437765097</v>
      </c>
      <c r="U101" s="101">
        <f>IF(TrRoad_act!U17=0,0,U39/TrRoad_act!U17*1000)</f>
        <v>19.897309765293912</v>
      </c>
      <c r="V101" s="101">
        <f>IF(TrRoad_act!V17=0,0,V39/TrRoad_act!V17*1000)</f>
        <v>24.145085674661697</v>
      </c>
      <c r="W101" s="101">
        <f>IF(TrRoad_act!W17=0,0,W39/TrRoad_act!W17*1000)</f>
        <v>25.581689631090747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11.466995545820227</v>
      </c>
      <c r="C102" s="101">
        <f>IF(TrRoad_act!C18=0,0,C41/TrRoad_act!C18*1000)</f>
        <v>11.61039680584328</v>
      </c>
      <c r="D102" s="101">
        <f>IF(TrRoad_act!D18=0,0,D41/TrRoad_act!D18*1000)</f>
        <v>11.474967054523457</v>
      </c>
      <c r="E102" s="101">
        <f>IF(TrRoad_act!E18=0,0,E41/TrRoad_act!E18*1000)</f>
        <v>11.537091794450767</v>
      </c>
      <c r="F102" s="101">
        <f>IF(TrRoad_act!F18=0,0,F41/TrRoad_act!F18*1000)</f>
        <v>11.449966204953707</v>
      </c>
      <c r="G102" s="101">
        <f>IF(TrRoad_act!G18=0,0,G41/TrRoad_act!G18*1000)</f>
        <v>11.55553979973107</v>
      </c>
      <c r="H102" s="101">
        <f>IF(TrRoad_act!H18=0,0,H41/TrRoad_act!H18*1000)</f>
        <v>12.542468524231365</v>
      </c>
      <c r="I102" s="101">
        <f>IF(TrRoad_act!I18=0,0,I41/TrRoad_act!I18*1000)</f>
        <v>13.436561778453818</v>
      </c>
      <c r="J102" s="101">
        <f>IF(TrRoad_act!J18=0,0,J41/TrRoad_act!J18*1000)</f>
        <v>12.038266442182689</v>
      </c>
      <c r="K102" s="101">
        <f>IF(TrRoad_act!K18=0,0,K41/TrRoad_act!K18*1000)</f>
        <v>12.747644287560716</v>
      </c>
      <c r="L102" s="101">
        <f>IF(TrRoad_act!L18=0,0,L41/TrRoad_act!L18*1000)</f>
        <v>12.605457085057271</v>
      </c>
      <c r="M102" s="101">
        <f>IF(TrRoad_act!M18=0,0,M41/TrRoad_act!M18*1000)</f>
        <v>12.481015906952067</v>
      </c>
      <c r="N102" s="101">
        <f>IF(TrRoad_act!N18=0,0,N41/TrRoad_act!N18*1000)</f>
        <v>12.066107368491789</v>
      </c>
      <c r="O102" s="101">
        <f>IF(TrRoad_act!O18=0,0,O41/TrRoad_act!O18*1000)</f>
        <v>12.217808365396136</v>
      </c>
      <c r="P102" s="101">
        <f>IF(TrRoad_act!P18=0,0,P41/TrRoad_act!P18*1000)</f>
        <v>11.865926056954146</v>
      </c>
      <c r="Q102" s="101">
        <f>IF(TrRoad_act!Q18=0,0,Q41/TrRoad_act!Q18*1000)</f>
        <v>11.31868183270443</v>
      </c>
      <c r="R102" s="101">
        <f>IF(TrRoad_act!R18=0,0,R41/TrRoad_act!R18*1000)</f>
        <v>11.656553165798663</v>
      </c>
      <c r="S102" s="101">
        <f>IF(TrRoad_act!S18=0,0,S41/TrRoad_act!S18*1000)</f>
        <v>11.824488765720567</v>
      </c>
      <c r="T102" s="101">
        <f>IF(TrRoad_act!T18=0,0,T41/TrRoad_act!T18*1000)</f>
        <v>11.669796548090222</v>
      </c>
      <c r="U102" s="101">
        <f>IF(TrRoad_act!U18=0,0,U41/TrRoad_act!U18*1000)</f>
        <v>11.787100146839535</v>
      </c>
      <c r="V102" s="101">
        <f>IF(TrRoad_act!V18=0,0,V41/TrRoad_act!V18*1000)</f>
        <v>15.301968148359702</v>
      </c>
      <c r="W102" s="101">
        <f>IF(TrRoad_act!W18=0,0,W41/TrRoad_act!W18*1000)</f>
        <v>16.328224644606223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47.53268355090448</v>
      </c>
      <c r="C103" s="29">
        <f>IF(TrRoad_act!C19=0,0,C42/TrRoad_act!C19*1000)</f>
        <v>49.927592450061184</v>
      </c>
      <c r="D103" s="29">
        <f>IF(TrRoad_act!D19=0,0,D42/TrRoad_act!D19*1000)</f>
        <v>55.329479357646449</v>
      </c>
      <c r="E103" s="29">
        <f>IF(TrRoad_act!E19=0,0,E42/TrRoad_act!E19*1000)</f>
        <v>58.795026738021839</v>
      </c>
      <c r="F103" s="29">
        <f>IF(TrRoad_act!F19=0,0,F42/TrRoad_act!F19*1000)</f>
        <v>58.401213456233712</v>
      </c>
      <c r="G103" s="29">
        <f>IF(TrRoad_act!G19=0,0,G42/TrRoad_act!G19*1000)</f>
        <v>68.32492509166741</v>
      </c>
      <c r="H103" s="29">
        <f>IF(TrRoad_act!H19=0,0,H42/TrRoad_act!H19*1000)</f>
        <v>66.959165979519142</v>
      </c>
      <c r="I103" s="29">
        <f>IF(TrRoad_act!I19=0,0,I42/TrRoad_act!I19*1000)</f>
        <v>61.492422722827015</v>
      </c>
      <c r="J103" s="29">
        <f>IF(TrRoad_act!J19=0,0,J42/TrRoad_act!J19*1000)</f>
        <v>62.508464185600992</v>
      </c>
      <c r="K103" s="29">
        <f>IF(TrRoad_act!K19=0,0,K42/TrRoad_act!K19*1000)</f>
        <v>72.520172220103078</v>
      </c>
      <c r="L103" s="29">
        <f>IF(TrRoad_act!L19=0,0,L42/TrRoad_act!L19*1000)</f>
        <v>67.337406711258339</v>
      </c>
      <c r="M103" s="29">
        <f>IF(TrRoad_act!M19=0,0,M42/TrRoad_act!M19*1000)</f>
        <v>61.173362872395927</v>
      </c>
      <c r="N103" s="29">
        <f>IF(TrRoad_act!N19=0,0,N42/TrRoad_act!N19*1000)</f>
        <v>58.844900222508677</v>
      </c>
      <c r="O103" s="29">
        <f>IF(TrRoad_act!O19=0,0,O42/TrRoad_act!O19*1000)</f>
        <v>51.38739197857516</v>
      </c>
      <c r="P103" s="29">
        <f>IF(TrRoad_act!P19=0,0,P42/TrRoad_act!P19*1000)</f>
        <v>61.501557220198883</v>
      </c>
      <c r="Q103" s="29">
        <f>IF(TrRoad_act!Q19=0,0,Q42/TrRoad_act!Q19*1000)</f>
        <v>65.861310118848721</v>
      </c>
      <c r="R103" s="29">
        <f>IF(TrRoad_act!R19=0,0,R42/TrRoad_act!R19*1000)</f>
        <v>58.537031178108911</v>
      </c>
      <c r="S103" s="29">
        <f>IF(TrRoad_act!S19=0,0,S42/TrRoad_act!S19*1000)</f>
        <v>58.349944828721007</v>
      </c>
      <c r="T103" s="29">
        <f>IF(TrRoad_act!T19=0,0,T42/TrRoad_act!T19*1000)</f>
        <v>59.424748324376054</v>
      </c>
      <c r="U103" s="29">
        <f>IF(TrRoad_act!U19=0,0,U42/TrRoad_act!U19*1000)</f>
        <v>58.56723589792874</v>
      </c>
      <c r="V103" s="29">
        <f>IF(TrRoad_act!V19=0,0,V42/TrRoad_act!V19*1000)</f>
        <v>51.858407071487356</v>
      </c>
      <c r="W103" s="29">
        <f>IF(TrRoad_act!W19=0,0,W42/TrRoad_act!W19*1000)</f>
        <v>54.600557879092378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649.3027397023219</v>
      </c>
      <c r="C104" s="152">
        <f>IF(TrRoad_act!C20=0,0,C43/TrRoad_act!C20*1000)</f>
        <v>637.19152368206778</v>
      </c>
      <c r="D104" s="152">
        <f>IF(TrRoad_act!D20=0,0,D43/TrRoad_act!D20*1000)</f>
        <v>645.49026382557383</v>
      </c>
      <c r="E104" s="152">
        <f>IF(TrRoad_act!E20=0,0,E43/TrRoad_act!E20*1000)</f>
        <v>645.31501223386601</v>
      </c>
      <c r="F104" s="152">
        <f>IF(TrRoad_act!F20=0,0,F43/TrRoad_act!F20*1000)</f>
        <v>640.76176567478626</v>
      </c>
      <c r="G104" s="152">
        <f>IF(TrRoad_act!G20=0,0,G43/TrRoad_act!G20*1000)</f>
        <v>659.16152182108897</v>
      </c>
      <c r="H104" s="152">
        <f>IF(TrRoad_act!H20=0,0,H43/TrRoad_act!H20*1000)</f>
        <v>651.71431565406306</v>
      </c>
      <c r="I104" s="152">
        <f>IF(TrRoad_act!I20=0,0,I43/TrRoad_act!I20*1000)</f>
        <v>628.23864688985952</v>
      </c>
      <c r="J104" s="152">
        <f>IF(TrRoad_act!J20=0,0,J43/TrRoad_act!J20*1000)</f>
        <v>630.99035154832757</v>
      </c>
      <c r="K104" s="152">
        <f>IF(TrRoad_act!K20=0,0,K43/TrRoad_act!K20*1000)</f>
        <v>619.06185149741327</v>
      </c>
      <c r="L104" s="152">
        <f>IF(TrRoad_act!L20=0,0,L43/TrRoad_act!L20*1000)</f>
        <v>616.24732113571724</v>
      </c>
      <c r="M104" s="152">
        <f>IF(TrRoad_act!M20=0,0,M43/TrRoad_act!M20*1000)</f>
        <v>586.48256544006858</v>
      </c>
      <c r="N104" s="152">
        <f>IF(TrRoad_act!N20=0,0,N43/TrRoad_act!N20*1000)</f>
        <v>571.71187562775435</v>
      </c>
      <c r="O104" s="152">
        <f>IF(TrRoad_act!O20=0,0,O43/TrRoad_act!O20*1000)</f>
        <v>535.00994892615267</v>
      </c>
      <c r="P104" s="152">
        <f>IF(TrRoad_act!P20=0,0,P43/TrRoad_act!P20*1000)</f>
        <v>574.58432873904735</v>
      </c>
      <c r="Q104" s="152">
        <f>IF(TrRoad_act!Q20=0,0,Q43/TrRoad_act!Q20*1000)</f>
        <v>591.34297887498326</v>
      </c>
      <c r="R104" s="152">
        <f>IF(TrRoad_act!R20=0,0,R43/TrRoad_act!R20*1000)</f>
        <v>568.54253436889712</v>
      </c>
      <c r="S104" s="152">
        <f>IF(TrRoad_act!S20=0,0,S43/TrRoad_act!S20*1000)</f>
        <v>569.03261319269541</v>
      </c>
      <c r="T104" s="152">
        <f>IF(TrRoad_act!T20=0,0,T43/TrRoad_act!T20*1000)</f>
        <v>569.04086054149889</v>
      </c>
      <c r="U104" s="152">
        <f>IF(TrRoad_act!U20=0,0,U43/TrRoad_act!U20*1000)</f>
        <v>560.98758178174501</v>
      </c>
      <c r="V104" s="152">
        <f>IF(TrRoad_act!V20=0,0,V43/TrRoad_act!V20*1000)</f>
        <v>531.06893385925105</v>
      </c>
      <c r="W104" s="152">
        <f>IF(TrRoad_act!W20=0,0,W43/TrRoad_act!W20*1000)</f>
        <v>550.76680174231228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697.95715770384413</v>
      </c>
      <c r="C105" s="87">
        <f>IF(TrRoad_act!C21=0,0,C44/TrRoad_act!C21*1000)</f>
        <v>691.98200520417436</v>
      </c>
      <c r="D105" s="87">
        <f>IF(TrRoad_act!D21=0,0,D44/TrRoad_act!D21*1000)</f>
        <v>688.79960008407772</v>
      </c>
      <c r="E105" s="87">
        <f>IF(TrRoad_act!E21=0,0,E44/TrRoad_act!E21*1000)</f>
        <v>685.6914726996589</v>
      </c>
      <c r="F105" s="87">
        <f>IF(TrRoad_act!F21=0,0,F44/TrRoad_act!F21*1000)</f>
        <v>682.14077076026399</v>
      </c>
      <c r="G105" s="87">
        <f>IF(TrRoad_act!G21=0,0,G44/TrRoad_act!G21*1000)</f>
        <v>678.81456439078727</v>
      </c>
      <c r="H105" s="87">
        <f>IF(TrRoad_act!H21=0,0,H44/TrRoad_act!H21*1000)</f>
        <v>675.37420380613514</v>
      </c>
      <c r="I105" s="87">
        <f>IF(TrRoad_act!I21=0,0,I44/TrRoad_act!I21*1000)</f>
        <v>669.61310827234524</v>
      </c>
      <c r="J105" s="87">
        <f>IF(TrRoad_act!J21=0,0,J44/TrRoad_act!J21*1000)</f>
        <v>661.90710122447945</v>
      </c>
      <c r="K105" s="87">
        <f>IF(TrRoad_act!K21=0,0,K44/TrRoad_act!K21*1000)</f>
        <v>654.94192152517496</v>
      </c>
      <c r="L105" s="87">
        <f>IF(TrRoad_act!L21=0,0,L44/TrRoad_act!L21*1000)</f>
        <v>648.88380978181408</v>
      </c>
      <c r="M105" s="87">
        <f>IF(TrRoad_act!M21=0,0,M44/TrRoad_act!M21*1000)</f>
        <v>644.87573849716762</v>
      </c>
      <c r="N105" s="87">
        <f>IF(TrRoad_act!N21=0,0,N44/TrRoad_act!N21*1000)</f>
        <v>639.90607366524728</v>
      </c>
      <c r="O105" s="87">
        <f>IF(TrRoad_act!O21=0,0,O44/TrRoad_act!O21*1000)</f>
        <v>600.82748033706946</v>
      </c>
      <c r="P105" s="87">
        <f>IF(TrRoad_act!P21=0,0,P44/TrRoad_act!P21*1000)</f>
        <v>580.80734955996024</v>
      </c>
      <c r="Q105" s="87">
        <f>IF(TrRoad_act!Q21=0,0,Q44/TrRoad_act!Q21*1000)</f>
        <v>567.1636021737711</v>
      </c>
      <c r="R105" s="87">
        <f>IF(TrRoad_act!R21=0,0,R44/TrRoad_act!R21*1000)</f>
        <v>561.40076335293065</v>
      </c>
      <c r="S105" s="87">
        <f>IF(TrRoad_act!S21=0,0,S44/TrRoad_act!S21*1000)</f>
        <v>558.31252677171506</v>
      </c>
      <c r="T105" s="87">
        <f>IF(TrRoad_act!T21=0,0,T44/TrRoad_act!T21*1000)</f>
        <v>561.02818031378877</v>
      </c>
      <c r="U105" s="87">
        <f>IF(TrRoad_act!U21=0,0,U44/TrRoad_act!U21*1000)</f>
        <v>565.63447335885292</v>
      </c>
      <c r="V105" s="87">
        <f>IF(TrRoad_act!V21=0,0,V44/TrRoad_act!V21*1000)</f>
        <v>563.31993667175402</v>
      </c>
      <c r="W105" s="87">
        <f>IF(TrRoad_act!W21=0,0,W44/TrRoad_act!W21*1000)</f>
        <v>562.59721897965915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632.31864566610898</v>
      </c>
      <c r="C106" s="87">
        <f>IF(TrRoad_act!C22=0,0,C46/TrRoad_act!C22*1000)</f>
        <v>621.05235403179381</v>
      </c>
      <c r="D106" s="87">
        <f>IF(TrRoad_act!D22=0,0,D46/TrRoad_act!D22*1000)</f>
        <v>635.29760949230865</v>
      </c>
      <c r="E106" s="87">
        <f>IF(TrRoad_act!E22=0,0,E46/TrRoad_act!E22*1000)</f>
        <v>637.37966933410632</v>
      </c>
      <c r="F106" s="87">
        <f>IF(TrRoad_act!F22=0,0,F46/TrRoad_act!F22*1000)</f>
        <v>633.73379381930488</v>
      </c>
      <c r="G106" s="87">
        <f>IF(TrRoad_act!G22=0,0,G46/TrRoad_act!G22*1000)</f>
        <v>656.31712770940237</v>
      </c>
      <c r="H106" s="87">
        <f>IF(TrRoad_act!H22=0,0,H46/TrRoad_act!H22*1000)</f>
        <v>648.68489802709166</v>
      </c>
      <c r="I106" s="87">
        <f>IF(TrRoad_act!I22=0,0,I46/TrRoad_act!I22*1000)</f>
        <v>623.85027211756312</v>
      </c>
      <c r="J106" s="87">
        <f>IF(TrRoad_act!J22=0,0,J46/TrRoad_act!J22*1000)</f>
        <v>628.59949344017809</v>
      </c>
      <c r="K106" s="87">
        <f>IF(TrRoad_act!K22=0,0,K46/TrRoad_act!K22*1000)</f>
        <v>616.92762574606525</v>
      </c>
      <c r="L106" s="87">
        <f>IF(TrRoad_act!L22=0,0,L46/TrRoad_act!L22*1000)</f>
        <v>614.18391362256273</v>
      </c>
      <c r="M106" s="87">
        <f>IF(TrRoad_act!M22=0,0,M46/TrRoad_act!M22*1000)</f>
        <v>583.4287398923293</v>
      </c>
      <c r="N106" s="87">
        <f>IF(TrRoad_act!N22=0,0,N46/TrRoad_act!N22*1000)</f>
        <v>568.44758879996982</v>
      </c>
      <c r="O106" s="87">
        <f>IF(TrRoad_act!O22=0,0,O46/TrRoad_act!O22*1000)</f>
        <v>532.17767070716309</v>
      </c>
      <c r="P106" s="87">
        <f>IF(TrRoad_act!P22=0,0,P46/TrRoad_act!P22*1000)</f>
        <v>574.33668804798458</v>
      </c>
      <c r="Q106" s="87">
        <f>IF(TrRoad_act!Q22=0,0,Q46/TrRoad_act!Q22*1000)</f>
        <v>592.07962927474864</v>
      </c>
      <c r="R106" s="87">
        <f>IF(TrRoad_act!R22=0,0,R46/TrRoad_act!R22*1000)</f>
        <v>568.7033261196583</v>
      </c>
      <c r="S106" s="87">
        <f>IF(TrRoad_act!S22=0,0,S46/TrRoad_act!S22*1000)</f>
        <v>569.32149801337459</v>
      </c>
      <c r="T106" s="87">
        <f>IF(TrRoad_act!T22=0,0,T46/TrRoad_act!T22*1000)</f>
        <v>569.31681908506744</v>
      </c>
      <c r="U106" s="87">
        <f>IF(TrRoad_act!U22=0,0,U46/TrRoad_act!U22*1000)</f>
        <v>560.99987084880013</v>
      </c>
      <c r="V106" s="87">
        <f>IF(TrRoad_act!V22=0,0,V46/TrRoad_act!V22*1000)</f>
        <v>530.5531947407768</v>
      </c>
      <c r="W106" s="87">
        <f>IF(TrRoad_act!W22=0,0,W46/TrRoad_act!W22*1000)</f>
        <v>550.84472799947753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786.50238493358518</v>
      </c>
      <c r="D107" s="87">
        <f>IF(TrRoad_act!D23=0,0,D48/TrRoad_act!D23*1000)</f>
        <v>786.44594103300869</v>
      </c>
      <c r="E107" s="87">
        <f>IF(TrRoad_act!E23=0,0,E48/TrRoad_act!E23*1000)</f>
        <v>786.38350559732942</v>
      </c>
      <c r="F107" s="87">
        <f>IF(TrRoad_act!F23=0,0,F48/TrRoad_act!F23*1000)</f>
        <v>786.31502394694053</v>
      </c>
      <c r="G107" s="87">
        <f>IF(TrRoad_act!G23=0,0,G48/TrRoad_act!G23*1000)</f>
        <v>787.01896605214938</v>
      </c>
      <c r="H107" s="87">
        <f>IF(TrRoad_act!H23=0,0,H48/TrRoad_act!H23*1000)</f>
        <v>788.53832201510681</v>
      </c>
      <c r="I107" s="87">
        <f>IF(TrRoad_act!I23=0,0,I48/TrRoad_act!I23*1000)</f>
        <v>790.06730838020587</v>
      </c>
      <c r="J107" s="87">
        <f>IF(TrRoad_act!J23=0,0,J48/TrRoad_act!J23*1000)</f>
        <v>791.60409474071093</v>
      </c>
      <c r="K107" s="87">
        <f>IF(TrRoad_act!K23=0,0,K48/TrRoad_act!K23*1000)</f>
        <v>793.11948352363208</v>
      </c>
      <c r="L107" s="87">
        <f>IF(TrRoad_act!L23=0,0,L48/TrRoad_act!L23*1000)</f>
        <v>794.63651806088899</v>
      </c>
      <c r="M107" s="87">
        <f>IF(TrRoad_act!M23=0,0,M48/TrRoad_act!M23*1000)</f>
        <v>796.15464106776813</v>
      </c>
      <c r="N107" s="87">
        <f>IF(TrRoad_act!N23=0,0,N48/TrRoad_act!N23*1000)</f>
        <v>796.93769857283576</v>
      </c>
      <c r="O107" s="87">
        <f>IF(TrRoad_act!O23=0,0,O48/TrRoad_act!O23*1000)</f>
        <v>798.36356065451037</v>
      </c>
      <c r="P107" s="87">
        <f>IF(TrRoad_act!P23=0,0,P48/TrRoad_act!P23*1000)</f>
        <v>799.76297372165209</v>
      </c>
      <c r="Q107" s="87">
        <f>IF(TrRoad_act!Q23=0,0,Q48/TrRoad_act!Q23*1000)</f>
        <v>790.95580565916782</v>
      </c>
      <c r="R107" s="87">
        <f>IF(TrRoad_act!R23=0,0,R48/TrRoad_act!R23*1000)</f>
        <v>787.4321111472326</v>
      </c>
      <c r="S107" s="87">
        <f>IF(TrRoad_act!S23=0,0,S48/TrRoad_act!S23*1000)</f>
        <v>783.03249321820522</v>
      </c>
      <c r="T107" s="87">
        <f>IF(TrRoad_act!T23=0,0,T48/TrRoad_act!T23*1000)</f>
        <v>778.37614280606704</v>
      </c>
      <c r="U107" s="87">
        <f>IF(TrRoad_act!U23=0,0,U48/TrRoad_act!U23*1000)</f>
        <v>771.51363385586626</v>
      </c>
      <c r="V107" s="87">
        <f>IF(TrRoad_act!V23=0,0,V48/TrRoad_act!V23*1000)</f>
        <v>724.83813529676695</v>
      </c>
      <c r="W107" s="87">
        <f>IF(TrRoad_act!W23=0,0,W48/TrRoad_act!W23*1000)</f>
        <v>698.7389832622124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839.58135316327639</v>
      </c>
      <c r="C108" s="87">
        <f>IF(TrRoad_act!C24=0,0,C49/TrRoad_act!C24*1000)</f>
        <v>799.53886534349169</v>
      </c>
      <c r="D108" s="87">
        <f>IF(TrRoad_act!D24=0,0,D49/TrRoad_act!D24*1000)</f>
        <v>799.48148587066771</v>
      </c>
      <c r="E108" s="87">
        <f>IF(TrRoad_act!E24=0,0,E49/TrRoad_act!E24*1000)</f>
        <v>799.41801555149732</v>
      </c>
      <c r="F108" s="87">
        <f>IF(TrRoad_act!F24=0,0,F49/TrRoad_act!F24*1000)</f>
        <v>799.34839880004438</v>
      </c>
      <c r="G108" s="87">
        <f>IF(TrRoad_act!G24=0,0,G49/TrRoad_act!G24*1000)</f>
        <v>799.2871789873418</v>
      </c>
      <c r="H108" s="87">
        <f>IF(TrRoad_act!H24=0,0,H49/TrRoad_act!H24*1000)</f>
        <v>799.22211319171993</v>
      </c>
      <c r="I108" s="87">
        <f>IF(TrRoad_act!I24=0,0,I49/TrRoad_act!I24*1000)</f>
        <v>799.16382705713499</v>
      </c>
      <c r="J108" s="87">
        <f>IF(TrRoad_act!J24=0,0,J49/TrRoad_act!J24*1000)</f>
        <v>799.11042629376504</v>
      </c>
      <c r="K108" s="87">
        <f>IF(TrRoad_act!K24=0,0,K49/TrRoad_act!K24*1000)</f>
        <v>799.03246045434344</v>
      </c>
      <c r="L108" s="87">
        <f>IF(TrRoad_act!L24=0,0,L49/TrRoad_act!L24*1000)</f>
        <v>798.9532402083621</v>
      </c>
      <c r="M108" s="87">
        <f>IF(TrRoad_act!M24=0,0,M49/TrRoad_act!M24*1000)</f>
        <v>798.87220839838051</v>
      </c>
      <c r="N108" s="87">
        <f>IF(TrRoad_act!N24=0,0,N49/TrRoad_act!N24*1000)</f>
        <v>585.50131736280161</v>
      </c>
      <c r="O108" s="87">
        <f>IF(TrRoad_act!O24=0,0,O49/TrRoad_act!O24*1000)</f>
        <v>581.29734053437278</v>
      </c>
      <c r="P108" s="87">
        <f>IF(TrRoad_act!P24=0,0,P49/TrRoad_act!P24*1000)</f>
        <v>571.95703360315918</v>
      </c>
      <c r="Q108" s="87">
        <f>IF(TrRoad_act!Q24=0,0,Q49/TrRoad_act!Q24*1000)</f>
        <v>701.19650267556517</v>
      </c>
      <c r="R108" s="87">
        <f>IF(TrRoad_act!R24=0,0,R49/TrRoad_act!R24*1000)</f>
        <v>709.15768182412057</v>
      </c>
      <c r="S108" s="87">
        <f>IF(TrRoad_act!S24=0,0,S49/TrRoad_act!S24*1000)</f>
        <v>699.37243174853052</v>
      </c>
      <c r="T108" s="87">
        <f>IF(TrRoad_act!T24=0,0,T49/TrRoad_act!T24*1000)</f>
        <v>714.68133235241316</v>
      </c>
      <c r="U108" s="87">
        <f>IF(TrRoad_act!U24=0,0,U49/TrRoad_act!U24*1000)</f>
        <v>710.29436471145641</v>
      </c>
      <c r="V108" s="87">
        <f>IF(TrRoad_act!V24=0,0,V49/TrRoad_act!V24*1000)</f>
        <v>699.22614741279767</v>
      </c>
      <c r="W108" s="87">
        <f>IF(TrRoad_act!W24=0,0,W49/TrRoad_act!W24*1000)</f>
        <v>698.49407692182206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0</v>
      </c>
      <c r="O109" s="87">
        <f>IF(TrRoad_act!O25=0,0,O51/TrRoad_act!O25*1000)</f>
        <v>104.53648606169929</v>
      </c>
      <c r="P109" s="87">
        <f>IF(TrRoad_act!P25=0,0,P51/TrRoad_act!P25*1000)</f>
        <v>104.7975060243686</v>
      </c>
      <c r="Q109" s="87">
        <f>IF(TrRoad_act!Q25=0,0,Q51/TrRoad_act!Q25*1000)</f>
        <v>107.70765420964192</v>
      </c>
      <c r="R109" s="87">
        <f>IF(TrRoad_act!R25=0,0,R51/TrRoad_act!R25*1000)</f>
        <v>108.95393008121754</v>
      </c>
      <c r="S109" s="87">
        <f>IF(TrRoad_act!S25=0,0,S51/TrRoad_act!S25*1000)</f>
        <v>110.02069634454</v>
      </c>
      <c r="T109" s="87">
        <f>IF(TrRoad_act!T25=0,0,T51/TrRoad_act!T25*1000)</f>
        <v>123.63312361906155</v>
      </c>
      <c r="U109" s="87">
        <f>IF(TrRoad_act!U25=0,0,U51/TrRoad_act!U25*1000)</f>
        <v>131.13454711176047</v>
      </c>
      <c r="V109" s="87">
        <f>IF(TrRoad_act!V25=0,0,V51/TrRoad_act!V25*1000)</f>
        <v>145.65883494894086</v>
      </c>
      <c r="W109" s="87">
        <f>IF(TrRoad_act!W25=0,0,W51/TrRoad_act!W25*1000)</f>
        <v>166.13999943138472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31.733578048175247</v>
      </c>
      <c r="C110" s="116">
        <f>IF(TrRoad_act!C26=0,0,C52/TrRoad_act!C26*1000)</f>
        <v>33.837491616945911</v>
      </c>
      <c r="D110" s="116">
        <f>IF(TrRoad_act!D26=0,0,D52/TrRoad_act!D26*1000)</f>
        <v>37.833341312152271</v>
      </c>
      <c r="E110" s="116">
        <f>IF(TrRoad_act!E26=0,0,E52/TrRoad_act!E26*1000)</f>
        <v>40.344743506412854</v>
      </c>
      <c r="F110" s="116">
        <f>IF(TrRoad_act!F26=0,0,F52/TrRoad_act!F26*1000)</f>
        <v>41.216706241671751</v>
      </c>
      <c r="G110" s="116">
        <f>IF(TrRoad_act!G26=0,0,G52/TrRoad_act!G26*1000)</f>
        <v>50.759818443583654</v>
      </c>
      <c r="H110" s="116">
        <f>IF(TrRoad_act!H26=0,0,H52/TrRoad_act!H26*1000)</f>
        <v>50.965625659451341</v>
      </c>
      <c r="I110" s="116">
        <f>IF(TrRoad_act!I26=0,0,I52/TrRoad_act!I26*1000)</f>
        <v>46.36130766109477</v>
      </c>
      <c r="J110" s="116">
        <f>IF(TrRoad_act!J26=0,0,J52/TrRoad_act!J26*1000)</f>
        <v>46.443646067962952</v>
      </c>
      <c r="K110" s="116">
        <f>IF(TrRoad_act!K26=0,0,K52/TrRoad_act!K26*1000)</f>
        <v>50.764902094475573</v>
      </c>
      <c r="L110" s="116">
        <f>IF(TrRoad_act!L26=0,0,L52/TrRoad_act!L26*1000)</f>
        <v>47.748199233224589</v>
      </c>
      <c r="M110" s="116">
        <f>IF(TrRoad_act!M26=0,0,M52/TrRoad_act!M26*1000)</f>
        <v>41.171690190258147</v>
      </c>
      <c r="N110" s="116">
        <f>IF(TrRoad_act!N26=0,0,N52/TrRoad_act!N26*1000)</f>
        <v>37.26014798631337</v>
      </c>
      <c r="O110" s="116">
        <f>IF(TrRoad_act!O26=0,0,O52/TrRoad_act!O26*1000)</f>
        <v>30.212207225515186</v>
      </c>
      <c r="P110" s="116">
        <f>IF(TrRoad_act!P26=0,0,P52/TrRoad_act!P26*1000)</f>
        <v>39.173943800943917</v>
      </c>
      <c r="Q110" s="116">
        <f>IF(TrRoad_act!Q26=0,0,Q52/TrRoad_act!Q26*1000)</f>
        <v>43.588775355497056</v>
      </c>
      <c r="R110" s="116">
        <f>IF(TrRoad_act!R26=0,0,R52/TrRoad_act!R26*1000)</f>
        <v>37.699671788079577</v>
      </c>
      <c r="S110" s="116">
        <f>IF(TrRoad_act!S26=0,0,S52/TrRoad_act!S26*1000)</f>
        <v>37.485594898968586</v>
      </c>
      <c r="T110" s="116">
        <f>IF(TrRoad_act!T26=0,0,T52/TrRoad_act!T26*1000)</f>
        <v>38.243701397443495</v>
      </c>
      <c r="U110" s="116">
        <f>IF(TrRoad_act!U26=0,0,U52/TrRoad_act!U26*1000)</f>
        <v>36.866834508857863</v>
      </c>
      <c r="V110" s="116">
        <f>IF(TrRoad_act!V26=0,0,V52/TrRoad_act!V26*1000)</f>
        <v>29.04516376399533</v>
      </c>
      <c r="W110" s="116">
        <f>IF(TrRoad_act!W26=0,0,W52/TrRoad_act!W26*1000)</f>
        <v>32.85348357051766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33.3545152288522</v>
      </c>
      <c r="C111" s="101">
        <f>IF(TrRoad_act!C27=0,0,C53/TrRoad_act!C27*1000)</f>
        <v>34.916587317146025</v>
      </c>
      <c r="D111" s="101">
        <f>IF(TrRoad_act!D27=0,0,D53/TrRoad_act!D27*1000)</f>
        <v>37.222967250084203</v>
      </c>
      <c r="E111" s="101">
        <f>IF(TrRoad_act!E27=0,0,E53/TrRoad_act!E27*1000)</f>
        <v>39.370990664105207</v>
      </c>
      <c r="F111" s="101">
        <f>IF(TrRoad_act!F27=0,0,F53/TrRoad_act!F27*1000)</f>
        <v>40.55030509864126</v>
      </c>
      <c r="G111" s="101">
        <f>IF(TrRoad_act!G27=0,0,G53/TrRoad_act!G27*1000)</f>
        <v>53.653938843691556</v>
      </c>
      <c r="H111" s="101">
        <f>IF(TrRoad_act!H27=0,0,H53/TrRoad_act!H27*1000)</f>
        <v>53.133069442460979</v>
      </c>
      <c r="I111" s="101">
        <f>IF(TrRoad_act!I27=0,0,I53/TrRoad_act!I27*1000)</f>
        <v>50.640433356845456</v>
      </c>
      <c r="J111" s="101">
        <f>IF(TrRoad_act!J27=0,0,J53/TrRoad_act!J27*1000)</f>
        <v>49.034711048454305</v>
      </c>
      <c r="K111" s="101">
        <f>IF(TrRoad_act!K27=0,0,K53/TrRoad_act!K27*1000)</f>
        <v>53.948310708589418</v>
      </c>
      <c r="L111" s="101">
        <f>IF(TrRoad_act!L27=0,0,L53/TrRoad_act!L27*1000)</f>
        <v>48.168041662867502</v>
      </c>
      <c r="M111" s="101">
        <f>IF(TrRoad_act!M27=0,0,M53/TrRoad_act!M27*1000)</f>
        <v>45.511816391117151</v>
      </c>
      <c r="N111" s="101">
        <f>IF(TrRoad_act!N27=0,0,N53/TrRoad_act!N27*1000)</f>
        <v>43.627905807059165</v>
      </c>
      <c r="O111" s="101">
        <f>IF(TrRoad_act!O27=0,0,O53/TrRoad_act!O27*1000)</f>
        <v>40.159446328513148</v>
      </c>
      <c r="P111" s="101">
        <f>IF(TrRoad_act!P27=0,0,P53/TrRoad_act!P27*1000)</f>
        <v>43.818081710214777</v>
      </c>
      <c r="Q111" s="101">
        <f>IF(TrRoad_act!Q27=0,0,Q53/TrRoad_act!Q27*1000)</f>
        <v>44.726461029519058</v>
      </c>
      <c r="R111" s="101">
        <f>IF(TrRoad_act!R27=0,0,R53/TrRoad_act!R27*1000)</f>
        <v>39.727216026368637</v>
      </c>
      <c r="S111" s="101">
        <f>IF(TrRoad_act!S27=0,0,S53/TrRoad_act!S27*1000)</f>
        <v>38.625371329236785</v>
      </c>
      <c r="T111" s="101">
        <f>IF(TrRoad_act!T27=0,0,T53/TrRoad_act!T27*1000)</f>
        <v>39.068862952909122</v>
      </c>
      <c r="U111" s="101">
        <f>IF(TrRoad_act!U27=0,0,U53/TrRoad_act!U27*1000)</f>
        <v>38.260364126155849</v>
      </c>
      <c r="V111" s="101">
        <f>IF(TrRoad_act!V27=0,0,V53/TrRoad_act!V27*1000)</f>
        <v>35.038062850345661</v>
      </c>
      <c r="W111" s="101">
        <f>IF(TrRoad_act!W27=0,0,W53/TrRoad_act!W27*1000)</f>
        <v>36.149436219854408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29.211432607455809</v>
      </c>
      <c r="C112" s="88">
        <f>IF(TrRoad_act!C28=0,0,C55/TrRoad_act!C28*1000)</f>
        <v>32.310029870472221</v>
      </c>
      <c r="D112" s="88">
        <f>IF(TrRoad_act!D28=0,0,D55/TrRoad_act!D28*1000)</f>
        <v>38.603118734301383</v>
      </c>
      <c r="E112" s="88">
        <f>IF(TrRoad_act!E28=0,0,E55/TrRoad_act!E28*1000)</f>
        <v>41.499667506886254</v>
      </c>
      <c r="F112" s="88">
        <f>IF(TrRoad_act!F28=0,0,F55/TrRoad_act!F28*1000)</f>
        <v>41.917252547697117</v>
      </c>
      <c r="G112" s="88">
        <f>IF(TrRoad_act!G28=0,0,G55/TrRoad_act!G28*1000)</f>
        <v>47.710706151797929</v>
      </c>
      <c r="H112" s="88">
        <f>IF(TrRoad_act!H28=0,0,H55/TrRoad_act!H28*1000)</f>
        <v>48.689102177675309</v>
      </c>
      <c r="I112" s="88">
        <f>IF(TrRoad_act!I28=0,0,I55/TrRoad_act!I28*1000)</f>
        <v>42.011423624244529</v>
      </c>
      <c r="J112" s="88">
        <f>IF(TrRoad_act!J28=0,0,J55/TrRoad_act!J28*1000)</f>
        <v>44.05744608499139</v>
      </c>
      <c r="K112" s="88">
        <f>IF(TrRoad_act!K28=0,0,K55/TrRoad_act!K28*1000)</f>
        <v>46.956015740560126</v>
      </c>
      <c r="L112" s="88">
        <f>IF(TrRoad_act!L28=0,0,L55/TrRoad_act!L28*1000)</f>
        <v>47.271362681832528</v>
      </c>
      <c r="M112" s="88">
        <f>IF(TrRoad_act!M28=0,0,M55/TrRoad_act!M28*1000)</f>
        <v>36.833813317213298</v>
      </c>
      <c r="N112" s="88">
        <f>IF(TrRoad_act!N28=0,0,N55/TrRoad_act!N28*1000)</f>
        <v>31.733362462058381</v>
      </c>
      <c r="O112" s="88">
        <f>IF(TrRoad_act!O28=0,0,O55/TrRoad_act!O28*1000)</f>
        <v>21.698671194622396</v>
      </c>
      <c r="P112" s="88">
        <f>IF(TrRoad_act!P28=0,0,P55/TrRoad_act!P28*1000)</f>
        <v>35.150169462193695</v>
      </c>
      <c r="Q112" s="88">
        <f>IF(TrRoad_act!Q28=0,0,Q55/TrRoad_act!Q28*1000)</f>
        <v>42.586407869027838</v>
      </c>
      <c r="R112" s="88">
        <f>IF(TrRoad_act!R28=0,0,R55/TrRoad_act!R28*1000)</f>
        <v>35.814693158755794</v>
      </c>
      <c r="S112" s="88">
        <f>IF(TrRoad_act!S28=0,0,S55/TrRoad_act!S28*1000)</f>
        <v>36.504707750657325</v>
      </c>
      <c r="T112" s="88">
        <f>IF(TrRoad_act!T28=0,0,T55/TrRoad_act!T28*1000)</f>
        <v>37.479645477604116</v>
      </c>
      <c r="U112" s="88">
        <f>IF(TrRoad_act!U28=0,0,U55/TrRoad_act!U28*1000)</f>
        <v>35.564039110039801</v>
      </c>
      <c r="V112" s="88">
        <f>IF(TrRoad_act!V28=0,0,V55/TrRoad_act!V28*1000)</f>
        <v>23.275254184713653</v>
      </c>
      <c r="W112" s="88">
        <f>IF(TrRoad_act!W28=0,0,W55/TrRoad_act!W28*1000)</f>
        <v>29.595014995999456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129.56962803731798</v>
      </c>
      <c r="C116" s="152">
        <f>IF(C19=0,0,1000000*C19/TrRoad_act!C59)</f>
        <v>129.04293286288734</v>
      </c>
      <c r="D116" s="152">
        <f>IF(D19=0,0,1000000*D19/TrRoad_act!D59)</f>
        <v>127.90736594547838</v>
      </c>
      <c r="E116" s="152">
        <f>IF(E19=0,0,1000000*E19/TrRoad_act!E59)</f>
        <v>126.62274843106083</v>
      </c>
      <c r="F116" s="152">
        <f>IF(F19=0,0,1000000*F19/TrRoad_act!F59)</f>
        <v>124.70678742579611</v>
      </c>
      <c r="G116" s="152">
        <f>IF(G19=0,0,1000000*G19/TrRoad_act!G59)</f>
        <v>123.39866237138499</v>
      </c>
      <c r="H116" s="152">
        <f>IF(H19=0,0,1000000*H19/TrRoad_act!H59)</f>
        <v>122.15503843616432</v>
      </c>
      <c r="I116" s="152">
        <f>IF(I19=0,0,1000000*I19/TrRoad_act!I59)</f>
        <v>120.83388452819545</v>
      </c>
      <c r="J116" s="152">
        <f>IF(J19=0,0,1000000*J19/TrRoad_act!J59)</f>
        <v>119.31345799768813</v>
      </c>
      <c r="K116" s="152">
        <f>IF(K19=0,0,1000000*K19/TrRoad_act!K59)</f>
        <v>118.01861039623401</v>
      </c>
      <c r="L116" s="152">
        <f>IF(L19=0,0,1000000*L19/TrRoad_act!L59)</f>
        <v>116.85366258175451</v>
      </c>
      <c r="M116" s="152">
        <f>IF(M19=0,0,1000000*M19/TrRoad_act!M59)</f>
        <v>116.08737133856503</v>
      </c>
      <c r="N116" s="152">
        <f>IF(N19=0,0,1000000*N19/TrRoad_act!N59)</f>
        <v>114.95386049728273</v>
      </c>
      <c r="O116" s="152">
        <f>IF(O19=0,0,1000000*O19/TrRoad_act!O59)</f>
        <v>114.02448635512074</v>
      </c>
      <c r="P116" s="152">
        <f>IF(P19=0,0,1000000*P19/TrRoad_act!P59)</f>
        <v>112.81619397579337</v>
      </c>
      <c r="Q116" s="152">
        <f>IF(Q19=0,0,1000000*Q19/TrRoad_act!Q59)</f>
        <v>111.27268242083596</v>
      </c>
      <c r="R116" s="152">
        <f>IF(R19=0,0,1000000*R19/TrRoad_act!R59)</f>
        <v>109.89847533086569</v>
      </c>
      <c r="S116" s="152">
        <f>IF(S19=0,0,1000000*S19/TrRoad_act!S59)</f>
        <v>111.43533133859941</v>
      </c>
      <c r="T116" s="152">
        <f>IF(T19=0,0,1000000*T19/TrRoad_act!T59)</f>
        <v>110.92374665507462</v>
      </c>
      <c r="U116" s="152">
        <f>IF(U19=0,0,1000000*U19/TrRoad_act!U59)</f>
        <v>106.88737776985045</v>
      </c>
      <c r="V116" s="152">
        <f>IF(V19=0,0,1000000*V19/TrRoad_act!V59)</f>
        <v>93.636131021073652</v>
      </c>
      <c r="W116" s="152">
        <f>IF(W19=0,0,1000000*W19/TrRoad_act!W59)</f>
        <v>86.740908297065943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644.31878208242233</v>
      </c>
      <c r="C117" s="116">
        <f>IF(C21=0,0,1000000*C21/TrRoad_act!C60)</f>
        <v>651.91080819894501</v>
      </c>
      <c r="D117" s="116">
        <f>IF(D21=0,0,1000000*D21/TrRoad_act!D60)</f>
        <v>647.73639574080187</v>
      </c>
      <c r="E117" s="116">
        <f>IF(E21=0,0,1000000*E21/TrRoad_act!E60)</f>
        <v>648.10281788466409</v>
      </c>
      <c r="F117" s="116">
        <f>IF(F21=0,0,1000000*F21/TrRoad_act!F60)</f>
        <v>666.15471058054015</v>
      </c>
      <c r="G117" s="116">
        <f>IF(G21=0,0,1000000*G21/TrRoad_act!G60)</f>
        <v>653.23816551055847</v>
      </c>
      <c r="H117" s="116">
        <f>IF(H21=0,0,1000000*H21/TrRoad_act!H60)</f>
        <v>634.71798077439178</v>
      </c>
      <c r="I117" s="116">
        <f>IF(I21=0,0,1000000*I21/TrRoad_act!I60)</f>
        <v>657.3637804936975</v>
      </c>
      <c r="J117" s="116">
        <f>IF(J21=0,0,1000000*J21/TrRoad_act!J60)</f>
        <v>713.34883601995728</v>
      </c>
      <c r="K117" s="116">
        <f>IF(K21=0,0,1000000*K21/TrRoad_act!K60)</f>
        <v>741.58233176525823</v>
      </c>
      <c r="L117" s="116">
        <f>IF(L21=0,0,1000000*L21/TrRoad_act!L60)</f>
        <v>679.37037456646749</v>
      </c>
      <c r="M117" s="116">
        <f>IF(M21=0,0,1000000*M21/TrRoad_act!M60)</f>
        <v>642.85259203958663</v>
      </c>
      <c r="N117" s="116">
        <f>IF(N21=0,0,1000000*N21/TrRoad_act!N60)</f>
        <v>644.87437297095289</v>
      </c>
      <c r="O117" s="116">
        <f>IF(O21=0,0,1000000*O21/TrRoad_act!O60)</f>
        <v>602.822593319102</v>
      </c>
      <c r="P117" s="116">
        <f>IF(P21=0,0,1000000*P21/TrRoad_act!P60)</f>
        <v>626.78061776476909</v>
      </c>
      <c r="Q117" s="116">
        <f>IF(Q21=0,0,1000000*Q21/TrRoad_act!Q60)</f>
        <v>649.45443043189221</v>
      </c>
      <c r="R117" s="116">
        <f>IF(R21=0,0,1000000*R21/TrRoad_act!R60)</f>
        <v>658.41760878818252</v>
      </c>
      <c r="S117" s="116">
        <f>IF(S21=0,0,1000000*S21/TrRoad_act!S60)</f>
        <v>658.7908085678215</v>
      </c>
      <c r="T117" s="116">
        <f>IF(T21=0,0,1000000*T21/TrRoad_act!T60)</f>
        <v>673.88658610538687</v>
      </c>
      <c r="U117" s="116">
        <f>IF(U21=0,0,1000000*U21/TrRoad_act!U60)</f>
        <v>711.44966793424544</v>
      </c>
      <c r="V117" s="116">
        <f>IF(V21=0,0,1000000*V21/TrRoad_act!V60)</f>
        <v>632.07633916031762</v>
      </c>
      <c r="W117" s="116">
        <f>IF(W21=0,0,1000000*W21/TrRoad_act!W60)</f>
        <v>657.5260739709521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610.01770613031351</v>
      </c>
      <c r="C118" s="87">
        <f>IF(C22=0,0,1000000*C22/TrRoad_act!C61)</f>
        <v>614.86374633646415</v>
      </c>
      <c r="D118" s="87">
        <f>IF(D22=0,0,1000000*D22/TrRoad_act!D61)</f>
        <v>605.76606960143454</v>
      </c>
      <c r="E118" s="87">
        <f>IF(E22=0,0,1000000*E22/TrRoad_act!E61)</f>
        <v>594.99672384710368</v>
      </c>
      <c r="F118" s="87">
        <f>IF(F22=0,0,1000000*F22/TrRoad_act!F61)</f>
        <v>604.42472274238139</v>
      </c>
      <c r="G118" s="87">
        <f>IF(G22=0,0,1000000*G22/TrRoad_act!G61)</f>
        <v>597.39072519311719</v>
      </c>
      <c r="H118" s="87">
        <f>IF(H22=0,0,1000000*H22/TrRoad_act!H61)</f>
        <v>575.93984834408116</v>
      </c>
      <c r="I118" s="87">
        <f>IF(I22=0,0,1000000*I22/TrRoad_act!I61)</f>
        <v>593.76845557617651</v>
      </c>
      <c r="J118" s="87">
        <f>IF(J22=0,0,1000000*J22/TrRoad_act!J61)</f>
        <v>646.36387874775073</v>
      </c>
      <c r="K118" s="87">
        <f>IF(K22=0,0,1000000*K22/TrRoad_act!K61)</f>
        <v>661.7596903675352</v>
      </c>
      <c r="L118" s="87">
        <f>IF(L22=0,0,1000000*L22/TrRoad_act!L61)</f>
        <v>582.39442089057434</v>
      </c>
      <c r="M118" s="87">
        <f>IF(M22=0,0,1000000*M22/TrRoad_act!M61)</f>
        <v>549.57287128655605</v>
      </c>
      <c r="N118" s="87">
        <f>IF(N22=0,0,1000000*N22/TrRoad_act!N61)</f>
        <v>549.57925511420513</v>
      </c>
      <c r="O118" s="87">
        <f>IF(O22=0,0,1000000*O22/TrRoad_act!O61)</f>
        <v>512.43664997144265</v>
      </c>
      <c r="P118" s="87">
        <f>IF(P22=0,0,1000000*P22/TrRoad_act!P61)</f>
        <v>560.91857341656885</v>
      </c>
      <c r="Q118" s="87">
        <f>IF(Q22=0,0,1000000*Q22/TrRoad_act!Q61)</f>
        <v>572.24045582338363</v>
      </c>
      <c r="R118" s="87">
        <f>IF(R22=0,0,1000000*R22/TrRoad_act!R61)</f>
        <v>575.26386470405998</v>
      </c>
      <c r="S118" s="87">
        <f>IF(S22=0,0,1000000*S22/TrRoad_act!S61)</f>
        <v>571.17481587302291</v>
      </c>
      <c r="T118" s="87">
        <f>IF(T22=0,0,1000000*T22/TrRoad_act!T61)</f>
        <v>575.56173741517978</v>
      </c>
      <c r="U118" s="87">
        <f>IF(U22=0,0,1000000*U22/TrRoad_act!U61)</f>
        <v>593.70102329908855</v>
      </c>
      <c r="V118" s="87">
        <f>IF(V22=0,0,1000000*V22/TrRoad_act!V61)</f>
        <v>518.83314929045844</v>
      </c>
      <c r="W118" s="87">
        <f>IF(W22=0,0,1000000*W22/TrRoad_act!W61)</f>
        <v>538.37960517399029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960.30398428527542</v>
      </c>
      <c r="C119" s="87">
        <f>IF(C24=0,0,1000000*C24/TrRoad_act!C62)</f>
        <v>973.42124094916994</v>
      </c>
      <c r="D119" s="87">
        <f>IF(D24=0,0,1000000*D24/TrRoad_act!D62)</f>
        <v>979.79110819736707</v>
      </c>
      <c r="E119" s="87">
        <f>IF(E24=0,0,1000000*E24/TrRoad_act!E62)</f>
        <v>993.6943687730768</v>
      </c>
      <c r="F119" s="87">
        <f>IF(F24=0,0,1000000*F24/TrRoad_act!F62)</f>
        <v>1032.429526339743</v>
      </c>
      <c r="G119" s="87">
        <f>IF(G24=0,0,1000000*G24/TrRoad_act!G62)</f>
        <v>1044.1478728123163</v>
      </c>
      <c r="H119" s="87">
        <f>IF(H24=0,0,1000000*H24/TrRoad_act!H62)</f>
        <v>950.56570102794581</v>
      </c>
      <c r="I119" s="87">
        <f>IF(I24=0,0,1000000*I24/TrRoad_act!I62)</f>
        <v>970.34996094796475</v>
      </c>
      <c r="J119" s="87">
        <f>IF(J24=0,0,1000000*J24/TrRoad_act!J62)</f>
        <v>993.9046704955415</v>
      </c>
      <c r="K119" s="87">
        <f>IF(K24=0,0,1000000*K24/TrRoad_act!K62)</f>
        <v>1060.024186020981</v>
      </c>
      <c r="L119" s="87">
        <f>IF(L24=0,0,1000000*L24/TrRoad_act!L62)</f>
        <v>1043.9250827527885</v>
      </c>
      <c r="M119" s="87">
        <f>IF(M24=0,0,1000000*M24/TrRoad_act!M62)</f>
        <v>975.68095876730342</v>
      </c>
      <c r="N119" s="87">
        <f>IF(N24=0,0,1000000*N24/TrRoad_act!N62)</f>
        <v>974.27007478447888</v>
      </c>
      <c r="O119" s="87">
        <f>IF(O24=0,0,1000000*O24/TrRoad_act!O62)</f>
        <v>880.72491571380635</v>
      </c>
      <c r="P119" s="87">
        <f>IF(P24=0,0,1000000*P24/TrRoad_act!P62)</f>
        <v>818.8712536743792</v>
      </c>
      <c r="Q119" s="87">
        <f>IF(Q24=0,0,1000000*Q24/TrRoad_act!Q62)</f>
        <v>857.15639798297059</v>
      </c>
      <c r="R119" s="87">
        <f>IF(R24=0,0,1000000*R24/TrRoad_act!R62)</f>
        <v>868.40737412917554</v>
      </c>
      <c r="S119" s="87">
        <f>IF(S24=0,0,1000000*S24/TrRoad_act!S62)</f>
        <v>867.89781884953004</v>
      </c>
      <c r="T119" s="87">
        <f>IF(T24=0,0,1000000*T24/TrRoad_act!T62)</f>
        <v>900.45917187530006</v>
      </c>
      <c r="U119" s="87">
        <f>IF(U24=0,0,1000000*U24/TrRoad_act!U62)</f>
        <v>975.66618387080371</v>
      </c>
      <c r="V119" s="87">
        <f>IF(V24=0,0,1000000*V24/TrRoad_act!V62)</f>
        <v>881.69025696368374</v>
      </c>
      <c r="W119" s="87">
        <f>IF(W24=0,0,1000000*W24/TrRoad_act!W62)</f>
        <v>917.74606449527266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610.23819542514377</v>
      </c>
      <c r="D120" s="87">
        <f>IF(D26=0,0,1000000*D26/TrRoad_act!D63)</f>
        <v>617.29145433602025</v>
      </c>
      <c r="E120" s="87">
        <f>IF(E26=0,0,1000000*E26/TrRoad_act!E63)</f>
        <v>824.72391905964423</v>
      </c>
      <c r="F120" s="87">
        <f>IF(F26=0,0,1000000*F26/TrRoad_act!F63)</f>
        <v>774.94245668932228</v>
      </c>
      <c r="G120" s="87">
        <f>IF(G26=0,0,1000000*G26/TrRoad_act!G63)</f>
        <v>644.58554655814009</v>
      </c>
      <c r="H120" s="87">
        <f>IF(H26=0,0,1000000*H26/TrRoad_act!H63)</f>
        <v>671.89556055095272</v>
      </c>
      <c r="I120" s="87">
        <f>IF(I26=0,0,1000000*I26/TrRoad_act!I63)</f>
        <v>656.29798958248978</v>
      </c>
      <c r="J120" s="87">
        <f>IF(J26=0,0,1000000*J26/TrRoad_act!J63)</f>
        <v>690.18289471195624</v>
      </c>
      <c r="K120" s="87">
        <f>IF(K26=0,0,1000000*K26/TrRoad_act!K63)</f>
        <v>726.73835801994301</v>
      </c>
      <c r="L120" s="87">
        <f>IF(L26=0,0,1000000*L26/TrRoad_act!L63)</f>
        <v>746.73750059680765</v>
      </c>
      <c r="M120" s="87">
        <f>IF(M26=0,0,1000000*M26/TrRoad_act!M63)</f>
        <v>685.04997603343259</v>
      </c>
      <c r="N120" s="87">
        <f>IF(N26=0,0,1000000*N26/TrRoad_act!N63)</f>
        <v>489.30424413127423</v>
      </c>
      <c r="O120" s="87">
        <f>IF(O26=0,0,1000000*O26/TrRoad_act!O63)</f>
        <v>604.65601673460947</v>
      </c>
      <c r="P120" s="87">
        <f>IF(P26=0,0,1000000*P26/TrRoad_act!P63)</f>
        <v>526.43822783497262</v>
      </c>
      <c r="Q120" s="87">
        <f>IF(Q26=0,0,1000000*Q26/TrRoad_act!Q63)</f>
        <v>510.74489233652548</v>
      </c>
      <c r="R120" s="87">
        <f>IF(R26=0,0,1000000*R26/TrRoad_act!R63)</f>
        <v>467.35718949048055</v>
      </c>
      <c r="S120" s="87">
        <f>IF(S26=0,0,1000000*S26/TrRoad_act!S63)</f>
        <v>465.63826354836579</v>
      </c>
      <c r="T120" s="87">
        <f>IF(T26=0,0,1000000*T26/TrRoad_act!T63)</f>
        <v>449.25494481336517</v>
      </c>
      <c r="U120" s="87">
        <f>IF(U26=0,0,1000000*U26/TrRoad_act!U63)</f>
        <v>450.1852426559912</v>
      </c>
      <c r="V120" s="87">
        <f>IF(V26=0,0,1000000*V26/TrRoad_act!V63)</f>
        <v>411.35163952403497</v>
      </c>
      <c r="W120" s="87">
        <f>IF(W26=0,0,1000000*W26/TrRoad_act!W63)</f>
        <v>591.88649474397016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931.25793532901287</v>
      </c>
      <c r="M121" s="87">
        <f>IF(M27=0,0,1000000*M27/TrRoad_act!M64)</f>
        <v>533.93080588775399</v>
      </c>
      <c r="N121" s="87">
        <f>IF(N27=0,0,1000000*N27/TrRoad_act!N64)</f>
        <v>472.7520044199353</v>
      </c>
      <c r="O121" s="87">
        <f>IF(O27=0,0,1000000*O27/TrRoad_act!O64)</f>
        <v>500.82352832619381</v>
      </c>
      <c r="P121" s="87">
        <f>IF(P27=0,0,1000000*P27/TrRoad_act!P64)</f>
        <v>533.22423326654007</v>
      </c>
      <c r="Q121" s="87">
        <f>IF(Q27=0,0,1000000*Q27/TrRoad_act!Q64)</f>
        <v>477.9240002754533</v>
      </c>
      <c r="R121" s="87">
        <f>IF(R27=0,0,1000000*R27/TrRoad_act!R64)</f>
        <v>490.77270421741059</v>
      </c>
      <c r="S121" s="87">
        <f>IF(S27=0,0,1000000*S27/TrRoad_act!S64)</f>
        <v>483.76953497800389</v>
      </c>
      <c r="T121" s="87">
        <f>IF(T27=0,0,1000000*T27/TrRoad_act!T64)</f>
        <v>502.94418114503117</v>
      </c>
      <c r="U121" s="87">
        <f>IF(U27=0,0,1000000*U27/TrRoad_act!U64)</f>
        <v>538.82604061263396</v>
      </c>
      <c r="V121" s="87">
        <f>IF(V27=0,0,1000000*V27/TrRoad_act!V64)</f>
        <v>485.27879448511578</v>
      </c>
      <c r="W121" s="87">
        <f>IF(W27=0,0,1000000*W27/TrRoad_act!W64)</f>
        <v>493.84730963863666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182.6790830774836</v>
      </c>
      <c r="O122" s="87">
        <f>IF(O29=0,0,1000000*O29/TrRoad_act!O65)</f>
        <v>182.22789955664575</v>
      </c>
      <c r="P122" s="87">
        <f>IF(P29=0,0,1000000*P29/TrRoad_act!P65)</f>
        <v>199.72475711537305</v>
      </c>
      <c r="Q122" s="87">
        <f>IF(Q29=0,0,1000000*Q29/TrRoad_act!Q65)</f>
        <v>203.44899338403434</v>
      </c>
      <c r="R122" s="87">
        <f>IF(R29=0,0,1000000*R29/TrRoad_act!R65)</f>
        <v>261.57861555522857</v>
      </c>
      <c r="S122" s="87">
        <f>IF(S29=0,0,1000000*S29/TrRoad_act!S65)</f>
        <v>275.6412719938026</v>
      </c>
      <c r="T122" s="87">
        <f>IF(T29=0,0,1000000*T29/TrRoad_act!T65)</f>
        <v>277.22646908200505</v>
      </c>
      <c r="U122" s="87">
        <f>IF(U29=0,0,1000000*U29/TrRoad_act!U65)</f>
        <v>286.06138938256447</v>
      </c>
      <c r="V122" s="87">
        <f>IF(V29=0,0,1000000*V29/TrRoad_act!V65)</f>
        <v>274.04190777111427</v>
      </c>
      <c r="W122" s="87">
        <f>IF(W29=0,0,1000000*W29/TrRoad_act!W65)</f>
        <v>276.01104701795464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110.3165493662689</v>
      </c>
      <c r="M123" s="87">
        <f>IF(M32=0,0,1000000*M32/TrRoad_act!M66)</f>
        <v>111.53016762533348</v>
      </c>
      <c r="N123" s="87">
        <f>IF(N32=0,0,1000000*N32/TrRoad_act!N66)</f>
        <v>111.46866350337233</v>
      </c>
      <c r="O123" s="87">
        <f>IF(O32=0,0,1000000*O32/TrRoad_act!O66)</f>
        <v>111.72855417065216</v>
      </c>
      <c r="P123" s="87">
        <f>IF(P32=0,0,1000000*P32/TrRoad_act!P66)</f>
        <v>112.20435889184073</v>
      </c>
      <c r="Q123" s="87">
        <f>IF(Q32=0,0,1000000*Q32/TrRoad_act!Q66)</f>
        <v>112.27430771824815</v>
      </c>
      <c r="R123" s="87">
        <f>IF(R32=0,0,1000000*R32/TrRoad_act!R66)</f>
        <v>112.46472623976408</v>
      </c>
      <c r="S123" s="87">
        <f>IF(S32=0,0,1000000*S32/TrRoad_act!S66)</f>
        <v>106.65444771391782</v>
      </c>
      <c r="T123" s="87">
        <f>IF(T32=0,0,1000000*T32/TrRoad_act!T66)</f>
        <v>103.89068436531444</v>
      </c>
      <c r="U123" s="87">
        <f>IF(U32=0,0,1000000*U32/TrRoad_act!U66)</f>
        <v>118.20037098074326</v>
      </c>
      <c r="V123" s="87">
        <f>IF(V32=0,0,1000000*V32/TrRoad_act!V66)</f>
        <v>115.9924204555787</v>
      </c>
      <c r="W123" s="87">
        <f>IF(W32=0,0,1000000*W32/TrRoad_act!W66)</f>
        <v>122.25308906291846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21111.92843558703</v>
      </c>
      <c r="C124" s="116">
        <f>IF(C33=0,0,1000000*C33/TrRoad_act!C67)</f>
        <v>20905.990906563216</v>
      </c>
      <c r="D124" s="116">
        <f>IF(D33=0,0,1000000*D33/TrRoad_act!D67)</f>
        <v>21385.856311914391</v>
      </c>
      <c r="E124" s="116">
        <f>IF(E33=0,0,1000000*E33/TrRoad_act!E67)</f>
        <v>21361.151071207398</v>
      </c>
      <c r="F124" s="116">
        <f>IF(F33=0,0,1000000*F33/TrRoad_act!F67)</f>
        <v>21111.53361281567</v>
      </c>
      <c r="G124" s="116">
        <f>IF(G33=0,0,1000000*G33/TrRoad_act!G67)</f>
        <v>21821.94012324146</v>
      </c>
      <c r="H124" s="116">
        <f>IF(H33=0,0,1000000*H33/TrRoad_act!H67)</f>
        <v>21608.657562367622</v>
      </c>
      <c r="I124" s="116">
        <f>IF(I33=0,0,1000000*I33/TrRoad_act!I67)</f>
        <v>21079.869245165009</v>
      </c>
      <c r="J124" s="116">
        <f>IF(J33=0,0,1000000*J33/TrRoad_act!J67)</f>
        <v>21427.6969977427</v>
      </c>
      <c r="K124" s="116">
        <f>IF(K33=0,0,1000000*K33/TrRoad_act!K67)</f>
        <v>21066.718717869622</v>
      </c>
      <c r="L124" s="116">
        <f>IF(L33=0,0,1000000*L33/TrRoad_act!L67)</f>
        <v>21487.927970877179</v>
      </c>
      <c r="M124" s="116">
        <f>IF(M33=0,0,1000000*M33/TrRoad_act!M67)</f>
        <v>20520.307812739931</v>
      </c>
      <c r="N124" s="116">
        <f>IF(N33=0,0,1000000*N33/TrRoad_act!N67)</f>
        <v>20206.921273299078</v>
      </c>
      <c r="O124" s="116">
        <f>IF(O33=0,0,1000000*O33/TrRoad_act!O67)</f>
        <v>19188.234096488239</v>
      </c>
      <c r="P124" s="116">
        <f>IF(P33=0,0,1000000*P33/TrRoad_act!P67)</f>
        <v>20852.240920994522</v>
      </c>
      <c r="Q124" s="116">
        <f>IF(Q33=0,0,1000000*Q33/TrRoad_act!Q67)</f>
        <v>21551.475013018277</v>
      </c>
      <c r="R124" s="116">
        <f>IF(R33=0,0,1000000*R33/TrRoad_act!R67)</f>
        <v>21176.90858477047</v>
      </c>
      <c r="S124" s="116">
        <f>IF(S33=0,0,1000000*S33/TrRoad_act!S67)</f>
        <v>22022.162754149966</v>
      </c>
      <c r="T124" s="116">
        <f>IF(T33=0,0,1000000*T33/TrRoad_act!T67)</f>
        <v>22192.584526563354</v>
      </c>
      <c r="U124" s="116">
        <f>IF(U33=0,0,1000000*U33/TrRoad_act!U67)</f>
        <v>21836.322057169848</v>
      </c>
      <c r="V124" s="116">
        <f>IF(V33=0,0,1000000*V33/TrRoad_act!V67)</f>
        <v>20254.995626784148</v>
      </c>
      <c r="W124" s="116">
        <f>IF(W33=0,0,1000000*W33/TrRoad_act!W67)</f>
        <v>21148.333687416885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2928.1494441437071</v>
      </c>
      <c r="C125" s="101">
        <f>IF(C34=0,0,1000000*C34/TrRoad_act!C68)</f>
        <v>2956.9803204972591</v>
      </c>
      <c r="D125" s="101">
        <f>IF(D34=0,0,1000000*D34/TrRoad_act!D68)</f>
        <v>2987.3295371402678</v>
      </c>
      <c r="E125" s="101">
        <f>IF(E34=0,0,1000000*E34/TrRoad_act!E68)</f>
        <v>3016.8706436594566</v>
      </c>
      <c r="F125" s="101">
        <f>IF(F34=0,0,1000000*F34/TrRoad_act!F68)</f>
        <v>3041.1686948655342</v>
      </c>
      <c r="G125" s="101">
        <f>IF(G34=0,0,1000000*G34/TrRoad_act!G68)</f>
        <v>3069.2285594991604</v>
      </c>
      <c r="H125" s="101">
        <f>IF(H34=0,0,1000000*H34/TrRoad_act!H68)</f>
        <v>3112.9961873273655</v>
      </c>
      <c r="I125" s="101">
        <f>IF(I34=0,0,1000000*I34/TrRoad_act!I68)</f>
        <v>3210.1311867779359</v>
      </c>
      <c r="J125" s="101">
        <f>IF(J34=0,0,1000000*J34/TrRoad_act!J68)</f>
        <v>3283.3247175640654</v>
      </c>
      <c r="K125" s="101">
        <f>IF(K34=0,0,1000000*K34/TrRoad_act!K68)</f>
        <v>3341.42005457196</v>
      </c>
      <c r="L125" s="101">
        <f>IF(L34=0,0,1000000*L34/TrRoad_act!L68)</f>
        <v>3425.5045998202131</v>
      </c>
      <c r="M125" s="101">
        <f>IF(M34=0,0,1000000*M34/TrRoad_act!M68)</f>
        <v>3416.3362055332645</v>
      </c>
      <c r="N125" s="101">
        <f>IF(N34=0,0,1000000*N34/TrRoad_act!N68)</f>
        <v>3475.7178732883899</v>
      </c>
      <c r="O125" s="101">
        <f>IF(O34=0,0,1000000*O34/TrRoad_act!O68)</f>
        <v>3583.8493597341262</v>
      </c>
      <c r="P125" s="101">
        <f>IF(P34=0,0,1000000*P34/TrRoad_act!P68)</f>
        <v>3603.5921519862341</v>
      </c>
      <c r="Q125" s="101">
        <f>IF(Q34=0,0,1000000*Q34/TrRoad_act!Q68)</f>
        <v>3596.5516152251589</v>
      </c>
      <c r="R125" s="101">
        <f>IF(R34=0,0,1000000*R34/TrRoad_act!R68)</f>
        <v>3481.3962879514811</v>
      </c>
      <c r="S125" s="101">
        <f>IF(S34=0,0,1000000*S34/TrRoad_act!S68)</f>
        <v>3609.3136795907135</v>
      </c>
      <c r="T125" s="101">
        <f>IF(T34=0,0,1000000*T34/TrRoad_act!T68)</f>
        <v>3505.7679135142535</v>
      </c>
      <c r="U125" s="101">
        <f>IF(U34=0,0,1000000*U34/TrRoad_act!U68)</f>
        <v>3394.3661882326642</v>
      </c>
      <c r="V125" s="101">
        <f>IF(V34=0,0,1000000*V34/TrRoad_act!V68)</f>
        <v>3199.2873545394086</v>
      </c>
      <c r="W125" s="101">
        <f>IF(W34=0,0,1000000*W34/TrRoad_act!W68)</f>
        <v>3146.8143827336894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24009.857662182425</v>
      </c>
      <c r="C126" s="101">
        <f>IF(C36=0,0,1000000*C36/TrRoad_act!C69)</f>
        <v>23438.015261864439</v>
      </c>
      <c r="D126" s="101">
        <f>IF(D36=0,0,1000000*D36/TrRoad_act!D69)</f>
        <v>23668.222415157888</v>
      </c>
      <c r="E126" s="101">
        <f>IF(E36=0,0,1000000*E36/TrRoad_act!E69)</f>
        <v>23360.865533699565</v>
      </c>
      <c r="F126" s="101">
        <f>IF(F36=0,0,1000000*F36/TrRoad_act!F69)</f>
        <v>22866.366331077672</v>
      </c>
      <c r="G126" s="101">
        <f>IF(G36=0,0,1000000*G36/TrRoad_act!G69)</f>
        <v>23308.032049371042</v>
      </c>
      <c r="H126" s="101">
        <f>IF(H36=0,0,1000000*H36/TrRoad_act!H69)</f>
        <v>22707.710217807966</v>
      </c>
      <c r="I126" s="101">
        <f>IF(I36=0,0,1000000*I36/TrRoad_act!I69)</f>
        <v>21944.953754892154</v>
      </c>
      <c r="J126" s="101">
        <f>IF(J36=0,0,1000000*J36/TrRoad_act!J69)</f>
        <v>22209.820089669345</v>
      </c>
      <c r="K126" s="101">
        <f>IF(K36=0,0,1000000*K36/TrRoad_act!K69)</f>
        <v>21690.808012958678</v>
      </c>
      <c r="L126" s="101">
        <f>IF(L36=0,0,1000000*L36/TrRoad_act!L69)</f>
        <v>21996.051314753637</v>
      </c>
      <c r="M126" s="101">
        <f>IF(M36=0,0,1000000*M36/TrRoad_act!M69)</f>
        <v>20891.19558199327</v>
      </c>
      <c r="N126" s="101">
        <f>IF(N36=0,0,1000000*N36/TrRoad_act!N69)</f>
        <v>20499.112786092086</v>
      </c>
      <c r="O126" s="101">
        <f>IF(O36=0,0,1000000*O36/TrRoad_act!O69)</f>
        <v>19443.294476570434</v>
      </c>
      <c r="P126" s="101">
        <f>IF(P36=0,0,1000000*P36/TrRoad_act!P69)</f>
        <v>21107.798620427402</v>
      </c>
      <c r="Q126" s="101">
        <f>IF(Q36=0,0,1000000*Q36/TrRoad_act!Q69)</f>
        <v>21804.804363156065</v>
      </c>
      <c r="R126" s="101">
        <f>IF(R36=0,0,1000000*R36/TrRoad_act!R69)</f>
        <v>21281.048973567275</v>
      </c>
      <c r="S126" s="101">
        <f>IF(S36=0,0,1000000*S36/TrRoad_act!S69)</f>
        <v>22143.388657147989</v>
      </c>
      <c r="T126" s="101">
        <f>IF(T36=0,0,1000000*T36/TrRoad_act!T69)</f>
        <v>22282.95978143223</v>
      </c>
      <c r="U126" s="101">
        <f>IF(U36=0,0,1000000*U36/TrRoad_act!U69)</f>
        <v>21924.382987577908</v>
      </c>
      <c r="V126" s="101">
        <f>IF(V36=0,0,1000000*V36/TrRoad_act!V69)</f>
        <v>20365.842140873658</v>
      </c>
      <c r="W126" s="101">
        <f>IF(W36=0,0,1000000*W36/TrRoad_act!W69)</f>
        <v>21328.678771678351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10361.874628054236</v>
      </c>
      <c r="Q127" s="101">
        <f>IF(Q38=0,0,1000000*Q38/TrRoad_act!Q70)</f>
        <v>10469.909434899226</v>
      </c>
      <c r="R127" s="101">
        <f>IF(R38=0,0,1000000*R38/TrRoad_act!R70)</f>
        <v>10475.547391538421</v>
      </c>
      <c r="S127" s="101">
        <f>IF(S38=0,0,1000000*S38/TrRoad_act!S70)</f>
        <v>10589.361984893887</v>
      </c>
      <c r="T127" s="101">
        <f>IF(T38=0,0,1000000*T38/TrRoad_act!T70)</f>
        <v>10341.97811993958</v>
      </c>
      <c r="U127" s="101">
        <f>IF(U38=0,0,1000000*U38/TrRoad_act!U70)</f>
        <v>10022.2741230139</v>
      </c>
      <c r="V127" s="101">
        <f>IF(V38=0,0,1000000*V38/TrRoad_act!V70)</f>
        <v>9671.9830927733055</v>
      </c>
      <c r="W127" s="101">
        <f>IF(W38=0,0,1000000*W38/TrRoad_act!W70)</f>
        <v>9533.0894578028128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17569.275874312116</v>
      </c>
      <c r="C128" s="101">
        <f>IF(C39=0,0,1000000*C39/TrRoad_act!C71)</f>
        <v>17537.293318655396</v>
      </c>
      <c r="D128" s="101">
        <f>IF(D39=0,0,1000000*D39/TrRoad_act!D71)</f>
        <v>18151.49325903755</v>
      </c>
      <c r="E128" s="101">
        <f>IF(E39=0,0,1000000*E39/TrRoad_act!E71)</f>
        <v>17320.819060274513</v>
      </c>
      <c r="F128" s="101">
        <f>IF(F39=0,0,1000000*F39/TrRoad_act!F71)</f>
        <v>16947.000739450927</v>
      </c>
      <c r="G128" s="101">
        <f>IF(G39=0,0,1000000*G39/TrRoad_act!G71)</f>
        <v>22160.953848949775</v>
      </c>
      <c r="H128" s="101">
        <f>IF(H39=0,0,1000000*H39/TrRoad_act!H71)</f>
        <v>23235.781429399063</v>
      </c>
      <c r="I128" s="101">
        <f>IF(I39=0,0,1000000*I39/TrRoad_act!I71)</f>
        <v>21004.198508706009</v>
      </c>
      <c r="J128" s="101">
        <f>IF(J39=0,0,1000000*J39/TrRoad_act!J71)</f>
        <v>20854.024034610702</v>
      </c>
      <c r="K128" s="101">
        <f>IF(K39=0,0,1000000*K39/TrRoad_act!K71)</f>
        <v>18561.137020386235</v>
      </c>
      <c r="L128" s="101">
        <f>IF(L39=0,0,1000000*L39/TrRoad_act!L71)</f>
        <v>16697.13775112747</v>
      </c>
      <c r="M128" s="101">
        <f>IF(M39=0,0,1000000*M39/TrRoad_act!M71)</f>
        <v>18968.512668276562</v>
      </c>
      <c r="N128" s="101">
        <f>IF(N39=0,0,1000000*N39/TrRoad_act!N71)</f>
        <v>20201.638678727541</v>
      </c>
      <c r="O128" s="101">
        <f>IF(O39=0,0,1000000*O39/TrRoad_act!O71)</f>
        <v>20959.858860158056</v>
      </c>
      <c r="P128" s="101">
        <f>IF(P39=0,0,1000000*P39/TrRoad_act!P71)</f>
        <v>17122.856803413146</v>
      </c>
      <c r="Q128" s="101">
        <f>IF(Q39=0,0,1000000*Q39/TrRoad_act!Q71)</f>
        <v>16471.544200082008</v>
      </c>
      <c r="R128" s="101">
        <f>IF(R39=0,0,1000000*R39/TrRoad_act!R71)</f>
        <v>23240.594257193305</v>
      </c>
      <c r="S128" s="101">
        <f>IF(S39=0,0,1000000*S39/TrRoad_act!S71)</f>
        <v>21929.279388232233</v>
      </c>
      <c r="T128" s="101">
        <f>IF(T39=0,0,1000000*T39/TrRoad_act!T71)</f>
        <v>23758.425599798265</v>
      </c>
      <c r="U128" s="101">
        <f>IF(U39=0,0,1000000*U39/TrRoad_act!U71)</f>
        <v>23354.611764942063</v>
      </c>
      <c r="V128" s="101">
        <f>IF(V39=0,0,1000000*V39/TrRoad_act!V71)</f>
        <v>21433.876988211683</v>
      </c>
      <c r="W128" s="101">
        <f>IF(W39=0,0,1000000*W39/TrRoad_act!W71)</f>
        <v>19482.87054902254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14590.644615740677</v>
      </c>
      <c r="C129" s="101">
        <f>IF(C41=0,0,1000000*C41/TrRoad_act!C72)</f>
        <v>14597.437910177745</v>
      </c>
      <c r="D129" s="101">
        <f>IF(D41=0,0,1000000*D41/TrRoad_act!D72)</f>
        <v>14604.340457843935</v>
      </c>
      <c r="E129" s="101">
        <f>IF(E41=0,0,1000000*E41/TrRoad_act!E72)</f>
        <v>14600.376659009631</v>
      </c>
      <c r="F129" s="101">
        <f>IF(F41=0,0,1000000*F41/TrRoad_act!F72)</f>
        <v>14608.339174049006</v>
      </c>
      <c r="G129" s="101">
        <f>IF(G41=0,0,1000000*G41/TrRoad_act!G72)</f>
        <v>14608.46834801184</v>
      </c>
      <c r="H129" s="101">
        <f>IF(H41=0,0,1000000*H41/TrRoad_act!H72)</f>
        <v>14609.749995303224</v>
      </c>
      <c r="I129" s="101">
        <f>IF(I41=0,0,1000000*I41/TrRoad_act!I72)</f>
        <v>14614.082832009892</v>
      </c>
      <c r="J129" s="101">
        <f>IF(J41=0,0,1000000*J41/TrRoad_act!J72)</f>
        <v>14613.794593322764</v>
      </c>
      <c r="K129" s="101">
        <f>IF(K41=0,0,1000000*K41/TrRoad_act!K72)</f>
        <v>14609.264560134425</v>
      </c>
      <c r="L129" s="101">
        <f>IF(L41=0,0,1000000*L41/TrRoad_act!L72)</f>
        <v>14605.627993356105</v>
      </c>
      <c r="M129" s="101">
        <f>IF(M41=0,0,1000000*M41/TrRoad_act!M72)</f>
        <v>14599.006821766437</v>
      </c>
      <c r="N129" s="101">
        <f>IF(N41=0,0,1000000*N41/TrRoad_act!N72)</f>
        <v>14587.023171566963</v>
      </c>
      <c r="O129" s="101">
        <f>IF(O41=0,0,1000000*O41/TrRoad_act!O72)</f>
        <v>14460.434681076917</v>
      </c>
      <c r="P129" s="101">
        <f>IF(P41=0,0,1000000*P41/TrRoad_act!P72)</f>
        <v>14276.456474193834</v>
      </c>
      <c r="Q129" s="101">
        <f>IF(Q41=0,0,1000000*Q41/TrRoad_act!Q72)</f>
        <v>13677.085443213567</v>
      </c>
      <c r="R129" s="101">
        <f>IF(R41=0,0,1000000*R41/TrRoad_act!R72)</f>
        <v>13662.202070831272</v>
      </c>
      <c r="S129" s="101">
        <f>IF(S41=0,0,1000000*S41/TrRoad_act!S72)</f>
        <v>13623.502266592475</v>
      </c>
      <c r="T129" s="101">
        <f>IF(T41=0,0,1000000*T41/TrRoad_act!T72)</f>
        <v>13619.262166405271</v>
      </c>
      <c r="U129" s="101">
        <f>IF(U41=0,0,1000000*U41/TrRoad_act!U72)</f>
        <v>13612.001518916242</v>
      </c>
      <c r="V129" s="101">
        <f>IF(V41=0,0,1000000*V41/TrRoad_act!V72)</f>
        <v>13423.435033216914</v>
      </c>
      <c r="W129" s="101">
        <f>IF(W41=0,0,1000000*W41/TrRoad_act!W72)</f>
        <v>13519.994020417189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1542.3526193261778</v>
      </c>
      <c r="C131" s="152">
        <f>IF(C43=0,0,1000000*C43/TrRoad_act!C74)</f>
        <v>1530.3255468867701</v>
      </c>
      <c r="D131" s="152">
        <f>IF(D43=0,0,1000000*D43/TrRoad_act!D74)</f>
        <v>1574.1581446507566</v>
      </c>
      <c r="E131" s="152">
        <f>IF(E43=0,0,1000000*E43/TrRoad_act!E74)</f>
        <v>1587.4963720320441</v>
      </c>
      <c r="F131" s="152">
        <f>IF(F43=0,0,1000000*F43/TrRoad_act!F74)</f>
        <v>1582.5712958806939</v>
      </c>
      <c r="G131" s="152">
        <f>IF(G43=0,0,1000000*G43/TrRoad_act!G74)</f>
        <v>1636.6703386579977</v>
      </c>
      <c r="H131" s="152">
        <f>IF(H43=0,0,1000000*H43/TrRoad_act!H74)</f>
        <v>1618.2658492282658</v>
      </c>
      <c r="I131" s="152">
        <f>IF(I43=0,0,1000000*I43/TrRoad_act!I74)</f>
        <v>1564.0655493031877</v>
      </c>
      <c r="J131" s="152">
        <f>IF(J43=0,0,1000000*J43/TrRoad_act!J74)</f>
        <v>1584.6182636367698</v>
      </c>
      <c r="K131" s="152">
        <f>IF(K43=0,0,1000000*K43/TrRoad_act!K74)</f>
        <v>1556.3055153727137</v>
      </c>
      <c r="L131" s="152">
        <f>IF(L43=0,0,1000000*L43/TrRoad_act!L74)</f>
        <v>1531.2873490152249</v>
      </c>
      <c r="M131" s="152">
        <f>IF(M43=0,0,1000000*M43/TrRoad_act!M74)</f>
        <v>1453.1545807257401</v>
      </c>
      <c r="N131" s="152">
        <f>IF(N43=0,0,1000000*N43/TrRoad_act!N74)</f>
        <v>1407.4326507177716</v>
      </c>
      <c r="O131" s="152">
        <f>IF(O43=0,0,1000000*O43/TrRoad_act!O74)</f>
        <v>1310.1393386490527</v>
      </c>
      <c r="P131" s="152">
        <f>IF(P43=0,0,1000000*P43/TrRoad_act!P74)</f>
        <v>1400.811524479938</v>
      </c>
      <c r="Q131" s="152">
        <f>IF(Q43=0,0,1000000*Q43/TrRoad_act!Q74)</f>
        <v>1436.0357378934389</v>
      </c>
      <c r="R131" s="152">
        <f>IF(R43=0,0,1000000*R43/TrRoad_act!R74)</f>
        <v>1399.8112060776191</v>
      </c>
      <c r="S131" s="152">
        <f>IF(S43=0,0,1000000*S43/TrRoad_act!S74)</f>
        <v>1418.7723733362209</v>
      </c>
      <c r="T131" s="152">
        <f>IF(T43=0,0,1000000*T43/TrRoad_act!T74)</f>
        <v>1436.1156258124743</v>
      </c>
      <c r="U131" s="152">
        <f>IF(U43=0,0,1000000*U43/TrRoad_act!U74)</f>
        <v>1433.0812106619703</v>
      </c>
      <c r="V131" s="152">
        <f>IF(V43=0,0,1000000*V43/TrRoad_act!V74)</f>
        <v>1370.9806690887817</v>
      </c>
      <c r="W131" s="152">
        <f>IF(W43=0,0,1000000*W43/TrRoad_act!W74)</f>
        <v>1436.2160755139414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1173.3940322415935</v>
      </c>
      <c r="C132" s="87">
        <f>IF(C44=0,0,1000000*C44/TrRoad_act!C75)</f>
        <v>1155.7444491812039</v>
      </c>
      <c r="D132" s="87">
        <f>IF(D44=0,0,1000000*D44/TrRoad_act!D75)</f>
        <v>1143.514673578688</v>
      </c>
      <c r="E132" s="87">
        <f>IF(E44=0,0,1000000*E44/TrRoad_act!E75)</f>
        <v>1130.7883019399471</v>
      </c>
      <c r="F132" s="87">
        <f>IF(F44=0,0,1000000*F44/TrRoad_act!F75)</f>
        <v>1116.7334594399179</v>
      </c>
      <c r="G132" s="87">
        <f>IF(G44=0,0,1000000*G44/TrRoad_act!G75)</f>
        <v>1104.1615261658476</v>
      </c>
      <c r="H132" s="87">
        <f>IF(H44=0,0,1000000*H44/TrRoad_act!H75)</f>
        <v>1086.0587823921578</v>
      </c>
      <c r="I132" s="87">
        <f>IF(I44=0,0,1000000*I44/TrRoad_act!I75)</f>
        <v>1057.5463018951627</v>
      </c>
      <c r="J132" s="87">
        <f>IF(J44=0,0,1000000*J44/TrRoad_act!J75)</f>
        <v>1027.2162886962808</v>
      </c>
      <c r="K132" s="87">
        <f>IF(K44=0,0,1000000*K44/TrRoad_act!K75)</f>
        <v>996.17437815748576</v>
      </c>
      <c r="L132" s="87">
        <f>IF(L44=0,0,1000000*L44/TrRoad_act!L75)</f>
        <v>967.18513346827501</v>
      </c>
      <c r="M132" s="87">
        <f>IF(M44=0,0,1000000*M44/TrRoad_act!M75)</f>
        <v>941.77189233640399</v>
      </c>
      <c r="N132" s="87">
        <f>IF(N44=0,0,1000000*N44/TrRoad_act!N75)</f>
        <v>915.71201203019803</v>
      </c>
      <c r="O132" s="87">
        <f>IF(O44=0,0,1000000*O44/TrRoad_act!O75)</f>
        <v>843.16266427095911</v>
      </c>
      <c r="P132" s="87">
        <f>IF(P44=0,0,1000000*P44/TrRoad_act!P75)</f>
        <v>799.80493356213628</v>
      </c>
      <c r="Q132" s="87">
        <f>IF(Q44=0,0,1000000*Q44/TrRoad_act!Q75)</f>
        <v>766.67269329343083</v>
      </c>
      <c r="R132" s="87">
        <f>IF(R44=0,0,1000000*R44/TrRoad_act!R75)</f>
        <v>775.88810860395063</v>
      </c>
      <c r="S132" s="87">
        <f>IF(S44=0,0,1000000*S44/TrRoad_act!S75)</f>
        <v>788.96671695574412</v>
      </c>
      <c r="T132" s="87">
        <f>IF(T44=0,0,1000000*T44/TrRoad_act!T75)</f>
        <v>810.73126164872917</v>
      </c>
      <c r="U132" s="87">
        <f>IF(U44=0,0,1000000*U44/TrRoad_act!U75)</f>
        <v>835.94494967080936</v>
      </c>
      <c r="V132" s="87">
        <f>IF(V44=0,0,1000000*V44/TrRoad_act!V75)</f>
        <v>830.53535101307864</v>
      </c>
      <c r="W132" s="87">
        <f>IF(W44=0,0,1000000*W44/TrRoad_act!W75)</f>
        <v>827.52267525453021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1754.9423106906027</v>
      </c>
      <c r="C133" s="87">
        <f>IF(C46=0,0,1000000*C46/TrRoad_act!C76)</f>
        <v>1712.4069202705632</v>
      </c>
      <c r="D133" s="87">
        <f>IF(D46=0,0,1000000*D46/TrRoad_act!D76)</f>
        <v>1741.1565595610984</v>
      </c>
      <c r="E133" s="87">
        <f>IF(E46=0,0,1000000*E46/TrRoad_act!E76)</f>
        <v>1735.2518321445459</v>
      </c>
      <c r="F133" s="87">
        <f>IF(F46=0,0,1000000*F46/TrRoad_act!F76)</f>
        <v>1712.7506228005425</v>
      </c>
      <c r="G133" s="87">
        <f>IF(G46=0,0,1000000*G46/TrRoad_act!G76)</f>
        <v>1762.4099790762866</v>
      </c>
      <c r="H133" s="87">
        <f>IF(H46=0,0,1000000*H46/TrRoad_act!H76)</f>
        <v>1730.0440663200673</v>
      </c>
      <c r="I133" s="87">
        <f>IF(I46=0,0,1000000*I46/TrRoad_act!I76)</f>
        <v>1653.6483485551455</v>
      </c>
      <c r="J133" s="87">
        <f>IF(J46=0,0,1000000*J46/TrRoad_act!J76)</f>
        <v>1656.910560703903</v>
      </c>
      <c r="K133" s="87">
        <f>IF(K46=0,0,1000000*K46/TrRoad_act!K76)</f>
        <v>1612.8716640932573</v>
      </c>
      <c r="L133" s="87">
        <f>IF(L46=0,0,1000000*L46/TrRoad_act!L76)</f>
        <v>1592.3809063159163</v>
      </c>
      <c r="M133" s="87">
        <f>IF(M46=0,0,1000000*M46/TrRoad_act!M76)</f>
        <v>1499.8098062364697</v>
      </c>
      <c r="N133" s="87">
        <f>IF(N46=0,0,1000000*N46/TrRoad_act!N76)</f>
        <v>1449.0541834266053</v>
      </c>
      <c r="O133" s="87">
        <f>IF(O46=0,0,1000000*O46/TrRoad_act!O76)</f>
        <v>1346.3022732678439</v>
      </c>
      <c r="P133" s="87">
        <f>IF(P46=0,0,1000000*P46/TrRoad_act!P76)</f>
        <v>1442.8318477734565</v>
      </c>
      <c r="Q133" s="87">
        <f>IF(Q46=0,0,1000000*Q46/TrRoad_act!Q76)</f>
        <v>1477.582644231712</v>
      </c>
      <c r="R133" s="87">
        <f>IF(R46=0,0,1000000*R46/TrRoad_act!R76)</f>
        <v>1433.8675965389905</v>
      </c>
      <c r="S133" s="87">
        <f>IF(S46=0,0,1000000*S46/TrRoad_act!S76)</f>
        <v>1450.3180270455719</v>
      </c>
      <c r="T133" s="87">
        <f>IF(T46=0,0,1000000*T46/TrRoad_act!T76)</f>
        <v>1465.5403326509022</v>
      </c>
      <c r="U133" s="87">
        <f>IF(U46=0,0,1000000*U46/TrRoad_act!U76)</f>
        <v>1459.4299452291741</v>
      </c>
      <c r="V133" s="87">
        <f>IF(V46=0,0,1000000*V46/TrRoad_act!V76)</f>
        <v>1393.6753991768437</v>
      </c>
      <c r="W133" s="87">
        <f>IF(W46=0,0,1000000*W46/TrRoad_act!W76)</f>
        <v>1461.1413588248843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883.69103025048923</v>
      </c>
      <c r="D134" s="87">
        <f>IF(D48=0,0,1000000*D48/TrRoad_act!D77)</f>
        <v>883.37398219747729</v>
      </c>
      <c r="E134" s="87">
        <f>IF(E48=0,0,1000000*E48/TrRoad_act!E77)</f>
        <v>883.0233854176555</v>
      </c>
      <c r="F134" s="87">
        <f>IF(F48=0,0,1000000*F48/TrRoad_act!F77)</f>
        <v>882.63896504819547</v>
      </c>
      <c r="G134" s="87">
        <f>IF(G48=0,0,1000000*G48/TrRoad_act!G77)</f>
        <v>886.59692199920119</v>
      </c>
      <c r="H134" s="87">
        <f>IF(H48=0,0,1000000*H48/TrRoad_act!H77)</f>
        <v>895.18799456301849</v>
      </c>
      <c r="I134" s="87">
        <f>IF(I48=0,0,1000000*I48/TrRoad_act!I77)</f>
        <v>903.90062446479601</v>
      </c>
      <c r="J134" s="87">
        <f>IF(J48=0,0,1000000*J48/TrRoad_act!J77)</f>
        <v>912.72592729647658</v>
      </c>
      <c r="K134" s="87">
        <f>IF(K48=0,0,1000000*K48/TrRoad_act!K77)</f>
        <v>921.49571721607504</v>
      </c>
      <c r="L134" s="87">
        <f>IF(L48=0,0,1000000*L48/TrRoad_act!L77)</f>
        <v>930.34242255337369</v>
      </c>
      <c r="M134" s="87">
        <f>IF(M48=0,0,1000000*M48/TrRoad_act!M77)</f>
        <v>939.26336375498511</v>
      </c>
      <c r="N134" s="87">
        <f>IF(N48=0,0,1000000*N48/TrRoad_act!N77)</f>
        <v>947.39733586843977</v>
      </c>
      <c r="O134" s="87">
        <f>IF(O48=0,0,1000000*O48/TrRoad_act!O77)</f>
        <v>956.40712341148128</v>
      </c>
      <c r="P134" s="87">
        <f>IF(P48=0,0,1000000*P48/TrRoad_act!P77)</f>
        <v>965.49632673706049</v>
      </c>
      <c r="Q134" s="87">
        <f>IF(Q48=0,0,1000000*Q48/TrRoad_act!Q77)</f>
        <v>962.26872445438732</v>
      </c>
      <c r="R134" s="87">
        <f>IF(R48=0,0,1000000*R48/TrRoad_act!R77)</f>
        <v>950.77425023313128</v>
      </c>
      <c r="S134" s="87">
        <f>IF(S48=0,0,1000000*S48/TrRoad_act!S77)</f>
        <v>938.35176798110092</v>
      </c>
      <c r="T134" s="87">
        <f>IF(T48=0,0,1000000*T48/TrRoad_act!T77)</f>
        <v>925.76266974269811</v>
      </c>
      <c r="U134" s="87">
        <f>IF(U48=0,0,1000000*U48/TrRoad_act!U77)</f>
        <v>910.70946122910948</v>
      </c>
      <c r="V134" s="87">
        <f>IF(V48=0,0,1000000*V48/TrRoad_act!V77)</f>
        <v>849.1531299799741</v>
      </c>
      <c r="W134" s="87">
        <f>IF(W48=0,0,1000000*W48/TrRoad_act!W77)</f>
        <v>812.39932557652958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1088.1408950528332</v>
      </c>
      <c r="C135" s="87">
        <f>IF(C49=0,0,1000000*C49/TrRoad_act!C78)</f>
        <v>1035.9202054287782</v>
      </c>
      <c r="D135" s="87">
        <f>IF(D49=0,0,1000000*D49/TrRoad_act!D78)</f>
        <v>1035.5485410427384</v>
      </c>
      <c r="E135" s="87">
        <f>IF(E49=0,0,1000000*E49/TrRoad_act!E78)</f>
        <v>1035.1375486531556</v>
      </c>
      <c r="F135" s="87">
        <f>IF(F49=0,0,1000000*F49/TrRoad_act!F78)</f>
        <v>1034.6869060479121</v>
      </c>
      <c r="G135" s="87">
        <f>IF(G49=0,0,1000000*G49/TrRoad_act!G78)</f>
        <v>1034.2907481469194</v>
      </c>
      <c r="H135" s="87">
        <f>IF(H49=0,0,1000000*H49/TrRoad_act!H78)</f>
        <v>1033.8698356357063</v>
      </c>
      <c r="I135" s="87">
        <f>IF(I49=0,0,1000000*I49/TrRoad_act!I78)</f>
        <v>1033.49289731883</v>
      </c>
      <c r="J135" s="87">
        <f>IF(J49=0,0,1000000*J49/TrRoad_act!J78)</f>
        <v>1033.1476493690882</v>
      </c>
      <c r="K135" s="87">
        <f>IF(K49=0,0,1000000*K49/TrRoad_act!K78)</f>
        <v>1032.6437483766804</v>
      </c>
      <c r="L135" s="87">
        <f>IF(L49=0,0,1000000*L49/TrRoad_act!L78)</f>
        <v>1032.1319414351067</v>
      </c>
      <c r="M135" s="87">
        <f>IF(M49=0,0,1000000*M49/TrRoad_act!M78)</f>
        <v>1031.608640747249</v>
      </c>
      <c r="N135" s="87">
        <f>IF(N49=0,0,1000000*N49/TrRoad_act!N78)</f>
        <v>755.77326762950065</v>
      </c>
      <c r="O135" s="87">
        <f>IF(O49=0,0,1000000*O49/TrRoad_act!O78)</f>
        <v>750.07458346815815</v>
      </c>
      <c r="P135" s="87">
        <f>IF(P49=0,0,1000000*P49/TrRoad_act!P78)</f>
        <v>737.77665740122131</v>
      </c>
      <c r="Q135" s="87">
        <f>IF(Q49=0,0,1000000*Q49/TrRoad_act!Q78)</f>
        <v>904.19941750735632</v>
      </c>
      <c r="R135" s="87">
        <f>IF(R49=0,0,1000000*R49/TrRoad_act!R78)</f>
        <v>914.91189750454475</v>
      </c>
      <c r="S135" s="87">
        <f>IF(S49=0,0,1000000*S49/TrRoad_act!S78)</f>
        <v>902.73113037838539</v>
      </c>
      <c r="T135" s="87">
        <f>IF(T49=0,0,1000000*T49/TrRoad_act!T78)</f>
        <v>922.95058304820247</v>
      </c>
      <c r="U135" s="87">
        <f>IF(U49=0,0,1000000*U49/TrRoad_act!U78)</f>
        <v>917.74561644463097</v>
      </c>
      <c r="V135" s="87">
        <f>IF(V49=0,0,1000000*V49/TrRoad_act!V78)</f>
        <v>903.86213126341784</v>
      </c>
      <c r="W135" s="87">
        <f>IF(W49=0,0,1000000*W49/TrRoad_act!W78)</f>
        <v>903.33472117587996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0</v>
      </c>
      <c r="O136" s="87">
        <f>IF(O51=0,0,1000000*O51/TrRoad_act!O79)</f>
        <v>127.82362819761494</v>
      </c>
      <c r="P136" s="87">
        <f>IF(P51=0,0,1000000*P51/TrRoad_act!P79)</f>
        <v>128.18546957934635</v>
      </c>
      <c r="Q136" s="87">
        <f>IF(Q51=0,0,1000000*Q51/TrRoad_act!Q79)</f>
        <v>131.78665727540383</v>
      </c>
      <c r="R136" s="87">
        <f>IF(R51=0,0,1000000*R51/TrRoad_act!R79)</f>
        <v>133.2464948496507</v>
      </c>
      <c r="S136" s="87">
        <f>IF(S51=0,0,1000000*S51/TrRoad_act!S79)</f>
        <v>134.48499643658744</v>
      </c>
      <c r="T136" s="87">
        <f>IF(T51=0,0,1000000*T51/TrRoad_act!T79)</f>
        <v>151.049116160126</v>
      </c>
      <c r="U136" s="87">
        <f>IF(U51=0,0,1000000*U51/TrRoad_act!U79)</f>
        <v>160.13362226378612</v>
      </c>
      <c r="V136" s="87">
        <f>IF(V51=0,0,1000000*V51/TrRoad_act!V79)</f>
        <v>176.64181507560025</v>
      </c>
      <c r="W136" s="87">
        <f>IF(W51=0,0,1000000*W51/TrRoad_act!W79)</f>
        <v>202.69245627699186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4891.6481490837432</v>
      </c>
      <c r="C137" s="116">
        <f>IF(C52=0,0,1000000*C52/TrRoad_act!C80)</f>
        <v>5090.3669128625152</v>
      </c>
      <c r="D137" s="116">
        <f>IF(D52=0,0,1000000*D52/TrRoad_act!D80)</f>
        <v>5457.5882610895169</v>
      </c>
      <c r="E137" s="116">
        <f>IF(E52=0,0,1000000*E52/TrRoad_act!E80)</f>
        <v>5583.8271665575412</v>
      </c>
      <c r="F137" s="116">
        <f>IF(F52=0,0,1000000*F52/TrRoad_act!F80)</f>
        <v>6242.8454421133765</v>
      </c>
      <c r="G137" s="116">
        <f>IF(G52=0,0,1000000*G52/TrRoad_act!G80)</f>
        <v>7758.7531083424592</v>
      </c>
      <c r="H137" s="116">
        <f>IF(H52=0,0,1000000*H52/TrRoad_act!H80)</f>
        <v>7825.6397322573457</v>
      </c>
      <c r="I137" s="116">
        <f>IF(I52=0,0,1000000*I52/TrRoad_act!I80)</f>
        <v>7747.0261453182811</v>
      </c>
      <c r="J137" s="116">
        <f>IF(J52=0,0,1000000*J52/TrRoad_act!J80)</f>
        <v>8854.3699554262821</v>
      </c>
      <c r="K137" s="116">
        <f>IF(K52=0,0,1000000*K52/TrRoad_act!K80)</f>
        <v>12868.229156008607</v>
      </c>
      <c r="L137" s="116">
        <f>IF(L52=0,0,1000000*L52/TrRoad_act!L80)</f>
        <v>7530.5758723720055</v>
      </c>
      <c r="M137" s="116">
        <f>IF(M52=0,0,1000000*M52/TrRoad_act!M80)</f>
        <v>7377.6811413175938</v>
      </c>
      <c r="N137" s="116">
        <f>IF(N52=0,0,1000000*N52/TrRoad_act!N80)</f>
        <v>7041.4283521629104</v>
      </c>
      <c r="O137" s="116">
        <f>IF(O52=0,0,1000000*O52/TrRoad_act!O80)</f>
        <v>6664.3134608076634</v>
      </c>
      <c r="P137" s="116">
        <f>IF(P52=0,0,1000000*P52/TrRoad_act!P80)</f>
        <v>8645.3233044616136</v>
      </c>
      <c r="Q137" s="116">
        <f>IF(Q52=0,0,1000000*Q52/TrRoad_act!Q80)</f>
        <v>9960.0028683739201</v>
      </c>
      <c r="R137" s="116">
        <f>IF(R52=0,0,1000000*R52/TrRoad_act!R80)</f>
        <v>9231.1649292145576</v>
      </c>
      <c r="S137" s="116">
        <f>IF(S52=0,0,1000000*S52/TrRoad_act!S80)</f>
        <v>9069.7158665852639</v>
      </c>
      <c r="T137" s="116">
        <f>IF(T52=0,0,1000000*T52/TrRoad_act!T80)</f>
        <v>8935.0483169365507</v>
      </c>
      <c r="U137" s="116">
        <f>IF(U52=0,0,1000000*U52/TrRoad_act!U80)</f>
        <v>8433.9438699331549</v>
      </c>
      <c r="V137" s="116">
        <f>IF(V52=0,0,1000000*V52/TrRoad_act!V80)</f>
        <v>6039.3945227478725</v>
      </c>
      <c r="W137" s="116">
        <f>IF(W52=0,0,1000000*W52/TrRoad_act!W80)</f>
        <v>7460.8482441706692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3293.8746611678848</v>
      </c>
      <c r="C138" s="101">
        <f>IF(C53=0,0,1000000*C53/TrRoad_act!C81)</f>
        <v>3245.0258031208386</v>
      </c>
      <c r="D138" s="101">
        <f>IF(D53=0,0,1000000*D53/TrRoad_act!D81)</f>
        <v>3160.2643920561463</v>
      </c>
      <c r="E138" s="101">
        <f>IF(E53=0,0,1000000*E53/TrRoad_act!E81)</f>
        <v>3119.4147902338523</v>
      </c>
      <c r="F138" s="101">
        <f>IF(F53=0,0,1000000*F53/TrRoad_act!F81)</f>
        <v>3356.0075023582576</v>
      </c>
      <c r="G138" s="101">
        <f>IF(G53=0,0,1000000*G53/TrRoad_act!G81)</f>
        <v>4488.2310817648131</v>
      </c>
      <c r="H138" s="101">
        <f>IF(H53=0,0,1000000*H53/TrRoad_act!H81)</f>
        <v>4458.1344900365848</v>
      </c>
      <c r="I138" s="101">
        <f>IF(I53=0,0,1000000*I53/TrRoad_act!I81)</f>
        <v>4582.1936664930354</v>
      </c>
      <c r="J138" s="101">
        <f>IF(J53=0,0,1000000*J53/TrRoad_act!J81)</f>
        <v>4892.2934352624488</v>
      </c>
      <c r="K138" s="101">
        <f>IF(K53=0,0,1000000*K53/TrRoad_act!K81)</f>
        <v>8266.5637189721874</v>
      </c>
      <c r="L138" s="101">
        <f>IF(L53=0,0,1000000*L53/TrRoad_act!L81)</f>
        <v>4303.5263166087752</v>
      </c>
      <c r="M138" s="101">
        <f>IF(M53=0,0,1000000*M53/TrRoad_act!M81)</f>
        <v>4405.2731704235821</v>
      </c>
      <c r="N138" s="101">
        <f>IF(N53=0,0,1000000*N53/TrRoad_act!N81)</f>
        <v>4184.534252824461</v>
      </c>
      <c r="O138" s="101">
        <f>IF(O53=0,0,1000000*O53/TrRoad_act!O81)</f>
        <v>4534.8588269837883</v>
      </c>
      <c r="P138" s="101">
        <f>IF(P53=0,0,1000000*P53/TrRoad_act!P81)</f>
        <v>4978.9749483111309</v>
      </c>
      <c r="Q138" s="101">
        <f>IF(Q53=0,0,1000000*Q53/TrRoad_act!Q81)</f>
        <v>5330.7925102337385</v>
      </c>
      <c r="R138" s="101">
        <f>IF(R53=0,0,1000000*R53/TrRoad_act!R81)</f>
        <v>5249.0696019147308</v>
      </c>
      <c r="S138" s="101">
        <f>IF(S53=0,0,1000000*S53/TrRoad_act!S81)</f>
        <v>4850.8717897940232</v>
      </c>
      <c r="T138" s="101">
        <f>IF(T53=0,0,1000000*T53/TrRoad_act!T81)</f>
        <v>4880.4586402737996</v>
      </c>
      <c r="U138" s="101">
        <f>IF(U53=0,0,1000000*U53/TrRoad_act!U81)</f>
        <v>4691.9118868096612</v>
      </c>
      <c r="V138" s="101">
        <f>IF(V53=0,0,1000000*V53/TrRoad_act!V81)</f>
        <v>3926.0557141340018</v>
      </c>
      <c r="W138" s="101">
        <f>IF(W53=0,0,1000000*W53/TrRoad_act!W81)</f>
        <v>4513.0298419981782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35399.174443813768</v>
      </c>
      <c r="C139" s="88">
        <f>IF(C55=0,0,1000000*C55/TrRoad_act!C82)</f>
        <v>39122.946727497379</v>
      </c>
      <c r="D139" s="88">
        <f>IF(D55=0,0,1000000*D55/TrRoad_act!D82)</f>
        <v>47051.674247809067</v>
      </c>
      <c r="E139" s="88">
        <f>IF(E55=0,0,1000000*E55/TrRoad_act!E82)</f>
        <v>50281.463571558874</v>
      </c>
      <c r="F139" s="88">
        <f>IF(F55=0,0,1000000*F55/TrRoad_act!F82)</f>
        <v>49857.478464266278</v>
      </c>
      <c r="G139" s="88">
        <f>IF(G55=0,0,1000000*G55/TrRoad_act!G82)</f>
        <v>56776.277777806376</v>
      </c>
      <c r="H139" s="88">
        <f>IF(H55=0,0,1000000*H55/TrRoad_act!H82)</f>
        <v>58308.900138110679</v>
      </c>
      <c r="I139" s="88">
        <f>IF(I55=0,0,1000000*I55/TrRoad_act!I82)</f>
        <v>50407.129540867973</v>
      </c>
      <c r="J139" s="88">
        <f>IF(J55=0,0,1000000*J55/TrRoad_act!J82)</f>
        <v>52110.954165212279</v>
      </c>
      <c r="K139" s="88">
        <f>IF(K55=0,0,1000000*K55/TrRoad_act!K82)</f>
        <v>54808.066677335744</v>
      </c>
      <c r="L139" s="88">
        <f>IF(L55=0,0,1000000*L55/TrRoad_act!L82)</f>
        <v>56968.335660929355</v>
      </c>
      <c r="M139" s="88">
        <f>IF(M55=0,0,1000000*M55/TrRoad_act!M82)</f>
        <v>44250.379997401535</v>
      </c>
      <c r="N139" s="88">
        <f>IF(N55=0,0,1000000*N55/TrRoad_act!N82)</f>
        <v>37993.862996506512</v>
      </c>
      <c r="O139" s="88">
        <f>IF(O55=0,0,1000000*O55/TrRoad_act!O82)</f>
        <v>26013.968928291739</v>
      </c>
      <c r="P139" s="88">
        <f>IF(P55=0,0,1000000*P55/TrRoad_act!P82)</f>
        <v>42240.633411906048</v>
      </c>
      <c r="Q139" s="88">
        <f>IF(Q55=0,0,1000000*Q55/TrRoad_act!Q82)</f>
        <v>50700.148600009918</v>
      </c>
      <c r="R139" s="88">
        <f>IF(R55=0,0,1000000*R55/TrRoad_act!R82)</f>
        <v>42409.806646493278</v>
      </c>
      <c r="S139" s="88">
        <f>IF(S55=0,0,1000000*S55/TrRoad_act!S82)</f>
        <v>43593.572202682146</v>
      </c>
      <c r="T139" s="88">
        <f>IF(T55=0,0,1000000*T55/TrRoad_act!T82)</f>
        <v>45098.479754449043</v>
      </c>
      <c r="U139" s="88">
        <f>IF(U55=0,0,1000000*U55/TrRoad_act!U82)</f>
        <v>42628.006684065462</v>
      </c>
      <c r="V139" s="88">
        <f>IF(V55=0,0,1000000*V55/TrRoad_act!V82)</f>
        <v>27473.274137965738</v>
      </c>
      <c r="W139" s="88">
        <f>IF(W55=0,0,1000000*W55/TrRoad_act!W82)</f>
        <v>35320.262208399196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0.66332886973972782</v>
      </c>
      <c r="C142" s="46">
        <f t="shared" si="41"/>
        <v>0.66042788065155134</v>
      </c>
      <c r="D142" s="46">
        <f t="shared" si="41"/>
        <v>0.64941666477202353</v>
      </c>
      <c r="E142" s="46">
        <f t="shared" si="41"/>
        <v>0.64962789661191056</v>
      </c>
      <c r="F142" s="46">
        <f t="shared" si="41"/>
        <v>0.63928139780884263</v>
      </c>
      <c r="G142" s="46">
        <f t="shared" si="41"/>
        <v>0.59681983693963581</v>
      </c>
      <c r="H142" s="46">
        <f t="shared" si="41"/>
        <v>0.59811331284681857</v>
      </c>
      <c r="I142" s="46">
        <f t="shared" si="41"/>
        <v>0.60993400172971068</v>
      </c>
      <c r="J142" s="46">
        <f t="shared" si="41"/>
        <v>0.59692752794530568</v>
      </c>
      <c r="K142" s="46">
        <f t="shared" si="41"/>
        <v>0.60953363280915784</v>
      </c>
      <c r="L142" s="46">
        <f t="shared" ref="L142" si="42">IF(L18=0,0,L18/L$17)</f>
        <v>0.62014219468657938</v>
      </c>
      <c r="M142" s="46">
        <f t="shared" ref="M142:V142" si="43">IF(M18=0,0,M18/M$17)</f>
        <v>0.63037638257830864</v>
      </c>
      <c r="N142" s="46">
        <f t="shared" si="43"/>
        <v>0.65423969939767579</v>
      </c>
      <c r="O142" s="46">
        <f t="shared" si="43"/>
        <v>0.67108408413047338</v>
      </c>
      <c r="P142" s="46">
        <f t="shared" si="43"/>
        <v>0.63808868892239046</v>
      </c>
      <c r="Q142" s="46">
        <f t="shared" si="43"/>
        <v>0.62092320485132757</v>
      </c>
      <c r="R142" s="46">
        <f t="shared" si="43"/>
        <v>0.63617551759875468</v>
      </c>
      <c r="S142" s="46">
        <f t="shared" si="43"/>
        <v>0.63430218055162446</v>
      </c>
      <c r="T142" s="46">
        <f t="shared" si="43"/>
        <v>0.6343447237869938</v>
      </c>
      <c r="U142" s="46">
        <f t="shared" si="43"/>
        <v>0.65102905905207686</v>
      </c>
      <c r="V142" s="46">
        <f t="shared" si="43"/>
        <v>0.66607840646794825</v>
      </c>
      <c r="W142" s="46">
        <f t="shared" ref="W142" si="44">IF(W18=0,0,W18/W$17)</f>
        <v>0.64189262037327111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4.0876362687263636E-3</v>
      </c>
      <c r="C143" s="154">
        <f t="shared" si="45"/>
        <v>3.9374514642135528E-3</v>
      </c>
      <c r="D143" s="154">
        <f t="shared" si="45"/>
        <v>3.8370865475547996E-3</v>
      </c>
      <c r="E143" s="154">
        <f t="shared" si="45"/>
        <v>3.849813358859467E-3</v>
      </c>
      <c r="F143" s="154">
        <f t="shared" si="45"/>
        <v>3.9834359357965058E-3</v>
      </c>
      <c r="G143" s="154">
        <f t="shared" si="45"/>
        <v>3.907006553236528E-3</v>
      </c>
      <c r="H143" s="154">
        <f t="shared" si="45"/>
        <v>3.8305579140639283E-3</v>
      </c>
      <c r="I143" s="154">
        <f t="shared" si="45"/>
        <v>3.8776951319625429E-3</v>
      </c>
      <c r="J143" s="154">
        <f t="shared" si="45"/>
        <v>3.8926820489918858E-3</v>
      </c>
      <c r="K143" s="154">
        <f t="shared" si="45"/>
        <v>3.8826570276985005E-3</v>
      </c>
      <c r="L143" s="154">
        <f t="shared" ref="L143" si="46">IF(L19=0,0,L19/L$17)</f>
        <v>4.2498595134754522E-3</v>
      </c>
      <c r="M143" s="154">
        <f t="shared" ref="M143:V143" si="47">IF(M19=0,0,M19/M$17)</f>
        <v>4.7256520085713679E-3</v>
      </c>
      <c r="N143" s="154">
        <f t="shared" si="47"/>
        <v>4.966622765994945E-3</v>
      </c>
      <c r="O143" s="154">
        <f t="shared" si="47"/>
        <v>5.4816777038144658E-3</v>
      </c>
      <c r="P143" s="154">
        <f t="shared" si="47"/>
        <v>4.9540573738638734E-3</v>
      </c>
      <c r="Q143" s="154">
        <f t="shared" si="47"/>
        <v>4.5247719962129163E-3</v>
      </c>
      <c r="R143" s="154">
        <f t="shared" si="47"/>
        <v>4.3741664111683863E-3</v>
      </c>
      <c r="S143" s="154">
        <f t="shared" si="47"/>
        <v>4.3512361706760224E-3</v>
      </c>
      <c r="T143" s="154">
        <f t="shared" si="47"/>
        <v>4.2739509031722474E-3</v>
      </c>
      <c r="U143" s="154">
        <f t="shared" si="47"/>
        <v>4.0988271958501384E-3</v>
      </c>
      <c r="V143" s="154">
        <f t="shared" si="47"/>
        <v>4.2718629626866634E-3</v>
      </c>
      <c r="W143" s="154">
        <f t="shared" ref="W143" si="48">IF(W19=0,0,W19/W$17)</f>
        <v>3.7131618602282723E-3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0.52671057966895696</v>
      </c>
      <c r="C144" s="156">
        <f t="shared" si="49"/>
        <v>0.53053886858344035</v>
      </c>
      <c r="D144" s="156">
        <f t="shared" si="49"/>
        <v>0.52355082320001156</v>
      </c>
      <c r="E144" s="156">
        <f t="shared" si="49"/>
        <v>0.52892380574504283</v>
      </c>
      <c r="F144" s="156">
        <f t="shared" si="49"/>
        <v>0.52786905598687495</v>
      </c>
      <c r="G144" s="156">
        <f t="shared" si="49"/>
        <v>0.49100222823034168</v>
      </c>
      <c r="H144" s="156">
        <f t="shared" si="49"/>
        <v>0.49136743075031897</v>
      </c>
      <c r="I144" s="156">
        <f t="shared" si="49"/>
        <v>0.50648554985654048</v>
      </c>
      <c r="J144" s="156">
        <f t="shared" si="49"/>
        <v>0.50249947819830165</v>
      </c>
      <c r="K144" s="156">
        <f t="shared" si="49"/>
        <v>0.51795078352581658</v>
      </c>
      <c r="L144" s="156">
        <f t="shared" ref="L144" si="50">IF(L21=0,0,L21/L$17)</f>
        <v>0.51831177162496567</v>
      </c>
      <c r="M144" s="156">
        <f t="shared" ref="M144:V144" si="51">IF(M21=0,0,M21/M$17)</f>
        <v>0.52696261774522946</v>
      </c>
      <c r="N144" s="156">
        <f t="shared" si="51"/>
        <v>0.54949871591087074</v>
      </c>
      <c r="O144" s="156">
        <f t="shared" si="51"/>
        <v>0.56249124808476825</v>
      </c>
      <c r="P144" s="156">
        <f t="shared" si="51"/>
        <v>0.53153948804312856</v>
      </c>
      <c r="Q144" s="156">
        <f t="shared" si="51"/>
        <v>0.51850244886073127</v>
      </c>
      <c r="R144" s="156">
        <f t="shared" si="51"/>
        <v>0.53547834705069697</v>
      </c>
      <c r="S144" s="156">
        <f t="shared" si="51"/>
        <v>0.53353285212949331</v>
      </c>
      <c r="T144" s="156">
        <f t="shared" si="51"/>
        <v>0.53706305819037381</v>
      </c>
      <c r="U144" s="156">
        <f t="shared" si="51"/>
        <v>0.5593091275107116</v>
      </c>
      <c r="V144" s="156">
        <f t="shared" si="51"/>
        <v>0.58101657064449064</v>
      </c>
      <c r="W144" s="156">
        <f t="shared" ref="W144" si="52">IF(W21=0,0,W21/W$17)</f>
        <v>0.55873523746654408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0.44983921350691147</v>
      </c>
      <c r="C145" s="103">
        <f t="shared" si="53"/>
        <v>0.44799363023732275</v>
      </c>
      <c r="D145" s="103">
        <f t="shared" si="53"/>
        <v>0.43407536867644181</v>
      </c>
      <c r="E145" s="103">
        <f t="shared" si="53"/>
        <v>0.41696209457729255</v>
      </c>
      <c r="F145" s="103">
        <f t="shared" si="53"/>
        <v>0.40473362507184418</v>
      </c>
      <c r="G145" s="103">
        <f t="shared" si="53"/>
        <v>0.38596654192835339</v>
      </c>
      <c r="H145" s="103">
        <f t="shared" si="53"/>
        <v>0.3707614074325366</v>
      </c>
      <c r="I145" s="103">
        <f t="shared" si="53"/>
        <v>0.37445435197473015</v>
      </c>
      <c r="J145" s="103">
        <f t="shared" si="53"/>
        <v>0.36186653814033348</v>
      </c>
      <c r="K145" s="103">
        <f t="shared" si="53"/>
        <v>0.36482904649920672</v>
      </c>
      <c r="L145" s="103">
        <f t="shared" ref="L145" si="54">IF(L22=0,0,L22/L$17)</f>
        <v>0.34718058732711771</v>
      </c>
      <c r="M145" s="103">
        <f t="shared" ref="M145:V145" si="55">IF(M22=0,0,M22/M$17)</f>
        <v>0.34699452157949418</v>
      </c>
      <c r="N145" s="103">
        <f t="shared" si="55"/>
        <v>0.3544691478947507</v>
      </c>
      <c r="O145" s="103">
        <f t="shared" si="55"/>
        <v>0.35425959429361265</v>
      </c>
      <c r="P145" s="103">
        <f t="shared" si="55"/>
        <v>0.34396126493392959</v>
      </c>
      <c r="Q145" s="103">
        <f t="shared" si="55"/>
        <v>0.3221647293719217</v>
      </c>
      <c r="R145" s="103">
        <f t="shared" si="55"/>
        <v>0.32305341814462074</v>
      </c>
      <c r="S145" s="103">
        <f t="shared" si="55"/>
        <v>0.31456471059521474</v>
      </c>
      <c r="T145" s="103">
        <f t="shared" si="55"/>
        <v>0.30905567959059826</v>
      </c>
      <c r="U145" s="103">
        <f t="shared" si="55"/>
        <v>0.31285443057523415</v>
      </c>
      <c r="V145" s="103">
        <f t="shared" si="55"/>
        <v>0.31852883224906581</v>
      </c>
      <c r="W145" s="103">
        <f t="shared" ref="W145" si="56">IF(W22=0,0,W22/W$17)</f>
        <v>0.30483190624936457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7.6871366162045471E-2</v>
      </c>
      <c r="C146" s="103">
        <f t="shared" si="57"/>
        <v>8.1865149592834058E-2</v>
      </c>
      <c r="D146" s="103">
        <f t="shared" si="57"/>
        <v>8.8834674894615356E-2</v>
      </c>
      <c r="E146" s="103">
        <f t="shared" si="57"/>
        <v>9.906878609804412E-2</v>
      </c>
      <c r="F146" s="103">
        <f t="shared" si="57"/>
        <v>0.11217761094212576</v>
      </c>
      <c r="G146" s="103">
        <f t="shared" si="57"/>
        <v>9.667812801006212E-2</v>
      </c>
      <c r="H146" s="103">
        <f t="shared" si="57"/>
        <v>0.11253304048771734</v>
      </c>
      <c r="I146" s="103">
        <f t="shared" si="57"/>
        <v>0.12437833488863913</v>
      </c>
      <c r="J146" s="103">
        <f t="shared" si="57"/>
        <v>0.13368052206457359</v>
      </c>
      <c r="K146" s="103">
        <f t="shared" si="57"/>
        <v>0.1469099390097508</v>
      </c>
      <c r="L146" s="103">
        <f t="shared" ref="L146" si="58">IF(L24=0,0,L24/L$17)</f>
        <v>0.16369636704661666</v>
      </c>
      <c r="M146" s="103">
        <f t="shared" ref="M146:V146" si="59">IF(M24=0,0,M24/M$17)</f>
        <v>0.17130275374288426</v>
      </c>
      <c r="N146" s="103">
        <f t="shared" si="59"/>
        <v>0.18831604745839647</v>
      </c>
      <c r="O146" s="103">
        <f t="shared" si="59"/>
        <v>0.19821803118458664</v>
      </c>
      <c r="P146" s="103">
        <f t="shared" si="59"/>
        <v>0.17924507803028816</v>
      </c>
      <c r="Q146" s="103">
        <f t="shared" si="59"/>
        <v>0.18855845630117424</v>
      </c>
      <c r="R146" s="103">
        <f t="shared" si="59"/>
        <v>0.20540946159738624</v>
      </c>
      <c r="S146" s="103">
        <f t="shared" si="59"/>
        <v>0.21249051020744883</v>
      </c>
      <c r="T146" s="103">
        <f t="shared" si="59"/>
        <v>0.22254310308391365</v>
      </c>
      <c r="U146" s="103">
        <f t="shared" si="59"/>
        <v>0.24183549829822162</v>
      </c>
      <c r="V146" s="103">
        <f t="shared" si="59"/>
        <v>0.25828187352387566</v>
      </c>
      <c r="W146" s="103">
        <f t="shared" ref="W146" si="60">IF(W24=0,0,W24/W$17)</f>
        <v>0.24960293287356972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6.8008875328342785E-4</v>
      </c>
      <c r="D147" s="103">
        <f t="shared" si="61"/>
        <v>6.4077962895441813E-4</v>
      </c>
      <c r="E147" s="103">
        <f t="shared" si="61"/>
        <v>1.2892925069706121E-2</v>
      </c>
      <c r="F147" s="103">
        <f t="shared" si="61"/>
        <v>1.0957819972905021E-2</v>
      </c>
      <c r="G147" s="103">
        <f t="shared" si="61"/>
        <v>8.3575582919261562E-3</v>
      </c>
      <c r="H147" s="103">
        <f t="shared" si="61"/>
        <v>8.0729828300650439E-3</v>
      </c>
      <c r="I147" s="103">
        <f t="shared" si="61"/>
        <v>7.6528629931712612E-3</v>
      </c>
      <c r="J147" s="103">
        <f t="shared" si="61"/>
        <v>6.9524179933945314E-3</v>
      </c>
      <c r="K147" s="103">
        <f t="shared" si="61"/>
        <v>6.2117980168590846E-3</v>
      </c>
      <c r="L147" s="103">
        <f t="shared" ref="L147" si="62">IF(L26=0,0,L26/L$17)</f>
        <v>7.4293488778491689E-3</v>
      </c>
      <c r="M147" s="103">
        <f t="shared" ref="M147:V147" si="63">IF(M26=0,0,M26/M$17)</f>
        <v>8.6495655384917509E-3</v>
      </c>
      <c r="N147" s="103">
        <f t="shared" si="63"/>
        <v>6.6968976890915246E-3</v>
      </c>
      <c r="O147" s="103">
        <f t="shared" si="63"/>
        <v>9.9285299644715306E-3</v>
      </c>
      <c r="P147" s="103">
        <f t="shared" si="63"/>
        <v>8.2144101994590466E-3</v>
      </c>
      <c r="Q147" s="103">
        <f t="shared" si="63"/>
        <v>7.5487096931796237E-3</v>
      </c>
      <c r="R147" s="103">
        <f t="shared" si="63"/>
        <v>6.7459085449698654E-3</v>
      </c>
      <c r="S147" s="103">
        <f t="shared" si="63"/>
        <v>6.1532685133067538E-3</v>
      </c>
      <c r="T147" s="103">
        <f t="shared" si="63"/>
        <v>5.0514383011090441E-3</v>
      </c>
      <c r="U147" s="103">
        <f t="shared" si="63"/>
        <v>4.0807783930602148E-3</v>
      </c>
      <c r="V147" s="103">
        <f t="shared" si="63"/>
        <v>3.3486894925680065E-3</v>
      </c>
      <c r="W147" s="103">
        <f t="shared" ref="W147" si="64">IF(W26=0,0,W26/W$17)</f>
        <v>3.0202544924336325E-3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4.7618630248861631E-7</v>
      </c>
      <c r="M148" s="103">
        <f t="shared" ref="M148:V148" si="67">IF(M27=0,0,M27/M$17)</f>
        <v>5.8989849040632772E-7</v>
      </c>
      <c r="N148" s="103">
        <f t="shared" si="67"/>
        <v>4.0471754333619746E-7</v>
      </c>
      <c r="O148" s="103">
        <f t="shared" si="67"/>
        <v>6.7400173527211072E-5</v>
      </c>
      <c r="P148" s="103">
        <f t="shared" si="67"/>
        <v>1.0088547133668054E-4</v>
      </c>
      <c r="Q148" s="103">
        <f t="shared" si="67"/>
        <v>2.0791510642131605E-4</v>
      </c>
      <c r="R148" s="103">
        <f t="shared" si="67"/>
        <v>2.2876912055711098E-4</v>
      </c>
      <c r="S148" s="103">
        <f t="shared" si="67"/>
        <v>2.4114448349405945E-4</v>
      </c>
      <c r="T148" s="103">
        <f t="shared" si="67"/>
        <v>2.4863121556685134E-4</v>
      </c>
      <c r="U148" s="103">
        <f t="shared" si="67"/>
        <v>2.5247027673608953E-4</v>
      </c>
      <c r="V148" s="103">
        <f t="shared" si="67"/>
        <v>2.5883149546211882E-4</v>
      </c>
      <c r="W148" s="103">
        <f t="shared" ref="W148" si="68">IF(W27=0,0,W27/W$17)</f>
        <v>2.3768707985373771E-4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8.8620692845547558E-7</v>
      </c>
      <c r="O149" s="103">
        <f t="shared" si="71"/>
        <v>9.4751786111945507E-7</v>
      </c>
      <c r="P149" s="103">
        <f t="shared" si="71"/>
        <v>2.1717078557762232E-6</v>
      </c>
      <c r="Q149" s="103">
        <f t="shared" si="71"/>
        <v>5.0300209494260599E-6</v>
      </c>
      <c r="R149" s="103">
        <f t="shared" si="71"/>
        <v>1.823528749339188E-5</v>
      </c>
      <c r="S149" s="103">
        <f t="shared" si="71"/>
        <v>3.3562093425608058E-5</v>
      </c>
      <c r="T149" s="103">
        <f t="shared" si="71"/>
        <v>7.692607633840191E-5</v>
      </c>
      <c r="U149" s="103">
        <f t="shared" si="71"/>
        <v>1.2518663791762823E-4</v>
      </c>
      <c r="V149" s="103">
        <f t="shared" si="71"/>
        <v>2.9888291812917923E-4</v>
      </c>
      <c r="W149" s="103">
        <f t="shared" ref="W149" si="72">IF(W29=0,0,W29/W$17)</f>
        <v>5.5605120517773462E-4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4.9921870795987918E-6</v>
      </c>
      <c r="M150" s="103">
        <f t="shared" ref="M150:V150" si="75">IF(M32=0,0,M32/M$17)</f>
        <v>1.5186985868855507E-5</v>
      </c>
      <c r="N150" s="103">
        <f t="shared" si="75"/>
        <v>1.5331944160286628E-5</v>
      </c>
      <c r="O150" s="103">
        <f t="shared" si="75"/>
        <v>1.6744950709053096E-5</v>
      </c>
      <c r="P150" s="103">
        <f t="shared" si="75"/>
        <v>1.5677700259228468E-5</v>
      </c>
      <c r="Q150" s="103">
        <f t="shared" si="75"/>
        <v>1.7608367085049598E-5</v>
      </c>
      <c r="R150" s="103">
        <f t="shared" si="75"/>
        <v>2.2554355669627333E-5</v>
      </c>
      <c r="S150" s="103">
        <f t="shared" si="75"/>
        <v>4.9656236603261398E-5</v>
      </c>
      <c r="T150" s="103">
        <f t="shared" si="75"/>
        <v>8.7279922847692079E-5</v>
      </c>
      <c r="U150" s="103">
        <f t="shared" si="75"/>
        <v>1.6076332954197074E-4</v>
      </c>
      <c r="V150" s="103">
        <f t="shared" si="75"/>
        <v>2.994609653899032E-4</v>
      </c>
      <c r="W150" s="103">
        <f t="shared" ref="W150" si="76">IF(W32=0,0,W32/W$17)</f>
        <v>4.864055661446968E-4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0.13253065380204443</v>
      </c>
      <c r="C151" s="156">
        <f t="shared" si="77"/>
        <v>0.12595156060389753</v>
      </c>
      <c r="D151" s="156">
        <f t="shared" si="77"/>
        <v>0.12202875502445724</v>
      </c>
      <c r="E151" s="156">
        <f t="shared" si="77"/>
        <v>0.11685427750800817</v>
      </c>
      <c r="F151" s="156">
        <f t="shared" si="77"/>
        <v>0.10742890588617111</v>
      </c>
      <c r="G151" s="156">
        <f t="shared" si="77"/>
        <v>0.1019106021560577</v>
      </c>
      <c r="H151" s="156">
        <f t="shared" si="77"/>
        <v>0.10291532418243565</v>
      </c>
      <c r="I151" s="156">
        <f t="shared" si="77"/>
        <v>9.9570756741207592E-2</v>
      </c>
      <c r="J151" s="156">
        <f t="shared" si="77"/>
        <v>9.0535367698012126E-2</v>
      </c>
      <c r="K151" s="156">
        <f t="shared" si="77"/>
        <v>8.7700192255642781E-2</v>
      </c>
      <c r="L151" s="156">
        <f t="shared" ref="L151" si="78">IF(L33=0,0,L33/L$17)</f>
        <v>9.7580563548138322E-2</v>
      </c>
      <c r="M151" s="156">
        <f t="shared" ref="M151:V151" si="79">IF(M33=0,0,M33/M$17)</f>
        <v>9.8688112824507762E-2</v>
      </c>
      <c r="N151" s="156">
        <f t="shared" si="79"/>
        <v>9.977436072081014E-2</v>
      </c>
      <c r="O151" s="156">
        <f t="shared" si="79"/>
        <v>0.10311115834189064</v>
      </c>
      <c r="P151" s="156">
        <f t="shared" si="79"/>
        <v>0.10159514350539797</v>
      </c>
      <c r="Q151" s="156">
        <f t="shared" si="79"/>
        <v>9.7895983994383387E-2</v>
      </c>
      <c r="R151" s="156">
        <f t="shared" si="79"/>
        <v>9.6323004136889281E-2</v>
      </c>
      <c r="S151" s="156">
        <f t="shared" si="79"/>
        <v>9.6418092251455215E-2</v>
      </c>
      <c r="T151" s="156">
        <f t="shared" si="79"/>
        <v>9.3007714693447707E-2</v>
      </c>
      <c r="U151" s="156">
        <f t="shared" si="79"/>
        <v>8.7621104345515108E-2</v>
      </c>
      <c r="V151" s="156">
        <f t="shared" si="79"/>
        <v>8.0789972860770914E-2</v>
      </c>
      <c r="W151" s="156">
        <f t="shared" ref="W151" si="80">IF(W33=0,0,W33/W$17)</f>
        <v>7.9444221046498717E-2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2.3855673290250038E-3</v>
      </c>
      <c r="C152" s="103">
        <f t="shared" si="81"/>
        <v>2.0722560863099125E-3</v>
      </c>
      <c r="D152" s="103">
        <f t="shared" si="81"/>
        <v>1.7584874879099336E-3</v>
      </c>
      <c r="E152" s="103">
        <f t="shared" si="81"/>
        <v>1.4995950933887965E-3</v>
      </c>
      <c r="F152" s="103">
        <f t="shared" si="81"/>
        <v>1.2564658378674961E-3</v>
      </c>
      <c r="G152" s="103">
        <f t="shared" si="81"/>
        <v>1.0018234291224138E-3</v>
      </c>
      <c r="H152" s="103">
        <f t="shared" si="81"/>
        <v>7.993104416476139E-4</v>
      </c>
      <c r="I152" s="103">
        <f t="shared" si="81"/>
        <v>6.6875754842820527E-4</v>
      </c>
      <c r="J152" s="103">
        <f t="shared" si="81"/>
        <v>5.4642598271566938E-4</v>
      </c>
      <c r="K152" s="103">
        <f t="shared" si="81"/>
        <v>4.4527026949575004E-4</v>
      </c>
      <c r="L152" s="103">
        <f t="shared" ref="L152" si="82">IF(L34=0,0,L34/L$17)</f>
        <v>3.9585843785286395E-4</v>
      </c>
      <c r="M152" s="103">
        <f t="shared" ref="M152:V152" si="83">IF(M34=0,0,M34/M$17)</f>
        <v>3.3215101327074094E-4</v>
      </c>
      <c r="N152" s="103">
        <f t="shared" si="83"/>
        <v>2.8465827321759446E-4</v>
      </c>
      <c r="O152" s="103">
        <f t="shared" si="83"/>
        <v>3.0692438382279937E-4</v>
      </c>
      <c r="P152" s="103">
        <f t="shared" si="83"/>
        <v>2.3706121597542323E-4</v>
      </c>
      <c r="Q152" s="103">
        <f t="shared" si="83"/>
        <v>1.661640540860263E-4</v>
      </c>
      <c r="R152" s="103">
        <f t="shared" si="83"/>
        <v>1.0682072289941123E-4</v>
      </c>
      <c r="S152" s="103">
        <f t="shared" si="83"/>
        <v>8.671538284901902E-5</v>
      </c>
      <c r="T152" s="103">
        <f t="shared" si="83"/>
        <v>7.825335529942371E-5</v>
      </c>
      <c r="U152" s="103">
        <f t="shared" si="83"/>
        <v>7.0702280016690853E-5</v>
      </c>
      <c r="V152" s="103">
        <f t="shared" si="83"/>
        <v>7.8756599280094166E-5</v>
      </c>
      <c r="W152" s="103">
        <f t="shared" ref="W152" si="84">IF(W34=0,0,W34/W$17)</f>
        <v>6.8510668223909386E-5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0.1283209267408226</v>
      </c>
      <c r="C153" s="103">
        <f t="shared" si="85"/>
        <v>0.12212258136221285</v>
      </c>
      <c r="D153" s="103">
        <f t="shared" si="85"/>
        <v>0.11860251592513031</v>
      </c>
      <c r="E153" s="103">
        <f t="shared" si="85"/>
        <v>0.11373151313674273</v>
      </c>
      <c r="F153" s="103">
        <f t="shared" si="85"/>
        <v>0.10465677852355795</v>
      </c>
      <c r="G153" s="103">
        <f t="shared" si="85"/>
        <v>9.9721259194725395E-2</v>
      </c>
      <c r="H153" s="103">
        <f t="shared" si="85"/>
        <v>0.10105027117655056</v>
      </c>
      <c r="I153" s="103">
        <f t="shared" si="85"/>
        <v>9.8084863132965813E-2</v>
      </c>
      <c r="J153" s="103">
        <f t="shared" si="85"/>
        <v>8.9375778559704258E-2</v>
      </c>
      <c r="K153" s="103">
        <f t="shared" si="85"/>
        <v>8.6729158302853424E-2</v>
      </c>
      <c r="L153" s="103">
        <f t="shared" ref="L153" si="86">IF(L36=0,0,L36/L$17)</f>
        <v>9.6778140974491195E-2</v>
      </c>
      <c r="M153" s="103">
        <f t="shared" ref="M153:V153" si="87">IF(M36=0,0,M36/M$17)</f>
        <v>9.7979066069976389E-2</v>
      </c>
      <c r="N153" s="103">
        <f t="shared" si="87"/>
        <v>9.9064411181512213E-2</v>
      </c>
      <c r="O153" s="103">
        <f t="shared" si="87"/>
        <v>0.10246575534704941</v>
      </c>
      <c r="P153" s="103">
        <f t="shared" si="87"/>
        <v>0.10102708348566644</v>
      </c>
      <c r="Q153" s="103">
        <f t="shared" si="87"/>
        <v>9.6868546533935188E-2</v>
      </c>
      <c r="R153" s="103">
        <f t="shared" si="87"/>
        <v>9.4445983854308219E-2</v>
      </c>
      <c r="S153" s="103">
        <f t="shared" si="87"/>
        <v>9.4536747416319317E-2</v>
      </c>
      <c r="T153" s="103">
        <f t="shared" si="87"/>
        <v>9.1084846957024526E-2</v>
      </c>
      <c r="U153" s="103">
        <f t="shared" si="87"/>
        <v>8.5917186409447843E-2</v>
      </c>
      <c r="V153" s="103">
        <f t="shared" si="87"/>
        <v>7.9064382932917676E-2</v>
      </c>
      <c r="W153" s="103">
        <f t="shared" ref="W153" si="88">IF(W36=0,0,W36/W$17)</f>
        <v>7.7908111281321954E-2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2.8167470141564183E-6</v>
      </c>
      <c r="Q154" s="103">
        <f t="shared" si="91"/>
        <v>2.6147006741825545E-6</v>
      </c>
      <c r="R154" s="103">
        <f t="shared" si="91"/>
        <v>5.1427896284205885E-6</v>
      </c>
      <c r="S154" s="103">
        <f t="shared" si="91"/>
        <v>4.9400811569307496E-6</v>
      </c>
      <c r="T154" s="103">
        <f t="shared" si="91"/>
        <v>4.5264032789002146E-6</v>
      </c>
      <c r="U154" s="103">
        <f t="shared" si="91"/>
        <v>4.1338015665392441E-6</v>
      </c>
      <c r="V154" s="103">
        <f t="shared" si="91"/>
        <v>4.5351319856880308E-6</v>
      </c>
      <c r="W154" s="103">
        <f t="shared" ref="W154" si="92">IF(W38=0,0,W38/W$17)</f>
        <v>4.0300785996172631E-6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5.7741092444898794E-4</v>
      </c>
      <c r="C155" s="103">
        <f t="shared" si="93"/>
        <v>6.0358599412431457E-4</v>
      </c>
      <c r="D155" s="103">
        <f t="shared" si="93"/>
        <v>5.8585350030665331E-4</v>
      </c>
      <c r="E155" s="103">
        <f t="shared" si="93"/>
        <v>5.8517158360658439E-4</v>
      </c>
      <c r="F155" s="103">
        <f t="shared" si="93"/>
        <v>5.4589465516974669E-4</v>
      </c>
      <c r="G155" s="103">
        <f t="shared" si="93"/>
        <v>6.8618484686654201E-4</v>
      </c>
      <c r="H155" s="103">
        <f t="shared" si="93"/>
        <v>6.7161165083317101E-4</v>
      </c>
      <c r="I155" s="103">
        <f t="shared" si="93"/>
        <v>4.9611624181309885E-4</v>
      </c>
      <c r="J155" s="103">
        <f t="shared" si="93"/>
        <v>3.6052172584943707E-4</v>
      </c>
      <c r="K155" s="103">
        <f t="shared" si="93"/>
        <v>3.2261950392747967E-4</v>
      </c>
      <c r="L155" s="103">
        <f t="shared" ref="L155" si="94">IF(L39=0,0,L39/L$17)</f>
        <v>2.3479110311011084E-4</v>
      </c>
      <c r="M155" s="103">
        <f t="shared" ref="M155:V155" si="95">IF(M39=0,0,M39/M$17)</f>
        <v>2.3576433449786215E-4</v>
      </c>
      <c r="N155" s="103">
        <f t="shared" si="95"/>
        <v>3.1706381820623472E-4</v>
      </c>
      <c r="O155" s="103">
        <f t="shared" si="95"/>
        <v>2.5002105046985812E-4</v>
      </c>
      <c r="P155" s="103">
        <f t="shared" si="95"/>
        <v>2.699688941774164E-4</v>
      </c>
      <c r="Q155" s="103">
        <f t="shared" si="95"/>
        <v>7.5277373817235862E-4</v>
      </c>
      <c r="R155" s="103">
        <f t="shared" si="95"/>
        <v>1.654387592586458E-3</v>
      </c>
      <c r="S155" s="103">
        <f t="shared" si="95"/>
        <v>1.688000590356025E-3</v>
      </c>
      <c r="T155" s="103">
        <f t="shared" si="95"/>
        <v>1.7417350813789842E-3</v>
      </c>
      <c r="U155" s="103">
        <f t="shared" si="95"/>
        <v>1.5364438307732828E-3</v>
      </c>
      <c r="V155" s="103">
        <f t="shared" si="95"/>
        <v>1.4723557636022531E-3</v>
      </c>
      <c r="W155" s="103">
        <f t="shared" ref="W155" si="96">IF(W39=0,0,W39/W$17)</f>
        <v>1.1777926244055307E-3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1.2467488077478577E-3</v>
      </c>
      <c r="C156" s="103">
        <f t="shared" si="97"/>
        <v>1.1531371612504358E-3</v>
      </c>
      <c r="D156" s="103">
        <f t="shared" si="97"/>
        <v>1.0818981111103403E-3</v>
      </c>
      <c r="E156" s="103">
        <f t="shared" si="97"/>
        <v>1.037997694270052E-3</v>
      </c>
      <c r="F156" s="103">
        <f t="shared" si="97"/>
        <v>9.6976686957591957E-4</v>
      </c>
      <c r="G156" s="103">
        <f t="shared" si="97"/>
        <v>5.0133468534334141E-4</v>
      </c>
      <c r="H156" s="103">
        <f t="shared" si="97"/>
        <v>3.9413091340430366E-4</v>
      </c>
      <c r="I156" s="103">
        <f t="shared" si="97"/>
        <v>3.2101981800047874E-4</v>
      </c>
      <c r="J156" s="103">
        <f t="shared" si="97"/>
        <v>2.5264142974275848E-4</v>
      </c>
      <c r="K156" s="103">
        <f t="shared" si="97"/>
        <v>2.031441793661324E-4</v>
      </c>
      <c r="L156" s="103">
        <f t="shared" ref="L156" si="98">IF(L41=0,0,L41/L$17)</f>
        <v>1.7177303268415677E-4</v>
      </c>
      <c r="M156" s="103">
        <f t="shared" ref="M156:V156" si="99">IF(M41=0,0,M41/M$17)</f>
        <v>1.4113140676278723E-4</v>
      </c>
      <c r="N156" s="103">
        <f t="shared" si="99"/>
        <v>1.0822744787409963E-4</v>
      </c>
      <c r="O156" s="103">
        <f t="shared" si="99"/>
        <v>8.8457560548579515E-5</v>
      </c>
      <c r="P156" s="103">
        <f t="shared" si="99"/>
        <v>5.8213162564538985E-5</v>
      </c>
      <c r="Q156" s="103">
        <f t="shared" si="99"/>
        <v>1.058849675156317E-4</v>
      </c>
      <c r="R156" s="103">
        <f t="shared" si="99"/>
        <v>1.1066917746677201E-4</v>
      </c>
      <c r="S156" s="103">
        <f t="shared" si="99"/>
        <v>1.0168878077391931E-4</v>
      </c>
      <c r="T156" s="103">
        <f t="shared" si="99"/>
        <v>9.8352896465859753E-5</v>
      </c>
      <c r="U156" s="103">
        <f t="shared" si="99"/>
        <v>9.2638023710750583E-5</v>
      </c>
      <c r="V156" s="103">
        <f t="shared" si="99"/>
        <v>1.6994243298519611E-4</v>
      </c>
      <c r="W156" s="103">
        <f t="shared" ref="W156" si="100">IF(W41=0,0,W41/W$17)</f>
        <v>2.8577639394771165E-4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0.33667113026027229</v>
      </c>
      <c r="C157" s="46">
        <f t="shared" si="101"/>
        <v>0.33957211934844855</v>
      </c>
      <c r="D157" s="46">
        <f t="shared" si="101"/>
        <v>0.35058333522797647</v>
      </c>
      <c r="E157" s="46">
        <f t="shared" si="101"/>
        <v>0.35037210338808944</v>
      </c>
      <c r="F157" s="46">
        <f t="shared" si="101"/>
        <v>0.36071860219115742</v>
      </c>
      <c r="G157" s="46">
        <f t="shared" si="101"/>
        <v>0.40318016306036414</v>
      </c>
      <c r="H157" s="46">
        <f t="shared" si="101"/>
        <v>0.40188668715318149</v>
      </c>
      <c r="I157" s="46">
        <f t="shared" si="101"/>
        <v>0.39006599827028932</v>
      </c>
      <c r="J157" s="46">
        <f t="shared" si="101"/>
        <v>0.40307247205469443</v>
      </c>
      <c r="K157" s="46">
        <f t="shared" si="101"/>
        <v>0.39046636719084216</v>
      </c>
      <c r="L157" s="46">
        <f t="shared" ref="L157" si="102">IF(L42=0,0,L42/L$17)</f>
        <v>0.37985780531342062</v>
      </c>
      <c r="M157" s="46">
        <f t="shared" ref="M157:V157" si="103">IF(M42=0,0,M42/M$17)</f>
        <v>0.36962361742169136</v>
      </c>
      <c r="N157" s="46">
        <f t="shared" si="103"/>
        <v>0.34576030060232421</v>
      </c>
      <c r="O157" s="46">
        <f t="shared" si="103"/>
        <v>0.32891591586952657</v>
      </c>
      <c r="P157" s="46">
        <f t="shared" si="103"/>
        <v>0.3619113110776096</v>
      </c>
      <c r="Q157" s="46">
        <f t="shared" si="103"/>
        <v>0.37907679514867243</v>
      </c>
      <c r="R157" s="46">
        <f t="shared" si="103"/>
        <v>0.36382448240124532</v>
      </c>
      <c r="S157" s="46">
        <f t="shared" si="103"/>
        <v>0.36569781944837554</v>
      </c>
      <c r="T157" s="46">
        <f t="shared" si="103"/>
        <v>0.3656552762130062</v>
      </c>
      <c r="U157" s="46">
        <f t="shared" si="103"/>
        <v>0.3489709409479233</v>
      </c>
      <c r="V157" s="46">
        <f t="shared" si="103"/>
        <v>0.33392159353205181</v>
      </c>
      <c r="W157" s="46">
        <f t="shared" ref="W157" si="104">IF(W42=0,0,W42/W$17)</f>
        <v>0.35810737962672889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0.11765426532151257</v>
      </c>
      <c r="C158" s="154">
        <f t="shared" si="105"/>
        <v>0.11557075140898572</v>
      </c>
      <c r="D158" s="154">
        <f t="shared" si="105"/>
        <v>0.11776280120052053</v>
      </c>
      <c r="E158" s="154">
        <f t="shared" si="105"/>
        <v>0.11728155141088241</v>
      </c>
      <c r="F158" s="154">
        <f t="shared" si="105"/>
        <v>0.11343798724612718</v>
      </c>
      <c r="G158" s="154">
        <f t="shared" si="105"/>
        <v>0.11229804853804747</v>
      </c>
      <c r="H158" s="154">
        <f t="shared" si="105"/>
        <v>0.10413641496423591</v>
      </c>
      <c r="I158" s="154">
        <f t="shared" si="105"/>
        <v>0.10362883824852287</v>
      </c>
      <c r="J158" s="154">
        <f t="shared" si="105"/>
        <v>0.11182106510600683</v>
      </c>
      <c r="K158" s="154">
        <f t="shared" si="105"/>
        <v>0.1275992150354702</v>
      </c>
      <c r="L158" s="154">
        <f t="shared" ref="L158" si="106">IF(L43=0,0,L43/L$17)</f>
        <v>0.11978619782944924</v>
      </c>
      <c r="M158" s="154">
        <f t="shared" ref="M158:V158" si="107">IF(M43=0,0,M43/M$17)</f>
        <v>0.12997942778398006</v>
      </c>
      <c r="N158" s="154">
        <f t="shared" si="107"/>
        <v>0.13566945876088599</v>
      </c>
      <c r="O158" s="154">
        <f t="shared" si="107"/>
        <v>0.14364812947680541</v>
      </c>
      <c r="P158" s="154">
        <f t="shared" si="107"/>
        <v>0.14100202011646301</v>
      </c>
      <c r="Q158" s="154">
        <f t="shared" si="107"/>
        <v>0.13839493815030887</v>
      </c>
      <c r="R158" s="154">
        <f t="shared" si="107"/>
        <v>0.13870780157580748</v>
      </c>
      <c r="S158" s="154">
        <f t="shared" si="107"/>
        <v>0.13998524143027324</v>
      </c>
      <c r="T158" s="154">
        <f t="shared" si="107"/>
        <v>0.13972263856796771</v>
      </c>
      <c r="U158" s="154">
        <f t="shared" si="107"/>
        <v>0.13839621085694634</v>
      </c>
      <c r="V158" s="154">
        <f t="shared" si="107"/>
        <v>0.15539569399337314</v>
      </c>
      <c r="W158" s="154">
        <f t="shared" ref="W158" si="108">IF(W43=0,0,W43/W$17)</f>
        <v>0.15167978508545296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3.2717571294600976E-2</v>
      </c>
      <c r="C159" s="103">
        <f t="shared" si="109"/>
        <v>2.8428471204647403E-2</v>
      </c>
      <c r="D159" s="103">
        <f t="shared" si="109"/>
        <v>2.3801326866465713E-2</v>
      </c>
      <c r="E159" s="103">
        <f t="shared" si="109"/>
        <v>2.0326257838637795E-2</v>
      </c>
      <c r="F159" s="103">
        <f t="shared" si="109"/>
        <v>1.739734796061445E-2</v>
      </c>
      <c r="G159" s="103">
        <f t="shared" si="109"/>
        <v>1.4399515140270153E-2</v>
      </c>
      <c r="H159" s="103">
        <f t="shared" si="109"/>
        <v>1.2068000182917486E-2</v>
      </c>
      <c r="I159" s="103">
        <f t="shared" si="109"/>
        <v>1.0474734234182357E-2</v>
      </c>
      <c r="J159" s="103">
        <f t="shared" si="109"/>
        <v>8.2754074461011407E-3</v>
      </c>
      <c r="K159" s="103">
        <f t="shared" si="109"/>
        <v>7.4516647629932018E-3</v>
      </c>
      <c r="L159" s="103">
        <f t="shared" ref="L159" si="110">IF(L44=0,0,L44/L$17)</f>
        <v>7.3562910003882502E-3</v>
      </c>
      <c r="M159" s="103">
        <f t="shared" ref="M159:V159" si="111">IF(M44=0,0,M44/M$17)</f>
        <v>7.009522942714487E-3</v>
      </c>
      <c r="N159" s="103">
        <f t="shared" si="111"/>
        <v>6.85860795766529E-3</v>
      </c>
      <c r="O159" s="103">
        <f t="shared" si="111"/>
        <v>6.5880652210087058E-3</v>
      </c>
      <c r="P159" s="103">
        <f t="shared" si="111"/>
        <v>5.2130084792337064E-3</v>
      </c>
      <c r="Q159" s="103">
        <f t="shared" si="111"/>
        <v>4.2258206380839857E-3</v>
      </c>
      <c r="R159" s="103">
        <f t="shared" si="111"/>
        <v>3.8677490519581216E-3</v>
      </c>
      <c r="S159" s="103">
        <f t="shared" si="111"/>
        <v>3.5558632771336284E-3</v>
      </c>
      <c r="T159" s="103">
        <f t="shared" si="111"/>
        <v>3.3125628960981013E-3</v>
      </c>
      <c r="U159" s="103">
        <f t="shared" si="111"/>
        <v>3.1314286759354971E-3</v>
      </c>
      <c r="V159" s="103">
        <f t="shared" si="111"/>
        <v>3.3771612221011292E-3</v>
      </c>
      <c r="W159" s="103">
        <f t="shared" ref="W159" si="112">IF(W44=0,0,W44/W$17)</f>
        <v>2.9536330577305892E-3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8.4934058965741563E-2</v>
      </c>
      <c r="C160" s="103">
        <f t="shared" si="113"/>
        <v>8.7079364470615594E-2</v>
      </c>
      <c r="D160" s="103">
        <f t="shared" si="113"/>
        <v>9.3905481432916993E-2</v>
      </c>
      <c r="E160" s="103">
        <f t="shared" si="113"/>
        <v>9.6902320231708944E-2</v>
      </c>
      <c r="F160" s="103">
        <f t="shared" si="113"/>
        <v>9.5991142382534603E-2</v>
      </c>
      <c r="G160" s="103">
        <f t="shared" si="113"/>
        <v>9.7854381044634481E-2</v>
      </c>
      <c r="H160" s="103">
        <f t="shared" si="113"/>
        <v>9.2028108584410448E-2</v>
      </c>
      <c r="I160" s="103">
        <f t="shared" si="113"/>
        <v>9.3116130845236442E-2</v>
      </c>
      <c r="J160" s="103">
        <f t="shared" si="113"/>
        <v>0.10351038409666732</v>
      </c>
      <c r="K160" s="103">
        <f t="shared" si="113"/>
        <v>0.12011431981632388</v>
      </c>
      <c r="L160" s="103">
        <f t="shared" ref="L160" si="114">IF(L46=0,0,L46/L$17)</f>
        <v>0.11239602674176442</v>
      </c>
      <c r="M160" s="103">
        <f t="shared" ref="M160:V160" si="115">IF(M46=0,0,M46/M$17)</f>
        <v>0.12293659581426186</v>
      </c>
      <c r="N160" s="103">
        <f t="shared" si="115"/>
        <v>0.12877906169421535</v>
      </c>
      <c r="O160" s="103">
        <f t="shared" si="115"/>
        <v>0.13701268093119123</v>
      </c>
      <c r="P160" s="103">
        <f t="shared" si="115"/>
        <v>0.13574554133609959</v>
      </c>
      <c r="Q160" s="103">
        <f t="shared" si="115"/>
        <v>0.1340528063962782</v>
      </c>
      <c r="R160" s="103">
        <f t="shared" si="115"/>
        <v>0.13472143840395673</v>
      </c>
      <c r="S160" s="103">
        <f t="shared" si="115"/>
        <v>0.13630068545986718</v>
      </c>
      <c r="T160" s="103">
        <f t="shared" si="115"/>
        <v>0.13626704961641314</v>
      </c>
      <c r="U160" s="103">
        <f t="shared" si="115"/>
        <v>0.13512464987991918</v>
      </c>
      <c r="V160" s="103">
        <f t="shared" si="115"/>
        <v>0.15184947359039142</v>
      </c>
      <c r="W160" s="103">
        <f t="shared" ref="W160" si="116">IF(W46=0,0,W46/W$17)</f>
        <v>0.14855465317552521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6.0538829770402761E-5</v>
      </c>
      <c r="D161" s="103">
        <f t="shared" si="117"/>
        <v>5.3764692402779022E-5</v>
      </c>
      <c r="E161" s="103">
        <f t="shared" si="117"/>
        <v>5.0844647371486844E-5</v>
      </c>
      <c r="F161" s="103">
        <f t="shared" si="117"/>
        <v>4.746816879663942E-5</v>
      </c>
      <c r="G161" s="103">
        <f t="shared" si="117"/>
        <v>4.2551080373914528E-5</v>
      </c>
      <c r="H161" s="103">
        <f t="shared" si="117"/>
        <v>3.8812037933474416E-5</v>
      </c>
      <c r="I161" s="103">
        <f t="shared" si="117"/>
        <v>3.6508511611112209E-5</v>
      </c>
      <c r="J161" s="103">
        <f t="shared" si="117"/>
        <v>3.4082834859071269E-5</v>
      </c>
      <c r="K161" s="103">
        <f t="shared" si="117"/>
        <v>3.2033866334052941E-5</v>
      </c>
      <c r="L161" s="103">
        <f t="shared" ref="L161" si="118">IF(L48=0,0,L48/L$17)</f>
        <v>3.2824553541158077E-5</v>
      </c>
      <c r="M161" s="103">
        <f t="shared" ref="M161:V161" si="119">IF(M48=0,0,M48/M$17)</f>
        <v>3.2169283102153438E-5</v>
      </c>
      <c r="N161" s="103">
        <f t="shared" si="119"/>
        <v>3.0279421839304941E-5</v>
      </c>
      <c r="O161" s="103">
        <f t="shared" si="119"/>
        <v>2.8667676330710425E-5</v>
      </c>
      <c r="P161" s="103">
        <f t="shared" si="119"/>
        <v>2.2046488248836112E-5</v>
      </c>
      <c r="Q161" s="103">
        <f t="shared" si="119"/>
        <v>1.8023398613570893E-5</v>
      </c>
      <c r="R161" s="103">
        <f t="shared" si="119"/>
        <v>1.4703136816130819E-5</v>
      </c>
      <c r="S161" s="103">
        <f t="shared" si="119"/>
        <v>1.1162722957418558E-5</v>
      </c>
      <c r="T161" s="103">
        <f t="shared" si="119"/>
        <v>8.5088053599997524E-6</v>
      </c>
      <c r="U161" s="103">
        <f t="shared" si="119"/>
        <v>6.0101204996518454E-6</v>
      </c>
      <c r="V161" s="103">
        <f t="shared" si="119"/>
        <v>5.5742757995052324E-6</v>
      </c>
      <c r="W161" s="103">
        <f t="shared" ref="W161" si="120">IF(W48=0,0,W48/W$17)</f>
        <v>3.9495466013068123E-6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2.6350611700405982E-6</v>
      </c>
      <c r="C162" s="103">
        <f t="shared" si="121"/>
        <v>2.3769039523032209E-6</v>
      </c>
      <c r="D162" s="103">
        <f t="shared" si="121"/>
        <v>2.2282087350408415E-6</v>
      </c>
      <c r="E162" s="103">
        <f t="shared" si="121"/>
        <v>2.1286931641988052E-6</v>
      </c>
      <c r="F162" s="103">
        <f t="shared" si="121"/>
        <v>2.0287341814929723E-6</v>
      </c>
      <c r="G162" s="103">
        <f t="shared" si="121"/>
        <v>1.6012727689207946E-6</v>
      </c>
      <c r="H162" s="103">
        <f t="shared" si="121"/>
        <v>1.4941589745274894E-6</v>
      </c>
      <c r="I162" s="103">
        <f t="shared" si="121"/>
        <v>1.4646574929650186E-6</v>
      </c>
      <c r="J162" s="103">
        <f t="shared" si="121"/>
        <v>1.1907283792955372E-6</v>
      </c>
      <c r="K162" s="103">
        <f t="shared" si="121"/>
        <v>1.1965898190726436E-6</v>
      </c>
      <c r="L162" s="103">
        <f t="shared" ref="L162" si="122">IF(L49=0,0,L49/L$17)</f>
        <v>1.055533755422419E-6</v>
      </c>
      <c r="M162" s="103">
        <f t="shared" ref="M162:V162" si="123">IF(M49=0,0,M49/M$17)</f>
        <v>1.1397439015625135E-6</v>
      </c>
      <c r="N162" s="103">
        <f t="shared" si="123"/>
        <v>1.5096871660272299E-6</v>
      </c>
      <c r="O162" s="103">
        <f t="shared" si="123"/>
        <v>1.7894627682434307E-5</v>
      </c>
      <c r="P162" s="103">
        <f t="shared" si="123"/>
        <v>2.0657209043616936E-5</v>
      </c>
      <c r="Q162" s="103">
        <f t="shared" si="123"/>
        <v>9.6872513644675286E-5</v>
      </c>
      <c r="R162" s="103">
        <f t="shared" si="123"/>
        <v>1.0083647467058877E-4</v>
      </c>
      <c r="S162" s="103">
        <f t="shared" si="123"/>
        <v>1.116011275400236E-4</v>
      </c>
      <c r="T162" s="103">
        <f t="shared" si="123"/>
        <v>1.2179105571701707E-4</v>
      </c>
      <c r="U162" s="103">
        <f t="shared" si="123"/>
        <v>1.1734574891060425E-4</v>
      </c>
      <c r="V162" s="103">
        <f t="shared" si="123"/>
        <v>1.3350180797363199E-4</v>
      </c>
      <c r="W162" s="103">
        <f t="shared" ref="W162" si="124">IF(W49=0,0,W49/W$17)</f>
        <v>1.2029265354407783E-4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0</v>
      </c>
      <c r="O163" s="103">
        <f t="shared" si="127"/>
        <v>8.2102059234134655E-7</v>
      </c>
      <c r="P163" s="103">
        <f t="shared" si="127"/>
        <v>7.6660383728273287E-7</v>
      </c>
      <c r="Q163" s="103">
        <f t="shared" si="127"/>
        <v>1.4152036884425976E-6</v>
      </c>
      <c r="R163" s="103">
        <f t="shared" si="127"/>
        <v>3.0745084058915812E-6</v>
      </c>
      <c r="S163" s="103">
        <f t="shared" si="127"/>
        <v>5.9288427750289073E-6</v>
      </c>
      <c r="T163" s="103">
        <f t="shared" si="127"/>
        <v>1.2726194379459521E-5</v>
      </c>
      <c r="U163" s="103">
        <f t="shared" si="127"/>
        <v>1.6776431681368413E-5</v>
      </c>
      <c r="V163" s="103">
        <f t="shared" si="127"/>
        <v>2.9983097107475463E-5</v>
      </c>
      <c r="W163" s="103">
        <f t="shared" ref="W163" si="128">IF(W51=0,0,W51/W$17)</f>
        <v>4.725665205175992E-5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0.21901686493875971</v>
      </c>
      <c r="C164" s="156">
        <f t="shared" si="129"/>
        <v>0.22400136793946279</v>
      </c>
      <c r="D164" s="156">
        <f t="shared" si="129"/>
        <v>0.23282053402745589</v>
      </c>
      <c r="E164" s="156">
        <f t="shared" si="129"/>
        <v>0.23309055197720702</v>
      </c>
      <c r="F164" s="156">
        <f t="shared" si="129"/>
        <v>0.24728061494503017</v>
      </c>
      <c r="G164" s="156">
        <f t="shared" si="129"/>
        <v>0.29088211452231666</v>
      </c>
      <c r="H164" s="156">
        <f t="shared" si="129"/>
        <v>0.29775027218894556</v>
      </c>
      <c r="I164" s="156">
        <f t="shared" si="129"/>
        <v>0.28643716002176645</v>
      </c>
      <c r="J164" s="156">
        <f t="shared" si="129"/>
        <v>0.29125140694868762</v>
      </c>
      <c r="K164" s="156">
        <f t="shared" si="129"/>
        <v>0.26286715215537199</v>
      </c>
      <c r="L164" s="156">
        <f t="shared" ref="L164" si="130">IF(L52=0,0,L52/L$17)</f>
        <v>0.26007160748397135</v>
      </c>
      <c r="M164" s="156">
        <f t="shared" ref="M164:V164" si="131">IF(M52=0,0,M52/M$17)</f>
        <v>0.23964418963771134</v>
      </c>
      <c r="N164" s="156">
        <f t="shared" si="131"/>
        <v>0.2100908418414382</v>
      </c>
      <c r="O164" s="156">
        <f t="shared" si="131"/>
        <v>0.18526778639272112</v>
      </c>
      <c r="P164" s="156">
        <f t="shared" si="131"/>
        <v>0.22090929096114659</v>
      </c>
      <c r="Q164" s="156">
        <f t="shared" si="131"/>
        <v>0.2406818569983635</v>
      </c>
      <c r="R164" s="156">
        <f t="shared" si="131"/>
        <v>0.22511668082543781</v>
      </c>
      <c r="S164" s="156">
        <f t="shared" si="131"/>
        <v>0.22571257801810227</v>
      </c>
      <c r="T164" s="156">
        <f t="shared" si="131"/>
        <v>0.22593263764503846</v>
      </c>
      <c r="U164" s="156">
        <f t="shared" si="131"/>
        <v>0.21057473009097691</v>
      </c>
      <c r="V164" s="156">
        <f t="shared" si="131"/>
        <v>0.17852589953867865</v>
      </c>
      <c r="W164" s="156">
        <f t="shared" ref="W164" si="132">IF(W52=0,0,W52/W$17)</f>
        <v>0.20642759454127599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0.14013921519106518</v>
      </c>
      <c r="C165" s="104">
        <f t="shared" si="133"/>
        <v>0.13545259854381481</v>
      </c>
      <c r="D165" s="104">
        <f t="shared" si="133"/>
        <v>0.12776031826074513</v>
      </c>
      <c r="E165" s="104">
        <f t="shared" si="133"/>
        <v>0.12341209511347885</v>
      </c>
      <c r="F165" s="104">
        <f t="shared" si="133"/>
        <v>0.12467975602923212</v>
      </c>
      <c r="G165" s="104">
        <f t="shared" si="133"/>
        <v>0.15774269373578909</v>
      </c>
      <c r="H165" s="104">
        <f t="shared" si="133"/>
        <v>0.15901606258903775</v>
      </c>
      <c r="I165" s="104">
        <f t="shared" si="133"/>
        <v>0.15772038044123299</v>
      </c>
      <c r="J165" s="104">
        <f t="shared" si="133"/>
        <v>0.14742170271966432</v>
      </c>
      <c r="K165" s="104">
        <f t="shared" si="133"/>
        <v>0.15216994773362116</v>
      </c>
      <c r="L165" s="104">
        <f t="shared" ref="L165" si="134">IF(L53=0,0,L53/L$17)</f>
        <v>0.13951711376648529</v>
      </c>
      <c r="M165" s="104">
        <f t="shared" ref="M165:V165" si="135">IF(M53=0,0,M53/M$17)</f>
        <v>0.1324188455611516</v>
      </c>
      <c r="N165" s="104">
        <f t="shared" si="135"/>
        <v>0.11430145290420954</v>
      </c>
      <c r="O165" s="104">
        <f t="shared" si="135"/>
        <v>0.11357041699783285</v>
      </c>
      <c r="P165" s="104">
        <f t="shared" si="135"/>
        <v>0.11470679815122045</v>
      </c>
      <c r="Q165" s="104">
        <f t="shared" si="135"/>
        <v>0.11567396749578707</v>
      </c>
      <c r="R165" s="104">
        <f t="shared" si="135"/>
        <v>0.11428988123419394</v>
      </c>
      <c r="S165" s="104">
        <f t="shared" si="135"/>
        <v>0.10757498346459821</v>
      </c>
      <c r="T165" s="104">
        <f t="shared" si="135"/>
        <v>0.11096643626649538</v>
      </c>
      <c r="U165" s="104">
        <f t="shared" si="135"/>
        <v>0.10559016710295759</v>
      </c>
      <c r="V165" s="104">
        <f t="shared" si="135"/>
        <v>0.10563928725893436</v>
      </c>
      <c r="W165" s="104">
        <f t="shared" ref="W165" si="136">IF(W53=0,0,W53/W$17)</f>
        <v>0.11291900509344684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7.8877649747694553E-2</v>
      </c>
      <c r="C166" s="105">
        <f t="shared" si="137"/>
        <v>8.8548769395647986E-2</v>
      </c>
      <c r="D166" s="105">
        <f t="shared" si="137"/>
        <v>0.10506021576671076</v>
      </c>
      <c r="E166" s="105">
        <f t="shared" si="137"/>
        <v>0.10967845686372815</v>
      </c>
      <c r="F166" s="105">
        <f t="shared" si="137"/>
        <v>0.12260085891579807</v>
      </c>
      <c r="G166" s="105">
        <f t="shared" si="137"/>
        <v>0.13313942078652757</v>
      </c>
      <c r="H166" s="105">
        <f t="shared" si="137"/>
        <v>0.13873420959990779</v>
      </c>
      <c r="I166" s="105">
        <f t="shared" si="137"/>
        <v>0.12871677958053343</v>
      </c>
      <c r="J166" s="105">
        <f t="shared" si="137"/>
        <v>0.1438297042290233</v>
      </c>
      <c r="K166" s="105">
        <f t="shared" si="137"/>
        <v>0.11069720442175082</v>
      </c>
      <c r="L166" s="105">
        <f t="shared" ref="L166" si="138">IF(L55=0,0,L55/L$17)</f>
        <v>0.12055449371748608</v>
      </c>
      <c r="M166" s="105">
        <f t="shared" ref="M166:V166" si="139">IF(M55=0,0,M55/M$17)</f>
        <v>0.10722534407655972</v>
      </c>
      <c r="N166" s="105">
        <f t="shared" si="139"/>
        <v>9.5789388937228631E-2</v>
      </c>
      <c r="O166" s="105">
        <f t="shared" si="139"/>
        <v>7.1697369394888286E-2</v>
      </c>
      <c r="P166" s="105">
        <f t="shared" si="139"/>
        <v>0.10620249280992615</v>
      </c>
      <c r="Q166" s="105">
        <f t="shared" si="139"/>
        <v>0.12500788950257644</v>
      </c>
      <c r="R166" s="105">
        <f t="shared" si="139"/>
        <v>0.11082679959124386</v>
      </c>
      <c r="S166" s="105">
        <f t="shared" si="139"/>
        <v>0.11813759455350406</v>
      </c>
      <c r="T166" s="105">
        <f t="shared" si="139"/>
        <v>0.11496620137854303</v>
      </c>
      <c r="U166" s="105">
        <f t="shared" si="139"/>
        <v>0.10498456298801934</v>
      </c>
      <c r="V166" s="105">
        <f t="shared" si="139"/>
        <v>7.2886612279744287E-2</v>
      </c>
      <c r="W166" s="105">
        <f t="shared" ref="W166" si="140">IF(W55=0,0,W55/W$17)</f>
        <v>9.3508589447829166E-2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8671.4127342000029</v>
      </c>
      <c r="C4" s="146">
        <f t="shared" si="0"/>
        <v>9155.7065959200008</v>
      </c>
      <c r="D4" s="146">
        <f t="shared" si="0"/>
        <v>9776.4183536399996</v>
      </c>
      <c r="E4" s="146">
        <f t="shared" si="0"/>
        <v>10224.91576656</v>
      </c>
      <c r="F4" s="146">
        <f t="shared" si="0"/>
        <v>10739.045552400003</v>
      </c>
      <c r="G4" s="146">
        <f t="shared" si="0"/>
        <v>11677.341442679999</v>
      </c>
      <c r="H4" s="146">
        <f t="shared" si="0"/>
        <v>12502.605403439999</v>
      </c>
      <c r="I4" s="146">
        <f t="shared" si="0"/>
        <v>12699.123936840002</v>
      </c>
      <c r="J4" s="146">
        <f t="shared" si="0"/>
        <v>12612.743666640003</v>
      </c>
      <c r="K4" s="146">
        <f t="shared" si="0"/>
        <v>12528.74977092</v>
      </c>
      <c r="L4" s="146">
        <f t="shared" ref="L4" si="1">L5+L9+L10+L15</f>
        <v>11305.072830239998</v>
      </c>
      <c r="M4" s="146">
        <f t="shared" ref="M4:V4" si="2">M5+M9+M10+M15</f>
        <v>10470.508239959998</v>
      </c>
      <c r="N4" s="146">
        <f t="shared" si="2"/>
        <v>10133.603083440001</v>
      </c>
      <c r="O4" s="146">
        <f t="shared" si="2"/>
        <v>9467.2264035600001</v>
      </c>
      <c r="P4" s="146">
        <f t="shared" si="2"/>
        <v>10562.397957720001</v>
      </c>
      <c r="Q4" s="146">
        <f t="shared" si="2"/>
        <v>11602.930235760001</v>
      </c>
      <c r="R4" s="146">
        <f t="shared" si="2"/>
        <v>11775.141066600001</v>
      </c>
      <c r="S4" s="146">
        <f t="shared" si="2"/>
        <v>12501.017432640001</v>
      </c>
      <c r="T4" s="146">
        <f t="shared" si="2"/>
        <v>13275.505679760003</v>
      </c>
      <c r="U4" s="146">
        <f t="shared" si="2"/>
        <v>14091.421744080002</v>
      </c>
      <c r="V4" s="146">
        <f t="shared" si="2"/>
        <v>12082.930310880001</v>
      </c>
      <c r="W4" s="146">
        <f t="shared" ref="W4" si="3">W5+W9+W10+W15</f>
        <v>13486.064268599997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8667.4745142000029</v>
      </c>
      <c r="C5" s="101">
        <f t="shared" si="4"/>
        <v>9151.3644559200002</v>
      </c>
      <c r="D5" s="101">
        <f t="shared" si="4"/>
        <v>9771.9247436400001</v>
      </c>
      <c r="E5" s="101">
        <f t="shared" si="4"/>
        <v>10220.22019656</v>
      </c>
      <c r="F5" s="101">
        <f t="shared" si="4"/>
        <v>10734.450962400002</v>
      </c>
      <c r="G5" s="101">
        <f t="shared" si="4"/>
        <v>11671.08068268</v>
      </c>
      <c r="H5" s="101">
        <f t="shared" si="4"/>
        <v>12496.041703439998</v>
      </c>
      <c r="I5" s="101">
        <f t="shared" si="4"/>
        <v>12694.175916840002</v>
      </c>
      <c r="J5" s="101">
        <f t="shared" si="4"/>
        <v>12609.057896640003</v>
      </c>
      <c r="K5" s="101">
        <f t="shared" si="4"/>
        <v>12525.46792092</v>
      </c>
      <c r="L5" s="101">
        <f t="shared" ref="L5" si="5">SUM(L6:L8)</f>
        <v>11302.901760239998</v>
      </c>
      <c r="M5" s="101">
        <f t="shared" ref="M5:V5" si="6">SUM(M6:M8)</f>
        <v>10468.488639959998</v>
      </c>
      <c r="N5" s="101">
        <f t="shared" si="6"/>
        <v>10130.97760344</v>
      </c>
      <c r="O5" s="101">
        <f t="shared" si="6"/>
        <v>9464.6514135600009</v>
      </c>
      <c r="P5" s="101">
        <f t="shared" si="6"/>
        <v>10559.01512772</v>
      </c>
      <c r="Q5" s="101">
        <f t="shared" si="6"/>
        <v>11592.983705760002</v>
      </c>
      <c r="R5" s="101">
        <f t="shared" si="6"/>
        <v>11756.156826600001</v>
      </c>
      <c r="S5" s="101">
        <f t="shared" si="6"/>
        <v>12480.468002640002</v>
      </c>
      <c r="T5" s="101">
        <f t="shared" si="6"/>
        <v>13252.835669760003</v>
      </c>
      <c r="U5" s="101">
        <f t="shared" si="6"/>
        <v>14069.711044080002</v>
      </c>
      <c r="V5" s="101">
        <f t="shared" si="6"/>
        <v>12064.249010880001</v>
      </c>
      <c r="W5" s="101">
        <f t="shared" ref="W5" si="7">SUM(W6:W8)</f>
        <v>13468.998648599998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5.969310479999999</v>
      </c>
      <c r="D6" s="101">
        <v>5.969310479999999</v>
      </c>
      <c r="E6" s="101">
        <v>116.40064572000001</v>
      </c>
      <c r="F6" s="101">
        <v>103.79939904</v>
      </c>
      <c r="G6" s="101">
        <v>86.00527476000002</v>
      </c>
      <c r="H6" s="101">
        <v>88.971075720000002</v>
      </c>
      <c r="I6" s="101">
        <v>86.00527476000002</v>
      </c>
      <c r="J6" s="101">
        <v>80.073899999999995</v>
      </c>
      <c r="K6" s="101">
        <v>71.176724280000016</v>
      </c>
      <c r="L6" s="101">
        <v>77.108099039999999</v>
      </c>
      <c r="M6" s="101">
        <v>83.03970095999999</v>
      </c>
      <c r="N6" s="101">
        <v>62.279775719999996</v>
      </c>
      <c r="O6" s="101">
        <v>86.00527476000002</v>
      </c>
      <c r="P6" s="101">
        <v>80.073899999999995</v>
      </c>
      <c r="Q6" s="101">
        <v>80.073899999999995</v>
      </c>
      <c r="R6" s="101">
        <v>72.817500960000004</v>
      </c>
      <c r="S6" s="101">
        <v>69.874416000000011</v>
      </c>
      <c r="T6" s="101">
        <v>61.140114000000004</v>
      </c>
      <c r="U6" s="101">
        <v>52.405812000000005</v>
      </c>
      <c r="V6" s="101">
        <v>37.848717719999989</v>
      </c>
      <c r="W6" s="101">
        <v>37.848717719999989</v>
      </c>
      <c r="DA6" s="175" t="s">
        <v>740</v>
      </c>
    </row>
    <row r="7" spans="1:105" ht="11.45" customHeight="1" x14ac:dyDescent="0.25">
      <c r="A7" s="128" t="s">
        <v>53</v>
      </c>
      <c r="B7" s="101">
        <v>4101.506584560002</v>
      </c>
      <c r="C7" s="101">
        <v>4270.3561454399996</v>
      </c>
      <c r="D7" s="101">
        <v>4374.7358331600017</v>
      </c>
      <c r="E7" s="101">
        <v>4371.6657322799992</v>
      </c>
      <c r="F7" s="101">
        <v>4426.9255522800013</v>
      </c>
      <c r="G7" s="101">
        <v>4549.7250968399994</v>
      </c>
      <c r="H7" s="101">
        <v>4635.684927719999</v>
      </c>
      <c r="I7" s="101">
        <v>4706.2947531600012</v>
      </c>
      <c r="J7" s="101">
        <v>4580.4251077200006</v>
      </c>
      <c r="K7" s="101">
        <v>4580.4251077200006</v>
      </c>
      <c r="L7" s="101">
        <v>3912.1235722799993</v>
      </c>
      <c r="M7" s="101">
        <v>3613.3019168399992</v>
      </c>
      <c r="N7" s="101">
        <v>3579.7608277200006</v>
      </c>
      <c r="O7" s="101">
        <v>3387.6612277200006</v>
      </c>
      <c r="P7" s="101">
        <v>3607.2036277200014</v>
      </c>
      <c r="Q7" s="101">
        <v>3723.0731168400016</v>
      </c>
      <c r="R7" s="101">
        <v>3790.1555445600002</v>
      </c>
      <c r="S7" s="101">
        <v>3881.6316277199999</v>
      </c>
      <c r="T7" s="101">
        <v>4052.3867168400011</v>
      </c>
      <c r="U7" s="101">
        <v>4372.5528831600004</v>
      </c>
      <c r="V7" s="101">
        <v>3796.2540831599995</v>
      </c>
      <c r="W7" s="101">
        <v>4027.9933108800005</v>
      </c>
      <c r="DA7" s="175" t="s">
        <v>741</v>
      </c>
    </row>
    <row r="8" spans="1:105" ht="11.45" customHeight="1" x14ac:dyDescent="0.25">
      <c r="A8" s="128" t="s">
        <v>54</v>
      </c>
      <c r="B8" s="101">
        <v>4565.9679296400009</v>
      </c>
      <c r="C8" s="101">
        <v>4875.0390000000016</v>
      </c>
      <c r="D8" s="101">
        <v>5391.2195999999985</v>
      </c>
      <c r="E8" s="101">
        <v>5732.1538185600011</v>
      </c>
      <c r="F8" s="101">
        <v>6203.7260110799998</v>
      </c>
      <c r="G8" s="101">
        <v>7035.3503110800011</v>
      </c>
      <c r="H8" s="101">
        <v>7771.3856999999998</v>
      </c>
      <c r="I8" s="101">
        <v>7901.8758889200008</v>
      </c>
      <c r="J8" s="101">
        <v>7948.5588889200008</v>
      </c>
      <c r="K8" s="101">
        <v>7873.8660889199991</v>
      </c>
      <c r="L8" s="101">
        <v>7313.6700889199983</v>
      </c>
      <c r="M8" s="101">
        <v>6772.1470221599984</v>
      </c>
      <c r="N8" s="101">
        <v>6488.9369999999999</v>
      </c>
      <c r="O8" s="101">
        <v>5990.9849110799996</v>
      </c>
      <c r="P8" s="101">
        <v>6871.7375999999995</v>
      </c>
      <c r="Q8" s="101">
        <v>7789.8366889199997</v>
      </c>
      <c r="R8" s="101">
        <v>7893.1837810800007</v>
      </c>
      <c r="S8" s="101">
        <v>8528.9619589200011</v>
      </c>
      <c r="T8" s="101">
        <v>9139.308838920002</v>
      </c>
      <c r="U8" s="101">
        <v>9644.7523489200012</v>
      </c>
      <c r="V8" s="101">
        <v>8230.1462100000008</v>
      </c>
      <c r="W8" s="101">
        <v>9403.1566199999979</v>
      </c>
      <c r="DA8" s="175" t="s">
        <v>742</v>
      </c>
    </row>
    <row r="9" spans="1:105" ht="11.45" customHeight="1" x14ac:dyDescent="0.25">
      <c r="A9" s="92" t="s">
        <v>55</v>
      </c>
      <c r="B9" s="101">
        <v>3.9382199999999994</v>
      </c>
      <c r="C9" s="101">
        <v>4.3421399999999997</v>
      </c>
      <c r="D9" s="101">
        <v>4.4936099999999994</v>
      </c>
      <c r="E9" s="101">
        <v>4.6955700000000009</v>
      </c>
      <c r="F9" s="101">
        <v>4.5945900000000011</v>
      </c>
      <c r="G9" s="101">
        <v>6.2607600000000021</v>
      </c>
      <c r="H9" s="101">
        <v>6.5636999999999999</v>
      </c>
      <c r="I9" s="101">
        <v>4.9480199999999996</v>
      </c>
      <c r="J9" s="101">
        <v>3.6857699999999998</v>
      </c>
      <c r="K9" s="101">
        <v>3.2818499999999999</v>
      </c>
      <c r="L9" s="101">
        <v>2.1710700000000003</v>
      </c>
      <c r="M9" s="101">
        <v>2.0196000000000001</v>
      </c>
      <c r="N9" s="101">
        <v>2.6254800000000005</v>
      </c>
      <c r="O9" s="101">
        <v>2.5749899999999992</v>
      </c>
      <c r="P9" s="101">
        <v>3.3828299999999993</v>
      </c>
      <c r="Q9" s="101">
        <v>9.946530000000001</v>
      </c>
      <c r="R9" s="101">
        <v>18.98424</v>
      </c>
      <c r="S9" s="101">
        <v>20.549430000000001</v>
      </c>
      <c r="T9" s="101">
        <v>22.670010000000001</v>
      </c>
      <c r="U9" s="101">
        <v>21.710700000000003</v>
      </c>
      <c r="V9" s="101">
        <v>18.6813</v>
      </c>
      <c r="W9" s="101">
        <v>17.065620000000003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8671.4127342000029</v>
      </c>
      <c r="C17" s="79">
        <f t="shared" si="12"/>
        <v>9155.7065959200008</v>
      </c>
      <c r="D17" s="79">
        <f t="shared" si="12"/>
        <v>9776.4183536399996</v>
      </c>
      <c r="E17" s="79">
        <f t="shared" si="12"/>
        <v>10224.915766560001</v>
      </c>
      <c r="F17" s="79">
        <f t="shared" si="12"/>
        <v>10739.045552400001</v>
      </c>
      <c r="G17" s="79">
        <f t="shared" si="12"/>
        <v>11677.341442680001</v>
      </c>
      <c r="H17" s="79">
        <f t="shared" si="12"/>
        <v>12502.60540344</v>
      </c>
      <c r="I17" s="79">
        <f t="shared" si="12"/>
        <v>12699.123936840004</v>
      </c>
      <c r="J17" s="79">
        <f t="shared" si="12"/>
        <v>12612.743666640003</v>
      </c>
      <c r="K17" s="79">
        <f t="shared" si="12"/>
        <v>12528.74977092</v>
      </c>
      <c r="L17" s="79">
        <f t="shared" ref="L17" si="13">SUM(L18,L33)</f>
        <v>11305.072830239998</v>
      </c>
      <c r="M17" s="79">
        <f t="shared" ref="M17:V17" si="14">SUM(M18,M33)</f>
        <v>10470.508239959996</v>
      </c>
      <c r="N17" s="79">
        <f t="shared" si="14"/>
        <v>10133.603083440001</v>
      </c>
      <c r="O17" s="79">
        <f t="shared" si="14"/>
        <v>9467.2264035599983</v>
      </c>
      <c r="P17" s="79">
        <f t="shared" si="14"/>
        <v>10562.397957720001</v>
      </c>
      <c r="Q17" s="79">
        <f t="shared" si="14"/>
        <v>11602.930235759999</v>
      </c>
      <c r="R17" s="79">
        <f t="shared" si="14"/>
        <v>11775.141066600001</v>
      </c>
      <c r="S17" s="79">
        <f t="shared" si="14"/>
        <v>12501.017432640001</v>
      </c>
      <c r="T17" s="79">
        <f t="shared" si="14"/>
        <v>13275.505679760003</v>
      </c>
      <c r="U17" s="79">
        <f t="shared" si="14"/>
        <v>14091.42174408</v>
      </c>
      <c r="V17" s="79">
        <f t="shared" si="14"/>
        <v>12082.930310880001</v>
      </c>
      <c r="W17" s="79">
        <f t="shared" ref="W17" si="15">SUM(W18,W33)</f>
        <v>13486.064268599999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5671.1768572694282</v>
      </c>
      <c r="C18" s="32">
        <f t="shared" si="16"/>
        <v>5959.2320836226818</v>
      </c>
      <c r="D18" s="32">
        <f t="shared" si="16"/>
        <v>6253.686591984143</v>
      </c>
      <c r="E18" s="32">
        <f t="shared" si="16"/>
        <v>6538.8098051112256</v>
      </c>
      <c r="F18" s="32">
        <f t="shared" si="16"/>
        <v>6756.2981684782317</v>
      </c>
      <c r="G18" s="32">
        <f t="shared" si="16"/>
        <v>6841.2856903586753</v>
      </c>
      <c r="H18" s="32">
        <f t="shared" si="16"/>
        <v>7337.3779669952519</v>
      </c>
      <c r="I18" s="32">
        <f t="shared" si="16"/>
        <v>7590.2326682569355</v>
      </c>
      <c r="J18" s="32">
        <f t="shared" si="16"/>
        <v>7432.3274105738228</v>
      </c>
      <c r="K18" s="32">
        <f t="shared" si="16"/>
        <v>7547.3048711428437</v>
      </c>
      <c r="L18" s="32">
        <f t="shared" ref="L18" si="17">SUM(L19,L20,L27)</f>
        <v>6920.7237170918015</v>
      </c>
      <c r="M18" s="32">
        <f t="shared" ref="M18:V18" si="18">SUM(M19,M20,M27)</f>
        <v>6513.6016797491757</v>
      </c>
      <c r="N18" s="32">
        <f t="shared" si="18"/>
        <v>6555.1097009677806</v>
      </c>
      <c r="O18" s="32">
        <f t="shared" si="18"/>
        <v>6306.6297677789689</v>
      </c>
      <c r="P18" s="32">
        <f t="shared" si="18"/>
        <v>6661.029390973129</v>
      </c>
      <c r="Q18" s="32">
        <f t="shared" si="18"/>
        <v>7132.4799639191597</v>
      </c>
      <c r="R18" s="32">
        <f t="shared" si="18"/>
        <v>7424.3489604574825</v>
      </c>
      <c r="S18" s="32">
        <f t="shared" si="18"/>
        <v>7842.0158543793295</v>
      </c>
      <c r="T18" s="32">
        <f t="shared" si="18"/>
        <v>8333.6426498946312</v>
      </c>
      <c r="U18" s="32">
        <f t="shared" si="18"/>
        <v>9096.3634413803502</v>
      </c>
      <c r="V18" s="32">
        <f t="shared" si="18"/>
        <v>7970.140146555932</v>
      </c>
      <c r="W18" s="32">
        <f t="shared" ref="W18" si="19">SUM(W19,W20,W27)</f>
        <v>8555.7039275514653</v>
      </c>
      <c r="DA18" s="173" t="s">
        <v>402</v>
      </c>
    </row>
    <row r="19" spans="1:105" ht="11.45" customHeight="1" x14ac:dyDescent="0.25">
      <c r="A19" s="136" t="s">
        <v>180</v>
      </c>
      <c r="B19" s="141">
        <v>34.283106290364053</v>
      </c>
      <c r="C19" s="141">
        <v>34.853257484598608</v>
      </c>
      <c r="D19" s="141">
        <v>36.218434448720906</v>
      </c>
      <c r="E19" s="141">
        <v>38.0222805745031</v>
      </c>
      <c r="F19" s="141">
        <v>41.26246164539829</v>
      </c>
      <c r="G19" s="141">
        <v>43.861108439572341</v>
      </c>
      <c r="H19" s="141">
        <v>45.830002501491776</v>
      </c>
      <c r="I19" s="141">
        <v>46.856796978709077</v>
      </c>
      <c r="J19" s="141">
        <v>47.600214750182978</v>
      </c>
      <c r="K19" s="141">
        <v>47.222017536198955</v>
      </c>
      <c r="L19" s="141">
        <v>46.28836628999403</v>
      </c>
      <c r="M19" s="141">
        <v>47.555059323853335</v>
      </c>
      <c r="N19" s="141">
        <v>48.500577179018158</v>
      </c>
      <c r="O19" s="141">
        <v>50.649755982606557</v>
      </c>
      <c r="P19" s="141">
        <v>50.428823064649272</v>
      </c>
      <c r="Q19" s="141">
        <v>50.88150253995267</v>
      </c>
      <c r="R19" s="141">
        <v>50.024587650379871</v>
      </c>
      <c r="S19" s="141">
        <v>52.359058853200324</v>
      </c>
      <c r="T19" s="141">
        <v>54.676626993765353</v>
      </c>
      <c r="U19" s="141">
        <v>55.967428366754135</v>
      </c>
      <c r="V19" s="141">
        <v>49.682952607574713</v>
      </c>
      <c r="W19" s="141">
        <v>47.962302326526867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4462.190706118</v>
      </c>
      <c r="C20" s="130">
        <f t="shared" si="20"/>
        <v>4745.8403519408484</v>
      </c>
      <c r="D20" s="130">
        <f t="shared" si="20"/>
        <v>4999.3578403258007</v>
      </c>
      <c r="E20" s="130">
        <f t="shared" si="20"/>
        <v>5280.2395566706</v>
      </c>
      <c r="F20" s="130">
        <f t="shared" si="20"/>
        <v>5538.2663426245808</v>
      </c>
      <c r="G20" s="130">
        <f t="shared" si="20"/>
        <v>5580.9383771809726</v>
      </c>
      <c r="H20" s="130">
        <f t="shared" si="20"/>
        <v>5973.8935520792338</v>
      </c>
      <c r="I20" s="130">
        <f t="shared" si="20"/>
        <v>6242.9308262487766</v>
      </c>
      <c r="J20" s="130">
        <f t="shared" si="20"/>
        <v>6224.5047864857015</v>
      </c>
      <c r="K20" s="130">
        <f t="shared" si="20"/>
        <v>6383.9195196494493</v>
      </c>
      <c r="L20" s="130">
        <f t="shared" ref="L20" si="21">SUM(L21:L26)</f>
        <v>5749.6917323793714</v>
      </c>
      <c r="M20" s="130">
        <f t="shared" ref="M20:V20" si="22">SUM(M21:M26)</f>
        <v>5410.583854361972</v>
      </c>
      <c r="N20" s="130">
        <f t="shared" si="22"/>
        <v>5474.7567902598894</v>
      </c>
      <c r="O20" s="130">
        <f t="shared" si="22"/>
        <v>5265.8211785573403</v>
      </c>
      <c r="P20" s="130">
        <f t="shared" si="22"/>
        <v>5515.8569684563954</v>
      </c>
      <c r="Q20" s="130">
        <f t="shared" si="22"/>
        <v>5929.5838805070898</v>
      </c>
      <c r="R20" s="130">
        <f t="shared" si="22"/>
        <v>6227.1779606122182</v>
      </c>
      <c r="S20" s="130">
        <f t="shared" si="22"/>
        <v>6566.4007757244071</v>
      </c>
      <c r="T20" s="130">
        <f t="shared" si="22"/>
        <v>7027.4633113518239</v>
      </c>
      <c r="U20" s="130">
        <f t="shared" si="22"/>
        <v>7791.4275227423914</v>
      </c>
      <c r="V20" s="130">
        <f t="shared" si="22"/>
        <v>6930.2143856961984</v>
      </c>
      <c r="W20" s="130">
        <f t="shared" ref="W20" si="23">SUM(W21:W26)</f>
        <v>7420.327569581621</v>
      </c>
      <c r="DA20" s="176" t="s">
        <v>404</v>
      </c>
    </row>
    <row r="21" spans="1:105" ht="11.45" customHeight="1" x14ac:dyDescent="0.25">
      <c r="A21" s="111" t="s">
        <v>110</v>
      </c>
      <c r="B21" s="96">
        <v>3772.8125881015349</v>
      </c>
      <c r="C21" s="96">
        <v>3965.5186833496978</v>
      </c>
      <c r="D21" s="96">
        <v>4097.2571484556902</v>
      </c>
      <c r="E21" s="96">
        <v>4118.0826889870641</v>
      </c>
      <c r="F21" s="96">
        <v>4192.4373707269588</v>
      </c>
      <c r="G21" s="96">
        <v>4332.9644112172</v>
      </c>
      <c r="H21" s="96">
        <v>4435.9063643714917</v>
      </c>
      <c r="I21" s="96">
        <v>4524.7836539934278</v>
      </c>
      <c r="J21" s="96">
        <v>4424.950383719628</v>
      </c>
      <c r="K21" s="96">
        <v>4437.1582420485902</v>
      </c>
      <c r="L21" s="96">
        <v>3781.4008072541687</v>
      </c>
      <c r="M21" s="96">
        <v>3491.866313650451</v>
      </c>
      <c r="N21" s="96">
        <v>3461.4987034567257</v>
      </c>
      <c r="O21" s="96">
        <v>3273.2975149164281</v>
      </c>
      <c r="P21" s="96">
        <v>3501.2839903623421</v>
      </c>
      <c r="Q21" s="96">
        <v>3622.7738125899709</v>
      </c>
      <c r="R21" s="96">
        <v>3694.5585770281041</v>
      </c>
      <c r="S21" s="96">
        <v>3785.2029972980968</v>
      </c>
      <c r="T21" s="96">
        <v>3953.7473630634213</v>
      </c>
      <c r="U21" s="96">
        <v>4271.8702438026021</v>
      </c>
      <c r="V21" s="96">
        <v>3704.578778628118</v>
      </c>
      <c r="W21" s="96">
        <v>3937.4637025396751</v>
      </c>
      <c r="DA21" s="171" t="s">
        <v>750</v>
      </c>
    </row>
    <row r="22" spans="1:105" ht="11.45" customHeight="1" x14ac:dyDescent="0.25">
      <c r="A22" s="111" t="s">
        <v>111</v>
      </c>
      <c r="B22" s="96">
        <v>689.37811801646478</v>
      </c>
      <c r="C22" s="96">
        <v>774.84028899472048</v>
      </c>
      <c r="D22" s="96">
        <v>896.59346585606204</v>
      </c>
      <c r="E22" s="96">
        <v>1046.2134573682758</v>
      </c>
      <c r="F22" s="96">
        <v>1242.4772819344937</v>
      </c>
      <c r="G22" s="96">
        <v>1162.4043542644174</v>
      </c>
      <c r="H22" s="96">
        <v>1449.4418067719439</v>
      </c>
      <c r="I22" s="96">
        <v>1632.550243557213</v>
      </c>
      <c r="J22" s="96">
        <v>1719.8711340101415</v>
      </c>
      <c r="K22" s="96">
        <v>1875.9497242150048</v>
      </c>
      <c r="L22" s="96">
        <v>1891.5176339558705</v>
      </c>
      <c r="M22" s="96">
        <v>1835.9805185202426</v>
      </c>
      <c r="N22" s="96">
        <v>1951.2499183257621</v>
      </c>
      <c r="O22" s="96">
        <v>1906.2429771551597</v>
      </c>
      <c r="P22" s="96">
        <v>1933.8560844179071</v>
      </c>
      <c r="Q22" s="96">
        <v>2224.9695128311437</v>
      </c>
      <c r="R22" s="96">
        <v>2457.7087265428377</v>
      </c>
      <c r="S22" s="96">
        <v>2708.8396308289412</v>
      </c>
      <c r="T22" s="96">
        <v>3009.4805787669516</v>
      </c>
      <c r="U22" s="96">
        <v>3463.4142689536075</v>
      </c>
      <c r="V22" s="96">
        <v>3183.5086483758691</v>
      </c>
      <c r="W22" s="96">
        <v>3438.9429150063547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5.4813795964304957</v>
      </c>
      <c r="D23" s="96">
        <v>5.507226014048646</v>
      </c>
      <c r="E23" s="96">
        <v>115.94341031526021</v>
      </c>
      <c r="F23" s="96">
        <v>103.35168996312902</v>
      </c>
      <c r="G23" s="96">
        <v>85.569611699354496</v>
      </c>
      <c r="H23" s="96">
        <v>88.54538093579761</v>
      </c>
      <c r="I23" s="96">
        <v>85.596928698135343</v>
      </c>
      <c r="J23" s="96">
        <v>79.683268755932147</v>
      </c>
      <c r="K23" s="96">
        <v>70.811553385854282</v>
      </c>
      <c r="L23" s="96">
        <v>76.768916501739994</v>
      </c>
      <c r="M23" s="96">
        <v>82.732005815677454</v>
      </c>
      <c r="N23" s="96">
        <v>61.999450767945589</v>
      </c>
      <c r="O23" s="96">
        <v>85.757657762879248</v>
      </c>
      <c r="P23" s="96">
        <v>79.832265075525314</v>
      </c>
      <c r="Q23" s="96">
        <v>79.855575628618595</v>
      </c>
      <c r="R23" s="96">
        <v>72.603906042532344</v>
      </c>
      <c r="S23" s="96">
        <v>69.692035336629132</v>
      </c>
      <c r="T23" s="96">
        <v>60.982748354654611</v>
      </c>
      <c r="U23" s="96">
        <v>52.275865637836681</v>
      </c>
      <c r="V23" s="96">
        <v>37.734799580531174</v>
      </c>
      <c r="W23" s="96">
        <v>37.748983495363127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4.3746675919190438E-3</v>
      </c>
      <c r="M24" s="96">
        <v>5.0163756017158638E-3</v>
      </c>
      <c r="N24" s="96">
        <v>3.3311923490133635E-3</v>
      </c>
      <c r="O24" s="96">
        <v>0.51758594758209542</v>
      </c>
      <c r="P24" s="96">
        <v>0.87169427720598369</v>
      </c>
      <c r="Q24" s="96">
        <v>1.9554740983706835</v>
      </c>
      <c r="R24" s="96">
        <v>2.1890235893551577</v>
      </c>
      <c r="S24" s="96">
        <v>2.4282204617467089</v>
      </c>
      <c r="T24" s="96">
        <v>2.6685853381646152</v>
      </c>
      <c r="U24" s="96">
        <v>2.8754245748154754</v>
      </c>
      <c r="V24" s="96">
        <v>2.5930912030589677</v>
      </c>
      <c r="W24" s="96">
        <v>2.6411970257723216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5.3865171066373955E-3</v>
      </c>
      <c r="O25" s="96">
        <v>5.4427752915050661E-3</v>
      </c>
      <c r="P25" s="96">
        <v>1.2934323414857311E-2</v>
      </c>
      <c r="Q25" s="96">
        <v>2.9505358986621301E-2</v>
      </c>
      <c r="R25" s="96">
        <v>0.11772740938948033</v>
      </c>
      <c r="S25" s="96">
        <v>0.23789179899393598</v>
      </c>
      <c r="T25" s="96">
        <v>0.58403582863135917</v>
      </c>
      <c r="U25" s="96">
        <v>0.99171977353029139</v>
      </c>
      <c r="V25" s="96">
        <v>1.7990679086204331</v>
      </c>
      <c r="W25" s="96">
        <v>3.5307715144556737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1174.703044861064</v>
      </c>
      <c r="C27" s="130">
        <f t="shared" si="24"/>
        <v>1178.5384741972348</v>
      </c>
      <c r="D27" s="130">
        <f t="shared" si="24"/>
        <v>1218.1103172096216</v>
      </c>
      <c r="E27" s="130">
        <f t="shared" si="24"/>
        <v>1220.5479678661222</v>
      </c>
      <c r="F27" s="130">
        <f t="shared" si="24"/>
        <v>1176.7693642082527</v>
      </c>
      <c r="G27" s="130">
        <f t="shared" si="24"/>
        <v>1216.48620473813</v>
      </c>
      <c r="H27" s="130">
        <f t="shared" si="24"/>
        <v>1317.6544124145269</v>
      </c>
      <c r="I27" s="130">
        <f t="shared" si="24"/>
        <v>1300.4450450294496</v>
      </c>
      <c r="J27" s="130">
        <f t="shared" si="24"/>
        <v>1160.222409337938</v>
      </c>
      <c r="K27" s="130">
        <f t="shared" si="24"/>
        <v>1116.1633339571958</v>
      </c>
      <c r="L27" s="130">
        <f t="shared" ref="L27" si="25">SUM(L28:L32)</f>
        <v>1124.7436184224357</v>
      </c>
      <c r="M27" s="130">
        <f t="shared" ref="M27:V27" si="26">SUM(M28:M32)</f>
        <v>1055.46276606335</v>
      </c>
      <c r="N27" s="130">
        <f t="shared" si="26"/>
        <v>1031.8523335288728</v>
      </c>
      <c r="O27" s="130">
        <f t="shared" si="26"/>
        <v>990.15883323902221</v>
      </c>
      <c r="P27" s="130">
        <f t="shared" si="26"/>
        <v>1094.7435994520845</v>
      </c>
      <c r="Q27" s="130">
        <f t="shared" si="26"/>
        <v>1152.0145808721174</v>
      </c>
      <c r="R27" s="130">
        <f t="shared" si="26"/>
        <v>1147.1464121948848</v>
      </c>
      <c r="S27" s="130">
        <f t="shared" si="26"/>
        <v>1223.2560198017215</v>
      </c>
      <c r="T27" s="130">
        <f t="shared" si="26"/>
        <v>1251.5027115490427</v>
      </c>
      <c r="U27" s="130">
        <f t="shared" si="26"/>
        <v>1248.9684902712049</v>
      </c>
      <c r="V27" s="130">
        <f t="shared" si="26"/>
        <v>990.24280825215897</v>
      </c>
      <c r="W27" s="130">
        <f t="shared" ref="W27" si="27">SUM(W28:W32)</f>
        <v>1087.4140556433167</v>
      </c>
      <c r="DA27" s="176" t="s">
        <v>405</v>
      </c>
    </row>
    <row r="28" spans="1:105" ht="11.45" customHeight="1" x14ac:dyDescent="0.25">
      <c r="A28" s="111" t="s">
        <v>110</v>
      </c>
      <c r="B28" s="97">
        <v>20.007812076994497</v>
      </c>
      <c r="C28" s="97">
        <v>18.343051490696102</v>
      </c>
      <c r="D28" s="97">
        <v>16.598443381567286</v>
      </c>
      <c r="E28" s="97">
        <v>14.810594715653687</v>
      </c>
      <c r="F28" s="97">
        <v>13.015114157570649</v>
      </c>
      <c r="G28" s="97">
        <v>11.2467397899914</v>
      </c>
      <c r="H28" s="97">
        <v>9.5632021136353131</v>
      </c>
      <c r="I28" s="97">
        <v>8.0810470158906522</v>
      </c>
      <c r="J28" s="97">
        <v>6.6817669141720977</v>
      </c>
      <c r="K28" s="97">
        <v>5.4155080720431625</v>
      </c>
      <c r="L28" s="97">
        <v>4.3115873153495112</v>
      </c>
      <c r="M28" s="97">
        <v>3.3424935039478871</v>
      </c>
      <c r="N28" s="97">
        <v>2.7797743457309383</v>
      </c>
      <c r="O28" s="97">
        <v>2.8359283390410046</v>
      </c>
      <c r="P28" s="97">
        <v>2.4131166059934523</v>
      </c>
      <c r="Q28" s="97">
        <v>1.8685309993748334</v>
      </c>
      <c r="R28" s="97">
        <v>1.221641362778237</v>
      </c>
      <c r="S28" s="97">
        <v>1.0434588369778566</v>
      </c>
      <c r="T28" s="97">
        <v>1.0010946816308681</v>
      </c>
      <c r="U28" s="97">
        <v>0.96540415175507532</v>
      </c>
      <c r="V28" s="97">
        <v>0.91596112135249574</v>
      </c>
      <c r="W28" s="97">
        <v>0.88494105714678228</v>
      </c>
      <c r="DA28" s="175" t="s">
        <v>756</v>
      </c>
    </row>
    <row r="29" spans="1:105" ht="11.45" customHeight="1" x14ac:dyDescent="0.25">
      <c r="A29" s="111" t="s">
        <v>111</v>
      </c>
      <c r="B29" s="97">
        <v>1150.7749035218012</v>
      </c>
      <c r="C29" s="97">
        <v>1155.8703148544807</v>
      </c>
      <c r="D29" s="97">
        <v>1197.0352898652527</v>
      </c>
      <c r="E29" s="97">
        <v>1201.0588224303094</v>
      </c>
      <c r="F29" s="97">
        <v>1159.176671921254</v>
      </c>
      <c r="G29" s="97">
        <v>1198.9932809685242</v>
      </c>
      <c r="H29" s="97">
        <v>1301.5420803894544</v>
      </c>
      <c r="I29" s="97">
        <v>1287.4305427900174</v>
      </c>
      <c r="J29" s="97">
        <v>1149.8670056828983</v>
      </c>
      <c r="K29" s="97">
        <v>1107.4781032264848</v>
      </c>
      <c r="L29" s="97">
        <v>1118.275032839226</v>
      </c>
      <c r="M29" s="97">
        <v>1050.1153810830479</v>
      </c>
      <c r="N29" s="97">
        <v>1026.4628364697378</v>
      </c>
      <c r="O29" s="97">
        <v>985.40291900750174</v>
      </c>
      <c r="P29" s="97">
        <v>1089.9704596448596</v>
      </c>
      <c r="Q29" s="97">
        <v>1143.0384349669105</v>
      </c>
      <c r="R29" s="97">
        <v>1130.0390785339116</v>
      </c>
      <c r="S29" s="97">
        <v>1205.1591749720137</v>
      </c>
      <c r="T29" s="97">
        <v>1231.7527442482208</v>
      </c>
      <c r="U29" s="97">
        <v>1230.4513251891642</v>
      </c>
      <c r="V29" s="97">
        <v>974.52501567895547</v>
      </c>
      <c r="W29" s="97">
        <v>1073.3910224049248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2.7374734013117356E-2</v>
      </c>
      <c r="Q30" s="97">
        <v>2.7660148014704768E-2</v>
      </c>
      <c r="R30" s="97">
        <v>5.5350085535443044E-2</v>
      </c>
      <c r="S30" s="97">
        <v>5.5951452437042415E-2</v>
      </c>
      <c r="T30" s="97">
        <v>5.4644340018614561E-2</v>
      </c>
      <c r="U30" s="97">
        <v>5.2955106710372069E-2</v>
      </c>
      <c r="V30" s="97">
        <v>5.1104259421782976E-2</v>
      </c>
      <c r="W30" s="97">
        <v>5.0370381344714173E-2</v>
      </c>
      <c r="DA30" s="175" t="s">
        <v>758</v>
      </c>
    </row>
    <row r="31" spans="1:105" ht="11.45" customHeight="1" x14ac:dyDescent="0.25">
      <c r="A31" s="111" t="s">
        <v>113</v>
      </c>
      <c r="B31" s="97">
        <v>3.9203292622682269</v>
      </c>
      <c r="C31" s="97">
        <v>4.3251078520579167</v>
      </c>
      <c r="D31" s="97">
        <v>4.4765839628015582</v>
      </c>
      <c r="E31" s="97">
        <v>4.6785507201590715</v>
      </c>
      <c r="F31" s="97">
        <v>4.5775781294281268</v>
      </c>
      <c r="G31" s="97">
        <v>6.2461839796143881</v>
      </c>
      <c r="H31" s="97">
        <v>6.5491299114370918</v>
      </c>
      <c r="I31" s="97">
        <v>4.9334552235416442</v>
      </c>
      <c r="J31" s="97">
        <v>3.6736367408676482</v>
      </c>
      <c r="K31" s="97">
        <v>3.2697226586678019</v>
      </c>
      <c r="L31" s="97">
        <v>2.1569982678602542</v>
      </c>
      <c r="M31" s="97">
        <v>2.0048914763541954</v>
      </c>
      <c r="N31" s="97">
        <v>2.6097227134040768</v>
      </c>
      <c r="O31" s="97">
        <v>1.9199858924794539</v>
      </c>
      <c r="P31" s="97">
        <v>2.3326484672180827</v>
      </c>
      <c r="Q31" s="97">
        <v>7.0799547578174691</v>
      </c>
      <c r="R31" s="97">
        <v>15.830342212659597</v>
      </c>
      <c r="S31" s="97">
        <v>16.997434540292929</v>
      </c>
      <c r="T31" s="97">
        <v>18.694228279172673</v>
      </c>
      <c r="U31" s="97">
        <v>17.498805823575204</v>
      </c>
      <c r="V31" s="97">
        <v>14.750727192429121</v>
      </c>
      <c r="W31" s="97">
        <v>13.087721799900546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3000.2358769305756</v>
      </c>
      <c r="C33" s="32">
        <f t="shared" si="28"/>
        <v>3196.4745122973195</v>
      </c>
      <c r="D33" s="32">
        <f t="shared" si="28"/>
        <v>3522.7317616558562</v>
      </c>
      <c r="E33" s="32">
        <f t="shared" si="28"/>
        <v>3686.1059614487758</v>
      </c>
      <c r="F33" s="32">
        <f t="shared" si="28"/>
        <v>3982.7473839217691</v>
      </c>
      <c r="G33" s="32">
        <f t="shared" si="28"/>
        <v>4836.0557523213265</v>
      </c>
      <c r="H33" s="32">
        <f t="shared" si="28"/>
        <v>5165.2274364447476</v>
      </c>
      <c r="I33" s="32">
        <f t="shared" si="28"/>
        <v>5108.8912685830683</v>
      </c>
      <c r="J33" s="32">
        <f t="shared" si="28"/>
        <v>5180.4162560661798</v>
      </c>
      <c r="K33" s="32">
        <f t="shared" si="28"/>
        <v>4981.444899777156</v>
      </c>
      <c r="L33" s="32">
        <f t="shared" ref="L33" si="29">L34+L40</f>
        <v>4384.3491131481969</v>
      </c>
      <c r="M33" s="32">
        <f t="shared" ref="M33:V33" si="30">M34+M40</f>
        <v>3956.9065602108212</v>
      </c>
      <c r="N33" s="32">
        <f t="shared" si="30"/>
        <v>3578.4933824722202</v>
      </c>
      <c r="O33" s="32">
        <f t="shared" si="30"/>
        <v>3160.5966357810303</v>
      </c>
      <c r="P33" s="32">
        <f t="shared" si="30"/>
        <v>3901.3685667468717</v>
      </c>
      <c r="Q33" s="32">
        <f t="shared" si="30"/>
        <v>4470.4502718408403</v>
      </c>
      <c r="R33" s="32">
        <f t="shared" si="30"/>
        <v>4350.7921061425177</v>
      </c>
      <c r="S33" s="32">
        <f t="shared" si="30"/>
        <v>4659.0015782606706</v>
      </c>
      <c r="T33" s="32">
        <f t="shared" si="30"/>
        <v>4941.8630298653716</v>
      </c>
      <c r="U33" s="32">
        <f t="shared" si="30"/>
        <v>4995.0583026996501</v>
      </c>
      <c r="V33" s="32">
        <f t="shared" si="30"/>
        <v>4112.7901643240693</v>
      </c>
      <c r="W33" s="32">
        <f t="shared" ref="W33" si="31">W34+W40</f>
        <v>4930.3603410485348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1036.1048655593206</v>
      </c>
      <c r="C34" s="141">
        <f t="shared" si="32"/>
        <v>1076.338098540386</v>
      </c>
      <c r="D34" s="141">
        <f t="shared" si="32"/>
        <v>1172.9131826632424</v>
      </c>
      <c r="E34" s="141">
        <f t="shared" si="32"/>
        <v>1224.5589710312959</v>
      </c>
      <c r="F34" s="141">
        <f t="shared" si="32"/>
        <v>1243.8715623418136</v>
      </c>
      <c r="G34" s="141">
        <f t="shared" si="32"/>
        <v>1338.6500468323823</v>
      </c>
      <c r="H34" s="141">
        <f t="shared" si="32"/>
        <v>1330.1609473678068</v>
      </c>
      <c r="I34" s="141">
        <f t="shared" si="32"/>
        <v>1349.2087179519415</v>
      </c>
      <c r="J34" s="141">
        <f t="shared" si="32"/>
        <v>1433.3117428976529</v>
      </c>
      <c r="K34" s="141">
        <f t="shared" si="32"/>
        <v>1624.7927568726261</v>
      </c>
      <c r="L34" s="141">
        <f t="shared" ref="L34" si="33">SUM(L35:L39)</f>
        <v>1379.2119771047819</v>
      </c>
      <c r="M34" s="141">
        <f t="shared" ref="M34:V34" si="34">SUM(M35:M39)</f>
        <v>1388.4594457423823</v>
      </c>
      <c r="N34" s="141">
        <f t="shared" si="34"/>
        <v>1401.6224067012238</v>
      </c>
      <c r="O34" s="141">
        <f t="shared" si="34"/>
        <v>1378.8948673110945</v>
      </c>
      <c r="P34" s="141">
        <f t="shared" si="34"/>
        <v>1518.0017199458048</v>
      </c>
      <c r="Q34" s="141">
        <f t="shared" si="34"/>
        <v>1630.4302344599498</v>
      </c>
      <c r="R34" s="141">
        <f t="shared" si="34"/>
        <v>1657.2879868460125</v>
      </c>
      <c r="S34" s="141">
        <f t="shared" si="34"/>
        <v>1781.6063669870357</v>
      </c>
      <c r="T34" s="141">
        <f t="shared" si="34"/>
        <v>1886.5453153192984</v>
      </c>
      <c r="U34" s="141">
        <f t="shared" si="34"/>
        <v>1979.3408831718025</v>
      </c>
      <c r="V34" s="141">
        <f t="shared" si="34"/>
        <v>1912.330885527922</v>
      </c>
      <c r="W34" s="141">
        <f t="shared" ref="W34" si="35">SUM(W35:W39)</f>
        <v>2086.2723107644342</v>
      </c>
      <c r="DA34" s="174" t="s">
        <v>411</v>
      </c>
    </row>
    <row r="35" spans="1:105" ht="11.45" customHeight="1" x14ac:dyDescent="0.25">
      <c r="A35" s="111" t="s">
        <v>110</v>
      </c>
      <c r="B35" s="96">
        <v>274.4030780911088</v>
      </c>
      <c r="C35" s="96">
        <v>251.64115311500746</v>
      </c>
      <c r="D35" s="96">
        <v>224.661806874023</v>
      </c>
      <c r="E35" s="96">
        <v>200.75016800277857</v>
      </c>
      <c r="F35" s="96">
        <v>180.21060575007422</v>
      </c>
      <c r="G35" s="96">
        <v>161.65283739323627</v>
      </c>
      <c r="H35" s="96">
        <v>144.38535873338088</v>
      </c>
      <c r="I35" s="96">
        <v>126.57325517197401</v>
      </c>
      <c r="J35" s="96">
        <v>101.19274233601774</v>
      </c>
      <c r="K35" s="96">
        <v>90.62934006316911</v>
      </c>
      <c r="L35" s="96">
        <v>80.12281142048738</v>
      </c>
      <c r="M35" s="96">
        <v>70.538050361747096</v>
      </c>
      <c r="N35" s="96">
        <v>66.976386221419773</v>
      </c>
      <c r="O35" s="96">
        <v>60.87258570663348</v>
      </c>
      <c r="P35" s="96">
        <v>53.064763363601791</v>
      </c>
      <c r="Q35" s="96">
        <v>47.519765351716302</v>
      </c>
      <c r="R35" s="96">
        <v>44.233011109349057</v>
      </c>
      <c r="S35" s="96">
        <v>42.78822093273039</v>
      </c>
      <c r="T35" s="96">
        <v>42.377596272552125</v>
      </c>
      <c r="U35" s="96">
        <v>42.758087065358552</v>
      </c>
      <c r="V35" s="96">
        <v>39.2773228943338</v>
      </c>
      <c r="W35" s="96">
        <v>38.151593442196337</v>
      </c>
      <c r="DA35" s="171" t="s">
        <v>761</v>
      </c>
    </row>
    <row r="36" spans="1:105" ht="11.45" customHeight="1" x14ac:dyDescent="0.25">
      <c r="A36" s="111" t="s">
        <v>111</v>
      </c>
      <c r="B36" s="96">
        <v>761.68389673048011</v>
      </c>
      <c r="C36" s="96">
        <v>824.19198239386708</v>
      </c>
      <c r="D36" s="96">
        <v>947.77226528606957</v>
      </c>
      <c r="E36" s="96">
        <v>1023.3345483439365</v>
      </c>
      <c r="F36" s="96">
        <v>1063.1962356442966</v>
      </c>
      <c r="G36" s="96">
        <v>1176.5469703581148</v>
      </c>
      <c r="H36" s="96">
        <v>1185.3353237616607</v>
      </c>
      <c r="I36" s="96">
        <v>1222.2125519416443</v>
      </c>
      <c r="J36" s="96">
        <v>1331.716236058435</v>
      </c>
      <c r="K36" s="96">
        <v>1533.7861185739791</v>
      </c>
      <c r="L36" s="96">
        <v>1298.7402860814866</v>
      </c>
      <c r="M36" s="96">
        <v>1317.6040080882688</v>
      </c>
      <c r="N36" s="96">
        <v>1334.3532694335029</v>
      </c>
      <c r="O36" s="96">
        <v>1317.6372464474016</v>
      </c>
      <c r="P36" s="96">
        <v>1464.5442091361656</v>
      </c>
      <c r="Q36" s="96">
        <v>1581.8087037410548</v>
      </c>
      <c r="R36" s="96">
        <v>1611.931856706746</v>
      </c>
      <c r="S36" s="96">
        <v>1737.5679418454113</v>
      </c>
      <c r="T36" s="96">
        <v>1842.7578013587568</v>
      </c>
      <c r="U36" s="96">
        <v>1935.1693352493819</v>
      </c>
      <c r="V36" s="96">
        <v>1871.6532671490293</v>
      </c>
      <c r="W36" s="96">
        <v>2046.7346523046185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0.48793088356950309</v>
      </c>
      <c r="D37" s="96">
        <v>0.46208446595135266</v>
      </c>
      <c r="E37" s="96">
        <v>0.45723540473980184</v>
      </c>
      <c r="F37" s="96">
        <v>0.44770907687098527</v>
      </c>
      <c r="G37" s="96">
        <v>0.43566306064551963</v>
      </c>
      <c r="H37" s="96">
        <v>0.4256947842023876</v>
      </c>
      <c r="I37" s="96">
        <v>0.40834606186467809</v>
      </c>
      <c r="J37" s="96">
        <v>0.39063124406785255</v>
      </c>
      <c r="K37" s="96">
        <v>0.36517089414573095</v>
      </c>
      <c r="L37" s="96">
        <v>0.33918253826001271</v>
      </c>
      <c r="M37" s="96">
        <v>0.30769514432254519</v>
      </c>
      <c r="N37" s="96">
        <v>0.28032495205440588</v>
      </c>
      <c r="O37" s="96">
        <v>0.24761699712077334</v>
      </c>
      <c r="P37" s="96">
        <v>0.21426019046156755</v>
      </c>
      <c r="Q37" s="96">
        <v>0.19066422336669694</v>
      </c>
      <c r="R37" s="96">
        <v>0.15824483193221658</v>
      </c>
      <c r="S37" s="96">
        <v>0.12642921093383994</v>
      </c>
      <c r="T37" s="96">
        <v>0.10272130532677767</v>
      </c>
      <c r="U37" s="96">
        <v>7.6991255452957333E-2</v>
      </c>
      <c r="V37" s="96">
        <v>6.2813880047035558E-2</v>
      </c>
      <c r="W37" s="96">
        <v>4.9363843292147519E-2</v>
      </c>
      <c r="DA37" s="171" t="s">
        <v>763</v>
      </c>
    </row>
    <row r="38" spans="1:105" ht="11.45" customHeight="1" x14ac:dyDescent="0.25">
      <c r="A38" s="111" t="s">
        <v>113</v>
      </c>
      <c r="B38" s="96">
        <v>1.7890737731772084E-2</v>
      </c>
      <c r="C38" s="96">
        <v>1.7032147942082323E-2</v>
      </c>
      <c r="D38" s="96">
        <v>1.7026037198441396E-2</v>
      </c>
      <c r="E38" s="96">
        <v>1.7019279840928953E-2</v>
      </c>
      <c r="F38" s="96">
        <v>1.7011870571873974E-2</v>
      </c>
      <c r="G38" s="96">
        <v>1.4576020385613566E-2</v>
      </c>
      <c r="H38" s="96">
        <v>1.457008856290801E-2</v>
      </c>
      <c r="I38" s="96">
        <v>1.4564776458356413E-2</v>
      </c>
      <c r="J38" s="96">
        <v>1.2133259132351689E-2</v>
      </c>
      <c r="K38" s="96">
        <v>1.2127341332198277E-2</v>
      </c>
      <c r="L38" s="96">
        <v>9.6970645478267337E-3</v>
      </c>
      <c r="M38" s="96">
        <v>9.6921480440888275E-3</v>
      </c>
      <c r="N38" s="96">
        <v>1.2426094246910258E-2</v>
      </c>
      <c r="O38" s="96">
        <v>0.13741815993844972</v>
      </c>
      <c r="P38" s="96">
        <v>0.17848725557593312</v>
      </c>
      <c r="Q38" s="96">
        <v>0.91110114381184804</v>
      </c>
      <c r="R38" s="96">
        <v>0.96487419798524665</v>
      </c>
      <c r="S38" s="96">
        <v>1.1237749979603631</v>
      </c>
      <c r="T38" s="96">
        <v>1.3071963826627138</v>
      </c>
      <c r="U38" s="96">
        <v>1.3364696016093254</v>
      </c>
      <c r="V38" s="96">
        <v>1.3374816045119131</v>
      </c>
      <c r="W38" s="96">
        <v>1.3367011743271349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1964.1310113712548</v>
      </c>
      <c r="C40" s="130">
        <f t="shared" si="36"/>
        <v>2120.1364137569335</v>
      </c>
      <c r="D40" s="130">
        <f t="shared" si="36"/>
        <v>2349.8185789926138</v>
      </c>
      <c r="E40" s="130">
        <f t="shared" si="36"/>
        <v>2461.5469904174797</v>
      </c>
      <c r="F40" s="130">
        <f t="shared" si="36"/>
        <v>2738.8758215799553</v>
      </c>
      <c r="G40" s="130">
        <f t="shared" si="36"/>
        <v>3497.4057054889445</v>
      </c>
      <c r="H40" s="130">
        <f t="shared" si="36"/>
        <v>3835.0664890769403</v>
      </c>
      <c r="I40" s="130">
        <f t="shared" si="36"/>
        <v>3759.6825506311266</v>
      </c>
      <c r="J40" s="130">
        <f t="shared" si="36"/>
        <v>3747.1045131685269</v>
      </c>
      <c r="K40" s="130">
        <f t="shared" si="36"/>
        <v>3356.6521429045301</v>
      </c>
      <c r="L40" s="130">
        <f t="shared" ref="L40" si="37">SUM(L41:L42)</f>
        <v>3005.1371360434155</v>
      </c>
      <c r="M40" s="130">
        <f t="shared" ref="M40:V40" si="38">SUM(M41:M42)</f>
        <v>2568.4471144684389</v>
      </c>
      <c r="N40" s="130">
        <f t="shared" si="38"/>
        <v>2176.8709757709967</v>
      </c>
      <c r="O40" s="130">
        <f t="shared" si="38"/>
        <v>1781.701768469936</v>
      </c>
      <c r="P40" s="130">
        <f t="shared" si="38"/>
        <v>2383.3668468010669</v>
      </c>
      <c r="Q40" s="130">
        <f t="shared" si="38"/>
        <v>2840.0200373808907</v>
      </c>
      <c r="R40" s="130">
        <f t="shared" si="38"/>
        <v>2693.5041192965055</v>
      </c>
      <c r="S40" s="130">
        <f t="shared" si="38"/>
        <v>2877.3952112736351</v>
      </c>
      <c r="T40" s="130">
        <f t="shared" si="38"/>
        <v>3055.3177145460727</v>
      </c>
      <c r="U40" s="130">
        <f t="shared" si="38"/>
        <v>3015.7174195278476</v>
      </c>
      <c r="V40" s="130">
        <f t="shared" si="38"/>
        <v>2200.4592787961469</v>
      </c>
      <c r="W40" s="130">
        <f t="shared" ref="W40" si="39">SUM(W41:W42)</f>
        <v>2844.0880302841006</v>
      </c>
      <c r="DA40" s="176" t="s">
        <v>412</v>
      </c>
    </row>
    <row r="41" spans="1:105" ht="11.45" customHeight="1" x14ac:dyDescent="0.25">
      <c r="A41" s="128" t="s">
        <v>27</v>
      </c>
      <c r="B41" s="97">
        <v>1256.7606542216058</v>
      </c>
      <c r="C41" s="97">
        <v>1282.0367534021134</v>
      </c>
      <c r="D41" s="97">
        <v>1289.4634520153829</v>
      </c>
      <c r="E41" s="97">
        <v>1303.2903681887778</v>
      </c>
      <c r="F41" s="97">
        <v>1380.9508250570393</v>
      </c>
      <c r="G41" s="97">
        <v>1896.6109276836198</v>
      </c>
      <c r="H41" s="97">
        <v>2048.149841734456</v>
      </c>
      <c r="I41" s="97">
        <v>2070.1872696222304</v>
      </c>
      <c r="J41" s="97">
        <v>1896.6587436851942</v>
      </c>
      <c r="K41" s="97">
        <v>1943.1168061798148</v>
      </c>
      <c r="L41" s="97">
        <v>1612.1254594048646</v>
      </c>
      <c r="M41" s="97">
        <v>1419.2324140925491</v>
      </c>
      <c r="N41" s="97">
        <v>1184.3425117189104</v>
      </c>
      <c r="O41" s="97">
        <v>1092.1953392479072</v>
      </c>
      <c r="P41" s="97">
        <v>1237.5594463539524</v>
      </c>
      <c r="Q41" s="97">
        <v>1364.9403805855413</v>
      </c>
      <c r="R41" s="97">
        <v>1367.4698150730035</v>
      </c>
      <c r="S41" s="97">
        <v>1371.3712589337861</v>
      </c>
      <c r="T41" s="97">
        <v>1500.6141741138415</v>
      </c>
      <c r="U41" s="97">
        <v>1512.1952483361638</v>
      </c>
      <c r="V41" s="97">
        <v>1302.079700788574</v>
      </c>
      <c r="W41" s="97">
        <v>1555.7590131858367</v>
      </c>
      <c r="DA41" s="175" t="s">
        <v>766</v>
      </c>
    </row>
    <row r="42" spans="1:105" ht="11.45" customHeight="1" x14ac:dyDescent="0.25">
      <c r="A42" s="138" t="s">
        <v>116</v>
      </c>
      <c r="B42" s="98">
        <v>707.37035714964907</v>
      </c>
      <c r="C42" s="98">
        <v>838.09966035481989</v>
      </c>
      <c r="D42" s="98">
        <v>1060.3551269772311</v>
      </c>
      <c r="E42" s="98">
        <v>1158.2566222287016</v>
      </c>
      <c r="F42" s="98">
        <v>1357.9249965229158</v>
      </c>
      <c r="G42" s="98">
        <v>1600.7947778053247</v>
      </c>
      <c r="H42" s="98">
        <v>1786.9166473424843</v>
      </c>
      <c r="I42" s="98">
        <v>1689.4952810088962</v>
      </c>
      <c r="J42" s="98">
        <v>1850.4457694833329</v>
      </c>
      <c r="K42" s="98">
        <v>1413.5353367247153</v>
      </c>
      <c r="L42" s="98">
        <v>1393.0116766385509</v>
      </c>
      <c r="M42" s="98">
        <v>1149.2147003758898</v>
      </c>
      <c r="N42" s="98">
        <v>992.52846405208629</v>
      </c>
      <c r="O42" s="98">
        <v>689.50642922202883</v>
      </c>
      <c r="P42" s="98">
        <v>1145.8074004471146</v>
      </c>
      <c r="Q42" s="98">
        <v>1475.0796567953494</v>
      </c>
      <c r="R42" s="98">
        <v>1326.034304223502</v>
      </c>
      <c r="S42" s="98">
        <v>1506.0239523398488</v>
      </c>
      <c r="T42" s="98">
        <v>1554.7035404322312</v>
      </c>
      <c r="U42" s="98">
        <v>1503.5221711916838</v>
      </c>
      <c r="V42" s="98">
        <v>898.37957800757295</v>
      </c>
      <c r="W42" s="98">
        <v>1288.3290170982641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2.9998351302234574</v>
      </c>
      <c r="C47" s="145">
        <f>IF(C4=0,0,C4/TrRoad_ene!C4)</f>
        <v>3.0010909389580291</v>
      </c>
      <c r="D47" s="145">
        <f>IF(D4=0,0,D4/TrRoad_ene!D4)</f>
        <v>3.0051568819554046</v>
      </c>
      <c r="E47" s="145">
        <f>IF(E4=0,0,E4/TrRoad_ene!E4)</f>
        <v>3.0038393482937593</v>
      </c>
      <c r="F47" s="145">
        <f>IF(F4=0,0,F4/TrRoad_ene!F4)</f>
        <v>3.0080415991981129</v>
      </c>
      <c r="G47" s="145">
        <f>IF(G4=0,0,G4/TrRoad_ene!G4)</f>
        <v>3.0131129148251259</v>
      </c>
      <c r="H47" s="145">
        <f>IF(H4=0,0,H4/TrRoad_ene!H4)</f>
        <v>3.0114816238028088</v>
      </c>
      <c r="I47" s="145">
        <f>IF(I4=0,0,I4/TrRoad_ene!I4)</f>
        <v>2.999515377486289</v>
      </c>
      <c r="J47" s="145">
        <f>IF(J4=0,0,J4/TrRoad_ene!J4)</f>
        <v>2.9073001973763479</v>
      </c>
      <c r="K47" s="145">
        <f>IF(K4=0,0,K4/TrRoad_ene!K4)</f>
        <v>2.9035714291901171</v>
      </c>
      <c r="L47" s="145">
        <f>IF(L4=0,0,L4/TrRoad_ene!L4)</f>
        <v>2.8903489710906878</v>
      </c>
      <c r="M47" s="145">
        <f>IF(M4=0,0,M4/TrRoad_ene!M4)</f>
        <v>2.8920119126062778</v>
      </c>
      <c r="N47" s="145">
        <f>IF(N4=0,0,N4/TrRoad_ene!N4)</f>
        <v>2.891753609172012</v>
      </c>
      <c r="O47" s="145">
        <f>IF(O4=0,0,O4/TrRoad_ene!O4)</f>
        <v>2.8956520716348613</v>
      </c>
      <c r="P47" s="145">
        <f>IF(P4=0,0,P4/TrRoad_ene!P4)</f>
        <v>2.8712567925873902</v>
      </c>
      <c r="Q47" s="145">
        <f>IF(Q4=0,0,Q4/TrRoad_ene!Q4)</f>
        <v>2.8976553902948661</v>
      </c>
      <c r="R47" s="145">
        <f>IF(R4=0,0,R4/TrRoad_ene!R4)</f>
        <v>2.8904013836744489</v>
      </c>
      <c r="S47" s="145">
        <f>IF(S4=0,0,S4/TrRoad_ene!S4)</f>
        <v>2.9159471906591228</v>
      </c>
      <c r="T47" s="145">
        <f>IF(T4=0,0,T4/TrRoad_ene!T4)</f>
        <v>2.9051643573906132</v>
      </c>
      <c r="U47" s="145">
        <f>IF(U4=0,0,U4/TrRoad_ene!U4)</f>
        <v>2.9060840167344062</v>
      </c>
      <c r="V47" s="145">
        <f>IF(V4=0,0,V4/TrRoad_ene!V4)</f>
        <v>2.8328049795007888</v>
      </c>
      <c r="W47" s="145">
        <f>IF(W4=0,0,W4/TrRoad_ene!W4)</f>
        <v>2.8505921004162307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2.9014524000000006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2.9014524000000006</v>
      </c>
      <c r="G48" s="97">
        <f>IF(G7=0,0,(G7+G12)/(TrRoad_ene!G7+TrRoad_ene!G12))</f>
        <v>2.8967224887117373</v>
      </c>
      <c r="H48" s="97">
        <f>IF(H7=0,0,(H7+H12)/(TrRoad_ene!H7+TrRoad_ene!H12))</f>
        <v>2.8818245782411482</v>
      </c>
      <c r="I48" s="97">
        <f>IF(I7=0,0,(I7+I12)/(TrRoad_ene!I7+TrRoad_ene!I12))</f>
        <v>2.8541465417396519</v>
      </c>
      <c r="J48" s="97">
        <f>IF(J7=0,0,(J7+J12)/(TrRoad_ene!J7+TrRoad_ene!J12))</f>
        <v>2.8186443949225786</v>
      </c>
      <c r="K48" s="97">
        <f>IF(K7=0,0,(K7+K12)/(TrRoad_ene!K7+TrRoad_ene!K12))</f>
        <v>2.8186443949225786</v>
      </c>
      <c r="L48" s="97">
        <f>IF(L7=0,0,(L7+L12)/(TrRoad_ene!L7+TrRoad_ene!L12))</f>
        <v>2.7846729472241707</v>
      </c>
      <c r="M48" s="97">
        <f>IF(M7=0,0,(M7+M12)/(TrRoad_ene!M7+TrRoad_ene!M12))</f>
        <v>2.7795040096728192</v>
      </c>
      <c r="N48" s="97">
        <f>IF(N7=0,0,(N7+N12)/(TrRoad_ene!N7+TrRoad_ene!N12))</f>
        <v>2.7866545131448195</v>
      </c>
      <c r="O48" s="97">
        <f>IF(O7=0,0,(O7+O12)/(TrRoad_ene!O7+TrRoad_ene!O12))</f>
        <v>2.8260996710326025</v>
      </c>
      <c r="P48" s="97">
        <f>IF(P7=0,0,(P7+P12)/(TrRoad_ene!P7+TrRoad_ene!P12))</f>
        <v>2.7671156453199903</v>
      </c>
      <c r="Q48" s="97">
        <f>IF(Q7=0,0,(Q7+Q12)/(TrRoad_ene!Q7+TrRoad_ene!Q12))</f>
        <v>2.808292121106116</v>
      </c>
      <c r="R48" s="97">
        <f>IF(R7=0,0,(R7+R12)/(TrRoad_ene!R7+TrRoad_ene!R12))</f>
        <v>2.8072445920761835</v>
      </c>
      <c r="S48" s="97">
        <f>IF(S7=0,0,(S7+S12)/(TrRoad_ene!S7+TrRoad_ene!S12))</f>
        <v>2.8068129343975876</v>
      </c>
      <c r="T48" s="97">
        <f>IF(T7=0,0,(T7+T12)/(TrRoad_ene!T7+TrRoad_ene!T12))</f>
        <v>2.7995731558968746</v>
      </c>
      <c r="U48" s="97">
        <f>IF(U7=0,0,(U7+U12)/(TrRoad_ene!U7+TrRoad_ene!U12))</f>
        <v>2.8159769506326686</v>
      </c>
      <c r="V48" s="97">
        <f>IF(V7=0,0,(V7+V12)/(TrRoad_ene!V7+TrRoad_ene!V12))</f>
        <v>2.7266820026649459</v>
      </c>
      <c r="W48" s="97">
        <f>IF(W7=0,0,(W7+W12)/(TrRoad_ene!W7+TrRoad_ene!W12))</f>
        <v>2.730272492759541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3.1024188000000006</v>
      </c>
      <c r="C49" s="97">
        <f>IF(C8=0,0,(C8+C13+C14)/(TrRoad_ene!C8+TrRoad_ene!C13+TrRoad_ene!C14))</f>
        <v>3.1024188000000006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3.1002673648376375</v>
      </c>
      <c r="J49" s="97">
        <f>IF(J8=0,0,(J8+J13+J14)/(TrRoad_ene!J8+TrRoad_ene!J13+TrRoad_ene!J14))</f>
        <v>2.9655693382756723</v>
      </c>
      <c r="K49" s="97">
        <f>IF(K8=0,0,(K8+K13+K14)/(TrRoad_ene!K8+TrRoad_ene!K13+TrRoad_ene!K14))</f>
        <v>2.9593395310568242</v>
      </c>
      <c r="L49" s="97">
        <f>IF(L8=0,0,(L8+L13+L14)/(TrRoad_ene!L8+TrRoad_ene!L13+TrRoad_ene!L14))</f>
        <v>2.9542569776921774</v>
      </c>
      <c r="M49" s="97">
        <f>IF(M8=0,0,(M8+M13+M14)/(TrRoad_ene!M8+TrRoad_ene!M13+TrRoad_ene!M14))</f>
        <v>2.9603021380203494</v>
      </c>
      <c r="N49" s="97">
        <f>IF(N8=0,0,(N8+N13+N14)/(TrRoad_ene!N8+TrRoad_ene!N13+TrRoad_ene!N14))</f>
        <v>2.9568069084736672</v>
      </c>
      <c r="O49" s="97">
        <f>IF(O8=0,0,(O8+O13+O14)/(TrRoad_ene!O8+TrRoad_ene!O13+TrRoad_ene!O14))</f>
        <v>2.941431325207827</v>
      </c>
      <c r="P49" s="97">
        <f>IF(P8=0,0,(P8+P13+P14)/(TrRoad_ene!P8+TrRoad_ene!P13+TrRoad_ene!P14))</f>
        <v>2.9328268358455247</v>
      </c>
      <c r="Q49" s="97">
        <f>IF(Q8=0,0,(Q8+Q13+Q14)/(TrRoad_ene!Q8+TrRoad_ene!Q13+TrRoad_ene!Q14))</f>
        <v>2.9468437187762264</v>
      </c>
      <c r="R49" s="97">
        <f>IF(R8=0,0,(R8+R13+R14)/(TrRoad_ene!R8+TrRoad_ene!R13+TrRoad_ene!R14))</f>
        <v>2.9369868703825825</v>
      </c>
      <c r="S49" s="97">
        <f>IF(S8=0,0,(S8+S13+S14)/(TrRoad_ene!S8+TrRoad_ene!S13+TrRoad_ene!S14))</f>
        <v>2.9735691946377454</v>
      </c>
      <c r="T49" s="97">
        <f>IF(T8=0,0,(T8+T13+T14)/(TrRoad_ene!T8+TrRoad_ene!T13+TrRoad_ene!T14))</f>
        <v>2.9593548253416611</v>
      </c>
      <c r="U49" s="97">
        <f>IF(U8=0,0,(U8+U13+U14)/(TrRoad_ene!U8+TrRoad_ene!U13+TrRoad_ene!U14))</f>
        <v>2.9535052325951887</v>
      </c>
      <c r="V49" s="97">
        <f>IF(V8=0,0,(V8+V13+V14)/(TrRoad_ene!V8+TrRoad_ene!V13+TrRoad_ene!V14))</f>
        <v>2.8897249818895183</v>
      </c>
      <c r="W49" s="97">
        <f>IF(W8=0,0,(W8+W13+W14)/(TrRoad_ene!W8+TrRoad_ene!W13+TrRoad_ene!W14))</f>
        <v>2.9122264030946443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336.81106233649535</v>
      </c>
      <c r="C54" s="62">
        <f>IF(TrRoad_act!C30=0,0,C17/TrRoad_act!C30*1000
)</f>
        <v>333.78779794827113</v>
      </c>
      <c r="D54" s="62">
        <f>IF(TrRoad_act!D30=0,0,D17/TrRoad_act!D30*1000
)</f>
        <v>338.82297522266282</v>
      </c>
      <c r="E54" s="62">
        <f>IF(TrRoad_act!E30=0,0,E17/TrRoad_act!E30*1000
)</f>
        <v>337.65120825616174</v>
      </c>
      <c r="F54" s="62">
        <f>IF(TrRoad_act!F30=0,0,F17/TrRoad_act!F30*1000
)</f>
        <v>339.48292443586672</v>
      </c>
      <c r="G54" s="62">
        <f>IF(TrRoad_act!G30=0,0,G17/TrRoad_act!G30*1000
)</f>
        <v>342.61766642760705</v>
      </c>
      <c r="H54" s="62">
        <f>IF(TrRoad_act!H30=0,0,H17/TrRoad_act!H30*1000
)</f>
        <v>357.27870591635053</v>
      </c>
      <c r="I54" s="62">
        <f>IF(TrRoad_act!I30=0,0,I17/TrRoad_act!I30*1000
)</f>
        <v>343.65007186030266</v>
      </c>
      <c r="J54" s="62">
        <f>IF(TrRoad_act!J30=0,0,J17/TrRoad_act!J30*1000
)</f>
        <v>331.02577854100593</v>
      </c>
      <c r="K54" s="62">
        <f>IF(TrRoad_act!K30=0,0,K17/TrRoad_act!K30*1000
)</f>
        <v>304.10115758186726</v>
      </c>
      <c r="L54" s="62">
        <f>IF(TrRoad_act!L30=0,0,L17/TrRoad_act!L30*1000
)</f>
        <v>306.16752125018354</v>
      </c>
      <c r="M54" s="62">
        <f>IF(TrRoad_act!M30=0,0,M17/TrRoad_act!M30*1000
)</f>
        <v>304.65658535852094</v>
      </c>
      <c r="N54" s="62">
        <f>IF(TrRoad_act!N30=0,0,N17/TrRoad_act!N30*1000
)</f>
        <v>291.09928177589057</v>
      </c>
      <c r="O54" s="62">
        <f>IF(TrRoad_act!O30=0,0,O17/TrRoad_act!O30*1000
)</f>
        <v>274.19928979725586</v>
      </c>
      <c r="P54" s="62">
        <f>IF(TrRoad_act!P30=0,0,P17/TrRoad_act!P30*1000
)</f>
        <v>292.74003815497417</v>
      </c>
      <c r="Q54" s="62">
        <f>IF(TrRoad_act!Q30=0,0,Q17/TrRoad_act!Q30*1000
)</f>
        <v>302.27706255946561</v>
      </c>
      <c r="R54" s="62">
        <f>IF(TrRoad_act!R30=0,0,R17/TrRoad_act!R30*1000
)</f>
        <v>291.39390683621667</v>
      </c>
      <c r="S54" s="62">
        <f>IF(TrRoad_act!S30=0,0,S17/TrRoad_act!S30*1000
)</f>
        <v>292.2382510164893</v>
      </c>
      <c r="T54" s="62">
        <f>IF(TrRoad_act!T30=0,0,T17/TrRoad_act!T30*1000
)</f>
        <v>285.35261208233101</v>
      </c>
      <c r="U54" s="62">
        <f>IF(TrRoad_act!U30=0,0,U17/TrRoad_act!U30*1000
)</f>
        <v>272.90461184079288</v>
      </c>
      <c r="V54" s="62">
        <f>IF(TrRoad_act!V30=0,0,V17/TrRoad_act!V30*1000
)</f>
        <v>242.05139432848176</v>
      </c>
      <c r="W54" s="62">
        <f>IF(TrRoad_act!W30=0,0,W17/TrRoad_act!W30*1000
)</f>
        <v>257.06511292908232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275.57548037459946</v>
      </c>
      <c r="C55" s="29">
        <f>IF(TrRoad_act!C31=0,0,C18/TrRoad_act!C31*1000
)</f>
        <v>270.037067753401</v>
      </c>
      <c r="D55" s="29">
        <f>IF(TrRoad_act!D31=0,0,D18/TrRoad_act!D31*1000
)</f>
        <v>268.48642285421715</v>
      </c>
      <c r="E55" s="29">
        <f>IF(TrRoad_act!E31=0,0,E18/TrRoad_act!E31*1000
)</f>
        <v>265.91343014980231</v>
      </c>
      <c r="F55" s="29">
        <f>IF(TrRoad_act!F31=0,0,F18/TrRoad_act!F31*1000
)</f>
        <v>262.80571515926232</v>
      </c>
      <c r="G55" s="29">
        <f>IF(TrRoad_act!G31=0,0,G18/TrRoad_act!G31*1000
)</f>
        <v>248.06044006682188</v>
      </c>
      <c r="H55" s="29">
        <f>IF(TrRoad_act!H31=0,0,H18/TrRoad_act!H31*1000
)</f>
        <v>259.18570570737296</v>
      </c>
      <c r="I55" s="29">
        <f>IF(TrRoad_act!I31=0,0,I18/TrRoad_act!I31*1000
)</f>
        <v>253.78652398584472</v>
      </c>
      <c r="J55" s="29">
        <f>IF(TrRoad_act!J31=0,0,J18/TrRoad_act!J31*1000
)</f>
        <v>242.38109962912864</v>
      </c>
      <c r="K55" s="29">
        <f>IF(TrRoad_act!K31=0,0,K18/TrRoad_act!K31*1000
)</f>
        <v>227.02584115847438</v>
      </c>
      <c r="L55" s="29">
        <f>IF(TrRoad_act!L31=0,0,L18/TrRoad_act!L31*1000
)</f>
        <v>229.69907649298676</v>
      </c>
      <c r="M55" s="29">
        <f>IF(TrRoad_act!M31=0,0,M18/TrRoad_act!M31*1000
)</f>
        <v>237.84263965673787</v>
      </c>
      <c r="N55" s="29">
        <f>IF(TrRoad_act!N31=0,0,N18/TrRoad_act!N31*1000
)</f>
        <v>235.42045323142852</v>
      </c>
      <c r="O55" s="29">
        <f>IF(TrRoad_act!O31=0,0,O18/TrRoad_act!O31*1000
)</f>
        <v>231.25881217689101</v>
      </c>
      <c r="P55" s="29">
        <f>IF(TrRoad_act!P31=0,0,P18/TrRoad_act!P31*1000
)</f>
        <v>232.48288724374601</v>
      </c>
      <c r="Q55" s="29">
        <f>IF(TrRoad_act!Q31=0,0,Q18/TrRoad_act!Q31*1000
)</f>
        <v>232.59036277595766</v>
      </c>
      <c r="R55" s="29">
        <f>IF(TrRoad_act!R31=0,0,R18/TrRoad_act!R31*1000
)</f>
        <v>230.58759703693116</v>
      </c>
      <c r="S55" s="29">
        <f>IF(TrRoad_act!S31=0,0,S18/TrRoad_act!S31*1000
)</f>
        <v>229.80376705737376</v>
      </c>
      <c r="T55" s="29">
        <f>IF(TrRoad_act!T31=0,0,T18/TrRoad_act!T31*1000
)</f>
        <v>223.32790223113327</v>
      </c>
      <c r="U55" s="29">
        <f>IF(TrRoad_act!U31=0,0,U18/TrRoad_act!U31*1000
)</f>
        <v>217.16345303763495</v>
      </c>
      <c r="V55" s="29">
        <f>IF(TrRoad_act!V31=0,0,V18/TrRoad_act!V31*1000
)</f>
        <v>199.65693176416954</v>
      </c>
      <c r="W55" s="29">
        <f>IF(TrRoad_act!W31=0,0,W18/TrRoad_act!W31*1000
)</f>
        <v>204.56128725474377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140.55691238463262</v>
      </c>
      <c r="C56" s="152">
        <f>IF(TrRoad_act!C32=0,0,C19/TrRoad_act!C32*1000
)</f>
        <v>140.01434834363167</v>
      </c>
      <c r="D56" s="152">
        <f>IF(TrRoad_act!D32=0,0,D19/TrRoad_act!D32*1000
)</f>
        <v>138.84783855726528</v>
      </c>
      <c r="E56" s="152">
        <f>IF(TrRoad_act!E32=0,0,E19/TrRoad_act!E32*1000
)</f>
        <v>137.53404845971107</v>
      </c>
      <c r="F56" s="152">
        <f>IF(TrRoad_act!F32=0,0,F19/TrRoad_act!F32*1000
)</f>
        <v>135.58447656259355</v>
      </c>
      <c r="G56" s="152">
        <f>IF(TrRoad_act!G32=0,0,G19/TrRoad_act!G32*1000
)</f>
        <v>134.04169064943213</v>
      </c>
      <c r="H56" s="152">
        <f>IF(TrRoad_act!H32=0,0,H19/TrRoad_act!H32*1000
)</f>
        <v>132.08654077093863</v>
      </c>
      <c r="I56" s="152">
        <f>IF(TrRoad_act!I32=0,0,I19/TrRoad_act!I32*1000
)</f>
        <v>129.45833347331748</v>
      </c>
      <c r="J56" s="152">
        <f>IF(TrRoad_act!J32=0,0,J19/TrRoad_act!J32*1000
)</f>
        <v>126.29101218093284</v>
      </c>
      <c r="K56" s="152">
        <f>IF(TrRoad_act!K32=0,0,K19/TrRoad_act!K32*1000
)</f>
        <v>124.92410697583911</v>
      </c>
      <c r="L56" s="152">
        <f>IF(TrRoad_act!L32=0,0,L19/TrRoad_act!L32*1000
)</f>
        <v>122.20275851450111</v>
      </c>
      <c r="M56" s="152">
        <f>IF(TrRoad_act!M32=0,0,M19/TrRoad_act!M32*1000
)</f>
        <v>121.21898908190958</v>
      </c>
      <c r="N56" s="152">
        <f>IF(TrRoad_act!N32=0,0,N19/TrRoad_act!N32*1000
)</f>
        <v>120.37658619759959</v>
      </c>
      <c r="O56" s="152">
        <f>IF(TrRoad_act!O32=0,0,O19/TrRoad_act!O32*1000
)</f>
        <v>121.13885040243537</v>
      </c>
      <c r="P56" s="152">
        <f>IF(TrRoad_act!P32=0,0,P19/TrRoad_act!P32*1000
)</f>
        <v>117.38577889683668</v>
      </c>
      <c r="Q56" s="152">
        <f>IF(TrRoad_act!Q32=0,0,Q19/TrRoad_act!Q32*1000
)</f>
        <v>117.51195764325428</v>
      </c>
      <c r="R56" s="152">
        <f>IF(TrRoad_act!R32=0,0,R19/TrRoad_act!R32*1000
)</f>
        <v>115.55157454120824</v>
      </c>
      <c r="S56" s="152">
        <f>IF(TrRoad_act!S32=0,0,S19/TrRoad_act!S32*1000
)</f>
        <v>114.78222302087057</v>
      </c>
      <c r="T56" s="152">
        <f>IF(TrRoad_act!T32=0,0,T19/TrRoad_act!T32*1000
)</f>
        <v>113.52884490306545</v>
      </c>
      <c r="U56" s="152">
        <f>IF(TrRoad_act!U32=0,0,U19/TrRoad_act!U32*1000
)</f>
        <v>113.28980277469361</v>
      </c>
      <c r="V56" s="152">
        <f>IF(TrRoad_act!V32=0,0,V19/TrRoad_act!V32*1000
)</f>
        <v>109.03992759102518</v>
      </c>
      <c r="W56" s="152">
        <f>IF(TrRoad_act!W32=0,0,W19/TrRoad_act!W32*1000
)</f>
        <v>103.29134325392357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227.04831550099317</v>
      </c>
      <c r="C57" s="116">
        <f>IF(TrRoad_act!C33=0,0,C20/TrRoad_act!C33*1000
)</f>
        <v>224.55485041435938</v>
      </c>
      <c r="D57" s="116">
        <f>IF(TrRoad_act!D33=0,0,D20/TrRoad_act!D33*1000
)</f>
        <v>223.72115966294757</v>
      </c>
      <c r="E57" s="116">
        <f>IF(TrRoad_act!E33=0,0,E20/TrRoad_act!E33*1000
)</f>
        <v>223.42703135463788</v>
      </c>
      <c r="F57" s="116">
        <f>IF(TrRoad_act!F33=0,0,F20/TrRoad_act!F33*1000
)</f>
        <v>223.79186807162188</v>
      </c>
      <c r="G57" s="116">
        <f>IF(TrRoad_act!G33=0,0,G20/TrRoad_act!G33*1000
)</f>
        <v>209.77553462917365</v>
      </c>
      <c r="H57" s="116">
        <f>IF(TrRoad_act!H33=0,0,H20/TrRoad_act!H33*1000
)</f>
        <v>219.15444416117683</v>
      </c>
      <c r="I57" s="116">
        <f>IF(TrRoad_act!I33=0,0,I20/TrRoad_act!I33*1000
)</f>
        <v>216.56653368119169</v>
      </c>
      <c r="J57" s="116">
        <f>IF(TrRoad_act!J33=0,0,J20/TrRoad_act!J33*1000
)</f>
        <v>210.11718106927765</v>
      </c>
      <c r="K57" s="116">
        <f>IF(TrRoad_act!K33=0,0,K20/TrRoad_act!K33*1000
)</f>
        <v>198.13871006348035</v>
      </c>
      <c r="L57" s="116">
        <f>IF(TrRoad_act!L33=0,0,L20/TrRoad_act!L33*1000
)</f>
        <v>197.54943525942318</v>
      </c>
      <c r="M57" s="116">
        <f>IF(TrRoad_act!M33=0,0,M20/TrRoad_act!M33*1000
)</f>
        <v>205.2949114004787</v>
      </c>
      <c r="N57" s="116">
        <f>IF(TrRoad_act!N33=0,0,N20/TrRoad_act!N33*1000
)</f>
        <v>204.27853592259078</v>
      </c>
      <c r="O57" s="116">
        <f>IF(TrRoad_act!O33=0,0,O20/TrRoad_act!O33*1000
)</f>
        <v>201.02448730409793</v>
      </c>
      <c r="P57" s="116">
        <f>IF(TrRoad_act!P33=0,0,P20/TrRoad_act!P33*1000
)</f>
        <v>200.16181552055008</v>
      </c>
      <c r="Q57" s="116">
        <f>IF(TrRoad_act!Q33=0,0,Q20/TrRoad_act!Q33*1000
)</f>
        <v>200.57019074993352</v>
      </c>
      <c r="R57" s="116">
        <f>IF(TrRoad_act!R33=0,0,R20/TrRoad_act!R33*1000
)</f>
        <v>200.38614478284978</v>
      </c>
      <c r="S57" s="116">
        <f>IF(TrRoad_act!S33=0,0,S20/TrRoad_act!S33*1000
)</f>
        <v>199.28296451381036</v>
      </c>
      <c r="T57" s="116">
        <f>IF(TrRoad_act!T33=0,0,T20/TrRoad_act!T33*1000
)</f>
        <v>194.64832049241494</v>
      </c>
      <c r="U57" s="116">
        <f>IF(TrRoad_act!U33=0,0,U20/TrRoad_act!U33*1000
)</f>
        <v>191.6303767845171</v>
      </c>
      <c r="V57" s="116">
        <f>IF(TrRoad_act!V33=0,0,V20/TrRoad_act!V33*1000
)</f>
        <v>178.47299195691394</v>
      </c>
      <c r="W57" s="116">
        <f>IF(TrRoad_act!W33=0,0,W20/TrRoad_act!W33*1000
)</f>
        <v>182.33770819837542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223.72456330328546</v>
      </c>
      <c r="C58" s="87">
        <f>IF(TrRoad_act!C34=0,0,C21/TrRoad_act!C34*1000
)</f>
        <v>221.16896131176048</v>
      </c>
      <c r="D58" s="87">
        <f>IF(TrRoad_act!D34=0,0,D21/TrRoad_act!D34*1000
)</f>
        <v>220.16142385710398</v>
      </c>
      <c r="E58" s="87">
        <f>IF(TrRoad_act!E34=0,0,E21/TrRoad_act!E34*1000
)</f>
        <v>218.68324486409705</v>
      </c>
      <c r="F58" s="87">
        <f>IF(TrRoad_act!F34=0,0,F21/TrRoad_act!F34*1000
)</f>
        <v>219.85491873879508</v>
      </c>
      <c r="G58" s="87">
        <f>IF(TrRoad_act!G34=0,0,G21/TrRoad_act!G34*1000
)</f>
        <v>201.16289796350938</v>
      </c>
      <c r="H58" s="87">
        <f>IF(TrRoad_act!H34=0,0,H21/TrRoad_act!H34*1000
)</f>
        <v>214.63668987611572</v>
      </c>
      <c r="I58" s="87">
        <f>IF(TrRoad_act!I34=0,0,I21/TrRoad_act!I34*1000
)</f>
        <v>211.74739169653861</v>
      </c>
      <c r="J58" s="87">
        <f>IF(TrRoad_act!J34=0,0,J21/TrRoad_act!J34*1000
)</f>
        <v>206.36664405024496</v>
      </c>
      <c r="K58" s="87">
        <f>IF(TrRoad_act!K34=0,0,K21/TrRoad_act!K34*1000
)</f>
        <v>191.17862321651333</v>
      </c>
      <c r="L58" s="87">
        <f>IF(TrRoad_act!L34=0,0,L21/TrRoad_act!L34*1000
)</f>
        <v>189.94252648021907</v>
      </c>
      <c r="M58" s="87">
        <f>IF(TrRoad_act!M34=0,0,M21/TrRoad_act!M34*1000
)</f>
        <v>204.40182079243775</v>
      </c>
      <c r="N58" s="87">
        <f>IF(TrRoad_act!N34=0,0,N21/TrRoad_act!N34*1000
)</f>
        <v>203.72058756639319</v>
      </c>
      <c r="O58" s="87">
        <f>IF(TrRoad_act!O34=0,0,O21/TrRoad_act!O34*1000
)</f>
        <v>204.50994924238799</v>
      </c>
      <c r="P58" s="87">
        <f>IF(TrRoad_act!P34=0,0,P21/TrRoad_act!P34*1000
)</f>
        <v>199.59047351260239</v>
      </c>
      <c r="Q58" s="87">
        <f>IF(TrRoad_act!Q34=0,0,Q21/TrRoad_act!Q34*1000
)</f>
        <v>200.02528481074924</v>
      </c>
      <c r="R58" s="87">
        <f>IF(TrRoad_act!R34=0,0,R21/TrRoad_act!R34*1000
)</f>
        <v>203.89292814520309</v>
      </c>
      <c r="S58" s="87">
        <f>IF(TrRoad_act!S34=0,0,S21/TrRoad_act!S34*1000
)</f>
        <v>203.06913512358074</v>
      </c>
      <c r="T58" s="87">
        <f>IF(TrRoad_act!T34=0,0,T21/TrRoad_act!T34*1000
)</f>
        <v>197.88714217047473</v>
      </c>
      <c r="U58" s="87">
        <f>IF(TrRoad_act!U34=0,0,U21/TrRoad_act!U34*1000
)</f>
        <v>194.15708121147134</v>
      </c>
      <c r="V58" s="87">
        <f>IF(TrRoad_act!V34=0,0,V21/TrRoad_act!V34*1000
)</f>
        <v>176.10150019182527</v>
      </c>
      <c r="W58" s="87">
        <f>IF(TrRoad_act!W34=0,0,W21/TrRoad_act!W34*1000
)</f>
        <v>181.85624731696325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247.14248775423391</v>
      </c>
      <c r="C59" s="87">
        <f>IF(TrRoad_act!C35=0,0,C22/TrRoad_act!C35*1000
)</f>
        <v>243.74318348615233</v>
      </c>
      <c r="D59" s="87">
        <f>IF(TrRoad_act!D35=0,0,D22/TrRoad_act!D35*1000
)</f>
        <v>241.6549215107747</v>
      </c>
      <c r="E59" s="87">
        <f>IF(TrRoad_act!E35=0,0,E22/TrRoad_act!E35*1000
)</f>
        <v>240.22996225588091</v>
      </c>
      <c r="F59" s="87">
        <f>IF(TrRoad_act!F35=0,0,F22/TrRoad_act!F35*1000
)</f>
        <v>236.18497952163389</v>
      </c>
      <c r="G59" s="87">
        <f>IF(TrRoad_act!G35=0,0,G22/TrRoad_act!G35*1000
)</f>
        <v>251.23520263037656</v>
      </c>
      <c r="H59" s="87">
        <f>IF(TrRoad_act!H35=0,0,H22/TrRoad_act!H35*1000
)</f>
        <v>234.60328945731652</v>
      </c>
      <c r="I59" s="87">
        <f>IF(TrRoad_act!I35=0,0,I22/TrRoad_act!I35*1000
)</f>
        <v>232.77834359098065</v>
      </c>
      <c r="J59" s="87">
        <f>IF(TrRoad_act!J35=0,0,J22/TrRoad_act!J35*1000
)</f>
        <v>221.66861805749494</v>
      </c>
      <c r="K59" s="87">
        <f>IF(TrRoad_act!K35=0,0,K22/TrRoad_act!K35*1000
)</f>
        <v>217.40426754865499</v>
      </c>
      <c r="L59" s="87">
        <f>IF(TrRoad_act!L35=0,0,L22/TrRoad_act!L35*1000
)</f>
        <v>213.6615815519695</v>
      </c>
      <c r="M59" s="87">
        <f>IF(TrRoad_act!M35=0,0,M22/TrRoad_act!M35*1000
)</f>
        <v>205.33455480376247</v>
      </c>
      <c r="N59" s="87">
        <f>IF(TrRoad_act!N35=0,0,N22/TrRoad_act!N35*1000
)</f>
        <v>206.23846061034297</v>
      </c>
      <c r="O59" s="87">
        <f>IF(TrRoad_act!O35=0,0,O22/TrRoad_act!O35*1000
)</f>
        <v>194.27285372975973</v>
      </c>
      <c r="P59" s="87">
        <f>IF(TrRoad_act!P35=0,0,P22/TrRoad_act!P35*1000
)</f>
        <v>201.60669273247845</v>
      </c>
      <c r="Q59" s="87">
        <f>IF(TrRoad_act!Q35=0,0,Q22/TrRoad_act!Q35*1000
)</f>
        <v>202.60202910272565</v>
      </c>
      <c r="R59" s="87">
        <f>IF(TrRoad_act!R35=0,0,R22/TrRoad_act!R35*1000
)</f>
        <v>197.13624707250824</v>
      </c>
      <c r="S59" s="87">
        <f>IF(TrRoad_act!S35=0,0,S22/TrRoad_act!S35*1000
)</f>
        <v>196.04607274582224</v>
      </c>
      <c r="T59" s="87">
        <f>IF(TrRoad_act!T35=0,0,T22/TrRoad_act!T35*1000
)</f>
        <v>192.55243160222727</v>
      </c>
      <c r="U59" s="87">
        <f>IF(TrRoad_act!U35=0,0,U22/TrRoad_act!U35*1000
)</f>
        <v>190.71919252856108</v>
      </c>
      <c r="V59" s="87">
        <f>IF(TrRoad_act!V35=0,0,V22/TrRoad_act!V35*1000
)</f>
        <v>183.38327184813872</v>
      </c>
      <c r="W59" s="87">
        <f>IF(TrRoad_act!W35=0,0,W22/TrRoad_act!W35*1000
)</f>
        <v>185.04971022717183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213.27789454087551</v>
      </c>
      <c r="D60" s="87">
        <f>IF(TrRoad_act!D36=0,0,D23/TrRoad_act!D36*1000
)</f>
        <v>212.50405054809568</v>
      </c>
      <c r="E60" s="87">
        <f>IF(TrRoad_act!E36=0,0,E23/TrRoad_act!E36*1000
)</f>
        <v>259.59536996092947</v>
      </c>
      <c r="F60" s="87">
        <f>IF(TrRoad_act!F36=0,0,F23/TrRoad_act!F36*1000
)</f>
        <v>247.443534646339</v>
      </c>
      <c r="G60" s="87">
        <f>IF(TrRoad_act!G36=0,0,G23/TrRoad_act!G36*1000
)</f>
        <v>195.36616021634984</v>
      </c>
      <c r="H60" s="87">
        <f>IF(TrRoad_act!H36=0,0,H23/TrRoad_act!H36*1000
)</f>
        <v>214.1281363799377</v>
      </c>
      <c r="I60" s="87">
        <f>IF(TrRoad_act!I36=0,0,I23/TrRoad_act!I36*1000
)</f>
        <v>192.4638315359191</v>
      </c>
      <c r="J60" s="87">
        <f>IF(TrRoad_act!J36=0,0,J23/TrRoad_act!J36*1000
)</f>
        <v>188.35805064275542</v>
      </c>
      <c r="K60" s="87">
        <f>IF(TrRoad_act!K36=0,0,K23/TrRoad_act!K36*1000
)</f>
        <v>185.80705973292106</v>
      </c>
      <c r="L60" s="87">
        <f>IF(TrRoad_act!L36=0,0,L23/TrRoad_act!L36*1000
)</f>
        <v>224.02269565751419</v>
      </c>
      <c r="M60" s="87">
        <f>IF(TrRoad_act!M36=0,0,M23/TrRoad_act!M36*1000
)</f>
        <v>253.36849354618403</v>
      </c>
      <c r="N60" s="87">
        <f>IF(TrRoad_act!N36=0,0,N23/TrRoad_act!N36*1000
)</f>
        <v>180.24026858766379</v>
      </c>
      <c r="O60" s="87">
        <f>IF(TrRoad_act!O36=0,0,O23/TrRoad_act!O36*1000
)</f>
        <v>231.72090707049998</v>
      </c>
      <c r="P60" s="87">
        <f>IF(TrRoad_act!P36=0,0,P23/TrRoad_act!P36*1000
)</f>
        <v>193.37777058713141</v>
      </c>
      <c r="Q60" s="87">
        <f>IF(TrRoad_act!Q36=0,0,Q23/TrRoad_act!Q36*1000
)</f>
        <v>177.39683539192637</v>
      </c>
      <c r="R60" s="87">
        <f>IF(TrRoad_act!R36=0,0,R23/TrRoad_act!R36*1000
)</f>
        <v>156.42462612140486</v>
      </c>
      <c r="S60" s="87">
        <f>IF(TrRoad_act!S36=0,0,S23/TrRoad_act!S36*1000
)</f>
        <v>153.17058912576107</v>
      </c>
      <c r="T60" s="87">
        <f>IF(TrRoad_act!T36=0,0,T23/TrRoad_act!T36*1000
)</f>
        <v>140.57109507429155</v>
      </c>
      <c r="U60" s="87">
        <f>IF(TrRoad_act!U36=0,0,U23/TrRoad_act!U36*1000
)</f>
        <v>129.02143776142046</v>
      </c>
      <c r="V60" s="87">
        <f>IF(TrRoad_act!V36=0,0,V23/TrRoad_act!V36*1000
)</f>
        <v>128.20814489789578</v>
      </c>
      <c r="W60" s="87">
        <f>IF(TrRoad_act!W36=0,0,W23/TrRoad_act!W36*1000
)</f>
        <v>177.45751473700074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248.82881137066045</v>
      </c>
      <c r="M61" s="87">
        <f>IF(TrRoad_act!M37=0,0,M24/TrRoad_act!M37*1000
)</f>
        <v>179.39987080186253</v>
      </c>
      <c r="N61" s="87">
        <f>IF(TrRoad_act!N37=0,0,N24/TrRoad_act!N37*1000
)</f>
        <v>155.03833333407891</v>
      </c>
      <c r="O61" s="87">
        <f>IF(TrRoad_act!O37=0,0,O24/TrRoad_act!O37*1000
)</f>
        <v>167.4559214659329</v>
      </c>
      <c r="P61" s="87">
        <f>IF(TrRoad_act!P37=0,0,P24/TrRoad_act!P37*1000
)</f>
        <v>167.47655907322411</v>
      </c>
      <c r="Q61" s="87">
        <f>IF(TrRoad_act!Q37=0,0,Q24/TrRoad_act!Q37*1000
)</f>
        <v>139.09508121491717</v>
      </c>
      <c r="R61" s="87">
        <f>IF(TrRoad_act!R37=0,0,R24/TrRoad_act!R37*1000
)</f>
        <v>140.44995948132515</v>
      </c>
      <c r="S61" s="87">
        <f>IF(TrRoad_act!S37=0,0,S24/TrRoad_act!S37*1000
)</f>
        <v>138.84306171575557</v>
      </c>
      <c r="T61" s="87">
        <f>IF(TrRoad_act!T37=0,0,T24/TrRoad_act!T37*1000
)</f>
        <v>140.10570476896839</v>
      </c>
      <c r="U61" s="87">
        <f>IF(TrRoad_act!U37=0,0,U24/TrRoad_act!U37*1000
)</f>
        <v>140.28976650728083</v>
      </c>
      <c r="V61" s="87">
        <f>IF(TrRoad_act!V37=0,0,V24/TrRoad_act!V37*1000
)</f>
        <v>140.20852333690155</v>
      </c>
      <c r="W61" s="87">
        <f>IF(TrRoad_act!W37=0,0,W24/TrRoad_act!W37*1000
)</f>
        <v>140.05650945956748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43.0623392846176</v>
      </c>
      <c r="O62" s="87">
        <f>IF(TrRoad_act!O38=0,0,O25/TrRoad_act!O38*1000
)</f>
        <v>43.534274888139542</v>
      </c>
      <c r="P62" s="87">
        <f>IF(TrRoad_act!P38=0,0,P25/TrRoad_act!P38*1000
)</f>
        <v>39.639556750450254</v>
      </c>
      <c r="Q62" s="87">
        <f>IF(TrRoad_act!Q38=0,0,Q25/TrRoad_act!Q38*1000
)</f>
        <v>32.818375811684049</v>
      </c>
      <c r="R62" s="87">
        <f>IF(TrRoad_act!R38=0,0,R25/TrRoad_act!R38*1000
)</f>
        <v>46.302173643663799</v>
      </c>
      <c r="S62" s="87">
        <f>IF(TrRoad_act!S38=0,0,S25/TrRoad_act!S38*1000
)</f>
        <v>52.662081194599658</v>
      </c>
      <c r="T62" s="87">
        <f>IF(TrRoad_act!T38=0,0,T25/TrRoad_act!T38*1000
)</f>
        <v>53.292012703882875</v>
      </c>
      <c r="U62" s="87">
        <f>IF(TrRoad_act!U38=0,0,U25/TrRoad_act!U38*1000
)</f>
        <v>51.95408897362784</v>
      </c>
      <c r="V62" s="87">
        <f>IF(TrRoad_act!V38=0,0,V25/TrRoad_act!V38*1000
)</f>
        <v>46.215913431218127</v>
      </c>
      <c r="W62" s="87">
        <f>IF(TrRoad_act!W38=0,0,W25/TrRoad_act!W38*1000
)</f>
        <v>43.774827239176204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1721.3232151462257</v>
      </c>
      <c r="C64" s="116">
        <f>IF(TrRoad_act!C40=0,0,C27/TrRoad_act!C40*1000
)</f>
        <v>1720.9039830276461</v>
      </c>
      <c r="D64" s="116">
        <f>IF(TrRoad_act!D40=0,0,D27/TrRoad_act!D40*1000
)</f>
        <v>1777.8826007232969</v>
      </c>
      <c r="E64" s="116">
        <f>IF(TrRoad_act!E40=0,0,E27/TrRoad_act!E40*1000
)</f>
        <v>1793.3708514067753</v>
      </c>
      <c r="F64" s="116">
        <f>IF(TrRoad_act!F40=0,0,F27/TrRoad_act!F40*1000
)</f>
        <v>1792.188784168055</v>
      </c>
      <c r="G64" s="116">
        <f>IF(TrRoad_act!G40=0,0,G27/TrRoad_act!G40*1000
)</f>
        <v>1878.5857843176964</v>
      </c>
      <c r="H64" s="116">
        <f>IF(TrRoad_act!H40=0,0,H27/TrRoad_act!H40*1000
)</f>
        <v>1872.8709446644809</v>
      </c>
      <c r="I64" s="116">
        <f>IF(TrRoad_act!I40=0,0,I27/TrRoad_act!I40*1000
)</f>
        <v>1808.3139505164459</v>
      </c>
      <c r="J64" s="116">
        <f>IF(TrRoad_act!J40=0,0,J27/TrRoad_act!J40*1000
)</f>
        <v>1750.1431664548868</v>
      </c>
      <c r="K64" s="116">
        <f>IF(TrRoad_act!K40=0,0,K27/TrRoad_act!K40*1000
)</f>
        <v>1725.6626755401262</v>
      </c>
      <c r="L64" s="116">
        <f>IF(TrRoad_act!L40=0,0,L27/TrRoad_act!L40*1000
)</f>
        <v>1742.0003612327882</v>
      </c>
      <c r="M64" s="116">
        <f>IF(TrRoad_act!M40=0,0,M27/TrRoad_act!M40*1000
)</f>
        <v>1652.525547808068</v>
      </c>
      <c r="N64" s="116">
        <f>IF(TrRoad_act!N40=0,0,N27/TrRoad_act!N40*1000
)</f>
        <v>1609.9842359396282</v>
      </c>
      <c r="O64" s="116">
        <f>IF(TrRoad_act!O40=0,0,O27/TrRoad_act!O40*1000
)</f>
        <v>1505.1757646982485</v>
      </c>
      <c r="P64" s="116">
        <f>IF(TrRoad_act!P40=0,0,P27/TrRoad_act!P40*1000
)</f>
        <v>1645.9600661383106</v>
      </c>
      <c r="Q64" s="116">
        <f>IF(TrRoad_act!Q40=0,0,Q27/TrRoad_act!Q40*1000
)</f>
        <v>1722.5355954367103</v>
      </c>
      <c r="R64" s="116">
        <f>IF(TrRoad_act!R40=0,0,R27/TrRoad_act!R40*1000
)</f>
        <v>1665.645064243128</v>
      </c>
      <c r="S64" s="116">
        <f>IF(TrRoad_act!S40=0,0,S27/TrRoad_act!S40*1000
)</f>
        <v>1702.4188212232048</v>
      </c>
      <c r="T64" s="116">
        <f>IF(TrRoad_act!T40=0,0,T27/TrRoad_act!T40*1000
)</f>
        <v>1712.6746014930864</v>
      </c>
      <c r="U64" s="116">
        <f>IF(TrRoad_act!U40=0,0,U27/TrRoad_act!U40*1000
)</f>
        <v>1700.3641652093243</v>
      </c>
      <c r="V64" s="116">
        <f>IF(TrRoad_act!V40=0,0,V27/TrRoad_act!V40*1000
)</f>
        <v>1564.5376396318059</v>
      </c>
      <c r="W64" s="116">
        <f>IF(TrRoad_act!W40=0,0,W27/TrRoad_act!W40*1000
)</f>
        <v>1635.725651173027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598.11485212926095</v>
      </c>
      <c r="C65" s="101">
        <f>IF(TrRoad_act!C41=0,0,C28/TrRoad_act!C41*1000
)</f>
        <v>597.73840382277024</v>
      </c>
      <c r="D65" s="101">
        <f>IF(TrRoad_act!D41=0,0,D28/TrRoad_act!D41*1000
)</f>
        <v>597.70031806236727</v>
      </c>
      <c r="E65" s="101">
        <f>IF(TrRoad_act!E41=0,0,E28/TrRoad_act!E41*1000
)</f>
        <v>597.65345202651861</v>
      </c>
      <c r="F65" s="101">
        <f>IF(TrRoad_act!F41=0,0,F28/TrRoad_act!F41*1000
)</f>
        <v>597.3922186605331</v>
      </c>
      <c r="G65" s="101">
        <f>IF(TrRoad_act!G41=0,0,G28/TrRoad_act!G41*1000
)</f>
        <v>596.19556799593636</v>
      </c>
      <c r="H65" s="101">
        <f>IF(TrRoad_act!H41=0,0,H28/TrRoad_act!H41*1000
)</f>
        <v>592.9872085592965</v>
      </c>
      <c r="I65" s="101">
        <f>IF(TrRoad_act!I41=0,0,I28/TrRoad_act!I41*1000
)</f>
        <v>586.92591942722743</v>
      </c>
      <c r="J65" s="101">
        <f>IF(TrRoad_act!J41=0,0,J28/TrRoad_act!J41*1000
)</f>
        <v>577.52017435714833</v>
      </c>
      <c r="K65" s="101">
        <f>IF(TrRoad_act!K41=0,0,K28/TrRoad_act!K41*1000
)</f>
        <v>576.75942502693169</v>
      </c>
      <c r="L65" s="101">
        <f>IF(TrRoad_act!L41=0,0,L28/TrRoad_act!L41*1000
)</f>
        <v>566.7893560651562</v>
      </c>
      <c r="M65" s="101">
        <f>IF(TrRoad_act!M41=0,0,M28/TrRoad_act!M41*1000
)</f>
        <v>559.00901834663546</v>
      </c>
      <c r="N65" s="101">
        <f>IF(TrRoad_act!N41=0,0,N28/TrRoad_act!N41*1000
)</f>
        <v>553.1180782624923</v>
      </c>
      <c r="O65" s="101">
        <f>IF(TrRoad_act!O41=0,0,O28/TrRoad_act!O41*1000
)</f>
        <v>560.43159710971133</v>
      </c>
      <c r="P65" s="101">
        <f>IF(TrRoad_act!P41=0,0,P28/TrRoad_act!P41*1000
)</f>
        <v>545.82950748634198</v>
      </c>
      <c r="Q65" s="101">
        <f>IF(TrRoad_act!Q41=0,0,Q28/TrRoad_act!Q41*1000
)</f>
        <v>547.16467905343723</v>
      </c>
      <c r="R65" s="101">
        <f>IF(TrRoad_act!R41=0,0,R28/TrRoad_act!R41*1000
)</f>
        <v>534.17442724737441</v>
      </c>
      <c r="S65" s="101">
        <f>IF(TrRoad_act!S41=0,0,S28/TrRoad_act!S41*1000
)</f>
        <v>526.28417274749734</v>
      </c>
      <c r="T65" s="101">
        <f>IF(TrRoad_act!T41=0,0,T28/TrRoad_act!T41*1000
)</f>
        <v>522.06355321638546</v>
      </c>
      <c r="U65" s="101">
        <f>IF(TrRoad_act!U41=0,0,U28/TrRoad_act!U41*1000
)</f>
        <v>524.65464038387381</v>
      </c>
      <c r="V65" s="101">
        <f>IF(TrRoad_act!V41=0,0,V28/TrRoad_act!V41*1000
)</f>
        <v>496.16282252392585</v>
      </c>
      <c r="W65" s="101">
        <f>IF(TrRoad_act!W41=0,0,W28/TrRoad_act!W41*1000
)</f>
        <v>495.78736967163496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1814.447545363143</v>
      </c>
      <c r="C66" s="101">
        <f>IF(TrRoad_act!C42=0,0,C29/TrRoad_act!C42*1000
)</f>
        <v>1807.9012510571022</v>
      </c>
      <c r="D66" s="101">
        <f>IF(TrRoad_act!D42=0,0,D29/TrRoad_act!D42*1000
)</f>
        <v>1863.5677520492402</v>
      </c>
      <c r="E66" s="101">
        <f>IF(TrRoad_act!E42=0,0,E29/TrRoad_act!E42*1000
)</f>
        <v>1875.2778913838001</v>
      </c>
      <c r="F66" s="101">
        <f>IF(TrRoad_act!F42=0,0,F29/TrRoad_act!F42*1000
)</f>
        <v>1870.5575970893931</v>
      </c>
      <c r="G66" s="101">
        <f>IF(TrRoad_act!G42=0,0,G29/TrRoad_act!G42*1000
)</f>
        <v>1941.6392101860474</v>
      </c>
      <c r="H66" s="101">
        <f>IF(TrRoad_act!H42=0,0,H29/TrRoad_act!H42*1000
)</f>
        <v>1921.8862905061478</v>
      </c>
      <c r="I66" s="101">
        <f>IF(TrRoad_act!I42=0,0,I29/TrRoad_act!I42*1000
)</f>
        <v>1847.5150388833727</v>
      </c>
      <c r="J66" s="101">
        <f>IF(TrRoad_act!J42=0,0,J29/TrRoad_act!J42*1000
)</f>
        <v>1783.5640090177528</v>
      </c>
      <c r="K66" s="101">
        <f>IF(TrRoad_act!K42=0,0,K29/TrRoad_act!K42*1000
)</f>
        <v>1753.6459538973006</v>
      </c>
      <c r="L66" s="101">
        <f>IF(TrRoad_act!L42=0,0,L29/TrRoad_act!L42*1000
)</f>
        <v>1764.1942172091512</v>
      </c>
      <c r="M66" s="101">
        <f>IF(TrRoad_act!M42=0,0,M29/TrRoad_act!M42*1000
)</f>
        <v>1668.1744122381235</v>
      </c>
      <c r="N66" s="101">
        <f>IF(TrRoad_act!N42=0,0,N29/TrRoad_act!N42*1000
)</f>
        <v>1623.4810073560902</v>
      </c>
      <c r="O66" s="101">
        <f>IF(TrRoad_act!O42=0,0,O29/TrRoad_act!O42*1000
)</f>
        <v>1515.0512644757086</v>
      </c>
      <c r="P66" s="101">
        <f>IF(TrRoad_act!P42=0,0,P29/TrRoad_act!P42*1000
)</f>
        <v>1657.0439041951231</v>
      </c>
      <c r="Q66" s="101">
        <f>IF(TrRoad_act!Q42=0,0,Q29/TrRoad_act!Q42*1000
)</f>
        <v>1741.0238057696517</v>
      </c>
      <c r="R66" s="101">
        <f>IF(TrRoad_act!R42=0,0,R29/TrRoad_act!R42*1000
)</f>
        <v>1682.0854633039596</v>
      </c>
      <c r="S66" s="101">
        <f>IF(TrRoad_act!S42=0,0,S29/TrRoad_act!S42*1000
)</f>
        <v>1722.3525597681016</v>
      </c>
      <c r="T66" s="101">
        <f>IF(TrRoad_act!T42=0,0,T29/TrRoad_act!T42*1000
)</f>
        <v>1730.5997936127433</v>
      </c>
      <c r="U66" s="101">
        <f>IF(TrRoad_act!U42=0,0,U29/TrRoad_act!U42*1000
)</f>
        <v>1717.2240505507859</v>
      </c>
      <c r="V66" s="101">
        <f>IF(TrRoad_act!V42=0,0,V29/TrRoad_act!V42*1000
)</f>
        <v>1583.5459284329415</v>
      </c>
      <c r="W66" s="101">
        <f>IF(TrRoad_act!W42=0,0,W29/TrRoad_act!W42*1000
)</f>
        <v>1660.0618113525572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1222.9706271778673</v>
      </c>
      <c r="Q67" s="101">
        <f>IF(TrRoad_act!Q43=0,0,Q30/TrRoad_act!Q43*1000
)</f>
        <v>1222.9706271778675</v>
      </c>
      <c r="R67" s="101">
        <f>IF(TrRoad_act!R43=0,0,R30/TrRoad_act!R43*1000
)</f>
        <v>1234.5529704181256</v>
      </c>
      <c r="S67" s="101">
        <f>IF(TrRoad_act!S43=0,0,S30/TrRoad_act!S43*1000
)</f>
        <v>1234.5529704181258</v>
      </c>
      <c r="T67" s="101">
        <f>IF(TrRoad_act!T43=0,0,T30/TrRoad_act!T43*1000
)</f>
        <v>1234.5529704181261</v>
      </c>
      <c r="U67" s="101">
        <f>IF(TrRoad_act!U43=0,0,U30/TrRoad_act!U43*1000
)</f>
        <v>1234.5529704181258</v>
      </c>
      <c r="V67" s="101">
        <f>IF(TrRoad_act!V43=0,0,V30/TrRoad_act!V43*1000
)</f>
        <v>1234.5529704181261</v>
      </c>
      <c r="W67" s="101">
        <f>IF(TrRoad_act!W43=0,0,W30/TrRoad_act!W43*1000
)</f>
        <v>1234.5529704181261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1070.0496217240454</v>
      </c>
      <c r="C68" s="101">
        <f>IF(TrRoad_act!C44=0,0,C31/TrRoad_act!C44*1000
)</f>
        <v>1088.808686350164</v>
      </c>
      <c r="D68" s="101">
        <f>IF(TrRoad_act!D44=0,0,D31/TrRoad_act!D44*1000
)</f>
        <v>1065.2513536244551</v>
      </c>
      <c r="E68" s="101">
        <f>IF(TrRoad_act!E44=0,0,E31/TrRoad_act!E44*1000
)</f>
        <v>1051.6229572972256</v>
      </c>
      <c r="F68" s="101">
        <f>IF(TrRoad_act!F44=0,0,F31/TrRoad_act!F44*1000
)</f>
        <v>1026.8180774585064</v>
      </c>
      <c r="G68" s="101">
        <f>IF(TrRoad_act!G44=0,0,G31/TrRoad_act!G44*1000
)</f>
        <v>1205.0500698733281</v>
      </c>
      <c r="H68" s="101">
        <f>IF(TrRoad_act!H44=0,0,H31/TrRoad_act!H44*1000
)</f>
        <v>1270.8503816675343</v>
      </c>
      <c r="I68" s="101">
        <f>IF(TrRoad_act!I44=0,0,I31/TrRoad_act!I44*1000
)</f>
        <v>1136.0625003134512</v>
      </c>
      <c r="J68" s="101">
        <f>IF(TrRoad_act!J44=0,0,J31/TrRoad_act!J44*1000
)</f>
        <v>1121.214485126105</v>
      </c>
      <c r="K68" s="101">
        <f>IF(TrRoad_act!K44=0,0,K31/TrRoad_act!K44*1000
)</f>
        <v>1028.6751236964444</v>
      </c>
      <c r="L68" s="101">
        <f>IF(TrRoad_act!L44=0,0,L31/TrRoad_act!L44*1000
)</f>
        <v>1023.8594432820016</v>
      </c>
      <c r="M68" s="101">
        <f>IF(TrRoad_act!M44=0,0,M31/TrRoad_act!M44*1000
)</f>
        <v>1224.0457899615633</v>
      </c>
      <c r="N68" s="101">
        <f>IF(TrRoad_act!N44=0,0,N31/TrRoad_act!N44*1000
)</f>
        <v>1066.0125727887742</v>
      </c>
      <c r="O68" s="101">
        <f>IF(TrRoad_act!O44=0,0,O31/TrRoad_act!O44*1000
)</f>
        <v>1312.2435177880993</v>
      </c>
      <c r="P68" s="101">
        <f>IF(TrRoad_act!P44=0,0,P31/TrRoad_act!P44*1000
)</f>
        <v>1056.4845578158227</v>
      </c>
      <c r="Q68" s="101">
        <f>IF(TrRoad_act!Q44=0,0,Q31/TrRoad_act!Q44*1000
)</f>
        <v>954.41109244264067</v>
      </c>
      <c r="R68" s="101">
        <f>IF(TrRoad_act!R44=0,0,R31/TrRoad_act!R44*1000
)</f>
        <v>1210.4355849310421</v>
      </c>
      <c r="S68" s="101">
        <f>IF(TrRoad_act!S44=0,0,S31/TrRoad_act!S44*1000
)</f>
        <v>1107.2656366094207</v>
      </c>
      <c r="T68" s="101">
        <f>IF(TrRoad_act!T44=0,0,T31/TrRoad_act!T44*1000
)</f>
        <v>1203.7529783708046</v>
      </c>
      <c r="U68" s="101">
        <f>IF(TrRoad_act!U44=0,0,U31/TrRoad_act!U44*1000
)</f>
        <v>1196.618691100779</v>
      </c>
      <c r="V68" s="101">
        <f>IF(TrRoad_act!V44=0,0,V31/TrRoad_act!V44*1000
)</f>
        <v>1115.2203562598959</v>
      </c>
      <c r="W68" s="101">
        <f>IF(TrRoad_act!W44=0,0,W31/TrRoad_act!W44*1000
)</f>
        <v>1103.6018966353092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580.73949964000747</v>
      </c>
      <c r="C70" s="29">
        <f>IF(TrRoad_act!C46=0,0,C33/TrRoad_act!C46*1000
)</f>
        <v>596.18789085583069</v>
      </c>
      <c r="D70" s="29">
        <f>IF(TrRoad_act!D46=0,0,D33/TrRoad_act!D46*1000
)</f>
        <v>633.392992245752</v>
      </c>
      <c r="E70" s="29">
        <f>IF(TrRoad_act!E46=0,0,E33/TrRoad_act!E46*1000
)</f>
        <v>647.53900271558246</v>
      </c>
      <c r="F70" s="29">
        <f>IF(TrRoad_act!F46=0,0,F33/TrRoad_act!F46*1000
)</f>
        <v>672.17111477679885</v>
      </c>
      <c r="G70" s="29">
        <f>IF(TrRoad_act!G46=0,0,G33/TrRoad_act!G46*1000
)</f>
        <v>743.59556104444539</v>
      </c>
      <c r="H70" s="29">
        <f>IF(TrRoad_act!H46=0,0,H33/TrRoad_act!H46*1000
)</f>
        <v>772.70118252578322</v>
      </c>
      <c r="I70" s="29">
        <f>IF(TrRoad_act!I46=0,0,I33/TrRoad_act!I46*1000
)</f>
        <v>725.10704273979536</v>
      </c>
      <c r="J70" s="29">
        <f>IF(TrRoad_act!J46=0,0,J33/TrRoad_act!J46*1000
)</f>
        <v>696.46187478450577</v>
      </c>
      <c r="K70" s="29">
        <f>IF(TrRoad_act!K46=0,0,K33/TrRoad_act!K46*1000
)</f>
        <v>626.20074034980132</v>
      </c>
      <c r="L70" s="29">
        <f>IF(TrRoad_act!L46=0,0,L33/TrRoad_act!L46*1000
)</f>
        <v>645.23692856775983</v>
      </c>
      <c r="M70" s="29">
        <f>IF(TrRoad_act!M46=0,0,M33/TrRoad_act!M46*1000
)</f>
        <v>566.72555622909249</v>
      </c>
      <c r="N70" s="29">
        <f>IF(TrRoad_act!N46=0,0,N33/TrRoad_act!N46*1000
)</f>
        <v>513.61739369178144</v>
      </c>
      <c r="O70" s="29">
        <f>IF(TrRoad_act!O46=0,0,O33/TrRoad_act!O46*1000
)</f>
        <v>435.58776332015935</v>
      </c>
      <c r="P70" s="29">
        <f>IF(TrRoad_act!P46=0,0,P33/TrRoad_act!P46*1000
)</f>
        <v>525.12178102908706</v>
      </c>
      <c r="Q70" s="29">
        <f>IF(TrRoad_act!Q46=0,0,Q33/TrRoad_act!Q46*1000
)</f>
        <v>579.09873725248963</v>
      </c>
      <c r="R70" s="29">
        <f>IF(TrRoad_act!R46=0,0,R33/TrRoad_act!R46*1000
)</f>
        <v>529.79735707393729</v>
      </c>
      <c r="S70" s="29">
        <f>IF(TrRoad_act!S46=0,0,S33/TrRoad_act!S46*1000
)</f>
        <v>538.4905853730063</v>
      </c>
      <c r="T70" s="29">
        <f>IF(TrRoad_act!T46=0,0,T33/TrRoad_act!T46*1000
)</f>
        <v>536.72519414508395</v>
      </c>
      <c r="U70" s="29">
        <f>IF(TrRoad_act!U46=0,0,U33/TrRoad_act!U46*1000
)</f>
        <v>512.42947347274685</v>
      </c>
      <c r="V70" s="29">
        <f>IF(TrRoad_act!V46=0,0,V33/TrRoad_act!V46*1000
)</f>
        <v>411.29189298318835</v>
      </c>
      <c r="W70" s="29">
        <f>IF(TrRoad_act!W46=0,0,W33/TrRoad_act!W46*1000
)</f>
        <v>463.50962646310199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300.09970350598979</v>
      </c>
      <c r="C71" s="152">
        <f>IF(TrRoad_act!C47=0,0,C34/TrRoad_act!C47*1000
)</f>
        <v>298.18911574683926</v>
      </c>
      <c r="D71" s="152">
        <f>IF(TrRoad_act!D47=0,0,D34/TrRoad_act!D47*1000
)</f>
        <v>306.54732512013408</v>
      </c>
      <c r="E71" s="152">
        <f>IF(TrRoad_act!E47=0,0,E34/TrRoad_act!E47*1000
)</f>
        <v>309.8301657684234</v>
      </c>
      <c r="F71" s="152">
        <f>IF(TrRoad_act!F47=0,0,F34/TrRoad_act!F47*1000
)</f>
        <v>310.27150899126281</v>
      </c>
      <c r="G71" s="152">
        <f>IF(TrRoad_act!G47=0,0,G34/TrRoad_act!G47*1000
)</f>
        <v>321.93868304568326</v>
      </c>
      <c r="H71" s="152">
        <f>IF(TrRoad_act!H47=0,0,H34/TrRoad_act!H47*1000
)</f>
        <v>320.13570121691947</v>
      </c>
      <c r="I71" s="152">
        <f>IF(TrRoad_act!I47=0,0,I34/TrRoad_act!I47*1000
)</f>
        <v>310.53871237362904</v>
      </c>
      <c r="J71" s="152">
        <f>IF(TrRoad_act!J47=0,0,J34/TrRoad_act!J47*1000
)</f>
        <v>302.23241033012204</v>
      </c>
      <c r="K71" s="152">
        <f>IF(TrRoad_act!K47=0,0,K34/TrRoad_act!K47*1000
)</f>
        <v>298.11386502652346</v>
      </c>
      <c r="L71" s="152">
        <f>IF(TrRoad_act!L47=0,0,L34/TrRoad_act!L47*1000
)</f>
        <v>296.44969362329522</v>
      </c>
      <c r="M71" s="152">
        <f>IF(TrRoad_act!M47=0,0,M34/TrRoad_act!M47*1000
)</f>
        <v>284.15196000650451</v>
      </c>
      <c r="N71" s="152">
        <f>IF(TrRoad_act!N47=0,0,N34/TrRoad_act!N47*1000
)</f>
        <v>277.69750187832955</v>
      </c>
      <c r="O71" s="152">
        <f>IF(TrRoad_act!O47=0,0,O34/TrRoad_act!O47*1000
)</f>
        <v>259.62793310955277</v>
      </c>
      <c r="P71" s="152">
        <f>IF(TrRoad_act!P47=0,0,P34/TrRoad_act!P47*1000
)</f>
        <v>278.77239043442648</v>
      </c>
      <c r="Q71" s="152">
        <f>IF(TrRoad_act!Q47=0,0,Q34/TrRoad_act!Q47*1000
)</f>
        <v>289.26663355925103</v>
      </c>
      <c r="R71" s="152">
        <f>IF(TrRoad_act!R47=0,0,R34/TrRoad_act!R47*1000
)</f>
        <v>276.75588309863616</v>
      </c>
      <c r="S71" s="152">
        <f>IF(TrRoad_act!S47=0,0,S34/TrRoad_act!S47*1000
)</f>
        <v>279.79858602445529</v>
      </c>
      <c r="T71" s="152">
        <f>IF(TrRoad_act!T47=0,0,T34/TrRoad_act!T47*1000
)</f>
        <v>277.87227665046487</v>
      </c>
      <c r="U71" s="152">
        <f>IF(TrRoad_act!U47=0,0,U34/TrRoad_act!U47*1000
)</f>
        <v>272.83319442753879</v>
      </c>
      <c r="V71" s="152">
        <f>IF(TrRoad_act!V47=0,0,V34/TrRoad_act!V47*1000
)</f>
        <v>252.19198810646282</v>
      </c>
      <c r="W71" s="152">
        <f>IF(TrRoad_act!W47=0,0,W34/TrRoad_act!W47*1000
)</f>
        <v>263.03945103774294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255.42152462923272</v>
      </c>
      <c r="C72" s="87">
        <f>IF(TrRoad_act!C48=0,0,C35/TrRoad_act!C48*1000
)</f>
        <v>253.65040027003744</v>
      </c>
      <c r="D72" s="87">
        <f>IF(TrRoad_act!D48=0,0,D35/TrRoad_act!D48*1000
)</f>
        <v>252.86468336341906</v>
      </c>
      <c r="E72" s="87">
        <f>IF(TrRoad_act!E48=0,0,E35/TrRoad_act!E48*1000
)</f>
        <v>252.14369561690526</v>
      </c>
      <c r="F72" s="87">
        <f>IF(TrRoad_act!F48=0,0,F35/TrRoad_act!F48*1000
)</f>
        <v>251.29718994877791</v>
      </c>
      <c r="G72" s="87">
        <f>IF(TrRoad_act!G48=0,0,G35/TrRoad_act!G48*1000
)</f>
        <v>250.0660493509711</v>
      </c>
      <c r="H72" s="87">
        <f>IF(TrRoad_act!H48=0,0,H35/TrRoad_act!H48*1000
)</f>
        <v>248.22861754104704</v>
      </c>
      <c r="I72" s="87">
        <f>IF(TrRoad_act!I48=0,0,I35/TrRoad_act!I48*1000
)</f>
        <v>244.84904141365178</v>
      </c>
      <c r="J72" s="87">
        <f>IF(TrRoad_act!J48=0,0,J35/TrRoad_act!J48*1000
)</f>
        <v>240.07015284145615</v>
      </c>
      <c r="K72" s="87">
        <f>IF(TrRoad_act!K48=0,0,K35/TrRoad_act!K48*1000
)</f>
        <v>238.74098866300372</v>
      </c>
      <c r="L72" s="87">
        <f>IF(TrRoad_act!L48=0,0,L35/TrRoad_act!L48*1000
)</f>
        <v>234.86728110090198</v>
      </c>
      <c r="M72" s="87">
        <f>IF(TrRoad_act!M48=0,0,M35/TrRoad_act!M48*1000
)</f>
        <v>234.17631968764644</v>
      </c>
      <c r="N72" s="87">
        <f>IF(TrRoad_act!N48=0,0,N35/TrRoad_act!N48*1000
)</f>
        <v>234.15624554882476</v>
      </c>
      <c r="O72" s="87">
        <f>IF(TrRoad_act!O48=0,0,O35/TrRoad_act!O48*1000
)</f>
        <v>224.05978889031076</v>
      </c>
      <c r="P72" s="87">
        <f>IF(TrRoad_act!P48=0,0,P35/TrRoad_act!P48*1000
)</f>
        <v>213.0779324931558</v>
      </c>
      <c r="Q72" s="87">
        <f>IF(TrRoad_act!Q48=0,0,Q35/TrRoad_act!Q48*1000
)</f>
        <v>212.14962953642183</v>
      </c>
      <c r="R72" s="87">
        <f>IF(TrRoad_act!R48=0,0,R35/TrRoad_act!R48*1000
)</f>
        <v>208.75591183158636</v>
      </c>
      <c r="S72" s="87">
        <f>IF(TrRoad_act!S48=0,0,S35/TrRoad_act!S48*1000
)</f>
        <v>206.42513084634351</v>
      </c>
      <c r="T72" s="87">
        <f>IF(TrRoad_act!T48=0,0,T35/TrRoad_act!T48*1000
)</f>
        <v>205.7408315817683</v>
      </c>
      <c r="U72" s="87">
        <f>IF(TrRoad_act!U48=0,0,U35/TrRoad_act!U48*1000
)</f>
        <v>207.47776869552641</v>
      </c>
      <c r="V72" s="87">
        <f>IF(TrRoad_act!V48=0,0,V35/TrRoad_act!V48*1000
)</f>
        <v>200.19624071560204</v>
      </c>
      <c r="W72" s="87">
        <f>IF(TrRoad_act!W48=0,0,W35/TrRoad_act!W48*1000
)</f>
        <v>200.32034017869623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320.28385646706113</v>
      </c>
      <c r="C73" s="87">
        <f>IF(TrRoad_act!C49=0,0,C36/TrRoad_act!C49*1000
)</f>
        <v>315.09339283195391</v>
      </c>
      <c r="D73" s="87">
        <f>IF(TrRoad_act!D49=0,0,D36/TrRoad_act!D49*1000
)</f>
        <v>322.80692694055296</v>
      </c>
      <c r="E73" s="87">
        <f>IF(TrRoad_act!E49=0,0,E36/TrRoad_act!E49*1000
)</f>
        <v>324.40527324349614</v>
      </c>
      <c r="F73" s="87">
        <f>IF(TrRoad_act!F49=0,0,F36/TrRoad_act!F49*1000
)</f>
        <v>323.14007718316361</v>
      </c>
      <c r="G73" s="87">
        <f>IF(TrRoad_act!G49=0,0,G36/TrRoad_act!G49*1000
)</f>
        <v>335.19398106162731</v>
      </c>
      <c r="H73" s="87">
        <f>IF(TrRoad_act!H49=0,0,H36/TrRoad_act!H49*1000
)</f>
        <v>331.86291040725484</v>
      </c>
      <c r="I73" s="87">
        <f>IF(TrRoad_act!I49=0,0,I36/TrRoad_act!I49*1000
)</f>
        <v>319.42519657355018</v>
      </c>
      <c r="J73" s="87">
        <f>IF(TrRoad_act!J49=0,0,J36/TrRoad_act!J49*1000
)</f>
        <v>308.30544932176582</v>
      </c>
      <c r="K73" s="87">
        <f>IF(TrRoad_act!K49=0,0,K36/TrRoad_act!K49*1000
)</f>
        <v>302.56449709698683</v>
      </c>
      <c r="L73" s="87">
        <f>IF(TrRoad_act!L49=0,0,L36/TrRoad_act!L49*1000
)</f>
        <v>301.3283043755053</v>
      </c>
      <c r="M73" s="87">
        <f>IF(TrRoad_act!M49=0,0,M36/TrRoad_act!M49*1000
)</f>
        <v>287.43663267267056</v>
      </c>
      <c r="N73" s="87">
        <f>IF(TrRoad_act!N49=0,0,N36/TrRoad_act!N49*1000
)</f>
        <v>280.31426235097808</v>
      </c>
      <c r="O73" s="87">
        <f>IF(TrRoad_act!O49=0,0,O36/TrRoad_act!O49*1000
)</f>
        <v>261.56174745328804</v>
      </c>
      <c r="P73" s="87">
        <f>IF(TrRoad_act!P49=0,0,P36/TrRoad_act!P49*1000
)</f>
        <v>281.94931394209823</v>
      </c>
      <c r="Q73" s="87">
        <f>IF(TrRoad_act!Q49=0,0,Q36/TrRoad_act!Q49*1000
)</f>
        <v>292.53286156507829</v>
      </c>
      <c r="R73" s="87">
        <f>IF(TrRoad_act!R49=0,0,R36/TrRoad_act!R49*1000
)</f>
        <v>279.32660579779991</v>
      </c>
      <c r="S73" s="87">
        <f>IF(TrRoad_act!S49=0,0,S36/TrRoad_act!S49*1000
)</f>
        <v>282.38366350708179</v>
      </c>
      <c r="T73" s="87">
        <f>IF(TrRoad_act!T49=0,0,T36/TrRoad_act!T49*1000
)</f>
        <v>280.29830098201904</v>
      </c>
      <c r="U73" s="87">
        <f>IF(TrRoad_act!U49=0,0,U36/TrRoad_act!U49*1000
)</f>
        <v>274.93228038815261</v>
      </c>
      <c r="V73" s="87">
        <f>IF(TrRoad_act!V49=0,0,V36/TrRoad_act!V49*1000
)</f>
        <v>253.7801342497248</v>
      </c>
      <c r="W73" s="87">
        <f>IF(TrRoad_act!W49=0,0,W36/TrRoad_act!W49*1000
)</f>
        <v>264.89205003681946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282.31841042062752</v>
      </c>
      <c r="D74" s="87">
        <f>IF(TrRoad_act!D50=0,0,D37/TrRoad_act!D50*1000
)</f>
        <v>282.31841042062752</v>
      </c>
      <c r="E74" s="87">
        <f>IF(TrRoad_act!E50=0,0,E37/TrRoad_act!E50*1000
)</f>
        <v>282.31841042062752</v>
      </c>
      <c r="F74" s="87">
        <f>IF(TrRoad_act!F50=0,0,F37/TrRoad_act!F50*1000
)</f>
        <v>282.31841042062752</v>
      </c>
      <c r="G74" s="87">
        <f>IF(TrRoad_act!G50=0,0,G37/TrRoad_act!G50*1000
)</f>
        <v>282.31841042062752</v>
      </c>
      <c r="H74" s="87">
        <f>IF(TrRoad_act!H50=0,0,H37/TrRoad_act!H50*1000
)</f>
        <v>282.31841042062752</v>
      </c>
      <c r="I74" s="87">
        <f>IF(TrRoad_act!I50=0,0,I37/TrRoad_act!I50*1000
)</f>
        <v>282.31841042062752</v>
      </c>
      <c r="J74" s="87">
        <f>IF(TrRoad_act!J50=0,0,J37/TrRoad_act!J50*1000
)</f>
        <v>282.31841042062752</v>
      </c>
      <c r="K74" s="87">
        <f>IF(TrRoad_act!K50=0,0,K37/TrRoad_act!K50*1000
)</f>
        <v>282.31841042062752</v>
      </c>
      <c r="L74" s="87">
        <f>IF(TrRoad_act!L50=0,0,L37/TrRoad_act!L50*1000
)</f>
        <v>282.31841042062752</v>
      </c>
      <c r="M74" s="87">
        <f>IF(TrRoad_act!M50=0,0,M37/TrRoad_act!M50*1000
)</f>
        <v>282.31841042062752</v>
      </c>
      <c r="N74" s="87">
        <f>IF(TrRoad_act!N50=0,0,N37/TrRoad_act!N50*1000
)</f>
        <v>282.05686939129941</v>
      </c>
      <c r="O74" s="87">
        <f>IF(TrRoad_act!O50=0,0,O37/TrRoad_act!O50*1000
)</f>
        <v>282.01969555620411</v>
      </c>
      <c r="P74" s="87">
        <f>IF(TrRoad_act!P50=0,0,P37/TrRoad_act!P50*1000
)</f>
        <v>281.97020357432785</v>
      </c>
      <c r="Q74" s="87">
        <f>IF(TrRoad_act!Q50=0,0,Q37/TrRoad_act!Q50*1000
)</f>
        <v>278.32706309155213</v>
      </c>
      <c r="R74" s="87">
        <f>IF(TrRoad_act!R50=0,0,R37/TrRoad_act!R50*1000
)</f>
        <v>277.61076671494482</v>
      </c>
      <c r="S74" s="87">
        <f>IF(TrRoad_act!S50=0,0,S37/TrRoad_act!S50*1000
)</f>
        <v>276.58114361054805</v>
      </c>
      <c r="T74" s="87">
        <f>IF(TrRoad_act!T50=0,0,T37/TrRoad_act!T50*1000
)</f>
        <v>275.45536550597728</v>
      </c>
      <c r="U74" s="87">
        <f>IF(TrRoad_act!U50=0,0,U37/TrRoad_act!U50*1000
)</f>
        <v>273.54186350939676</v>
      </c>
      <c r="V74" s="87">
        <f>IF(TrRoad_act!V50=0,0,V37/TrRoad_act!V50*1000
)</f>
        <v>257.48032360599046</v>
      </c>
      <c r="W74" s="87">
        <f>IF(TrRoad_act!W50=0,0,W37/TrRoad_act!W50*1000
)</f>
        <v>248.67984349656038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262.33125606214884</v>
      </c>
      <c r="C75" s="87">
        <f>IF(TrRoad_act!C51=0,0,C38/TrRoad_act!C51*1000
)</f>
        <v>249.8392914877607</v>
      </c>
      <c r="D75" s="87">
        <f>IF(TrRoad_act!D51=0,0,D38/TrRoad_act!D51*1000
)</f>
        <v>249.8392914877607</v>
      </c>
      <c r="E75" s="87">
        <f>IF(TrRoad_act!E51=0,0,E38/TrRoad_act!E51*1000
)</f>
        <v>249.83929148776076</v>
      </c>
      <c r="F75" s="87">
        <f>IF(TrRoad_act!F51=0,0,F38/TrRoad_act!F51*1000
)</f>
        <v>249.8392914877607</v>
      </c>
      <c r="G75" s="87">
        <f>IF(TrRoad_act!G51=0,0,G38/TrRoad_act!G51*1000
)</f>
        <v>249.83929148776076</v>
      </c>
      <c r="H75" s="87">
        <f>IF(TrRoad_act!H51=0,0,H38/TrRoad_act!H51*1000
)</f>
        <v>249.83929148776076</v>
      </c>
      <c r="I75" s="87">
        <f>IF(TrRoad_act!I51=0,0,I38/TrRoad_act!I51*1000
)</f>
        <v>249.83929148776076</v>
      </c>
      <c r="J75" s="87">
        <f>IF(TrRoad_act!J51=0,0,J38/TrRoad_act!J51*1000
)</f>
        <v>249.83929148776082</v>
      </c>
      <c r="K75" s="87">
        <f>IF(TrRoad_act!K51=0,0,K38/TrRoad_act!K51*1000
)</f>
        <v>249.83929148776073</v>
      </c>
      <c r="L75" s="87">
        <f>IF(TrRoad_act!L51=0,0,L38/TrRoad_act!L51*1000
)</f>
        <v>249.83929148776076</v>
      </c>
      <c r="M75" s="87">
        <f>IF(TrRoad_act!M51=0,0,M38/TrRoad_act!M51*1000
)</f>
        <v>249.83929148776079</v>
      </c>
      <c r="N75" s="87">
        <f>IF(TrRoad_act!N51=0,0,N38/TrRoad_act!N51*1000
)</f>
        <v>183.12802232242032</v>
      </c>
      <c r="O75" s="87">
        <f>IF(TrRoad_act!O51=0,0,O38/TrRoad_act!O51*1000
)</f>
        <v>181.82962744501427</v>
      </c>
      <c r="P75" s="87">
        <f>IF(TrRoad_act!P51=0,0,P38/TrRoad_act!P51*1000
)</f>
        <v>178.92287581827614</v>
      </c>
      <c r="Q75" s="87">
        <f>IF(TrRoad_act!Q51=0,0,Q38/TrRoad_act!Q51*1000
)</f>
        <v>219.36960948634095</v>
      </c>
      <c r="R75" s="87">
        <f>IF(TrRoad_act!R51=0,0,R38/TrRoad_act!R51*1000
)</f>
        <v>221.83319640115033</v>
      </c>
      <c r="S75" s="87">
        <f>IF(TrRoad_act!S51=0,0,S38/TrRoad_act!S51*1000
)</f>
        <v>218.74537165223458</v>
      </c>
      <c r="T75" s="87">
        <f>IF(TrRoad_act!T51=0,0,T38/TrRoad_act!T51*1000
)</f>
        <v>223.5057894272301</v>
      </c>
      <c r="U75" s="87">
        <f>IF(TrRoad_act!U51=0,0,U38/TrRoad_act!U51*1000
)</f>
        <v>222.10596527869282</v>
      </c>
      <c r="V75" s="87">
        <f>IF(TrRoad_act!V51=0,0,V38/TrRoad_act!V51*1000
)</f>
        <v>218.61973761786319</v>
      </c>
      <c r="W75" s="87">
        <f>IF(TrRoad_act!W51=0,0,W38/TrRoad_act!W51*1000
)</f>
        <v>218.36552546532883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1146.1359696373877</v>
      </c>
      <c r="C77" s="116">
        <f>IF(TrRoad_act!C53=0,0,C40/TrRoad_act!C53*1000
)</f>
        <v>1210.1650236014057</v>
      </c>
      <c r="D77" s="116">
        <f>IF(TrRoad_act!D53=0,0,D40/TrRoad_act!D53*1000
)</f>
        <v>1353.9890699892073</v>
      </c>
      <c r="E77" s="116">
        <f>IF(TrRoad_act!E53=0,0,E40/TrRoad_act!E53*1000
)</f>
        <v>1414.5770512936713</v>
      </c>
      <c r="F77" s="116">
        <f>IF(TrRoad_act!F53=0,0,F40/TrRoad_act!F53*1000
)</f>
        <v>1429.311074846225</v>
      </c>
      <c r="G77" s="116">
        <f>IF(TrRoad_act!G53=0,0,G40/TrRoad_act!G53*1000
)</f>
        <v>1491.1002182963528</v>
      </c>
      <c r="H77" s="116">
        <f>IF(TrRoad_act!H53=0,0,H40/TrRoad_act!H53*1000
)</f>
        <v>1516.0482605549782</v>
      </c>
      <c r="I77" s="116">
        <f>IF(TrRoad_act!I53=0,0,I40/TrRoad_act!I53*1000
)</f>
        <v>1391.974769144414</v>
      </c>
      <c r="J77" s="116">
        <f>IF(TrRoad_act!J53=0,0,J40/TrRoad_act!J53*1000
)</f>
        <v>1389.9915795643572</v>
      </c>
      <c r="K77" s="116">
        <f>IF(TrRoad_act!K53=0,0,K40/TrRoad_act!K53*1000
)</f>
        <v>1340.0950591080514</v>
      </c>
      <c r="L77" s="116">
        <f>IF(TrRoad_act!L53=0,0,L40/TrRoad_act!L53*1000
)</f>
        <v>1402.6227834685781</v>
      </c>
      <c r="M77" s="116">
        <f>IF(TrRoad_act!M53=0,0,M40/TrRoad_act!M53*1000
)</f>
        <v>1225.5658273010729</v>
      </c>
      <c r="N77" s="116">
        <f>IF(TrRoad_act!N53=0,0,N40/TrRoad_act!N53*1000
)</f>
        <v>1133.8245920204417</v>
      </c>
      <c r="O77" s="116">
        <f>IF(TrRoad_act!O53=0,0,O40/TrRoad_act!O53*1000
)</f>
        <v>916.09230610738837</v>
      </c>
      <c r="P77" s="116">
        <f>IF(TrRoad_act!P53=0,0,P40/TrRoad_act!P53*1000
)</f>
        <v>1201.2052766691659</v>
      </c>
      <c r="Q77" s="116">
        <f>IF(TrRoad_act!Q53=0,0,Q40/TrRoad_act!Q53*1000
)</f>
        <v>1363.269654590589</v>
      </c>
      <c r="R77" s="116">
        <f>IF(TrRoad_act!R53=0,0,R40/TrRoad_act!R53*1000
)</f>
        <v>1211.1542105615176</v>
      </c>
      <c r="S77" s="116">
        <f>IF(TrRoad_act!S53=0,0,S40/TrRoad_act!S53*1000
)</f>
        <v>1259.527018371647</v>
      </c>
      <c r="T77" s="116">
        <f>IF(TrRoad_act!T53=0,0,T40/TrRoad_act!T53*1000
)</f>
        <v>1263.4767214701544</v>
      </c>
      <c r="U77" s="116">
        <f>IF(TrRoad_act!U53=0,0,U40/TrRoad_act!U53*1000
)</f>
        <v>1209.6590083314757</v>
      </c>
      <c r="V77" s="116">
        <f>IF(TrRoad_act!V53=0,0,V40/TrRoad_act!V53*1000
)</f>
        <v>910.46605229166983</v>
      </c>
      <c r="W77" s="116">
        <f>IF(TrRoad_act!W53=0,0,W40/TrRoad_act!W53*1000
)</f>
        <v>1051.180407406913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1077.6195011175721</v>
      </c>
      <c r="C78" s="101">
        <f>IF(TrRoad_act!C54=0,0,C41/TrRoad_act!C54*1000
)</f>
        <v>1100.460732534003</v>
      </c>
      <c r="D78" s="101">
        <f>IF(TrRoad_act!D54=0,0,D41/TrRoad_act!D54*1000
)</f>
        <v>1153.3662361497163</v>
      </c>
      <c r="E78" s="101">
        <f>IF(TrRoad_act!E54=0,0,E41/TrRoad_act!E54*1000
)</f>
        <v>1175.1942003505662</v>
      </c>
      <c r="F78" s="101">
        <f>IF(TrRoad_act!F54=0,0,F41/TrRoad_act!F54*1000
)</f>
        <v>1180.2998504761019</v>
      </c>
      <c r="G78" s="101">
        <f>IF(TrRoad_act!G54=0,0,G41/TrRoad_act!G54*1000
)</f>
        <v>1205.7284982095484</v>
      </c>
      <c r="H78" s="101">
        <f>IF(TrRoad_act!H54=0,0,H41/TrRoad_act!H54*1000
)</f>
        <v>1211.922983274826</v>
      </c>
      <c r="I78" s="101">
        <f>IF(TrRoad_act!I54=0,0,I41/TrRoad_act!I54*1000
)</f>
        <v>1161.7212511909261</v>
      </c>
      <c r="J78" s="101">
        <f>IF(TrRoad_act!J54=0,0,J41/TrRoad_act!J54*1000
)</f>
        <v>1130.309144031701</v>
      </c>
      <c r="K78" s="101">
        <f>IF(TrRoad_act!K54=0,0,K41/TrRoad_act!K54*1000
)</f>
        <v>1101.5401395577182</v>
      </c>
      <c r="L78" s="101">
        <f>IF(TrRoad_act!L54=0,0,L41/TrRoad_act!L54*1000
)</f>
        <v>1120.3095617823938</v>
      </c>
      <c r="M78" s="101">
        <f>IF(TrRoad_act!M54=0,0,M41/TrRoad_act!M54*1000
)</f>
        <v>1051.2832696981843</v>
      </c>
      <c r="N78" s="101">
        <f>IF(TrRoad_act!N54=0,0,N41/TrRoad_act!N54*1000
)</f>
        <v>1013.124475379735</v>
      </c>
      <c r="O78" s="101">
        <f>IF(TrRoad_act!O54=0,0,O41/TrRoad_act!O54*1000
)</f>
        <v>926.37433354360246</v>
      </c>
      <c r="P78" s="101">
        <f>IF(TrRoad_act!P54=0,0,P41/TrRoad_act!P54*1000
)</f>
        <v>1033.0212406961205</v>
      </c>
      <c r="Q78" s="101">
        <f>IF(TrRoad_act!Q54=0,0,Q41/TrRoad_act!Q54*1000
)</f>
        <v>1097.2189554546153</v>
      </c>
      <c r="R78" s="101">
        <f>IF(TrRoad_act!R54=0,0,R41/TrRoad_act!R54*1000
)</f>
        <v>1036.7473958097069</v>
      </c>
      <c r="S78" s="101">
        <f>IF(TrRoad_act!S54=0,0,S41/TrRoad_act!S54*1000
)</f>
        <v>1057.3409860707679</v>
      </c>
      <c r="T78" s="101">
        <f>IF(TrRoad_act!T54=0,0,T41/TrRoad_act!T54*1000
)</f>
        <v>1050.8502619844828</v>
      </c>
      <c r="U78" s="101">
        <f>IF(TrRoad_act!U54=0,0,U41/TrRoad_act!U54*1000
)</f>
        <v>1023.1361626090418</v>
      </c>
      <c r="V78" s="101">
        <f>IF(TrRoad_act!V54=0,0,V41/TrRoad_act!V54*1000
)</f>
        <v>894.90013799901988</v>
      </c>
      <c r="W78" s="101">
        <f>IF(TrRoad_act!W54=0,0,W41/TrRoad_act!W54*1000
)</f>
        <v>948.05546202671337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1292.0945165371945</v>
      </c>
      <c r="C79" s="88">
        <f>IF(TrRoad_act!C55=0,0,C42/TrRoad_act!C55*1000
)</f>
        <v>1427.9138849355015</v>
      </c>
      <c r="D79" s="88">
        <f>IF(TrRoad_act!D55=0,0,D42/TrRoad_act!D55*1000
)</f>
        <v>1717.2347858665785</v>
      </c>
      <c r="E79" s="88">
        <f>IF(TrRoad_act!E55=0,0,E42/TrRoad_act!E55*1000
)</f>
        <v>1835.2128494304111</v>
      </c>
      <c r="F79" s="88">
        <f>IF(TrRoad_act!F55=0,0,F42/TrRoad_act!F55*1000
)</f>
        <v>1819.7358326006192</v>
      </c>
      <c r="G79" s="88">
        <f>IF(TrRoad_act!G55=0,0,G42/TrRoad_act!G55*1000
)</f>
        <v>2072.1720228083918</v>
      </c>
      <c r="H79" s="88">
        <f>IF(TrRoad_act!H55=0,0,H42/TrRoad_act!H55*1000
)</f>
        <v>2128.1768078088658</v>
      </c>
      <c r="I79" s="88">
        <f>IF(TrRoad_act!I55=0,0,I42/TrRoad_act!I55*1000
)</f>
        <v>1838.4655381048431</v>
      </c>
      <c r="J79" s="88">
        <f>IF(TrRoad_act!J55=0,0,J42/TrRoad_act!J55*1000
)</f>
        <v>1818.1285826265746</v>
      </c>
      <c r="K79" s="88">
        <f>IF(TrRoad_act!K55=0,0,K42/TrRoad_act!K55*1000
)</f>
        <v>1908.1545781781904</v>
      </c>
      <c r="L79" s="88">
        <f>IF(TrRoad_act!L55=0,0,L42/TrRoad_act!L55*1000
)</f>
        <v>1980.0803364570213</v>
      </c>
      <c r="M79" s="88">
        <f>IF(TrRoad_act!M55=0,0,M42/TrRoad_act!M55*1000
)</f>
        <v>1541.0734522382561</v>
      </c>
      <c r="N79" s="88">
        <f>IF(TrRoad_act!N55=0,0,N42/TrRoad_act!N55*1000
)</f>
        <v>1321.7212738710671</v>
      </c>
      <c r="O79" s="88">
        <f>IF(TrRoad_act!O55=0,0,O42/TrRoad_act!O55*1000
)</f>
        <v>900.26436938248344</v>
      </c>
      <c r="P79" s="88">
        <f>IF(TrRoad_act!P55=0,0,P42/TrRoad_act!P55*1000
)</f>
        <v>1457.4991864689507</v>
      </c>
      <c r="Q79" s="88">
        <f>IF(TrRoad_act!Q55=0,0,Q42/TrRoad_act!Q55*1000
)</f>
        <v>1757.6341322863339</v>
      </c>
      <c r="R79" s="88">
        <f>IF(TrRoad_act!R55=0,0,R42/TrRoad_act!R55*1000
)</f>
        <v>1465.3687688506914</v>
      </c>
      <c r="S79" s="88">
        <f>IF(TrRoad_act!S55=0,0,S42/TrRoad_act!S55*1000
)</f>
        <v>1525.0805111912341</v>
      </c>
      <c r="T79" s="88">
        <f>IF(TrRoad_act!T55=0,0,T42/TrRoad_act!T55*1000
)</f>
        <v>1570.1176516145686</v>
      </c>
      <c r="U79" s="88">
        <f>IF(TrRoad_act!U55=0,0,U42/TrRoad_act!U55*1000
)</f>
        <v>1481.2573764697565</v>
      </c>
      <c r="V79" s="88">
        <f>IF(TrRoad_act!V55=0,0,V42/TrRoad_act!V55*1000
)</f>
        <v>934.01278078886457</v>
      </c>
      <c r="W79" s="88">
        <f>IF(TrRoad_act!W55=0,0,W42/TrRoad_act!W55*1000
)</f>
        <v>1210.137640103525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86.989642756805665</v>
      </c>
      <c r="C82" s="29">
        <f>IF(TrRoad_act!C4=0,0,C18/TrRoad_act!C4*1000)</f>
        <v>91.561475976511758</v>
      </c>
      <c r="D82" s="29">
        <f>IF(TrRoad_act!D4=0,0,D18/TrRoad_act!D4*1000)</f>
        <v>95.477283219146031</v>
      </c>
      <c r="E82" s="29">
        <f>IF(TrRoad_act!E4=0,0,E18/TrRoad_act!E4*1000)</f>
        <v>98.263887157963026</v>
      </c>
      <c r="F82" s="29">
        <f>IF(TrRoad_act!F4=0,0,F18/TrRoad_act!F4*1000)</f>
        <v>99.804078010601785</v>
      </c>
      <c r="G82" s="29">
        <f>IF(TrRoad_act!G4=0,0,G18/TrRoad_act!G4*1000)</f>
        <v>101.16396716414997</v>
      </c>
      <c r="H82" s="29">
        <f>IF(TrRoad_act!H4=0,0,H18/TrRoad_act!H4*1000)</f>
        <v>103.8617463533995</v>
      </c>
      <c r="I82" s="29">
        <f>IF(TrRoad_act!I4=0,0,I18/TrRoad_act!I4*1000)</f>
        <v>106.14286833228481</v>
      </c>
      <c r="J82" s="29">
        <f>IF(TrRoad_act!J4=0,0,J18/TrRoad_act!J4*1000)</f>
        <v>103.09057258023786</v>
      </c>
      <c r="K82" s="29">
        <f>IF(TrRoad_act!K4=0,0,K18/TrRoad_act!K4*1000)</f>
        <v>106.11533689938365</v>
      </c>
      <c r="L82" s="29">
        <f>IF(TrRoad_act!L4=0,0,L18/TrRoad_act!L4*1000)</f>
        <v>99.587717345624114</v>
      </c>
      <c r="M82" s="29">
        <f>IF(TrRoad_act!M4=0,0,M18/TrRoad_act!M4*1000)</f>
        <v>94.182062233082121</v>
      </c>
      <c r="N82" s="29">
        <f>IF(TrRoad_act!N4=0,0,N18/TrRoad_act!N4*1000)</f>
        <v>94.54980873794257</v>
      </c>
      <c r="O82" s="29">
        <f>IF(TrRoad_act!O4=0,0,O18/TrRoad_act!O4*1000)</f>
        <v>90.80377709413861</v>
      </c>
      <c r="P82" s="29">
        <f>IF(TrRoad_act!P4=0,0,P18/TrRoad_act!P4*1000)</f>
        <v>94.020109095138935</v>
      </c>
      <c r="Q82" s="29">
        <f>IF(TrRoad_act!Q4=0,0,Q18/TrRoad_act!Q4*1000)</f>
        <v>97.819468622371289</v>
      </c>
      <c r="R82" s="29">
        <f>IF(TrRoad_act!R4=0,0,R18/TrRoad_act!R4*1000)</f>
        <v>98.997935545987019</v>
      </c>
      <c r="S82" s="29">
        <f>IF(TrRoad_act!S4=0,0,S18/TrRoad_act!S4*1000)</f>
        <v>98.665912005709217</v>
      </c>
      <c r="T82" s="29">
        <f>IF(TrRoad_act!T4=0,0,T18/TrRoad_act!T4*1000)</f>
        <v>99.962396283481482</v>
      </c>
      <c r="U82" s="29">
        <f>IF(TrRoad_act!U4=0,0,U18/TrRoad_act!U4*1000)</f>
        <v>105.30694165659239</v>
      </c>
      <c r="V82" s="29">
        <f>IF(TrRoad_act!V4=0,0,V18/TrRoad_act!V4*1000)</f>
        <v>103.68672781576936</v>
      </c>
      <c r="W82" s="29">
        <f>IF(TrRoad_act!W4=0,0,W18/TrRoad_act!W4*1000)</f>
        <v>106.79001196730742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121.69985263295149</v>
      </c>
      <c r="C83" s="152">
        <f>IF(TrRoad_act!C5=0,0,C19/TrRoad_act!C5*1000)</f>
        <v>121.23240403415581</v>
      </c>
      <c r="D83" s="152">
        <f>IF(TrRoad_act!D5=0,0,D19/TrRoad_act!D5*1000)</f>
        <v>120.24326721471155</v>
      </c>
      <c r="E83" s="152">
        <f>IF(TrRoad_act!E5=0,0,E19/TrRoad_act!E5*1000)</f>
        <v>119.05551546965452</v>
      </c>
      <c r="F83" s="152">
        <f>IF(TrRoad_act!F5=0,0,F19/TrRoad_act!F5*1000)</f>
        <v>117.35216478205191</v>
      </c>
      <c r="G83" s="152">
        <f>IF(TrRoad_act!G5=0,0,G19/TrRoad_act!G5*1000)</f>
        <v>116.12199188395526</v>
      </c>
      <c r="H83" s="152">
        <f>IF(TrRoad_act!H5=0,0,H19/TrRoad_act!H5*1000)</f>
        <v>114.39631084472111</v>
      </c>
      <c r="I83" s="152">
        <f>IF(TrRoad_act!I5=0,0,I19/TrRoad_act!I5*1000)</f>
        <v>111.94042495409637</v>
      </c>
      <c r="J83" s="152">
        <f>IF(TrRoad_act!J5=0,0,J19/TrRoad_act!J5*1000)</f>
        <v>109.14425596884517</v>
      </c>
      <c r="K83" s="152">
        <f>IF(TrRoad_act!K5=0,0,K19/TrRoad_act!K5*1000)</f>
        <v>107.91115235767944</v>
      </c>
      <c r="L83" s="152">
        <f>IF(TrRoad_act!L5=0,0,L19/TrRoad_act!L5*1000)</f>
        <v>105.7420783195992</v>
      </c>
      <c r="M83" s="152">
        <f>IF(TrRoad_act!M5=0,0,M19/TrRoad_act!M5*1000)</f>
        <v>104.98278753029744</v>
      </c>
      <c r="N83" s="152">
        <f>IF(TrRoad_act!N5=0,0,N19/TrRoad_act!N5*1000)</f>
        <v>104.90064251574124</v>
      </c>
      <c r="O83" s="152">
        <f>IF(TrRoad_act!O5=0,0,O19/TrRoad_act!O5*1000)</f>
        <v>105.61924247739744</v>
      </c>
      <c r="P83" s="152">
        <f>IF(TrRoad_act!P5=0,0,P19/TrRoad_act!P5*1000)</f>
        <v>102.12525048749296</v>
      </c>
      <c r="Q83" s="152">
        <f>IF(TrRoad_act!Q5=0,0,Q19/TrRoad_act!Q5*1000)</f>
        <v>102.05863511162291</v>
      </c>
      <c r="R83" s="152">
        <f>IF(TrRoad_act!R5=0,0,R19/TrRoad_act!R5*1000)</f>
        <v>100.8449999110354</v>
      </c>
      <c r="S83" s="152">
        <f>IF(TrRoad_act!S5=0,0,S19/TrRoad_act!S5*1000)</f>
        <v>99.867830812447252</v>
      </c>
      <c r="T83" s="152">
        <f>IF(TrRoad_act!T5=0,0,T19/TrRoad_act!T5*1000)</f>
        <v>98.823442094323426</v>
      </c>
      <c r="U83" s="152">
        <f>IF(TrRoad_act!U5=0,0,U19/TrRoad_act!U5*1000)</f>
        <v>98.661092329408504</v>
      </c>
      <c r="V83" s="152">
        <f>IF(TrRoad_act!V5=0,0,V19/TrRoad_act!V5*1000)</f>
        <v>95.085944273731286</v>
      </c>
      <c r="W83" s="152">
        <f>IF(TrRoad_act!W5=0,0,W19/TrRoad_act!W5*1000)</f>
        <v>90.100853376742336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96.626043874361187</v>
      </c>
      <c r="C84" s="116">
        <f>IF(TrRoad_act!C6=0,0,C20/TrRoad_act!C6*1000)</f>
        <v>102.76830558555324</v>
      </c>
      <c r="D84" s="116">
        <f>IF(TrRoad_act!D6=0,0,D20/TrRoad_act!D6*1000)</f>
        <v>107.97749115174516</v>
      </c>
      <c r="E84" s="116">
        <f>IF(TrRoad_act!E6=0,0,E20/TrRoad_act!E6*1000)</f>
        <v>111.12316763833155</v>
      </c>
      <c r="F84" s="116">
        <f>IF(TrRoad_act!F6=0,0,F20/TrRoad_act!F6*1000)</f>
        <v>112.7474266123365</v>
      </c>
      <c r="G84" s="116">
        <f>IF(TrRoad_act!G6=0,0,G20/TrRoad_act!G6*1000)</f>
        <v>112.96760069592884</v>
      </c>
      <c r="H84" s="116">
        <f>IF(TrRoad_act!H6=0,0,H20/TrRoad_act!H6*1000)</f>
        <v>114.19083536422123</v>
      </c>
      <c r="I84" s="116">
        <f>IF(TrRoad_act!I6=0,0,I20/TrRoad_act!I6*1000)</f>
        <v>115.72555567138949</v>
      </c>
      <c r="J84" s="116">
        <f>IF(TrRoad_act!J6=0,0,J20/TrRoad_act!J6*1000)</f>
        <v>115.25793512611243</v>
      </c>
      <c r="K84" s="116">
        <f>IF(TrRoad_act!K6=0,0,K20/TrRoad_act!K6*1000)</f>
        <v>117.3600911767308</v>
      </c>
      <c r="L84" s="116">
        <f>IF(TrRoad_act!L6=0,0,L20/TrRoad_act!L6*1000)</f>
        <v>109.32012039888528</v>
      </c>
      <c r="M84" s="116">
        <f>IF(TrRoad_act!M6=0,0,M20/TrRoad_act!M6*1000)</f>
        <v>103.5498622870753</v>
      </c>
      <c r="N84" s="116">
        <f>IF(TrRoad_act!N6=0,0,N20/TrRoad_act!N6*1000)</f>
        <v>105.70456992759426</v>
      </c>
      <c r="O84" s="116">
        <f>IF(TrRoad_act!O6=0,0,O20/TrRoad_act!O6*1000)</f>
        <v>101.60970165478041</v>
      </c>
      <c r="P84" s="116">
        <f>IF(TrRoad_act!P6=0,0,P20/TrRoad_act!P6*1000)</f>
        <v>104.61955822802943</v>
      </c>
      <c r="Q84" s="116">
        <f>IF(TrRoad_act!Q6=0,0,Q20/TrRoad_act!Q6*1000)</f>
        <v>108.59447064276853</v>
      </c>
      <c r="R84" s="116">
        <f>IF(TrRoad_act!R6=0,0,R20/TrRoad_act!R6*1000)</f>
        <v>109.87134041343435</v>
      </c>
      <c r="S84" s="116">
        <f>IF(TrRoad_act!S6=0,0,S20/TrRoad_act!S6*1000)</f>
        <v>108.27604544025735</v>
      </c>
      <c r="T84" s="116">
        <f>IF(TrRoad_act!T6=0,0,T20/TrRoad_act!T6*1000)</f>
        <v>109.89512113706388</v>
      </c>
      <c r="U84" s="116">
        <f>IF(TrRoad_act!U6=0,0,U20/TrRoad_act!U6*1000)</f>
        <v>116.23098014056141</v>
      </c>
      <c r="V84" s="116">
        <f>IF(TrRoad_act!V6=0,0,V20/TrRoad_act!V6*1000)</f>
        <v>108.41842877452166</v>
      </c>
      <c r="W84" s="116">
        <f>IF(TrRoad_act!W6=0,0,W20/TrRoad_act!W6*1000)</f>
        <v>110.10243747995757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95.676704655315703</v>
      </c>
      <c r="C85" s="87">
        <f>IF(TrRoad_act!C7=0,0,C21/TrRoad_act!C7*1000)</f>
        <v>101.73973217598574</v>
      </c>
      <c r="D85" s="87">
        <f>IF(TrRoad_act!D7=0,0,D21/TrRoad_act!D7*1000)</f>
        <v>106.8636847789414</v>
      </c>
      <c r="E85" s="87">
        <f>IF(TrRoad_act!E7=0,0,E21/TrRoad_act!E7*1000)</f>
        <v>109.40379436970818</v>
      </c>
      <c r="F85" s="87">
        <f>IF(TrRoad_act!F7=0,0,F21/TrRoad_act!F7*1000)</f>
        <v>111.53092735136295</v>
      </c>
      <c r="G85" s="87">
        <f>IF(TrRoad_act!G7=0,0,G21/TrRoad_act!G7*1000)</f>
        <v>108.93420431632924</v>
      </c>
      <c r="H85" s="87">
        <f>IF(TrRoad_act!H7=0,0,H21/TrRoad_act!H7*1000)</f>
        <v>112.67075937193835</v>
      </c>
      <c r="I85" s="87">
        <f>IF(TrRoad_act!I7=0,0,I21/TrRoad_act!I7*1000)</f>
        <v>114.0591962719384</v>
      </c>
      <c r="J85" s="87">
        <f>IF(TrRoad_act!J7=0,0,J21/TrRoad_act!J7*1000)</f>
        <v>114.18632109168151</v>
      </c>
      <c r="K85" s="87">
        <f>IF(TrRoad_act!K7=0,0,K21/TrRoad_act!K7*1000)</f>
        <v>114.25292170401343</v>
      </c>
      <c r="L85" s="87">
        <f>IF(TrRoad_act!L7=0,0,L21/TrRoad_act!L7*1000)</f>
        <v>106.18532314317424</v>
      </c>
      <c r="M85" s="87">
        <f>IF(TrRoad_act!M7=0,0,M21/TrRoad_act!M7*1000)</f>
        <v>104.27636549004004</v>
      </c>
      <c r="N85" s="87">
        <f>IF(TrRoad_act!N7=0,0,N21/TrRoad_act!N7*1000)</f>
        <v>106.66902075475809</v>
      </c>
      <c r="O85" s="87">
        <f>IF(TrRoad_act!O7=0,0,O21/TrRoad_act!O7*1000)</f>
        <v>104.67527722084054</v>
      </c>
      <c r="P85" s="87">
        <f>IF(TrRoad_act!P7=0,0,P21/TrRoad_act!P7*1000)</f>
        <v>105.53836872247034</v>
      </c>
      <c r="Q85" s="87">
        <f>IF(TrRoad_act!Q7=0,0,Q21/TrRoad_act!Q7*1000)</f>
        <v>109.65023118410237</v>
      </c>
      <c r="R85" s="87">
        <f>IF(TrRoad_act!R7=0,0,R21/TrRoad_act!R7*1000)</f>
        <v>113.30404043111945</v>
      </c>
      <c r="S85" s="87">
        <f>IF(TrRoad_act!S7=0,0,S21/TrRoad_act!S7*1000)</f>
        <v>111.88949837044431</v>
      </c>
      <c r="T85" s="87">
        <f>IF(TrRoad_act!T7=0,0,T21/TrRoad_act!T7*1000)</f>
        <v>113.3474545462432</v>
      </c>
      <c r="U85" s="87">
        <f>IF(TrRoad_act!U7=0,0,U21/TrRoad_act!U7*1000)</f>
        <v>119.52480677601577</v>
      </c>
      <c r="V85" s="87">
        <f>IF(TrRoad_act!V7=0,0,V21/TrRoad_act!V7*1000)</f>
        <v>108.56426262024503</v>
      </c>
      <c r="W85" s="87">
        <f>IF(TrRoad_act!W7=0,0,W21/TrRoad_act!W7*1000)</f>
        <v>111.44557800047542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102.17440972254377</v>
      </c>
      <c r="C86" s="87">
        <f>IF(TrRoad_act!C8=0,0,C22/TrRoad_act!C8*1000)</f>
        <v>108.3929595795464</v>
      </c>
      <c r="D86" s="87">
        <f>IF(TrRoad_act!D8=0,0,D22/TrRoad_act!D8*1000)</f>
        <v>113.39313117917607</v>
      </c>
      <c r="E86" s="87">
        <f>IF(TrRoad_act!E8=0,0,E22/TrRoad_act!E8*1000)</f>
        <v>116.18397527613168</v>
      </c>
      <c r="F86" s="87">
        <f>IF(TrRoad_act!F8=0,0,F22/TrRoad_act!F8*1000)</f>
        <v>115.82800741597859</v>
      </c>
      <c r="G86" s="87">
        <f>IF(TrRoad_act!G8=0,0,G22/TrRoad_act!G8*1000)</f>
        <v>131.52219785674586</v>
      </c>
      <c r="H86" s="87">
        <f>IF(TrRoad_act!H8=0,0,H22/TrRoad_act!H8*1000)</f>
        <v>119.05387630517995</v>
      </c>
      <c r="I86" s="87">
        <f>IF(TrRoad_act!I8=0,0,I22/TrRoad_act!I8*1000)</f>
        <v>121.21517555152707</v>
      </c>
      <c r="J86" s="87">
        <f>IF(TrRoad_act!J8=0,0,J22/TrRoad_act!J8*1000)</f>
        <v>118.57168093056059</v>
      </c>
      <c r="K86" s="87">
        <f>IF(TrRoad_act!K8=0,0,K22/TrRoad_act!K8*1000)</f>
        <v>125.60248552151282</v>
      </c>
      <c r="L86" s="87">
        <f>IF(TrRoad_act!L8=0,0,L22/TrRoad_act!L8*1000)</f>
        <v>115.47046245490536</v>
      </c>
      <c r="M86" s="87">
        <f>IF(TrRoad_act!M8=0,0,M22/TrRoad_act!M8*1000)</f>
        <v>101.26639509275664</v>
      </c>
      <c r="N86" s="87">
        <f>IF(TrRoad_act!N8=0,0,N22/TrRoad_act!N8*1000)</f>
        <v>104.39392589771121</v>
      </c>
      <c r="O86" s="87">
        <f>IF(TrRoad_act!O8=0,0,O22/TrRoad_act!O8*1000)</f>
        <v>96.126688682352849</v>
      </c>
      <c r="P86" s="87">
        <f>IF(TrRoad_act!P8=0,0,P22/TrRoad_act!P8*1000)</f>
        <v>103.05704785731312</v>
      </c>
      <c r="Q86" s="87">
        <f>IF(TrRoad_act!Q8=0,0,Q22/TrRoad_act!Q8*1000)</f>
        <v>107.36695305571642</v>
      </c>
      <c r="R86" s="87">
        <f>IF(TrRoad_act!R8=0,0,R22/TrRoad_act!R8*1000)</f>
        <v>105.90388751815732</v>
      </c>
      <c r="S86" s="87">
        <f>IF(TrRoad_act!S8=0,0,S22/TrRoad_act!S8*1000)</f>
        <v>104.42530157958602</v>
      </c>
      <c r="T86" s="87">
        <f>IF(TrRoad_act!T8=0,0,T22/TrRoad_act!T8*1000)</f>
        <v>106.62164681398127</v>
      </c>
      <c r="U86" s="87">
        <f>IF(TrRoad_act!U8=0,0,U22/TrRoad_act!U8*1000)</f>
        <v>113.50144713388698</v>
      </c>
      <c r="V86" s="87">
        <f>IF(TrRoad_act!V8=0,0,V22/TrRoad_act!V8*1000)</f>
        <v>109.2913352527392</v>
      </c>
      <c r="W86" s="87">
        <f>IF(TrRoad_act!W8=0,0,W22/TrRoad_act!W8*1000)</f>
        <v>109.62893851966838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100.62615221114616</v>
      </c>
      <c r="D87" s="87">
        <f>IF(TrRoad_act!D9=0,0,D23/TrRoad_act!D9*1000)</f>
        <v>105.73570100754421</v>
      </c>
      <c r="E87" s="87">
        <f>IF(TrRoad_act!E9=0,0,E23/TrRoad_act!E9*1000)</f>
        <v>133.10491904964661</v>
      </c>
      <c r="F87" s="87">
        <f>IF(TrRoad_act!F9=0,0,F23/TrRoad_act!F9*1000)</f>
        <v>128.51881519702633</v>
      </c>
      <c r="G87" s="87">
        <f>IF(TrRoad_act!G9=0,0,G23/TrRoad_act!G9*1000)</f>
        <v>108.46176686409184</v>
      </c>
      <c r="H87" s="87">
        <f>IF(TrRoad_act!H9=0,0,H23/TrRoad_act!H9*1000)</f>
        <v>115.02254457754405</v>
      </c>
      <c r="I87" s="87">
        <f>IF(TrRoad_act!I9=0,0,I23/TrRoad_act!I9*1000)</f>
        <v>106.02671904789736</v>
      </c>
      <c r="J87" s="87">
        <f>IF(TrRoad_act!J9=0,0,J23/TrRoad_act!J9*1000)</f>
        <v>106.5176857184267</v>
      </c>
      <c r="K87" s="87">
        <f>IF(TrRoad_act!K9=0,0,K23/TrRoad_act!K9*1000)</f>
        <v>113.45968765527999</v>
      </c>
      <c r="L87" s="87">
        <f>IF(TrRoad_act!L9=0,0,L23/TrRoad_act!L9*1000)</f>
        <v>127.80404320037728</v>
      </c>
      <c r="M87" s="87">
        <f>IF(TrRoad_act!M9=0,0,M23/TrRoad_act!M9*1000)</f>
        <v>131.75048296067749</v>
      </c>
      <c r="N87" s="87">
        <f>IF(TrRoad_act!N9=0,0,N23/TrRoad_act!N9*1000)</f>
        <v>96.150405160392751</v>
      </c>
      <c r="O87" s="87">
        <f>IF(TrRoad_act!O9=0,0,O23/TrRoad_act!O9*1000)</f>
        <v>120.74793120499206</v>
      </c>
      <c r="P87" s="87">
        <f>IF(TrRoad_act!P9=0,0,P23/TrRoad_act!P9*1000)</f>
        <v>104.19969915074459</v>
      </c>
      <c r="Q87" s="87">
        <f>IF(TrRoad_act!Q9=0,0,Q23/TrRoad_act!Q9*1000)</f>
        <v>99.018298426735157</v>
      </c>
      <c r="R87" s="87">
        <f>IF(TrRoad_act!R9=0,0,R23/TrRoad_act!R9*1000)</f>
        <v>88.419921345573783</v>
      </c>
      <c r="S87" s="87">
        <f>IF(TrRoad_act!S9=0,0,S23/TrRoad_act!S9*1000)</f>
        <v>85.795766593959939</v>
      </c>
      <c r="T87" s="87">
        <f>IF(TrRoad_act!T9=0,0,T23/TrRoad_act!T9*1000)</f>
        <v>81.818600205337361</v>
      </c>
      <c r="U87" s="87">
        <f>IF(TrRoad_act!U9=0,0,U23/TrRoad_act!U9*1000)</f>
        <v>80.676619002063319</v>
      </c>
      <c r="V87" s="87">
        <f>IF(TrRoad_act!V9=0,0,V23/TrRoad_act!V9*1000)</f>
        <v>80.29240873565881</v>
      </c>
      <c r="W87" s="87">
        <f>IF(TrRoad_act!W9=0,0,W23/TrRoad_act!W9*1000)</f>
        <v>110.46968165869636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141.95583204003702</v>
      </c>
      <c r="M88" s="87">
        <f>IF(TrRoad_act!M10=0,0,M24/TrRoad_act!M10*1000)</f>
        <v>93.287130102149646</v>
      </c>
      <c r="N88" s="87">
        <f>IF(TrRoad_act!N10=0,0,N24/TrRoad_act!N10*1000)</f>
        <v>82.7062602728722</v>
      </c>
      <c r="O88" s="87">
        <f>IF(TrRoad_act!O10=0,0,O24/TrRoad_act!O10*1000)</f>
        <v>87.259955696985074</v>
      </c>
      <c r="P88" s="87">
        <f>IF(TrRoad_act!P10=0,0,P24/TrRoad_act!P10*1000)</f>
        <v>90.243087492669432</v>
      </c>
      <c r="Q88" s="87">
        <f>IF(TrRoad_act!Q10=0,0,Q24/TrRoad_act!Q10*1000)</f>
        <v>77.639255689092536</v>
      </c>
      <c r="R88" s="87">
        <f>IF(TrRoad_act!R10=0,0,R24/TrRoad_act!R10*1000)</f>
        <v>79.390148969826825</v>
      </c>
      <c r="S88" s="87">
        <f>IF(TrRoad_act!S10=0,0,S24/TrRoad_act!S10*1000)</f>
        <v>77.770458311518553</v>
      </c>
      <c r="T88" s="87">
        <f>IF(TrRoad_act!T10=0,0,T24/TrRoad_act!T10*1000)</f>
        <v>81.547722445506622</v>
      </c>
      <c r="U88" s="87">
        <f>IF(TrRoad_act!U10=0,0,U24/TrRoad_act!U10*1000)</f>
        <v>87.722662518496719</v>
      </c>
      <c r="V88" s="87">
        <f>IF(TrRoad_act!V10=0,0,V24/TrRoad_act!V10*1000)</f>
        <v>87.807838362806066</v>
      </c>
      <c r="W88" s="87">
        <f>IF(TrRoad_act!W10=0,0,W24/TrRoad_act!W10*1000)</f>
        <v>87.187054530526623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23.476479157628003</v>
      </c>
      <c r="O89" s="87">
        <f>IF(TrRoad_act!O11=0,0,O25/TrRoad_act!O11*1000)</f>
        <v>23.183651925556077</v>
      </c>
      <c r="P89" s="87">
        <f>IF(TrRoad_act!P11=0,0,P25/TrRoad_act!P11*1000)</f>
        <v>21.828543541025407</v>
      </c>
      <c r="Q89" s="87">
        <f>IF(TrRoad_act!Q11=0,0,Q25/TrRoad_act!Q11*1000)</f>
        <v>18.720727795489399</v>
      </c>
      <c r="R89" s="87">
        <f>IF(TrRoad_act!R11=0,0,R25/TrRoad_act!R11*1000)</f>
        <v>26.747452920053966</v>
      </c>
      <c r="S89" s="87">
        <f>IF(TrRoad_act!S11=0,0,S25/TrRoad_act!S11*1000)</f>
        <v>30.145642773991074</v>
      </c>
      <c r="T89" s="87">
        <f>IF(TrRoad_act!T11=0,0,T25/TrRoad_act!T11*1000)</f>
        <v>31.699630031372717</v>
      </c>
      <c r="U89" s="87">
        <f>IF(TrRoad_act!U11=0,0,U25/TrRoad_act!U11*1000)</f>
        <v>33.200268799009102</v>
      </c>
      <c r="V89" s="87">
        <f>IF(TrRoad_act!V11=0,0,V25/TrRoad_act!V11*1000)</f>
        <v>29.579202825570778</v>
      </c>
      <c r="W89" s="87">
        <f>IF(TrRoad_act!W11=0,0,W25/TrRoad_act!W11*1000)</f>
        <v>27.848974151837773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62.711031649640397</v>
      </c>
      <c r="C91" s="116">
        <f>IF(TrRoad_act!C13=0,0,C27/TrRoad_act!C13*1000)</f>
        <v>63.304424676222517</v>
      </c>
      <c r="D91" s="116">
        <f>IF(TrRoad_act!D13=0,0,D27/TrRoad_act!D13*1000)</f>
        <v>64.457102191217132</v>
      </c>
      <c r="E91" s="116">
        <f>IF(TrRoad_act!E13=0,0,E27/TrRoad_act!E13*1000)</f>
        <v>65.245521348485724</v>
      </c>
      <c r="F91" s="116">
        <f>IF(TrRoad_act!F13=0,0,F27/TrRoad_act!F13*1000)</f>
        <v>64.576050277575192</v>
      </c>
      <c r="G91" s="116">
        <f>IF(TrRoad_act!G13=0,0,G27/TrRoad_act!G13*1000)</f>
        <v>68.169582781626787</v>
      </c>
      <c r="H91" s="116">
        <f>IF(TrRoad_act!H13=0,0,H27/TrRoad_act!H13*1000)</f>
        <v>73.488812739237375</v>
      </c>
      <c r="I91" s="116">
        <f>IF(TrRoad_act!I13=0,0,I27/TrRoad_act!I13*1000)</f>
        <v>75.849813066751224</v>
      </c>
      <c r="J91" s="116">
        <f>IF(TrRoad_act!J13=0,0,J27/TrRoad_act!J13*1000)</f>
        <v>65.720086628409305</v>
      </c>
      <c r="K91" s="116">
        <f>IF(TrRoad_act!K13=0,0,K27/TrRoad_act!K13*1000)</f>
        <v>68.51831393230178</v>
      </c>
      <c r="L91" s="116">
        <f>IF(TrRoad_act!L13=0,0,L27/TrRoad_act!L13*1000)</f>
        <v>68.327781934416834</v>
      </c>
      <c r="M91" s="116">
        <f>IF(TrRoad_act!M13=0,0,M27/TrRoad_act!M13*1000)</f>
        <v>64.139627668288966</v>
      </c>
      <c r="N91" s="116">
        <f>IF(TrRoad_act!N13=0,0,N27/TrRoad_act!N13*1000)</f>
        <v>60.432889647671331</v>
      </c>
      <c r="O91" s="116">
        <f>IF(TrRoad_act!O13=0,0,O27/TrRoad_act!O13*1000)</f>
        <v>57.735763063884697</v>
      </c>
      <c r="P91" s="116">
        <f>IF(TrRoad_act!P13=0,0,P27/TrRoad_act!P13*1000)</f>
        <v>62.095267695360803</v>
      </c>
      <c r="Q91" s="116">
        <f>IF(TrRoad_act!Q13=0,0,Q27/TrRoad_act!Q13*1000)</f>
        <v>64.672046609548687</v>
      </c>
      <c r="R91" s="116">
        <f>IF(TrRoad_act!R13=0,0,R27/TrRoad_act!R13*1000)</f>
        <v>64.367113264948756</v>
      </c>
      <c r="S91" s="116">
        <f>IF(TrRoad_act!S13=0,0,S27/TrRoad_act!S13*1000)</f>
        <v>66.803651923832035</v>
      </c>
      <c r="T91" s="116">
        <f>IF(TrRoad_act!T13=0,0,T27/TrRoad_act!T13*1000)</f>
        <v>66.331136162662929</v>
      </c>
      <c r="U91" s="116">
        <f>IF(TrRoad_act!U13=0,0,U27/TrRoad_act!U13*1000)</f>
        <v>66.511428073728524</v>
      </c>
      <c r="V91" s="116">
        <f>IF(TrRoad_act!V13=0,0,V27/TrRoad_act!V13*1000)</f>
        <v>79.704025132981243</v>
      </c>
      <c r="W91" s="116">
        <f>IF(TrRoad_act!W13=0,0,W27/TrRoad_act!W13*1000)</f>
        <v>89.205418838664215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56.655157868715868</v>
      </c>
      <c r="C92" s="101">
        <f>IF(TrRoad_act!C14=0,0,C28/TrRoad_act!C14*1000)</f>
        <v>57.169176170544091</v>
      </c>
      <c r="D92" s="101">
        <f>IF(TrRoad_act!D14=0,0,D28/TrRoad_act!D14*1000)</f>
        <v>56.340997549572783</v>
      </c>
      <c r="E92" s="101">
        <f>IF(TrRoad_act!E14=0,0,E28/TrRoad_act!E14*1000)</f>
        <v>56.533175324429287</v>
      </c>
      <c r="F92" s="101">
        <f>IF(TrRoad_act!F14=0,0,F28/TrRoad_act!F14*1000)</f>
        <v>55.965531505355692</v>
      </c>
      <c r="G92" s="101">
        <f>IF(TrRoad_act!G14=0,0,G28/TrRoad_act!G14*1000)</f>
        <v>56.249892345149547</v>
      </c>
      <c r="H92" s="101">
        <f>IF(TrRoad_act!H14=0,0,H28/TrRoad_act!H14*1000)</f>
        <v>60.496751114582899</v>
      </c>
      <c r="I92" s="101">
        <f>IF(TrRoad_act!I14=0,0,I28/TrRoad_act!I14*1000)</f>
        <v>64.008451229205761</v>
      </c>
      <c r="J92" s="101">
        <f>IF(TrRoad_act!J14=0,0,J28/TrRoad_act!J14*1000)</f>
        <v>56.385191338230385</v>
      </c>
      <c r="K92" s="101">
        <f>IF(TrRoad_act!K14=0,0,K28/TrRoad_act!K14*1000)</f>
        <v>59.541368170986239</v>
      </c>
      <c r="L92" s="101">
        <f>IF(TrRoad_act!L14=0,0,L28/TrRoad_act!L14*1000)</f>
        <v>57.802166407738483</v>
      </c>
      <c r="M92" s="101">
        <f>IF(TrRoad_act!M14=0,0,M28/TrRoad_act!M14*1000)</f>
        <v>56.411859352837318</v>
      </c>
      <c r="N92" s="101">
        <f>IF(TrRoad_act!N14=0,0,N28/TrRoad_act!N14*1000)</f>
        <v>53.981250190488794</v>
      </c>
      <c r="O92" s="101">
        <f>IF(TrRoad_act!O14=0,0,O28/TrRoad_act!O14*1000)</f>
        <v>55.892515229204264</v>
      </c>
      <c r="P92" s="101">
        <f>IF(TrRoad_act!P14=0,0,P28/TrRoad_act!P14*1000)</f>
        <v>53.538915195900323</v>
      </c>
      <c r="Q92" s="101">
        <f>IF(TrRoad_act!Q14=0,0,Q28/TrRoad_act!Q14*1000)</f>
        <v>53.412118317627701</v>
      </c>
      <c r="R92" s="101">
        <f>IF(TrRoad_act!R14=0,0,R28/TrRoad_act!R14*1000)</f>
        <v>53.670792871761186</v>
      </c>
      <c r="S92" s="101">
        <f>IF(TrRoad_act!S14=0,0,S28/TrRoad_act!S14*1000)</f>
        <v>53.694209117330935</v>
      </c>
      <c r="T92" s="101">
        <f>IF(TrRoad_act!T14=0,0,T28/TrRoad_act!T14*1000)</f>
        <v>52.570160361929453</v>
      </c>
      <c r="U92" s="101">
        <f>IF(TrRoad_act!U14=0,0,U28/TrRoad_act!U14*1000)</f>
        <v>53.358203047154092</v>
      </c>
      <c r="V92" s="101">
        <f>IF(TrRoad_act!V14=0,0,V28/TrRoad_act!V14*1000)</f>
        <v>65.719130044766402</v>
      </c>
      <c r="W92" s="101">
        <f>IF(TrRoad_act!W14=0,0,W28/TrRoad_act!W14*1000)</f>
        <v>70.299069914554224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64.071425892584529</v>
      </c>
      <c r="C93" s="101">
        <f>IF(TrRoad_act!C15=0,0,C29/TrRoad_act!C15*1000)</f>
        <v>64.63862298218703</v>
      </c>
      <c r="D93" s="101">
        <f>IF(TrRoad_act!D15=0,0,D29/TrRoad_act!D15*1000)</f>
        <v>65.851695575780241</v>
      </c>
      <c r="E93" s="101">
        <f>IF(TrRoad_act!E15=0,0,E29/TrRoad_act!E15*1000)</f>
        <v>66.674977837494424</v>
      </c>
      <c r="F93" s="101">
        <f>IF(TrRoad_act!F15=0,0,F29/TrRoad_act!F15*1000)</f>
        <v>66.005826389636837</v>
      </c>
      <c r="G93" s="101">
        <f>IF(TrRoad_act!G15=0,0,G29/TrRoad_act!G15*1000)</f>
        <v>69.180238375149472</v>
      </c>
      <c r="H93" s="101">
        <f>IF(TrRoad_act!H15=0,0,H29/TrRoad_act!H15*1000)</f>
        <v>74.338863061375179</v>
      </c>
      <c r="I93" s="101">
        <f>IF(TrRoad_act!I15=0,0,I29/TrRoad_act!I15*1000)</f>
        <v>76.574309017786021</v>
      </c>
      <c r="J93" s="101">
        <f>IF(TrRoad_act!J15=0,0,J29/TrRoad_act!J15*1000)</f>
        <v>66.25091003744231</v>
      </c>
      <c r="K93" s="101">
        <f>IF(TrRoad_act!K15=0,0,K29/TrRoad_act!K15*1000)</f>
        <v>69.003880752103541</v>
      </c>
      <c r="L93" s="101">
        <f>IF(TrRoad_act!L15=0,0,L29/TrRoad_act!L15*1000)</f>
        <v>68.694314826409837</v>
      </c>
      <c r="M93" s="101">
        <f>IF(TrRoad_act!M15=0,0,M29/TrRoad_act!M15*1000)</f>
        <v>64.372648066053102</v>
      </c>
      <c r="N93" s="101">
        <f>IF(TrRoad_act!N15=0,0,N29/TrRoad_act!N15*1000)</f>
        <v>60.644555617665347</v>
      </c>
      <c r="O93" s="101">
        <f>IF(TrRoad_act!O15=0,0,O29/TrRoad_act!O15*1000)</f>
        <v>57.838655188798143</v>
      </c>
      <c r="P93" s="101">
        <f>IF(TrRoad_act!P15=0,0,P29/TrRoad_act!P15*1000)</f>
        <v>62.257049472770419</v>
      </c>
      <c r="Q93" s="101">
        <f>IF(TrRoad_act!Q15=0,0,Q29/TrRoad_act!Q15*1000)</f>
        <v>65.160380252019493</v>
      </c>
      <c r="R93" s="101">
        <f>IF(TrRoad_act!R15=0,0,R29/TrRoad_act!R15*1000)</f>
        <v>64.869434117593741</v>
      </c>
      <c r="S93" s="101">
        <f>IF(TrRoad_act!S15=0,0,S29/TrRoad_act!S15*1000)</f>
        <v>67.470974302513469</v>
      </c>
      <c r="T93" s="101">
        <f>IF(TrRoad_act!T15=0,0,T29/TrRoad_act!T15*1000)</f>
        <v>66.91702340093353</v>
      </c>
      <c r="U93" s="101">
        <f>IF(TrRoad_act!U15=0,0,U29/TrRoad_act!U15*1000)</f>
        <v>67.067268379560744</v>
      </c>
      <c r="V93" s="101">
        <f>IF(TrRoad_act!V15=0,0,V29/TrRoad_act!V15*1000)</f>
        <v>80.527423405440047</v>
      </c>
      <c r="W93" s="101">
        <f>IF(TrRoad_act!W15=0,0,W29/TrRoad_act!W15*1000)</f>
        <v>90.382869052384606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45.948416120537487</v>
      </c>
      <c r="Q94" s="101">
        <f>IF(TrRoad_act!Q16=0,0,Q30/TrRoad_act!Q16*1000)</f>
        <v>45.771477012476872</v>
      </c>
      <c r="R94" s="101">
        <f>IF(TrRoad_act!R16=0,0,R30/TrRoad_act!R16*1000)</f>
        <v>47.610394552673576</v>
      </c>
      <c r="S94" s="101">
        <f>IF(TrRoad_act!S16=0,0,S30/TrRoad_act!S16*1000)</f>
        <v>48.36204484950985</v>
      </c>
      <c r="T94" s="101">
        <f>IF(TrRoad_act!T16=0,0,T30/TrRoad_act!T16*1000)</f>
        <v>47.736403480496421</v>
      </c>
      <c r="U94" s="101">
        <f>IF(TrRoad_act!U16=0,0,U30/TrRoad_act!U16*1000)</f>
        <v>48.21624491530941</v>
      </c>
      <c r="V94" s="101">
        <f>IF(TrRoad_act!V16=0,0,V30/TrRoad_act!V16*1000)</f>
        <v>62.7802250508038</v>
      </c>
      <c r="W94" s="101">
        <f>IF(TrRoad_act!W16=0,0,W30/TrRoad_act!W16*1000)</f>
        <v>67.215834193921154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37.78538829347022</v>
      </c>
      <c r="C95" s="101">
        <f>IF(TrRoad_act!C17=0,0,C31/TrRoad_act!C17*1000)</f>
        <v>38.928616336521181</v>
      </c>
      <c r="D95" s="101">
        <f>IF(TrRoad_act!D17=0,0,D31/TrRoad_act!D17*1000)</f>
        <v>37.642102238261934</v>
      </c>
      <c r="E95" s="101">
        <f>IF(TrRoad_act!E17=0,0,E31/TrRoad_act!E17*1000)</f>
        <v>37.390158383114262</v>
      </c>
      <c r="F95" s="101">
        <f>IF(TrRoad_act!F17=0,0,F31/TrRoad_act!F17*1000)</f>
        <v>36.23303332649418</v>
      </c>
      <c r="G95" s="101">
        <f>IF(TrRoad_act!G17=0,0,G31/TrRoad_act!G17*1000)</f>
        <v>42.935706412644656</v>
      </c>
      <c r="H95" s="101">
        <f>IF(TrRoad_act!H17=0,0,H31/TrRoad_act!H17*1000)</f>
        <v>49.156692027496938</v>
      </c>
      <c r="I95" s="101">
        <f>IF(TrRoad_act!I17=0,0,I31/TrRoad_act!I17*1000)</f>
        <v>47.086599638776974</v>
      </c>
      <c r="J95" s="101">
        <f>IF(TrRoad_act!J17=0,0,J31/TrRoad_act!J17*1000)</f>
        <v>41.647779172038348</v>
      </c>
      <c r="K95" s="101">
        <f>IF(TrRoad_act!K17=0,0,K31/TrRoad_act!K17*1000)</f>
        <v>40.477141586335151</v>
      </c>
      <c r="L95" s="101">
        <f>IF(TrRoad_act!L17=0,0,L31/TrRoad_act!L17*1000)</f>
        <v>39.867108875387657</v>
      </c>
      <c r="M95" s="101">
        <f>IF(TrRoad_act!M17=0,0,M31/TrRoad_act!M17*1000)</f>
        <v>47.234310918492902</v>
      </c>
      <c r="N95" s="101">
        <f>IF(TrRoad_act!N17=0,0,N31/TrRoad_act!N17*1000)</f>
        <v>39.82052051529768</v>
      </c>
      <c r="O95" s="101">
        <f>IF(TrRoad_act!O17=0,0,O31/TrRoad_act!O17*1000)</f>
        <v>50.096258871706503</v>
      </c>
      <c r="P95" s="101">
        <f>IF(TrRoad_act!P17=0,0,P31/TrRoad_act!P17*1000)</f>
        <v>39.693342594387026</v>
      </c>
      <c r="Q95" s="101">
        <f>IF(TrRoad_act!Q17=0,0,Q31/TrRoad_act!Q17*1000)</f>
        <v>35.720240868743119</v>
      </c>
      <c r="R95" s="101">
        <f>IF(TrRoad_act!R17=0,0,R31/TrRoad_act!R17*1000)</f>
        <v>46.680310330989599</v>
      </c>
      <c r="S95" s="101">
        <f>IF(TrRoad_act!S17=0,0,S31/TrRoad_act!S17*1000)</f>
        <v>43.375725190543577</v>
      </c>
      <c r="T95" s="101">
        <f>IF(TrRoad_act!T17=0,0,T31/TrRoad_act!T17*1000)</f>
        <v>46.545461590761988</v>
      </c>
      <c r="U95" s="101">
        <f>IF(TrRoad_act!U17=0,0,U31/TrRoad_act!U17*1000)</f>
        <v>46.734697710711565</v>
      </c>
      <c r="V95" s="101">
        <f>IF(TrRoad_act!V17=0,0,V31/TrRoad_act!V17*1000)</f>
        <v>56.711851678199892</v>
      </c>
      <c r="W95" s="101">
        <f>IF(TrRoad_act!W17=0,0,W31/TrRoad_act!W17*1000)</f>
        <v>60.086139580719873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146.53770509912076</v>
      </c>
      <c r="C97" s="29">
        <f>IF(TrRoad_act!C19=0,0,C33/TrRoad_act!C19*1000)</f>
        <v>154.05192657660908</v>
      </c>
      <c r="D97" s="29">
        <f>IF(TrRoad_act!D19=0,0,D33/TrRoad_act!D19*1000)</f>
        <v>170.89614320070925</v>
      </c>
      <c r="E97" s="29">
        <f>IF(TrRoad_act!E19=0,0,E33/TrRoad_act!E19*1000)</f>
        <v>181.71712212279525</v>
      </c>
      <c r="F97" s="29">
        <f>IF(TrRoad_act!F19=0,0,F33/TrRoad_act!F19*1000)</f>
        <v>180.61517905930992</v>
      </c>
      <c r="G97" s="29">
        <f>IF(TrRoad_act!G19=0,0,G33/TrRoad_act!G19*1000)</f>
        <v>211.46706366048824</v>
      </c>
      <c r="H97" s="29">
        <f>IF(TrRoad_act!H19=0,0,H33/TrRoad_act!H19*1000)</f>
        <v>207.28866646905607</v>
      </c>
      <c r="I97" s="29">
        <f>IF(TrRoad_act!I19=0,0,I33/TrRoad_act!I19*1000)</f>
        <v>190.2337197490734</v>
      </c>
      <c r="J97" s="29">
        <f>IF(TrRoad_act!J19=0,0,J33/TrRoad_act!J19*1000)</f>
        <v>185.18280384060185</v>
      </c>
      <c r="K97" s="29">
        <f>IF(TrRoad_act!K19=0,0,K33/TrRoad_act!K19*1000)</f>
        <v>214.41506929825522</v>
      </c>
      <c r="L97" s="29">
        <f>IF(TrRoad_act!L19=0,0,L33/TrRoad_act!L19*1000)</f>
        <v>198.70892658037215</v>
      </c>
      <c r="M97" s="29">
        <f>IF(TrRoad_act!M19=0,0,M33/TrRoad_act!M19*1000)</f>
        <v>180.88008437983751</v>
      </c>
      <c r="N97" s="29">
        <f>IF(TrRoad_act!N19=0,0,N33/TrRoad_act!N19*1000)</f>
        <v>173.79261530698614</v>
      </c>
      <c r="O97" s="29">
        <f>IF(TrRoad_act!O19=0,0,O33/TrRoad_act!O19*1000)</f>
        <v>151.03040117710449</v>
      </c>
      <c r="P97" s="29">
        <f>IF(TrRoad_act!P19=0,0,P33/TrRoad_act!P19*1000)</f>
        <v>180.22309576987382</v>
      </c>
      <c r="Q97" s="29">
        <f>IF(TrRoad_act!Q19=0,0,Q33/TrRoad_act!Q19*1000)</f>
        <v>193.96951830627017</v>
      </c>
      <c r="R97" s="29">
        <f>IF(TrRoad_act!R19=0,0,R33/TrRoad_act!R19*1000)</f>
        <v>171.83006012185191</v>
      </c>
      <c r="S97" s="29">
        <f>IF(TrRoad_act!S19=0,0,S33/TrRoad_act!S19*1000)</f>
        <v>173.39845764017858</v>
      </c>
      <c r="T97" s="29">
        <f>IF(TrRoad_act!T19=0,0,T33/TrRoad_act!T19*1000)</f>
        <v>175.75425386712709</v>
      </c>
      <c r="U97" s="29">
        <f>IF(TrRoad_act!U19=0,0,U33/TrRoad_act!U19*1000)</f>
        <v>172.88582145275444</v>
      </c>
      <c r="V97" s="29">
        <f>IF(TrRoad_act!V19=0,0,V33/TrRoad_act!V19*1000)</f>
        <v>149.7461367352675</v>
      </c>
      <c r="W97" s="29">
        <f>IF(TrRoad_act!W19=0,0,W33/TrRoad_act!W19*1000)</f>
        <v>158.89576527835965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1978.1116516704672</v>
      </c>
      <c r="C98" s="152">
        <f>IF(TrRoad_act!C20=0,0,C34/TrRoad_act!C20*1000)</f>
        <v>1945.1722030870292</v>
      </c>
      <c r="D98" s="152">
        <f>IF(TrRoad_act!D20=0,0,D34/TrRoad_act!D20*1000)</f>
        <v>1976.2178020250046</v>
      </c>
      <c r="E98" s="152">
        <f>IF(TrRoad_act!E20=0,0,E34/TrRoad_act!E20*1000)</f>
        <v>1979.4235523550635</v>
      </c>
      <c r="F98" s="152">
        <f>IF(TrRoad_act!F20=0,0,F34/TrRoad_act!F20*1000)</f>
        <v>1968.0302507832234</v>
      </c>
      <c r="G98" s="152">
        <f>IF(TrRoad_act!G20=0,0,G34/TrRoad_act!G20*1000)</f>
        <v>2027.4872125176987</v>
      </c>
      <c r="H98" s="152">
        <f>IF(TrRoad_act!H20=0,0,H34/TrRoad_act!H20*1000)</f>
        <v>2005.1114842385477</v>
      </c>
      <c r="I98" s="152">
        <f>IF(TrRoad_act!I20=0,0,I34/TrRoad_act!I20*1000)</f>
        <v>1931.9704941487398</v>
      </c>
      <c r="J98" s="152">
        <f>IF(TrRoad_act!J20=0,0,J34/TrRoad_act!J20*1000)</f>
        <v>1864.3182937708925</v>
      </c>
      <c r="K98" s="152">
        <f>IF(TrRoad_act!K20=0,0,K34/TrRoad_act!K20*1000)</f>
        <v>1826.8748323956156</v>
      </c>
      <c r="L98" s="152">
        <f>IF(TrRoad_act!L20=0,0,L34/TrRoad_act!L20*1000)</f>
        <v>1814.0790208732019</v>
      </c>
      <c r="M98" s="152">
        <f>IF(TrRoad_act!M20=0,0,M34/TrRoad_act!M20*1000)</f>
        <v>1730.3979802278477</v>
      </c>
      <c r="N98" s="152">
        <f>IF(TrRoad_act!N20=0,0,N34/TrRoad_act!N20*1000)</f>
        <v>1685.4797895296022</v>
      </c>
      <c r="O98" s="152">
        <f>IF(TrRoad_act!O20=0,0,O34/TrRoad_act!O20*1000)</f>
        <v>1570.7846645713828</v>
      </c>
      <c r="P98" s="152">
        <f>IF(TrRoad_act!P20=0,0,P34/TrRoad_act!P20*1000)</f>
        <v>1681.5516635592605</v>
      </c>
      <c r="Q98" s="152">
        <f>IF(TrRoad_act!Q20=0,0,Q34/TrRoad_act!Q20*1000)</f>
        <v>1739.8047525986224</v>
      </c>
      <c r="R98" s="152">
        <f>IF(TrRoad_act!R20=0,0,R34/TrRoad_act!R20*1000)</f>
        <v>1667.4472071863447</v>
      </c>
      <c r="S98" s="152">
        <f>IF(TrRoad_act!S20=0,0,S34/TrRoad_act!S20*1000)</f>
        <v>1689.2773422477321</v>
      </c>
      <c r="T98" s="152">
        <f>IF(TrRoad_act!T20=0,0,T34/TrRoad_act!T20*1000)</f>
        <v>1681.3709903584058</v>
      </c>
      <c r="U98" s="152">
        <f>IF(TrRoad_act!U20=0,0,U34/TrRoad_act!U20*1000)</f>
        <v>1654.6380064976615</v>
      </c>
      <c r="V98" s="152">
        <f>IF(TrRoad_act!V20=0,0,V34/TrRoad_act!V20*1000)</f>
        <v>1532.213775080894</v>
      </c>
      <c r="W98" s="152">
        <f>IF(TrRoad_act!W20=0,0,W34/TrRoad_act!W20*1000)</f>
        <v>1601.2564656766526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2025.0894703169972</v>
      </c>
      <c r="C99" s="87">
        <f>IF(TrRoad_act!C21=0,0,C35/TrRoad_act!C21*1000)</f>
        <v>2007.7528497564647</v>
      </c>
      <c r="D99" s="87">
        <f>IF(TrRoad_act!D21=0,0,D35/TrRoad_act!D21*1000)</f>
        <v>1998.5192527829875</v>
      </c>
      <c r="E99" s="87">
        <f>IF(TrRoad_act!E21=0,0,E35/TrRoad_act!E21*1000)</f>
        <v>1989.5011691239599</v>
      </c>
      <c r="F99" s="87">
        <f>IF(TrRoad_act!F21=0,0,F35/TrRoad_act!F21*1000)</f>
        <v>1979.1989764602185</v>
      </c>
      <c r="G99" s="87">
        <f>IF(TrRoad_act!G21=0,0,G35/TrRoad_act!G21*1000)</f>
        <v>1966.3374143358553</v>
      </c>
      <c r="H99" s="87">
        <f>IF(TrRoad_act!H21=0,0,H35/TrRoad_act!H21*1000)</f>
        <v>1946.3099800385664</v>
      </c>
      <c r="I99" s="87">
        <f>IF(TrRoad_act!I21=0,0,I35/TrRoad_act!I21*1000)</f>
        <v>1911.173937279053</v>
      </c>
      <c r="J99" s="87">
        <f>IF(TrRoad_act!J21=0,0,J35/TrRoad_act!J21*1000)</f>
        <v>1865.680740825831</v>
      </c>
      <c r="K99" s="87">
        <f>IF(TrRoad_act!K21=0,0,K35/TrRoad_act!K21*1000)</f>
        <v>1846.0483761067578</v>
      </c>
      <c r="L99" s="87">
        <f>IF(TrRoad_act!L21=0,0,L35/TrRoad_act!L21*1000)</f>
        <v>1806.9291909911724</v>
      </c>
      <c r="M99" s="87">
        <f>IF(TrRoad_act!M21=0,0,M35/TrRoad_act!M21*1000)</f>
        <v>1792.4347008935981</v>
      </c>
      <c r="N99" s="87">
        <f>IF(TrRoad_act!N21=0,0,N35/TrRoad_act!N21*1000)</f>
        <v>1783.1971481680428</v>
      </c>
      <c r="O99" s="87">
        <f>IF(TrRoad_act!O21=0,0,O35/TrRoad_act!O21*1000)</f>
        <v>1697.9983445279393</v>
      </c>
      <c r="P99" s="87">
        <f>IF(TrRoad_act!P21=0,0,P35/TrRoad_act!P21*1000)</f>
        <v>1607.1611038842027</v>
      </c>
      <c r="Q99" s="87">
        <f>IF(TrRoad_act!Q21=0,0,Q35/TrRoad_act!Q21*1000)</f>
        <v>1592.761075362765</v>
      </c>
      <c r="R99" s="87">
        <f>IF(TrRoad_act!R21=0,0,R35/TrRoad_act!R21*1000)</f>
        <v>1575.9892569099563</v>
      </c>
      <c r="S99" s="87">
        <f>IF(TrRoad_act!S21=0,0,S35/TrRoad_act!S21*1000)</f>
        <v>1567.0788215790492</v>
      </c>
      <c r="T99" s="87">
        <f>IF(TrRoad_act!T21=0,0,T35/TrRoad_act!T21*1000)</f>
        <v>1570.6394333081546</v>
      </c>
      <c r="U99" s="87">
        <f>IF(TrRoad_act!U21=0,0,U35/TrRoad_act!U21*1000)</f>
        <v>1592.8136394617779</v>
      </c>
      <c r="V99" s="87">
        <f>IF(TrRoad_act!V21=0,0,V35/TrRoad_act!V21*1000)</f>
        <v>1535.9943330652288</v>
      </c>
      <c r="W99" s="87">
        <f>IF(TrRoad_act!W21=0,0,W35/TrRoad_act!W21*1000)</f>
        <v>1536.0437114831793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1961.7172539050753</v>
      </c>
      <c r="C100" s="87">
        <f>IF(TrRoad_act!C22=0,0,C36/TrRoad_act!C22*1000)</f>
        <v>1926.7644989324936</v>
      </c>
      <c r="D100" s="87">
        <f>IF(TrRoad_act!D22=0,0,D36/TrRoad_act!D22*1000)</f>
        <v>1970.9592472839965</v>
      </c>
      <c r="E100" s="87">
        <f>IF(TrRoad_act!E22=0,0,E36/TrRoad_act!E22*1000)</f>
        <v>1977.4186688799152</v>
      </c>
      <c r="F100" s="87">
        <f>IF(TrRoad_act!F22=0,0,F36/TrRoad_act!F22*1000)</f>
        <v>1966.1076361403352</v>
      </c>
      <c r="G100" s="87">
        <f>IF(TrRoad_act!G22=0,0,G36/TrRoad_act!G22*1000)</f>
        <v>2036.1705957676511</v>
      </c>
      <c r="H100" s="87">
        <f>IF(TrRoad_act!H22=0,0,H36/TrRoad_act!H22*1000)</f>
        <v>2012.4922229153319</v>
      </c>
      <c r="I100" s="87">
        <f>IF(TrRoad_act!I22=0,0,I36/TrRoad_act!I22*1000)</f>
        <v>1934.1026391911607</v>
      </c>
      <c r="J100" s="87">
        <f>IF(TrRoad_act!J22=0,0,J36/TrRoad_act!J22*1000)</f>
        <v>1864.1553838018115</v>
      </c>
      <c r="K100" s="87">
        <f>IF(TrRoad_act!K22=0,0,K36/TrRoad_act!K22*1000)</f>
        <v>1825.698310671361</v>
      </c>
      <c r="L100" s="87">
        <f>IF(TrRoad_act!L22=0,0,L36/TrRoad_act!L22*1000)</f>
        <v>1814.4571124057456</v>
      </c>
      <c r="M100" s="87">
        <f>IF(TrRoad_act!M22=0,0,M36/TrRoad_act!M22*1000)</f>
        <v>1727.1253460857804</v>
      </c>
      <c r="N100" s="87">
        <f>IF(TrRoad_act!N22=0,0,N36/TrRoad_act!N22*1000)</f>
        <v>1680.7897576689493</v>
      </c>
      <c r="O100" s="87">
        <f>IF(TrRoad_act!O22=0,0,O36/TrRoad_act!O22*1000)</f>
        <v>1565.364071194185</v>
      </c>
      <c r="P100" s="87">
        <f>IF(TrRoad_act!P22=0,0,P36/TrRoad_act!P22*1000)</f>
        <v>1684.4300515177686</v>
      </c>
      <c r="Q100" s="87">
        <f>IF(TrRoad_act!Q22=0,0,Q36/TrRoad_act!Q22*1000)</f>
        <v>1744.76613654365</v>
      </c>
      <c r="R100" s="87">
        <f>IF(TrRoad_act!R22=0,0,R36/TrRoad_act!R22*1000)</f>
        <v>1670.2742019563409</v>
      </c>
      <c r="S100" s="87">
        <f>IF(TrRoad_act!S22=0,0,S36/TrRoad_act!S22*1000)</f>
        <v>1692.9168683375851</v>
      </c>
      <c r="T100" s="87">
        <f>IF(TrRoad_act!T22=0,0,T36/TrRoad_act!T22*1000)</f>
        <v>1684.8104757075598</v>
      </c>
      <c r="U100" s="87">
        <f>IF(TrRoad_act!U22=0,0,U36/TrRoad_act!U22*1000)</f>
        <v>1656.9160540371565</v>
      </c>
      <c r="V100" s="87">
        <f>IF(TrRoad_act!V22=0,0,V36/TrRoad_act!V22*1000)</f>
        <v>1533.1528210637173</v>
      </c>
      <c r="W100" s="87">
        <f>IF(TrRoad_act!W22=0,0,W36/TrRoad_act!W22*1000)</f>
        <v>1604.1845608855663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2077.8376848863991</v>
      </c>
      <c r="D101" s="87">
        <f>IF(TrRoad_act!D23=0,0,D37/TrRoad_act!D23*1000)</f>
        <v>2077.6885673936276</v>
      </c>
      <c r="E101" s="87">
        <f>IF(TrRoad_act!E23=0,0,E37/TrRoad_act!E23*1000)</f>
        <v>2077.5236210392213</v>
      </c>
      <c r="F101" s="87">
        <f>IF(TrRoad_act!F23=0,0,F37/TrRoad_act!F23*1000)</f>
        <v>2077.3427013667233</v>
      </c>
      <c r="G101" s="87">
        <f>IF(TrRoad_act!G23=0,0,G37/TrRoad_act!G23*1000)</f>
        <v>2079.2024254593653</v>
      </c>
      <c r="H101" s="87">
        <f>IF(TrRoad_act!H23=0,0,H37/TrRoad_act!H23*1000)</f>
        <v>2083.2163676127079</v>
      </c>
      <c r="I101" s="87">
        <f>IF(TrRoad_act!I23=0,0,I37/TrRoad_act!I23*1000)</f>
        <v>2087.2557520442615</v>
      </c>
      <c r="J101" s="87">
        <f>IF(TrRoad_act!J23=0,0,J37/TrRoad_act!J23*1000)</f>
        <v>2091.3157430559181</v>
      </c>
      <c r="K101" s="87">
        <f>IF(TrRoad_act!K23=0,0,K37/TrRoad_act!K23*1000)</f>
        <v>2095.319204432165</v>
      </c>
      <c r="L101" s="87">
        <f>IF(TrRoad_act!L23=0,0,L37/TrRoad_act!L23*1000)</f>
        <v>2099.3270136787355</v>
      </c>
      <c r="M101" s="87">
        <f>IF(TrRoad_act!M23=0,0,M37/TrRoad_act!M23*1000)</f>
        <v>2103.3376985214177</v>
      </c>
      <c r="N101" s="87">
        <f>IF(TrRoad_act!N23=0,0,N37/TrRoad_act!N23*1000)</f>
        <v>2105.4064352787768</v>
      </c>
      <c r="O101" s="87">
        <f>IF(TrRoad_act!O23=0,0,O37/TrRoad_act!O23*1000)</f>
        <v>2109.1733786771806</v>
      </c>
      <c r="P101" s="87">
        <f>IF(TrRoad_act!P23=0,0,P37/TrRoad_act!P23*1000)</f>
        <v>2112.8704471964002</v>
      </c>
      <c r="Q101" s="87">
        <f>IF(TrRoad_act!Q23=0,0,Q37/TrRoad_act!Q23*1000)</f>
        <v>2089.6030470614305</v>
      </c>
      <c r="R101" s="87">
        <f>IF(TrRoad_act!R23=0,0,R37/TrRoad_act!R23*1000)</f>
        <v>2080.2939014222279</v>
      </c>
      <c r="S101" s="87">
        <f>IF(TrRoad_act!S23=0,0,S37/TrRoad_act!S23*1000)</f>
        <v>2068.6706792843747</v>
      </c>
      <c r="T101" s="87">
        <f>IF(TrRoad_act!T23=0,0,T37/TrRoad_act!T23*1000)</f>
        <v>2056.3692030959787</v>
      </c>
      <c r="U101" s="87">
        <f>IF(TrRoad_act!U23=0,0,U37/TrRoad_act!U23*1000)</f>
        <v>2038.2393410857048</v>
      </c>
      <c r="V101" s="87">
        <f>IF(TrRoad_act!V23=0,0,V37/TrRoad_act!V23*1000)</f>
        <v>1914.9287043669785</v>
      </c>
      <c r="W101" s="87">
        <f>IF(TrRoad_act!W23=0,0,W37/TrRoad_act!W23*1000)</f>
        <v>1845.9781167021281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1972.0043164868673</v>
      </c>
      <c r="C102" s="87">
        <f>IF(TrRoad_act!C24=0,0,C38/TrRoad_act!C24*1000)</f>
        <v>1877.9527293166939</v>
      </c>
      <c r="D102" s="87">
        <f>IF(TrRoad_act!D24=0,0,D38/TrRoad_act!D24*1000)</f>
        <v>1877.817956709298</v>
      </c>
      <c r="E102" s="87">
        <f>IF(TrRoad_act!E24=0,0,E38/TrRoad_act!E24*1000)</f>
        <v>1877.6688779536762</v>
      </c>
      <c r="F102" s="87">
        <f>IF(TrRoad_act!F24=0,0,F38/TrRoad_act!F24*1000)</f>
        <v>1877.5053624898708</v>
      </c>
      <c r="G102" s="87">
        <f>IF(TrRoad_act!G24=0,0,G38/TrRoad_act!G24*1000)</f>
        <v>1877.3615697121377</v>
      </c>
      <c r="H102" s="87">
        <f>IF(TrRoad_act!H24=0,0,H38/TrRoad_act!H24*1000)</f>
        <v>1877.2087435097233</v>
      </c>
      <c r="I102" s="87">
        <f>IF(TrRoad_act!I24=0,0,I38/TrRoad_act!I24*1000)</f>
        <v>1877.0718413398979</v>
      </c>
      <c r="J102" s="87">
        <f>IF(TrRoad_act!J24=0,0,J38/TrRoad_act!J24*1000)</f>
        <v>1876.946413904579</v>
      </c>
      <c r="K102" s="87">
        <f>IF(TrRoad_act!K24=0,0,K38/TrRoad_act!K24*1000)</f>
        <v>1876.7632881463676</v>
      </c>
      <c r="L102" s="87">
        <f>IF(TrRoad_act!L24=0,0,L38/TrRoad_act!L24*1000)</f>
        <v>1876.5772160445522</v>
      </c>
      <c r="M102" s="87">
        <f>IF(TrRoad_act!M24=0,0,M38/TrRoad_act!M24*1000)</f>
        <v>1876.3868889506325</v>
      </c>
      <c r="N102" s="87">
        <f>IF(TrRoad_act!N24=0,0,N38/TrRoad_act!N24*1000)</f>
        <v>1375.2224496148983</v>
      </c>
      <c r="O102" s="87">
        <f>IF(TrRoad_act!O24=0,0,O38/TrRoad_act!O24*1000)</f>
        <v>1365.3481707009641</v>
      </c>
      <c r="P102" s="87">
        <f>IF(TrRoad_act!P24=0,0,P38/TrRoad_act!P24*1000)</f>
        <v>1343.4097063505255</v>
      </c>
      <c r="Q102" s="87">
        <f>IF(TrRoad_act!Q24=0,0,Q38/TrRoad_act!Q24*1000)</f>
        <v>1646.9666992625539</v>
      </c>
      <c r="R102" s="87">
        <f>IF(TrRoad_act!R24=0,0,R38/TrRoad_act!R24*1000)</f>
        <v>1665.6658754485491</v>
      </c>
      <c r="S102" s="87">
        <f>IF(TrRoad_act!S24=0,0,S38/TrRoad_act!S24*1000)</f>
        <v>1642.6823309543036</v>
      </c>
      <c r="T102" s="87">
        <f>IF(TrRoad_act!T24=0,0,T38/TrRoad_act!T24*1000)</f>
        <v>1678.6397970864202</v>
      </c>
      <c r="U102" s="87">
        <f>IF(TrRoad_act!U24=0,0,U38/TrRoad_act!U24*1000)</f>
        <v>1668.3357103035726</v>
      </c>
      <c r="V102" s="87">
        <f>IF(TrRoad_act!V24=0,0,V38/TrRoad_act!V24*1000)</f>
        <v>1642.3387390672128</v>
      </c>
      <c r="W102" s="87">
        <f>IF(TrRoad_act!W24=0,0,W38/TrRoad_act!W24*1000)</f>
        <v>1640.6192557047759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98.450849127926219</v>
      </c>
      <c r="C104" s="116">
        <f>IF(TrRoad_act!C26=0,0,C40/TrRoad_act!C26*1000)</f>
        <v>104.97807013725543</v>
      </c>
      <c r="D104" s="116">
        <f>IF(TrRoad_act!D26=0,0,D40/TrRoad_act!D26*1000)</f>
        <v>117.37486935363786</v>
      </c>
      <c r="E104" s="116">
        <f>IF(TrRoad_act!E26=0,0,E40/TrRoad_act!E26*1000)</f>
        <v>125.16629073547317</v>
      </c>
      <c r="F104" s="116">
        <f>IF(TrRoad_act!F26=0,0,F40/TrRoad_act!F26*1000)</f>
        <v>127.87148431823981</v>
      </c>
      <c r="G104" s="116">
        <f>IF(TrRoad_act!G26=0,0,G40/TrRoad_act!G26*1000)</f>
        <v>157.47821502396067</v>
      </c>
      <c r="H104" s="116">
        <f>IF(TrRoad_act!H26=0,0,H40/TrRoad_act!H26*1000)</f>
        <v>158.11671519964423</v>
      </c>
      <c r="I104" s="116">
        <f>IF(TrRoad_act!I26=0,0,I40/TrRoad_act!I26*1000)</f>
        <v>143.73244913288926</v>
      </c>
      <c r="J104" s="116">
        <f>IF(TrRoad_act!J26=0,0,J40/TrRoad_act!J26*1000)</f>
        <v>137.73185273687844</v>
      </c>
      <c r="K104" s="116">
        <f>IF(TrRoad_act!K26=0,0,K40/TrRoad_act!K26*1000)</f>
        <v>150.23058155841093</v>
      </c>
      <c r="L104" s="116">
        <f>IF(TrRoad_act!L26=0,0,L40/TrRoad_act!L26*1000)</f>
        <v>141.06045075699004</v>
      </c>
      <c r="M104" s="116">
        <f>IF(TrRoad_act!M26=0,0,M40/TrRoad_act!M26*1000)</f>
        <v>121.88064249613262</v>
      </c>
      <c r="N104" s="116">
        <f>IF(TrRoad_act!N26=0,0,N40/TrRoad_act!N26*1000)</f>
        <v>110.17106297668255</v>
      </c>
      <c r="O104" s="116">
        <f>IF(TrRoad_act!O26=0,0,O40/TrRoad_act!O26*1000)</f>
        <v>88.867132736800642</v>
      </c>
      <c r="P104" s="116">
        <f>IF(TrRoad_act!P26=0,0,P40/TrRoad_act!P26*1000)</f>
        <v>114.89039364531276</v>
      </c>
      <c r="Q104" s="116">
        <f>IF(TrRoad_act!Q26=0,0,Q40/TrRoad_act!Q26*1000)</f>
        <v>128.44930886549449</v>
      </c>
      <c r="R104" s="116">
        <f>IF(TrRoad_act!R26=0,0,R40/TrRoad_act!R26*1000)</f>
        <v>110.72344105932237</v>
      </c>
      <c r="S104" s="116">
        <f>IF(TrRoad_act!S26=0,0,S40/TrRoad_act!S26*1000)</f>
        <v>111.46601023424282</v>
      </c>
      <c r="T104" s="116">
        <f>IF(TrRoad_act!T26=0,0,T40/TrRoad_act!T26*1000)</f>
        <v>113.17668226945001</v>
      </c>
      <c r="U104" s="116">
        <f>IF(TrRoad_act!U26=0,0,U40/TrRoad_act!U26*1000)</f>
        <v>108.88638863113256</v>
      </c>
      <c r="V104" s="116">
        <f>IF(TrRoad_act!V26=0,0,V40/TrRoad_act!V26*1000)</f>
        <v>83.932535331889497</v>
      </c>
      <c r="W104" s="116">
        <f>IF(TrRoad_act!W26=0,0,W40/TrRoad_act!W26*1000)</f>
        <v>95.676782287697662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103.47967511087738</v>
      </c>
      <c r="C105" s="101">
        <f>IF(TrRoad_act!C27=0,0,C41/TrRoad_act!C27*1000)</f>
        <v>108.32587692455542</v>
      </c>
      <c r="D105" s="101">
        <f>IF(TrRoad_act!D27=0,0,D41/TrRoad_act!D27*1000)</f>
        <v>115.48123338844555</v>
      </c>
      <c r="E105" s="101">
        <f>IF(TrRoad_act!E27=0,0,E41/TrRoad_act!E27*1000)</f>
        <v>122.14530161094449</v>
      </c>
      <c r="F105" s="101">
        <f>IF(TrRoad_act!F27=0,0,F41/TrRoad_act!F27*1000)</f>
        <v>125.80402888376052</v>
      </c>
      <c r="G105" s="101">
        <f>IF(TrRoad_act!G27=0,0,G41/TrRoad_act!G27*1000)</f>
        <v>166.45698856271895</v>
      </c>
      <c r="H105" s="101">
        <f>IF(TrRoad_act!H27=0,0,H41/TrRoad_act!H27*1000)</f>
        <v>164.84103353999646</v>
      </c>
      <c r="I105" s="101">
        <f>IF(TrRoad_act!I27=0,0,I41/TrRoad_act!I27*1000)</f>
        <v>156.99888287746325</v>
      </c>
      <c r="J105" s="101">
        <f>IF(TrRoad_act!J27=0,0,J41/TrRoad_act!J27*1000)</f>
        <v>145.41583559650343</v>
      </c>
      <c r="K105" s="101">
        <f>IF(TrRoad_act!K27=0,0,K41/TrRoad_act!K27*1000)</f>
        <v>159.65136851366483</v>
      </c>
      <c r="L105" s="101">
        <f>IF(TrRoad_act!L27=0,0,L41/TrRoad_act!L27*1000)</f>
        <v>142.30077318429383</v>
      </c>
      <c r="M105" s="101">
        <f>IF(TrRoad_act!M27=0,0,M41/TrRoad_act!M27*1000)</f>
        <v>134.72872736781366</v>
      </c>
      <c r="N105" s="101">
        <f>IF(TrRoad_act!N27=0,0,N41/TrRoad_act!N27*1000)</f>
        <v>128.99929329255096</v>
      </c>
      <c r="O105" s="101">
        <f>IF(TrRoad_act!O27=0,0,O41/TrRoad_act!O27*1000)</f>
        <v>118.12625343369103</v>
      </c>
      <c r="P105" s="101">
        <f>IF(TrRoad_act!P27=0,0,P41/TrRoad_act!P27*1000)</f>
        <v>128.51084593498985</v>
      </c>
      <c r="Q105" s="101">
        <f>IF(TrRoad_act!Q27=0,0,Q41/TrRoad_act!Q27*1000)</f>
        <v>131.8018907479279</v>
      </c>
      <c r="R105" s="101">
        <f>IF(TrRoad_act!R27=0,0,R41/TrRoad_act!R27*1000)</f>
        <v>116.67831186629721</v>
      </c>
      <c r="S105" s="101">
        <f>IF(TrRoad_act!S27=0,0,S41/TrRoad_act!S27*1000)</f>
        <v>114.85521431606246</v>
      </c>
      <c r="T105" s="101">
        <f>IF(TrRoad_act!T27=0,0,T41/TrRoad_act!T27*1000)</f>
        <v>115.61862810030368</v>
      </c>
      <c r="U105" s="101">
        <f>IF(TrRoad_act!U27=0,0,U41/TrRoad_act!U27*1000)</f>
        <v>113.00218564759855</v>
      </c>
      <c r="V105" s="101">
        <f>IF(TrRoad_act!V27=0,0,V41/TrRoad_act!V27*1000)</f>
        <v>101.25036553565894</v>
      </c>
      <c r="W105" s="101">
        <f>IF(TrRoad_act!W27=0,0,W41/TrRoad_act!W27*1000)</f>
        <v>105.27534261644585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90.62609769630393</v>
      </c>
      <c r="C106" s="88">
        <f>IF(TrRoad_act!C28=0,0,C42/TrRoad_act!C28*1000)</f>
        <v>100.23924409871458</v>
      </c>
      <c r="D106" s="88">
        <f>IF(TrRoad_act!D28=0,0,D42/TrRoad_act!D28*1000)</f>
        <v>119.76304129992883</v>
      </c>
      <c r="E106" s="88">
        <f>IF(TrRoad_act!E28=0,0,E42/TrRoad_act!E28*1000)</f>
        <v>128.74934866711308</v>
      </c>
      <c r="F106" s="88">
        <f>IF(TrRoad_act!F28=0,0,F42/TrRoad_act!F28*1000)</f>
        <v>130.04487234832342</v>
      </c>
      <c r="G106" s="88">
        <f>IF(TrRoad_act!G28=0,0,G42/TrRoad_act!G28*1000)</f>
        <v>148.01859172661352</v>
      </c>
      <c r="H106" s="88">
        <f>IF(TrRoad_act!H28=0,0,H42/TrRoad_act!H28*1000)</f>
        <v>151.05398595114085</v>
      </c>
      <c r="I106" s="88">
        <f>IF(TrRoad_act!I28=0,0,I42/TrRoad_act!I28*1000)</f>
        <v>130.24664561261426</v>
      </c>
      <c r="J106" s="88">
        <f>IF(TrRoad_act!J28=0,0,J42/TrRoad_act!J28*1000)</f>
        <v>130.65541123238404</v>
      </c>
      <c r="K106" s="88">
        <f>IF(TrRoad_act!K28=0,0,K42/TrRoad_act!K28*1000)</f>
        <v>138.95879360196605</v>
      </c>
      <c r="L106" s="88">
        <f>IF(TrRoad_act!L28=0,0,L42/TrRoad_act!L28*1000)</f>
        <v>139.65175304782136</v>
      </c>
      <c r="M106" s="88">
        <f>IF(TrRoad_act!M28=0,0,M42/TrRoad_act!M28*1000)</f>
        <v>109.03921631438894</v>
      </c>
      <c r="N106" s="88">
        <f>IF(TrRoad_act!N28=0,0,N42/TrRoad_act!N28*1000)</f>
        <v>93.829425356913163</v>
      </c>
      <c r="O106" s="88">
        <f>IF(TrRoad_act!O28=0,0,O42/TrRoad_act!O28*1000)</f>
        <v>63.825151167247057</v>
      </c>
      <c r="P106" s="88">
        <f>IF(TrRoad_act!P28=0,0,P42/TrRoad_act!P28*1000)</f>
        <v>103.0893602832395</v>
      </c>
      <c r="Q106" s="88">
        <f>IF(TrRoad_act!Q28=0,0,Q42/TrRoad_act!Q28*1000)</f>
        <v>125.49548853408716</v>
      </c>
      <c r="R106" s="88">
        <f>IF(TrRoad_act!R28=0,0,R42/TrRoad_act!R28*1000)</f>
        <v>105.18728357404667</v>
      </c>
      <c r="S106" s="88">
        <f>IF(TrRoad_act!S28=0,0,S42/TrRoad_act!S28*1000)</f>
        <v>108.54927442660838</v>
      </c>
      <c r="T106" s="88">
        <f>IF(TrRoad_act!T28=0,0,T42/TrRoad_act!T28*1000)</f>
        <v>110.9155696962425</v>
      </c>
      <c r="U106" s="88">
        <f>IF(TrRoad_act!U28=0,0,U42/TrRoad_act!U28*1000)</f>
        <v>105.03857560372249</v>
      </c>
      <c r="V106" s="88">
        <f>IF(TrRoad_act!V28=0,0,V42/TrRoad_act!V28*1000)</f>
        <v>67.259083477395592</v>
      </c>
      <c r="W106" s="88">
        <f>IF(TrRoad_act!W28=0,0,W42/TrRoad_act!W28*1000)</f>
        <v>86.187384071331564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375.94010823598359</v>
      </c>
      <c r="C110" s="152">
        <f>IF(C19=0,0,1000000*C19/TrRoad_act!C59)</f>
        <v>374.41192725806343</v>
      </c>
      <c r="D110" s="152">
        <f>IF(D19=0,0,1000000*D19/TrRoad_act!D59)</f>
        <v>371.11713390018662</v>
      </c>
      <c r="E110" s="152">
        <f>IF(E19=0,0,1000000*E19/TrRoad_act!E59)</f>
        <v>367.38987732989767</v>
      </c>
      <c r="F110" s="152">
        <f>IF(F19=0,0,1000000*F19/TrRoad_act!F59)</f>
        <v>361.83080767286594</v>
      </c>
      <c r="G110" s="152">
        <f>IF(G19=0,0,1000000*G19/TrRoad_act!G59)</f>
        <v>357.45168036813772</v>
      </c>
      <c r="H110" s="152">
        <f>IF(H19=0,0,1000000*H19/TrRoad_act!H59)</f>
        <v>352.02939212133055</v>
      </c>
      <c r="I110" s="152">
        <f>IF(I19=0,0,1000000*I19/TrRoad_act!I59)</f>
        <v>344.87761365111749</v>
      </c>
      <c r="J110" s="152">
        <f>IF(J19=0,0,1000000*J19/TrRoad_act!J59)</f>
        <v>336.30220962401427</v>
      </c>
      <c r="K110" s="152">
        <f>IF(K19=0,0,1000000*K19/TrRoad_act!K59)</f>
        <v>332.65249468989651</v>
      </c>
      <c r="L110" s="152">
        <f>IF(L19=0,0,1000000*L19/TrRoad_act!L59)</f>
        <v>325.39923297547313</v>
      </c>
      <c r="M110" s="152">
        <f>IF(M19=0,0,1000000*M19/TrRoad_act!M59)</f>
        <v>322.66531410791913</v>
      </c>
      <c r="N110" s="152">
        <f>IF(N19=0,0,1000000*N19/TrRoad_act!N59)</f>
        <v>320.3366941581728</v>
      </c>
      <c r="O110" s="152">
        <f>IF(O19=0,0,1000000*O19/TrRoad_act!O59)</f>
        <v>322.24456337786813</v>
      </c>
      <c r="P110" s="152">
        <f>IF(P19=0,0,1000000*P19/TrRoad_act!P59)</f>
        <v>312.17545539587263</v>
      </c>
      <c r="Q110" s="152">
        <f>IF(Q19=0,0,1000000*Q19/TrRoad_act!Q59)</f>
        <v>312.48619733677668</v>
      </c>
      <c r="R110" s="152">
        <f>IF(R19=0,0,1000000*R19/TrRoad_act!R59)</f>
        <v>308.51190054999057</v>
      </c>
      <c r="S110" s="152">
        <f>IF(S19=0,0,1000000*S19/TrRoad_act!S59)</f>
        <v>312.77812935006165</v>
      </c>
      <c r="T110" s="152">
        <f>IF(T19=0,0,1000000*T19/TrRoad_act!T59)</f>
        <v>310.53914348705263</v>
      </c>
      <c r="U110" s="152">
        <f>IF(U19=0,0,1000000*U19/TrRoad_act!U59)</f>
        <v>300.9923921134656</v>
      </c>
      <c r="V110" s="152">
        <f>IF(V19=0,0,1000000*V19/TrRoad_act!V59)</f>
        <v>255.31595325433835</v>
      </c>
      <c r="W110" s="152">
        <f>IF(W19=0,0,1000000*W19/TrRoad_act!W59)</f>
        <v>236.82631592045698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1888.3583182894627</v>
      </c>
      <c r="C111" s="116">
        <f>IF(C20=0,0,1000000*C20/TrRoad_act!C60)</f>
        <v>1911.4871725232997</v>
      </c>
      <c r="D111" s="116">
        <f>IF(D20=0,0,1000000*D20/TrRoad_act!D60)</f>
        <v>1901.2579731225712</v>
      </c>
      <c r="E111" s="116">
        <f>IF(E20=0,0,1000000*E20/TrRoad_act!E60)</f>
        <v>1900.7341816668827</v>
      </c>
      <c r="F111" s="116">
        <f>IF(F20=0,0,1000000*F20/TrRoad_act!F60)</f>
        <v>1957.6763317867021</v>
      </c>
      <c r="G111" s="116">
        <f>IF(G20=0,0,1000000*G20/TrRoad_act!G60)</f>
        <v>1915.8731126608211</v>
      </c>
      <c r="H111" s="116">
        <f>IF(H20=0,0,1000000*H20/TrRoad_act!H60)</f>
        <v>1858.7098793028108</v>
      </c>
      <c r="I111" s="116">
        <f>IF(I20=0,0,1000000*I20/TrRoad_act!I60)</f>
        <v>1913.8353238040393</v>
      </c>
      <c r="J111" s="116">
        <f>IF(J20=0,0,1000000*J20/TrRoad_act!J60)</f>
        <v>2036.8143934835412</v>
      </c>
      <c r="K111" s="116">
        <f>IF(K20=0,0,1000000*K20/TrRoad_act!K60)</f>
        <v>2118.2785185300108</v>
      </c>
      <c r="L111" s="116">
        <f>IF(L20=0,0,1000000*L20/TrRoad_act!L60)</f>
        <v>1926.801650228002</v>
      </c>
      <c r="M111" s="116">
        <f>IF(M20=0,0,1000000*M20/TrRoad_act!M60)</f>
        <v>1823.089703977671</v>
      </c>
      <c r="N111" s="116">
        <f>IF(N20=0,0,1000000*N20/TrRoad_act!N60)</f>
        <v>1833.4567269116149</v>
      </c>
      <c r="O111" s="116">
        <f>IF(O20=0,0,1000000*O20/TrRoad_act!O60)</f>
        <v>1726.0901447451918</v>
      </c>
      <c r="P111" s="116">
        <f>IF(P20=0,0,1000000*P20/TrRoad_act!P60)</f>
        <v>1768.082516222448</v>
      </c>
      <c r="Q111" s="116">
        <f>IF(Q20=0,0,1000000*Q20/TrRoad_act!Q60)</f>
        <v>1854.8173206760298</v>
      </c>
      <c r="R111" s="116">
        <f>IF(R20=0,0,1000000*R20/TrRoad_act!R60)</f>
        <v>1879.5021983577894</v>
      </c>
      <c r="S111" s="116">
        <f>IF(S20=0,0,1000000*S20/TrRoad_act!S60)</f>
        <v>1891.2460971954777</v>
      </c>
      <c r="T111" s="116">
        <f>IF(T20=0,0,1000000*T20/TrRoad_act!T60)</f>
        <v>1929.6553707722269</v>
      </c>
      <c r="U111" s="116">
        <f>IF(U20=0,0,1000000*U20/TrRoad_act!U60)</f>
        <v>2043.9142056289922</v>
      </c>
      <c r="V111" s="116">
        <f>IF(V20=0,0,1000000*V20/TrRoad_act!V60)</f>
        <v>1767.5515591837782</v>
      </c>
      <c r="W111" s="116">
        <f>IF(W20=0,0,1000000*W20/TrRoad_act!W60)</f>
        <v>1845.7796245326667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1769.9373374942929</v>
      </c>
      <c r="C112" s="87">
        <f>IF(C21=0,0,1000000*C21/TrRoad_act!C61)</f>
        <v>1783.9978924809252</v>
      </c>
      <c r="D112" s="87">
        <f>IF(D21=0,0,1000000*D21/TrRoad_act!D61)</f>
        <v>1757.6014164836495</v>
      </c>
      <c r="E112" s="87">
        <f>IF(E21=0,0,1000000*E21/TrRoad_act!E61)</f>
        <v>1726.3546723983163</v>
      </c>
      <c r="F112" s="87">
        <f>IF(F21=0,0,1000000*F21/TrRoad_act!F61)</f>
        <v>1753.7095624202175</v>
      </c>
      <c r="G112" s="87">
        <f>IF(G21=0,0,1000000*G21/TrRoad_act!G61)</f>
        <v>1730.4751482147167</v>
      </c>
      <c r="H112" s="87">
        <f>IF(H21=0,0,1000000*H21/TrRoad_act!H61)</f>
        <v>1659.7576105464525</v>
      </c>
      <c r="I112" s="87">
        <f>IF(I21=0,0,1000000*I21/TrRoad_act!I61)</f>
        <v>1694.7021840768386</v>
      </c>
      <c r="J112" s="87">
        <f>IF(J21=0,0,1000000*J21/TrRoad_act!J61)</f>
        <v>1821.8699239127652</v>
      </c>
      <c r="K112" s="87">
        <f>IF(K21=0,0,1000000*K21/TrRoad_act!K61)</f>
        <v>1865.2652420401539</v>
      </c>
      <c r="L112" s="87">
        <f>IF(L21=0,0,1000000*L21/TrRoad_act!L61)</f>
        <v>1621.77798846827</v>
      </c>
      <c r="M112" s="87">
        <f>IF(M21=0,0,1000000*M21/TrRoad_act!M61)</f>
        <v>1527.539999348387</v>
      </c>
      <c r="N112" s="87">
        <f>IF(N21=0,0,1000000*N21/TrRoad_act!N61)</f>
        <v>1531.4875115947675</v>
      </c>
      <c r="O112" s="87">
        <f>IF(O21=0,0,1000000*O21/TrRoad_act!O61)</f>
        <v>1448.1970479093432</v>
      </c>
      <c r="P112" s="87">
        <f>IF(P21=0,0,1000000*P21/TrRoad_act!P61)</f>
        <v>1552.1265602515573</v>
      </c>
      <c r="Q112" s="87">
        <f>IF(Q21=0,0,1000000*Q21/TrRoad_act!Q61)</f>
        <v>1607.0183634669809</v>
      </c>
      <c r="R112" s="87">
        <f>IF(R21=0,0,1000000*R21/TrRoad_act!R61)</f>
        <v>1614.9063732073182</v>
      </c>
      <c r="S112" s="87">
        <f>IF(S21=0,0,1000000*S21/TrRoad_act!S61)</f>
        <v>1603.1808609945613</v>
      </c>
      <c r="T112" s="87">
        <f>IF(T21=0,0,1000000*T21/TrRoad_act!T61)</f>
        <v>1611.3271896289029</v>
      </c>
      <c r="U112" s="87">
        <f>IF(U21=0,0,1000000*U21/TrRoad_act!U61)</f>
        <v>1671.8483971772621</v>
      </c>
      <c r="V112" s="87">
        <f>IF(V21=0,0,1000000*V21/TrRoad_act!V61)</f>
        <v>1414.6930105562678</v>
      </c>
      <c r="W112" s="87">
        <f>IF(W21=0,0,1000000*W21/TrRoad_act!W61)</f>
        <v>1469.923026669288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2979.2651345615441</v>
      </c>
      <c r="C113" s="87">
        <f>IF(C22=0,0,1000000*C22/TrRoad_act!C62)</f>
        <v>3019.960358240035</v>
      </c>
      <c r="D113" s="87">
        <f>IF(D22=0,0,1000000*D22/TrRoad_act!D62)</f>
        <v>3039.7223541443454</v>
      </c>
      <c r="E113" s="87">
        <f>IF(E22=0,0,1000000*E22/TrRoad_act!E62)</f>
        <v>3082.8560911357267</v>
      </c>
      <c r="F113" s="87">
        <f>IF(F22=0,0,1000000*F22/TrRoad_act!F62)</f>
        <v>3203.0287721915142</v>
      </c>
      <c r="G113" s="87">
        <f>IF(G22=0,0,1000000*G22/TrRoad_act!G62)</f>
        <v>3239.3839905929394</v>
      </c>
      <c r="H113" s="87">
        <f>IF(H22=0,0,1000000*H22/TrRoad_act!H62)</f>
        <v>2949.0529015042785</v>
      </c>
      <c r="I113" s="87">
        <f>IF(I22=0,0,1000000*I22/TrRoad_act!I62)</f>
        <v>3008.3443163984512</v>
      </c>
      <c r="J113" s="87">
        <f>IF(J22=0,0,1000000*J22/TrRoad_act!J62)</f>
        <v>2947.4932159905634</v>
      </c>
      <c r="K113" s="87">
        <f>IF(K22=0,0,1000000*K22/TrRoad_act!K62)</f>
        <v>3136.9714775682214</v>
      </c>
      <c r="L113" s="87">
        <f>IF(L22=0,0,1000000*L22/TrRoad_act!L62)</f>
        <v>3084.0229599103095</v>
      </c>
      <c r="M113" s="87">
        <f>IF(M22=0,0,1000000*M22/TrRoad_act!M62)</f>
        <v>2888.3104282645927</v>
      </c>
      <c r="N113" s="87">
        <f>IF(N22=0,0,1000000*N22/TrRoad_act!N62)</f>
        <v>2880.7284878419036</v>
      </c>
      <c r="O113" s="87">
        <f>IF(O22=0,0,1000000*O22/TrRoad_act!O62)</f>
        <v>2590.5918559716129</v>
      </c>
      <c r="P113" s="87">
        <f>IF(P22=0,0,1000000*P22/TrRoad_act!P62)</f>
        <v>2401.6075878786878</v>
      </c>
      <c r="Q113" s="87">
        <f>IF(Q22=0,0,1000000*Q22/TrRoad_act!Q62)</f>
        <v>2525.9059474049723</v>
      </c>
      <c r="R113" s="87">
        <f>IF(R22=0,0,1000000*R22/TrRoad_act!R62)</f>
        <v>2550.5010559608036</v>
      </c>
      <c r="S113" s="87">
        <f>IF(S22=0,0,1000000*S22/TrRoad_act!S62)</f>
        <v>2580.7542182242532</v>
      </c>
      <c r="T113" s="87">
        <f>IF(T22=0,0,1000000*T22/TrRoad_act!T62)</f>
        <v>2664.7781953123258</v>
      </c>
      <c r="U113" s="87">
        <f>IF(U22=0,0,1000000*U22/TrRoad_act!U62)</f>
        <v>2881.635179328598</v>
      </c>
      <c r="V113" s="87">
        <f>IF(V22=0,0,1000000*V22/TrRoad_act!V62)</f>
        <v>2547.8423618365459</v>
      </c>
      <c r="W113" s="87">
        <f>IF(W22=0,0,1000000*W22/TrRoad_act!W62)</f>
        <v>2672.6843203593339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1612.170469538381</v>
      </c>
      <c r="D114" s="87">
        <f>IF(D23=0,0,1000000*D23/TrRoad_act!D63)</f>
        <v>1630.8042682998657</v>
      </c>
      <c r="E114" s="87">
        <f>IF(E23=0,0,1000000*E23/TrRoad_act!E63)</f>
        <v>2178.8140398252376</v>
      </c>
      <c r="F114" s="87">
        <f>IF(F23=0,0,1000000*F23/TrRoad_act!F63)</f>
        <v>2047.2978480077852</v>
      </c>
      <c r="G114" s="87">
        <f>IF(G23=0,0,1000000*G23/TrRoad_act!G63)</f>
        <v>1702.9117335539911</v>
      </c>
      <c r="H114" s="87">
        <f>IF(H23=0,0,1000000*H23/TrRoad_act!H63)</f>
        <v>1775.0612620691943</v>
      </c>
      <c r="I114" s="87">
        <f>IF(I23=0,0,1000000*I23/TrRoad_act!I63)</f>
        <v>1733.8544947766843</v>
      </c>
      <c r="J114" s="87">
        <f>IF(J23=0,0,1000000*J23/TrRoad_act!J63)</f>
        <v>1823.3740361989921</v>
      </c>
      <c r="K114" s="87">
        <f>IF(K23=0,0,1000000*K23/TrRoad_act!K63)</f>
        <v>1919.9488472928335</v>
      </c>
      <c r="L114" s="87">
        <f>IF(L23=0,0,1000000*L23/TrRoad_act!L63)</f>
        <v>1972.7839980916892</v>
      </c>
      <c r="M114" s="87">
        <f>IF(M23=0,0,1000000*M23/TrRoad_act!M63)</f>
        <v>1809.8135282234255</v>
      </c>
      <c r="N114" s="87">
        <f>IF(N23=0,0,1000000*N23/TrRoad_act!N63)</f>
        <v>1292.6785948864849</v>
      </c>
      <c r="O114" s="87">
        <f>IF(O23=0,0,1000000*O23/TrRoad_act!O63)</f>
        <v>1597.4230746554765</v>
      </c>
      <c r="P114" s="87">
        <f>IF(P23=0,0,1000000*P23/TrRoad_act!P63)</f>
        <v>1390.7817821209615</v>
      </c>
      <c r="Q114" s="87">
        <f>IF(Q23=0,0,1000000*Q23/TrRoad_act!Q63)</f>
        <v>1349.3220173130107</v>
      </c>
      <c r="R114" s="87">
        <f>IF(R23=0,0,1000000*R23/TrRoad_act!R63)</f>
        <v>1234.6973120849675</v>
      </c>
      <c r="S114" s="87">
        <f>IF(S23=0,0,1000000*S23/TrRoad_act!S63)</f>
        <v>1230.1561318311324</v>
      </c>
      <c r="T114" s="87">
        <f>IF(T23=0,0,1000000*T23/TrRoad_act!T63)</f>
        <v>1186.8735204580412</v>
      </c>
      <c r="U114" s="87">
        <f>IF(U23=0,0,1000000*U23/TrRoad_act!U63)</f>
        <v>1189.3312471637776</v>
      </c>
      <c r="V114" s="87">
        <f>IF(V23=0,0,1000000*V23/TrRoad_act!V63)</f>
        <v>1086.737884990674</v>
      </c>
      <c r="W114" s="87">
        <f>IF(W23=0,0,1000000*W23/TrRoad_act!W63)</f>
        <v>1563.6876473784484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2187.3337959595219</v>
      </c>
      <c r="M115" s="87">
        <f>IF(M24=0,0,1000000*M24/TrRoad_act!M64)</f>
        <v>1254.093900428966</v>
      </c>
      <c r="N115" s="87">
        <f>IF(N24=0,0,1000000*N24/TrRoad_act!N64)</f>
        <v>1110.3974496711212</v>
      </c>
      <c r="O115" s="87">
        <f>IF(O24=0,0,1000000*O24/TrRoad_act!O64)</f>
        <v>1176.3316990502169</v>
      </c>
      <c r="P115" s="87">
        <f>IF(P24=0,0,1000000*P24/TrRoad_act!P64)</f>
        <v>1252.4343063304364</v>
      </c>
      <c r="Q115" s="87">
        <f>IF(Q24=0,0,1000000*Q24/TrRoad_act!Q64)</f>
        <v>1122.5454066421835</v>
      </c>
      <c r="R115" s="87">
        <f>IF(R24=0,0,1000000*R24/TrRoad_act!R64)</f>
        <v>1152.7243756477924</v>
      </c>
      <c r="S115" s="87">
        <f>IF(S24=0,0,1000000*S24/TrRoad_act!S64)</f>
        <v>1136.2753681547538</v>
      </c>
      <c r="T115" s="87">
        <f>IF(T24=0,0,1000000*T24/TrRoad_act!T64)</f>
        <v>1181.3126773637073</v>
      </c>
      <c r="U115" s="87">
        <f>IF(U24=0,0,1000000*U24/TrRoad_act!U64)</f>
        <v>1265.5918022955436</v>
      </c>
      <c r="V115" s="87">
        <f>IF(V24=0,0,1000000*V24/TrRoad_act!V64)</f>
        <v>1139.8203090369088</v>
      </c>
      <c r="W115" s="87">
        <f>IF(W24=0,0,1000000*W24/TrRoad_act!W64)</f>
        <v>1159.9459928732199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316.85394744925856</v>
      </c>
      <c r="O116" s="87">
        <f>IF(O25=0,0,1000000*O25/TrRoad_act!O65)</f>
        <v>320.16325244147447</v>
      </c>
      <c r="P116" s="87">
        <f>IF(P25=0,0,1000000*P25/TrRoad_act!P65)</f>
        <v>323.35808537143276</v>
      </c>
      <c r="Q116" s="87">
        <f>IF(Q25=0,0,1000000*Q25/TrRoad_act!Q65)</f>
        <v>298.03392915779091</v>
      </c>
      <c r="R116" s="87">
        <f>IF(R25=0,0,1000000*R25/TrRoad_act!R65)</f>
        <v>414.5331316530997</v>
      </c>
      <c r="S116" s="87">
        <f>IF(S25=0,0,1000000*S25/TrRoad_act!S65)</f>
        <v>455.73141569719536</v>
      </c>
      <c r="T116" s="87">
        <f>IF(T25=0,0,1000000*T25/TrRoad_act!T65)</f>
        <v>460.59607936227064</v>
      </c>
      <c r="U116" s="87">
        <f>IF(U25=0,0,1000000*U25/TrRoad_act!U65)</f>
        <v>467.35144841201293</v>
      </c>
      <c r="V116" s="87">
        <f>IF(V25=0,0,1000000*V25/TrRoad_act!V65)</f>
        <v>386.72998895538115</v>
      </c>
      <c r="W116" s="87">
        <f>IF(W25=0,0,1000000*W25/TrRoad_act!W65)</f>
        <v>370.45131827254994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64736.19777697917</v>
      </c>
      <c r="C118" s="116">
        <f>IF(C27=0,0,1000000*C27/TrRoad_act!C67)</f>
        <v>64120.700445986666</v>
      </c>
      <c r="D118" s="116">
        <f>IF(D27=0,0,1000000*D27/TrRoad_act!D67)</f>
        <v>65620.337079654244</v>
      </c>
      <c r="E118" s="116">
        <f>IF(E27=0,0,1000000*E27/TrRoad_act!E67)</f>
        <v>65546.853974873651</v>
      </c>
      <c r="F118" s="116">
        <f>IF(F27=0,0,1000000*F27/TrRoad_act!F67)</f>
        <v>64775.106743449811</v>
      </c>
      <c r="G118" s="116">
        <f>IF(G27=0,0,1000000*G27/TrRoad_act!G67)</f>
        <v>67212.896001885747</v>
      </c>
      <c r="H118" s="116">
        <f>IF(H27=0,0,1000000*H27/TrRoad_act!H67)</f>
        <v>66639.074111896378</v>
      </c>
      <c r="I118" s="116">
        <f>IF(I27=0,0,1000000*I27/TrRoad_act!I67)</f>
        <v>65028.755126985183</v>
      </c>
      <c r="J118" s="116">
        <f>IF(J27=0,0,1000000*J27/TrRoad_act!J67)</f>
        <v>63296.367121545991</v>
      </c>
      <c r="K118" s="116">
        <f>IF(K27=0,0,1000000*K27/TrRoad_act!K67)</f>
        <v>62136.79975266914</v>
      </c>
      <c r="L118" s="116">
        <f>IF(L27=0,0,1000000*L27/TrRoad_act!L67)</f>
        <v>63323.027723366497</v>
      </c>
      <c r="M118" s="116">
        <f>IF(M27=0,0,1000000*M27/TrRoad_act!M67)</f>
        <v>60616.974848572827</v>
      </c>
      <c r="N118" s="116">
        <f>IF(N27=0,0,1000000*N27/TrRoad_act!N67)</f>
        <v>59634.30234808258</v>
      </c>
      <c r="O118" s="116">
        <f>IF(O27=0,0,1000000*O27/TrRoad_act!O67)</f>
        <v>56358.292062099281</v>
      </c>
      <c r="P118" s="116">
        <f>IF(P27=0,0,1000000*P27/TrRoad_act!P67)</f>
        <v>61080.377138430202</v>
      </c>
      <c r="Q118" s="116">
        <f>IF(Q27=0,0,1000000*Q27/TrRoad_act!Q67)</f>
        <v>63335.784313162767</v>
      </c>
      <c r="R118" s="116">
        <f>IF(R27=0,0,1000000*R27/TrRoad_act!R67)</f>
        <v>61907.523593895559</v>
      </c>
      <c r="S118" s="116">
        <f>IF(S27=0,0,1000000*S27/TrRoad_act!S67)</f>
        <v>65170.805530192942</v>
      </c>
      <c r="T118" s="116">
        <f>IF(T27=0,0,1000000*T27/TrRoad_act!T67)</f>
        <v>65349.209521646007</v>
      </c>
      <c r="U118" s="116">
        <f>IF(U27=0,0,1000000*U27/TrRoad_act!U67)</f>
        <v>64191.216028740557</v>
      </c>
      <c r="V118" s="116">
        <f>IF(V27=0,0,1000000*V27/TrRoad_act!V67)</f>
        <v>58205.067198739729</v>
      </c>
      <c r="W118" s="116">
        <f>IF(W27=0,0,1000000*W27/TrRoad_act!W67)</f>
        <v>61186.926381010395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8495.8862322694258</v>
      </c>
      <c r="C119" s="101">
        <f>IF(C28=0,0,1000000*C28/TrRoad_act!C68)</f>
        <v>8579.5376476595429</v>
      </c>
      <c r="D119" s="101">
        <f>IF(D28=0,0,1000000*D28/TrRoad_act!D68)</f>
        <v>8667.5944551265202</v>
      </c>
      <c r="E119" s="101">
        <f>IF(E28=0,0,1000000*E28/TrRoad_act!E68)</f>
        <v>8753.3065695352761</v>
      </c>
      <c r="F119" s="101">
        <f>IF(F28=0,0,1000000*F28/TrRoad_act!F68)</f>
        <v>8823.8062085224738</v>
      </c>
      <c r="G119" s="101">
        <f>IF(G28=0,0,1000000*G28/TrRoad_act!G68)</f>
        <v>8890.7033912975494</v>
      </c>
      <c r="H119" s="101">
        <f>IF(H28=0,0,1000000*H28/TrRoad_act!H68)</f>
        <v>8971.1089246109877</v>
      </c>
      <c r="I119" s="101">
        <f>IF(I28=0,0,1000000*I28/TrRoad_act!I68)</f>
        <v>9162.1848252728487</v>
      </c>
      <c r="J119" s="101">
        <f>IF(J28=0,0,1000000*J28/TrRoad_act!J68)</f>
        <v>9254.5248118727122</v>
      </c>
      <c r="K119" s="101">
        <f>IF(K28=0,0,1000000*K28/TrRoad_act!K68)</f>
        <v>9418.2749079011519</v>
      </c>
      <c r="L119" s="101">
        <f>IF(L28=0,0,1000000*L28/TrRoad_act!L68)</f>
        <v>9538.9099897113065</v>
      </c>
      <c r="M119" s="101">
        <f>IF(M28=0,0,1000000*M28/TrRoad_act!M68)</f>
        <v>9495.7201816701345</v>
      </c>
      <c r="N119" s="101">
        <f>IF(N28=0,0,1000000*N28/TrRoad_act!N68)</f>
        <v>9685.6248980172077</v>
      </c>
      <c r="O119" s="101">
        <f>IF(O28=0,0,1000000*O28/TrRoad_act!O68)</f>
        <v>10128.315496575016</v>
      </c>
      <c r="P119" s="101">
        <f>IF(P28=0,0,1000000*P28/TrRoad_act!P68)</f>
        <v>9971.5562231134409</v>
      </c>
      <c r="Q119" s="101">
        <f>IF(Q28=0,0,1000000*Q28/TrRoad_act!Q68)</f>
        <v>10100.167564188288</v>
      </c>
      <c r="R119" s="101">
        <f>IF(R28=0,0,1000000*R28/TrRoad_act!R68)</f>
        <v>9773.1309022258974</v>
      </c>
      <c r="S119" s="101">
        <f>IF(S28=0,0,1000000*S28/TrRoad_act!S68)</f>
        <v>10130.668320173365</v>
      </c>
      <c r="T119" s="101">
        <f>IF(T28=0,0,1000000*T28/TrRoad_act!T68)</f>
        <v>9814.6537414791001</v>
      </c>
      <c r="U119" s="101">
        <f>IF(U28=0,0,1000000*U28/TrRoad_act!U68)</f>
        <v>9558.456948070052</v>
      </c>
      <c r="V119" s="101">
        <f>IF(V28=0,0,1000000*V28/TrRoad_act!V68)</f>
        <v>8723.4392509761492</v>
      </c>
      <c r="W119" s="101">
        <f>IF(W28=0,0,1000000*W28/TrRoad_act!W68)</f>
        <v>8591.6607489978869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74488.633796478811</v>
      </c>
      <c r="C120" s="101">
        <f>IF(C29=0,0,1000000*C29/TrRoad_act!C69)</f>
        <v>72714.53918309517</v>
      </c>
      <c r="D120" s="101">
        <f>IF(D29=0,0,1000000*D29/TrRoad_act!D69)</f>
        <v>73428.738183367241</v>
      </c>
      <c r="E120" s="101">
        <f>IF(E29=0,0,1000000*E29/TrRoad_act!E69)</f>
        <v>72475.18841602157</v>
      </c>
      <c r="F120" s="101">
        <f>IF(F29=0,0,1000000*F29/TrRoad_act!F69)</f>
        <v>70941.044793222391</v>
      </c>
      <c r="G120" s="101">
        <f>IF(G29=0,0,1000000*G29/TrRoad_act!G69)</f>
        <v>72311.276820971252</v>
      </c>
      <c r="H120" s="101">
        <f>IF(H29=0,0,1000000*H29/TrRoad_act!H69)</f>
        <v>70448.827084679535</v>
      </c>
      <c r="I120" s="101">
        <f>IF(I29=0,0,1000000*I29/TrRoad_act!I69)</f>
        <v>68035.223949163308</v>
      </c>
      <c r="J120" s="101">
        <f>IF(J29=0,0,1000000*J29/TrRoad_act!J69)</f>
        <v>65864.761466542463</v>
      </c>
      <c r="K120" s="101">
        <f>IF(K29=0,0,1000000*K29/TrRoad_act!K69)</f>
        <v>64190.465613312743</v>
      </c>
      <c r="L120" s="101">
        <f>IF(L29=0,0,1000000*L29/TrRoad_act!L69)</f>
        <v>64981.988078286129</v>
      </c>
      <c r="M120" s="101">
        <f>IF(M29=0,0,1000000*M29/TrRoad_act!M69)</f>
        <v>61844.250947175962</v>
      </c>
      <c r="N120" s="101">
        <f>IF(N29=0,0,1000000*N29/TrRoad_act!N69)</f>
        <v>60611.918303497951</v>
      </c>
      <c r="O120" s="101">
        <f>IF(O29=0,0,1000000*O29/TrRoad_act!O69)</f>
        <v>57191.115438624591</v>
      </c>
      <c r="P120" s="101">
        <f>IF(P29=0,0,1000000*P29/TrRoad_act!P69)</f>
        <v>61905.518239612626</v>
      </c>
      <c r="Q120" s="101">
        <f>IF(Q29=0,0,1000000*Q29/TrRoad_act!Q69)</f>
        <v>64255.350776710911</v>
      </c>
      <c r="R120" s="101">
        <f>IF(R29=0,0,1000000*R29/TrRoad_act!R69)</f>
        <v>62502.161423335827</v>
      </c>
      <c r="S120" s="101">
        <f>IF(S29=0,0,1000000*S29/TrRoad_act!S69)</f>
        <v>65844.898375786142</v>
      </c>
      <c r="T120" s="101">
        <f>IF(T29=0,0,1000000*T29/TrRoad_act!T69)</f>
        <v>65943.184552075632</v>
      </c>
      <c r="U120" s="101">
        <f>IF(U29=0,0,1000000*U29/TrRoad_act!U69)</f>
        <v>64753.7798752323</v>
      </c>
      <c r="V120" s="101">
        <f>IF(V29=0,0,1000000*V29/TrRoad_act!V69)</f>
        <v>58851.682811700914</v>
      </c>
      <c r="W120" s="101">
        <f>IF(W29=0,0,1000000*W29/TrRoad_act!W69)</f>
        <v>62113.941462005947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27374.734013117355</v>
      </c>
      <c r="Q121" s="101">
        <f>IF(Q30=0,0,1000000*Q30/TrRoad_act!Q70)</f>
        <v>27660.148014704766</v>
      </c>
      <c r="R121" s="101">
        <f>IF(R30=0,0,1000000*R30/TrRoad_act!R70)</f>
        <v>27675.042767721523</v>
      </c>
      <c r="S121" s="101">
        <f>IF(S30=0,0,1000000*S30/TrRoad_act!S70)</f>
        <v>27975.726218521206</v>
      </c>
      <c r="T121" s="101">
        <f>IF(T30=0,0,1000000*T30/TrRoad_act!T70)</f>
        <v>27322.17000930728</v>
      </c>
      <c r="U121" s="101">
        <f>IF(U30=0,0,1000000*U30/TrRoad_act!U70)</f>
        <v>26477.553355186035</v>
      </c>
      <c r="V121" s="101">
        <f>IF(V30=0,0,1000000*V30/TrRoad_act!V70)</f>
        <v>25552.129710891488</v>
      </c>
      <c r="W121" s="101">
        <f>IF(W30=0,0,1000000*W30/TrRoad_act!W70)</f>
        <v>25185.190672357086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41266.623813349761</v>
      </c>
      <c r="C122" s="101">
        <f>IF(C31=0,0,1000000*C31/TrRoad_act!C71)</f>
        <v>41191.503352932545</v>
      </c>
      <c r="D122" s="101">
        <f>IF(D31=0,0,1000000*D31/TrRoad_act!D71)</f>
        <v>42634.132979062459</v>
      </c>
      <c r="E122" s="101">
        <f>IF(E31=0,0,1000000*E31/TrRoad_act!E71)</f>
        <v>40683.049740513663</v>
      </c>
      <c r="F122" s="101">
        <f>IF(F31=0,0,1000000*F31/TrRoad_act!F71)</f>
        <v>39805.027212418492</v>
      </c>
      <c r="G122" s="101">
        <f>IF(G31=0,0,1000000*G31/TrRoad_act!G71)</f>
        <v>52051.533163453234</v>
      </c>
      <c r="H122" s="101">
        <f>IF(H31=0,0,1000000*H31/TrRoad_act!H71)</f>
        <v>54576.082595309097</v>
      </c>
      <c r="I122" s="101">
        <f>IF(I31=0,0,1000000*I31/TrRoad_act!I71)</f>
        <v>49334.552235416442</v>
      </c>
      <c r="J122" s="101">
        <f>IF(J31=0,0,1000000*J31/TrRoad_act!J71)</f>
        <v>48981.823211568641</v>
      </c>
      <c r="K122" s="101">
        <f>IF(K31=0,0,1000000*K31/TrRoad_act!K71)</f>
        <v>43596.302115570688</v>
      </c>
      <c r="L122" s="101">
        <f>IF(L31=0,0,1000000*L31/TrRoad_act!L71)</f>
        <v>39218.150324731898</v>
      </c>
      <c r="M122" s="101">
        <f>IF(M31=0,0,1000000*M31/TrRoad_act!M71)</f>
        <v>44553.143918982125</v>
      </c>
      <c r="N122" s="101">
        <f>IF(N31=0,0,1000000*N31/TrRoad_act!N71)</f>
        <v>47449.503880074124</v>
      </c>
      <c r="O122" s="101">
        <f>IF(O31=0,0,1000000*O31/TrRoad_act!O71)</f>
        <v>49230.407499473178</v>
      </c>
      <c r="P122" s="101">
        <f>IF(P31=0,0,1000000*P31/TrRoad_act!P71)</f>
        <v>40218.077021001431</v>
      </c>
      <c r="Q122" s="101">
        <f>IF(Q31=0,0,1000000*Q31/TrRoad_act!Q71)</f>
        <v>38688.277365122784</v>
      </c>
      <c r="R122" s="101">
        <f>IF(R31=0,0,1000000*R31/TrRoad_act!R71)</f>
        <v>54587.386940205506</v>
      </c>
      <c r="S122" s="101">
        <f>IF(S31=0,0,1000000*S31/TrRoad_act!S71)</f>
        <v>51507.377394827061</v>
      </c>
      <c r="T122" s="101">
        <f>IF(T31=0,0,1000000*T31/TrRoad_act!T71)</f>
        <v>55803.66650499306</v>
      </c>
      <c r="U122" s="101">
        <f>IF(U31=0,0,1000000*U31/TrRoad_act!U71)</f>
        <v>54855.190669514741</v>
      </c>
      <c r="V122" s="101">
        <f>IF(V31=0,0,1000000*V31/TrRoad_act!V71)</f>
        <v>50343.778813751269</v>
      </c>
      <c r="W122" s="101">
        <f>IF(W31=0,0,1000000*W31/TrRoad_act!W71)</f>
        <v>45761.265034617296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4698.8030401231754</v>
      </c>
      <c r="C125" s="152">
        <f>IF(C34=0,0,1000000*C34/TrRoad_act!C74)</f>
        <v>4671.6671594698973</v>
      </c>
      <c r="D125" s="152">
        <f>IF(D34=0,0,1000000*D34/TrRoad_act!D74)</f>
        <v>4819.4055325087102</v>
      </c>
      <c r="E125" s="152">
        <f>IF(E34=0,0,1000000*E34/TrRoad_act!E74)</f>
        <v>4869.4477092679908</v>
      </c>
      <c r="F125" s="152">
        <f>IF(F34=0,0,1000000*F34/TrRoad_act!F74)</f>
        <v>4860.6960514169905</v>
      </c>
      <c r="G125" s="152">
        <f>IF(G34=0,0,1000000*G34/TrRoad_act!G74)</f>
        <v>5034.165485825748</v>
      </c>
      <c r="H125" s="152">
        <f>IF(H34=0,0,1000000*H34/TrRoad_act!H74)</f>
        <v>4978.8739650166253</v>
      </c>
      <c r="I125" s="152">
        <f>IF(I34=0,0,1000000*I34/TrRoad_act!I74)</f>
        <v>4809.8417808703489</v>
      </c>
      <c r="J125" s="152">
        <f>IF(J34=0,0,1000000*J34/TrRoad_act!J74)</f>
        <v>4681.8985588169189</v>
      </c>
      <c r="K125" s="152">
        <f>IF(K34=0,0,1000000*K34/TrRoad_act!K74)</f>
        <v>4592.7161731508813</v>
      </c>
      <c r="L125" s="152">
        <f>IF(L34=0,0,1000000*L34/TrRoad_act!L74)</f>
        <v>4507.7295421869812</v>
      </c>
      <c r="M125" s="152">
        <f>IF(M34=0,0,1000000*M34/TrRoad_act!M74)</f>
        <v>4287.485936704491</v>
      </c>
      <c r="N125" s="152">
        <f>IF(N34=0,0,1000000*N34/TrRoad_act!N74)</f>
        <v>4149.2916083020737</v>
      </c>
      <c r="O125" s="152">
        <f>IF(O34=0,0,1000000*O34/TrRoad_act!O74)</f>
        <v>3846.5579672532103</v>
      </c>
      <c r="P125" s="152">
        <f>IF(P34=0,0,1000000*P34/TrRoad_act!P74)</f>
        <v>4099.5495900341757</v>
      </c>
      <c r="Q125" s="152">
        <f>IF(Q34=0,0,1000000*Q34/TrRoad_act!Q74)</f>
        <v>4224.9961375066396</v>
      </c>
      <c r="R125" s="152">
        <f>IF(R34=0,0,1000000*R34/TrRoad_act!R74)</f>
        <v>4105.4294886718071</v>
      </c>
      <c r="S125" s="152">
        <f>IF(S34=0,0,1000000*S34/TrRoad_act!S74)</f>
        <v>4211.8851688247751</v>
      </c>
      <c r="T125" s="152">
        <f>IF(T34=0,0,1000000*T34/TrRoad_act!T74)</f>
        <v>4243.3563553656386</v>
      </c>
      <c r="U125" s="152">
        <f>IF(U34=0,0,1000000*U34/TrRoad_act!U74)</f>
        <v>4226.8861460849894</v>
      </c>
      <c r="V125" s="152">
        <f>IF(V34=0,0,1000000*V34/TrRoad_act!V74)</f>
        <v>3955.4854984309491</v>
      </c>
      <c r="W125" s="152">
        <f>IF(W34=0,0,1000000*W34/TrRoad_act!W74)</f>
        <v>4175.5426611595813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3404.5469309930495</v>
      </c>
      <c r="C126" s="87">
        <f>IF(C35=0,0,1000000*C35/TrRoad_act!C75)</f>
        <v>3353.3375058634824</v>
      </c>
      <c r="D126" s="87">
        <f>IF(D35=0,0,1000000*D35/TrRoad_act!D75)</f>
        <v>3317.8533940901007</v>
      </c>
      <c r="E126" s="87">
        <f>IF(E35=0,0,1000000*E35/TrRoad_act!E75)</f>
        <v>3280.9284325555845</v>
      </c>
      <c r="F126" s="87">
        <f>IF(F35=0,0,1000000*F35/TrRoad_act!F75)</f>
        <v>3240.1489760522531</v>
      </c>
      <c r="G126" s="87">
        <f>IF(G35=0,0,1000000*G35/TrRoad_act!G75)</f>
        <v>3198.4495240148844</v>
      </c>
      <c r="H126" s="87">
        <f>IF(H35=0,0,1000000*H35/TrRoad_act!H75)</f>
        <v>3129.8308925123752</v>
      </c>
      <c r="I126" s="87">
        <f>IF(I35=0,0,1000000*I35/TrRoad_act!I75)</f>
        <v>3018.3921202836368</v>
      </c>
      <c r="J126" s="87">
        <f>IF(J35=0,0,1000000*J35/TrRoad_act!J75)</f>
        <v>2895.3574345069455</v>
      </c>
      <c r="K126" s="87">
        <f>IF(K35=0,0,1000000*K35/TrRoad_act!K75)</f>
        <v>2807.8613273590827</v>
      </c>
      <c r="L126" s="87">
        <f>IF(L35=0,0,1000000*L35/TrRoad_act!L75)</f>
        <v>2693.2942761265044</v>
      </c>
      <c r="M126" s="87">
        <f>IF(M35=0,0,1000000*M35/TrRoad_act!M75)</f>
        <v>2617.6587509461942</v>
      </c>
      <c r="N126" s="87">
        <f>IF(N35=0,0,1000000*N35/TrRoad_act!N75)</f>
        <v>2551.7730110648749</v>
      </c>
      <c r="O126" s="87">
        <f>IF(O35=0,0,1000000*O35/TrRoad_act!O75)</f>
        <v>2382.86172812313</v>
      </c>
      <c r="P126" s="87">
        <f>IF(P35=0,0,1000000*P35/TrRoad_act!P75)</f>
        <v>2213.1527448639026</v>
      </c>
      <c r="Q126" s="87">
        <f>IF(Q35=0,0,1000000*Q35/TrRoad_act!Q75)</f>
        <v>2153.0408840431473</v>
      </c>
      <c r="R126" s="87">
        <f>IF(R35=0,0,1000000*R35/TrRoad_act!R75)</f>
        <v>2178.1076969346591</v>
      </c>
      <c r="S126" s="87">
        <f>IF(S35=0,0,1000000*S35/TrRoad_act!S75)</f>
        <v>2214.4819859605832</v>
      </c>
      <c r="T126" s="87">
        <f>IF(T35=0,0,1000000*T35/TrRoad_act!T75)</f>
        <v>2269.7014767581877</v>
      </c>
      <c r="U126" s="87">
        <f>IF(U35=0,0,1000000*U35/TrRoad_act!U75)</f>
        <v>2354.0017102707857</v>
      </c>
      <c r="V126" s="87">
        <f>IF(V35=0,0,1000000*V35/TrRoad_act!V75)</f>
        <v>2264.6057941843751</v>
      </c>
      <c r="W126" s="87">
        <f>IF(W35=0,0,1000000*W35/TrRoad_act!W75)</f>
        <v>2259.36239738223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5444.5660176019674</v>
      </c>
      <c r="C127" s="87">
        <f>IF(C36=0,0,1000000*C36/TrRoad_act!C76)</f>
        <v>5312.603422697498</v>
      </c>
      <c r="D127" s="87">
        <f>IF(D36=0,0,1000000*D36/TrRoad_act!D76)</f>
        <v>5401.7968441256708</v>
      </c>
      <c r="E127" s="87">
        <f>IF(E36=0,0,1000000*E36/TrRoad_act!E76)</f>
        <v>5383.4779067796835</v>
      </c>
      <c r="F127" s="87">
        <f>IF(F36=0,0,1000000*F36/TrRoad_act!F76)</f>
        <v>5313.6697318881115</v>
      </c>
      <c r="G127" s="87">
        <f>IF(G36=0,0,1000000*G36/TrRoad_act!G76)</f>
        <v>5467.7338523938779</v>
      </c>
      <c r="H127" s="87">
        <f>IF(H36=0,0,1000000*H36/TrRoad_act!H76)</f>
        <v>5367.3212361798223</v>
      </c>
      <c r="I127" s="87">
        <f>IF(I36=0,0,1000000*I36/TrRoad_act!I76)</f>
        <v>5126.7520079431715</v>
      </c>
      <c r="J127" s="87">
        <f>IF(J36=0,0,1000000*J36/TrRoad_act!J76)</f>
        <v>4913.6831550886454</v>
      </c>
      <c r="K127" s="87">
        <f>IF(K36=0,0,1000000*K36/TrRoad_act!K76)</f>
        <v>4773.0348740725804</v>
      </c>
      <c r="L127" s="87">
        <f>IF(L36=0,0,1000000*L36/TrRoad_act!L76)</f>
        <v>4704.3024036275892</v>
      </c>
      <c r="M127" s="87">
        <f>IF(M36=0,0,1000000*M36/TrRoad_act!M76)</f>
        <v>4439.8901760257068</v>
      </c>
      <c r="N127" s="87">
        <f>IF(N36=0,0,1000000*N36/TrRoad_act!N76)</f>
        <v>4284.5734203084558</v>
      </c>
      <c r="O127" s="87">
        <f>IF(O36=0,0,1000000*O36/TrRoad_act!O76)</f>
        <v>3960.0556797885433</v>
      </c>
      <c r="P127" s="87">
        <f>IF(P36=0,0,1000000*P36/TrRoad_act!P76)</f>
        <v>4231.5759627625785</v>
      </c>
      <c r="Q127" s="87">
        <f>IF(Q36=0,0,1000000*Q36/TrRoad_act!Q76)</f>
        <v>4354.2051341269889</v>
      </c>
      <c r="R127" s="87">
        <f>IF(R36=0,0,1000000*R36/TrRoad_act!R76)</f>
        <v>4211.2503049020452</v>
      </c>
      <c r="S127" s="87">
        <f>IF(S36=0,0,1000000*S36/TrRoad_act!S76)</f>
        <v>4312.6210076505049</v>
      </c>
      <c r="T127" s="87">
        <f>IF(T36=0,0,1000000*T36/TrRoad_act!T76)</f>
        <v>4337.0538551632708</v>
      </c>
      <c r="U127" s="87">
        <f>IF(U36=0,0,1000000*U36/TrRoad_act!U76)</f>
        <v>4310.4339798404771</v>
      </c>
      <c r="V127" s="87">
        <f>IF(V36=0,0,1000000*V36/TrRoad_act!V76)</f>
        <v>4027.3386176461727</v>
      </c>
      <c r="W127" s="87">
        <f>IF(W36=0,0,1000000*W36/TrRoad_act!W76)</f>
        <v>4255.1744438234145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2334.5975290406845</v>
      </c>
      <c r="D128" s="87">
        <f>IF(D37=0,0,1000000*D37/TrRoad_act!D77)</f>
        <v>2333.7599290472358</v>
      </c>
      <c r="E128" s="87">
        <f>IF(E37=0,0,1000000*E37/TrRoad_act!E77)</f>
        <v>2332.83369765205</v>
      </c>
      <c r="F128" s="87">
        <f>IF(F37=0,0,1000000*F37/TrRoad_act!F77)</f>
        <v>2331.8181087030484</v>
      </c>
      <c r="G128" s="87">
        <f>IF(G37=0,0,1000000*G37/TrRoad_act!G77)</f>
        <v>2342.2745195995681</v>
      </c>
      <c r="H128" s="87">
        <f>IF(H37=0,0,1000000*H37/TrRoad_act!H77)</f>
        <v>2364.971023346598</v>
      </c>
      <c r="I128" s="87">
        <f>IF(I37=0,0,1000000*I37/TrRoad_act!I77)</f>
        <v>2387.9886658753107</v>
      </c>
      <c r="J128" s="87">
        <f>IF(J37=0,0,1000000*J37/TrRoad_act!J77)</f>
        <v>2411.3039757274851</v>
      </c>
      <c r="K128" s="87">
        <f>IF(K37=0,0,1000000*K37/TrRoad_act!K77)</f>
        <v>2434.4726276382062</v>
      </c>
      <c r="L128" s="87">
        <f>IF(L37=0,0,1000000*L37/TrRoad_act!L77)</f>
        <v>2457.8444801450196</v>
      </c>
      <c r="M128" s="87">
        <f>IF(M37=0,0,1000000*M37/TrRoad_act!M77)</f>
        <v>2481.4124542140744</v>
      </c>
      <c r="N128" s="87">
        <f>IF(N37=0,0,1000000*N37/TrRoad_act!N77)</f>
        <v>2502.9013576286238</v>
      </c>
      <c r="O128" s="87">
        <f>IF(O37=0,0,1000000*O37/TrRoad_act!O77)</f>
        <v>2526.7040522527891</v>
      </c>
      <c r="P128" s="87">
        <f>IF(P37=0,0,1000000*P37/TrRoad_act!P77)</f>
        <v>2550.7165531138994</v>
      </c>
      <c r="Q128" s="87">
        <f>IF(Q37=0,0,1000000*Q37/TrRoad_act!Q77)</f>
        <v>2542.1896448892926</v>
      </c>
      <c r="R128" s="87">
        <f>IF(R37=0,0,1000000*R37/TrRoad_act!R77)</f>
        <v>2511.8227290828031</v>
      </c>
      <c r="S128" s="87">
        <f>IF(S37=0,0,1000000*S37/TrRoad_act!S77)</f>
        <v>2479.0041359576458</v>
      </c>
      <c r="T128" s="87">
        <f>IF(T37=0,0,1000000*T37/TrRoad_act!T77)</f>
        <v>2445.745364923278</v>
      </c>
      <c r="U128" s="87">
        <f>IF(U37=0,0,1000000*U37/TrRoad_act!U77)</f>
        <v>2405.9767329049168</v>
      </c>
      <c r="V128" s="87">
        <f>IF(V37=0,0,1000000*V37/TrRoad_act!V77)</f>
        <v>2243.3528588226986</v>
      </c>
      <c r="W128" s="87">
        <f>IF(W37=0,0,1000000*W37/TrRoad_act!W77)</f>
        <v>2146.2540561803266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2555.8196759674406</v>
      </c>
      <c r="C129" s="87">
        <f>IF(C38=0,0,1000000*C38/TrRoad_act!C78)</f>
        <v>2433.1639917260463</v>
      </c>
      <c r="D129" s="87">
        <f>IF(D38=0,0,1000000*D38/TrRoad_act!D78)</f>
        <v>2432.2910283487713</v>
      </c>
      <c r="E129" s="87">
        <f>IF(E38=0,0,1000000*E38/TrRoad_act!E78)</f>
        <v>2431.3256915612792</v>
      </c>
      <c r="F129" s="87">
        <f>IF(F38=0,0,1000000*F38/TrRoad_act!F78)</f>
        <v>2430.2672245534245</v>
      </c>
      <c r="G129" s="87">
        <f>IF(G38=0,0,1000000*G38/TrRoad_act!G78)</f>
        <v>2429.336730935594</v>
      </c>
      <c r="H129" s="87">
        <f>IF(H38=0,0,1000000*H38/TrRoad_act!H78)</f>
        <v>2428.3480938180014</v>
      </c>
      <c r="I129" s="87">
        <f>IF(I38=0,0,1000000*I38/TrRoad_act!I78)</f>
        <v>2427.4627430594023</v>
      </c>
      <c r="J129" s="87">
        <f>IF(J38=0,0,1000000*J38/TrRoad_act!J78)</f>
        <v>2426.6518264703382</v>
      </c>
      <c r="K129" s="87">
        <f>IF(K38=0,0,1000000*K38/TrRoad_act!K78)</f>
        <v>2425.4682664396555</v>
      </c>
      <c r="L129" s="87">
        <f>IF(L38=0,0,1000000*L38/TrRoad_act!L78)</f>
        <v>2424.2661369566836</v>
      </c>
      <c r="M129" s="87">
        <f>IF(M38=0,0,1000000*M38/TrRoad_act!M78)</f>
        <v>2423.037011022207</v>
      </c>
      <c r="N129" s="87">
        <f>IF(N38=0,0,1000000*N38/TrRoad_act!N78)</f>
        <v>1775.1563209871797</v>
      </c>
      <c r="O129" s="87">
        <f>IF(O38=0,0,1000000*O38/TrRoad_act!O78)</f>
        <v>1761.7712812621758</v>
      </c>
      <c r="P129" s="87">
        <f>IF(P38=0,0,1000000*P38/TrRoad_act!P78)</f>
        <v>1732.88597646537</v>
      </c>
      <c r="Q129" s="87">
        <f>IF(Q38=0,0,1000000*Q38/TrRoad_act!Q78)</f>
        <v>2123.7788900043079</v>
      </c>
      <c r="R129" s="87">
        <f>IF(R38=0,0,1000000*R38/TrRoad_act!R78)</f>
        <v>2148.9403073168078</v>
      </c>
      <c r="S129" s="87">
        <f>IF(S38=0,0,1000000*S38/TrRoad_act!S78)</f>
        <v>2120.3301848308738</v>
      </c>
      <c r="T129" s="87">
        <f>IF(T38=0,0,1000000*T38/TrRoad_act!T78)</f>
        <v>2167.8215301205869</v>
      </c>
      <c r="U129" s="87">
        <f>IF(U38=0,0,1000000*U38/TrRoad_act!U78)</f>
        <v>2155.596131627944</v>
      </c>
      <c r="V129" s="87">
        <f>IF(V38=0,0,1000000*V38/TrRoad_act!V78)</f>
        <v>2122.9866738284336</v>
      </c>
      <c r="W129" s="87">
        <f>IF(W38=0,0,1000000*W38/TrRoad_act!W78)</f>
        <v>2121.7478957573571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15175.94118070261</v>
      </c>
      <c r="C131" s="116">
        <f>IF(C40=0,0,1000000*C40/TrRoad_act!C80)</f>
        <v>15792.450009362632</v>
      </c>
      <c r="D131" s="116">
        <f>IF(D40=0,0,1000000*D40/TrRoad_act!D80)</f>
        <v>16931.724423863423</v>
      </c>
      <c r="E131" s="116">
        <f>IF(E40=0,0,1000000*E40/TrRoad_act!E80)</f>
        <v>17323.370377478848</v>
      </c>
      <c r="F131" s="116">
        <f>IF(F40=0,0,1000000*F40/TrRoad_act!F80)</f>
        <v>19367.92106510685</v>
      </c>
      <c r="G131" s="116">
        <f>IF(G40=0,0,1000000*G40/TrRoad_act!G80)</f>
        <v>24070.901507880084</v>
      </c>
      <c r="H131" s="116">
        <f>IF(H40=0,0,1000000*H40/TrRoad_act!H80)</f>
        <v>24278.411827382159</v>
      </c>
      <c r="I131" s="116">
        <f>IF(I40=0,0,1000000*I40/TrRoad_act!I80)</f>
        <v>24017.852332874187</v>
      </c>
      <c r="J131" s="116">
        <f>IF(J40=0,0,1000000*J40/TrRoad_act!J80)</f>
        <v>26258.248049561509</v>
      </c>
      <c r="K131" s="116">
        <f>IF(K40=0,0,1000000*K40/TrRoad_act!K80)</f>
        <v>38081.459236074268</v>
      </c>
      <c r="L131" s="116">
        <f>IF(L40=0,0,1000000*L40/TrRoad_act!L80)</f>
        <v>22247.256316995354</v>
      </c>
      <c r="M131" s="116">
        <f>IF(M40=0,0,1000000*M40/TrRoad_act!M80)</f>
        <v>21840.165256274886</v>
      </c>
      <c r="N131" s="116">
        <f>IF(N40=0,0,1000000*N40/TrRoad_act!N80)</f>
        <v>20820.14399719764</v>
      </c>
      <c r="O131" s="116">
        <f>IF(O40=0,0,1000000*O40/TrRoad_act!O80)</f>
        <v>19602.620374623846</v>
      </c>
      <c r="P131" s="116">
        <f>IF(P40=0,0,1000000*P40/TrRoad_act!P80)</f>
        <v>25355.236191885731</v>
      </c>
      <c r="Q131" s="116">
        <f>IF(Q40=0,0,1000000*Q40/TrRoad_act!Q80)</f>
        <v>29350.571891660889</v>
      </c>
      <c r="R131" s="116">
        <f>IF(R40=0,0,1000000*R40/TrRoad_act!R80)</f>
        <v>27111.810195439321</v>
      </c>
      <c r="S131" s="116">
        <f>IF(S40=0,0,1000000*S40/TrRoad_act!S80)</f>
        <v>26969.427704995127</v>
      </c>
      <c r="T131" s="116">
        <f>IF(T40=0,0,1000000*T40/TrRoad_act!T80)</f>
        <v>26441.978351387064</v>
      </c>
      <c r="U131" s="116">
        <f>IF(U40=0,0,1000000*U40/TrRoad_act!U80)</f>
        <v>24909.69735126169</v>
      </c>
      <c r="V131" s="116">
        <f>IF(V40=0,0,1000000*V40/TrRoad_act!V80)</f>
        <v>17452.189227871251</v>
      </c>
      <c r="W131" s="116">
        <f>IF(W40=0,0,1000000*W40/TrRoad_act!W80)</f>
        <v>21727.679246156142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10218.978673650876</v>
      </c>
      <c r="C132" s="101">
        <f>IF(C41=0,0,1000000*C41/TrRoad_act!C81)</f>
        <v>10067.429058087191</v>
      </c>
      <c r="D132" s="101">
        <f>IF(D41=0,0,1000000*D41/TrRoad_act!D81)</f>
        <v>9804.4636628855587</v>
      </c>
      <c r="E132" s="101">
        <f>IF(E41=0,0,1000000*E41/TrRoad_act!E81)</f>
        <v>9677.7310902195604</v>
      </c>
      <c r="F132" s="101">
        <f>IF(F41=0,0,1000000*F41/TrRoad_act!F81)</f>
        <v>10411.740768257305</v>
      </c>
      <c r="G132" s="101">
        <f>IF(G41=0,0,1000000*G41/TrRoad_act!G81)</f>
        <v>13924.372486811491</v>
      </c>
      <c r="H132" s="101">
        <f>IF(H41=0,0,1000000*H41/TrRoad_act!H81)</f>
        <v>13831.000254817915</v>
      </c>
      <c r="I132" s="101">
        <f>IF(I41=0,0,1000000*I41/TrRoad_act!I81)</f>
        <v>14206.025483594076</v>
      </c>
      <c r="J132" s="101">
        <f>IF(J41=0,0,1000000*J41/TrRoad_act!J81)</f>
        <v>14508.435405461678</v>
      </c>
      <c r="K132" s="101">
        <f>IF(K41=0,0,1000000*K41/TrRoad_act!K81)</f>
        <v>24463.568799554505</v>
      </c>
      <c r="L132" s="101">
        <f>IF(L41=0,0,1000000*L41/TrRoad_act!L81)</f>
        <v>12713.722649523388</v>
      </c>
      <c r="M132" s="101">
        <f>IF(M41=0,0,1000000*M41/TrRoad_act!M81)</f>
        <v>13040.939584968612</v>
      </c>
      <c r="N132" s="101">
        <f>IF(N41=0,0,1000000*N41/TrRoad_act!N81)</f>
        <v>12372.859787496061</v>
      </c>
      <c r="O132" s="101">
        <f>IF(O41=0,0,1000000*O41/TrRoad_act!O81)</f>
        <v>13338.975809085334</v>
      </c>
      <c r="P132" s="101">
        <f>IF(P41=0,0,1000000*P41/TrRoad_act!P81)</f>
        <v>14602.471343409468</v>
      </c>
      <c r="Q132" s="101">
        <f>IF(Q41=0,0,1000000*Q41/TrRoad_act!Q81)</f>
        <v>15709.012424881645</v>
      </c>
      <c r="R132" s="101">
        <f>IF(R41=0,0,1000000*R41/TrRoad_act!R81)</f>
        <v>15416.448502547897</v>
      </c>
      <c r="S132" s="101">
        <f>IF(S41=0,0,1000000*S41/TrRoad_act!S81)</f>
        <v>14424.402921268775</v>
      </c>
      <c r="T132" s="101">
        <f>IF(T41=0,0,1000000*T41/TrRoad_act!T81)</f>
        <v>14443.008826974672</v>
      </c>
      <c r="U132" s="101">
        <f>IF(U41=0,0,1000000*U41/TrRoad_act!U81)</f>
        <v>13857.586308567903</v>
      </c>
      <c r="V132" s="101">
        <f>IF(V41=0,0,1000000*V41/TrRoad_act!V81)</f>
        <v>11345.221277423119</v>
      </c>
      <c r="W132" s="101">
        <f>IF(W41=0,0,1000000*W41/TrRoad_act!W81)</f>
        <v>13142.964663821147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109823.06429896739</v>
      </c>
      <c r="C133" s="88">
        <f>IF(C42=0,0,1000000*C42/TrRoad_act!C82)</f>
        <v>121375.76543878637</v>
      </c>
      <c r="D133" s="88">
        <f>IF(D42=0,0,1000000*D42/TrRoad_act!D82)</f>
        <v>145973.99875787873</v>
      </c>
      <c r="E133" s="88">
        <f>IF(E42=0,0,1000000*E42/TrRoad_act!E82)</f>
        <v>155994.15787591939</v>
      </c>
      <c r="F133" s="88">
        <f>IF(F42=0,0,1000000*F42/TrRoad_act!F82)</f>
        <v>154678.77850813486</v>
      </c>
      <c r="G133" s="88">
        <f>IF(G42=0,0,1000000*G42/TrRoad_act!G82)</f>
        <v>176143.79157188869</v>
      </c>
      <c r="H133" s="88">
        <f>IF(H42=0,0,1000000*H42/TrRoad_act!H82)</f>
        <v>180898.62799579714</v>
      </c>
      <c r="I133" s="88">
        <f>IF(I42=0,0,1000000*I42/TrRoad_act!I82)</f>
        <v>156275.57867069615</v>
      </c>
      <c r="J133" s="88">
        <f>IF(J42=0,0,1000000*J42/TrRoad_act!J82)</f>
        <v>154538.64786064246</v>
      </c>
      <c r="K133" s="88">
        <f>IF(K42=0,0,1000000*K42/TrRoad_act!K82)</f>
        <v>162195.6783390379</v>
      </c>
      <c r="L133" s="88">
        <f>IF(L42=0,0,1000000*L42/TrRoad_act!L82)</f>
        <v>168299.10313381065</v>
      </c>
      <c r="M133" s="88">
        <f>IF(M42=0,0,1000000*M42/TrRoad_act!M82)</f>
        <v>130994.49451452066</v>
      </c>
      <c r="N133" s="88">
        <f>IF(N42=0,0,1000000*N42/TrRoad_act!N82)</f>
        <v>112340.51658767246</v>
      </c>
      <c r="O133" s="88">
        <f>IF(O42=0,0,1000000*O42/TrRoad_act!O82)</f>
        <v>76518.303098660399</v>
      </c>
      <c r="P133" s="88">
        <f>IF(P42=0,0,1000000*P42/TrRoad_act!P82)</f>
        <v>123884.46323355114</v>
      </c>
      <c r="Q133" s="88">
        <f>IF(Q42=0,0,1000000*Q42/TrRoad_act!Q82)</f>
        <v>149405.41444296052</v>
      </c>
      <c r="R133" s="88">
        <f>IF(R42=0,0,1000000*R42/TrRoad_act!R82)</f>
        <v>124557.04529621472</v>
      </c>
      <c r="S133" s="88">
        <f>IF(S42=0,0,1000000*S42/TrRoad_act!S82)</f>
        <v>129628.50338611196</v>
      </c>
      <c r="T133" s="88">
        <f>IF(T42=0,0,1000000*T42/TrRoad_act!T82)</f>
        <v>133462.40367690197</v>
      </c>
      <c r="U133" s="88">
        <f>IF(U42=0,0,1000000*U42/TrRoad_act!U82)</f>
        <v>125902.04079649002</v>
      </c>
      <c r="V133" s="88">
        <f>IF(V42=0,0,1000000*V42/TrRoad_act!V82)</f>
        <v>79390.206610778798</v>
      </c>
      <c r="W133" s="88">
        <f>IF(W42=0,0,1000000*W42/TrRoad_act!W82)</f>
        <v>102860.60016752609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0.65400841029078671</v>
      </c>
      <c r="C136" s="46">
        <f t="shared" si="40"/>
        <v>0.65087626183633451</v>
      </c>
      <c r="D136" s="46">
        <f t="shared" si="40"/>
        <v>0.63967051795157093</v>
      </c>
      <c r="E136" s="46">
        <f t="shared" si="40"/>
        <v>0.63949766965279331</v>
      </c>
      <c r="F136" s="46">
        <f t="shared" si="40"/>
        <v>0.62913395194308586</v>
      </c>
      <c r="G136" s="46">
        <f t="shared" si="40"/>
        <v>0.58585986578710247</v>
      </c>
      <c r="H136" s="46">
        <f t="shared" si="40"/>
        <v>0.58686791514482461</v>
      </c>
      <c r="I136" s="46">
        <f t="shared" si="40"/>
        <v>0.59769734558127774</v>
      </c>
      <c r="J136" s="46">
        <f t="shared" si="40"/>
        <v>0.58927126460453727</v>
      </c>
      <c r="K136" s="46">
        <f t="shared" si="40"/>
        <v>0.6023988832996412</v>
      </c>
      <c r="L136" s="46">
        <f t="shared" si="41"/>
        <v>0.6121786052169006</v>
      </c>
      <c r="M136" s="46">
        <f t="shared" si="40"/>
        <v>0.62209030645622809</v>
      </c>
      <c r="N136" s="46">
        <f t="shared" si="40"/>
        <v>0.64686860606173968</v>
      </c>
      <c r="O136" s="46">
        <f t="shared" si="40"/>
        <v>0.66615389755625387</v>
      </c>
      <c r="P136" s="46">
        <f t="shared" si="40"/>
        <v>0.6306360939662019</v>
      </c>
      <c r="Q136" s="46">
        <f t="shared" si="40"/>
        <v>0.61471368171610641</v>
      </c>
      <c r="R136" s="46">
        <f t="shared" si="40"/>
        <v>0.63051040479816667</v>
      </c>
      <c r="S136" s="46">
        <f t="shared" si="40"/>
        <v>0.62731020867980902</v>
      </c>
      <c r="T136" s="46">
        <f t="shared" si="40"/>
        <v>0.62774577864858316</v>
      </c>
      <c r="U136" s="46">
        <f t="shared" si="40"/>
        <v>0.64552488787739659</v>
      </c>
      <c r="V136" s="46">
        <f t="shared" si="40"/>
        <v>0.65961980591572789</v>
      </c>
      <c r="W136" s="46">
        <f t="shared" si="42"/>
        <v>0.63441073371361301</v>
      </c>
      <c r="DA136" s="211"/>
    </row>
    <row r="137" spans="1:105" ht="11.45" customHeight="1" x14ac:dyDescent="0.25">
      <c r="A137" s="153" t="s">
        <v>180</v>
      </c>
      <c r="B137" s="154">
        <f t="shared" si="40"/>
        <v>3.9535779625794621E-3</v>
      </c>
      <c r="C137" s="154">
        <f t="shared" si="40"/>
        <v>3.8067250320286631E-3</v>
      </c>
      <c r="D137" s="154">
        <f t="shared" si="40"/>
        <v>3.7046731367869398E-3</v>
      </c>
      <c r="E137" s="154">
        <f t="shared" si="40"/>
        <v>3.7185910810974875E-3</v>
      </c>
      <c r="F137" s="154">
        <f t="shared" si="40"/>
        <v>3.842283883056703E-3</v>
      </c>
      <c r="G137" s="154">
        <f t="shared" si="40"/>
        <v>3.7560868331949727E-3</v>
      </c>
      <c r="H137" s="154">
        <f t="shared" si="40"/>
        <v>3.6656361632337836E-3</v>
      </c>
      <c r="I137" s="154">
        <f t="shared" si="40"/>
        <v>3.6897660981776922E-3</v>
      </c>
      <c r="J137" s="154">
        <f t="shared" si="40"/>
        <v>3.7739778123044606E-3</v>
      </c>
      <c r="K137" s="154">
        <f t="shared" si="40"/>
        <v>3.7690925590839214E-3</v>
      </c>
      <c r="L137" s="154">
        <f t="shared" si="41"/>
        <v>4.0944774956404558E-3</v>
      </c>
      <c r="M137" s="154">
        <f t="shared" si="40"/>
        <v>4.5418100281285892E-3</v>
      </c>
      <c r="N137" s="154">
        <f t="shared" si="40"/>
        <v>4.786113762268447E-3</v>
      </c>
      <c r="O137" s="154">
        <f t="shared" si="40"/>
        <v>5.3500100054183269E-3</v>
      </c>
      <c r="P137" s="154">
        <f t="shared" si="40"/>
        <v>4.7743725682851323E-3</v>
      </c>
      <c r="Q137" s="154">
        <f t="shared" si="40"/>
        <v>4.3852286884512063E-3</v>
      </c>
      <c r="R137" s="154">
        <f t="shared" si="40"/>
        <v>4.2483217285841108E-3</v>
      </c>
      <c r="S137" s="154">
        <f t="shared" si="40"/>
        <v>4.1883837963853626E-3</v>
      </c>
      <c r="T137" s="154">
        <f t="shared" si="40"/>
        <v>4.1186097398252788E-3</v>
      </c>
      <c r="U137" s="154">
        <f t="shared" si="40"/>
        <v>3.9717375140139299E-3</v>
      </c>
      <c r="V137" s="154">
        <f t="shared" si="40"/>
        <v>4.1118297738453394E-3</v>
      </c>
      <c r="W137" s="154">
        <f t="shared" si="42"/>
        <v>3.5564343585547721E-3</v>
      </c>
      <c r="DA137" s="212"/>
    </row>
    <row r="138" spans="1:105" ht="11.45" customHeight="1" x14ac:dyDescent="0.25">
      <c r="A138" s="155" t="s">
        <v>20</v>
      </c>
      <c r="B138" s="156">
        <f t="shared" si="40"/>
        <v>0.51458635898152383</v>
      </c>
      <c r="C138" s="156">
        <f t="shared" si="40"/>
        <v>0.51834779787020557</v>
      </c>
      <c r="D138" s="156">
        <f t="shared" si="40"/>
        <v>0.51136905761243512</v>
      </c>
      <c r="E138" s="156">
        <f t="shared" si="40"/>
        <v>0.51640910079076829</v>
      </c>
      <c r="F138" s="156">
        <f t="shared" si="40"/>
        <v>0.51571308787184245</v>
      </c>
      <c r="G138" s="156">
        <f t="shared" si="40"/>
        <v>0.47792885089263287</v>
      </c>
      <c r="H138" s="156">
        <f t="shared" si="40"/>
        <v>0.47781189274641594</v>
      </c>
      <c r="I138" s="156">
        <f t="shared" si="40"/>
        <v>0.49160326785520303</v>
      </c>
      <c r="J138" s="156">
        <f t="shared" si="40"/>
        <v>0.49350918015952122</v>
      </c>
      <c r="K138" s="156">
        <f t="shared" si="40"/>
        <v>0.50954162517212376</v>
      </c>
      <c r="L138" s="156">
        <f t="shared" si="41"/>
        <v>0.50859395766115645</v>
      </c>
      <c r="M138" s="156">
        <f t="shared" si="40"/>
        <v>0.51674510256463391</v>
      </c>
      <c r="N138" s="156">
        <f t="shared" si="40"/>
        <v>0.54025766996997904</v>
      </c>
      <c r="O138" s="156">
        <f t="shared" si="40"/>
        <v>0.55621582859550212</v>
      </c>
      <c r="P138" s="156">
        <f t="shared" si="40"/>
        <v>0.52221635565481461</v>
      </c>
      <c r="Q138" s="156">
        <f t="shared" si="40"/>
        <v>0.5110419316520779</v>
      </c>
      <c r="R138" s="156">
        <f t="shared" si="40"/>
        <v>0.52884104957990763</v>
      </c>
      <c r="S138" s="156">
        <f t="shared" si="40"/>
        <v>0.52526930796685523</v>
      </c>
      <c r="T138" s="156">
        <f t="shared" si="40"/>
        <v>0.52935560278249738</v>
      </c>
      <c r="U138" s="156">
        <f t="shared" si="40"/>
        <v>0.55291990150076076</v>
      </c>
      <c r="V138" s="156">
        <f t="shared" si="40"/>
        <v>0.57355411372818466</v>
      </c>
      <c r="W138" s="156">
        <f t="shared" si="42"/>
        <v>0.55022187509951204</v>
      </c>
      <c r="DA138" s="213"/>
    </row>
    <row r="139" spans="1:105" ht="11.45" customHeight="1" x14ac:dyDescent="0.25">
      <c r="A139" s="157" t="s">
        <v>110</v>
      </c>
      <c r="B139" s="103">
        <f t="shared" si="40"/>
        <v>0.43508626607306827</v>
      </c>
      <c r="C139" s="103">
        <f t="shared" si="40"/>
        <v>0.43311989542312623</v>
      </c>
      <c r="D139" s="103">
        <f t="shared" si="40"/>
        <v>0.41909593066157824</v>
      </c>
      <c r="E139" s="103">
        <f t="shared" si="40"/>
        <v>0.40274979109901488</v>
      </c>
      <c r="F139" s="103">
        <f t="shared" si="40"/>
        <v>0.39039199063551955</v>
      </c>
      <c r="G139" s="103">
        <f t="shared" si="40"/>
        <v>0.3710574391000051</v>
      </c>
      <c r="H139" s="103">
        <f t="shared" si="40"/>
        <v>0.35479855767910456</v>
      </c>
      <c r="I139" s="103">
        <f t="shared" si="40"/>
        <v>0.35630675600126127</v>
      </c>
      <c r="J139" s="103">
        <f t="shared" si="40"/>
        <v>0.35083170646077372</v>
      </c>
      <c r="K139" s="103">
        <f t="shared" si="40"/>
        <v>0.35415810221922606</v>
      </c>
      <c r="L139" s="103">
        <f t="shared" si="41"/>
        <v>0.33448708062625476</v>
      </c>
      <c r="M139" s="103">
        <f t="shared" si="40"/>
        <v>0.33349539808621481</v>
      </c>
      <c r="N139" s="103">
        <f t="shared" si="40"/>
        <v>0.34158617373847933</v>
      </c>
      <c r="O139" s="103">
        <f t="shared" si="40"/>
        <v>0.34575042101935549</v>
      </c>
      <c r="P139" s="103">
        <f t="shared" si="40"/>
        <v>0.33148571038296015</v>
      </c>
      <c r="Q139" s="103">
        <f t="shared" si="40"/>
        <v>0.31222921615305887</v>
      </c>
      <c r="R139" s="103">
        <f t="shared" si="40"/>
        <v>0.31375917758706606</v>
      </c>
      <c r="S139" s="103">
        <f t="shared" si="40"/>
        <v>0.30279159417976481</v>
      </c>
      <c r="T139" s="103">
        <f t="shared" si="40"/>
        <v>0.29782273146034299</v>
      </c>
      <c r="U139" s="103">
        <f t="shared" si="40"/>
        <v>0.30315395574596815</v>
      </c>
      <c r="V139" s="103">
        <f t="shared" si="40"/>
        <v>0.30659605603223189</v>
      </c>
      <c r="W139" s="103">
        <f t="shared" si="42"/>
        <v>0.29196536692379466</v>
      </c>
      <c r="DA139" s="191"/>
    </row>
    <row r="140" spans="1:105" ht="11.45" customHeight="1" x14ac:dyDescent="0.25">
      <c r="A140" s="157" t="s">
        <v>111</v>
      </c>
      <c r="B140" s="103">
        <f t="shared" si="40"/>
        <v>7.9500092908455541E-2</v>
      </c>
      <c r="C140" s="103">
        <f t="shared" si="40"/>
        <v>8.462921795025713E-2</v>
      </c>
      <c r="D140" s="103">
        <f t="shared" si="40"/>
        <v>9.1709809607547974E-2</v>
      </c>
      <c r="E140" s="103">
        <f t="shared" si="40"/>
        <v>0.10232000744591528</v>
      </c>
      <c r="F140" s="103">
        <f t="shared" si="40"/>
        <v>0.11569717959309897</v>
      </c>
      <c r="G140" s="103">
        <f t="shared" si="40"/>
        <v>9.9543578473769503E-2</v>
      </c>
      <c r="H140" s="103">
        <f t="shared" si="40"/>
        <v>0.11593118074198683</v>
      </c>
      <c r="I140" s="103">
        <f t="shared" si="40"/>
        <v>0.12855613124785756</v>
      </c>
      <c r="J140" s="103">
        <f t="shared" si="40"/>
        <v>0.13635979446399946</v>
      </c>
      <c r="K140" s="103">
        <f t="shared" si="40"/>
        <v>0.14973159800582814</v>
      </c>
      <c r="L140" s="103">
        <f t="shared" si="41"/>
        <v>0.16731582912904727</v>
      </c>
      <c r="M140" s="103">
        <f t="shared" si="40"/>
        <v>0.17534779367379183</v>
      </c>
      <c r="N140" s="103">
        <f t="shared" si="40"/>
        <v>0.19255243196908217</v>
      </c>
      <c r="O140" s="103">
        <f t="shared" si="40"/>
        <v>0.20135178941514989</v>
      </c>
      <c r="P140" s="103">
        <f t="shared" si="40"/>
        <v>0.18308873535715078</v>
      </c>
      <c r="Q140" s="103">
        <f t="shared" si="40"/>
        <v>0.19175927697762346</v>
      </c>
      <c r="R140" s="103">
        <f t="shared" si="40"/>
        <v>0.20872010896872303</v>
      </c>
      <c r="S140" s="103">
        <f t="shared" si="40"/>
        <v>0.21668953310601699</v>
      </c>
      <c r="T140" s="103">
        <f t="shared" si="40"/>
        <v>0.22669423307582492</v>
      </c>
      <c r="U140" s="103">
        <f t="shared" si="40"/>
        <v>0.24578174806304662</v>
      </c>
      <c r="V140" s="103">
        <f t="shared" si="40"/>
        <v>0.26347157241396135</v>
      </c>
      <c r="W140" s="103">
        <f t="shared" si="42"/>
        <v>0.25499974243881862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5.9868449682224723E-4</v>
      </c>
      <c r="D141" s="103">
        <f t="shared" si="40"/>
        <v>5.6331734330887864E-4</v>
      </c>
      <c r="E141" s="103">
        <f t="shared" si="40"/>
        <v>1.1339302245838196E-2</v>
      </c>
      <c r="F141" s="103">
        <f t="shared" si="40"/>
        <v>9.6239176432240392E-3</v>
      </c>
      <c r="G141" s="103">
        <f t="shared" si="40"/>
        <v>7.327833318858226E-3</v>
      </c>
      <c r="H141" s="103">
        <f t="shared" si="40"/>
        <v>7.0821543253244638E-3</v>
      </c>
      <c r="I141" s="103">
        <f t="shared" si="40"/>
        <v>6.7403806060841488E-3</v>
      </c>
      <c r="J141" s="103">
        <f t="shared" si="40"/>
        <v>6.3176792347480991E-3</v>
      </c>
      <c r="K141" s="103">
        <f t="shared" si="40"/>
        <v>5.65192494706952E-3</v>
      </c>
      <c r="L141" s="103">
        <f t="shared" si="41"/>
        <v>6.7906609408468748E-3</v>
      </c>
      <c r="M141" s="103">
        <f t="shared" si="40"/>
        <v>7.9014317089151683E-3</v>
      </c>
      <c r="N141" s="103">
        <f t="shared" si="40"/>
        <v>6.1182039850428962E-3</v>
      </c>
      <c r="O141" s="103">
        <f t="shared" si="40"/>
        <v>9.0583719145695581E-3</v>
      </c>
      <c r="P141" s="103">
        <f t="shared" si="40"/>
        <v>7.5581572854085026E-3</v>
      </c>
      <c r="Q141" s="103">
        <f t="shared" si="40"/>
        <v>6.8823628174980583E-3</v>
      </c>
      <c r="R141" s="103">
        <f t="shared" si="40"/>
        <v>6.1658629507609182E-3</v>
      </c>
      <c r="S141" s="103">
        <f t="shared" si="40"/>
        <v>5.574909059374967E-3</v>
      </c>
      <c r="T141" s="103">
        <f t="shared" si="40"/>
        <v>4.5936290357383256E-3</v>
      </c>
      <c r="U141" s="103">
        <f t="shared" si="40"/>
        <v>3.7097651739646845E-3</v>
      </c>
      <c r="V141" s="103">
        <f t="shared" si="40"/>
        <v>3.1229841279936128E-3</v>
      </c>
      <c r="W141" s="103">
        <f t="shared" si="42"/>
        <v>2.7991104553205487E-3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3.8696500744490763E-7</v>
      </c>
      <c r="M142" s="103">
        <f t="shared" si="40"/>
        <v>4.7909571214233913E-7</v>
      </c>
      <c r="N142" s="103">
        <f t="shared" si="40"/>
        <v>3.2872733632690705E-7</v>
      </c>
      <c r="O142" s="103">
        <f t="shared" si="40"/>
        <v>5.4671339367934158E-5</v>
      </c>
      <c r="P142" s="103">
        <f t="shared" si="40"/>
        <v>8.2528066135670162E-5</v>
      </c>
      <c r="Q142" s="103">
        <f t="shared" si="40"/>
        <v>1.6853278082668734E-4</v>
      </c>
      <c r="R142" s="103">
        <f t="shared" si="40"/>
        <v>1.8590211165828732E-4</v>
      </c>
      <c r="S142" s="103">
        <f t="shared" si="40"/>
        <v>1.9424182670177352E-4</v>
      </c>
      <c r="T142" s="103">
        <f t="shared" si="40"/>
        <v>2.0101572042059181E-4</v>
      </c>
      <c r="U142" s="103">
        <f t="shared" si="40"/>
        <v>2.0405496528577612E-4</v>
      </c>
      <c r="V142" s="103">
        <f t="shared" si="40"/>
        <v>2.1460780922687557E-4</v>
      </c>
      <c r="W142" s="103">
        <f t="shared" si="42"/>
        <v>1.9584639173950093E-4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5.3155003825242212E-7</v>
      </c>
      <c r="O143" s="103">
        <f t="shared" si="40"/>
        <v>5.7490705931130978E-7</v>
      </c>
      <c r="P143" s="103">
        <f t="shared" si="40"/>
        <v>1.2245631594863062E-6</v>
      </c>
      <c r="Q143" s="103">
        <f t="shared" si="40"/>
        <v>2.5429230709055179E-6</v>
      </c>
      <c r="R143" s="103">
        <f t="shared" si="40"/>
        <v>9.9979616994493805E-6</v>
      </c>
      <c r="S143" s="103">
        <f t="shared" si="40"/>
        <v>1.9029794996749899E-5</v>
      </c>
      <c r="T143" s="103">
        <f t="shared" si="40"/>
        <v>4.3993490170531677E-5</v>
      </c>
      <c r="U143" s="103">
        <f t="shared" si="40"/>
        <v>7.0377552495505042E-5</v>
      </c>
      <c r="V143" s="103">
        <f t="shared" si="40"/>
        <v>1.4889334477088503E-4</v>
      </c>
      <c r="W143" s="103">
        <f t="shared" si="42"/>
        <v>2.61808889838711E-4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0.13546847334668338</v>
      </c>
      <c r="C145" s="156">
        <f t="shared" si="40"/>
        <v>0.12872173893410033</v>
      </c>
      <c r="D145" s="156">
        <f t="shared" si="40"/>
        <v>0.12459678720234894</v>
      </c>
      <c r="E145" s="156">
        <f t="shared" si="40"/>
        <v>0.11936997778092746</v>
      </c>
      <c r="F145" s="156">
        <f t="shared" si="40"/>
        <v>0.10957858018818666</v>
      </c>
      <c r="G145" s="156">
        <f t="shared" si="40"/>
        <v>0.10417492806127464</v>
      </c>
      <c r="H145" s="156">
        <f t="shared" si="40"/>
        <v>0.10539038623517494</v>
      </c>
      <c r="I145" s="156">
        <f t="shared" si="40"/>
        <v>0.10240431162789697</v>
      </c>
      <c r="J145" s="156">
        <f t="shared" si="40"/>
        <v>9.1988106632711564E-2</v>
      </c>
      <c r="K145" s="156">
        <f t="shared" si="40"/>
        <v>8.908816556843363E-2</v>
      </c>
      <c r="L145" s="156">
        <f t="shared" si="41"/>
        <v>9.949017006010373E-2</v>
      </c>
      <c r="M145" s="156">
        <f t="shared" si="40"/>
        <v>0.10080339386346565</v>
      </c>
      <c r="N145" s="156">
        <f t="shared" si="40"/>
        <v>0.10182482232949223</v>
      </c>
      <c r="O145" s="156">
        <f t="shared" si="40"/>
        <v>0.10458805895533341</v>
      </c>
      <c r="P145" s="156">
        <f t="shared" si="40"/>
        <v>0.10364536574310214</v>
      </c>
      <c r="Q145" s="156">
        <f t="shared" si="40"/>
        <v>9.9286521375577308E-2</v>
      </c>
      <c r="R145" s="156">
        <f t="shared" si="40"/>
        <v>9.7421033489674888E-2</v>
      </c>
      <c r="S145" s="156">
        <f t="shared" si="40"/>
        <v>9.7852516916568349E-2</v>
      </c>
      <c r="T145" s="156">
        <f t="shared" si="40"/>
        <v>9.4271566126260559E-2</v>
      </c>
      <c r="U145" s="156">
        <f t="shared" si="40"/>
        <v>8.8633248862621958E-2</v>
      </c>
      <c r="V145" s="156">
        <f t="shared" si="40"/>
        <v>8.1953862413697842E-2</v>
      </c>
      <c r="W145" s="156">
        <f t="shared" si="42"/>
        <v>8.0632424255546148E-2</v>
      </c>
      <c r="DA145" s="213"/>
    </row>
    <row r="146" spans="1:105" ht="11.45" customHeight="1" x14ac:dyDescent="0.25">
      <c r="A146" s="157" t="s">
        <v>110</v>
      </c>
      <c r="B146" s="103">
        <f t="shared" si="40"/>
        <v>2.3073301537226798E-3</v>
      </c>
      <c r="C146" s="103">
        <f t="shared" si="40"/>
        <v>2.0034555824309836E-3</v>
      </c>
      <c r="D146" s="103">
        <f t="shared" si="40"/>
        <v>1.6978041222414832E-3</v>
      </c>
      <c r="E146" s="103">
        <f t="shared" si="40"/>
        <v>1.4484808534160139E-3</v>
      </c>
      <c r="F146" s="103">
        <f t="shared" si="40"/>
        <v>1.2119432862133623E-3</v>
      </c>
      <c r="G146" s="103">
        <f t="shared" si="40"/>
        <v>9.6312502680492179E-4</v>
      </c>
      <c r="H146" s="103">
        <f t="shared" si="40"/>
        <v>7.6489673992302979E-4</v>
      </c>
      <c r="I146" s="103">
        <f t="shared" si="40"/>
        <v>6.3634681069988091E-4</v>
      </c>
      <c r="J146" s="103">
        <f t="shared" si="40"/>
        <v>5.2976315786429525E-4</v>
      </c>
      <c r="K146" s="103">
        <f t="shared" si="40"/>
        <v>4.3224648676541455E-4</v>
      </c>
      <c r="L146" s="103">
        <f t="shared" si="41"/>
        <v>3.8138518699467586E-4</v>
      </c>
      <c r="M146" s="103">
        <f t="shared" si="40"/>
        <v>3.1922934659384382E-4</v>
      </c>
      <c r="N146" s="103">
        <f t="shared" si="40"/>
        <v>2.7431253452916006E-4</v>
      </c>
      <c r="O146" s="103">
        <f t="shared" si="40"/>
        <v>2.9955218330625317E-4</v>
      </c>
      <c r="P146" s="103">
        <f t="shared" si="40"/>
        <v>2.2846295089930011E-4</v>
      </c>
      <c r="Q146" s="103">
        <f t="shared" si="40"/>
        <v>1.6103957891740642E-4</v>
      </c>
      <c r="R146" s="103">
        <f t="shared" si="40"/>
        <v>1.0374749277895304E-4</v>
      </c>
      <c r="S146" s="103">
        <f t="shared" si="40"/>
        <v>8.3469912957116478E-5</v>
      </c>
      <c r="T146" s="103">
        <f t="shared" si="40"/>
        <v>7.5409156214452096E-5</v>
      </c>
      <c r="U146" s="103">
        <f t="shared" si="40"/>
        <v>6.8510060183292357E-5</v>
      </c>
      <c r="V146" s="103">
        <f t="shared" si="40"/>
        <v>7.5806207417063734E-5</v>
      </c>
      <c r="W146" s="103">
        <f t="shared" si="42"/>
        <v>6.5618926287279878E-5</v>
      </c>
      <c r="DA146" s="191"/>
    </row>
    <row r="147" spans="1:105" ht="11.45" customHeight="1" x14ac:dyDescent="0.25">
      <c r="A147" s="157" t="s">
        <v>111</v>
      </c>
      <c r="B147" s="103">
        <f t="shared" si="40"/>
        <v>0.13270904508825321</v>
      </c>
      <c r="C147" s="103">
        <f t="shared" si="40"/>
        <v>0.12624588858816904</v>
      </c>
      <c r="D147" s="103">
        <f t="shared" si="40"/>
        <v>0.12244108696714756</v>
      </c>
      <c r="E147" s="103">
        <f t="shared" si="40"/>
        <v>0.11746393318547456</v>
      </c>
      <c r="F147" s="103">
        <f t="shared" si="40"/>
        <v>0.10794038131835626</v>
      </c>
      <c r="G147" s="103">
        <f t="shared" si="40"/>
        <v>0.10267690525741363</v>
      </c>
      <c r="H147" s="103">
        <f t="shared" si="40"/>
        <v>0.10410166828358389</v>
      </c>
      <c r="I147" s="103">
        <f t="shared" si="40"/>
        <v>0.10137947697755725</v>
      </c>
      <c r="J147" s="103">
        <f t="shared" si="40"/>
        <v>9.1167079588260549E-2</v>
      </c>
      <c r="K147" s="103">
        <f t="shared" si="40"/>
        <v>8.8394941512600855E-2</v>
      </c>
      <c r="L147" s="103">
        <f t="shared" si="41"/>
        <v>9.8917985724775365E-2</v>
      </c>
      <c r="M147" s="103">
        <f t="shared" si="40"/>
        <v>0.10029268465453783</v>
      </c>
      <c r="N147" s="103">
        <f t="shared" si="40"/>
        <v>0.10129297822480826</v>
      </c>
      <c r="O147" s="103">
        <f t="shared" si="40"/>
        <v>0.10408570335203528</v>
      </c>
      <c r="P147" s="103">
        <f t="shared" si="40"/>
        <v>0.10319346648439864</v>
      </c>
      <c r="Q147" s="103">
        <f t="shared" si="40"/>
        <v>9.8512911113098733E-2</v>
      </c>
      <c r="R147" s="103">
        <f t="shared" ref="R147:V147" si="43">IF(R29=0,0,R29/R$17)</f>
        <v>9.596819877931223E-2</v>
      </c>
      <c r="S147" s="103">
        <f t="shared" si="43"/>
        <v>9.6404887159452959E-2</v>
      </c>
      <c r="T147" s="103">
        <f t="shared" si="43"/>
        <v>9.2783866314498739E-2</v>
      </c>
      <c r="U147" s="103">
        <f t="shared" si="43"/>
        <v>8.7319175278115113E-2</v>
      </c>
      <c r="V147" s="103">
        <f t="shared" si="43"/>
        <v>8.0653036192838951E-2</v>
      </c>
      <c r="W147" s="103">
        <f t="shared" ref="W147" si="44">IF(W29=0,0,W29/W$17)</f>
        <v>7.9592607674585439E-2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2.5917158322092294E-6</v>
      </c>
      <c r="Q148" s="103">
        <f t="shared" si="47"/>
        <v>2.3838933314842096E-6</v>
      </c>
      <c r="R148" s="103">
        <f t="shared" si="47"/>
        <v>4.7005878929504015E-6</v>
      </c>
      <c r="S148" s="103">
        <f t="shared" si="47"/>
        <v>4.4757518928782444E-6</v>
      </c>
      <c r="T148" s="103">
        <f t="shared" si="47"/>
        <v>4.1161776686161178E-6</v>
      </c>
      <c r="U148" s="103">
        <f t="shared" si="47"/>
        <v>3.7579676254185804E-6</v>
      </c>
      <c r="V148" s="103">
        <f t="shared" si="47"/>
        <v>4.2294590887250633E-6</v>
      </c>
      <c r="W148" s="103">
        <f t="shared" ref="W148" si="48">IF(W30=0,0,W30/W$17)</f>
        <v>3.7349949059632627E-6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4.5209810470749138E-4</v>
      </c>
      <c r="C149" s="103">
        <f t="shared" si="49"/>
        <v>4.7239476350031652E-4</v>
      </c>
      <c r="D149" s="103">
        <f t="shared" si="49"/>
        <v>4.5789611295989768E-4</v>
      </c>
      <c r="E149" s="103">
        <f t="shared" si="49"/>
        <v>4.5756374203687842E-4</v>
      </c>
      <c r="F149" s="103">
        <f t="shared" si="49"/>
        <v>4.2625558361702944E-4</v>
      </c>
      <c r="G149" s="103">
        <f t="shared" si="49"/>
        <v>5.3489777705608148E-4</v>
      </c>
      <c r="H149" s="103">
        <f t="shared" si="49"/>
        <v>5.2382121166802138E-4</v>
      </c>
      <c r="I149" s="103">
        <f t="shared" si="49"/>
        <v>3.884878396398472E-4</v>
      </c>
      <c r="J149" s="103">
        <f t="shared" si="49"/>
        <v>2.9126388658672346E-4</v>
      </c>
      <c r="K149" s="103">
        <f t="shared" si="49"/>
        <v>2.609775690673486E-4</v>
      </c>
      <c r="L149" s="103">
        <f t="shared" si="46"/>
        <v>1.9079914833370097E-4</v>
      </c>
      <c r="M149" s="103">
        <f t="shared" ref="M149:V149" si="50">IF(M31=0,0,M31/M$17)</f>
        <v>1.9147986233396589E-4</v>
      </c>
      <c r="N149" s="103">
        <f t="shared" si="50"/>
        <v>2.5753157015482475E-4</v>
      </c>
      <c r="O149" s="103">
        <f t="shared" si="50"/>
        <v>2.0280341999188634E-4</v>
      </c>
      <c r="P149" s="103">
        <f t="shared" si="50"/>
        <v>2.2084459197195484E-4</v>
      </c>
      <c r="Q149" s="103">
        <f t="shared" si="50"/>
        <v>6.101867902296947E-4</v>
      </c>
      <c r="R149" s="103">
        <f t="shared" si="50"/>
        <v>1.3443866296907567E-3</v>
      </c>
      <c r="S149" s="103">
        <f t="shared" si="50"/>
        <v>1.3596840922653894E-3</v>
      </c>
      <c r="T149" s="103">
        <f t="shared" si="50"/>
        <v>1.408174477878769E-3</v>
      </c>
      <c r="U149" s="103">
        <f t="shared" si="50"/>
        <v>1.2418055566981161E-3</v>
      </c>
      <c r="V149" s="103">
        <f t="shared" si="50"/>
        <v>1.220790554353104E-3</v>
      </c>
      <c r="W149" s="103">
        <f t="shared" ref="W149" si="51">IF(W31=0,0,W31/W$17)</f>
        <v>9.7046265976746631E-4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0.3459915897092134</v>
      </c>
      <c r="C151" s="46">
        <f t="shared" si="55"/>
        <v>0.34912373816366549</v>
      </c>
      <c r="D151" s="46">
        <f t="shared" si="55"/>
        <v>0.36032948204842902</v>
      </c>
      <c r="E151" s="46">
        <f t="shared" si="55"/>
        <v>0.36050233034720669</v>
      </c>
      <c r="F151" s="46">
        <f t="shared" si="55"/>
        <v>0.3708660480569142</v>
      </c>
      <c r="G151" s="46">
        <f t="shared" si="55"/>
        <v>0.41414013421289758</v>
      </c>
      <c r="H151" s="46">
        <f t="shared" si="55"/>
        <v>0.41313208485517533</v>
      </c>
      <c r="I151" s="46">
        <f t="shared" si="55"/>
        <v>0.40230265441872232</v>
      </c>
      <c r="J151" s="46">
        <f t="shared" si="55"/>
        <v>0.41072873539546273</v>
      </c>
      <c r="K151" s="46">
        <f t="shared" si="55"/>
        <v>0.39760111670035875</v>
      </c>
      <c r="L151" s="46">
        <f t="shared" ref="L151" si="56">IF(L33=0,0,L33/L$17)</f>
        <v>0.38782139478309935</v>
      </c>
      <c r="M151" s="46">
        <f t="shared" ref="M151:V151" si="57">IF(M33=0,0,M33/M$17)</f>
        <v>0.37790969354377196</v>
      </c>
      <c r="N151" s="46">
        <f t="shared" si="57"/>
        <v>0.35313139393826032</v>
      </c>
      <c r="O151" s="46">
        <f t="shared" si="57"/>
        <v>0.33384610244374624</v>
      </c>
      <c r="P151" s="46">
        <f t="shared" si="57"/>
        <v>0.36936390603379815</v>
      </c>
      <c r="Q151" s="46">
        <f t="shared" si="57"/>
        <v>0.38528631828389365</v>
      </c>
      <c r="R151" s="46">
        <f t="shared" si="57"/>
        <v>0.36948959520183328</v>
      </c>
      <c r="S151" s="46">
        <f t="shared" si="57"/>
        <v>0.37268979132019092</v>
      </c>
      <c r="T151" s="46">
        <f t="shared" si="57"/>
        <v>0.37225422135141684</v>
      </c>
      <c r="U151" s="46">
        <f t="shared" si="57"/>
        <v>0.35447511212260341</v>
      </c>
      <c r="V151" s="46">
        <f t="shared" si="57"/>
        <v>0.34038019408427211</v>
      </c>
      <c r="W151" s="46">
        <f t="shared" ref="W151" si="58">IF(W33=0,0,W33/W$17)</f>
        <v>0.36558926628638705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0.11948512858498003</v>
      </c>
      <c r="C152" s="154">
        <f t="shared" si="59"/>
        <v>0.1175592606932192</v>
      </c>
      <c r="D152" s="154">
        <f t="shared" si="59"/>
        <v>0.11997371023167581</v>
      </c>
      <c r="E152" s="154">
        <f t="shared" si="59"/>
        <v>0.11976225516068753</v>
      </c>
      <c r="F152" s="154">
        <f t="shared" si="59"/>
        <v>0.11582701239812031</v>
      </c>
      <c r="G152" s="154">
        <f t="shared" si="59"/>
        <v>0.11463654235027286</v>
      </c>
      <c r="H152" s="154">
        <f t="shared" si="59"/>
        <v>0.10639070053365218</v>
      </c>
      <c r="I152" s="154">
        <f t="shared" si="59"/>
        <v>0.10624423579629012</v>
      </c>
      <c r="J152" s="154">
        <f t="shared" si="59"/>
        <v>0.11363996452957986</v>
      </c>
      <c r="K152" s="154">
        <f t="shared" si="59"/>
        <v>0.12968514708816919</v>
      </c>
      <c r="L152" s="154">
        <f t="shared" ref="L152" si="60">IF(L34=0,0,L34/L$17)</f>
        <v>0.12199938893056227</v>
      </c>
      <c r="M152" s="154">
        <f t="shared" ref="M152:V152" si="61">IF(M34=0,0,M34/M$17)</f>
        <v>0.13260669051798454</v>
      </c>
      <c r="N152" s="154">
        <f t="shared" si="61"/>
        <v>0.13831431872358499</v>
      </c>
      <c r="O152" s="154">
        <f t="shared" si="61"/>
        <v>0.14564929669291349</v>
      </c>
      <c r="P152" s="154">
        <f t="shared" si="61"/>
        <v>0.14371752759384582</v>
      </c>
      <c r="Q152" s="154">
        <f t="shared" si="61"/>
        <v>0.14051883458154357</v>
      </c>
      <c r="R152" s="154">
        <f t="shared" si="61"/>
        <v>0.14074463970091053</v>
      </c>
      <c r="S152" s="154">
        <f t="shared" si="61"/>
        <v>0.14251690925054497</v>
      </c>
      <c r="T152" s="154">
        <f t="shared" si="61"/>
        <v>0.14210722821621388</v>
      </c>
      <c r="U152" s="154">
        <f t="shared" si="61"/>
        <v>0.14046424265197732</v>
      </c>
      <c r="V152" s="154">
        <f t="shared" si="61"/>
        <v>0.15826714516477638</v>
      </c>
      <c r="W152" s="154">
        <f t="shared" ref="W152" si="62">IF(W34=0,0,W34/W$17)</f>
        <v>0.1546983811742588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3.1644564329046936E-2</v>
      </c>
      <c r="C153" s="103">
        <f t="shared" si="63"/>
        <v>2.7484623986000677E-2</v>
      </c>
      <c r="D153" s="103">
        <f t="shared" si="63"/>
        <v>2.2979970654628944E-2</v>
      </c>
      <c r="E153" s="103">
        <f t="shared" si="63"/>
        <v>1.9633430004315579E-2</v>
      </c>
      <c r="F153" s="103">
        <f t="shared" si="63"/>
        <v>1.6780877301502843E-2</v>
      </c>
      <c r="G153" s="103">
        <f t="shared" si="63"/>
        <v>1.3843291145226309E-2</v>
      </c>
      <c r="H153" s="103">
        <f t="shared" si="63"/>
        <v>1.1548421634874144E-2</v>
      </c>
      <c r="I153" s="103">
        <f t="shared" si="63"/>
        <v>9.9670855880685232E-3</v>
      </c>
      <c r="J153" s="103">
        <f t="shared" si="63"/>
        <v>8.0230554913810585E-3</v>
      </c>
      <c r="K153" s="103">
        <f t="shared" si="63"/>
        <v>7.2337098050697284E-3</v>
      </c>
      <c r="L153" s="103">
        <f t="shared" ref="L153" si="64">IF(L35=0,0,L35/L$17)</f>
        <v>7.0873326181646931E-3</v>
      </c>
      <c r="M153" s="103">
        <f t="shared" ref="M153:V153" si="65">IF(M35=0,0,M35/M$17)</f>
        <v>6.7368315601475139E-3</v>
      </c>
      <c r="N153" s="103">
        <f t="shared" si="65"/>
        <v>6.6093358571415106E-3</v>
      </c>
      <c r="O153" s="103">
        <f t="shared" si="65"/>
        <v>6.429822538493779E-3</v>
      </c>
      <c r="P153" s="103">
        <f t="shared" si="65"/>
        <v>5.0239314572328754E-3</v>
      </c>
      <c r="Q153" s="103">
        <f t="shared" si="65"/>
        <v>4.0954969465610792E-3</v>
      </c>
      <c r="R153" s="103">
        <f t="shared" si="65"/>
        <v>3.7564739869499555E-3</v>
      </c>
      <c r="S153" s="103">
        <f t="shared" si="65"/>
        <v>3.4227790788460845E-3</v>
      </c>
      <c r="T153" s="103">
        <f t="shared" si="65"/>
        <v>3.1921643736073663E-3</v>
      </c>
      <c r="U153" s="103">
        <f t="shared" si="65"/>
        <v>3.0343344938435195E-3</v>
      </c>
      <c r="V153" s="103">
        <f t="shared" si="65"/>
        <v>3.2506454877892304E-3</v>
      </c>
      <c r="W153" s="103">
        <f t="shared" ref="W153" si="66">IF(W35=0,0,W35/W$17)</f>
        <v>2.8289642316940322E-3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8.7838501069889469E-2</v>
      </c>
      <c r="C154" s="103">
        <f t="shared" si="67"/>
        <v>9.0019483887911672E-2</v>
      </c>
      <c r="D154" s="103">
        <f t="shared" si="67"/>
        <v>9.6944732825717389E-2</v>
      </c>
      <c r="E154" s="103">
        <f t="shared" si="67"/>
        <v>0.10008244289803278</v>
      </c>
      <c r="F154" s="103">
        <f t="shared" si="67"/>
        <v>9.9002861144088322E-2</v>
      </c>
      <c r="G154" s="103">
        <f t="shared" si="67"/>
        <v>0.10075469456240307</v>
      </c>
      <c r="H154" s="103">
        <f t="shared" si="67"/>
        <v>9.4807065048659725E-2</v>
      </c>
      <c r="I154" s="103">
        <f t="shared" si="67"/>
        <v>9.6243847844969879E-2</v>
      </c>
      <c r="J154" s="103">
        <f t="shared" si="67"/>
        <v>0.10558497589868171</v>
      </c>
      <c r="K154" s="103">
        <f t="shared" si="67"/>
        <v>0.12242132268727972</v>
      </c>
      <c r="L154" s="103">
        <f t="shared" ref="L154" si="68">IF(L36=0,0,L36/L$17)</f>
        <v>0.11488119586522959</v>
      </c>
      <c r="M154" s="103">
        <f t="shared" ref="M154:V154" si="69">IF(M36=0,0,M36/M$17)</f>
        <v>0.12583954645675374</v>
      </c>
      <c r="N154" s="103">
        <f t="shared" si="69"/>
        <v>0.13167609372958952</v>
      </c>
      <c r="O154" s="103">
        <f t="shared" si="69"/>
        <v>0.13917880383128106</v>
      </c>
      <c r="P154" s="103">
        <f t="shared" si="69"/>
        <v>0.13865641258723244</v>
      </c>
      <c r="Q154" s="103">
        <f t="shared" si="69"/>
        <v>0.13632838184840171</v>
      </c>
      <c r="R154" s="103">
        <f t="shared" si="69"/>
        <v>0.13689278519804446</v>
      </c>
      <c r="S154" s="103">
        <f t="shared" si="69"/>
        <v>0.13899412197511565</v>
      </c>
      <c r="T154" s="103">
        <f t="shared" si="69"/>
        <v>0.1388088593994764</v>
      </c>
      <c r="U154" s="103">
        <f t="shared" si="69"/>
        <v>0.13732960168212785</v>
      </c>
      <c r="V154" s="103">
        <f t="shared" si="69"/>
        <v>0.1549006092887675</v>
      </c>
      <c r="W154" s="103">
        <f t="shared" ref="W154" si="70">IF(W36=0,0,W36/W$17)</f>
        <v>0.15176663936491028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5.3292542575243358E-5</v>
      </c>
      <c r="D155" s="103">
        <f t="shared" si="71"/>
        <v>4.7265209940540988E-5</v>
      </c>
      <c r="E155" s="103">
        <f t="shared" si="71"/>
        <v>4.4717767381044246E-5</v>
      </c>
      <c r="F155" s="103">
        <f t="shared" si="71"/>
        <v>4.1689838699951286E-5</v>
      </c>
      <c r="G155" s="103">
        <f t="shared" si="71"/>
        <v>3.7308411575017973E-5</v>
      </c>
      <c r="H155" s="103">
        <f t="shared" si="71"/>
        <v>3.4048485932800918E-5</v>
      </c>
      <c r="I155" s="103">
        <f t="shared" si="71"/>
        <v>3.2155451344172736E-5</v>
      </c>
      <c r="J155" s="103">
        <f t="shared" si="71"/>
        <v>3.0971155395875542E-5</v>
      </c>
      <c r="K155" s="103">
        <f t="shared" si="71"/>
        <v>2.9146634805758122E-5</v>
      </c>
      <c r="L155" s="103">
        <f t="shared" ref="L155" si="72">IF(L37=0,0,L37/L$17)</f>
        <v>3.000268493208921E-5</v>
      </c>
      <c r="M155" s="103">
        <f t="shared" ref="M155:V155" si="73">IF(M37=0,0,M37/M$17)</f>
        <v>2.9386839422774837E-5</v>
      </c>
      <c r="N155" s="103">
        <f t="shared" si="73"/>
        <v>2.7662910195535845E-5</v>
      </c>
      <c r="O155" s="103">
        <f t="shared" si="73"/>
        <v>2.6155178567152566E-5</v>
      </c>
      <c r="P155" s="103">
        <f t="shared" si="73"/>
        <v>2.0285184417328823E-5</v>
      </c>
      <c r="Q155" s="103">
        <f t="shared" si="73"/>
        <v>1.6432420043264037E-5</v>
      </c>
      <c r="R155" s="103">
        <f t="shared" si="73"/>
        <v>1.3438890543831829E-5</v>
      </c>
      <c r="S155" s="103">
        <f t="shared" si="73"/>
        <v>1.0113513689192596E-5</v>
      </c>
      <c r="T155" s="103">
        <f t="shared" si="73"/>
        <v>7.7376566892956716E-6</v>
      </c>
      <c r="U155" s="103">
        <f t="shared" si="73"/>
        <v>5.4636967689440148E-6</v>
      </c>
      <c r="V155" s="103">
        <f t="shared" si="73"/>
        <v>5.198563463572672E-6</v>
      </c>
      <c r="W155" s="103">
        <f t="shared" ref="W155" si="74">IF(W37=0,0,W37/W$17)</f>
        <v>3.6603594873177943E-6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2.0631860436317505E-6</v>
      </c>
      <c r="C156" s="103">
        <f t="shared" si="75"/>
        <v>1.8602767316366659E-6</v>
      </c>
      <c r="D156" s="103">
        <f t="shared" si="75"/>
        <v>1.7415413889384333E-6</v>
      </c>
      <c r="E156" s="103">
        <f t="shared" si="75"/>
        <v>1.6644909581152275E-6</v>
      </c>
      <c r="F156" s="103">
        <f t="shared" si="75"/>
        <v>1.5841138291914685E-6</v>
      </c>
      <c r="G156" s="103">
        <f t="shared" si="75"/>
        <v>1.2482310684467152E-6</v>
      </c>
      <c r="H156" s="103">
        <f t="shared" si="75"/>
        <v>1.1653641855240153E-6</v>
      </c>
      <c r="I156" s="103">
        <f t="shared" si="75"/>
        <v>1.1469119075296347E-6</v>
      </c>
      <c r="J156" s="103">
        <f t="shared" si="75"/>
        <v>9.619841212220524E-7</v>
      </c>
      <c r="K156" s="103">
        <f t="shared" si="75"/>
        <v>9.6796101398294215E-7</v>
      </c>
      <c r="L156" s="103">
        <f t="shared" ref="L156" si="76">IF(L38=0,0,L38/L$17)</f>
        <v>8.5776223589537659E-7</v>
      </c>
      <c r="M156" s="103">
        <f t="shared" ref="M156:V156" si="77">IF(M38=0,0,M38/M$17)</f>
        <v>9.2566166053901675E-7</v>
      </c>
      <c r="N156" s="103">
        <f t="shared" si="77"/>
        <v>1.2262266584347053E-6</v>
      </c>
      <c r="O156" s="103">
        <f t="shared" si="77"/>
        <v>1.4515144571463488E-5</v>
      </c>
      <c r="P156" s="103">
        <f t="shared" si="77"/>
        <v>1.6898364963183169E-5</v>
      </c>
      <c r="Q156" s="103">
        <f t="shared" si="77"/>
        <v>7.8523366537519337E-5</v>
      </c>
      <c r="R156" s="103">
        <f t="shared" si="77"/>
        <v>8.1941625372293576E-5</v>
      </c>
      <c r="S156" s="103">
        <f t="shared" si="77"/>
        <v>8.9894682894065925E-5</v>
      </c>
      <c r="T156" s="103">
        <f t="shared" si="77"/>
        <v>9.8466786440811916E-5</v>
      </c>
      <c r="U156" s="103">
        <f t="shared" si="77"/>
        <v>9.4842779237005987E-5</v>
      </c>
      <c r="V156" s="103">
        <f t="shared" si="77"/>
        <v>1.106918247560847E-4</v>
      </c>
      <c r="W156" s="103">
        <f t="shared" ref="W156" si="78">IF(W38=0,0,W38/W$17)</f>
        <v>9.9117218167157605E-5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0.22650646112423334</v>
      </c>
      <c r="C158" s="156">
        <f t="shared" si="83"/>
        <v>0.23156447747044628</v>
      </c>
      <c r="D158" s="156">
        <f t="shared" si="83"/>
        <v>0.24035577181675322</v>
      </c>
      <c r="E158" s="156">
        <f t="shared" si="83"/>
        <v>0.24074007518651913</v>
      </c>
      <c r="F158" s="156">
        <f t="shared" si="83"/>
        <v>0.25503903565879382</v>
      </c>
      <c r="G158" s="156">
        <f t="shared" si="83"/>
        <v>0.29950359186262471</v>
      </c>
      <c r="H158" s="156">
        <f t="shared" si="83"/>
        <v>0.30674138432152309</v>
      </c>
      <c r="I158" s="156">
        <f t="shared" si="83"/>
        <v>0.29605841862243215</v>
      </c>
      <c r="J158" s="156">
        <f t="shared" si="83"/>
        <v>0.29708877086588287</v>
      </c>
      <c r="K158" s="156">
        <f t="shared" si="83"/>
        <v>0.26791596961218961</v>
      </c>
      <c r="L158" s="156">
        <f t="shared" ref="L158" si="84">IF(L40=0,0,L40/L$17)</f>
        <v>0.26582200585253712</v>
      </c>
      <c r="M158" s="156">
        <f t="shared" ref="M158:V158" si="85">IF(M40=0,0,M40/M$17)</f>
        <v>0.24530300302578742</v>
      </c>
      <c r="N158" s="156">
        <f t="shared" si="85"/>
        <v>0.21481707521467536</v>
      </c>
      <c r="O158" s="156">
        <f t="shared" si="85"/>
        <v>0.18819680575083275</v>
      </c>
      <c r="P158" s="156">
        <f t="shared" si="85"/>
        <v>0.22564637843995233</v>
      </c>
      <c r="Q158" s="156">
        <f t="shared" si="85"/>
        <v>0.2447674837023501</v>
      </c>
      <c r="R158" s="156">
        <f t="shared" si="85"/>
        <v>0.22874495550092278</v>
      </c>
      <c r="S158" s="156">
        <f t="shared" si="85"/>
        <v>0.23017288206964595</v>
      </c>
      <c r="T158" s="156">
        <f t="shared" si="85"/>
        <v>0.23014699313520293</v>
      </c>
      <c r="U158" s="156">
        <f t="shared" si="85"/>
        <v>0.21401086947062611</v>
      </c>
      <c r="V158" s="156">
        <f t="shared" si="85"/>
        <v>0.18211304891949567</v>
      </c>
      <c r="W158" s="156">
        <f t="shared" ref="W158" si="86">IF(W40=0,0,W40/W$17)</f>
        <v>0.21089088511212828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0.14493147688207123</v>
      </c>
      <c r="C159" s="103">
        <f t="shared" si="87"/>
        <v>0.14002597614622331</v>
      </c>
      <c r="D159" s="103">
        <f t="shared" si="87"/>
        <v>0.13189528162277181</v>
      </c>
      <c r="E159" s="103">
        <f t="shared" si="87"/>
        <v>0.12746221073537975</v>
      </c>
      <c r="F159" s="103">
        <f t="shared" si="87"/>
        <v>0.12859157904851418</v>
      </c>
      <c r="G159" s="103">
        <f t="shared" si="87"/>
        <v>0.16241804155452863</v>
      </c>
      <c r="H159" s="103">
        <f t="shared" si="87"/>
        <v>0.16381784241314395</v>
      </c>
      <c r="I159" s="103">
        <f t="shared" si="87"/>
        <v>0.1630181168337638</v>
      </c>
      <c r="J159" s="103">
        <f t="shared" si="87"/>
        <v>0.15037638073163651</v>
      </c>
      <c r="K159" s="103">
        <f t="shared" si="87"/>
        <v>0.15509263427783582</v>
      </c>
      <c r="L159" s="103">
        <f t="shared" ref="L159" si="88">IF(L41=0,0,L41/L$17)</f>
        <v>0.14260195255819863</v>
      </c>
      <c r="M159" s="103">
        <f t="shared" ref="M159:V159" si="89">IF(M41=0,0,M41/M$17)</f>
        <v>0.13554570433134691</v>
      </c>
      <c r="N159" s="103">
        <f t="shared" si="89"/>
        <v>0.1168727945990231</v>
      </c>
      <c r="O159" s="103">
        <f t="shared" si="89"/>
        <v>0.11536592584679339</v>
      </c>
      <c r="P159" s="103">
        <f t="shared" si="89"/>
        <v>0.11716652329402404</v>
      </c>
      <c r="Q159" s="103">
        <f t="shared" si="89"/>
        <v>0.11763755817291932</v>
      </c>
      <c r="R159" s="103">
        <f t="shared" si="89"/>
        <v>0.11613192634709148</v>
      </c>
      <c r="S159" s="103">
        <f t="shared" si="89"/>
        <v>0.10970077166304502</v>
      </c>
      <c r="T159" s="103">
        <f t="shared" si="89"/>
        <v>0.11303630990130162</v>
      </c>
      <c r="U159" s="103">
        <f t="shared" si="89"/>
        <v>0.1073131778893395</v>
      </c>
      <c r="V159" s="103">
        <f t="shared" si="89"/>
        <v>0.10776191431114389</v>
      </c>
      <c r="W159" s="103">
        <f t="shared" ref="W159" si="90">IF(W41=0,0,W41/W$17)</f>
        <v>0.11536049229782749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8.1574984242162113E-2</v>
      </c>
      <c r="C160" s="105">
        <f t="shared" si="91"/>
        <v>9.1538501324222962E-2</v>
      </c>
      <c r="D160" s="105">
        <f t="shared" si="91"/>
        <v>0.10846049019398141</v>
      </c>
      <c r="E160" s="105">
        <f t="shared" si="91"/>
        <v>0.11327786445113937</v>
      </c>
      <c r="F160" s="105">
        <f t="shared" si="91"/>
        <v>0.12644745661027965</v>
      </c>
      <c r="G160" s="105">
        <f t="shared" si="91"/>
        <v>0.1370855503080961</v>
      </c>
      <c r="H160" s="105">
        <f t="shared" si="91"/>
        <v>0.14292354190837914</v>
      </c>
      <c r="I160" s="105">
        <f t="shared" si="91"/>
        <v>0.13304030178866835</v>
      </c>
      <c r="J160" s="105">
        <f t="shared" si="91"/>
        <v>0.14671239013424636</v>
      </c>
      <c r="K160" s="105">
        <f t="shared" si="91"/>
        <v>0.11282333533435379</v>
      </c>
      <c r="L160" s="105">
        <f t="shared" ref="L160" si="92">IF(L42=0,0,L42/L$17)</f>
        <v>0.12322005329433851</v>
      </c>
      <c r="M160" s="105">
        <f t="shared" ref="M160:V160" si="93">IF(M42=0,0,M42/M$17)</f>
        <v>0.10975729869444051</v>
      </c>
      <c r="N160" s="105">
        <f t="shared" si="93"/>
        <v>9.7944280615652246E-2</v>
      </c>
      <c r="O160" s="105">
        <f t="shared" si="93"/>
        <v>7.2830879904039372E-2</v>
      </c>
      <c r="P160" s="105">
        <f t="shared" si="93"/>
        <v>0.1084798551459283</v>
      </c>
      <c r="Q160" s="105">
        <f t="shared" si="93"/>
        <v>0.12712992552943078</v>
      </c>
      <c r="R160" s="105">
        <f t="shared" si="93"/>
        <v>0.11261302915383128</v>
      </c>
      <c r="S160" s="105">
        <f t="shared" si="93"/>
        <v>0.12047211040660091</v>
      </c>
      <c r="T160" s="105">
        <f t="shared" si="93"/>
        <v>0.11711068323390129</v>
      </c>
      <c r="U160" s="105">
        <f t="shared" si="93"/>
        <v>0.10669769158128661</v>
      </c>
      <c r="V160" s="105">
        <f t="shared" si="93"/>
        <v>7.4351134608351799E-2</v>
      </c>
      <c r="W160" s="105">
        <f t="shared" ref="W160" si="94">IF(W42=0,0,W42/W$17)</f>
        <v>9.5530392814300799E-2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2822267</v>
      </c>
      <c r="C3" s="54">
        <f>TrRoad_act!C57</f>
        <v>2958915</v>
      </c>
      <c r="D3" s="54">
        <f>TrRoad_act!D57</f>
        <v>3127811</v>
      </c>
      <c r="E3" s="54">
        <f>TrRoad_act!E57</f>
        <v>3293686</v>
      </c>
      <c r="F3" s="54">
        <f>TrRoad_act!F57</f>
        <v>3358522</v>
      </c>
      <c r="G3" s="54">
        <f>TrRoad_act!G57</f>
        <v>3465013</v>
      </c>
      <c r="H3" s="54">
        <f>TrRoad_act!H57</f>
        <v>3789084</v>
      </c>
      <c r="I3" s="54">
        <f>TrRoad_act!I57</f>
        <v>3854910</v>
      </c>
      <c r="J3" s="54">
        <f>TrRoad_act!J57</f>
        <v>3664711</v>
      </c>
      <c r="K3" s="54">
        <f>TrRoad_act!K57</f>
        <v>3615569</v>
      </c>
      <c r="L3" s="54">
        <f>TrRoad_act!L57</f>
        <v>3585118</v>
      </c>
      <c r="M3" s="54">
        <f>TrRoad_act!M57</f>
        <v>3574046</v>
      </c>
      <c r="N3" s="54">
        <f>TrRoad_act!N57</f>
        <v>3597092</v>
      </c>
      <c r="O3" s="54">
        <f>TrRoad_act!O57</f>
        <v>3674835</v>
      </c>
      <c r="P3" s="54">
        <f>TrRoad_act!P57</f>
        <v>3763430</v>
      </c>
      <c r="Q3" s="54">
        <f>TrRoad_act!Q57</f>
        <v>3860536</v>
      </c>
      <c r="R3" s="54">
        <f>TrRoad_act!R57</f>
        <v>3996914</v>
      </c>
      <c r="S3" s="54">
        <f>TrRoad_act!S57</f>
        <v>4187853</v>
      </c>
      <c r="T3" s="54">
        <f>TrRoad_act!T57</f>
        <v>4397180</v>
      </c>
      <c r="U3" s="54">
        <f>TrRoad_act!U57</f>
        <v>4606753</v>
      </c>
      <c r="V3" s="54">
        <f>TrRoad_act!V57</f>
        <v>4741954</v>
      </c>
      <c r="W3" s="54">
        <f>TrRoad_act!W57</f>
        <v>4870990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2472339</v>
      </c>
      <c r="C4" s="28">
        <f>TrRoad_act!C58</f>
        <v>2594268</v>
      </c>
      <c r="D4" s="28">
        <f>TrRoad_act!D58</f>
        <v>2745656</v>
      </c>
      <c r="E4" s="28">
        <f>TrRoad_act!E58</f>
        <v>2900114</v>
      </c>
      <c r="F4" s="28">
        <f>TrRoad_act!F58</f>
        <v>2961205</v>
      </c>
      <c r="G4" s="28">
        <f>TrRoad_act!G58</f>
        <v>3053804</v>
      </c>
      <c r="H4" s="28">
        <f>TrRoad_act!H58</f>
        <v>3363961</v>
      </c>
      <c r="I4" s="28">
        <f>TrRoad_act!I58</f>
        <v>3417863</v>
      </c>
      <c r="J4" s="28">
        <f>TrRoad_act!J58</f>
        <v>3215870</v>
      </c>
      <c r="K4" s="28">
        <f>TrRoad_act!K58</f>
        <v>3173649</v>
      </c>
      <c r="L4" s="28">
        <f>TrRoad_act!L58</f>
        <v>3144073</v>
      </c>
      <c r="M4" s="28">
        <f>TrRoad_act!M58</f>
        <v>3132604</v>
      </c>
      <c r="N4" s="28">
        <f>TrRoad_act!N58</f>
        <v>3154738</v>
      </c>
      <c r="O4" s="28">
        <f>TrRoad_act!O58</f>
        <v>3225469</v>
      </c>
      <c r="P4" s="28">
        <f>TrRoad_act!P58</f>
        <v>3299146</v>
      </c>
      <c r="Q4" s="28">
        <f>TrRoad_act!Q58</f>
        <v>3377873</v>
      </c>
      <c r="R4" s="28">
        <f>TrRoad_act!R58</f>
        <v>3493884</v>
      </c>
      <c r="S4" s="28">
        <f>TrRoad_act!S58</f>
        <v>3658167</v>
      </c>
      <c r="T4" s="28">
        <f>TrRoad_act!T58</f>
        <v>3837044</v>
      </c>
      <c r="U4" s="28">
        <f>TrRoad_act!U58</f>
        <v>4017413</v>
      </c>
      <c r="V4" s="28">
        <f>TrRoad_act!V58</f>
        <v>4132406</v>
      </c>
      <c r="W4" s="28">
        <f>TrRoad_act!W58</f>
        <v>4240452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91193</v>
      </c>
      <c r="C5" s="137">
        <f>TrRoad_act!C59</f>
        <v>93088</v>
      </c>
      <c r="D5" s="137">
        <f>TrRoad_act!D59</f>
        <v>97593</v>
      </c>
      <c r="E5" s="137">
        <f>TrRoad_act!E59</f>
        <v>103493</v>
      </c>
      <c r="F5" s="137">
        <f>TrRoad_act!F59</f>
        <v>114038</v>
      </c>
      <c r="G5" s="137">
        <f>TrRoad_act!G59</f>
        <v>122705</v>
      </c>
      <c r="H5" s="137">
        <f>TrRoad_act!H59</f>
        <v>130187.99999999999</v>
      </c>
      <c r="I5" s="137">
        <f>TrRoad_act!I59</f>
        <v>135865</v>
      </c>
      <c r="J5" s="137">
        <f>TrRoad_act!J59</f>
        <v>141540</v>
      </c>
      <c r="K5" s="137">
        <f>TrRoad_act!K59</f>
        <v>141956</v>
      </c>
      <c r="L5" s="137">
        <f>TrRoad_act!L59</f>
        <v>142251</v>
      </c>
      <c r="M5" s="137">
        <f>TrRoad_act!M59</f>
        <v>147382</v>
      </c>
      <c r="N5" s="137">
        <f>TrRoad_act!N59</f>
        <v>151405</v>
      </c>
      <c r="O5" s="137">
        <f>TrRoad_act!O59</f>
        <v>157178</v>
      </c>
      <c r="P5" s="137">
        <f>TrRoad_act!P59</f>
        <v>161540</v>
      </c>
      <c r="Q5" s="137">
        <f>TrRoad_act!Q59</f>
        <v>162828</v>
      </c>
      <c r="R5" s="137">
        <f>TrRoad_act!R59</f>
        <v>162148</v>
      </c>
      <c r="S5" s="137">
        <f>TrRoad_act!S59</f>
        <v>167400</v>
      </c>
      <c r="T5" s="137">
        <f>TrRoad_act!T59</f>
        <v>176070</v>
      </c>
      <c r="U5" s="137">
        <f>TrRoad_act!U59</f>
        <v>185943</v>
      </c>
      <c r="V5" s="137">
        <f>TrRoad_act!V59</f>
        <v>194594</v>
      </c>
      <c r="W5" s="137">
        <f>TrRoad_act!W59</f>
        <v>202521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2363000</v>
      </c>
      <c r="C6" s="110">
        <f>TrRoad_act!C60</f>
        <v>2482800</v>
      </c>
      <c r="D6" s="110">
        <f>TrRoad_act!D60</f>
        <v>2629500</v>
      </c>
      <c r="E6" s="110">
        <f>TrRoad_act!E60</f>
        <v>2778000</v>
      </c>
      <c r="F6" s="110">
        <f>TrRoad_act!F60</f>
        <v>2829000</v>
      </c>
      <c r="G6" s="110">
        <f>TrRoad_act!G60</f>
        <v>2913000</v>
      </c>
      <c r="H6" s="110">
        <f>TrRoad_act!H60</f>
        <v>3214000</v>
      </c>
      <c r="I6" s="110">
        <f>TrRoad_act!I60</f>
        <v>3262000</v>
      </c>
      <c r="J6" s="110">
        <f>TrRoad_act!J60</f>
        <v>3056000</v>
      </c>
      <c r="K6" s="110">
        <f>TrRoad_act!K60</f>
        <v>3013730</v>
      </c>
      <c r="L6" s="110">
        <f>TrRoad_act!L60</f>
        <v>2984060</v>
      </c>
      <c r="M6" s="110">
        <f>TrRoad_act!M60</f>
        <v>2967810</v>
      </c>
      <c r="N6" s="110">
        <f>TrRoad_act!N60</f>
        <v>2986030</v>
      </c>
      <c r="O6" s="110">
        <f>TrRoad_act!O60</f>
        <v>3050722</v>
      </c>
      <c r="P6" s="110">
        <f>TrRoad_act!P60</f>
        <v>3119683</v>
      </c>
      <c r="Q6" s="110">
        <f>TrRoad_act!Q60</f>
        <v>3196856</v>
      </c>
      <c r="R6" s="110">
        <f>TrRoad_act!R60</f>
        <v>3313206</v>
      </c>
      <c r="S6" s="110">
        <f>TrRoad_act!S60</f>
        <v>3471997</v>
      </c>
      <c r="T6" s="110">
        <f>TrRoad_act!T60</f>
        <v>3641823</v>
      </c>
      <c r="U6" s="110">
        <f>TrRoad_act!U60</f>
        <v>3812013</v>
      </c>
      <c r="V6" s="110">
        <f>TrRoad_act!V60</f>
        <v>3920799</v>
      </c>
      <c r="W6" s="110">
        <f>TrRoad_act!W60</f>
        <v>4020159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2131608</v>
      </c>
      <c r="C7" s="84">
        <f>TrRoad_act!C61</f>
        <v>2222827</v>
      </c>
      <c r="D7" s="84">
        <f>TrRoad_act!D61</f>
        <v>2331164</v>
      </c>
      <c r="E7" s="84">
        <f>TrRoad_act!E61</f>
        <v>2385421</v>
      </c>
      <c r="F7" s="84">
        <f>TrRoad_act!F61</f>
        <v>2390611</v>
      </c>
      <c r="G7" s="84">
        <f>TrRoad_act!G61</f>
        <v>2503916</v>
      </c>
      <c r="H7" s="84">
        <f>TrRoad_act!H61</f>
        <v>2672623</v>
      </c>
      <c r="I7" s="84">
        <f>TrRoad_act!I61</f>
        <v>2669958</v>
      </c>
      <c r="J7" s="84">
        <f>TrRoad_act!J61</f>
        <v>2428796</v>
      </c>
      <c r="K7" s="84">
        <f>TrRoad_act!K61</f>
        <v>2378835</v>
      </c>
      <c r="L7" s="84">
        <f>TrRoad_act!L61</f>
        <v>2331639</v>
      </c>
      <c r="M7" s="84">
        <f>TrRoad_act!M61</f>
        <v>2285941</v>
      </c>
      <c r="N7" s="84">
        <f>TrRoad_act!N61</f>
        <v>2260220</v>
      </c>
      <c r="O7" s="84">
        <f>TrRoad_act!O61</f>
        <v>2260257</v>
      </c>
      <c r="P7" s="84">
        <f>TrRoad_act!P61</f>
        <v>2255798</v>
      </c>
      <c r="Q7" s="84">
        <f>TrRoad_act!Q61</f>
        <v>2254345</v>
      </c>
      <c r="R7" s="84">
        <f>TrRoad_act!R61</f>
        <v>2287785</v>
      </c>
      <c r="S7" s="84">
        <f>TrRoad_act!S61</f>
        <v>2361058</v>
      </c>
      <c r="T7" s="84">
        <f>TrRoad_act!T61</f>
        <v>2453721</v>
      </c>
      <c r="U7" s="84">
        <f>TrRoad_act!U61</f>
        <v>2555178</v>
      </c>
      <c r="V7" s="84">
        <f>TrRoad_act!V61</f>
        <v>2618645</v>
      </c>
      <c r="W7" s="84">
        <f>TrRoad_act!W61</f>
        <v>2678687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231392</v>
      </c>
      <c r="C8" s="84">
        <f>TrRoad_act!C62</f>
        <v>256573</v>
      </c>
      <c r="D8" s="84">
        <f>TrRoad_act!D62</f>
        <v>294959</v>
      </c>
      <c r="E8" s="84">
        <f>TrRoad_act!E62</f>
        <v>339365</v>
      </c>
      <c r="F8" s="84">
        <f>TrRoad_act!F62</f>
        <v>387907</v>
      </c>
      <c r="G8" s="84">
        <f>TrRoad_act!G62</f>
        <v>358835</v>
      </c>
      <c r="H8" s="84">
        <f>TrRoad_act!H62</f>
        <v>491494</v>
      </c>
      <c r="I8" s="84">
        <f>TrRoad_act!I62</f>
        <v>542674</v>
      </c>
      <c r="J8" s="84">
        <f>TrRoad_act!J62</f>
        <v>583503</v>
      </c>
      <c r="K8" s="84">
        <f>TrRoad_act!K62</f>
        <v>598013</v>
      </c>
      <c r="L8" s="84">
        <f>TrRoad_act!L62</f>
        <v>613328</v>
      </c>
      <c r="M8" s="84">
        <f>TrRoad_act!M62</f>
        <v>635659</v>
      </c>
      <c r="N8" s="84">
        <f>TrRoad_act!N62</f>
        <v>677346</v>
      </c>
      <c r="O8" s="84">
        <f>TrRoad_act!O62</f>
        <v>735833</v>
      </c>
      <c r="P8" s="84">
        <f>TrRoad_act!P62</f>
        <v>805234</v>
      </c>
      <c r="Q8" s="84">
        <f>TrRoad_act!Q62</f>
        <v>880860</v>
      </c>
      <c r="R8" s="84">
        <f>TrRoad_act!R62</f>
        <v>963618</v>
      </c>
      <c r="S8" s="84">
        <f>TrRoad_act!S62</f>
        <v>1049631</v>
      </c>
      <c r="T8" s="84">
        <f>TrRoad_act!T62</f>
        <v>1129355</v>
      </c>
      <c r="U8" s="84">
        <f>TrRoad_act!U62</f>
        <v>1201892</v>
      </c>
      <c r="V8" s="84">
        <f>TrRoad_act!V62</f>
        <v>1249492</v>
      </c>
      <c r="W8" s="84">
        <f>TrRoad_act!W62</f>
        <v>1286700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3400</v>
      </c>
      <c r="D9" s="84">
        <f>TrRoad_act!D63</f>
        <v>3377</v>
      </c>
      <c r="E9" s="84">
        <f>TrRoad_act!E63</f>
        <v>53214</v>
      </c>
      <c r="F9" s="84">
        <f>TrRoad_act!F63</f>
        <v>50482</v>
      </c>
      <c r="G9" s="84">
        <f>TrRoad_act!G63</f>
        <v>50249</v>
      </c>
      <c r="H9" s="84">
        <f>TrRoad_act!H63</f>
        <v>49883</v>
      </c>
      <c r="I9" s="84">
        <f>TrRoad_act!I63</f>
        <v>49368</v>
      </c>
      <c r="J9" s="84">
        <f>TrRoad_act!J63</f>
        <v>43701</v>
      </c>
      <c r="K9" s="84">
        <f>TrRoad_act!K63</f>
        <v>36882</v>
      </c>
      <c r="L9" s="84">
        <f>TrRoad_act!L63</f>
        <v>38914</v>
      </c>
      <c r="M9" s="84">
        <f>TrRoad_act!M63</f>
        <v>45713</v>
      </c>
      <c r="N9" s="84">
        <f>TrRoad_act!N63</f>
        <v>47962</v>
      </c>
      <c r="O9" s="84">
        <f>TrRoad_act!O63</f>
        <v>53685</v>
      </c>
      <c r="P9" s="84">
        <f>TrRoad_act!P63</f>
        <v>57401</v>
      </c>
      <c r="Q9" s="84">
        <f>TrRoad_act!Q63</f>
        <v>59182</v>
      </c>
      <c r="R9" s="84">
        <f>TrRoad_act!R63</f>
        <v>58803</v>
      </c>
      <c r="S9" s="84">
        <f>TrRoad_act!S63</f>
        <v>56653</v>
      </c>
      <c r="T9" s="84">
        <f>TrRoad_act!T63</f>
        <v>51381</v>
      </c>
      <c r="U9" s="84">
        <f>TrRoad_act!U63</f>
        <v>43954</v>
      </c>
      <c r="V9" s="84">
        <f>TrRoad_act!V63</f>
        <v>34723</v>
      </c>
      <c r="W9" s="84">
        <f>TrRoad_act!W63</f>
        <v>24141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2</v>
      </c>
      <c r="M10" s="84">
        <f>TrRoad_act!M64</f>
        <v>4</v>
      </c>
      <c r="N10" s="84">
        <f>TrRoad_act!N64</f>
        <v>3</v>
      </c>
      <c r="O10" s="84">
        <f>TrRoad_act!O64</f>
        <v>440</v>
      </c>
      <c r="P10" s="84">
        <f>TrRoad_act!P64</f>
        <v>696</v>
      </c>
      <c r="Q10" s="84">
        <f>TrRoad_act!Q64</f>
        <v>1742</v>
      </c>
      <c r="R10" s="84">
        <f>TrRoad_act!R64</f>
        <v>1899</v>
      </c>
      <c r="S10" s="84">
        <f>TrRoad_act!S64</f>
        <v>2137</v>
      </c>
      <c r="T10" s="84">
        <f>TrRoad_act!T64</f>
        <v>2259</v>
      </c>
      <c r="U10" s="84">
        <f>TrRoad_act!U64</f>
        <v>2272</v>
      </c>
      <c r="V10" s="84">
        <f>TrRoad_act!V64</f>
        <v>2275</v>
      </c>
      <c r="W10" s="84">
        <f>TrRoad_act!W64</f>
        <v>2277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17</v>
      </c>
      <c r="O11" s="84">
        <f>TrRoad_act!O65</f>
        <v>17</v>
      </c>
      <c r="P11" s="84">
        <f>TrRoad_act!P65</f>
        <v>40</v>
      </c>
      <c r="Q11" s="84">
        <f>TrRoad_act!Q65</f>
        <v>99</v>
      </c>
      <c r="R11" s="84">
        <f>TrRoad_act!R65</f>
        <v>284</v>
      </c>
      <c r="S11" s="84">
        <f>TrRoad_act!S65</f>
        <v>522</v>
      </c>
      <c r="T11" s="84">
        <f>TrRoad_act!T65</f>
        <v>1268</v>
      </c>
      <c r="U11" s="84">
        <f>TrRoad_act!U65</f>
        <v>2122</v>
      </c>
      <c r="V11" s="84">
        <f>TrRoad_act!V65</f>
        <v>4652</v>
      </c>
      <c r="W11" s="84">
        <f>TrRoad_act!W65</f>
        <v>9531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177</v>
      </c>
      <c r="M12" s="84">
        <f>TrRoad_act!M66</f>
        <v>493</v>
      </c>
      <c r="N12" s="84">
        <f>TrRoad_act!N66</f>
        <v>482</v>
      </c>
      <c r="O12" s="84">
        <f>TrRoad_act!O66</f>
        <v>490</v>
      </c>
      <c r="P12" s="84">
        <f>TrRoad_act!P66</f>
        <v>514</v>
      </c>
      <c r="Q12" s="84">
        <f>TrRoad_act!Q66</f>
        <v>628</v>
      </c>
      <c r="R12" s="84">
        <f>TrRoad_act!R66</f>
        <v>817</v>
      </c>
      <c r="S12" s="84">
        <f>TrRoad_act!S66</f>
        <v>1996</v>
      </c>
      <c r="T12" s="84">
        <f>TrRoad_act!T66</f>
        <v>3839</v>
      </c>
      <c r="U12" s="84">
        <f>TrRoad_act!U66</f>
        <v>6595</v>
      </c>
      <c r="V12" s="84">
        <f>TrRoad_act!V66</f>
        <v>11012</v>
      </c>
      <c r="W12" s="84">
        <f>TrRoad_act!W66</f>
        <v>18823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18146</v>
      </c>
      <c r="C13" s="110">
        <f>TrRoad_act!C67</f>
        <v>18380</v>
      </c>
      <c r="D13" s="110">
        <f>TrRoad_act!D67</f>
        <v>18563</v>
      </c>
      <c r="E13" s="110">
        <f>TrRoad_act!E67</f>
        <v>18621</v>
      </c>
      <c r="F13" s="110">
        <f>TrRoad_act!F67</f>
        <v>18167</v>
      </c>
      <c r="G13" s="110">
        <f>TrRoad_act!G67</f>
        <v>18099</v>
      </c>
      <c r="H13" s="110">
        <f>TrRoad_act!H67</f>
        <v>19773</v>
      </c>
      <c r="I13" s="110">
        <f>TrRoad_act!I67</f>
        <v>19998</v>
      </c>
      <c r="J13" s="110">
        <f>TrRoad_act!J67</f>
        <v>18330</v>
      </c>
      <c r="K13" s="110">
        <f>TrRoad_act!K67</f>
        <v>17963</v>
      </c>
      <c r="L13" s="110">
        <f>TrRoad_act!L67</f>
        <v>17762</v>
      </c>
      <c r="M13" s="110">
        <f>TrRoad_act!M67</f>
        <v>17412</v>
      </c>
      <c r="N13" s="110">
        <f>TrRoad_act!N67</f>
        <v>17303</v>
      </c>
      <c r="O13" s="110">
        <f>TrRoad_act!O67</f>
        <v>17569</v>
      </c>
      <c r="P13" s="110">
        <f>TrRoad_act!P67</f>
        <v>17923</v>
      </c>
      <c r="Q13" s="110">
        <f>TrRoad_act!Q67</f>
        <v>18189</v>
      </c>
      <c r="R13" s="110">
        <f>TrRoad_act!R67</f>
        <v>18530</v>
      </c>
      <c r="S13" s="110">
        <f>TrRoad_act!S67</f>
        <v>18770</v>
      </c>
      <c r="T13" s="110">
        <f>TrRoad_act!T67</f>
        <v>19151</v>
      </c>
      <c r="U13" s="110">
        <f>TrRoad_act!U67</f>
        <v>19457</v>
      </c>
      <c r="V13" s="110">
        <f>TrRoad_act!V67</f>
        <v>17013</v>
      </c>
      <c r="W13" s="110">
        <f>TrRoad_act!W67</f>
        <v>17772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2355</v>
      </c>
      <c r="C14" s="102">
        <f>TrRoad_act!C68</f>
        <v>2138</v>
      </c>
      <c r="D14" s="102">
        <f>TrRoad_act!D68</f>
        <v>1915</v>
      </c>
      <c r="E14" s="102">
        <f>TrRoad_act!E68</f>
        <v>1692</v>
      </c>
      <c r="F14" s="102">
        <f>TrRoad_act!F68</f>
        <v>1475</v>
      </c>
      <c r="G14" s="102">
        <f>TrRoad_act!G68</f>
        <v>1265</v>
      </c>
      <c r="H14" s="102">
        <f>TrRoad_act!H68</f>
        <v>1066</v>
      </c>
      <c r="I14" s="102">
        <f>TrRoad_act!I68</f>
        <v>882</v>
      </c>
      <c r="J14" s="102">
        <f>TrRoad_act!J68</f>
        <v>722</v>
      </c>
      <c r="K14" s="102">
        <f>TrRoad_act!K68</f>
        <v>575</v>
      </c>
      <c r="L14" s="102">
        <f>TrRoad_act!L68</f>
        <v>452</v>
      </c>
      <c r="M14" s="102">
        <f>TrRoad_act!M68</f>
        <v>352</v>
      </c>
      <c r="N14" s="102">
        <f>TrRoad_act!N68</f>
        <v>287</v>
      </c>
      <c r="O14" s="102">
        <f>TrRoad_act!O68</f>
        <v>280</v>
      </c>
      <c r="P14" s="102">
        <f>TrRoad_act!P68</f>
        <v>242</v>
      </c>
      <c r="Q14" s="102">
        <f>TrRoad_act!Q68</f>
        <v>185</v>
      </c>
      <c r="R14" s="102">
        <f>TrRoad_act!R68</f>
        <v>125</v>
      </c>
      <c r="S14" s="102">
        <f>TrRoad_act!S68</f>
        <v>103</v>
      </c>
      <c r="T14" s="102">
        <f>TrRoad_act!T68</f>
        <v>102</v>
      </c>
      <c r="U14" s="102">
        <f>TrRoad_act!U68</f>
        <v>101</v>
      </c>
      <c r="V14" s="102">
        <f>TrRoad_act!V68</f>
        <v>105</v>
      </c>
      <c r="W14" s="102">
        <f>TrRoad_act!W68</f>
        <v>103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15449</v>
      </c>
      <c r="C15" s="102">
        <f>TrRoad_act!C69</f>
        <v>15896</v>
      </c>
      <c r="D15" s="102">
        <f>TrRoad_act!D69</f>
        <v>16302</v>
      </c>
      <c r="E15" s="102">
        <f>TrRoad_act!E69</f>
        <v>16572</v>
      </c>
      <c r="F15" s="102">
        <f>TrRoad_act!F69</f>
        <v>16340</v>
      </c>
      <c r="G15" s="102">
        <f>TrRoad_act!G69</f>
        <v>16581</v>
      </c>
      <c r="H15" s="102">
        <f>TrRoad_act!H69</f>
        <v>18475</v>
      </c>
      <c r="I15" s="102">
        <f>TrRoad_act!I69</f>
        <v>18923</v>
      </c>
      <c r="J15" s="102">
        <f>TrRoad_act!J69</f>
        <v>17458</v>
      </c>
      <c r="K15" s="102">
        <f>TrRoad_act!K69</f>
        <v>17253</v>
      </c>
      <c r="L15" s="102">
        <f>TrRoad_act!L69</f>
        <v>17209</v>
      </c>
      <c r="M15" s="102">
        <f>TrRoad_act!M69</f>
        <v>16980</v>
      </c>
      <c r="N15" s="102">
        <f>TrRoad_act!N69</f>
        <v>16935</v>
      </c>
      <c r="O15" s="102">
        <f>TrRoad_act!O69</f>
        <v>17230</v>
      </c>
      <c r="P15" s="102">
        <f>TrRoad_act!P69</f>
        <v>17607</v>
      </c>
      <c r="Q15" s="102">
        <f>TrRoad_act!Q69</f>
        <v>17789</v>
      </c>
      <c r="R15" s="102">
        <f>TrRoad_act!R69</f>
        <v>18080</v>
      </c>
      <c r="S15" s="102">
        <f>TrRoad_act!S69</f>
        <v>18303</v>
      </c>
      <c r="T15" s="102">
        <f>TrRoad_act!T69</f>
        <v>18679</v>
      </c>
      <c r="U15" s="102">
        <f>TrRoad_act!U69</f>
        <v>19002</v>
      </c>
      <c r="V15" s="102">
        <f>TrRoad_act!V69</f>
        <v>16559</v>
      </c>
      <c r="W15" s="102">
        <f>TrRoad_act!W69</f>
        <v>17281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1</v>
      </c>
      <c r="Q16" s="102">
        <f>TrRoad_act!Q70</f>
        <v>1</v>
      </c>
      <c r="R16" s="102">
        <f>TrRoad_act!R70</f>
        <v>2</v>
      </c>
      <c r="S16" s="102">
        <f>TrRoad_act!S70</f>
        <v>2</v>
      </c>
      <c r="T16" s="102">
        <f>TrRoad_act!T70</f>
        <v>2</v>
      </c>
      <c r="U16" s="102">
        <f>TrRoad_act!U70</f>
        <v>2</v>
      </c>
      <c r="V16" s="102">
        <f>TrRoad_act!V70</f>
        <v>2</v>
      </c>
      <c r="W16" s="102">
        <f>TrRoad_act!W70</f>
        <v>2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95</v>
      </c>
      <c r="C17" s="102">
        <f>TrRoad_act!C71</f>
        <v>105</v>
      </c>
      <c r="D17" s="102">
        <f>TrRoad_act!D71</f>
        <v>105</v>
      </c>
      <c r="E17" s="102">
        <f>TrRoad_act!E71</f>
        <v>115</v>
      </c>
      <c r="F17" s="102">
        <f>TrRoad_act!F71</f>
        <v>115</v>
      </c>
      <c r="G17" s="102">
        <f>TrRoad_act!G71</f>
        <v>120</v>
      </c>
      <c r="H17" s="102">
        <f>TrRoad_act!H71</f>
        <v>120</v>
      </c>
      <c r="I17" s="102">
        <f>TrRoad_act!I71</f>
        <v>100</v>
      </c>
      <c r="J17" s="102">
        <f>TrRoad_act!J71</f>
        <v>75</v>
      </c>
      <c r="K17" s="102">
        <f>TrRoad_act!K71</f>
        <v>75</v>
      </c>
      <c r="L17" s="102">
        <f>TrRoad_act!L71</f>
        <v>55</v>
      </c>
      <c r="M17" s="102">
        <f>TrRoad_act!M71</f>
        <v>45</v>
      </c>
      <c r="N17" s="102">
        <f>TrRoad_act!N71</f>
        <v>55</v>
      </c>
      <c r="O17" s="102">
        <f>TrRoad_act!O71</f>
        <v>39</v>
      </c>
      <c r="P17" s="102">
        <f>TrRoad_act!P71</f>
        <v>58</v>
      </c>
      <c r="Q17" s="102">
        <f>TrRoad_act!Q71</f>
        <v>183</v>
      </c>
      <c r="R17" s="102">
        <f>TrRoad_act!R71</f>
        <v>290</v>
      </c>
      <c r="S17" s="102">
        <f>TrRoad_act!S71</f>
        <v>330</v>
      </c>
      <c r="T17" s="102">
        <f>TrRoad_act!T71</f>
        <v>335</v>
      </c>
      <c r="U17" s="102">
        <f>TrRoad_act!U71</f>
        <v>319</v>
      </c>
      <c r="V17" s="102">
        <f>TrRoad_act!V71</f>
        <v>293</v>
      </c>
      <c r="W17" s="102">
        <f>TrRoad_act!W71</f>
        <v>286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247</v>
      </c>
      <c r="C18" s="102">
        <f>TrRoad_act!C72</f>
        <v>241</v>
      </c>
      <c r="D18" s="102">
        <f>TrRoad_act!D72</f>
        <v>241</v>
      </c>
      <c r="E18" s="102">
        <f>TrRoad_act!E72</f>
        <v>242</v>
      </c>
      <c r="F18" s="102">
        <f>TrRoad_act!F72</f>
        <v>237</v>
      </c>
      <c r="G18" s="102">
        <f>TrRoad_act!G72</f>
        <v>133</v>
      </c>
      <c r="H18" s="102">
        <f>TrRoad_act!H72</f>
        <v>112</v>
      </c>
      <c r="I18" s="102">
        <f>TrRoad_act!I72</f>
        <v>93</v>
      </c>
      <c r="J18" s="102">
        <f>TrRoad_act!J72</f>
        <v>75</v>
      </c>
      <c r="K18" s="102">
        <f>TrRoad_act!K72</f>
        <v>60</v>
      </c>
      <c r="L18" s="102">
        <f>TrRoad_act!L72</f>
        <v>46</v>
      </c>
      <c r="M18" s="102">
        <f>TrRoad_act!M72</f>
        <v>35</v>
      </c>
      <c r="N18" s="102">
        <f>TrRoad_act!N72</f>
        <v>26</v>
      </c>
      <c r="O18" s="102">
        <f>TrRoad_act!O72</f>
        <v>20</v>
      </c>
      <c r="P18" s="102">
        <f>TrRoad_act!P72</f>
        <v>15</v>
      </c>
      <c r="Q18" s="102">
        <f>TrRoad_act!Q72</f>
        <v>31</v>
      </c>
      <c r="R18" s="102">
        <f>TrRoad_act!R72</f>
        <v>33</v>
      </c>
      <c r="S18" s="102">
        <f>TrRoad_act!S72</f>
        <v>32</v>
      </c>
      <c r="T18" s="102">
        <f>TrRoad_act!T72</f>
        <v>33</v>
      </c>
      <c r="U18" s="102">
        <f>TrRoad_act!U72</f>
        <v>33</v>
      </c>
      <c r="V18" s="102">
        <f>TrRoad_act!V72</f>
        <v>54</v>
      </c>
      <c r="W18" s="102">
        <f>TrRoad_act!W72</f>
        <v>100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349928</v>
      </c>
      <c r="C19" s="28">
        <f>TrRoad_act!C73</f>
        <v>364647</v>
      </c>
      <c r="D19" s="28">
        <f>TrRoad_act!D73</f>
        <v>382155</v>
      </c>
      <c r="E19" s="28">
        <f>TrRoad_act!E73</f>
        <v>393572</v>
      </c>
      <c r="F19" s="28">
        <f>TrRoad_act!F73</f>
        <v>397317</v>
      </c>
      <c r="G19" s="28">
        <f>TrRoad_act!G73</f>
        <v>411209</v>
      </c>
      <c r="H19" s="28">
        <f>TrRoad_act!H73</f>
        <v>425123</v>
      </c>
      <c r="I19" s="28">
        <f>TrRoad_act!I73</f>
        <v>437047</v>
      </c>
      <c r="J19" s="28">
        <f>TrRoad_act!J73</f>
        <v>448841</v>
      </c>
      <c r="K19" s="28">
        <f>TrRoad_act!K73</f>
        <v>441920</v>
      </c>
      <c r="L19" s="28">
        <f>TrRoad_act!L73</f>
        <v>441045</v>
      </c>
      <c r="M19" s="28">
        <f>TrRoad_act!M73</f>
        <v>441442</v>
      </c>
      <c r="N19" s="28">
        <f>TrRoad_act!N73</f>
        <v>442354</v>
      </c>
      <c r="O19" s="28">
        <f>TrRoad_act!O73</f>
        <v>449366</v>
      </c>
      <c r="P19" s="28">
        <f>TrRoad_act!P73</f>
        <v>464284</v>
      </c>
      <c r="Q19" s="28">
        <f>TrRoad_act!Q73</f>
        <v>482663</v>
      </c>
      <c r="R19" s="28">
        <f>TrRoad_act!R73</f>
        <v>503030</v>
      </c>
      <c r="S19" s="28">
        <f>TrRoad_act!S73</f>
        <v>529686</v>
      </c>
      <c r="T19" s="28">
        <f>TrRoad_act!T73</f>
        <v>560136</v>
      </c>
      <c r="U19" s="28">
        <f>TrRoad_act!U73</f>
        <v>589340</v>
      </c>
      <c r="V19" s="28">
        <f>TrRoad_act!V73</f>
        <v>609548</v>
      </c>
      <c r="W19" s="28">
        <f>TrRoad_act!W73</f>
        <v>630538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220504</v>
      </c>
      <c r="C20" s="137">
        <f>TrRoad_act!C74</f>
        <v>230397</v>
      </c>
      <c r="D20" s="137">
        <f>TrRoad_act!D74</f>
        <v>243373</v>
      </c>
      <c r="E20" s="137">
        <f>TrRoad_act!E74</f>
        <v>251478</v>
      </c>
      <c r="F20" s="137">
        <f>TrRoad_act!F74</f>
        <v>255904</v>
      </c>
      <c r="G20" s="137">
        <f>TrRoad_act!G74</f>
        <v>265913</v>
      </c>
      <c r="H20" s="137">
        <f>TrRoad_act!H74</f>
        <v>267161</v>
      </c>
      <c r="I20" s="137">
        <f>TrRoad_act!I74</f>
        <v>280510</v>
      </c>
      <c r="J20" s="137">
        <f>TrRoad_act!J74</f>
        <v>306139</v>
      </c>
      <c r="K20" s="137">
        <f>TrRoad_act!K74</f>
        <v>353776</v>
      </c>
      <c r="L20" s="137">
        <f>TrRoad_act!L74</f>
        <v>305966</v>
      </c>
      <c r="M20" s="137">
        <f>TrRoad_act!M74</f>
        <v>323840</v>
      </c>
      <c r="N20" s="137">
        <f>TrRoad_act!N74</f>
        <v>337798</v>
      </c>
      <c r="O20" s="137">
        <f>TrRoad_act!O74</f>
        <v>358475</v>
      </c>
      <c r="P20" s="137">
        <f>TrRoad_act!P74</f>
        <v>370285</v>
      </c>
      <c r="Q20" s="137">
        <f>TrRoad_act!Q74</f>
        <v>385901</v>
      </c>
      <c r="R20" s="137">
        <f>TrRoad_act!R74</f>
        <v>403682</v>
      </c>
      <c r="S20" s="137">
        <f>TrRoad_act!S74</f>
        <v>422995</v>
      </c>
      <c r="T20" s="137">
        <f>TrRoad_act!T74</f>
        <v>444588</v>
      </c>
      <c r="U20" s="137">
        <f>TrRoad_act!U74</f>
        <v>468274</v>
      </c>
      <c r="V20" s="137">
        <f>TrRoad_act!V74</f>
        <v>483463</v>
      </c>
      <c r="W20" s="137">
        <f>TrRoad_act!W74</f>
        <v>499641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80599</v>
      </c>
      <c r="C21" s="84">
        <f>TrRoad_act!C75</f>
        <v>75042</v>
      </c>
      <c r="D21" s="84">
        <f>TrRoad_act!D75</f>
        <v>67713</v>
      </c>
      <c r="E21" s="84">
        <f>TrRoad_act!E75</f>
        <v>61187</v>
      </c>
      <c r="F21" s="84">
        <f>TrRoad_act!F75</f>
        <v>55618</v>
      </c>
      <c r="G21" s="84">
        <f>TrRoad_act!G75</f>
        <v>50541</v>
      </c>
      <c r="H21" s="84">
        <f>TrRoad_act!H75</f>
        <v>46132</v>
      </c>
      <c r="I21" s="84">
        <f>TrRoad_act!I75</f>
        <v>41934</v>
      </c>
      <c r="J21" s="84">
        <f>TrRoad_act!J75</f>
        <v>34950</v>
      </c>
      <c r="K21" s="84">
        <f>TrRoad_act!K75</f>
        <v>32277</v>
      </c>
      <c r="L21" s="84">
        <f>TrRoad_act!L75</f>
        <v>29749</v>
      </c>
      <c r="M21" s="84">
        <f>TrRoad_act!M75</f>
        <v>26947</v>
      </c>
      <c r="N21" s="84">
        <f>TrRoad_act!N75</f>
        <v>26247</v>
      </c>
      <c r="O21" s="84">
        <f>TrRoad_act!O75</f>
        <v>25546</v>
      </c>
      <c r="P21" s="84">
        <f>TrRoad_act!P75</f>
        <v>23977</v>
      </c>
      <c r="Q21" s="84">
        <f>TrRoad_act!Q75</f>
        <v>22071</v>
      </c>
      <c r="R21" s="84">
        <f>TrRoad_act!R75</f>
        <v>20308</v>
      </c>
      <c r="S21" s="84">
        <f>TrRoad_act!S75</f>
        <v>19322</v>
      </c>
      <c r="T21" s="84">
        <f>TrRoad_act!T75</f>
        <v>18671</v>
      </c>
      <c r="U21" s="84">
        <f>TrRoad_act!U75</f>
        <v>18164</v>
      </c>
      <c r="V21" s="84">
        <f>TrRoad_act!V75</f>
        <v>17344</v>
      </c>
      <c r="W21" s="84">
        <f>TrRoad_act!W75</f>
        <v>16886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139898</v>
      </c>
      <c r="C22" s="84">
        <f>TrRoad_act!C76</f>
        <v>155139</v>
      </c>
      <c r="D22" s="84">
        <f>TrRoad_act!D76</f>
        <v>175455</v>
      </c>
      <c r="E22" s="84">
        <f>TrRoad_act!E76</f>
        <v>190088</v>
      </c>
      <c r="F22" s="84">
        <f>TrRoad_act!F76</f>
        <v>200087</v>
      </c>
      <c r="G22" s="84">
        <f>TrRoad_act!G76</f>
        <v>215180</v>
      </c>
      <c r="H22" s="84">
        <f>TrRoad_act!H76</f>
        <v>220843</v>
      </c>
      <c r="I22" s="84">
        <f>TrRoad_act!I76</f>
        <v>238399</v>
      </c>
      <c r="J22" s="84">
        <f>TrRoad_act!J76</f>
        <v>271022</v>
      </c>
      <c r="K22" s="84">
        <f>TrRoad_act!K76</f>
        <v>321344</v>
      </c>
      <c r="L22" s="84">
        <f>TrRoad_act!L76</f>
        <v>276075</v>
      </c>
      <c r="M22" s="84">
        <f>TrRoad_act!M76</f>
        <v>296765</v>
      </c>
      <c r="N22" s="84">
        <f>TrRoad_act!N76</f>
        <v>311432</v>
      </c>
      <c r="O22" s="84">
        <f>TrRoad_act!O76</f>
        <v>332732</v>
      </c>
      <c r="P22" s="84">
        <f>TrRoad_act!P76</f>
        <v>346099</v>
      </c>
      <c r="Q22" s="84">
        <f>TrRoad_act!Q76</f>
        <v>363283</v>
      </c>
      <c r="R22" s="84">
        <f>TrRoad_act!R76</f>
        <v>382768</v>
      </c>
      <c r="S22" s="84">
        <f>TrRoad_act!S76</f>
        <v>402903</v>
      </c>
      <c r="T22" s="84">
        <f>TrRoad_act!T76</f>
        <v>424887</v>
      </c>
      <c r="U22" s="84">
        <f>TrRoad_act!U76</f>
        <v>448950</v>
      </c>
      <c r="V22" s="84">
        <f>TrRoad_act!V76</f>
        <v>464737</v>
      </c>
      <c r="W22" s="84">
        <f>TrRoad_act!W76</f>
        <v>480999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209</v>
      </c>
      <c r="D23" s="84">
        <f>TrRoad_act!D77</f>
        <v>198</v>
      </c>
      <c r="E23" s="84">
        <f>TrRoad_act!E77</f>
        <v>196</v>
      </c>
      <c r="F23" s="84">
        <f>TrRoad_act!F77</f>
        <v>192</v>
      </c>
      <c r="G23" s="84">
        <f>TrRoad_act!G77</f>
        <v>186</v>
      </c>
      <c r="H23" s="84">
        <f>TrRoad_act!H77</f>
        <v>180</v>
      </c>
      <c r="I23" s="84">
        <f>TrRoad_act!I77</f>
        <v>171</v>
      </c>
      <c r="J23" s="84">
        <f>TrRoad_act!J77</f>
        <v>162</v>
      </c>
      <c r="K23" s="84">
        <f>TrRoad_act!K77</f>
        <v>150</v>
      </c>
      <c r="L23" s="84">
        <f>TrRoad_act!L77</f>
        <v>138</v>
      </c>
      <c r="M23" s="84">
        <f>TrRoad_act!M77</f>
        <v>124</v>
      </c>
      <c r="N23" s="84">
        <f>TrRoad_act!N77</f>
        <v>112</v>
      </c>
      <c r="O23" s="84">
        <f>TrRoad_act!O77</f>
        <v>98</v>
      </c>
      <c r="P23" s="84">
        <f>TrRoad_act!P77</f>
        <v>84</v>
      </c>
      <c r="Q23" s="84">
        <f>TrRoad_act!Q77</f>
        <v>75</v>
      </c>
      <c r="R23" s="84">
        <f>TrRoad_act!R77</f>
        <v>63</v>
      </c>
      <c r="S23" s="84">
        <f>TrRoad_act!S77</f>
        <v>51</v>
      </c>
      <c r="T23" s="84">
        <f>TrRoad_act!T77</f>
        <v>42</v>
      </c>
      <c r="U23" s="84">
        <f>TrRoad_act!U77</f>
        <v>32</v>
      </c>
      <c r="V23" s="84">
        <f>TrRoad_act!V77</f>
        <v>28</v>
      </c>
      <c r="W23" s="84">
        <f>TrRoad_act!W77</f>
        <v>23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7</v>
      </c>
      <c r="C24" s="84">
        <f>TrRoad_act!C78</f>
        <v>7</v>
      </c>
      <c r="D24" s="84">
        <f>TrRoad_act!D78</f>
        <v>7</v>
      </c>
      <c r="E24" s="84">
        <f>TrRoad_act!E78</f>
        <v>7</v>
      </c>
      <c r="F24" s="84">
        <f>TrRoad_act!F78</f>
        <v>7</v>
      </c>
      <c r="G24" s="84">
        <f>TrRoad_act!G78</f>
        <v>6</v>
      </c>
      <c r="H24" s="84">
        <f>TrRoad_act!H78</f>
        <v>6</v>
      </c>
      <c r="I24" s="84">
        <f>TrRoad_act!I78</f>
        <v>6</v>
      </c>
      <c r="J24" s="84">
        <f>TrRoad_act!J78</f>
        <v>5</v>
      </c>
      <c r="K24" s="84">
        <f>TrRoad_act!K78</f>
        <v>5</v>
      </c>
      <c r="L24" s="84">
        <f>TrRoad_act!L78</f>
        <v>4</v>
      </c>
      <c r="M24" s="84">
        <f>TrRoad_act!M78</f>
        <v>4</v>
      </c>
      <c r="N24" s="84">
        <f>TrRoad_act!N78</f>
        <v>7</v>
      </c>
      <c r="O24" s="84">
        <f>TrRoad_act!O78</f>
        <v>78</v>
      </c>
      <c r="P24" s="84">
        <f>TrRoad_act!P78</f>
        <v>103</v>
      </c>
      <c r="Q24" s="84">
        <f>TrRoad_act!Q78</f>
        <v>429</v>
      </c>
      <c r="R24" s="84">
        <f>TrRoad_act!R78</f>
        <v>449</v>
      </c>
      <c r="S24" s="84">
        <f>TrRoad_act!S78</f>
        <v>530</v>
      </c>
      <c r="T24" s="84">
        <f>TrRoad_act!T78</f>
        <v>603</v>
      </c>
      <c r="U24" s="84">
        <f>TrRoad_act!U78</f>
        <v>620</v>
      </c>
      <c r="V24" s="84">
        <f>TrRoad_act!V78</f>
        <v>630</v>
      </c>
      <c r="W24" s="84">
        <f>TrRoad_act!W78</f>
        <v>630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0</v>
      </c>
      <c r="O25" s="84">
        <f>TrRoad_act!O79</f>
        <v>21</v>
      </c>
      <c r="P25" s="84">
        <f>TrRoad_act!P79</f>
        <v>22</v>
      </c>
      <c r="Q25" s="84">
        <f>TrRoad_act!Q79</f>
        <v>43</v>
      </c>
      <c r="R25" s="84">
        <f>TrRoad_act!R79</f>
        <v>94</v>
      </c>
      <c r="S25" s="84">
        <f>TrRoad_act!S79</f>
        <v>189</v>
      </c>
      <c r="T25" s="84">
        <f>TrRoad_act!T79</f>
        <v>385</v>
      </c>
      <c r="U25" s="84">
        <f>TrRoad_act!U79</f>
        <v>508</v>
      </c>
      <c r="V25" s="84">
        <f>TrRoad_act!V79</f>
        <v>724</v>
      </c>
      <c r="W25" s="84">
        <f>TrRoad_act!W79</f>
        <v>1103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129424</v>
      </c>
      <c r="C26" s="110">
        <f>TrRoad_act!C80</f>
        <v>134250</v>
      </c>
      <c r="D26" s="110">
        <f>TrRoad_act!D80</f>
        <v>138782</v>
      </c>
      <c r="E26" s="110">
        <f>TrRoad_act!E80</f>
        <v>142094</v>
      </c>
      <c r="F26" s="110">
        <f>TrRoad_act!F80</f>
        <v>141413</v>
      </c>
      <c r="G26" s="110">
        <f>TrRoad_act!G80</f>
        <v>145296</v>
      </c>
      <c r="H26" s="110">
        <f>TrRoad_act!H80</f>
        <v>157962</v>
      </c>
      <c r="I26" s="110">
        <f>TrRoad_act!I80</f>
        <v>156537</v>
      </c>
      <c r="J26" s="110">
        <f>TrRoad_act!J80</f>
        <v>142702</v>
      </c>
      <c r="K26" s="110">
        <f>TrRoad_act!K80</f>
        <v>88144</v>
      </c>
      <c r="L26" s="110">
        <f>TrRoad_act!L80</f>
        <v>135079</v>
      </c>
      <c r="M26" s="110">
        <f>TrRoad_act!M80</f>
        <v>117602</v>
      </c>
      <c r="N26" s="110">
        <f>TrRoad_act!N80</f>
        <v>104556</v>
      </c>
      <c r="O26" s="110">
        <f>TrRoad_act!O80</f>
        <v>90891</v>
      </c>
      <c r="P26" s="110">
        <f>TrRoad_act!P80</f>
        <v>93999</v>
      </c>
      <c r="Q26" s="110">
        <f>TrRoad_act!Q80</f>
        <v>96762</v>
      </c>
      <c r="R26" s="110">
        <f>TrRoad_act!R80</f>
        <v>99348</v>
      </c>
      <c r="S26" s="110">
        <f>TrRoad_act!S80</f>
        <v>106691</v>
      </c>
      <c r="T26" s="110">
        <f>TrRoad_act!T80</f>
        <v>115548</v>
      </c>
      <c r="U26" s="110">
        <f>TrRoad_act!U80</f>
        <v>121066</v>
      </c>
      <c r="V26" s="110">
        <f>TrRoad_act!V80</f>
        <v>126085</v>
      </c>
      <c r="W26" s="110">
        <f>TrRoad_act!W80</f>
        <v>130897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122983</v>
      </c>
      <c r="C27" s="102">
        <f>TrRoad_act!C81</f>
        <v>127345</v>
      </c>
      <c r="D27" s="102">
        <f>TrRoad_act!D81</f>
        <v>131518</v>
      </c>
      <c r="E27" s="102">
        <f>TrRoad_act!E81</f>
        <v>134669</v>
      </c>
      <c r="F27" s="102">
        <f>TrRoad_act!F81</f>
        <v>132634</v>
      </c>
      <c r="G27" s="102">
        <f>TrRoad_act!G81</f>
        <v>136208</v>
      </c>
      <c r="H27" s="102">
        <f>TrRoad_act!H81</f>
        <v>148084</v>
      </c>
      <c r="I27" s="102">
        <f>TrRoad_act!I81</f>
        <v>145726</v>
      </c>
      <c r="J27" s="102">
        <f>TrRoad_act!J81</f>
        <v>130728</v>
      </c>
      <c r="K27" s="102">
        <f>TrRoad_act!K81</f>
        <v>79429</v>
      </c>
      <c r="L27" s="102">
        <f>TrRoad_act!L81</f>
        <v>126802</v>
      </c>
      <c r="M27" s="102">
        <f>TrRoad_act!M81</f>
        <v>108829</v>
      </c>
      <c r="N27" s="102">
        <f>TrRoad_act!N81</f>
        <v>95721</v>
      </c>
      <c r="O27" s="102">
        <f>TrRoad_act!O81</f>
        <v>81880</v>
      </c>
      <c r="P27" s="102">
        <f>TrRoad_act!P81</f>
        <v>84750</v>
      </c>
      <c r="Q27" s="102">
        <f>TrRoad_act!Q81</f>
        <v>86889</v>
      </c>
      <c r="R27" s="102">
        <f>TrRoad_act!R81</f>
        <v>88702</v>
      </c>
      <c r="S27" s="102">
        <f>TrRoad_act!S81</f>
        <v>95073</v>
      </c>
      <c r="T27" s="102">
        <f>TrRoad_act!T81</f>
        <v>103899</v>
      </c>
      <c r="U27" s="102">
        <f>TrRoad_act!U81</f>
        <v>109124</v>
      </c>
      <c r="V27" s="102">
        <f>TrRoad_act!V81</f>
        <v>114769</v>
      </c>
      <c r="W27" s="102">
        <f>TrRoad_act!W81</f>
        <v>118372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6441</v>
      </c>
      <c r="C28" s="86">
        <f>TrRoad_act!C82</f>
        <v>6905</v>
      </c>
      <c r="D28" s="86">
        <f>TrRoad_act!D82</f>
        <v>7264</v>
      </c>
      <c r="E28" s="86">
        <f>TrRoad_act!E82</f>
        <v>7425</v>
      </c>
      <c r="F28" s="86">
        <f>TrRoad_act!F82</f>
        <v>8779</v>
      </c>
      <c r="G28" s="86">
        <f>TrRoad_act!G82</f>
        <v>9088</v>
      </c>
      <c r="H28" s="86">
        <f>TrRoad_act!H82</f>
        <v>9878</v>
      </c>
      <c r="I28" s="86">
        <f>TrRoad_act!I82</f>
        <v>10811</v>
      </c>
      <c r="J28" s="86">
        <f>TrRoad_act!J82</f>
        <v>11974</v>
      </c>
      <c r="K28" s="86">
        <f>TrRoad_act!K82</f>
        <v>8715</v>
      </c>
      <c r="L28" s="86">
        <f>TrRoad_act!L82</f>
        <v>8277</v>
      </c>
      <c r="M28" s="86">
        <f>TrRoad_act!M82</f>
        <v>8773</v>
      </c>
      <c r="N28" s="86">
        <f>TrRoad_act!N82</f>
        <v>8835</v>
      </c>
      <c r="O28" s="86">
        <f>TrRoad_act!O82</f>
        <v>9011</v>
      </c>
      <c r="P28" s="86">
        <f>TrRoad_act!P82</f>
        <v>9249</v>
      </c>
      <c r="Q28" s="86">
        <f>TrRoad_act!Q82</f>
        <v>9873</v>
      </c>
      <c r="R28" s="86">
        <f>TrRoad_act!R82</f>
        <v>10646</v>
      </c>
      <c r="S28" s="86">
        <f>TrRoad_act!S82</f>
        <v>11618</v>
      </c>
      <c r="T28" s="86">
        <f>TrRoad_act!T82</f>
        <v>11649</v>
      </c>
      <c r="U28" s="86">
        <f>TrRoad_act!U82</f>
        <v>11942</v>
      </c>
      <c r="V28" s="86">
        <f>TrRoad_act!V82</f>
        <v>11316</v>
      </c>
      <c r="W28" s="86">
        <f>TrRoad_act!W82</f>
        <v>12525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172685</v>
      </c>
      <c r="C30" s="54">
        <f>TrRoad_act!C111</f>
        <v>227607</v>
      </c>
      <c r="D30" s="54">
        <f>TrRoad_act!D111</f>
        <v>286414</v>
      </c>
      <c r="E30" s="54">
        <f>TrRoad_act!E111</f>
        <v>319711</v>
      </c>
      <c r="F30" s="54">
        <f>TrRoad_act!F111</f>
        <v>303616</v>
      </c>
      <c r="G30" s="54">
        <f>TrRoad_act!G111</f>
        <v>289186</v>
      </c>
      <c r="H30" s="54">
        <f>TrRoad_act!H111</f>
        <v>366753</v>
      </c>
      <c r="I30" s="54">
        <f>TrRoad_act!I111</f>
        <v>253860</v>
      </c>
      <c r="J30" s="54">
        <f>TrRoad_act!J111</f>
        <v>240860</v>
      </c>
      <c r="K30" s="54">
        <f>TrRoad_act!K111</f>
        <v>136191</v>
      </c>
      <c r="L30" s="54">
        <f>TrRoad_act!L111</f>
        <v>127530</v>
      </c>
      <c r="M30" s="54">
        <f>TrRoad_act!M111</f>
        <v>118084</v>
      </c>
      <c r="N30" s="54">
        <f>TrRoad_act!N111</f>
        <v>135829</v>
      </c>
      <c r="O30" s="54">
        <f>TrRoad_act!O111</f>
        <v>184548</v>
      </c>
      <c r="P30" s="54">
        <f>TrRoad_act!P111</f>
        <v>216054</v>
      </c>
      <c r="Q30" s="54">
        <f>TrRoad_act!Q111</f>
        <v>254284</v>
      </c>
      <c r="R30" s="54">
        <f>TrRoad_act!R111</f>
        <v>296512</v>
      </c>
      <c r="S30" s="54">
        <f>TrRoad_act!S111</f>
        <v>337733</v>
      </c>
      <c r="T30" s="54">
        <f>TrRoad_act!T111</f>
        <v>372234</v>
      </c>
      <c r="U30" s="54">
        <f>TrRoad_act!U111</f>
        <v>394522</v>
      </c>
      <c r="V30" s="54">
        <f>TrRoad_act!V111</f>
        <v>324911</v>
      </c>
      <c r="W30" s="54">
        <f>TrRoad_act!W111</f>
        <v>221717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150084</v>
      </c>
      <c r="C31" s="28">
        <f>TrRoad_act!C112</f>
        <v>195593</v>
      </c>
      <c r="D31" s="28">
        <f>TrRoad_act!D112</f>
        <v>248365</v>
      </c>
      <c r="E31" s="28">
        <f>TrRoad_act!E112</f>
        <v>284964</v>
      </c>
      <c r="F31" s="28">
        <f>TrRoad_act!F112</f>
        <v>273171</v>
      </c>
      <c r="G31" s="28">
        <f>TrRoad_act!G112</f>
        <v>254013</v>
      </c>
      <c r="H31" s="28">
        <f>TrRoad_act!H112</f>
        <v>316660</v>
      </c>
      <c r="I31" s="28">
        <f>TrRoad_act!I112</f>
        <v>210059</v>
      </c>
      <c r="J31" s="28">
        <f>TrRoad_act!J112</f>
        <v>189966</v>
      </c>
      <c r="K31" s="28">
        <f>TrRoad_act!K112</f>
        <v>83855</v>
      </c>
      <c r="L31" s="28">
        <f>TrRoad_act!L112</f>
        <v>68038</v>
      </c>
      <c r="M31" s="28">
        <f>TrRoad_act!M112</f>
        <v>83324</v>
      </c>
      <c r="N31" s="28">
        <f>TrRoad_act!N112</f>
        <v>114903</v>
      </c>
      <c r="O31" s="28">
        <f>TrRoad_act!O112</f>
        <v>135868</v>
      </c>
      <c r="P31" s="28">
        <f>TrRoad_act!P112</f>
        <v>173942</v>
      </c>
      <c r="Q31" s="28">
        <f>TrRoad_act!Q112</f>
        <v>209766</v>
      </c>
      <c r="R31" s="28">
        <f>TrRoad_act!R112</f>
        <v>248695</v>
      </c>
      <c r="S31" s="28">
        <f>TrRoad_act!S112</f>
        <v>280725</v>
      </c>
      <c r="T31" s="28">
        <f>TrRoad_act!T112</f>
        <v>308116</v>
      </c>
      <c r="U31" s="28">
        <f>TrRoad_act!U112</f>
        <v>328509</v>
      </c>
      <c r="V31" s="28">
        <f>TrRoad_act!V112</f>
        <v>270651</v>
      </c>
      <c r="W31" s="28">
        <f>TrRoad_act!W112</f>
        <v>160111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0</v>
      </c>
      <c r="C32" s="137">
        <f>TrRoad_act!C113</f>
        <v>3263</v>
      </c>
      <c r="D32" s="137">
        <f>TrRoad_act!D113</f>
        <v>7438</v>
      </c>
      <c r="E32" s="137">
        <f>TrRoad_act!E113</f>
        <v>8875</v>
      </c>
      <c r="F32" s="137">
        <f>TrRoad_act!F113</f>
        <v>16152.000000000002</v>
      </c>
      <c r="G32" s="137">
        <f>TrRoad_act!G113</f>
        <v>12537</v>
      </c>
      <c r="H32" s="137">
        <f>TrRoad_act!H113</f>
        <v>12005</v>
      </c>
      <c r="I32" s="137">
        <f>TrRoad_act!I113</f>
        <v>12642</v>
      </c>
      <c r="J32" s="137">
        <f>TrRoad_act!J113</f>
        <v>12165</v>
      </c>
      <c r="K32" s="137">
        <f>TrRoad_act!K113</f>
        <v>7344</v>
      </c>
      <c r="L32" s="137">
        <f>TrRoad_act!L113</f>
        <v>6057</v>
      </c>
      <c r="M32" s="137">
        <f>TrRoad_act!M113</f>
        <v>6076</v>
      </c>
      <c r="N32" s="137">
        <f>TrRoad_act!N113</f>
        <v>7070</v>
      </c>
      <c r="O32" s="137">
        <f>TrRoad_act!O113</f>
        <v>7467</v>
      </c>
      <c r="P32" s="137">
        <f>TrRoad_act!P113</f>
        <v>7969</v>
      </c>
      <c r="Q32" s="137">
        <f>TrRoad_act!Q113</f>
        <v>8380</v>
      </c>
      <c r="R32" s="137">
        <f>TrRoad_act!R113</f>
        <v>8650</v>
      </c>
      <c r="S32" s="137">
        <f>TrRoad_act!S113</f>
        <v>7684</v>
      </c>
      <c r="T32" s="137">
        <f>TrRoad_act!T113</f>
        <v>11181</v>
      </c>
      <c r="U32" s="137">
        <f>TrRoad_act!U113</f>
        <v>12514</v>
      </c>
      <c r="V32" s="137">
        <f>TrRoad_act!V113</f>
        <v>11440</v>
      </c>
      <c r="W32" s="137">
        <f>TrRoad_act!W113</f>
        <v>10846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149137</v>
      </c>
      <c r="C33" s="110">
        <f>TrRoad_act!C114</f>
        <v>190518</v>
      </c>
      <c r="D33" s="110">
        <f>TrRoad_act!D114</f>
        <v>239127</v>
      </c>
      <c r="E33" s="110">
        <f>TrRoad_act!E114</f>
        <v>274389</v>
      </c>
      <c r="F33" s="110">
        <f>TrRoad_act!F114</f>
        <v>255822</v>
      </c>
      <c r="G33" s="110">
        <f>TrRoad_act!G114</f>
        <v>239810</v>
      </c>
      <c r="H33" s="110">
        <f>TrRoad_act!H114</f>
        <v>301366</v>
      </c>
      <c r="I33" s="110">
        <f>TrRoad_act!I114</f>
        <v>195611</v>
      </c>
      <c r="J33" s="110">
        <f>TrRoad_act!J114</f>
        <v>176678</v>
      </c>
      <c r="K33" s="110">
        <f>TrRoad_act!K114</f>
        <v>75837</v>
      </c>
      <c r="L33" s="110">
        <f>TrRoad_act!L114</f>
        <v>61324</v>
      </c>
      <c r="M33" s="110">
        <f>TrRoad_act!M114</f>
        <v>76528</v>
      </c>
      <c r="N33" s="110">
        <f>TrRoad_act!N114</f>
        <v>106671</v>
      </c>
      <c r="O33" s="110">
        <f>TrRoad_act!O114</f>
        <v>126937</v>
      </c>
      <c r="P33" s="110">
        <f>TrRoad_act!P114</f>
        <v>164420</v>
      </c>
      <c r="Q33" s="110">
        <f>TrRoad_act!Q114</f>
        <v>199906</v>
      </c>
      <c r="R33" s="110">
        <f>TrRoad_act!R114</f>
        <v>238655</v>
      </c>
      <c r="S33" s="110">
        <f>TrRoad_act!S114</f>
        <v>271720</v>
      </c>
      <c r="T33" s="110">
        <f>TrRoad_act!T114</f>
        <v>295431</v>
      </c>
      <c r="U33" s="110">
        <f>TrRoad_act!U114</f>
        <v>314498</v>
      </c>
      <c r="V33" s="110">
        <f>TrRoad_act!V114</f>
        <v>258511</v>
      </c>
      <c r="W33" s="110">
        <f>TrRoad_act!W114</f>
        <v>148179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141705</v>
      </c>
      <c r="C34" s="84">
        <f>TrRoad_act!C115</f>
        <v>161937</v>
      </c>
      <c r="D34" s="84">
        <f>TrRoad_act!D115</f>
        <v>200741</v>
      </c>
      <c r="E34" s="84">
        <f>TrRoad_act!E115</f>
        <v>176886</v>
      </c>
      <c r="F34" s="84">
        <f>TrRoad_act!F115</f>
        <v>201848</v>
      </c>
      <c r="G34" s="84">
        <f>TrRoad_act!G115</f>
        <v>226731</v>
      </c>
      <c r="H34" s="84">
        <f>TrRoad_act!H115</f>
        <v>168707</v>
      </c>
      <c r="I34" s="84">
        <f>TrRoad_act!I115</f>
        <v>124450</v>
      </c>
      <c r="J34" s="84">
        <f>TrRoad_act!J115</f>
        <v>111339</v>
      </c>
      <c r="K34" s="84">
        <f>TrRoad_act!K115</f>
        <v>42308</v>
      </c>
      <c r="L34" s="84">
        <f>TrRoad_act!L115</f>
        <v>28710</v>
      </c>
      <c r="M34" s="84">
        <f>TrRoad_act!M115</f>
        <v>47069</v>
      </c>
      <c r="N34" s="84">
        <f>TrRoad_act!N115</f>
        <v>62709</v>
      </c>
      <c r="O34" s="84">
        <f>TrRoad_act!O115</f>
        <v>60019</v>
      </c>
      <c r="P34" s="84">
        <f>TrRoad_act!P115</f>
        <v>84946</v>
      </c>
      <c r="Q34" s="84">
        <f>TrRoad_act!Q115</f>
        <v>106093</v>
      </c>
      <c r="R34" s="84">
        <f>TrRoad_act!R115</f>
        <v>121766</v>
      </c>
      <c r="S34" s="84">
        <f>TrRoad_act!S115</f>
        <v>148776</v>
      </c>
      <c r="T34" s="84">
        <f>TrRoad_act!T115</f>
        <v>177297</v>
      </c>
      <c r="U34" s="84">
        <f>TrRoad_act!U115</f>
        <v>207156</v>
      </c>
      <c r="V34" s="84">
        <f>TrRoad_act!V115</f>
        <v>198083</v>
      </c>
      <c r="W34" s="84">
        <f>TrRoad_act!W115</f>
        <v>61807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7432</v>
      </c>
      <c r="C35" s="84">
        <f>TrRoad_act!C116</f>
        <v>25181</v>
      </c>
      <c r="D35" s="84">
        <f>TrRoad_act!D116</f>
        <v>38386</v>
      </c>
      <c r="E35" s="84">
        <f>TrRoad_act!E116</f>
        <v>47666</v>
      </c>
      <c r="F35" s="84">
        <f>TrRoad_act!F116</f>
        <v>53974</v>
      </c>
      <c r="G35" s="84">
        <f>TrRoad_act!G116</f>
        <v>13079</v>
      </c>
      <c r="H35" s="84">
        <f>TrRoad_act!H116</f>
        <v>132659</v>
      </c>
      <c r="I35" s="84">
        <f>TrRoad_act!I116</f>
        <v>71161</v>
      </c>
      <c r="J35" s="84">
        <f>TrRoad_act!J116</f>
        <v>65339</v>
      </c>
      <c r="K35" s="84">
        <f>TrRoad_act!K116</f>
        <v>33529</v>
      </c>
      <c r="L35" s="84">
        <f>TrRoad_act!L116</f>
        <v>30403</v>
      </c>
      <c r="M35" s="84">
        <f>TrRoad_act!M116</f>
        <v>22331</v>
      </c>
      <c r="N35" s="84">
        <f>TrRoad_act!N116</f>
        <v>41687</v>
      </c>
      <c r="O35" s="84">
        <f>TrRoad_act!O116</f>
        <v>60747</v>
      </c>
      <c r="P35" s="84">
        <f>TrRoad_act!P116</f>
        <v>75438</v>
      </c>
      <c r="Q35" s="84">
        <f>TrRoad_act!Q116</f>
        <v>90794</v>
      </c>
      <c r="R35" s="84">
        <f>TrRoad_act!R116</f>
        <v>116239</v>
      </c>
      <c r="S35" s="84">
        <f>TrRoad_act!S116</f>
        <v>121155</v>
      </c>
      <c r="T35" s="84">
        <f>TrRoad_act!T116</f>
        <v>115389</v>
      </c>
      <c r="U35" s="84">
        <f>TrRoad_act!U116</f>
        <v>103509</v>
      </c>
      <c r="V35" s="84">
        <f>TrRoad_act!V116</f>
        <v>52659</v>
      </c>
      <c r="W35" s="84">
        <f>TrRoad_act!W116</f>
        <v>73010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3400</v>
      </c>
      <c r="D36" s="84">
        <f>TrRoad_act!D117</f>
        <v>0</v>
      </c>
      <c r="E36" s="84">
        <f>TrRoad_act!E117</f>
        <v>49837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2032</v>
      </c>
      <c r="M36" s="84">
        <f>TrRoad_act!M117</f>
        <v>6799</v>
      </c>
      <c r="N36" s="84">
        <f>TrRoad_act!N117</f>
        <v>2249</v>
      </c>
      <c r="O36" s="84">
        <f>TrRoad_act!O117</f>
        <v>5723</v>
      </c>
      <c r="P36" s="84">
        <f>TrRoad_act!P117</f>
        <v>3716</v>
      </c>
      <c r="Q36" s="84">
        <f>TrRoad_act!Q117</f>
        <v>1781</v>
      </c>
      <c r="R36" s="84">
        <f>TrRoad_act!R117</f>
        <v>7</v>
      </c>
      <c r="S36" s="84">
        <f>TrRoad_act!S117</f>
        <v>0</v>
      </c>
      <c r="T36" s="84">
        <f>TrRoad_act!T117</f>
        <v>29</v>
      </c>
      <c r="U36" s="84">
        <f>TrRoad_act!U117</f>
        <v>10</v>
      </c>
      <c r="V36" s="84">
        <f>TrRoad_act!V117</f>
        <v>322</v>
      </c>
      <c r="W36" s="84">
        <f>TrRoad_act!W117</f>
        <v>594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2</v>
      </c>
      <c r="M37" s="84">
        <f>TrRoad_act!M118</f>
        <v>4</v>
      </c>
      <c r="N37" s="84">
        <f>TrRoad_act!N118</f>
        <v>3</v>
      </c>
      <c r="O37" s="84">
        <f>TrRoad_act!O118</f>
        <v>437</v>
      </c>
      <c r="P37" s="84">
        <f>TrRoad_act!P118</f>
        <v>268</v>
      </c>
      <c r="Q37" s="84">
        <f>TrRoad_act!Q118</f>
        <v>1047</v>
      </c>
      <c r="R37" s="84">
        <f>TrRoad_act!R118</f>
        <v>158</v>
      </c>
      <c r="S37" s="84">
        <f>TrRoad_act!S118</f>
        <v>241</v>
      </c>
      <c r="T37" s="84">
        <f>TrRoad_act!T118</f>
        <v>126</v>
      </c>
      <c r="U37" s="84">
        <f>TrRoad_act!U118</f>
        <v>19</v>
      </c>
      <c r="V37" s="84">
        <f>TrRoad_act!V118</f>
        <v>11</v>
      </c>
      <c r="W37" s="84">
        <f>TrRoad_act!W118</f>
        <v>11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17</v>
      </c>
      <c r="O38" s="84">
        <f>TrRoad_act!O119</f>
        <v>0</v>
      </c>
      <c r="P38" s="84">
        <f>TrRoad_act!P119</f>
        <v>23</v>
      </c>
      <c r="Q38" s="84">
        <f>TrRoad_act!Q119</f>
        <v>70</v>
      </c>
      <c r="R38" s="84">
        <f>TrRoad_act!R119</f>
        <v>284</v>
      </c>
      <c r="S38" s="84">
        <f>TrRoad_act!S119</f>
        <v>369</v>
      </c>
      <c r="T38" s="84">
        <f>TrRoad_act!T119</f>
        <v>747</v>
      </c>
      <c r="U38" s="84">
        <f>TrRoad_act!U119</f>
        <v>1035</v>
      </c>
      <c r="V38" s="84">
        <f>TrRoad_act!V119</f>
        <v>2982</v>
      </c>
      <c r="W38" s="84">
        <f>TrRoad_act!W119</f>
        <v>4885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177</v>
      </c>
      <c r="M39" s="84">
        <f>TrRoad_act!M120</f>
        <v>325</v>
      </c>
      <c r="N39" s="84">
        <f>TrRoad_act!N120</f>
        <v>6</v>
      </c>
      <c r="O39" s="84">
        <f>TrRoad_act!O120</f>
        <v>11</v>
      </c>
      <c r="P39" s="84">
        <f>TrRoad_act!P120</f>
        <v>29</v>
      </c>
      <c r="Q39" s="84">
        <f>TrRoad_act!Q120</f>
        <v>121</v>
      </c>
      <c r="R39" s="84">
        <f>TrRoad_act!R120</f>
        <v>201</v>
      </c>
      <c r="S39" s="84">
        <f>TrRoad_act!S120</f>
        <v>1179</v>
      </c>
      <c r="T39" s="84">
        <f>TrRoad_act!T120</f>
        <v>1843</v>
      </c>
      <c r="U39" s="84">
        <f>TrRoad_act!U120</f>
        <v>2769</v>
      </c>
      <c r="V39" s="84">
        <f>TrRoad_act!V120</f>
        <v>4454</v>
      </c>
      <c r="W39" s="84">
        <f>TrRoad_act!W120</f>
        <v>7872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947</v>
      </c>
      <c r="C40" s="110">
        <f>TrRoad_act!C121</f>
        <v>1812</v>
      </c>
      <c r="D40" s="110">
        <f>TrRoad_act!D121</f>
        <v>1800</v>
      </c>
      <c r="E40" s="110">
        <f>TrRoad_act!E121</f>
        <v>1700</v>
      </c>
      <c r="F40" s="110">
        <f>TrRoad_act!F121</f>
        <v>1197</v>
      </c>
      <c r="G40" s="110">
        <f>TrRoad_act!G121</f>
        <v>1666</v>
      </c>
      <c r="H40" s="110">
        <f>TrRoad_act!H121</f>
        <v>3289</v>
      </c>
      <c r="I40" s="110">
        <f>TrRoad_act!I121</f>
        <v>1806</v>
      </c>
      <c r="J40" s="110">
        <f>TrRoad_act!J121</f>
        <v>1123</v>
      </c>
      <c r="K40" s="110">
        <f>TrRoad_act!K121</f>
        <v>674</v>
      </c>
      <c r="L40" s="110">
        <f>TrRoad_act!L121</f>
        <v>657</v>
      </c>
      <c r="M40" s="110">
        <f>TrRoad_act!M121</f>
        <v>720</v>
      </c>
      <c r="N40" s="110">
        <f>TrRoad_act!N121</f>
        <v>1162</v>
      </c>
      <c r="O40" s="110">
        <f>TrRoad_act!O121</f>
        <v>1464</v>
      </c>
      <c r="P40" s="110">
        <f>TrRoad_act!P121</f>
        <v>1553</v>
      </c>
      <c r="Q40" s="110">
        <f>TrRoad_act!Q121</f>
        <v>1480</v>
      </c>
      <c r="R40" s="110">
        <f>TrRoad_act!R121</f>
        <v>1390</v>
      </c>
      <c r="S40" s="110">
        <f>TrRoad_act!S121</f>
        <v>1321</v>
      </c>
      <c r="T40" s="110">
        <f>TrRoad_act!T121</f>
        <v>1504</v>
      </c>
      <c r="U40" s="110">
        <f>TrRoad_act!U121</f>
        <v>1497</v>
      </c>
      <c r="V40" s="110">
        <f>TrRoad_act!V121</f>
        <v>700</v>
      </c>
      <c r="W40" s="110">
        <f>TrRoad_act!W121</f>
        <v>1086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6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2</v>
      </c>
      <c r="G41" s="102">
        <f>TrRoad_act!G122</f>
        <v>1</v>
      </c>
      <c r="H41" s="102">
        <f>TrRoad_act!H122</f>
        <v>0</v>
      </c>
      <c r="I41" s="102">
        <f>TrRoad_act!I122</f>
        <v>1</v>
      </c>
      <c r="J41" s="102">
        <f>TrRoad_act!J122</f>
        <v>7</v>
      </c>
      <c r="K41" s="102">
        <f>TrRoad_act!K122</f>
        <v>0</v>
      </c>
      <c r="L41" s="102">
        <f>TrRoad_act!L122</f>
        <v>4</v>
      </c>
      <c r="M41" s="102">
        <f>TrRoad_act!M122</f>
        <v>7</v>
      </c>
      <c r="N41" s="102">
        <f>TrRoad_act!N122</f>
        <v>5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1</v>
      </c>
      <c r="U41" s="102">
        <f>TrRoad_act!U122</f>
        <v>0</v>
      </c>
      <c r="V41" s="102">
        <f>TrRoad_act!V122</f>
        <v>6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941</v>
      </c>
      <c r="C42" s="102">
        <f>TrRoad_act!C123</f>
        <v>1793</v>
      </c>
      <c r="D42" s="102">
        <f>TrRoad_act!D123</f>
        <v>1791</v>
      </c>
      <c r="E42" s="102">
        <f>TrRoad_act!E123</f>
        <v>1680</v>
      </c>
      <c r="F42" s="102">
        <f>TrRoad_act!F123</f>
        <v>1186</v>
      </c>
      <c r="G42" s="102">
        <f>TrRoad_act!G123</f>
        <v>1650</v>
      </c>
      <c r="H42" s="102">
        <f>TrRoad_act!H123</f>
        <v>3280</v>
      </c>
      <c r="I42" s="102">
        <f>TrRoad_act!I123</f>
        <v>1805</v>
      </c>
      <c r="J42" s="102">
        <f>TrRoad_act!J123</f>
        <v>1116</v>
      </c>
      <c r="K42" s="102">
        <f>TrRoad_act!K123</f>
        <v>674</v>
      </c>
      <c r="L42" s="102">
        <f>TrRoad_act!L123</f>
        <v>653</v>
      </c>
      <c r="M42" s="102">
        <f>TrRoad_act!M123</f>
        <v>713</v>
      </c>
      <c r="N42" s="102">
        <f>TrRoad_act!N123</f>
        <v>1147</v>
      </c>
      <c r="O42" s="102">
        <f>TrRoad_act!O123</f>
        <v>1463</v>
      </c>
      <c r="P42" s="102">
        <f>TrRoad_act!P123</f>
        <v>1532</v>
      </c>
      <c r="Q42" s="102">
        <f>TrRoad_act!Q123</f>
        <v>1335</v>
      </c>
      <c r="R42" s="102">
        <f>TrRoad_act!R123</f>
        <v>1280</v>
      </c>
      <c r="S42" s="102">
        <f>TrRoad_act!S123</f>
        <v>1281</v>
      </c>
      <c r="T42" s="102">
        <f>TrRoad_act!T123</f>
        <v>1497</v>
      </c>
      <c r="U42" s="102">
        <f>TrRoad_act!U123</f>
        <v>1497</v>
      </c>
      <c r="V42" s="102">
        <f>TrRoad_act!V123</f>
        <v>672</v>
      </c>
      <c r="W42" s="102">
        <f>TrRoad_act!W123</f>
        <v>1039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1</v>
      </c>
      <c r="Q43" s="102">
        <f>TrRoad_act!Q124</f>
        <v>0</v>
      </c>
      <c r="R43" s="102">
        <f>TrRoad_act!R124</f>
        <v>1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19</v>
      </c>
      <c r="D44" s="102">
        <f>TrRoad_act!D125</f>
        <v>9</v>
      </c>
      <c r="E44" s="102">
        <f>TrRoad_act!E125</f>
        <v>19</v>
      </c>
      <c r="F44" s="102">
        <f>TrRoad_act!F125</f>
        <v>9</v>
      </c>
      <c r="G44" s="102">
        <f>TrRoad_act!G125</f>
        <v>15</v>
      </c>
      <c r="H44" s="102">
        <f>TrRoad_act!H125</f>
        <v>9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10</v>
      </c>
      <c r="O44" s="102">
        <f>TrRoad_act!O125</f>
        <v>0</v>
      </c>
      <c r="P44" s="102">
        <f>TrRoad_act!P125</f>
        <v>19</v>
      </c>
      <c r="Q44" s="102">
        <f>TrRoad_act!Q125</f>
        <v>125</v>
      </c>
      <c r="R44" s="102">
        <f>TrRoad_act!R125</f>
        <v>107</v>
      </c>
      <c r="S44" s="102">
        <f>TrRoad_act!S125</f>
        <v>40</v>
      </c>
      <c r="T44" s="102">
        <f>TrRoad_act!T125</f>
        <v>5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1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1</v>
      </c>
      <c r="P45" s="102">
        <f>TrRoad_act!P126</f>
        <v>1</v>
      </c>
      <c r="Q45" s="102">
        <f>TrRoad_act!Q126</f>
        <v>20</v>
      </c>
      <c r="R45" s="102">
        <f>TrRoad_act!R126</f>
        <v>2</v>
      </c>
      <c r="S45" s="102">
        <f>TrRoad_act!S126</f>
        <v>0</v>
      </c>
      <c r="T45" s="102">
        <f>TrRoad_act!T126</f>
        <v>1</v>
      </c>
      <c r="U45" s="102">
        <f>TrRoad_act!U126</f>
        <v>0</v>
      </c>
      <c r="V45" s="102">
        <f>TrRoad_act!V126</f>
        <v>22</v>
      </c>
      <c r="W45" s="102">
        <f>TrRoad_act!W126</f>
        <v>47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22601</v>
      </c>
      <c r="C46" s="28">
        <f>TrRoad_act!C127</f>
        <v>32014</v>
      </c>
      <c r="D46" s="28">
        <f>TrRoad_act!D127</f>
        <v>38049</v>
      </c>
      <c r="E46" s="28">
        <f>TrRoad_act!E127</f>
        <v>34747</v>
      </c>
      <c r="F46" s="28">
        <f>TrRoad_act!F127</f>
        <v>30445</v>
      </c>
      <c r="G46" s="28">
        <f>TrRoad_act!G127</f>
        <v>35173</v>
      </c>
      <c r="H46" s="28">
        <f>TrRoad_act!H127</f>
        <v>50093</v>
      </c>
      <c r="I46" s="28">
        <f>TrRoad_act!I127</f>
        <v>43801</v>
      </c>
      <c r="J46" s="28">
        <f>TrRoad_act!J127</f>
        <v>50894</v>
      </c>
      <c r="K46" s="28">
        <f>TrRoad_act!K127</f>
        <v>52336</v>
      </c>
      <c r="L46" s="28">
        <f>TrRoad_act!L127</f>
        <v>59492</v>
      </c>
      <c r="M46" s="28">
        <f>TrRoad_act!M127</f>
        <v>34760</v>
      </c>
      <c r="N46" s="28">
        <f>TrRoad_act!N127</f>
        <v>20926</v>
      </c>
      <c r="O46" s="28">
        <f>TrRoad_act!O127</f>
        <v>48680</v>
      </c>
      <c r="P46" s="28">
        <f>TrRoad_act!P127</f>
        <v>42112</v>
      </c>
      <c r="Q46" s="28">
        <f>TrRoad_act!Q127</f>
        <v>44518</v>
      </c>
      <c r="R46" s="28">
        <f>TrRoad_act!R127</f>
        <v>47817</v>
      </c>
      <c r="S46" s="28">
        <f>TrRoad_act!S127</f>
        <v>57008</v>
      </c>
      <c r="T46" s="28">
        <f>TrRoad_act!T127</f>
        <v>64118</v>
      </c>
      <c r="U46" s="28">
        <f>TrRoad_act!U127</f>
        <v>66013</v>
      </c>
      <c r="V46" s="28">
        <f>TrRoad_act!V127</f>
        <v>54260</v>
      </c>
      <c r="W46" s="28">
        <f>TrRoad_act!W127</f>
        <v>61606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21957</v>
      </c>
      <c r="C47" s="137">
        <f>TrRoad_act!C128</f>
        <v>23068</v>
      </c>
      <c r="D47" s="137">
        <f>TrRoad_act!D128</f>
        <v>29516</v>
      </c>
      <c r="E47" s="137">
        <f>TrRoad_act!E128</f>
        <v>25194</v>
      </c>
      <c r="F47" s="137">
        <f>TrRoad_act!F128</f>
        <v>21741</v>
      </c>
      <c r="G47" s="137">
        <f>TrRoad_act!G128</f>
        <v>19942</v>
      </c>
      <c r="H47" s="137">
        <f>TrRoad_act!H128</f>
        <v>26247</v>
      </c>
      <c r="I47" s="137">
        <f>TrRoad_act!I128</f>
        <v>31793</v>
      </c>
      <c r="J47" s="137">
        <f>TrRoad_act!J128</f>
        <v>47306</v>
      </c>
      <c r="K47" s="137">
        <f>TrRoad_act!K128</f>
        <v>51029</v>
      </c>
      <c r="L47" s="137">
        <f>TrRoad_act!L128</f>
        <v>11915</v>
      </c>
      <c r="M47" s="137">
        <f>TrRoad_act!M128</f>
        <v>32283</v>
      </c>
      <c r="N47" s="137">
        <f>TrRoad_act!N128</f>
        <v>18998</v>
      </c>
      <c r="O47" s="137">
        <f>TrRoad_act!O128</f>
        <v>46712</v>
      </c>
      <c r="P47" s="137">
        <f>TrRoad_act!P128</f>
        <v>37633</v>
      </c>
      <c r="Q47" s="137">
        <f>TrRoad_act!Q128</f>
        <v>40818</v>
      </c>
      <c r="R47" s="137">
        <f>TrRoad_act!R128</f>
        <v>43474</v>
      </c>
      <c r="S47" s="137">
        <f>TrRoad_act!S128</f>
        <v>45748</v>
      </c>
      <c r="T47" s="137">
        <f>TrRoad_act!T128</f>
        <v>49010</v>
      </c>
      <c r="U47" s="137">
        <f>TrRoad_act!U128</f>
        <v>52274</v>
      </c>
      <c r="V47" s="137">
        <f>TrRoad_act!V128</f>
        <v>45067</v>
      </c>
      <c r="W47" s="137">
        <f>TrRoad_act!W128</f>
        <v>47126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2668</v>
      </c>
      <c r="C48" s="84">
        <f>TrRoad_act!C129</f>
        <v>1647</v>
      </c>
      <c r="D48" s="84">
        <f>TrRoad_act!D129</f>
        <v>1345</v>
      </c>
      <c r="E48" s="84">
        <f>TrRoad_act!E129</f>
        <v>956</v>
      </c>
      <c r="F48" s="84">
        <f>TrRoad_act!F129</f>
        <v>960</v>
      </c>
      <c r="G48" s="84">
        <f>TrRoad_act!G129</f>
        <v>723</v>
      </c>
      <c r="H48" s="84">
        <f>TrRoad_act!H129</f>
        <v>340</v>
      </c>
      <c r="I48" s="84">
        <f>TrRoad_act!I129</f>
        <v>629</v>
      </c>
      <c r="J48" s="84">
        <f>TrRoad_act!J129</f>
        <v>644</v>
      </c>
      <c r="K48" s="84">
        <f>TrRoad_act!K129</f>
        <v>707</v>
      </c>
      <c r="L48" s="84">
        <f>TrRoad_act!L129</f>
        <v>323</v>
      </c>
      <c r="M48" s="84">
        <f>TrRoad_act!M129</f>
        <v>159</v>
      </c>
      <c r="N48" s="84">
        <f>TrRoad_act!N129</f>
        <v>240</v>
      </c>
      <c r="O48" s="84">
        <f>TrRoad_act!O129</f>
        <v>7294</v>
      </c>
      <c r="P48" s="84">
        <f>TrRoad_act!P129</f>
        <v>2882</v>
      </c>
      <c r="Q48" s="84">
        <f>TrRoad_act!Q129</f>
        <v>1317</v>
      </c>
      <c r="R48" s="84">
        <f>TrRoad_act!R129</f>
        <v>764</v>
      </c>
      <c r="S48" s="84">
        <f>TrRoad_act!S129</f>
        <v>986</v>
      </c>
      <c r="T48" s="84">
        <f>TrRoad_act!T129</f>
        <v>1079</v>
      </c>
      <c r="U48" s="84">
        <f>TrRoad_act!U129</f>
        <v>1057</v>
      </c>
      <c r="V48" s="84">
        <f>TrRoad_act!V129</f>
        <v>471</v>
      </c>
      <c r="W48" s="84">
        <f>TrRoad_act!W129</f>
        <v>703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19282</v>
      </c>
      <c r="C49" s="84">
        <f>TrRoad_act!C130</f>
        <v>21212</v>
      </c>
      <c r="D49" s="84">
        <f>TrRoad_act!D130</f>
        <v>28171</v>
      </c>
      <c r="E49" s="84">
        <f>TrRoad_act!E130</f>
        <v>24238</v>
      </c>
      <c r="F49" s="84">
        <f>TrRoad_act!F130</f>
        <v>20781</v>
      </c>
      <c r="G49" s="84">
        <f>TrRoad_act!G130</f>
        <v>19219</v>
      </c>
      <c r="H49" s="84">
        <f>TrRoad_act!H130</f>
        <v>25907</v>
      </c>
      <c r="I49" s="84">
        <f>TrRoad_act!I130</f>
        <v>31164</v>
      </c>
      <c r="J49" s="84">
        <f>TrRoad_act!J130</f>
        <v>46662</v>
      </c>
      <c r="K49" s="84">
        <f>TrRoad_act!K130</f>
        <v>50322</v>
      </c>
      <c r="L49" s="84">
        <f>TrRoad_act!L130</f>
        <v>11592</v>
      </c>
      <c r="M49" s="84">
        <f>TrRoad_act!M130</f>
        <v>32124</v>
      </c>
      <c r="N49" s="84">
        <f>TrRoad_act!N130</f>
        <v>18750</v>
      </c>
      <c r="O49" s="84">
        <f>TrRoad_act!O130</f>
        <v>39326</v>
      </c>
      <c r="P49" s="84">
        <f>TrRoad_act!P130</f>
        <v>34724</v>
      </c>
      <c r="Q49" s="84">
        <f>TrRoad_act!Q130</f>
        <v>39149</v>
      </c>
      <c r="R49" s="84">
        <f>TrRoad_act!R130</f>
        <v>42638</v>
      </c>
      <c r="S49" s="84">
        <f>TrRoad_act!S130</f>
        <v>44584</v>
      </c>
      <c r="T49" s="84">
        <f>TrRoad_act!T130</f>
        <v>47659</v>
      </c>
      <c r="U49" s="84">
        <f>TrRoad_act!U130</f>
        <v>51073</v>
      </c>
      <c r="V49" s="84">
        <f>TrRoad_act!V130</f>
        <v>44294</v>
      </c>
      <c r="W49" s="84">
        <f>TrRoad_act!W130</f>
        <v>45963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209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1</v>
      </c>
      <c r="O50" s="84">
        <f>TrRoad_act!O131</f>
        <v>0</v>
      </c>
      <c r="P50" s="84">
        <f>TrRoad_act!P131</f>
        <v>0</v>
      </c>
      <c r="Q50" s="84">
        <f>TrRoad_act!Q131</f>
        <v>5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3</v>
      </c>
      <c r="W50" s="84">
        <f>TrRoad_act!W131</f>
        <v>1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7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7</v>
      </c>
      <c r="O51" s="84">
        <f>TrRoad_act!O132</f>
        <v>71</v>
      </c>
      <c r="P51" s="84">
        <f>TrRoad_act!P132</f>
        <v>25</v>
      </c>
      <c r="Q51" s="84">
        <f>TrRoad_act!Q132</f>
        <v>326</v>
      </c>
      <c r="R51" s="84">
        <f>TrRoad_act!R132</f>
        <v>21</v>
      </c>
      <c r="S51" s="84">
        <f>TrRoad_act!S132</f>
        <v>83</v>
      </c>
      <c r="T51" s="84">
        <f>TrRoad_act!T132</f>
        <v>76</v>
      </c>
      <c r="U51" s="84">
        <f>TrRoad_act!U132</f>
        <v>21</v>
      </c>
      <c r="V51" s="84">
        <f>TrRoad_act!V132</f>
        <v>83</v>
      </c>
      <c r="W51" s="84">
        <f>TrRoad_act!W132</f>
        <v>80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0</v>
      </c>
      <c r="O52" s="84">
        <f>TrRoad_act!O133</f>
        <v>21</v>
      </c>
      <c r="P52" s="84">
        <f>TrRoad_act!P133</f>
        <v>2</v>
      </c>
      <c r="Q52" s="84">
        <f>TrRoad_act!Q133</f>
        <v>21</v>
      </c>
      <c r="R52" s="84">
        <f>TrRoad_act!R133</f>
        <v>51</v>
      </c>
      <c r="S52" s="84">
        <f>TrRoad_act!S133</f>
        <v>95</v>
      </c>
      <c r="T52" s="84">
        <f>TrRoad_act!T133</f>
        <v>196</v>
      </c>
      <c r="U52" s="84">
        <f>TrRoad_act!U133</f>
        <v>123</v>
      </c>
      <c r="V52" s="84">
        <f>TrRoad_act!V133</f>
        <v>216</v>
      </c>
      <c r="W52" s="84">
        <f>TrRoad_act!W133</f>
        <v>379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644</v>
      </c>
      <c r="C53" s="110">
        <f>TrRoad_act!C134</f>
        <v>8946</v>
      </c>
      <c r="D53" s="110">
        <f>TrRoad_act!D134</f>
        <v>8533</v>
      </c>
      <c r="E53" s="110">
        <f>TrRoad_act!E134</f>
        <v>9553</v>
      </c>
      <c r="F53" s="110">
        <f>TrRoad_act!F134</f>
        <v>8704</v>
      </c>
      <c r="G53" s="110">
        <f>TrRoad_act!G134</f>
        <v>15231</v>
      </c>
      <c r="H53" s="110">
        <f>TrRoad_act!H134</f>
        <v>23846</v>
      </c>
      <c r="I53" s="110">
        <f>TrRoad_act!I134</f>
        <v>12008</v>
      </c>
      <c r="J53" s="110">
        <f>TrRoad_act!J134</f>
        <v>3588</v>
      </c>
      <c r="K53" s="110">
        <f>TrRoad_act!K134</f>
        <v>1307</v>
      </c>
      <c r="L53" s="110">
        <f>TrRoad_act!L134</f>
        <v>47577</v>
      </c>
      <c r="M53" s="110">
        <f>TrRoad_act!M134</f>
        <v>2477</v>
      </c>
      <c r="N53" s="110">
        <f>TrRoad_act!N134</f>
        <v>1928</v>
      </c>
      <c r="O53" s="110">
        <f>TrRoad_act!O134</f>
        <v>1968</v>
      </c>
      <c r="P53" s="110">
        <f>TrRoad_act!P134</f>
        <v>4479</v>
      </c>
      <c r="Q53" s="110">
        <f>TrRoad_act!Q134</f>
        <v>3700</v>
      </c>
      <c r="R53" s="110">
        <f>TrRoad_act!R134</f>
        <v>4343</v>
      </c>
      <c r="S53" s="110">
        <f>TrRoad_act!S134</f>
        <v>11260</v>
      </c>
      <c r="T53" s="110">
        <f>TrRoad_act!T134</f>
        <v>15108</v>
      </c>
      <c r="U53" s="110">
        <f>TrRoad_act!U134</f>
        <v>13739</v>
      </c>
      <c r="V53" s="110">
        <f>TrRoad_act!V134</f>
        <v>9193</v>
      </c>
      <c r="W53" s="110">
        <f>TrRoad_act!W134</f>
        <v>14480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8030</v>
      </c>
      <c r="D54" s="102">
        <f>TrRoad_act!D135</f>
        <v>7633</v>
      </c>
      <c r="E54" s="102">
        <f>TrRoad_act!E135</f>
        <v>8766</v>
      </c>
      <c r="F54" s="102">
        <f>TrRoad_act!F135</f>
        <v>6650</v>
      </c>
      <c r="G54" s="102">
        <f>TrRoad_act!G135</f>
        <v>14139</v>
      </c>
      <c r="H54" s="102">
        <f>TrRoad_act!H135</f>
        <v>22204</v>
      </c>
      <c r="I54" s="102">
        <f>TrRoad_act!I135</f>
        <v>10162</v>
      </c>
      <c r="J54" s="102">
        <f>TrRoad_act!J135</f>
        <v>1457</v>
      </c>
      <c r="K54" s="102">
        <f>TrRoad_act!K135</f>
        <v>1307</v>
      </c>
      <c r="L54" s="102">
        <f>TrRoad_act!L135</f>
        <v>47373</v>
      </c>
      <c r="M54" s="102">
        <f>TrRoad_act!M135</f>
        <v>1268</v>
      </c>
      <c r="N54" s="102">
        <f>TrRoad_act!N135</f>
        <v>1088</v>
      </c>
      <c r="O54" s="102">
        <f>TrRoad_act!O135</f>
        <v>957</v>
      </c>
      <c r="P54" s="102">
        <f>TrRoad_act!P135</f>
        <v>3353</v>
      </c>
      <c r="Q54" s="102">
        <f>TrRoad_act!Q135</f>
        <v>2139</v>
      </c>
      <c r="R54" s="102">
        <f>TrRoad_act!R135</f>
        <v>2596</v>
      </c>
      <c r="S54" s="102">
        <f>TrRoad_act!S135</f>
        <v>9275</v>
      </c>
      <c r="T54" s="102">
        <f>TrRoad_act!T135</f>
        <v>14016</v>
      </c>
      <c r="U54" s="102">
        <f>TrRoad_act!U135</f>
        <v>12349</v>
      </c>
      <c r="V54" s="102">
        <f>TrRoad_act!V135</f>
        <v>8689</v>
      </c>
      <c r="W54" s="102">
        <f>TrRoad_act!W135</f>
        <v>12126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644</v>
      </c>
      <c r="C55" s="86">
        <f>TrRoad_act!C136</f>
        <v>916</v>
      </c>
      <c r="D55" s="86">
        <f>TrRoad_act!D136</f>
        <v>900</v>
      </c>
      <c r="E55" s="86">
        <f>TrRoad_act!E136</f>
        <v>787</v>
      </c>
      <c r="F55" s="86">
        <f>TrRoad_act!F136</f>
        <v>2054</v>
      </c>
      <c r="G55" s="86">
        <f>TrRoad_act!G136</f>
        <v>1092</v>
      </c>
      <c r="H55" s="86">
        <f>TrRoad_act!H136</f>
        <v>1642</v>
      </c>
      <c r="I55" s="86">
        <f>TrRoad_act!I136</f>
        <v>1846</v>
      </c>
      <c r="J55" s="86">
        <f>TrRoad_act!J136</f>
        <v>2131</v>
      </c>
      <c r="K55" s="86">
        <f>TrRoad_act!K136</f>
        <v>0</v>
      </c>
      <c r="L55" s="86">
        <f>TrRoad_act!L136</f>
        <v>204</v>
      </c>
      <c r="M55" s="86">
        <f>TrRoad_act!M136</f>
        <v>1209</v>
      </c>
      <c r="N55" s="86">
        <f>TrRoad_act!N136</f>
        <v>840</v>
      </c>
      <c r="O55" s="86">
        <f>TrRoad_act!O136</f>
        <v>1011</v>
      </c>
      <c r="P55" s="86">
        <f>TrRoad_act!P136</f>
        <v>1126</v>
      </c>
      <c r="Q55" s="86">
        <f>TrRoad_act!Q136</f>
        <v>1561</v>
      </c>
      <c r="R55" s="86">
        <f>TrRoad_act!R136</f>
        <v>1747</v>
      </c>
      <c r="S55" s="86">
        <f>TrRoad_act!S136</f>
        <v>1985</v>
      </c>
      <c r="T55" s="86">
        <f>TrRoad_act!T136</f>
        <v>1092</v>
      </c>
      <c r="U55" s="86">
        <f>TrRoad_act!U136</f>
        <v>1390</v>
      </c>
      <c r="V55" s="86">
        <f>TrRoad_act!V136</f>
        <v>504</v>
      </c>
      <c r="W55" s="86">
        <f>TrRoad_act!W136</f>
        <v>2354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536226</v>
      </c>
      <c r="C59" s="54">
        <f t="shared" si="0"/>
        <v>102970</v>
      </c>
      <c r="D59" s="54">
        <f t="shared" si="0"/>
        <v>144320</v>
      </c>
      <c r="E59" s="54">
        <f t="shared" si="0"/>
        <v>150540</v>
      </c>
      <c r="F59" s="54">
        <f t="shared" si="0"/>
        <v>182797</v>
      </c>
      <c r="G59" s="54">
        <f t="shared" si="0"/>
        <v>178312</v>
      </c>
      <c r="H59" s="54">
        <f t="shared" si="0"/>
        <v>238398</v>
      </c>
      <c r="I59" s="54">
        <f t="shared" si="0"/>
        <v>176680</v>
      </c>
      <c r="J59" s="54">
        <f t="shared" si="0"/>
        <v>177703</v>
      </c>
      <c r="K59" s="54">
        <f t="shared" si="0"/>
        <v>100718</v>
      </c>
      <c r="L59" s="54">
        <f t="shared" ref="L59" si="1">L60+L75</f>
        <v>106424</v>
      </c>
      <c r="M59" s="54">
        <f t="shared" ref="M59:V59" si="2">M60+M75</f>
        <v>99958</v>
      </c>
      <c r="N59" s="54">
        <f t="shared" si="2"/>
        <v>122418</v>
      </c>
      <c r="O59" s="54">
        <f t="shared" si="2"/>
        <v>169473</v>
      </c>
      <c r="P59" s="54">
        <f t="shared" si="2"/>
        <v>204636</v>
      </c>
      <c r="Q59" s="54">
        <f t="shared" si="2"/>
        <v>245441</v>
      </c>
      <c r="R59" s="54">
        <f t="shared" si="2"/>
        <v>290093</v>
      </c>
      <c r="S59" s="54">
        <f t="shared" si="2"/>
        <v>333497</v>
      </c>
      <c r="T59" s="54">
        <f t="shared" si="2"/>
        <v>370264</v>
      </c>
      <c r="U59" s="54">
        <f t="shared" si="2"/>
        <v>393846</v>
      </c>
      <c r="V59" s="54">
        <f t="shared" si="2"/>
        <v>324559</v>
      </c>
      <c r="W59" s="54">
        <f t="shared" ref="W59" si="3">W60+W75</f>
        <v>221717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536226</v>
      </c>
      <c r="C60" s="28">
        <f t="shared" si="4"/>
        <v>102957</v>
      </c>
      <c r="D60" s="28">
        <f t="shared" si="4"/>
        <v>144320</v>
      </c>
      <c r="E60" s="28">
        <f t="shared" si="4"/>
        <v>150522</v>
      </c>
      <c r="F60" s="28">
        <f t="shared" si="4"/>
        <v>182555</v>
      </c>
      <c r="G60" s="28">
        <f t="shared" si="4"/>
        <v>178072</v>
      </c>
      <c r="H60" s="28">
        <f t="shared" si="4"/>
        <v>235388</v>
      </c>
      <c r="I60" s="28">
        <f t="shared" si="4"/>
        <v>163761</v>
      </c>
      <c r="J60" s="28">
        <f t="shared" si="4"/>
        <v>154516</v>
      </c>
      <c r="K60" s="28">
        <f t="shared" si="4"/>
        <v>70907</v>
      </c>
      <c r="L60" s="28">
        <f t="shared" ref="L60" si="5">L61+L62+L69</f>
        <v>59169</v>
      </c>
      <c r="M60" s="28">
        <f t="shared" ref="M60:V60" si="6">M61+M62+M69</f>
        <v>74094</v>
      </c>
      <c r="N60" s="28">
        <f t="shared" si="6"/>
        <v>105397</v>
      </c>
      <c r="O60" s="28">
        <f t="shared" si="6"/>
        <v>127390</v>
      </c>
      <c r="P60" s="28">
        <f t="shared" si="6"/>
        <v>166111</v>
      </c>
      <c r="Q60" s="28">
        <f t="shared" si="6"/>
        <v>203283</v>
      </c>
      <c r="R60" s="28">
        <f t="shared" si="6"/>
        <v>243601</v>
      </c>
      <c r="S60" s="28">
        <f t="shared" si="6"/>
        <v>277282</v>
      </c>
      <c r="T60" s="28">
        <f t="shared" si="6"/>
        <v>306456</v>
      </c>
      <c r="U60" s="28">
        <f t="shared" si="6"/>
        <v>328001</v>
      </c>
      <c r="V60" s="28">
        <f t="shared" si="6"/>
        <v>270333</v>
      </c>
      <c r="W60" s="28">
        <f t="shared" ref="W60" si="7">W61+W62+W69</f>
        <v>160111</v>
      </c>
      <c r="DA60" s="173" t="s">
        <v>837</v>
      </c>
    </row>
    <row r="61" spans="1:105" ht="11.45" customHeight="1" x14ac:dyDescent="0.25">
      <c r="A61" s="136" t="s">
        <v>180</v>
      </c>
      <c r="B61" s="137">
        <v>22645</v>
      </c>
      <c r="C61" s="137">
        <v>2328</v>
      </c>
      <c r="D61" s="137">
        <v>5527</v>
      </c>
      <c r="E61" s="137">
        <v>6845</v>
      </c>
      <c r="F61" s="137">
        <v>12890</v>
      </c>
      <c r="G61" s="137">
        <v>10323</v>
      </c>
      <c r="H61" s="137">
        <v>10168</v>
      </c>
      <c r="I61" s="137">
        <v>10986</v>
      </c>
      <c r="J61" s="137">
        <v>10818</v>
      </c>
      <c r="K61" s="137">
        <v>6666</v>
      </c>
      <c r="L61" s="137">
        <v>5599</v>
      </c>
      <c r="M61" s="137">
        <v>5708</v>
      </c>
      <c r="N61" s="137">
        <v>6734</v>
      </c>
      <c r="O61" s="137">
        <v>7197</v>
      </c>
      <c r="P61" s="137">
        <v>7759</v>
      </c>
      <c r="Q61" s="137">
        <v>8227</v>
      </c>
      <c r="R61" s="137">
        <v>8548</v>
      </c>
      <c r="S61" s="137">
        <v>7631</v>
      </c>
      <c r="T61" s="137">
        <v>11142</v>
      </c>
      <c r="U61" s="137">
        <v>12497</v>
      </c>
      <c r="V61" s="137">
        <v>11437</v>
      </c>
      <c r="W61" s="137">
        <v>10846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513506</v>
      </c>
      <c r="C62" s="110">
        <f t="shared" si="8"/>
        <v>100518</v>
      </c>
      <c r="D62" s="110">
        <f t="shared" si="8"/>
        <v>138593</v>
      </c>
      <c r="E62" s="110">
        <f t="shared" si="8"/>
        <v>143397</v>
      </c>
      <c r="F62" s="110">
        <f t="shared" si="8"/>
        <v>169389</v>
      </c>
      <c r="G62" s="110">
        <f t="shared" si="8"/>
        <v>167248</v>
      </c>
      <c r="H62" s="110">
        <f t="shared" si="8"/>
        <v>223970</v>
      </c>
      <c r="I62" s="110">
        <f t="shared" si="8"/>
        <v>151939</v>
      </c>
      <c r="J62" s="110">
        <f t="shared" si="8"/>
        <v>143093</v>
      </c>
      <c r="K62" s="110">
        <f t="shared" si="8"/>
        <v>63833</v>
      </c>
      <c r="L62" s="110">
        <f t="shared" ref="L62" si="9">SUM(L63:L68)</f>
        <v>53127</v>
      </c>
      <c r="M62" s="110">
        <f t="shared" ref="M62:V62" si="10">SUM(M63:M68)</f>
        <v>67854</v>
      </c>
      <c r="N62" s="110">
        <f t="shared" si="10"/>
        <v>97748</v>
      </c>
      <c r="O62" s="110">
        <f t="shared" si="10"/>
        <v>118958</v>
      </c>
      <c r="P62" s="110">
        <f t="shared" si="10"/>
        <v>156974</v>
      </c>
      <c r="Q62" s="110">
        <f t="shared" si="10"/>
        <v>193686</v>
      </c>
      <c r="R62" s="110">
        <f t="shared" si="10"/>
        <v>233729</v>
      </c>
      <c r="S62" s="110">
        <f t="shared" si="10"/>
        <v>268367</v>
      </c>
      <c r="T62" s="110">
        <f t="shared" si="10"/>
        <v>293831</v>
      </c>
      <c r="U62" s="110">
        <f t="shared" si="10"/>
        <v>314015</v>
      </c>
      <c r="V62" s="110">
        <f t="shared" si="10"/>
        <v>258205</v>
      </c>
      <c r="W62" s="110">
        <f t="shared" ref="W62" si="11">SUM(W63:W68)</f>
        <v>148179</v>
      </c>
      <c r="DA62" s="176" t="s">
        <v>839</v>
      </c>
    </row>
    <row r="63" spans="1:105" ht="11.45" customHeight="1" x14ac:dyDescent="0.25">
      <c r="A63" s="111" t="s">
        <v>110</v>
      </c>
      <c r="B63" s="84">
        <v>459707</v>
      </c>
      <c r="C63" s="84">
        <v>86364</v>
      </c>
      <c r="D63" s="84">
        <v>115455</v>
      </c>
      <c r="E63" s="84">
        <v>109044</v>
      </c>
      <c r="F63" s="84">
        <v>132598</v>
      </c>
      <c r="G63" s="84">
        <v>157842</v>
      </c>
      <c r="H63" s="84">
        <v>123811</v>
      </c>
      <c r="I63" s="84">
        <v>95799</v>
      </c>
      <c r="J63" s="84">
        <v>89471</v>
      </c>
      <c r="K63" s="84">
        <v>35331</v>
      </c>
      <c r="L63" s="84">
        <v>24808</v>
      </c>
      <c r="M63" s="84">
        <v>41912</v>
      </c>
      <c r="N63" s="84">
        <v>57318</v>
      </c>
      <c r="O63" s="84">
        <v>56103</v>
      </c>
      <c r="P63" s="84">
        <v>80919</v>
      </c>
      <c r="Q63" s="84">
        <v>102646</v>
      </c>
      <c r="R63" s="84">
        <v>119274</v>
      </c>
      <c r="S63" s="84">
        <v>147096</v>
      </c>
      <c r="T63" s="84">
        <v>176426</v>
      </c>
      <c r="U63" s="84">
        <v>206903</v>
      </c>
      <c r="V63" s="84">
        <v>198053</v>
      </c>
      <c r="W63" s="84">
        <v>61807</v>
      </c>
      <c r="DA63" s="171" t="s">
        <v>840</v>
      </c>
    </row>
    <row r="64" spans="1:105" ht="11.45" customHeight="1" x14ac:dyDescent="0.25">
      <c r="A64" s="111" t="s">
        <v>111</v>
      </c>
      <c r="B64" s="84">
        <v>53799</v>
      </c>
      <c r="C64" s="84">
        <v>14154</v>
      </c>
      <c r="D64" s="84">
        <v>23138</v>
      </c>
      <c r="E64" s="84">
        <v>30637</v>
      </c>
      <c r="F64" s="84">
        <v>36791</v>
      </c>
      <c r="G64" s="84">
        <v>9406</v>
      </c>
      <c r="H64" s="84">
        <v>100159</v>
      </c>
      <c r="I64" s="84">
        <v>56140</v>
      </c>
      <c r="J64" s="84">
        <v>53622</v>
      </c>
      <c r="K64" s="84">
        <v>28502</v>
      </c>
      <c r="L64" s="84">
        <v>26662</v>
      </c>
      <c r="M64" s="84">
        <v>20127</v>
      </c>
      <c r="N64" s="84">
        <v>38472</v>
      </c>
      <c r="O64" s="84">
        <v>57208</v>
      </c>
      <c r="P64" s="84">
        <v>72254</v>
      </c>
      <c r="Q64" s="84">
        <v>88166</v>
      </c>
      <c r="R64" s="84">
        <v>114095</v>
      </c>
      <c r="S64" s="84">
        <v>119870</v>
      </c>
      <c r="T64" s="84">
        <v>114782</v>
      </c>
      <c r="U64" s="84">
        <v>103292</v>
      </c>
      <c r="V64" s="84">
        <v>52414</v>
      </c>
      <c r="W64" s="84">
        <v>73010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3716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1522</v>
      </c>
      <c r="M65" s="84">
        <v>5534</v>
      </c>
      <c r="N65" s="84">
        <v>1952</v>
      </c>
      <c r="O65" s="84">
        <v>5217</v>
      </c>
      <c r="P65" s="84">
        <v>3512</v>
      </c>
      <c r="Q65" s="84">
        <v>1726</v>
      </c>
      <c r="R65" s="84">
        <v>7</v>
      </c>
      <c r="S65" s="84">
        <v>0</v>
      </c>
      <c r="T65" s="84">
        <v>29</v>
      </c>
      <c r="U65" s="84">
        <v>10</v>
      </c>
      <c r="V65" s="84">
        <v>322</v>
      </c>
      <c r="W65" s="84">
        <v>594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419</v>
      </c>
      <c r="P66" s="84">
        <v>262</v>
      </c>
      <c r="Q66" s="84">
        <v>1032</v>
      </c>
      <c r="R66" s="84">
        <v>157</v>
      </c>
      <c r="S66" s="84">
        <v>240</v>
      </c>
      <c r="T66" s="84">
        <v>126</v>
      </c>
      <c r="U66" s="84">
        <v>19</v>
      </c>
      <c r="V66" s="84">
        <v>11</v>
      </c>
      <c r="W66" s="84">
        <v>11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640</v>
      </c>
      <c r="U67" s="84">
        <v>1030</v>
      </c>
      <c r="V67" s="84">
        <v>2976</v>
      </c>
      <c r="W67" s="84">
        <v>4885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135</v>
      </c>
      <c r="M68" s="84">
        <v>281</v>
      </c>
      <c r="N68" s="84">
        <v>6</v>
      </c>
      <c r="O68" s="84">
        <v>11</v>
      </c>
      <c r="P68" s="84">
        <v>27</v>
      </c>
      <c r="Q68" s="84">
        <v>116</v>
      </c>
      <c r="R68" s="84">
        <v>196</v>
      </c>
      <c r="S68" s="84">
        <v>1161</v>
      </c>
      <c r="T68" s="84">
        <v>1828</v>
      </c>
      <c r="U68" s="84">
        <v>2761</v>
      </c>
      <c r="V68" s="84">
        <v>4429</v>
      </c>
      <c r="W68" s="84">
        <v>7872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75</v>
      </c>
      <c r="C69" s="110">
        <f t="shared" si="12"/>
        <v>111</v>
      </c>
      <c r="D69" s="110">
        <f t="shared" si="12"/>
        <v>200</v>
      </c>
      <c r="E69" s="110">
        <f t="shared" si="12"/>
        <v>280</v>
      </c>
      <c r="F69" s="110">
        <f t="shared" si="12"/>
        <v>276</v>
      </c>
      <c r="G69" s="110">
        <f t="shared" si="12"/>
        <v>501</v>
      </c>
      <c r="H69" s="110">
        <f t="shared" si="12"/>
        <v>1250</v>
      </c>
      <c r="I69" s="110">
        <f t="shared" si="12"/>
        <v>836</v>
      </c>
      <c r="J69" s="110">
        <f t="shared" si="12"/>
        <v>605</v>
      </c>
      <c r="K69" s="110">
        <f t="shared" si="12"/>
        <v>408</v>
      </c>
      <c r="L69" s="110">
        <f t="shared" ref="L69" si="13">SUM(L70:L74)</f>
        <v>443</v>
      </c>
      <c r="M69" s="110">
        <f t="shared" ref="M69:V69" si="14">SUM(M70:M74)</f>
        <v>532</v>
      </c>
      <c r="N69" s="110">
        <f t="shared" si="14"/>
        <v>915</v>
      </c>
      <c r="O69" s="110">
        <f t="shared" si="14"/>
        <v>1235</v>
      </c>
      <c r="P69" s="110">
        <f t="shared" si="14"/>
        <v>1378</v>
      </c>
      <c r="Q69" s="110">
        <f t="shared" si="14"/>
        <v>1370</v>
      </c>
      <c r="R69" s="110">
        <f t="shared" si="14"/>
        <v>1324</v>
      </c>
      <c r="S69" s="110">
        <f t="shared" si="14"/>
        <v>1284</v>
      </c>
      <c r="T69" s="110">
        <f t="shared" si="14"/>
        <v>1483</v>
      </c>
      <c r="U69" s="110">
        <f t="shared" si="14"/>
        <v>1489</v>
      </c>
      <c r="V69" s="110">
        <f t="shared" si="14"/>
        <v>691</v>
      </c>
      <c r="W69" s="110">
        <f t="shared" ref="W69" si="15">SUM(W70:W74)</f>
        <v>1086</v>
      </c>
      <c r="DA69" s="176" t="s">
        <v>846</v>
      </c>
    </row>
    <row r="70" spans="1:105" ht="11.45" customHeight="1" x14ac:dyDescent="0.25">
      <c r="A70" s="111" t="s">
        <v>110</v>
      </c>
      <c r="B70" s="102">
        <v>69</v>
      </c>
      <c r="C70" s="102">
        <v>0</v>
      </c>
      <c r="D70" s="102">
        <v>0</v>
      </c>
      <c r="E70" s="102">
        <v>0</v>
      </c>
      <c r="F70" s="102">
        <v>2</v>
      </c>
      <c r="G70" s="102">
        <v>1</v>
      </c>
      <c r="H70" s="102">
        <v>0</v>
      </c>
      <c r="I70" s="102">
        <v>1</v>
      </c>
      <c r="J70" s="102">
        <v>7</v>
      </c>
      <c r="K70" s="102">
        <v>0</v>
      </c>
      <c r="L70" s="102">
        <v>4</v>
      </c>
      <c r="M70" s="102">
        <v>7</v>
      </c>
      <c r="N70" s="102">
        <v>5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1</v>
      </c>
      <c r="U70" s="102">
        <v>0</v>
      </c>
      <c r="V70" s="102">
        <v>6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111</v>
      </c>
      <c r="D71" s="102">
        <v>200</v>
      </c>
      <c r="E71" s="102">
        <v>279</v>
      </c>
      <c r="F71" s="102">
        <v>274</v>
      </c>
      <c r="G71" s="102">
        <v>500</v>
      </c>
      <c r="H71" s="102">
        <v>1250</v>
      </c>
      <c r="I71" s="102">
        <v>835</v>
      </c>
      <c r="J71" s="102">
        <v>598</v>
      </c>
      <c r="K71" s="102">
        <v>408</v>
      </c>
      <c r="L71" s="102">
        <v>439</v>
      </c>
      <c r="M71" s="102">
        <v>525</v>
      </c>
      <c r="N71" s="102">
        <v>910</v>
      </c>
      <c r="O71" s="102">
        <v>1234</v>
      </c>
      <c r="P71" s="102">
        <v>1358</v>
      </c>
      <c r="Q71" s="102">
        <v>1231</v>
      </c>
      <c r="R71" s="102">
        <v>1217</v>
      </c>
      <c r="S71" s="102">
        <v>1245</v>
      </c>
      <c r="T71" s="102">
        <v>1476</v>
      </c>
      <c r="U71" s="102">
        <v>1489</v>
      </c>
      <c r="V71" s="102">
        <v>663</v>
      </c>
      <c r="W71" s="102">
        <v>1039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1</v>
      </c>
      <c r="Q72" s="102">
        <v>0</v>
      </c>
      <c r="R72" s="102">
        <v>1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18</v>
      </c>
      <c r="Q73" s="102">
        <v>120</v>
      </c>
      <c r="R73" s="102">
        <v>104</v>
      </c>
      <c r="S73" s="102">
        <v>39</v>
      </c>
      <c r="T73" s="102">
        <v>5</v>
      </c>
      <c r="U73" s="102">
        <v>0</v>
      </c>
      <c r="V73" s="102">
        <v>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6</v>
      </c>
      <c r="C74" s="102">
        <v>0</v>
      </c>
      <c r="D74" s="102">
        <v>0</v>
      </c>
      <c r="E74" s="102">
        <v>1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1</v>
      </c>
      <c r="P74" s="102">
        <v>1</v>
      </c>
      <c r="Q74" s="102">
        <v>19</v>
      </c>
      <c r="R74" s="102">
        <v>2</v>
      </c>
      <c r="S74" s="102">
        <v>0</v>
      </c>
      <c r="T74" s="102">
        <v>1</v>
      </c>
      <c r="U74" s="102">
        <v>0</v>
      </c>
      <c r="V74" s="102">
        <v>22</v>
      </c>
      <c r="W74" s="102">
        <v>47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13</v>
      </c>
      <c r="D75" s="28">
        <f t="shared" si="16"/>
        <v>0</v>
      </c>
      <c r="E75" s="28">
        <f t="shared" si="16"/>
        <v>18</v>
      </c>
      <c r="F75" s="28">
        <f t="shared" si="16"/>
        <v>242</v>
      </c>
      <c r="G75" s="28">
        <f t="shared" si="16"/>
        <v>240</v>
      </c>
      <c r="H75" s="28">
        <f t="shared" si="16"/>
        <v>3010</v>
      </c>
      <c r="I75" s="28">
        <f t="shared" si="16"/>
        <v>12919</v>
      </c>
      <c r="J75" s="28">
        <f t="shared" si="16"/>
        <v>23187</v>
      </c>
      <c r="K75" s="28">
        <f t="shared" si="16"/>
        <v>29811</v>
      </c>
      <c r="L75" s="28">
        <f t="shared" ref="L75" si="17">L76+L82</f>
        <v>47255</v>
      </c>
      <c r="M75" s="28">
        <f t="shared" ref="M75:V75" si="18">M76+M82</f>
        <v>25864</v>
      </c>
      <c r="N75" s="28">
        <f t="shared" si="18"/>
        <v>17021</v>
      </c>
      <c r="O75" s="28">
        <f t="shared" si="18"/>
        <v>42083</v>
      </c>
      <c r="P75" s="28">
        <f t="shared" si="18"/>
        <v>38525</v>
      </c>
      <c r="Q75" s="28">
        <f t="shared" si="18"/>
        <v>42158</v>
      </c>
      <c r="R75" s="28">
        <f t="shared" si="18"/>
        <v>46492</v>
      </c>
      <c r="S75" s="28">
        <f t="shared" si="18"/>
        <v>56215</v>
      </c>
      <c r="T75" s="28">
        <f t="shared" si="18"/>
        <v>63808</v>
      </c>
      <c r="U75" s="28">
        <f t="shared" si="18"/>
        <v>65845</v>
      </c>
      <c r="V75" s="28">
        <f t="shared" si="18"/>
        <v>54226</v>
      </c>
      <c r="W75" s="28">
        <f t="shared" ref="W75" si="19">W76+W82</f>
        <v>61606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13</v>
      </c>
      <c r="D76" s="137">
        <f t="shared" si="20"/>
        <v>0</v>
      </c>
      <c r="E76" s="137">
        <f t="shared" si="20"/>
        <v>18</v>
      </c>
      <c r="F76" s="137">
        <f t="shared" si="20"/>
        <v>242</v>
      </c>
      <c r="G76" s="137">
        <f t="shared" si="20"/>
        <v>240</v>
      </c>
      <c r="H76" s="137">
        <f t="shared" si="20"/>
        <v>138</v>
      </c>
      <c r="I76" s="137">
        <f t="shared" si="20"/>
        <v>5759</v>
      </c>
      <c r="J76" s="137">
        <f t="shared" si="20"/>
        <v>21876</v>
      </c>
      <c r="K76" s="137">
        <f t="shared" si="20"/>
        <v>28777</v>
      </c>
      <c r="L76" s="137">
        <f t="shared" ref="L76" si="21">SUM(L77:L81)</f>
        <v>7845</v>
      </c>
      <c r="M76" s="137">
        <f t="shared" ref="M76:V76" si="22">SUM(M77:M81)</f>
        <v>23982</v>
      </c>
      <c r="N76" s="137">
        <f t="shared" si="22"/>
        <v>15481</v>
      </c>
      <c r="O76" s="137">
        <f t="shared" si="22"/>
        <v>40491</v>
      </c>
      <c r="P76" s="137">
        <f t="shared" si="22"/>
        <v>34540</v>
      </c>
      <c r="Q76" s="137">
        <f t="shared" si="22"/>
        <v>38907</v>
      </c>
      <c r="R76" s="137">
        <f t="shared" si="22"/>
        <v>42564</v>
      </c>
      <c r="S76" s="137">
        <f t="shared" si="22"/>
        <v>45411</v>
      </c>
      <c r="T76" s="137">
        <f t="shared" si="22"/>
        <v>48924</v>
      </c>
      <c r="U76" s="137">
        <f t="shared" si="22"/>
        <v>52251</v>
      </c>
      <c r="V76" s="137">
        <f t="shared" si="22"/>
        <v>45056</v>
      </c>
      <c r="W76" s="137">
        <f t="shared" ref="W76" si="23">SUM(W77:W81)</f>
        <v>47126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18</v>
      </c>
      <c r="F77" s="84">
        <v>242</v>
      </c>
      <c r="G77" s="84">
        <v>240</v>
      </c>
      <c r="H77" s="84">
        <v>138</v>
      </c>
      <c r="I77" s="84">
        <v>297</v>
      </c>
      <c r="J77" s="84">
        <v>346</v>
      </c>
      <c r="K77" s="84">
        <v>426</v>
      </c>
      <c r="L77" s="84">
        <v>215</v>
      </c>
      <c r="M77" s="84">
        <v>115</v>
      </c>
      <c r="N77" s="84">
        <v>187</v>
      </c>
      <c r="O77" s="84">
        <v>6030</v>
      </c>
      <c r="P77" s="84">
        <v>2507</v>
      </c>
      <c r="Q77" s="84">
        <v>1194</v>
      </c>
      <c r="R77" s="84">
        <v>716</v>
      </c>
      <c r="S77" s="84">
        <v>948</v>
      </c>
      <c r="T77" s="84">
        <v>1056</v>
      </c>
      <c r="U77" s="84">
        <v>1047</v>
      </c>
      <c r="V77" s="84">
        <v>461</v>
      </c>
      <c r="W77" s="84">
        <v>703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5462</v>
      </c>
      <c r="J78" s="84">
        <v>21530</v>
      </c>
      <c r="K78" s="84">
        <v>28351</v>
      </c>
      <c r="L78" s="84">
        <v>7630</v>
      </c>
      <c r="M78" s="84">
        <v>23867</v>
      </c>
      <c r="N78" s="84">
        <v>15293</v>
      </c>
      <c r="O78" s="84">
        <v>34423</v>
      </c>
      <c r="P78" s="84">
        <v>32016</v>
      </c>
      <c r="Q78" s="84">
        <v>37446</v>
      </c>
      <c r="R78" s="84">
        <v>41778</v>
      </c>
      <c r="S78" s="84">
        <v>44290</v>
      </c>
      <c r="T78" s="84">
        <v>47597</v>
      </c>
      <c r="U78" s="84">
        <v>51060</v>
      </c>
      <c r="V78" s="84">
        <v>44293</v>
      </c>
      <c r="W78" s="84">
        <v>45963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13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1</v>
      </c>
      <c r="O79" s="84">
        <v>0</v>
      </c>
      <c r="P79" s="84">
        <v>0</v>
      </c>
      <c r="Q79" s="84">
        <v>5</v>
      </c>
      <c r="R79" s="84">
        <v>0</v>
      </c>
      <c r="S79" s="84">
        <v>0</v>
      </c>
      <c r="T79" s="84">
        <v>0</v>
      </c>
      <c r="U79" s="84">
        <v>0</v>
      </c>
      <c r="V79" s="84">
        <v>3</v>
      </c>
      <c r="W79" s="84">
        <v>1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18</v>
      </c>
      <c r="P80" s="84">
        <v>15</v>
      </c>
      <c r="Q80" s="84">
        <v>241</v>
      </c>
      <c r="R80" s="84">
        <v>19</v>
      </c>
      <c r="S80" s="84">
        <v>78</v>
      </c>
      <c r="T80" s="84">
        <v>75</v>
      </c>
      <c r="U80" s="84">
        <v>21</v>
      </c>
      <c r="V80" s="84">
        <v>83</v>
      </c>
      <c r="W80" s="84">
        <v>80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20</v>
      </c>
      <c r="P81" s="84">
        <v>2</v>
      </c>
      <c r="Q81" s="84">
        <v>21</v>
      </c>
      <c r="R81" s="84">
        <v>51</v>
      </c>
      <c r="S81" s="84">
        <v>95</v>
      </c>
      <c r="T81" s="84">
        <v>196</v>
      </c>
      <c r="U81" s="84">
        <v>123</v>
      </c>
      <c r="V81" s="84">
        <v>216</v>
      </c>
      <c r="W81" s="84">
        <v>379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2872</v>
      </c>
      <c r="I82" s="110">
        <f t="shared" si="24"/>
        <v>7160</v>
      </c>
      <c r="J82" s="110">
        <f t="shared" si="24"/>
        <v>1311</v>
      </c>
      <c r="K82" s="110">
        <f t="shared" si="24"/>
        <v>1034</v>
      </c>
      <c r="L82" s="110">
        <f t="shared" ref="L82" si="25">SUM(L83:L84)</f>
        <v>39410</v>
      </c>
      <c r="M82" s="110">
        <f t="shared" ref="M82:V82" si="26">SUM(M83:M84)</f>
        <v>1882</v>
      </c>
      <c r="N82" s="110">
        <f t="shared" si="26"/>
        <v>1540</v>
      </c>
      <c r="O82" s="110">
        <f t="shared" si="26"/>
        <v>1592</v>
      </c>
      <c r="P82" s="110">
        <f t="shared" si="26"/>
        <v>3985</v>
      </c>
      <c r="Q82" s="110">
        <f t="shared" si="26"/>
        <v>3251</v>
      </c>
      <c r="R82" s="110">
        <f t="shared" si="26"/>
        <v>3928</v>
      </c>
      <c r="S82" s="110">
        <f t="shared" si="26"/>
        <v>10804</v>
      </c>
      <c r="T82" s="110">
        <f t="shared" si="26"/>
        <v>14884</v>
      </c>
      <c r="U82" s="110">
        <f t="shared" si="26"/>
        <v>13594</v>
      </c>
      <c r="V82" s="110">
        <f t="shared" si="26"/>
        <v>9170</v>
      </c>
      <c r="W82" s="110">
        <f t="shared" ref="W82" si="27">SUM(W83:W84)</f>
        <v>14480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2872</v>
      </c>
      <c r="I83" s="102">
        <v>7160</v>
      </c>
      <c r="J83" s="102">
        <v>1092</v>
      </c>
      <c r="K83" s="102">
        <v>1034</v>
      </c>
      <c r="L83" s="102">
        <v>39282</v>
      </c>
      <c r="M83" s="102">
        <v>1095</v>
      </c>
      <c r="N83" s="102">
        <v>973</v>
      </c>
      <c r="O83" s="102">
        <v>881</v>
      </c>
      <c r="P83" s="102">
        <v>3161</v>
      </c>
      <c r="Q83" s="102">
        <v>2056</v>
      </c>
      <c r="R83" s="102">
        <v>2533</v>
      </c>
      <c r="S83" s="102">
        <v>9152</v>
      </c>
      <c r="T83" s="102">
        <v>13935</v>
      </c>
      <c r="U83" s="102">
        <v>12331</v>
      </c>
      <c r="V83" s="102">
        <v>8689</v>
      </c>
      <c r="W83" s="102">
        <v>12126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219</v>
      </c>
      <c r="K84" s="86">
        <v>0</v>
      </c>
      <c r="L84" s="86">
        <v>128</v>
      </c>
      <c r="M84" s="86">
        <v>787</v>
      </c>
      <c r="N84" s="86">
        <v>567</v>
      </c>
      <c r="O84" s="86">
        <v>711</v>
      </c>
      <c r="P84" s="86">
        <v>824</v>
      </c>
      <c r="Q84" s="86">
        <v>1195</v>
      </c>
      <c r="R84" s="86">
        <v>1395</v>
      </c>
      <c r="S84" s="86">
        <v>1652</v>
      </c>
      <c r="T84" s="86">
        <v>949</v>
      </c>
      <c r="U84" s="86">
        <v>1263</v>
      </c>
      <c r="V84" s="86">
        <v>481</v>
      </c>
      <c r="W84" s="86">
        <v>2354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4.2965533402436868</v>
      </c>
      <c r="C90" s="141">
        <v>4.2794826209293433</v>
      </c>
      <c r="D90" s="141">
        <v>4.241398464250083</v>
      </c>
      <c r="E90" s="141">
        <v>4.1967404809963362</v>
      </c>
      <c r="F90" s="141">
        <v>4.1262925453832793</v>
      </c>
      <c r="G90" s="141">
        <v>4.075708454798753</v>
      </c>
      <c r="H90" s="141">
        <v>4.0250734898021392</v>
      </c>
      <c r="I90" s="141">
        <v>3.9676600386377916</v>
      </c>
      <c r="J90" s="141">
        <v>3.9025646718657909</v>
      </c>
      <c r="K90" s="141">
        <v>3.8471592428140431</v>
      </c>
      <c r="L90" s="141">
        <v>3.7967269443416316</v>
      </c>
      <c r="M90" s="141">
        <v>3.7633725093550132</v>
      </c>
      <c r="N90" s="141">
        <v>3.7127221269446675</v>
      </c>
      <c r="O90" s="141">
        <v>3.6697622335895193</v>
      </c>
      <c r="P90" s="141">
        <v>3.6121475480487581</v>
      </c>
      <c r="Q90" s="141">
        <v>3.5371884783867023</v>
      </c>
      <c r="R90" s="141">
        <v>3.4491797973226022</v>
      </c>
      <c r="S90" s="141">
        <v>3.4086565090103802</v>
      </c>
      <c r="T90" s="141">
        <v>3.353495323707997</v>
      </c>
      <c r="U90" s="141">
        <v>3.2966715744841948</v>
      </c>
      <c r="V90" s="141">
        <v>3.2483943829373363</v>
      </c>
      <c r="W90" s="141">
        <v>3.0711958922859885</v>
      </c>
      <c r="DA90" s="174" t="s">
        <v>862</v>
      </c>
    </row>
    <row r="91" spans="1:105" ht="11.45" customHeight="1" x14ac:dyDescent="0.25">
      <c r="A91" s="109" t="s">
        <v>20</v>
      </c>
      <c r="B91" s="130">
        <v>8.3964586322938377</v>
      </c>
      <c r="C91" s="130">
        <v>8.2736627833894083</v>
      </c>
      <c r="D91" s="130">
        <v>8.1913351351753825</v>
      </c>
      <c r="E91" s="130">
        <v>8.0929664573773117</v>
      </c>
      <c r="F91" s="130">
        <v>8.0004886644897937</v>
      </c>
      <c r="G91" s="130">
        <v>7.9353167663475803</v>
      </c>
      <c r="H91" s="130">
        <v>7.8580225238471213</v>
      </c>
      <c r="I91" s="130">
        <v>7.7954545523408996</v>
      </c>
      <c r="J91" s="130">
        <v>7.6697105047806566</v>
      </c>
      <c r="K91" s="130">
        <v>7.6265844557701978</v>
      </c>
      <c r="L91" s="130">
        <v>7.5804369356637897</v>
      </c>
      <c r="M91" s="130">
        <v>7.5460284846910328</v>
      </c>
      <c r="N91" s="130">
        <v>7.4809543211771619</v>
      </c>
      <c r="O91" s="130">
        <v>7.4226488781171964</v>
      </c>
      <c r="P91" s="130">
        <v>7.3212617787978367</v>
      </c>
      <c r="Q91" s="130">
        <v>7.2129845043355738</v>
      </c>
      <c r="R91" s="130">
        <v>7.0668758737018731</v>
      </c>
      <c r="S91" s="130">
        <v>6.9349727449349503</v>
      </c>
      <c r="T91" s="130">
        <v>6.7927703878298082</v>
      </c>
      <c r="U91" s="130">
        <v>6.6470026652416712</v>
      </c>
      <c r="V91" s="130">
        <v>6.5057855027019755</v>
      </c>
      <c r="W91" s="130">
        <v>6.4321932404359039</v>
      </c>
      <c r="DA91" s="176" t="s">
        <v>863</v>
      </c>
    </row>
    <row r="92" spans="1:105" ht="11.45" customHeight="1" x14ac:dyDescent="0.25">
      <c r="A92" s="111" t="s">
        <v>110</v>
      </c>
      <c r="B92" s="96">
        <v>8.4711826846869833</v>
      </c>
      <c r="C92" s="96">
        <v>8.3182466049927388</v>
      </c>
      <c r="D92" s="96">
        <v>8.2275800506567762</v>
      </c>
      <c r="E92" s="96">
        <v>8.1473822337798989</v>
      </c>
      <c r="F92" s="96">
        <v>8.0555100824326882</v>
      </c>
      <c r="G92" s="96">
        <v>7.9674983453895161</v>
      </c>
      <c r="H92" s="96">
        <v>7.9136233041122175</v>
      </c>
      <c r="I92" s="96">
        <v>7.8569972452132069</v>
      </c>
      <c r="J92" s="96">
        <v>7.7491657057528238</v>
      </c>
      <c r="K92" s="96">
        <v>7.7080441691338262</v>
      </c>
      <c r="L92" s="96">
        <v>7.6657329208375105</v>
      </c>
      <c r="M92" s="96">
        <v>7.6290221386995487</v>
      </c>
      <c r="N92" s="96">
        <v>7.5589438899612835</v>
      </c>
      <c r="O92" s="96">
        <v>7.4998148977466927</v>
      </c>
      <c r="P92" s="96">
        <v>7.3902688209778882</v>
      </c>
      <c r="Q92" s="96">
        <v>7.2662384496286929</v>
      </c>
      <c r="R92" s="96">
        <v>7.1062848774501148</v>
      </c>
      <c r="S92" s="96">
        <v>6.9411393569792184</v>
      </c>
      <c r="T92" s="96">
        <v>6.7571934600485841</v>
      </c>
      <c r="U92" s="96">
        <v>6.5636596149408533</v>
      </c>
      <c r="V92" s="96">
        <v>6.370187680222597</v>
      </c>
      <c r="W92" s="96">
        <v>6.3128138609755151</v>
      </c>
      <c r="DA92" s="171" t="s">
        <v>864</v>
      </c>
    </row>
    <row r="93" spans="1:105" ht="11.45" customHeight="1" x14ac:dyDescent="0.25">
      <c r="A93" s="111" t="s">
        <v>111</v>
      </c>
      <c r="B93" s="96">
        <v>7.7080926219147132</v>
      </c>
      <c r="C93" s="96">
        <v>7.5632930844144761</v>
      </c>
      <c r="D93" s="96">
        <v>7.4395864225289481</v>
      </c>
      <c r="E93" s="96">
        <v>7.3295985617739214</v>
      </c>
      <c r="F93" s="96">
        <v>7.2357704023800746</v>
      </c>
      <c r="G93" s="96">
        <v>7.180607635925635</v>
      </c>
      <c r="H93" s="96">
        <v>7.0721015258059552</v>
      </c>
      <c r="I93" s="96">
        <v>7.0183094750244051</v>
      </c>
      <c r="J93" s="96">
        <v>6.957415243626472</v>
      </c>
      <c r="K93" s="96">
        <v>6.9223692833114665</v>
      </c>
      <c r="L93" s="96">
        <v>6.8765036656115113</v>
      </c>
      <c r="M93" s="96">
        <v>6.8300295447411896</v>
      </c>
      <c r="N93" s="96">
        <v>6.7872131947571397</v>
      </c>
      <c r="O93" s="96">
        <v>6.7106964538894278</v>
      </c>
      <c r="P93" s="96">
        <v>6.6117549851880515</v>
      </c>
      <c r="Q93" s="96">
        <v>6.4916227574434995</v>
      </c>
      <c r="R93" s="96">
        <v>6.3280273837709133</v>
      </c>
      <c r="S93" s="96">
        <v>6.2103932504957839</v>
      </c>
      <c r="T93" s="96">
        <v>6.0992733901654121</v>
      </c>
      <c r="U93" s="96">
        <v>6.0101081787750363</v>
      </c>
      <c r="V93" s="96">
        <v>5.9674570587995106</v>
      </c>
      <c r="W93" s="96">
        <v>5.8829167531186517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6.8515146341446824</v>
      </c>
      <c r="D94" s="96">
        <v>6.8515146341446824</v>
      </c>
      <c r="E94" s="96">
        <v>7.0943356590142317</v>
      </c>
      <c r="F94" s="96">
        <v>7.1042985856257435</v>
      </c>
      <c r="G94" s="96">
        <v>7.104786033163017</v>
      </c>
      <c r="H94" s="96">
        <v>7.1052662813041056</v>
      </c>
      <c r="I94" s="96">
        <v>7.1052207788305477</v>
      </c>
      <c r="J94" s="96">
        <v>7.1096224862376536</v>
      </c>
      <c r="K94" s="96">
        <v>7.1096224862376536</v>
      </c>
      <c r="L94" s="96">
        <v>7.2070225916042503</v>
      </c>
      <c r="M94" s="96">
        <v>7.4748385422591728</v>
      </c>
      <c r="N94" s="96">
        <v>7.5352896274628742</v>
      </c>
      <c r="O94" s="96">
        <v>7.608208635720378</v>
      </c>
      <c r="P94" s="96">
        <v>7.6041732062879044</v>
      </c>
      <c r="Q94" s="96">
        <v>7.5636744375028711</v>
      </c>
      <c r="R94" s="96">
        <v>7.5638902433729491</v>
      </c>
      <c r="S94" s="96">
        <v>7.5702639159865566</v>
      </c>
      <c r="T94" s="96">
        <v>7.5872155952608358</v>
      </c>
      <c r="U94" s="96">
        <v>7.6447272221804505</v>
      </c>
      <c r="V94" s="96">
        <v>7.7043984213513026</v>
      </c>
      <c r="W94" s="96">
        <v>7.7810159877686749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10.036319824087437</v>
      </c>
      <c r="M95" s="96">
        <v>7.2031003522158645</v>
      </c>
      <c r="N95" s="96">
        <v>6.1946663029056417</v>
      </c>
      <c r="O95" s="96">
        <v>6.6563276092077954</v>
      </c>
      <c r="P95" s="96">
        <v>6.6425998918628411</v>
      </c>
      <c r="Q95" s="96">
        <v>5.4898172455152805</v>
      </c>
      <c r="R95" s="96">
        <v>5.5385240915531524</v>
      </c>
      <c r="S95" s="96">
        <v>5.4683063482767436</v>
      </c>
      <c r="T95" s="96">
        <v>5.5132016523010146</v>
      </c>
      <c r="U95" s="96">
        <v>5.519573309274918</v>
      </c>
      <c r="V95" s="96">
        <v>5.5158629146453491</v>
      </c>
      <c r="W95" s="96">
        <v>5.5094434177363993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2.428065157458271</v>
      </c>
      <c r="O96" s="96">
        <v>2.428065157458271</v>
      </c>
      <c r="P96" s="96">
        <v>2.3639563398584369</v>
      </c>
      <c r="Q96" s="96">
        <v>2.1354287140311592</v>
      </c>
      <c r="R96" s="96">
        <v>2.7100841805240727</v>
      </c>
      <c r="S96" s="96">
        <v>2.9197890494465266</v>
      </c>
      <c r="T96" s="96">
        <v>2.9347389926828327</v>
      </c>
      <c r="U96" s="96">
        <v>2.9045258299715497</v>
      </c>
      <c r="V96" s="96">
        <v>3.0474472023397641</v>
      </c>
      <c r="W96" s="96">
        <v>2.9714098117724044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1.3424803607346911</v>
      </c>
      <c r="M97" s="96">
        <v>1.3424803607346911</v>
      </c>
      <c r="N97" s="96">
        <v>1.3411242520511029</v>
      </c>
      <c r="O97" s="96">
        <v>1.3398639541749084</v>
      </c>
      <c r="P97" s="96">
        <v>1.3378749348138996</v>
      </c>
      <c r="Q97" s="96">
        <v>1.330368085242488</v>
      </c>
      <c r="R97" s="96">
        <v>1.3255926200420833</v>
      </c>
      <c r="S97" s="96">
        <v>1.2432273086997643</v>
      </c>
      <c r="T97" s="96">
        <v>1.2070854655816556</v>
      </c>
      <c r="U97" s="96">
        <v>1.3724174530798401</v>
      </c>
      <c r="V97" s="96">
        <v>1.4157844148785528</v>
      </c>
      <c r="W97" s="96">
        <v>1.4187524180093543</v>
      </c>
      <c r="DA97" s="171" t="s">
        <v>869</v>
      </c>
    </row>
    <row r="98" spans="1:105" ht="11.45" customHeight="1" x14ac:dyDescent="0.25">
      <c r="A98" s="109" t="s">
        <v>21</v>
      </c>
      <c r="B98" s="130">
        <v>48.044728777551995</v>
      </c>
      <c r="C98" s="130">
        <v>47.663104849914269</v>
      </c>
      <c r="D98" s="130">
        <v>47.568545657425304</v>
      </c>
      <c r="E98" s="130">
        <v>47.456477601827736</v>
      </c>
      <c r="F98" s="130">
        <v>47.362019747068885</v>
      </c>
      <c r="G98" s="130">
        <v>47.336612167473106</v>
      </c>
      <c r="H98" s="130">
        <v>47.1565625506366</v>
      </c>
      <c r="I98" s="130">
        <v>47.035907683712459</v>
      </c>
      <c r="J98" s="130">
        <v>46.438172559446677</v>
      </c>
      <c r="K98" s="130">
        <v>46.538569103047692</v>
      </c>
      <c r="L98" s="130">
        <v>46.59224404867598</v>
      </c>
      <c r="M98" s="130">
        <v>46.518731313890605</v>
      </c>
      <c r="N98" s="130">
        <v>46.130473692664054</v>
      </c>
      <c r="O98" s="130">
        <v>45.884120477665142</v>
      </c>
      <c r="P98" s="130">
        <v>45.492060983376291</v>
      </c>
      <c r="Q98" s="130">
        <v>45.11618729929431</v>
      </c>
      <c r="R98" s="130">
        <v>44.94020714004742</v>
      </c>
      <c r="S98" s="130">
        <v>44.725320190854497</v>
      </c>
      <c r="T98" s="130">
        <v>44.464079791471349</v>
      </c>
      <c r="U98" s="130">
        <v>44.206435832708699</v>
      </c>
      <c r="V98" s="130">
        <v>43.615399114053687</v>
      </c>
      <c r="W98" s="130">
        <v>43.471980416631403</v>
      </c>
      <c r="DA98" s="176" t="s">
        <v>870</v>
      </c>
    </row>
    <row r="99" spans="1:105" ht="11.45" customHeight="1" x14ac:dyDescent="0.25">
      <c r="A99" s="111" t="s">
        <v>110</v>
      </c>
      <c r="B99" s="97">
        <v>18.740296227490674</v>
      </c>
      <c r="C99" s="97">
        <v>18.728501247391353</v>
      </c>
      <c r="D99" s="97">
        <v>18.727307934051176</v>
      </c>
      <c r="E99" s="97">
        <v>18.725839514747289</v>
      </c>
      <c r="F99" s="97">
        <v>18.716889152390696</v>
      </c>
      <c r="G99" s="97">
        <v>18.709174014661855</v>
      </c>
      <c r="H99" s="97">
        <v>18.704465806464778</v>
      </c>
      <c r="I99" s="97">
        <v>18.691079925329113</v>
      </c>
      <c r="J99" s="97">
        <v>18.608287314670978</v>
      </c>
      <c r="K99" s="97">
        <v>18.578814230326309</v>
      </c>
      <c r="L99" s="97">
        <v>18.458091843855424</v>
      </c>
      <c r="M99" s="97">
        <v>18.18392093201372</v>
      </c>
      <c r="N99" s="97">
        <v>17.881853075828523</v>
      </c>
      <c r="O99" s="97">
        <v>17.86138273164762</v>
      </c>
      <c r="P99" s="97">
        <v>17.740744255236791</v>
      </c>
      <c r="Q99" s="97">
        <v>17.468931657183774</v>
      </c>
      <c r="R99" s="97">
        <v>16.956677372480303</v>
      </c>
      <c r="S99" s="97">
        <v>16.643811053120547</v>
      </c>
      <c r="T99" s="97">
        <v>16.507535942097942</v>
      </c>
      <c r="U99" s="97">
        <v>16.488669402097354</v>
      </c>
      <c r="V99" s="97">
        <v>15.863309520927855</v>
      </c>
      <c r="W99" s="97">
        <v>15.818470976815057</v>
      </c>
      <c r="DA99" s="175" t="s">
        <v>871</v>
      </c>
    </row>
    <row r="100" spans="1:105" ht="11.45" customHeight="1" x14ac:dyDescent="0.25">
      <c r="A100" s="111" t="s">
        <v>111</v>
      </c>
      <c r="B100" s="97">
        <v>52.837604796860752</v>
      </c>
      <c r="C100" s="97">
        <v>51.431024233850536</v>
      </c>
      <c r="D100" s="97">
        <v>50.662085698796368</v>
      </c>
      <c r="E100" s="97">
        <v>50.009481009163466</v>
      </c>
      <c r="F100" s="97">
        <v>49.544204040541501</v>
      </c>
      <c r="G100" s="97">
        <v>49.009891978530305</v>
      </c>
      <c r="H100" s="97">
        <v>48.296940892930621</v>
      </c>
      <c r="I100" s="97">
        <v>47.907166429964953</v>
      </c>
      <c r="J100" s="97">
        <v>47.356949620456668</v>
      </c>
      <c r="K100" s="97">
        <v>47.216584117904688</v>
      </c>
      <c r="L100" s="97">
        <v>47.049988869263217</v>
      </c>
      <c r="M100" s="97">
        <v>46.824490383789161</v>
      </c>
      <c r="N100" s="97">
        <v>46.406224469469876</v>
      </c>
      <c r="O100" s="97">
        <v>46.070433922251041</v>
      </c>
      <c r="P100" s="97">
        <v>45.640199996247631</v>
      </c>
      <c r="Q100" s="97">
        <v>45.271975662943206</v>
      </c>
      <c r="R100" s="97">
        <v>45.021617468973609</v>
      </c>
      <c r="S100" s="97">
        <v>44.756717407075023</v>
      </c>
      <c r="T100" s="97">
        <v>44.458710304277133</v>
      </c>
      <c r="U100" s="97">
        <v>44.166994696535269</v>
      </c>
      <c r="V100" s="97">
        <v>43.721862627436686</v>
      </c>
      <c r="W100" s="97">
        <v>43.592369521664168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36.24100278196628</v>
      </c>
      <c r="Q101" s="97">
        <v>36.24100278196628</v>
      </c>
      <c r="R101" s="97">
        <v>36.004343176085499</v>
      </c>
      <c r="S101" s="97">
        <v>36.004343176085484</v>
      </c>
      <c r="T101" s="97">
        <v>36.004343176085499</v>
      </c>
      <c r="U101" s="97">
        <v>36.004343176085499</v>
      </c>
      <c r="V101" s="97">
        <v>36.004343176085492</v>
      </c>
      <c r="W101" s="97">
        <v>36.004343176085492</v>
      </c>
      <c r="DA101" s="175" t="s">
        <v>873</v>
      </c>
    </row>
    <row r="102" spans="1:105" ht="11.45" customHeight="1" x14ac:dyDescent="0.25">
      <c r="A102" s="111" t="s">
        <v>113</v>
      </c>
      <c r="B102" s="97">
        <v>43.224293078703184</v>
      </c>
      <c r="C102" s="97">
        <v>42.215760703906454</v>
      </c>
      <c r="D102" s="97">
        <v>41.79623163039868</v>
      </c>
      <c r="E102" s="97">
        <v>41.134431450553869</v>
      </c>
      <c r="F102" s="97">
        <v>40.821557760882172</v>
      </c>
      <c r="G102" s="97">
        <v>40.409063457332941</v>
      </c>
      <c r="H102" s="97">
        <v>40.135459012369331</v>
      </c>
      <c r="I102" s="97">
        <v>39.750324866408356</v>
      </c>
      <c r="J102" s="97">
        <v>39.07522917306035</v>
      </c>
      <c r="K102" s="97">
        <v>39.07522917306035</v>
      </c>
      <c r="L102" s="97">
        <v>39.02133584787039</v>
      </c>
      <c r="M102" s="97">
        <v>38.991195138288944</v>
      </c>
      <c r="N102" s="97">
        <v>38.442893434257435</v>
      </c>
      <c r="O102" s="97">
        <v>38.214137440458785</v>
      </c>
      <c r="P102" s="97">
        <v>37.448636828979446</v>
      </c>
      <c r="Q102" s="97">
        <v>36.397103532327272</v>
      </c>
      <c r="R102" s="97">
        <v>36.156974362235239</v>
      </c>
      <c r="S102" s="97">
        <v>36.082368037133826</v>
      </c>
      <c r="T102" s="97">
        <v>36.071205244091452</v>
      </c>
      <c r="U102" s="97">
        <v>35.972098782835694</v>
      </c>
      <c r="V102" s="97">
        <v>35.866243563611889</v>
      </c>
      <c r="W102" s="97">
        <v>35.865228562036499</v>
      </c>
      <c r="DA102" s="175" t="s">
        <v>874</v>
      </c>
    </row>
    <row r="103" spans="1:105" ht="11.45" customHeight="1" x14ac:dyDescent="0.25">
      <c r="A103" s="111" t="s">
        <v>115</v>
      </c>
      <c r="B103" s="97">
        <v>29.521402560888433</v>
      </c>
      <c r="C103" s="97">
        <v>29.521402560888433</v>
      </c>
      <c r="D103" s="97">
        <v>29.521402560888433</v>
      </c>
      <c r="E103" s="97">
        <v>29.496297509756744</v>
      </c>
      <c r="F103" s="97">
        <v>29.495835620795212</v>
      </c>
      <c r="G103" s="97">
        <v>29.479419364563203</v>
      </c>
      <c r="H103" s="97">
        <v>29.473203863590268</v>
      </c>
      <c r="I103" s="97">
        <v>29.465486136202692</v>
      </c>
      <c r="J103" s="97">
        <v>29.455457506465095</v>
      </c>
      <c r="K103" s="97">
        <v>29.443141424178304</v>
      </c>
      <c r="L103" s="97">
        <v>29.419340193302663</v>
      </c>
      <c r="M103" s="97">
        <v>29.389499199522813</v>
      </c>
      <c r="N103" s="97">
        <v>29.346589355865039</v>
      </c>
      <c r="O103" s="97">
        <v>28.785367380821647</v>
      </c>
      <c r="P103" s="97">
        <v>27.915802475605712</v>
      </c>
      <c r="Q103" s="97">
        <v>24.097163112298617</v>
      </c>
      <c r="R103" s="97">
        <v>24.002327280247044</v>
      </c>
      <c r="S103" s="97">
        <v>23.901459396928669</v>
      </c>
      <c r="T103" s="97">
        <v>23.845605895490813</v>
      </c>
      <c r="U103" s="97">
        <v>23.845605895490813</v>
      </c>
      <c r="V103" s="97">
        <v>23.045025176126757</v>
      </c>
      <c r="W103" s="97">
        <v>22.4918662182472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8.8457711066082734</v>
      </c>
      <c r="C105" s="141">
        <v>8.7017817867449825</v>
      </c>
      <c r="D105" s="141">
        <v>8.6502463033744448</v>
      </c>
      <c r="E105" s="141">
        <v>8.6044416237991577</v>
      </c>
      <c r="F105" s="141">
        <v>8.5602937439311511</v>
      </c>
      <c r="G105" s="141">
        <v>8.5377878037429742</v>
      </c>
      <c r="H105" s="141">
        <v>8.4747246889594106</v>
      </c>
      <c r="I105" s="141">
        <v>8.427246921798778</v>
      </c>
      <c r="J105" s="141">
        <v>8.3578493124757731</v>
      </c>
      <c r="K105" s="141">
        <v>8.3139090891963772</v>
      </c>
      <c r="L105" s="141">
        <v>8.1676092049411917</v>
      </c>
      <c r="M105" s="141">
        <v>8.1818954005885676</v>
      </c>
      <c r="N105" s="141">
        <v>8.1548754709490368</v>
      </c>
      <c r="O105" s="141">
        <v>8.0592181146041071</v>
      </c>
      <c r="P105" s="141">
        <v>7.9554207955727207</v>
      </c>
      <c r="Q105" s="141">
        <v>7.8421726108641323</v>
      </c>
      <c r="R105" s="141">
        <v>7.6979158405985277</v>
      </c>
      <c r="S105" s="141">
        <v>7.5646159030284119</v>
      </c>
      <c r="T105" s="141">
        <v>7.4464480435308094</v>
      </c>
      <c r="U105" s="141">
        <v>7.3056812297122971</v>
      </c>
      <c r="V105" s="141">
        <v>7.2187457936650681</v>
      </c>
      <c r="W105" s="141">
        <v>7.121805745318416</v>
      </c>
      <c r="DA105" s="174" t="s">
        <v>876</v>
      </c>
    </row>
    <row r="106" spans="1:105" ht="11.45" customHeight="1" x14ac:dyDescent="0.25">
      <c r="A106" s="111" t="s">
        <v>110</v>
      </c>
      <c r="B106" s="96">
        <v>8.0029362544480982</v>
      </c>
      <c r="C106" s="96">
        <v>7.9474158491461768</v>
      </c>
      <c r="D106" s="96">
        <v>7.9227387097613713</v>
      </c>
      <c r="E106" s="96">
        <v>7.9000663790113634</v>
      </c>
      <c r="F106" s="96">
        <v>7.8734003009371847</v>
      </c>
      <c r="G106" s="96">
        <v>7.8474508456803855</v>
      </c>
      <c r="H106" s="96">
        <v>7.8296594979314893</v>
      </c>
      <c r="I106" s="96">
        <v>7.7963595087650948</v>
      </c>
      <c r="J106" s="96">
        <v>7.7370214435734077</v>
      </c>
      <c r="K106" s="96">
        <v>7.688502638869827</v>
      </c>
      <c r="L106" s="96">
        <v>7.651789847491874</v>
      </c>
      <c r="M106" s="96">
        <v>7.6396961194660973</v>
      </c>
      <c r="N106" s="96">
        <v>7.611450030619527</v>
      </c>
      <c r="O106" s="96">
        <v>7.0282349065546956</v>
      </c>
      <c r="P106" s="96">
        <v>6.7544919264902177</v>
      </c>
      <c r="Q106" s="96">
        <v>6.5742560047778618</v>
      </c>
      <c r="R106" s="96">
        <v>6.4265695880698832</v>
      </c>
      <c r="S106" s="96">
        <v>6.2969782329868504</v>
      </c>
      <c r="T106" s="96">
        <v>6.231914937516656</v>
      </c>
      <c r="U106" s="96">
        <v>6.168872571413714</v>
      </c>
      <c r="V106" s="96">
        <v>6.1012933678041037</v>
      </c>
      <c r="W106" s="96">
        <v>6.0557528870983823</v>
      </c>
      <c r="DA106" s="171" t="s">
        <v>877</v>
      </c>
    </row>
    <row r="107" spans="1:105" ht="11.45" customHeight="1" x14ac:dyDescent="0.25">
      <c r="A107" s="111" t="s">
        <v>111</v>
      </c>
      <c r="B107" s="96">
        <v>9.3312855008040554</v>
      </c>
      <c r="C107" s="96">
        <v>8.9870045742376696</v>
      </c>
      <c r="D107" s="96">
        <v>8.8337764122146147</v>
      </c>
      <c r="E107" s="96">
        <v>8.7301662124193786</v>
      </c>
      <c r="F107" s="96">
        <v>8.6510036585351813</v>
      </c>
      <c r="G107" s="96">
        <v>8.601542110964207</v>
      </c>
      <c r="H107" s="96">
        <v>8.5224771603727643</v>
      </c>
      <c r="I107" s="96">
        <v>8.4610823218027811</v>
      </c>
      <c r="J107" s="96">
        <v>8.3764649269496605</v>
      </c>
      <c r="K107" s="96">
        <v>8.3145755441898253</v>
      </c>
      <c r="L107" s="96">
        <v>8.2086638219652936</v>
      </c>
      <c r="M107" s="96">
        <v>8.2199471885265289</v>
      </c>
      <c r="N107" s="96">
        <v>8.1834722742601276</v>
      </c>
      <c r="O107" s="96">
        <v>8.1024887812195008</v>
      </c>
      <c r="P107" s="96">
        <v>7.9905706585591725</v>
      </c>
      <c r="Q107" s="96">
        <v>7.8605259066891486</v>
      </c>
      <c r="R107" s="96">
        <v>7.6934766055272918</v>
      </c>
      <c r="S107" s="96">
        <v>7.5490496392917166</v>
      </c>
      <c r="T107" s="96">
        <v>7.4150084715586866</v>
      </c>
      <c r="U107" s="96">
        <v>7.267266544891732</v>
      </c>
      <c r="V107" s="96">
        <v>7.1898804080708212</v>
      </c>
      <c r="W107" s="96">
        <v>7.101205345763776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9.6796254322255102</v>
      </c>
      <c r="D108" s="96">
        <v>9.6796254322255102</v>
      </c>
      <c r="E108" s="96">
        <v>9.679625432225512</v>
      </c>
      <c r="F108" s="96">
        <v>9.679625432225512</v>
      </c>
      <c r="G108" s="96">
        <v>9.679625432225512</v>
      </c>
      <c r="H108" s="96">
        <v>9.679625432225512</v>
      </c>
      <c r="I108" s="96">
        <v>9.679625432225512</v>
      </c>
      <c r="J108" s="96">
        <v>9.6796254322255137</v>
      </c>
      <c r="K108" s="96">
        <v>9.679625432225512</v>
      </c>
      <c r="L108" s="96">
        <v>9.679625432225512</v>
      </c>
      <c r="M108" s="96">
        <v>9.679625432225512</v>
      </c>
      <c r="N108" s="96">
        <v>9.657844357419167</v>
      </c>
      <c r="O108" s="96">
        <v>9.6547485292612301</v>
      </c>
      <c r="P108" s="96">
        <v>9.6506268487649436</v>
      </c>
      <c r="Q108" s="96">
        <v>9.3883620433594075</v>
      </c>
      <c r="R108" s="96">
        <v>9.3360912453350604</v>
      </c>
      <c r="S108" s="96">
        <v>9.2609558361821449</v>
      </c>
      <c r="T108" s="96">
        <v>9.1788036407417888</v>
      </c>
      <c r="U108" s="96">
        <v>9.0391683170840018</v>
      </c>
      <c r="V108" s="96">
        <v>8.2706315144171008</v>
      </c>
      <c r="W108" s="96">
        <v>7.8130069294898048</v>
      </c>
      <c r="DA108" s="171" t="s">
        <v>879</v>
      </c>
    </row>
    <row r="109" spans="1:105" ht="11.45" customHeight="1" x14ac:dyDescent="0.25">
      <c r="A109" s="111" t="s">
        <v>113</v>
      </c>
      <c r="B109" s="96">
        <v>10.153418257526786</v>
      </c>
      <c r="C109" s="96">
        <v>9.6699221500255081</v>
      </c>
      <c r="D109" s="96">
        <v>9.6699221500255081</v>
      </c>
      <c r="E109" s="96">
        <v>9.6699221500255081</v>
      </c>
      <c r="F109" s="96">
        <v>9.6699221500255099</v>
      </c>
      <c r="G109" s="96">
        <v>9.6699221500255099</v>
      </c>
      <c r="H109" s="96">
        <v>9.6699221500255099</v>
      </c>
      <c r="I109" s="96">
        <v>9.6699221500255117</v>
      </c>
      <c r="J109" s="96">
        <v>9.6699221500255099</v>
      </c>
      <c r="K109" s="96">
        <v>9.6699221500255099</v>
      </c>
      <c r="L109" s="96">
        <v>9.6699221500255099</v>
      </c>
      <c r="M109" s="96">
        <v>9.6699221500255099</v>
      </c>
      <c r="N109" s="96">
        <v>6.3079937999327305</v>
      </c>
      <c r="O109" s="96">
        <v>6.1722530157738049</v>
      </c>
      <c r="P109" s="96">
        <v>6.047436372663169</v>
      </c>
      <c r="Q109" s="96">
        <v>7.227174023532001</v>
      </c>
      <c r="R109" s="96">
        <v>7.2997523988097228</v>
      </c>
      <c r="S109" s="96">
        <v>7.1669739347457586</v>
      </c>
      <c r="T109" s="96">
        <v>7.2876599161150182</v>
      </c>
      <c r="U109" s="96">
        <v>7.2338782663038055</v>
      </c>
      <c r="V109" s="96">
        <v>7.0758016638157804</v>
      </c>
      <c r="W109" s="96">
        <v>7.0199729636314707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1.4067222365919505</v>
      </c>
      <c r="P110" s="96">
        <v>1.407852280826998</v>
      </c>
      <c r="Q110" s="96">
        <v>1.422574696367529</v>
      </c>
      <c r="R110" s="96">
        <v>1.4158636456515312</v>
      </c>
      <c r="S110" s="96">
        <v>1.4131039468325515</v>
      </c>
      <c r="T110" s="96">
        <v>1.5715133023950301</v>
      </c>
      <c r="U110" s="96">
        <v>1.6605133513396739</v>
      </c>
      <c r="V110" s="96">
        <v>1.8380317468082765</v>
      </c>
      <c r="W110" s="96">
        <v>2.0827665665732527</v>
      </c>
      <c r="DA110" s="171" t="s">
        <v>881</v>
      </c>
    </row>
    <row r="111" spans="1:105" ht="11.45" customHeight="1" x14ac:dyDescent="0.25">
      <c r="A111" s="109" t="s">
        <v>158</v>
      </c>
      <c r="B111" s="130">
        <v>31.660370742084151</v>
      </c>
      <c r="C111" s="130">
        <v>31.553676299566856</v>
      </c>
      <c r="D111" s="130">
        <v>31.446606206580494</v>
      </c>
      <c r="E111" s="130">
        <v>31.316085929425384</v>
      </c>
      <c r="F111" s="130">
        <v>31.213164182739302</v>
      </c>
      <c r="G111" s="130">
        <v>30.970702518072411</v>
      </c>
      <c r="H111" s="130">
        <v>30.613351738813815</v>
      </c>
      <c r="I111" s="130">
        <v>30.392089838252172</v>
      </c>
      <c r="J111" s="130">
        <v>30.23548697847863</v>
      </c>
      <c r="K111" s="130">
        <v>29.363416742247285</v>
      </c>
      <c r="L111" s="130">
        <v>28.584496793720074</v>
      </c>
      <c r="M111" s="130">
        <v>28.38439202936112</v>
      </c>
      <c r="N111" s="130">
        <v>28.216775292783016</v>
      </c>
      <c r="O111" s="130">
        <v>28.041994101295273</v>
      </c>
      <c r="P111" s="130">
        <v>27.910239323493087</v>
      </c>
      <c r="Q111" s="130">
        <v>27.79692492267068</v>
      </c>
      <c r="R111" s="130">
        <v>27.645504323291593</v>
      </c>
      <c r="S111" s="130">
        <v>27.208331007408173</v>
      </c>
      <c r="T111" s="130">
        <v>26.532930028760319</v>
      </c>
      <c r="U111" s="130">
        <v>25.886826579706955</v>
      </c>
      <c r="V111" s="130">
        <v>25.51952391067336</v>
      </c>
      <c r="W111" s="130">
        <v>24.85615111591574</v>
      </c>
      <c r="DA111" s="176" t="s">
        <v>882</v>
      </c>
    </row>
    <row r="112" spans="1:105" ht="11.45" customHeight="1" x14ac:dyDescent="0.25">
      <c r="A112" s="128" t="s">
        <v>27</v>
      </c>
      <c r="B112" s="97">
        <v>31.394216066207214</v>
      </c>
      <c r="C112" s="97">
        <v>31.297037378700242</v>
      </c>
      <c r="D112" s="97">
        <v>31.201892912053005</v>
      </c>
      <c r="E112" s="97">
        <v>31.084152921444282</v>
      </c>
      <c r="F112" s="97">
        <v>30.974892669220861</v>
      </c>
      <c r="G112" s="97">
        <v>30.739632436428781</v>
      </c>
      <c r="H112" s="97">
        <v>30.391648053386071</v>
      </c>
      <c r="I112" s="97">
        <v>30.166442453394712</v>
      </c>
      <c r="J112" s="97">
        <v>29.989788232988879</v>
      </c>
      <c r="K112" s="97">
        <v>29.036772076936771</v>
      </c>
      <c r="L112" s="97">
        <v>28.344800857851951</v>
      </c>
      <c r="M112" s="97">
        <v>28.0998111053079</v>
      </c>
      <c r="N112" s="97">
        <v>27.90133938160055</v>
      </c>
      <c r="O112" s="97">
        <v>27.686048492503609</v>
      </c>
      <c r="P112" s="97">
        <v>27.588574348123913</v>
      </c>
      <c r="Q112" s="97">
        <v>27.514264245225409</v>
      </c>
      <c r="R112" s="97">
        <v>27.405655413699947</v>
      </c>
      <c r="S112" s="97">
        <v>26.991232880917252</v>
      </c>
      <c r="T112" s="97">
        <v>26.306769179180996</v>
      </c>
      <c r="U112" s="97">
        <v>25.654990713801315</v>
      </c>
      <c r="V112" s="97">
        <v>25.306501413640508</v>
      </c>
      <c r="W112" s="97">
        <v>24.639283624003969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36.286722407859173</v>
      </c>
      <c r="D113" s="98">
        <v>35.877250902294513</v>
      </c>
      <c r="E113" s="98">
        <v>35.522710340443055</v>
      </c>
      <c r="F113" s="98">
        <v>34.812993767430662</v>
      </c>
      <c r="G113" s="98">
        <v>34.43390604805866</v>
      </c>
      <c r="H113" s="98">
        <v>33.936976820093683</v>
      </c>
      <c r="I113" s="98">
        <v>33.433685509858648</v>
      </c>
      <c r="J113" s="98">
        <v>32.917941095764725</v>
      </c>
      <c r="K113" s="98">
        <v>32.340474587450807</v>
      </c>
      <c r="L113" s="98">
        <v>32.256591038005446</v>
      </c>
      <c r="M113" s="98">
        <v>31.914616283753897</v>
      </c>
      <c r="N113" s="98">
        <v>31.634301139336145</v>
      </c>
      <c r="O113" s="98">
        <v>31.276355043239729</v>
      </c>
      <c r="P113" s="98">
        <v>30.857704634611853</v>
      </c>
      <c r="Q113" s="98">
        <v>30.284527839974665</v>
      </c>
      <c r="R113" s="98">
        <v>29.643914804091708</v>
      </c>
      <c r="S113" s="98">
        <v>28.984899279044544</v>
      </c>
      <c r="T113" s="98">
        <v>28.550089107689171</v>
      </c>
      <c r="U113" s="98">
        <v>28.005303973031943</v>
      </c>
      <c r="V113" s="98">
        <v>27.680038134954327</v>
      </c>
      <c r="W113" s="98">
        <v>26.905735048257469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1.1276279352174923</v>
      </c>
      <c r="D117" s="150">
        <f>IF(TrRoad_act!D59=0,0,TrRoad_ene!D62/TrRoad_tech!D90)</f>
        <v>1.1282740473511248</v>
      </c>
      <c r="E117" s="150">
        <f>IF(TrRoad_act!E59=0,0,TrRoad_ene!E62/TrRoad_tech!E90)</f>
        <v>1.1294907092846351</v>
      </c>
      <c r="F117" s="150">
        <f>IF(TrRoad_act!F59=0,0,TrRoad_ene!F62/TrRoad_tech!F90)</f>
        <v>1.1324903326936908</v>
      </c>
      <c r="G117" s="150">
        <f>IF(TrRoad_act!G59=0,0,TrRoad_ene!G62/TrRoad_tech!G90)</f>
        <v>1.1353503432169032</v>
      </c>
      <c r="H117" s="150">
        <f>IF(TrRoad_act!H59=0,0,TrRoad_ene!H62/TrRoad_tech!H90)</f>
        <v>1.1387206893856541</v>
      </c>
      <c r="I117" s="150">
        <f>IF(TrRoad_act!I59=0,0,TrRoad_ene!I62/TrRoad_tech!I90)</f>
        <v>1.143192301336506</v>
      </c>
      <c r="J117" s="150">
        <f>IF(TrRoad_act!J59=0,0,TrRoad_ene!J62/TrRoad_tech!J90)</f>
        <v>1.1481061604017175</v>
      </c>
      <c r="K117" s="150">
        <f>IF(TrRoad_act!K59=0,0,TrRoad_ene!K62/TrRoad_tech!K90)</f>
        <v>1.1520353417883098</v>
      </c>
      <c r="L117" s="150">
        <f>IF(TrRoad_act!L59=0,0,TrRoad_ene!L62/TrRoad_tech!L90)</f>
        <v>1.1558392798441326</v>
      </c>
      <c r="M117" s="150">
        <f>IF(TrRoad_act!M59=0,0,TrRoad_ene!M62/TrRoad_tech!M90)</f>
        <v>1.158847117401562</v>
      </c>
      <c r="N117" s="150">
        <f>IF(TrRoad_act!N59=0,0,TrRoad_ene!N62/TrRoad_tech!N90)</f>
        <v>1.163500161484603</v>
      </c>
      <c r="O117" s="150">
        <f>IF(TrRoad_act!O59=0,0,TrRoad_ene!O62/TrRoad_tech!O90)</f>
        <v>1.1680408899012653</v>
      </c>
      <c r="P117" s="150">
        <f>IF(TrRoad_act!P59=0,0,TrRoad_ene!P62/TrRoad_tech!P90)</f>
        <v>1.17441798712217</v>
      </c>
      <c r="Q117" s="150">
        <f>IF(TrRoad_act!Q59=0,0,TrRoad_ene!Q62/TrRoad_tech!Q90)</f>
        <v>1.1829913743789366</v>
      </c>
      <c r="R117" s="150">
        <f>IF(TrRoad_act!R59=0,0,TrRoad_ene!R62/TrRoad_tech!R90)</f>
        <v>1.1933828164677009</v>
      </c>
      <c r="S117" s="150">
        <f>IF(TrRoad_act!S59=0,0,TrRoad_ene!S62/TrRoad_tech!S90)</f>
        <v>1.1997145416163546</v>
      </c>
      <c r="T117" s="150">
        <f>IF(TrRoad_act!T59=0,0,TrRoad_ene!T62/TrRoad_tech!T90)</f>
        <v>1.2092516635544386</v>
      </c>
      <c r="U117" s="150">
        <f>IF(TrRoad_act!U59=0,0,TrRoad_ene!U62/TrRoad_tech!U90)</f>
        <v>1.2203545974933829</v>
      </c>
      <c r="V117" s="150">
        <f>IF(TrRoad_act!V59=0,0,TrRoad_ene!V62/TrRoad_tech!V90)</f>
        <v>1.2310687637420363</v>
      </c>
      <c r="W117" s="150">
        <f>IF(TrRoad_act!W59=0,0,TrRoad_ene!W62/TrRoad_tech!W90)</f>
        <v>1.2318289694830074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0.92265325280020316</v>
      </c>
      <c r="C118" s="151">
        <f>IF(TrRoad_act!C60=0,0,TrRoad_ene!C63/TrRoad_tech!C91)</f>
        <v>0.92563851675422293</v>
      </c>
      <c r="D118" s="151">
        <f>IF(TrRoad_act!D60=0,0,TrRoad_ene!D63/TrRoad_tech!D91)</f>
        <v>0.93048551999831219</v>
      </c>
      <c r="E118" s="151">
        <f>IF(TrRoad_act!E60=0,0,TrRoad_ene!E63/TrRoad_tech!E91)</f>
        <v>0.94134864021250353</v>
      </c>
      <c r="F118" s="151">
        <f>IF(TrRoad_act!F60=0,0,TrRoad_ene!F63/TrRoad_tech!F91)</f>
        <v>0.95183572341655331</v>
      </c>
      <c r="G118" s="151">
        <f>IF(TrRoad_act!G60=0,0,TrRoad_ene!G63/TrRoad_tech!G91)</f>
        <v>0.90135397158126385</v>
      </c>
      <c r="H118" s="151">
        <f>IF(TrRoad_act!H60=0,0,TrRoad_ene!H63/TrRoad_tech!H91)</f>
        <v>0.95237109732187308</v>
      </c>
      <c r="I118" s="151">
        <f>IF(TrRoad_act!I60=0,0,TrRoad_ene!I63/TrRoad_tech!I91)</f>
        <v>0.95422569501533727</v>
      </c>
      <c r="J118" s="151">
        <f>IF(TrRoad_act!J60=0,0,TrRoad_ene!J63/TrRoad_tech!J91)</f>
        <v>0.95947374579954769</v>
      </c>
      <c r="K118" s="151">
        <f>IF(TrRoad_act!K60=0,0,TrRoad_ene!K63/TrRoad_tech!K91)</f>
        <v>0.90952692359059473</v>
      </c>
      <c r="L118" s="151">
        <f>IF(TrRoad_act!L60=0,0,TrRoad_ene!L63/TrRoad_tech!L91)</f>
        <v>0.91886381320130406</v>
      </c>
      <c r="M118" s="151">
        <f>IF(TrRoad_act!M60=0,0,TrRoad_ene!M63/TrRoad_tech!M91)</f>
        <v>0.95931913126769774</v>
      </c>
      <c r="N118" s="151">
        <f>IF(TrRoad_act!N60=0,0,TrRoad_ene!N63/TrRoad_tech!N91)</f>
        <v>0.9604398870570956</v>
      </c>
      <c r="O118" s="151">
        <f>IF(TrRoad_act!O60=0,0,TrRoad_ene!O63/TrRoad_tech!O91)</f>
        <v>0.94583655352497986</v>
      </c>
      <c r="P118" s="151">
        <f>IF(TrRoad_act!P60=0,0,TrRoad_ene!P63/TrRoad_tech!P91)</f>
        <v>0.96918866052585906</v>
      </c>
      <c r="Q118" s="151">
        <f>IF(TrRoad_act!Q60=0,0,TrRoad_ene!Q63/TrRoad_tech!Q91)</f>
        <v>0.97364116955441604</v>
      </c>
      <c r="R118" s="151">
        <f>IF(TrRoad_act!R60=0,0,TrRoad_ene!R63/TrRoad_tech!R91)</f>
        <v>0.99334206278084103</v>
      </c>
      <c r="S118" s="151">
        <f>IF(TrRoad_act!S60=0,0,TrRoad_ene!S63/TrRoad_tech!S91)</f>
        <v>1.0009788539902613</v>
      </c>
      <c r="T118" s="151">
        <f>IF(TrRoad_act!T60=0,0,TrRoad_ene!T63/TrRoad_tech!T91)</f>
        <v>1.0007158657341744</v>
      </c>
      <c r="U118" s="151">
        <f>IF(TrRoad_act!U60=0,0,TrRoad_ene!U63/TrRoad_tech!U91)</f>
        <v>1.0035061062927091</v>
      </c>
      <c r="V118" s="151">
        <f>IF(TrRoad_act!V60=0,0,TrRoad_ene!V63/TrRoad_tech!V91)</f>
        <v>0.98100270845495618</v>
      </c>
      <c r="W118" s="151">
        <f>IF(TrRoad_act!W60=0,0,TrRoad_ene!W63/TrRoad_tech!W91)</f>
        <v>1.0098352823529233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0.91023634248135843</v>
      </c>
      <c r="C119" s="91">
        <f>IF(TrRoad_act!C61=0,0,TrRoad_ene!C64/TrRoad_tech!C92)</f>
        <v>0.91638281620095574</v>
      </c>
      <c r="D119" s="91">
        <f>IF(TrRoad_act!D61=0,0,TrRoad_ene!D64/TrRoad_tech!D92)</f>
        <v>0.92226060683046662</v>
      </c>
      <c r="E119" s="91">
        <f>IF(TrRoad_act!E61=0,0,TrRoad_ene!E64/TrRoad_tech!E92)</f>
        <v>0.92508569990138168</v>
      </c>
      <c r="F119" s="91">
        <f>IF(TrRoad_act!F61=0,0,TrRoad_ene!F64/TrRoad_tech!F92)</f>
        <v>0.94064920053258361</v>
      </c>
      <c r="G119" s="91">
        <f>IF(TrRoad_act!G61=0,0,TrRoad_ene!G64/TrRoad_tech!G92)</f>
        <v>0.87160359028834289</v>
      </c>
      <c r="H119" s="91">
        <f>IF(TrRoad_act!H61=0,0,TrRoad_ene!H64/TrRoad_tech!H92)</f>
        <v>0.94115476942976972</v>
      </c>
      <c r="I119" s="91">
        <f>IF(TrRoad_act!I61=0,0,TrRoad_ene!I64/TrRoad_tech!I92)</f>
        <v>0.94424610271415643</v>
      </c>
      <c r="J119" s="91">
        <f>IF(TrRoad_act!J61=0,0,TrRoad_ene!J64/TrRoad_tech!J92)</f>
        <v>0.94480953149060931</v>
      </c>
      <c r="K119" s="91">
        <f>IF(TrRoad_act!K61=0,0,TrRoad_ene!K64/TrRoad_tech!K92)</f>
        <v>0.87994362059104014</v>
      </c>
      <c r="L119" s="91">
        <f>IF(TrRoad_act!L61=0,0,TrRoad_ene!L64/TrRoad_tech!L92)</f>
        <v>0.88980395257708289</v>
      </c>
      <c r="M119" s="91">
        <f>IF(TrRoad_act!M61=0,0,TrRoad_ene!M64/TrRoad_tech!M92)</f>
        <v>0.96393684333215268</v>
      </c>
      <c r="N119" s="91">
        <f>IF(TrRoad_act!N61=0,0,TrRoad_ene!N64/TrRoad_tech!N92)</f>
        <v>0.96714294891532326</v>
      </c>
      <c r="O119" s="91">
        <f>IF(TrRoad_act!O61=0,0,TrRoad_ene!O64/TrRoad_tech!O92)</f>
        <v>0.9648869256345145</v>
      </c>
      <c r="P119" s="91">
        <f>IF(TrRoad_act!P61=0,0,TrRoad_ene!P64/TrRoad_tech!P92)</f>
        <v>0.97600549430646444</v>
      </c>
      <c r="Q119" s="91">
        <f>IF(TrRoad_act!Q61=0,0,TrRoad_ene!Q64/TrRoad_tech!Q92)</f>
        <v>0.98024124101587029</v>
      </c>
      <c r="R119" s="91">
        <f>IF(TrRoad_act!R61=0,0,TrRoad_ene!R64/TrRoad_tech!R92)</f>
        <v>1.0220668335149374</v>
      </c>
      <c r="S119" s="91">
        <f>IF(TrRoad_act!S61=0,0,TrRoad_ene!S64/TrRoad_tech!S92)</f>
        <v>1.0423166761778251</v>
      </c>
      <c r="T119" s="91">
        <f>IF(TrRoad_act!T61=0,0,TrRoad_ene!T64/TrRoad_tech!T92)</f>
        <v>1.046066762097043</v>
      </c>
      <c r="U119" s="91">
        <f>IF(TrRoad_act!U61=0,0,TrRoad_ene!U64/TrRoad_tech!U92)</f>
        <v>1.0504565369350647</v>
      </c>
      <c r="V119" s="91">
        <f>IF(TrRoad_act!V61=0,0,TrRoad_ene!V64/TrRoad_tech!V92)</f>
        <v>1.0138561414586442</v>
      </c>
      <c r="W119" s="91">
        <f>IF(TrRoad_act!W61=0,0,TrRoad_ene!W64/TrRoad_tech!W92)</f>
        <v>1.0551136642505352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1.0334752154557552</v>
      </c>
      <c r="C120" s="91">
        <f>IF(TrRoad_act!C62=0,0,TrRoad_ene!C65/TrRoad_tech!C93)</f>
        <v>1.0387741307367535</v>
      </c>
      <c r="D120" s="91">
        <f>IF(TrRoad_act!D62=0,0,TrRoad_ene!D65/TrRoad_tech!D93)</f>
        <v>1.0469993877515522</v>
      </c>
      <c r="E120" s="91">
        <f>IF(TrRoad_act!E62=0,0,TrRoad_ene!E65/TrRoad_tech!E93)</f>
        <v>1.0564441932784994</v>
      </c>
      <c r="F120" s="91">
        <f>IF(TrRoad_act!F62=0,0,TrRoad_ene!F65/TrRoad_tech!F93)</f>
        <v>1.0521243535336311</v>
      </c>
      <c r="G120" s="91">
        <f>IF(TrRoad_act!G62=0,0,TrRoad_ene!G65/TrRoad_tech!G93)</f>
        <v>1.1277656742372206</v>
      </c>
      <c r="H120" s="91">
        <f>IF(TrRoad_act!H62=0,0,TrRoad_ene!H65/TrRoad_tech!H93)</f>
        <v>1.0692645953513149</v>
      </c>
      <c r="I120" s="91">
        <f>IF(TrRoad_act!I62=0,0,TrRoad_ene!I65/TrRoad_tech!I93)</f>
        <v>1.0698204864401752</v>
      </c>
      <c r="J120" s="91">
        <f>IF(TrRoad_act!J62=0,0,TrRoad_ene!J65/TrRoad_tech!J93)</f>
        <v>1.0743559827294493</v>
      </c>
      <c r="K120" s="91">
        <f>IF(TrRoad_act!K62=0,0,TrRoad_ene!K65/TrRoad_tech!K93)</f>
        <v>1.0612519609213973</v>
      </c>
      <c r="L120" s="91">
        <f>IF(TrRoad_act!L62=0,0,TrRoad_ene!L65/TrRoad_tech!L93)</f>
        <v>1.0517450821454579</v>
      </c>
      <c r="M120" s="91">
        <f>IF(TrRoad_act!M62=0,0,TrRoad_ene!M65/TrRoad_tech!M93)</f>
        <v>1.0155549323671944</v>
      </c>
      <c r="N120" s="91">
        <f>IF(TrRoad_act!N62=0,0,TrRoad_ene!N65/TrRoad_tech!N93)</f>
        <v>1.0276736070167076</v>
      </c>
      <c r="O120" s="91">
        <f>IF(TrRoad_act!O62=0,0,TrRoad_ene!O65/TrRoad_tech!O93)</f>
        <v>0.98420555463365234</v>
      </c>
      <c r="P120" s="91">
        <f>IF(TrRoad_act!P62=0,0,TrRoad_ene!P65/TrRoad_tech!P93)</f>
        <v>1.0396849860385495</v>
      </c>
      <c r="Q120" s="91">
        <f>IF(TrRoad_act!Q62=0,0,TrRoad_ene!Q65/TrRoad_tech!Q93)</f>
        <v>1.0590913285001573</v>
      </c>
      <c r="R120" s="91">
        <f>IF(TrRoad_act!R62=0,0,TrRoad_ene!R65/TrRoad_tech!R93)</f>
        <v>1.0607086967426813</v>
      </c>
      <c r="S120" s="91">
        <f>IF(TrRoad_act!S62=0,0,TrRoad_ene!S65/TrRoad_tech!S93)</f>
        <v>1.0616002122948456</v>
      </c>
      <c r="T120" s="91">
        <f>IF(TrRoad_act!T62=0,0,TrRoad_ene!T65/TrRoad_tech!T93)</f>
        <v>1.0667775487864257</v>
      </c>
      <c r="U120" s="91">
        <f>IF(TrRoad_act!U62=0,0,TrRoad_ene!U65/TrRoad_tech!U93)</f>
        <v>1.0744206966215031</v>
      </c>
      <c r="V120" s="91">
        <f>IF(TrRoad_act!V62=0,0,TrRoad_ene!V65/TrRoad_tech!V93)</f>
        <v>1.0634422287739542</v>
      </c>
      <c r="W120" s="91">
        <f>IF(TrRoad_act!W62=0,0,TrRoad_ene!W65/TrRoad_tech!W93)</f>
        <v>1.0801164278860371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1.1782777597733491</v>
      </c>
      <c r="D121" s="91">
        <f>IF(TrRoad_act!D63=0,0,TrRoad_ene!D66/TrRoad_tech!D94)</f>
        <v>1.1740025714412927</v>
      </c>
      <c r="E121" s="91">
        <f>IF(TrRoad_act!E63=0,0,TrRoad_ene!E66/TrRoad_tech!E94)</f>
        <v>1.3850760982335466</v>
      </c>
      <c r="F121" s="91">
        <f>IF(TrRoad_act!F63=0,0,TrRoad_ene!F66/TrRoad_tech!F94)</f>
        <v>1.3183882688914021</v>
      </c>
      <c r="G121" s="91">
        <f>IF(TrRoad_act!G63=0,0,TrRoad_ene!G66/TrRoad_tech!G94)</f>
        <v>1.040846683640563</v>
      </c>
      <c r="H121" s="91">
        <f>IF(TrRoad_act!H63=0,0,TrRoad_ene!H66/TrRoad_tech!H94)</f>
        <v>1.1407272179925265</v>
      </c>
      <c r="I121" s="91">
        <f>IF(TrRoad_act!I63=0,0,TrRoad_ene!I66/TrRoad_tech!I94)</f>
        <v>1.025321290483906</v>
      </c>
      <c r="J121" s="91">
        <f>IF(TrRoad_act!J63=0,0,TrRoad_ene!J66/TrRoad_tech!J94)</f>
        <v>1.0028271232263728</v>
      </c>
      <c r="K121" s="91">
        <f>IF(TrRoad_act!K63=0,0,TrRoad_ene!K66/TrRoad_tech!K94)</f>
        <v>0.98924552760698647</v>
      </c>
      <c r="L121" s="91">
        <f>IF(TrRoad_act!L63=0,0,TrRoad_ene!L66/TrRoad_tech!L94)</f>
        <v>1.1765883952627334</v>
      </c>
      <c r="M121" s="91">
        <f>IF(TrRoad_act!M63=0,0,TrRoad_ene!M66/TrRoad_tech!M94)</f>
        <v>1.2830371110098853</v>
      </c>
      <c r="N121" s="91">
        <f>IF(TrRoad_act!N63=0,0,TrRoad_ene!N66/TrRoad_tech!N94)</f>
        <v>0.90539960683828213</v>
      </c>
      <c r="O121" s="91">
        <f>IF(TrRoad_act!O63=0,0,TrRoad_ene!O66/TrRoad_tech!O94)</f>
        <v>1.1528458263338492</v>
      </c>
      <c r="P121" s="91">
        <f>IF(TrRoad_act!P63=0,0,TrRoad_ene!P66/TrRoad_tech!P94)</f>
        <v>0.96259360855749154</v>
      </c>
      <c r="Q121" s="91">
        <f>IF(TrRoad_act!Q63=0,0,TrRoad_ene!Q66/TrRoad_tech!Q94)</f>
        <v>0.8877720463687967</v>
      </c>
      <c r="R121" s="91">
        <f>IF(TrRoad_act!R63=0,0,TrRoad_ene!R66/TrRoad_tech!R94)</f>
        <v>0.78279552188642099</v>
      </c>
      <c r="S121" s="91">
        <f>IF(TrRoad_act!S63=0,0,TrRoad_ene!S66/TrRoad_tech!S94)</f>
        <v>0.76586599644725784</v>
      </c>
      <c r="T121" s="91">
        <f>IF(TrRoad_act!T63=0,0,TrRoad_ene!T66/TrRoad_tech!T94)</f>
        <v>0.70129707634671734</v>
      </c>
      <c r="U121" s="91">
        <f>IF(TrRoad_act!U63=0,0,TrRoad_ene!U66/TrRoad_tech!U94)</f>
        <v>0.63883442180217276</v>
      </c>
      <c r="V121" s="91">
        <f>IF(TrRoad_act!V63=0,0,TrRoad_ene!V66/TrRoad_tech!V94)</f>
        <v>0.62989086191184318</v>
      </c>
      <c r="W121" s="91">
        <f>IF(TrRoad_act!W63=0,0,TrRoad_ene!W66/TrRoad_tech!W94)</f>
        <v>0.86326972935538648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1.0555555555604399</v>
      </c>
      <c r="M122" s="91">
        <f>IF(TrRoad_act!M64=0,0,TrRoad_ene!M67/TrRoad_tech!M95)</f>
        <v>1.06037037037527</v>
      </c>
      <c r="N122" s="91">
        <f>IF(TrRoad_act!N64=0,0,TrRoad_ene!N67/TrRoad_tech!N95)</f>
        <v>1.0655555555606802</v>
      </c>
      <c r="O122" s="91">
        <f>IF(TrRoad_act!O64=0,0,TrRoad_ene!O67/TrRoad_tech!O95)</f>
        <v>1.0710771241657626</v>
      </c>
      <c r="P122" s="91">
        <f>IF(TrRoad_act!P64=0,0,TrRoad_ene!P67/TrRoad_tech!P95)</f>
        <v>1.0734229060792733</v>
      </c>
      <c r="Q122" s="91">
        <f>IF(TrRoad_act!Q64=0,0,TrRoad_ene!Q67/TrRoad_tech!Q95)</f>
        <v>1.0787201929288925</v>
      </c>
      <c r="R122" s="91">
        <f>IF(TrRoad_act!R64=0,0,TrRoad_ene!R67/TrRoad_tech!R95)</f>
        <v>1.0796487650835982</v>
      </c>
      <c r="S122" s="91">
        <f>IF(TrRoad_act!S64=0,0,TrRoad_ene!S67/TrRoad_tech!S95)</f>
        <v>1.0810014298715465</v>
      </c>
      <c r="T122" s="91">
        <f>IF(TrRoad_act!T64=0,0,TrRoad_ene!T67/TrRoad_tech!T95)</f>
        <v>1.0819491864523454</v>
      </c>
      <c r="U122" s="91">
        <f>IF(TrRoad_act!U64=0,0,TrRoad_ene!U67/TrRoad_tech!U95)</f>
        <v>1.0821199649142579</v>
      </c>
      <c r="V122" s="91">
        <f>IF(TrRoad_act!V64=0,0,TrRoad_ene!V67/TrRoad_tech!V95)</f>
        <v>1.0822207944694222</v>
      </c>
      <c r="W122" s="91">
        <f>IF(TrRoad_act!W64=0,0,TrRoad_ene!W67/TrRoad_tech!W95)</f>
        <v>1.0823070678382918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1.0225086308729063</v>
      </c>
      <c r="O123" s="91">
        <f>IF(TrRoad_act!O65=0,0,TrRoad_ene!O68/TrRoad_tech!O96)</f>
        <v>1.0205031848489241</v>
      </c>
      <c r="P123" s="91">
        <f>IF(TrRoad_act!P65=0,0,TrRoad_ene!P68/TrRoad_tech!P96)</f>
        <v>1.0357084399311562</v>
      </c>
      <c r="Q123" s="91">
        <f>IF(TrRoad_act!Q65=0,0,TrRoad_ene!Q68/TrRoad_tech!Q96)</f>
        <v>1.0491119713749093</v>
      </c>
      <c r="R123" s="91">
        <f>IF(TrRoad_act!R65=0,0,TrRoad_ene!R68/TrRoad_tech!R96)</f>
        <v>1.0781063095738297</v>
      </c>
      <c r="S123" s="91">
        <f>IF(TrRoad_act!S65=0,0,TrRoad_ene!S68/TrRoad_tech!S96)</f>
        <v>1.0908921603261412</v>
      </c>
      <c r="T123" s="91">
        <f>IF(TrRoad_act!T65=0,0,TrRoad_ene!T68/TrRoad_tech!T96)</f>
        <v>1.0929671197144821</v>
      </c>
      <c r="U123" s="91">
        <f>IF(TrRoad_act!U65=0,0,TrRoad_ene!U68/TrRoad_tech!U96)</f>
        <v>1.0948639126912634</v>
      </c>
      <c r="V123" s="91">
        <f>IF(TrRoad_act!V65=0,0,TrRoad_ene!V68/TrRoad_tech!V96)</f>
        <v>1.0746436639485919</v>
      </c>
      <c r="W123" s="91">
        <f>IF(TrRoad_act!W65=0,0,TrRoad_ene!W68/TrRoad_tech!W96)</f>
        <v>1.097633131827308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1.0555555555604399</v>
      </c>
      <c r="M124" s="91">
        <f>IF(TrRoad_act!M66=0,0,TrRoad_ene!M69/TrRoad_tech!M97)</f>
        <v>1.0587691701039932</v>
      </c>
      <c r="N124" s="91">
        <f>IF(TrRoad_act!N66=0,0,TrRoad_ene!N69/TrRoad_tech!N97)</f>
        <v>1.0589418578023</v>
      </c>
      <c r="O124" s="91">
        <f>IF(TrRoad_act!O66=0,0,TrRoad_ene!O69/TrRoad_tech!O97)</f>
        <v>1.0592379851137455</v>
      </c>
      <c r="P124" s="91">
        <f>IF(TrRoad_act!P66=0,0,TrRoad_ene!P69/TrRoad_tech!P97)</f>
        <v>1.0603532636902555</v>
      </c>
      <c r="Q124" s="91">
        <f>IF(TrRoad_act!Q66=0,0,TrRoad_ene!Q69/TrRoad_tech!Q97)</f>
        <v>1.0652646195755473</v>
      </c>
      <c r="R124" s="91">
        <f>IF(TrRoad_act!R66=0,0,TrRoad_ene!R69/TrRoad_tech!R97)</f>
        <v>1.0716790127486326</v>
      </c>
      <c r="S124" s="91">
        <f>IF(TrRoad_act!S66=0,0,TrRoad_ene!S69/TrRoad_tech!S97)</f>
        <v>1.0838201776233276</v>
      </c>
      <c r="T124" s="91">
        <f>IF(TrRoad_act!T66=0,0,TrRoad_ene!T69/TrRoad_tech!T97)</f>
        <v>1.0890272992356917</v>
      </c>
      <c r="U124" s="91">
        <f>IF(TrRoad_act!U66=0,0,TrRoad_ene!U69/TrRoad_tech!U97)</f>
        <v>1.0928150373243608</v>
      </c>
      <c r="V124" s="91">
        <f>IF(TrRoad_act!V66=0,0,TrRoad_ene!V69/TrRoad_tech!V97)</f>
        <v>1.0951028741038729</v>
      </c>
      <c r="W124" s="91">
        <f>IF(TrRoad_act!W66=0,0,TrRoad_ene!W69/TrRoad_tech!W97)</f>
        <v>1.0968346114184957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1.1684157354631137</v>
      </c>
      <c r="C125" s="151">
        <f>IF(TrRoad_act!C67=0,0,TrRoad_ene!C70/TrRoad_tech!C98)</f>
        <v>1.1771906648445567</v>
      </c>
      <c r="D125" s="151">
        <f>IF(TrRoad_act!D67=0,0,TrRoad_ene!D70/TrRoad_tech!D98)</f>
        <v>1.2180676065235254</v>
      </c>
      <c r="E125" s="151">
        <f>IF(TrRoad_act!E67=0,0,TrRoad_ene!E70/TrRoad_tech!E98)</f>
        <v>1.2315368353526897</v>
      </c>
      <c r="F125" s="151">
        <f>IF(TrRoad_act!F67=0,0,TrRoad_ene!F70/TrRoad_tech!F98)</f>
        <v>1.2332899324431421</v>
      </c>
      <c r="G125" s="151">
        <f>IF(TrRoad_act!G67=0,0,TrRoad_ene!G70/TrRoad_tech!G98)</f>
        <v>1.2884708880005458</v>
      </c>
      <c r="H125" s="151">
        <f>IF(TrRoad_act!H67=0,0,TrRoad_ene!H70/TrRoad_tech!H98)</f>
        <v>1.2878478138054592</v>
      </c>
      <c r="I125" s="151">
        <f>IF(TrRoad_act!I67=0,0,TrRoad_ene!I70/TrRoad_tech!I98)</f>
        <v>1.246254604556839</v>
      </c>
      <c r="J125" s="151">
        <f>IF(TrRoad_act!J67=0,0,TrRoad_ene!J70/TrRoad_tech!J98)</f>
        <v>1.2758369260758173</v>
      </c>
      <c r="K125" s="151">
        <f>IF(TrRoad_act!K67=0,0,TrRoad_ene!K70/TrRoad_tech!K98)</f>
        <v>1.2571609844719687</v>
      </c>
      <c r="L125" s="151">
        <f>IF(TrRoad_act!L67=0,0,TrRoad_ene!L70/TrRoad_tech!L98)</f>
        <v>1.2687249488284045</v>
      </c>
      <c r="M125" s="151">
        <f>IF(TrRoad_act!M67=0,0,TrRoad_ene!M70/TrRoad_tech!M98)</f>
        <v>1.2025688020692302</v>
      </c>
      <c r="N125" s="151">
        <f>IF(TrRoad_act!N67=0,0,TrRoad_ene!N70/TrRoad_tech!N98)</f>
        <v>1.1825995680859895</v>
      </c>
      <c r="O125" s="151">
        <f>IF(TrRoad_act!O67=0,0,TrRoad_ene!O70/TrRoad_tech!O98)</f>
        <v>1.1168683665867738</v>
      </c>
      <c r="P125" s="151">
        <f>IF(TrRoad_act!P67=0,0,TrRoad_ene!P70/TrRoad_tech!P98)</f>
        <v>1.2351926697491915</v>
      </c>
      <c r="Q125" s="151">
        <f>IF(TrRoad_act!Q67=0,0,TrRoad_ene!Q70/TrRoad_tech!Q98)</f>
        <v>1.2991630510541523</v>
      </c>
      <c r="R125" s="151">
        <f>IF(TrRoad_act!R67=0,0,TrRoad_ene!R70/TrRoad_tech!R98)</f>
        <v>1.2678460513984517</v>
      </c>
      <c r="S125" s="151">
        <f>IF(TrRoad_act!S67=0,0,TrRoad_ene!S70/TrRoad_tech!S98)</f>
        <v>1.2862335472067301</v>
      </c>
      <c r="T125" s="151">
        <f>IF(TrRoad_act!T67=0,0,TrRoad_ene!T70/TrRoad_tech!T98)</f>
        <v>1.3080763466402621</v>
      </c>
      <c r="U125" s="151">
        <f>IF(TrRoad_act!U67=0,0,TrRoad_ene!U70/TrRoad_tech!U98)</f>
        <v>1.3084596383153555</v>
      </c>
      <c r="V125" s="151">
        <f>IF(TrRoad_act!V67=0,0,TrRoad_ene!V70/TrRoad_tech!V98)</f>
        <v>1.2482958413724401</v>
      </c>
      <c r="W125" s="151">
        <f>IF(TrRoad_act!W67=0,0,TrRoad_ene!W70/TrRoad_tech!W98)</f>
        <v>1.3005245518082549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1.1000000000067303</v>
      </c>
      <c r="D126" s="93">
        <f>IF(TrRoad_act!D68=0,0,TrRoad_ene!D71/TrRoad_tech!D99)</f>
        <v>1.1000000000067303</v>
      </c>
      <c r="E126" s="93">
        <f>IF(TrRoad_act!E68=0,0,TrRoad_ene!E71/TrRoad_tech!E99)</f>
        <v>1.1000000000067303</v>
      </c>
      <c r="F126" s="93">
        <f>IF(TrRoad_act!F68=0,0,TrRoad_ene!F71/TrRoad_tech!F99)</f>
        <v>1.1000449786729312</v>
      </c>
      <c r="G126" s="93">
        <f>IF(TrRoad_act!G68=0,0,TrRoad_ene!G71/TrRoad_tech!G99)</f>
        <v>1.1000875200627178</v>
      </c>
      <c r="H126" s="93">
        <f>IF(TrRoad_act!H68=0,0,TrRoad_ene!H71/TrRoad_tech!H99)</f>
        <v>1.1001007855717531</v>
      </c>
      <c r="I126" s="93">
        <f>IF(TrRoad_act!I68=0,0,TrRoad_ene!I71/TrRoad_tech!I99)</f>
        <v>1.100202498416232</v>
      </c>
      <c r="J126" s="93">
        <f>IF(TrRoad_act!J68=0,0,TrRoad_ene!J71/TrRoad_tech!J99)</f>
        <v>1.1010840432096287</v>
      </c>
      <c r="K126" s="93">
        <f>IF(TrRoad_act!K68=0,0,TrRoad_ene!K71/TrRoad_tech!K99)</f>
        <v>1.1013780577717054</v>
      </c>
      <c r="L126" s="93">
        <f>IF(TrRoad_act!L68=0,0,TrRoad_ene!L71/TrRoad_tech!L99)</f>
        <v>1.1027084118643351</v>
      </c>
      <c r="M126" s="93">
        <f>IF(TrRoad_act!M68=0,0,TrRoad_ene!M71/TrRoad_tech!M99)</f>
        <v>1.106022533440695</v>
      </c>
      <c r="N126" s="93">
        <f>IF(TrRoad_act!N68=0,0,TrRoad_ene!N71/TrRoad_tech!N99)</f>
        <v>1.1099980157876199</v>
      </c>
      <c r="O126" s="93">
        <f>IF(TrRoad_act!O68=0,0,TrRoad_ene!O71/TrRoad_tech!O99)</f>
        <v>1.1102481590428768</v>
      </c>
      <c r="P126" s="93">
        <f>IF(TrRoad_act!P68=0,0,TrRoad_ene!P71/TrRoad_tech!P99)</f>
        <v>1.1118798625519093</v>
      </c>
      <c r="Q126" s="93">
        <f>IF(TrRoad_act!Q68=0,0,TrRoad_ene!Q71/TrRoad_tech!Q99)</f>
        <v>1.115345520707451</v>
      </c>
      <c r="R126" s="93">
        <f>IF(TrRoad_act!R68=0,0,TrRoad_ene!R71/TrRoad_tech!R99)</f>
        <v>1.122178857385387</v>
      </c>
      <c r="S126" s="93">
        <f>IF(TrRoad_act!S68=0,0,TrRoad_ene!S71/TrRoad_tech!S99)</f>
        <v>1.1265593161972007</v>
      </c>
      <c r="T126" s="93">
        <f>IF(TrRoad_act!T68=0,0,TrRoad_ene!T71/TrRoad_tech!T99)</f>
        <v>1.1296640360559818</v>
      </c>
      <c r="U126" s="93">
        <f>IF(TrRoad_act!U68=0,0,TrRoad_ene!U71/TrRoad_tech!U99)</f>
        <v>1.1299489221450891</v>
      </c>
      <c r="V126" s="93">
        <f>IF(TrRoad_act!V68=0,0,TrRoad_ene!V71/TrRoad_tech!V99)</f>
        <v>1.1470858689938439</v>
      </c>
      <c r="W126" s="93">
        <f>IF(TrRoad_act!W68=0,0,TrRoad_ene!W71/TrRoad_tech!W99)</f>
        <v>1.1479552620896922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1.1068808448824052</v>
      </c>
      <c r="C127" s="93">
        <f>IF(TrRoad_act!C69=0,0,TrRoad_ene!C72/TrRoad_tech!C100)</f>
        <v>1.1330500872261036</v>
      </c>
      <c r="D127" s="93">
        <f>IF(TrRoad_act!D69=0,0,TrRoad_ene!D72/TrRoad_tech!D100)</f>
        <v>1.185664175371367</v>
      </c>
      <c r="E127" s="93">
        <f>IF(TrRoad_act!E69=0,0,TrRoad_ene!E72/TrRoad_tech!E100)</f>
        <v>1.2086842487292269</v>
      </c>
      <c r="F127" s="93">
        <f>IF(TrRoad_act!F69=0,0,TrRoad_ene!F72/TrRoad_tech!F100)</f>
        <v>1.2169642102038616</v>
      </c>
      <c r="G127" s="93">
        <f>IF(TrRoad_act!G69=0,0,TrRoad_ene!G72/TrRoad_tech!G100)</f>
        <v>1.2769807925104206</v>
      </c>
      <c r="H127" s="93">
        <f>IF(TrRoad_act!H69=0,0,TrRoad_ene!H72/TrRoad_tech!H100)</f>
        <v>1.2826484531447249</v>
      </c>
      <c r="I127" s="93">
        <f>IF(TrRoad_act!I69=0,0,TrRoad_ene!I72/TrRoad_tech!I100)</f>
        <v>1.2439082528699716</v>
      </c>
      <c r="J127" s="93">
        <f>IF(TrRoad_act!J69=0,0,TrRoad_ene!J72/TrRoad_tech!J100)</f>
        <v>1.2699800439139661</v>
      </c>
      <c r="K127" s="93">
        <f>IF(TrRoad_act!K69=0,0,TrRoad_ene!K72/TrRoad_tech!K100)</f>
        <v>1.2550255206161396</v>
      </c>
      <c r="L127" s="93">
        <f>IF(TrRoad_act!L69=0,0,TrRoad_ene!L72/TrRoad_tech!L100)</f>
        <v>1.2692249455261262</v>
      </c>
      <c r="M127" s="93">
        <f>IF(TrRoad_act!M69=0,0,TrRoad_ene!M72/TrRoad_tech!M100)</f>
        <v>1.2034619318239321</v>
      </c>
      <c r="N127" s="93">
        <f>IF(TrRoad_act!N69=0,0,TrRoad_ene!N72/TrRoad_tech!N100)</f>
        <v>1.1831723492586956</v>
      </c>
      <c r="O127" s="93">
        <f>IF(TrRoad_act!O69=0,0,TrRoad_ene!O72/TrRoad_tech!O100)</f>
        <v>1.1180116068345594</v>
      </c>
      <c r="P127" s="93">
        <f>IF(TrRoad_act!P69=0,0,TrRoad_ene!P72/TrRoad_tech!P100)</f>
        <v>1.237941308655923</v>
      </c>
      <c r="Q127" s="93">
        <f>IF(TrRoad_act!Q69=0,0,TrRoad_ene!Q72/TrRoad_tech!Q100)</f>
        <v>1.3050229754117997</v>
      </c>
      <c r="R127" s="93">
        <f>IF(TrRoad_act!R69=0,0,TrRoad_ene!R72/TrRoad_tech!R100)</f>
        <v>1.2721108563826971</v>
      </c>
      <c r="S127" s="93">
        <f>IF(TrRoad_act!S69=0,0,TrRoad_ene!S72/TrRoad_tech!S100)</f>
        <v>1.2941534646381563</v>
      </c>
      <c r="T127" s="93">
        <f>IF(TrRoad_act!T69=0,0,TrRoad_ene!T72/TrRoad_tech!T100)</f>
        <v>1.3153542955831248</v>
      </c>
      <c r="U127" s="93">
        <f>IF(TrRoad_act!U69=0,0,TrRoad_ene!U72/TrRoad_tech!U100)</f>
        <v>1.316410593909707</v>
      </c>
      <c r="V127" s="93">
        <f>IF(TrRoad_act!V69=0,0,TrRoad_ene!V72/TrRoad_tech!V100)</f>
        <v>1.2533590352426274</v>
      </c>
      <c r="W127" s="93">
        <f>IF(TrRoad_act!W69=0,0,TrRoad_ene!W72/TrRoad_tech!W100)</f>
        <v>1.307641357236565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1.2773333333398111</v>
      </c>
      <c r="Q128" s="93">
        <f>IF(TrRoad_act!Q70=0,0,TrRoad_ene!Q73/TrRoad_tech!Q101)</f>
        <v>1.2773333333398114</v>
      </c>
      <c r="R128" s="93">
        <f>IF(TrRoad_act!R70=0,0,TrRoad_ene!R73/TrRoad_tech!R101)</f>
        <v>1.2979060638557405</v>
      </c>
      <c r="S128" s="93">
        <f>IF(TrRoad_act!S70=0,0,TrRoad_ene!S73/TrRoad_tech!S101)</f>
        <v>1.2979060638557409</v>
      </c>
      <c r="T128" s="93">
        <f>IF(TrRoad_act!T70=0,0,TrRoad_ene!T73/TrRoad_tech!T101)</f>
        <v>1.2979060638557407</v>
      </c>
      <c r="U128" s="93">
        <f>IF(TrRoad_act!U70=0,0,TrRoad_ene!U73/TrRoad_tech!U101)</f>
        <v>1.2979060638557405</v>
      </c>
      <c r="V128" s="93">
        <f>IF(TrRoad_act!V70=0,0,TrRoad_ene!V73/TrRoad_tech!V101)</f>
        <v>1.2979060638557409</v>
      </c>
      <c r="W128" s="93">
        <f>IF(TrRoad_act!W70=0,0,TrRoad_ene!W73/TrRoad_tech!W101)</f>
        <v>1.2979060638557409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1.0539765342057072</v>
      </c>
      <c r="C129" s="93">
        <f>IF(TrRoad_act!C71=0,0,TrRoad_ene!C74/TrRoad_tech!C102)</f>
        <v>1.0980746883723176</v>
      </c>
      <c r="D129" s="93">
        <f>IF(TrRoad_act!D71=0,0,TrRoad_ene!D74/TrRoad_tech!D102)</f>
        <v>1.0851003177484122</v>
      </c>
      <c r="E129" s="93">
        <f>IF(TrRoad_act!E71=0,0,TrRoad_ene!E74/TrRoad_tech!E102)</f>
        <v>1.0884525035144106</v>
      </c>
      <c r="F129" s="93">
        <f>IF(TrRoad_act!F71=0,0,TrRoad_ene!F74/TrRoad_tech!F102)</f>
        <v>1.0709245037051394</v>
      </c>
      <c r="G129" s="93">
        <f>IF(TrRoad_act!G71=0,0,TrRoad_ene!G74/TrRoad_tech!G102)</f>
        <v>1.2696418533726175</v>
      </c>
      <c r="H129" s="93">
        <f>IF(TrRoad_act!H71=0,0,TrRoad_ene!H74/TrRoad_tech!H102)</f>
        <v>1.3480969084916488</v>
      </c>
      <c r="I129" s="93">
        <f>IF(TrRoad_act!I71=0,0,TrRoad_ene!I74/TrRoad_tech!I102)</f>
        <v>1.2167923358223243</v>
      </c>
      <c r="J129" s="93">
        <f>IF(TrRoad_act!J71=0,0,TrRoad_ene!J74/TrRoad_tech!J102)</f>
        <v>1.2216367509399719</v>
      </c>
      <c r="K129" s="93">
        <f>IF(TrRoad_act!K71=0,0,TrRoad_ene!K74/TrRoad_tech!K102)</f>
        <v>1.1208090446173269</v>
      </c>
      <c r="L129" s="93">
        <f>IF(TrRoad_act!L71=0,0,TrRoad_ene!L74/TrRoad_tech!L102)</f>
        <v>1.1171027749560873</v>
      </c>
      <c r="M129" s="93">
        <f>IF(TrRoad_act!M71=0,0,TrRoad_ene!M74/TrRoad_tech!M102)</f>
        <v>1.3365525554021509</v>
      </c>
      <c r="N129" s="93">
        <f>IF(TrRoad_act!N71=0,0,TrRoad_ene!N74/TrRoad_tech!N102)</f>
        <v>1.1805956600603946</v>
      </c>
      <c r="O129" s="93">
        <f>IF(TrRoad_act!O71=0,0,TrRoad_ene!O74/TrRoad_tech!O102)</f>
        <v>1.4619930164519548</v>
      </c>
      <c r="P129" s="93">
        <f>IF(TrRoad_act!P71=0,0,TrRoad_ene!P74/TrRoad_tech!P102)</f>
        <v>1.2011080100874545</v>
      </c>
      <c r="Q129" s="93">
        <f>IF(TrRoad_act!Q71=0,0,TrRoad_ene!Q74/TrRoad_tech!Q102)</f>
        <v>1.1164096387481752</v>
      </c>
      <c r="R129" s="93">
        <f>IF(TrRoad_act!R71=0,0,TrRoad_ene!R74/TrRoad_tech!R102)</f>
        <v>1.425294222604758</v>
      </c>
      <c r="S129" s="93">
        <f>IF(TrRoad_act!S71=0,0,TrRoad_ene!S74/TrRoad_tech!S102)</f>
        <v>1.3065069169107868</v>
      </c>
      <c r="T129" s="93">
        <f>IF(TrRoad_act!T71=0,0,TrRoad_ene!T74/TrRoad_tech!T102)</f>
        <v>1.4207957335939856</v>
      </c>
      <c r="U129" s="93">
        <f>IF(TrRoad_act!U71=0,0,TrRoad_ene!U74/TrRoad_tech!U102)</f>
        <v>1.4162663223230811</v>
      </c>
      <c r="V129" s="93">
        <f>IF(TrRoad_act!V71=0,0,TrRoad_ene!V74/TrRoad_tech!V102)</f>
        <v>1.3238223772125777</v>
      </c>
      <c r="W129" s="93">
        <f>IF(TrRoad_act!W71=0,0,TrRoad_ene!W74/TrRoad_tech!W102)</f>
        <v>1.3100677585982128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1.1000000000067303</v>
      </c>
      <c r="D130" s="93">
        <f>IF(TrRoad_act!D72=0,0,TrRoad_ene!D75/TrRoad_tech!D103)</f>
        <v>1.1000000000067303</v>
      </c>
      <c r="E130" s="93">
        <f>IF(TrRoad_act!E72=0,0,TrRoad_ene!E75/TrRoad_tech!E103)</f>
        <v>1.1000985609014797</v>
      </c>
      <c r="F130" s="93">
        <f>IF(TrRoad_act!F72=0,0,TrRoad_ene!F75/TrRoad_tech!F103)</f>
        <v>1.1001003758210894</v>
      </c>
      <c r="G130" s="93">
        <f>IF(TrRoad_act!G72=0,0,TrRoad_ene!G75/TrRoad_tech!G103)</f>
        <v>1.1001649178348745</v>
      </c>
      <c r="H130" s="93">
        <f>IF(TrRoad_act!H72=0,0,TrRoad_ene!H75/TrRoad_tech!H103)</f>
        <v>1.100189373410223</v>
      </c>
      <c r="I130" s="93">
        <f>IF(TrRoad_act!I72=0,0,TrRoad_ene!I75/TrRoad_tech!I103)</f>
        <v>1.1002197540205556</v>
      </c>
      <c r="J130" s="93">
        <f>IF(TrRoad_act!J72=0,0,TrRoad_ene!J75/TrRoad_tech!J103)</f>
        <v>1.1002592552154526</v>
      </c>
      <c r="K130" s="93">
        <f>IF(TrRoad_act!K72=0,0,TrRoad_ene!K75/TrRoad_tech!K103)</f>
        <v>1.1003078031416895</v>
      </c>
      <c r="L130" s="93">
        <f>IF(TrRoad_act!L72=0,0,TrRoad_ene!L75/TrRoad_tech!L103)</f>
        <v>1.1004017387739753</v>
      </c>
      <c r="M130" s="93">
        <f>IF(TrRoad_act!M72=0,0,TrRoad_ene!M75/TrRoad_tech!M103)</f>
        <v>1.1005197263251147</v>
      </c>
      <c r="N130" s="93">
        <f>IF(TrRoad_act!N72=0,0,TrRoad_ene!N75/TrRoad_tech!N103)</f>
        <v>1.1006898070627162</v>
      </c>
      <c r="O130" s="93">
        <f>IF(TrRoad_act!O72=0,0,TrRoad_ene!O75/TrRoad_tech!O103)</f>
        <v>1.1118102511277428</v>
      </c>
      <c r="P130" s="93">
        <f>IF(TrRoad_act!P72=0,0,TrRoad_ene!P75/TrRoad_tech!P103)</f>
        <v>1.1313500540070989</v>
      </c>
      <c r="Q130" s="93">
        <f>IF(TrRoad_act!Q72=0,0,TrRoad_ene!Q75/TrRoad_tech!Q103)</f>
        <v>1.2550211194023333</v>
      </c>
      <c r="R130" s="93">
        <f>IF(TrRoad_act!R72=0,0,TrRoad_ene!R75/TrRoad_tech!R103)</f>
        <v>1.2592870690675342</v>
      </c>
      <c r="S130" s="93">
        <f>IF(TrRoad_act!S72=0,0,TrRoad_ene!S75/TrRoad_tech!S103)</f>
        <v>1.2628827378394396</v>
      </c>
      <c r="T130" s="93">
        <f>IF(TrRoad_act!T72=0,0,TrRoad_ene!T75/TrRoad_tech!T103)</f>
        <v>1.265653882722259</v>
      </c>
      <c r="U130" s="93">
        <f>IF(TrRoad_act!U72=0,0,TrRoad_ene!U75/TrRoad_tech!U103)</f>
        <v>1.2656538827222592</v>
      </c>
      <c r="V130" s="93">
        <f>IF(TrRoad_act!V72=0,0,TrRoad_ene!V75/TrRoad_tech!V103)</f>
        <v>1.3057407780411538</v>
      </c>
      <c r="W130" s="93">
        <f>IF(TrRoad_act!W72=0,0,TrRoad_ene!W75/TrRoad_tech!W103)</f>
        <v>1.3333728597506715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1.1135925152419131</v>
      </c>
      <c r="C132" s="150">
        <f>IF(TrRoad_act!C74=0,0,TrRoad_ene!C77/TrRoad_tech!C105)</f>
        <v>1.1225237383257551</v>
      </c>
      <c r="D132" s="150">
        <f>IF(TrRoad_act!D74=0,0,TrRoad_ene!D77/TrRoad_tech!D105)</f>
        <v>1.1575078532222089</v>
      </c>
      <c r="E132" s="150">
        <f>IF(TrRoad_act!E74=0,0,TrRoad_ene!E77/TrRoad_tech!E105)</f>
        <v>1.1739079447274983</v>
      </c>
      <c r="F132" s="150">
        <f>IF(TrRoad_act!F74=0,0,TrRoad_ene!F77/TrRoad_tech!F105)</f>
        <v>1.1800979337925506</v>
      </c>
      <c r="G132" s="150">
        <f>IF(TrRoad_act!G74=0,0,TrRoad_ene!G77/TrRoad_tech!G105)</f>
        <v>1.2259183065289467</v>
      </c>
      <c r="H132" s="150">
        <f>IF(TrRoad_act!H74=0,0,TrRoad_ene!H77/TrRoad_tech!H105)</f>
        <v>1.2277989194910435</v>
      </c>
      <c r="I132" s="150">
        <f>IF(TrRoad_act!I74=0,0,TrRoad_ene!I77/TrRoad_tech!I105)</f>
        <v>1.198268626017051</v>
      </c>
      <c r="J132" s="150">
        <f>IF(TrRoad_act!J74=0,0,TrRoad_ene!J77/TrRoad_tech!J105)</f>
        <v>1.2239090758322102</v>
      </c>
      <c r="K132" s="150">
        <f>IF(TrRoad_act!K74=0,0,TrRoad_ene!K77/TrRoad_tech!K105)</f>
        <v>1.2150723921621429</v>
      </c>
      <c r="L132" s="150">
        <f>IF(TrRoad_act!L74=0,0,TrRoad_ene!L77/TrRoad_tech!L105)</f>
        <v>1.232976784463494</v>
      </c>
      <c r="M132" s="150">
        <f>IF(TrRoad_act!M74=0,0,TrRoad_ene!M77/TrRoad_tech!M105)</f>
        <v>1.1770796181451786</v>
      </c>
      <c r="N132" s="150">
        <f>IF(TrRoad_act!N74=0,0,TrRoad_ene!N77/TrRoad_tech!N105)</f>
        <v>1.1550699981022039</v>
      </c>
      <c r="O132" s="150">
        <f>IF(TrRoad_act!O74=0,0,TrRoad_ene!O77/TrRoad_tech!O105)</f>
        <v>1.0972452558773194</v>
      </c>
      <c r="P132" s="150">
        <f>IF(TrRoad_act!P74=0,0,TrRoad_ene!P77/TrRoad_tech!P105)</f>
        <v>1.1973749405126044</v>
      </c>
      <c r="Q132" s="150">
        <f>IF(TrRoad_act!Q74=0,0,TrRoad_ene!Q77/TrRoad_tech!Q105)</f>
        <v>1.253720929723718</v>
      </c>
      <c r="R132" s="150">
        <f>IF(TrRoad_act!R74=0,0,TrRoad_ene!R77/TrRoad_tech!R105)</f>
        <v>1.2258422092997663</v>
      </c>
      <c r="S132" s="150">
        <f>IF(TrRoad_act!S74=0,0,TrRoad_ene!S77/TrRoad_tech!S105)</f>
        <v>1.2459334194278096</v>
      </c>
      <c r="T132" s="150">
        <f>IF(TrRoad_act!T74=0,0,TrRoad_ene!T77/TrRoad_tech!T105)</f>
        <v>1.2629203408506651</v>
      </c>
      <c r="U132" s="150">
        <f>IF(TrRoad_act!U74=0,0,TrRoad_ene!U77/TrRoad_tech!U105)</f>
        <v>1.2661546119739888</v>
      </c>
      <c r="V132" s="150">
        <f>IF(TrRoad_act!V74=0,0,TrRoad_ene!V77/TrRoad_tech!V105)</f>
        <v>1.2108799035092228</v>
      </c>
      <c r="W132" s="150">
        <f>IF(TrRoad_act!W74=0,0,TrRoad_ene!W77/TrRoad_tech!W105)</f>
        <v>1.270391631048962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1.1000037451141631</v>
      </c>
      <c r="D133" s="91">
        <f>IF(TrRoad_act!D75=0,0,TrRoad_ene!D78/TrRoad_tech!D106)</f>
        <v>1.1000119268531254</v>
      </c>
      <c r="E133" s="91">
        <f>IF(TrRoad_act!E75=0,0,TrRoad_ene!E78/TrRoad_tech!E106)</f>
        <v>1.1000233992843937</v>
      </c>
      <c r="F133" s="91">
        <f>IF(TrRoad_act!F75=0,0,TrRoad_ene!F78/TrRoad_tech!F106)</f>
        <v>1.1000434758691058</v>
      </c>
      <c r="G133" s="91">
        <f>IF(TrRoad_act!G75=0,0,TrRoad_ene!G78/TrRoad_tech!G106)</f>
        <v>1.1000672560512659</v>
      </c>
      <c r="H133" s="91">
        <f>IF(TrRoad_act!H75=0,0,TrRoad_ene!H78/TrRoad_tech!H106)</f>
        <v>1.1001234750961508</v>
      </c>
      <c r="I133" s="91">
        <f>IF(TrRoad_act!I75=0,0,TrRoad_ene!I78/TrRoad_tech!I106)</f>
        <v>1.1003485697825233</v>
      </c>
      <c r="J133" s="91">
        <f>IF(TrRoad_act!J75=0,0,TrRoad_ene!J78/TrRoad_tech!J106)</f>
        <v>1.1008396927768234</v>
      </c>
      <c r="K133" s="91">
        <f>IF(TrRoad_act!K75=0,0,TrRoad_ene!K78/TrRoad_tech!K106)</f>
        <v>1.1016532811140092</v>
      </c>
      <c r="L133" s="91">
        <f>IF(TrRoad_act!L75=0,0,TrRoad_ene!L78/TrRoad_tech!L106)</f>
        <v>1.1022631552198139</v>
      </c>
      <c r="M133" s="91">
        <f>IF(TrRoad_act!M75=0,0,TrRoad_ene!M78/TrRoad_tech!M106)</f>
        <v>1.1028071858102544</v>
      </c>
      <c r="N133" s="91">
        <f>IF(TrRoad_act!N75=0,0,TrRoad_ene!N78/TrRoad_tech!N106)</f>
        <v>1.1039647764349556</v>
      </c>
      <c r="O133" s="91">
        <f>IF(TrRoad_act!O75=0,0,TrRoad_ene!O78/TrRoad_tech!O106)</f>
        <v>1.128054751937275</v>
      </c>
      <c r="P133" s="91">
        <f>IF(TrRoad_act!P75=0,0,TrRoad_ene!P78/TrRoad_tech!P106)</f>
        <v>1.1400357681560378</v>
      </c>
      <c r="Q133" s="91">
        <f>IF(TrRoad_act!Q75=0,0,TrRoad_ene!Q78/TrRoad_tech!Q106)</f>
        <v>1.1490882518422096</v>
      </c>
      <c r="R133" s="91">
        <f>IF(TrRoad_act!R75=0,0,TrRoad_ene!R78/TrRoad_tech!R106)</f>
        <v>1.1571224372223419</v>
      </c>
      <c r="S133" s="91">
        <f>IF(TrRoad_act!S75=0,0,TrRoad_ene!S78/TrRoad_tech!S106)</f>
        <v>1.1679302507311629</v>
      </c>
      <c r="T133" s="91">
        <f>IF(TrRoad_act!T75=0,0,TrRoad_ene!T78/TrRoad_tech!T106)</f>
        <v>1.1792534446164746</v>
      </c>
      <c r="U133" s="91">
        <f>IF(TrRoad_act!U75=0,0,TrRoad_ene!U78/TrRoad_tech!U106)</f>
        <v>1.1943639153618322</v>
      </c>
      <c r="V133" s="91">
        <f>IF(TrRoad_act!V75=0,0,TrRoad_ene!V78/TrRoad_tech!V106)</f>
        <v>1.2033709378424349</v>
      </c>
      <c r="W133" s="91">
        <f>IF(TrRoad_act!W75=0,0,TrRoad_ene!W78/TrRoad_tech!W106)</f>
        <v>1.211576693699953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1.1063515491227378</v>
      </c>
      <c r="C134" s="91">
        <f>IF(TrRoad_act!C76=0,0,TrRoad_ene!C79/TrRoad_tech!C107)</f>
        <v>1.1301183074438381</v>
      </c>
      <c r="D134" s="91">
        <f>IF(TrRoad_act!D76=0,0,TrRoad_ene!D79/TrRoad_tech!D107)</f>
        <v>1.1778663618478733</v>
      </c>
      <c r="E134" s="91">
        <f>IF(TrRoad_act!E76=0,0,TrRoad_ene!E79/TrRoad_tech!E107)</f>
        <v>1.1977466624771749</v>
      </c>
      <c r="F134" s="91">
        <f>IF(TrRoad_act!F76=0,0,TrRoad_ene!F79/TrRoad_tech!F107)</f>
        <v>1.2039928427322322</v>
      </c>
      <c r="G134" s="91">
        <f>IF(TrRoad_act!G76=0,0,TrRoad_ene!G79/TrRoad_tech!G107)</f>
        <v>1.2560862693396952</v>
      </c>
      <c r="H134" s="91">
        <f>IF(TrRoad_act!H76=0,0,TrRoad_ene!H79/TrRoad_tech!H107)</f>
        <v>1.2551408028160165</v>
      </c>
      <c r="I134" s="91">
        <f>IF(TrRoad_act!I76=0,0,TrRoad_ene!I79/TrRoad_tech!I107)</f>
        <v>1.2177106420163983</v>
      </c>
      <c r="J134" s="91">
        <f>IF(TrRoad_act!J76=0,0,TrRoad_ene!J79/TrRoad_tech!J107)</f>
        <v>1.241115912541557</v>
      </c>
      <c r="K134" s="91">
        <f>IF(TrRoad_act!K76=0,0,TrRoad_ene!K79/TrRoad_tech!K107)</f>
        <v>1.2296544548674813</v>
      </c>
      <c r="L134" s="91">
        <f>IF(TrRoad_act!L76=0,0,TrRoad_ene!L79/TrRoad_tech!L107)</f>
        <v>1.2425652043559783</v>
      </c>
      <c r="M134" s="91">
        <f>IF(TrRoad_act!M76=0,0,TrRoad_ene!M79/TrRoad_tech!M107)</f>
        <v>1.1812370228029512</v>
      </c>
      <c r="N134" s="91">
        <f>IF(TrRoad_act!N76=0,0,TrRoad_ene!N79/TrRoad_tech!N107)</f>
        <v>1.1584695301797261</v>
      </c>
      <c r="O134" s="91">
        <f>IF(TrRoad_act!O76=0,0,TrRoad_ene!O79/TrRoad_tech!O107)</f>
        <v>1.0974811725318749</v>
      </c>
      <c r="P134" s="91">
        <f>IF(TrRoad_act!P76=0,0,TrRoad_ene!P79/TrRoad_tech!P107)</f>
        <v>1.2031141218354453</v>
      </c>
      <c r="Q134" s="91">
        <f>IF(TrRoad_act!Q76=0,0,TrRoad_ene!Q79/TrRoad_tech!Q107)</f>
        <v>1.2628912427581347</v>
      </c>
      <c r="R134" s="91">
        <f>IF(TrRoad_act!R76=0,0,TrRoad_ene!R79/TrRoad_tech!R107)</f>
        <v>1.2361969324249984</v>
      </c>
      <c r="S134" s="91">
        <f>IF(TrRoad_act!S76=0,0,TrRoad_ene!S79/TrRoad_tech!S107)</f>
        <v>1.2579669701674596</v>
      </c>
      <c r="T134" s="91">
        <f>IF(TrRoad_act!T76=0,0,TrRoad_ene!T79/TrRoad_tech!T107)</f>
        <v>1.2773554748794298</v>
      </c>
      <c r="U134" s="91">
        <f>IF(TrRoad_act!U76=0,0,TrRoad_ene!U79/TrRoad_tech!U107)</f>
        <v>1.280904939373299</v>
      </c>
      <c r="V134" s="91">
        <f>IF(TrRoad_act!V76=0,0,TrRoad_ene!V79/TrRoad_tech!V107)</f>
        <v>1.2214605463535284</v>
      </c>
      <c r="W134" s="91">
        <f>IF(TrRoad_act!W76=0,0,TrRoad_ene!W79/TrRoad_tech!W107)</f>
        <v>1.2808896548753639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1.1040000000061809</v>
      </c>
      <c r="D135" s="91">
        <f>IF(TrRoad_act!D77=0,0,TrRoad_ene!D80/TrRoad_tech!D108)</f>
        <v>1.1040000000061809</v>
      </c>
      <c r="E135" s="91">
        <f>IF(TrRoad_act!E77=0,0,TrRoad_ene!E80/TrRoad_tech!E108)</f>
        <v>1.1040000000061807</v>
      </c>
      <c r="F135" s="91">
        <f>IF(TrRoad_act!F77=0,0,TrRoad_ene!F80/TrRoad_tech!F108)</f>
        <v>1.1040000000061807</v>
      </c>
      <c r="G135" s="91">
        <f>IF(TrRoad_act!G77=0,0,TrRoad_ene!G80/TrRoad_tech!G108)</f>
        <v>1.1040000000061807</v>
      </c>
      <c r="H135" s="91">
        <f>IF(TrRoad_act!H77=0,0,TrRoad_ene!H80/TrRoad_tech!H108)</f>
        <v>1.1040000000061809</v>
      </c>
      <c r="I135" s="91">
        <f>IF(TrRoad_act!I77=0,0,TrRoad_ene!I80/TrRoad_tech!I108)</f>
        <v>1.1040000000061805</v>
      </c>
      <c r="J135" s="91">
        <f>IF(TrRoad_act!J77=0,0,TrRoad_ene!J80/TrRoad_tech!J108)</f>
        <v>1.1040000000061805</v>
      </c>
      <c r="K135" s="91">
        <f>IF(TrRoad_act!K77=0,0,TrRoad_ene!K80/TrRoad_tech!K108)</f>
        <v>1.1040000000061805</v>
      </c>
      <c r="L135" s="91">
        <f>IF(TrRoad_act!L77=0,0,TrRoad_ene!L80/TrRoad_tech!L108)</f>
        <v>1.1040000000061805</v>
      </c>
      <c r="M135" s="91">
        <f>IF(TrRoad_act!M77=0,0,TrRoad_ene!M80/TrRoad_tech!M108)</f>
        <v>1.1040000000061807</v>
      </c>
      <c r="N135" s="91">
        <f>IF(TrRoad_act!N77=0,0,TrRoad_ene!N80/TrRoad_tech!N108)</f>
        <v>1.1054647642205508</v>
      </c>
      <c r="O135" s="91">
        <f>IF(TrRoad_act!O77=0,0,TrRoad_ene!O80/TrRoad_tech!O108)</f>
        <v>1.1056734932463237</v>
      </c>
      <c r="P135" s="91">
        <f>IF(TrRoad_act!P77=0,0,TrRoad_ene!P80/TrRoad_tech!P108)</f>
        <v>1.1059515958160802</v>
      </c>
      <c r="Q135" s="91">
        <f>IF(TrRoad_act!Q77=0,0,TrRoad_ene!Q80/TrRoad_tech!Q108)</f>
        <v>1.12215806024238</v>
      </c>
      <c r="R135" s="91">
        <f>IF(TrRoad_act!R77=0,0,TrRoad_ene!R80/TrRoad_tech!R108)</f>
        <v>1.1255366553523485</v>
      </c>
      <c r="S135" s="91">
        <f>IF(TrRoad_act!S77=0,0,TrRoad_ene!S80/TrRoad_tech!S108)</f>
        <v>1.1304599484361091</v>
      </c>
      <c r="T135" s="91">
        <f>IF(TrRoad_act!T77=0,0,TrRoad_ene!T80/TrRoad_tech!T108)</f>
        <v>1.1359352647874046</v>
      </c>
      <c r="U135" s="91">
        <f>IF(TrRoad_act!U77=0,0,TrRoad_ene!U80/TrRoad_tech!U108)</f>
        <v>1.1454700887327602</v>
      </c>
      <c r="V135" s="91">
        <f>IF(TrRoad_act!V77=0,0,TrRoad_ene!V80/TrRoad_tech!V108)</f>
        <v>1.1784028918955443</v>
      </c>
      <c r="W135" s="91">
        <f>IF(TrRoad_act!W77=0,0,TrRoad_ene!W80/TrRoad_tech!W108)</f>
        <v>1.2047884659228092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1.1000000000067303</v>
      </c>
      <c r="C136" s="91">
        <f>IF(TrRoad_act!C78=0,0,TrRoad_ene!C81/TrRoad_tech!C109)</f>
        <v>1.10000000000673</v>
      </c>
      <c r="D136" s="91">
        <f>IF(TrRoad_act!D78=0,0,TrRoad_ene!D81/TrRoad_tech!D109)</f>
        <v>1.1000000000067303</v>
      </c>
      <c r="E136" s="91">
        <f>IF(TrRoad_act!E78=0,0,TrRoad_ene!E81/TrRoad_tech!E109)</f>
        <v>1.1000000000067307</v>
      </c>
      <c r="F136" s="91">
        <f>IF(TrRoad_act!F78=0,0,TrRoad_ene!F81/TrRoad_tech!F109)</f>
        <v>1.10000000000673</v>
      </c>
      <c r="G136" s="91">
        <f>IF(TrRoad_act!G78=0,0,TrRoad_ene!G81/TrRoad_tech!G109)</f>
        <v>1.1000000000067303</v>
      </c>
      <c r="H136" s="91">
        <f>IF(TrRoad_act!H78=0,0,TrRoad_ene!H81/TrRoad_tech!H109)</f>
        <v>1.1000000000067303</v>
      </c>
      <c r="I136" s="91">
        <f>IF(TrRoad_act!I78=0,0,TrRoad_ene!I81/TrRoad_tech!I109)</f>
        <v>1.1000000000067303</v>
      </c>
      <c r="J136" s="91">
        <f>IF(TrRoad_act!J78=0,0,TrRoad_ene!J81/TrRoad_tech!J109)</f>
        <v>1.1000000000067305</v>
      </c>
      <c r="K136" s="91">
        <f>IF(TrRoad_act!K78=0,0,TrRoad_ene!K81/TrRoad_tech!K109)</f>
        <v>1.10000000000673</v>
      </c>
      <c r="L136" s="91">
        <f>IF(TrRoad_act!L78=0,0,TrRoad_ene!L81/TrRoad_tech!L109)</f>
        <v>1.1000000000067303</v>
      </c>
      <c r="M136" s="91">
        <f>IF(TrRoad_act!M78=0,0,TrRoad_ene!M81/TrRoad_tech!M109)</f>
        <v>1.1000000000067305</v>
      </c>
      <c r="N136" s="91">
        <f>IF(TrRoad_act!N78=0,0,TrRoad_ene!N81/TrRoad_tech!N109)</f>
        <v>1.2360000000066975</v>
      </c>
      <c r="O136" s="91">
        <f>IF(TrRoad_act!O78=0,0,TrRoad_ene!O81/TrRoad_tech!O109)</f>
        <v>1.2542261506671426</v>
      </c>
      <c r="P136" s="91">
        <f>IF(TrRoad_act!P78=0,0,TrRoad_ene!P81/TrRoad_tech!P109)</f>
        <v>1.2596488239001347</v>
      </c>
      <c r="Q136" s="91">
        <f>IF(TrRoad_act!Q78=0,0,TrRoad_ene!Q81/TrRoad_tech!Q109)</f>
        <v>1.2922985979155999</v>
      </c>
      <c r="R136" s="91">
        <f>IF(TrRoad_act!R78=0,0,TrRoad_ene!R81/TrRoad_tech!R109)</f>
        <v>1.2938184227085234</v>
      </c>
      <c r="S136" s="91">
        <f>IF(TrRoad_act!S78=0,0,TrRoad_ene!S81/TrRoad_tech!S109)</f>
        <v>1.299445205214097</v>
      </c>
      <c r="T136" s="91">
        <f>IF(TrRoad_act!T78=0,0,TrRoad_ene!T81/TrRoad_tech!T109)</f>
        <v>1.3057366748893393</v>
      </c>
      <c r="U136" s="91">
        <f>IF(TrRoad_act!U78=0,0,TrRoad_ene!U81/TrRoad_tech!U109)</f>
        <v>1.3072057517098812</v>
      </c>
      <c r="V136" s="91">
        <f>IF(TrRoad_act!V78=0,0,TrRoad_ene!V81/TrRoad_tech!V109)</f>
        <v>1.3154327220194224</v>
      </c>
      <c r="W136" s="91">
        <f>IF(TrRoad_act!W78=0,0,TrRoad_ene!W81/TrRoad_tech!W109)</f>
        <v>1.3243523874278513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0</v>
      </c>
      <c r="O137" s="91">
        <f>IF(TrRoad_act!O79=0,0,TrRoad_ene!O82/TrRoad_tech!O110)</f>
        <v>1.2560000000062244</v>
      </c>
      <c r="P137" s="91">
        <f>IF(TrRoad_act!P79=0,0,TrRoad_ene!P82/TrRoad_tech!P110)</f>
        <v>1.2580207403607182</v>
      </c>
      <c r="Q137" s="91">
        <f>IF(TrRoad_act!Q79=0,0,TrRoad_ene!Q82/TrRoad_tech!Q110)</f>
        <v>1.2794731437164801</v>
      </c>
      <c r="R137" s="91">
        <f>IF(TrRoad_act!R79=0,0,TrRoad_ene!R82/TrRoad_tech!R110)</f>
        <v>1.3005712566178436</v>
      </c>
      <c r="S137" s="91">
        <f>IF(TrRoad_act!S79=0,0,TrRoad_ene!S82/TrRoad_tech!S110)</f>
        <v>1.3160316187804999</v>
      </c>
      <c r="T137" s="91">
        <f>IF(TrRoad_act!T79=0,0,TrRoad_ene!T82/TrRoad_tech!T110)</f>
        <v>1.3299547015932494</v>
      </c>
      <c r="U137" s="91">
        <f>IF(TrRoad_act!U79=0,0,TrRoad_ene!U82/TrRoad_tech!U110)</f>
        <v>1.33520915792342</v>
      </c>
      <c r="V137" s="91">
        <f>IF(TrRoad_act!V79=0,0,TrRoad_ene!V82/TrRoad_tech!V110)</f>
        <v>1.3421793640044803</v>
      </c>
      <c r="W137" s="91">
        <f>IF(TrRoad_act!W79=0,0,TrRoad_ene!W82/TrRoad_tech!W110)</f>
        <v>1.3489898039057271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1.1668626070072357</v>
      </c>
      <c r="C138" s="151">
        <f>IF(TrRoad_act!C80=0,0,TrRoad_ene!C83/TrRoad_tech!C111)</f>
        <v>1.2362155647446502</v>
      </c>
      <c r="D138" s="151">
        <f>IF(TrRoad_act!D80=0,0,TrRoad_ene!D83/TrRoad_tech!D111)</f>
        <v>1.3878449608692727</v>
      </c>
      <c r="E138" s="151">
        <f>IF(TrRoad_act!E80=0,0,TrRoad_ene!E83/TrRoad_tech!E111)</f>
        <v>1.4559910611308737</v>
      </c>
      <c r="F138" s="151">
        <f>IF(TrRoad_act!F80=0,0,TrRoad_ene!F83/TrRoad_tech!F111)</f>
        <v>1.4760074126063749</v>
      </c>
      <c r="G138" s="151">
        <f>IF(TrRoad_act!G80=0,0,TrRoad_ene!G83/TrRoad_tech!G111)</f>
        <v>1.5518700570629598</v>
      </c>
      <c r="H138" s="151">
        <f>IF(TrRoad_act!H80=0,0,TrRoad_ene!H83/TrRoad_tech!H111)</f>
        <v>1.5962529818557372</v>
      </c>
      <c r="I138" s="151">
        <f>IF(TrRoad_act!I80=0,0,TrRoad_ene!I83/TrRoad_tech!I111)</f>
        <v>1.4773100433364359</v>
      </c>
      <c r="J138" s="151">
        <f>IF(TrRoad_act!J80=0,0,TrRoad_ene!J83/TrRoad_tech!J111)</f>
        <v>1.5501978090491002</v>
      </c>
      <c r="K138" s="151">
        <f>IF(TrRoad_act!K80=0,0,TrRoad_ene!K83/TrRoad_tech!K111)</f>
        <v>1.5421769991562506</v>
      </c>
      <c r="L138" s="151">
        <f>IF(TrRoad_act!L80=0,0,TrRoad_ene!L83/TrRoad_tech!L111)</f>
        <v>1.6609710688393904</v>
      </c>
      <c r="M138" s="151">
        <f>IF(TrRoad_act!M80=0,0,TrRoad_ene!M83/TrRoad_tech!M111)</f>
        <v>1.4585489457590359</v>
      </c>
      <c r="N138" s="151">
        <f>IF(TrRoad_act!N80=0,0,TrRoad_ene!N83/TrRoad_tech!N111)</f>
        <v>1.3589877076992112</v>
      </c>
      <c r="O138" s="151">
        <f>IF(TrRoad_act!O80=0,0,TrRoad_ene!O83/TrRoad_tech!O111)</f>
        <v>1.1106356991472872</v>
      </c>
      <c r="P138" s="151">
        <f>IF(TrRoad_act!P80=0,0,TrRoad_ene!P83/TrRoad_tech!P111)</f>
        <v>1.4674633020509165</v>
      </c>
      <c r="Q138" s="151">
        <f>IF(TrRoad_act!Q80=0,0,TrRoad_ene!Q83/TrRoad_tech!Q111)</f>
        <v>1.6642858061264891</v>
      </c>
      <c r="R138" s="151">
        <f>IF(TrRoad_act!R80=0,0,TrRoad_ene!R83/TrRoad_tech!R111)</f>
        <v>1.4916705698352375</v>
      </c>
      <c r="S138" s="151">
        <f>IF(TrRoad_act!S80=0,0,TrRoad_ene!S83/TrRoad_tech!S111)</f>
        <v>1.5567810507649764</v>
      </c>
      <c r="T138" s="151">
        <f>IF(TrRoad_act!T80=0,0,TrRoad_ene!T83/TrRoad_tech!T111)</f>
        <v>1.6091072554850918</v>
      </c>
      <c r="U138" s="151">
        <f>IF(TrRoad_act!U80=0,0,TrRoad_ene!U83/TrRoad_tech!U111)</f>
        <v>1.5821454443289829</v>
      </c>
      <c r="V138" s="151">
        <f>IF(TrRoad_act!V80=0,0,TrRoad_ene!V83/TrRoad_tech!V111)</f>
        <v>1.2346238915042598</v>
      </c>
      <c r="W138" s="151">
        <f>IF(TrRoad_act!W80=0,0,TrRoad_ene!W83/TrRoad_tech!W111)</f>
        <v>1.452172613119239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1.1064081739242386</v>
      </c>
      <c r="C139" s="93">
        <f>IF(TrRoad_act!C81=0,0,TrRoad_ene!C84/TrRoad_tech!C112)</f>
        <v>1.1333678744180065</v>
      </c>
      <c r="D139" s="93">
        <f>IF(TrRoad_act!D81=0,0,TrRoad_ene!D84/TrRoad_tech!D112)</f>
        <v>1.1914775622810121</v>
      </c>
      <c r="E139" s="93">
        <f>IF(TrRoad_act!E81=0,0,TrRoad_ene!E84/TrRoad_tech!E112)</f>
        <v>1.218625268813621</v>
      </c>
      <c r="F139" s="93">
        <f>IF(TrRoad_act!F81=0,0,TrRoad_ene!F84/TrRoad_tech!F112)</f>
        <v>1.2282368368505072</v>
      </c>
      <c r="G139" s="93">
        <f>IF(TrRoad_act!G81=0,0,TrRoad_ene!G84/TrRoad_tech!G112)</f>
        <v>1.2643008566569562</v>
      </c>
      <c r="H139" s="93">
        <f>IF(TrRoad_act!H81=0,0,TrRoad_ene!H84/TrRoad_tech!H112)</f>
        <v>1.2853468775931605</v>
      </c>
      <c r="I139" s="93">
        <f>IF(TrRoad_act!I81=0,0,TrRoad_ene!I84/TrRoad_tech!I112)</f>
        <v>1.242163285307134</v>
      </c>
      <c r="J139" s="93">
        <f>IF(TrRoad_act!J81=0,0,TrRoad_ene!J84/TrRoad_tech!J112)</f>
        <v>1.2709128158545946</v>
      </c>
      <c r="K139" s="93">
        <f>IF(TrRoad_act!K81=0,0,TrRoad_ene!K84/TrRoad_tech!K112)</f>
        <v>1.2819089984846126</v>
      </c>
      <c r="L139" s="93">
        <f>IF(TrRoad_act!L81=0,0,TrRoad_ene!L84/TrRoad_tech!L112)</f>
        <v>1.3378775388642874</v>
      </c>
      <c r="M139" s="93">
        <f>IF(TrRoad_act!M81=0,0,TrRoad_ene!M84/TrRoad_tech!M112)</f>
        <v>1.2638057115265668</v>
      </c>
      <c r="N139" s="93">
        <f>IF(TrRoad_act!N81=0,0,TrRoad_ene!N84/TrRoad_tech!N112)</f>
        <v>1.2280464424023421</v>
      </c>
      <c r="O139" s="93">
        <f>IF(TrRoad_act!O81=0,0,TrRoad_ene!O84/TrRoad_tech!O112)</f>
        <v>1.1375403888380451</v>
      </c>
      <c r="P139" s="93">
        <f>IF(TrRoad_act!P81=0,0,TrRoad_ene!P84/TrRoad_tech!P112)</f>
        <v>1.2767138545528094</v>
      </c>
      <c r="Q139" s="93">
        <f>IF(TrRoad_act!Q81=0,0,TrRoad_ene!Q84/TrRoad_tech!Q112)</f>
        <v>1.3532508033948822</v>
      </c>
      <c r="R139" s="93">
        <f>IF(TrRoad_act!R81=0,0,TrRoad_ene!R84/TrRoad_tech!R112)</f>
        <v>1.2880441672096175</v>
      </c>
      <c r="S139" s="93">
        <f>IF(TrRoad_act!S81=0,0,TrRoad_ene!S84/TrRoad_tech!S112)</f>
        <v>1.3173897982575358</v>
      </c>
      <c r="T139" s="93">
        <f>IF(TrRoad_act!T81=0,0,TrRoad_ene!T84/TrRoad_tech!T112)</f>
        <v>1.3498213175429372</v>
      </c>
      <c r="U139" s="93">
        <f>IF(TrRoad_act!U81=0,0,TrRoad_ene!U84/TrRoad_tech!U112)</f>
        <v>1.3502799799836096</v>
      </c>
      <c r="V139" s="93">
        <f>IF(TrRoad_act!V81=0,0,TrRoad_ene!V84/TrRoad_tech!V112)</f>
        <v>1.2237309773521565</v>
      </c>
      <c r="W139" s="93">
        <f>IF(TrRoad_act!W81=0,0,TrRoad_ene!W84/TrRoad_tech!W112)</f>
        <v>1.3212364089336743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1.1335166370955743</v>
      </c>
      <c r="C140" s="94">
        <f>IF(TrRoad_act!C82=0,0,TrRoad_ene!C85/TrRoad_tech!C113)</f>
        <v>1.2683930415188853</v>
      </c>
      <c r="D140" s="94">
        <f>IF(TrRoad_act!D82=0,0,TrRoad_ene!D85/TrRoad_tech!D113)</f>
        <v>1.5428016550737413</v>
      </c>
      <c r="E140" s="94">
        <f>IF(TrRoad_act!E82=0,0,TrRoad_ene!E85/TrRoad_tech!E113)</f>
        <v>1.6652518443346978</v>
      </c>
      <c r="F140" s="94">
        <f>IF(TrRoad_act!F82=0,0,TrRoad_ene!F85/TrRoad_tech!F113)</f>
        <v>1.6848705957743355</v>
      </c>
      <c r="G140" s="94">
        <f>IF(TrRoad_act!G82=0,0,TrRoad_ene!G85/TrRoad_tech!G113)</f>
        <v>1.939720216413692</v>
      </c>
      <c r="H140" s="94">
        <f>IF(TrRoad_act!H82=0,0,TrRoad_ene!H85/TrRoad_tech!H113)</f>
        <v>2.021315614029116</v>
      </c>
      <c r="I140" s="94">
        <f>IF(TrRoad_act!I82=0,0,TrRoad_ene!I85/TrRoad_tech!I113)</f>
        <v>1.7736670242749168</v>
      </c>
      <c r="J140" s="94">
        <f>IF(TrRoad_act!J82=0,0,TrRoad_ene!J85/TrRoad_tech!J113)</f>
        <v>1.862446678543576</v>
      </c>
      <c r="K140" s="94">
        <f>IF(TrRoad_act!K82=0,0,TrRoad_ene!K85/TrRoad_tech!K113)</f>
        <v>1.9937576619592321</v>
      </c>
      <c r="L140" s="94">
        <f>IF(TrRoad_act!L82=0,0,TrRoad_ene!L85/TrRoad_tech!L113)</f>
        <v>2.0778589960261531</v>
      </c>
      <c r="M140" s="94">
        <f>IF(TrRoad_act!M82=0,0,TrRoad_ene!M85/TrRoad_tech!M113)</f>
        <v>1.6311641692422936</v>
      </c>
      <c r="N140" s="94">
        <f>IF(TrRoad_act!N82=0,0,TrRoad_ene!N85/TrRoad_tech!N113)</f>
        <v>1.4130537160262848</v>
      </c>
      <c r="O140" s="94">
        <f>IF(TrRoad_act!O82=0,0,TrRoad_ene!O85/TrRoad_tech!O113)</f>
        <v>0.97857747362719305</v>
      </c>
      <c r="P140" s="94">
        <f>IF(TrRoad_act!P82=0,0,TrRoad_ene!P85/TrRoad_tech!P113)</f>
        <v>1.6104909244542407</v>
      </c>
      <c r="Q140" s="94">
        <f>IF(TrRoad_act!Q82=0,0,TrRoad_ene!Q85/TrRoad_tech!Q113)</f>
        <v>1.9694754263019545</v>
      </c>
      <c r="R140" s="94">
        <f>IF(TrRoad_act!R82=0,0,TrRoad_ene!R85/TrRoad_tech!R113)</f>
        <v>1.6830978676442898</v>
      </c>
      <c r="S140" s="94">
        <f>IF(TrRoad_act!S82=0,0,TrRoad_ene!S85/TrRoad_tech!S113)</f>
        <v>1.7694688710420352</v>
      </c>
      <c r="T140" s="94">
        <f>IF(TrRoad_act!T82=0,0,TrRoad_ene!T85/TrRoad_tech!T113)</f>
        <v>1.858350753102568</v>
      </c>
      <c r="U140" s="94">
        <f>IF(TrRoad_act!U82=0,0,TrRoad_ene!U85/TrRoad_tech!U113)</f>
        <v>1.7908222868604318</v>
      </c>
      <c r="V140" s="94">
        <f>IF(TrRoad_act!V82=0,0,TrRoad_ene!V85/TrRoad_tech!V113)</f>
        <v>1.1676955427728342</v>
      </c>
      <c r="W140" s="94">
        <f>IF(TrRoad_act!W82=0,0,TrRoad_ene!W85/TrRoad_tech!W113)</f>
        <v>1.544417710569375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0</v>
      </c>
      <c r="C144" s="141">
        <v>3.8095539165435248</v>
      </c>
      <c r="D144" s="141">
        <v>3.7865169469511124</v>
      </c>
      <c r="E144" s="141">
        <v>3.7391220806107577</v>
      </c>
      <c r="F144" s="141">
        <v>3.7339440461610871</v>
      </c>
      <c r="G144" s="141">
        <v>3.6836431400785705</v>
      </c>
      <c r="H144" s="141">
        <v>3.6093541968516609</v>
      </c>
      <c r="I144" s="141">
        <v>3.5564114364580881</v>
      </c>
      <c r="J144" s="141">
        <v>3.3837398386874327</v>
      </c>
      <c r="K144" s="141">
        <v>3.1974891097579463</v>
      </c>
      <c r="L144" s="141">
        <v>3.0811946829852381</v>
      </c>
      <c r="M144" s="141">
        <v>2.9729042429749524</v>
      </c>
      <c r="N144" s="141">
        <v>2.9000467223517568</v>
      </c>
      <c r="O144" s="141">
        <v>2.7978085699077946</v>
      </c>
      <c r="P144" s="141">
        <v>2.7698756866401602</v>
      </c>
      <c r="Q144" s="141">
        <v>2.6976380992117464</v>
      </c>
      <c r="R144" s="141">
        <v>2.6464390029068392</v>
      </c>
      <c r="S144" s="141">
        <v>2.6054797258629137</v>
      </c>
      <c r="T144" s="141">
        <v>2.5727123042277733</v>
      </c>
      <c r="U144" s="141">
        <v>2.546498366919661</v>
      </c>
      <c r="V144" s="141">
        <v>2.5255272170731713</v>
      </c>
      <c r="W144" s="141">
        <v>2.5087502971959794</v>
      </c>
      <c r="DA144" s="174" t="s">
        <v>885</v>
      </c>
    </row>
    <row r="145" spans="1:105" ht="11.45" customHeight="1" x14ac:dyDescent="0.25">
      <c r="A145" s="109" t="s">
        <v>20</v>
      </c>
      <c r="B145" s="130">
        <v>7.4556767474162555</v>
      </c>
      <c r="C145" s="130">
        <v>7.4239314660097424</v>
      </c>
      <c r="D145" s="130">
        <v>7.3636577561712935</v>
      </c>
      <c r="E145" s="130">
        <v>7.3323535644057882</v>
      </c>
      <c r="F145" s="130">
        <v>7.2435921078369949</v>
      </c>
      <c r="G145" s="130">
        <v>7.2386795599156564</v>
      </c>
      <c r="H145" s="130">
        <v>7.0056974969046788</v>
      </c>
      <c r="I145" s="130">
        <v>6.9354942400855242</v>
      </c>
      <c r="J145" s="130">
        <v>6.6061976886825908</v>
      </c>
      <c r="K145" s="130">
        <v>6.2757300238925797</v>
      </c>
      <c r="L145" s="130">
        <v>6.0451653315109404</v>
      </c>
      <c r="M145" s="130">
        <v>5.763019927159112</v>
      </c>
      <c r="N145" s="130">
        <v>5.7719622958940109</v>
      </c>
      <c r="O145" s="130">
        <v>5.528861196261655</v>
      </c>
      <c r="P145" s="130">
        <v>5.4589751964171889</v>
      </c>
      <c r="Q145" s="130">
        <v>5.311703385719766</v>
      </c>
      <c r="R145" s="130">
        <v>5.133484799684787</v>
      </c>
      <c r="S145" s="130">
        <v>5.1459106419252212</v>
      </c>
      <c r="T145" s="130">
        <v>5.2870026083120178</v>
      </c>
      <c r="U145" s="130">
        <v>5.2171272281671817</v>
      </c>
      <c r="V145" s="130">
        <v>4.9066951532878873</v>
      </c>
      <c r="W145" s="130">
        <v>4.6622105088340593</v>
      </c>
      <c r="DA145" s="176" t="s">
        <v>886</v>
      </c>
    </row>
    <row r="146" spans="1:105" ht="11.45" customHeight="1" x14ac:dyDescent="0.25">
      <c r="A146" s="111" t="s">
        <v>110</v>
      </c>
      <c r="B146" s="96">
        <v>7.5521179111711776</v>
      </c>
      <c r="C146" s="96">
        <v>7.511003499464235</v>
      </c>
      <c r="D146" s="96">
        <v>7.4655832841276686</v>
      </c>
      <c r="E146" s="96">
        <v>7.3721384833090928</v>
      </c>
      <c r="F146" s="96">
        <v>7.3619293523389473</v>
      </c>
      <c r="G146" s="96">
        <v>7.2627549372003894</v>
      </c>
      <c r="H146" s="96">
        <v>7.1162851602205466</v>
      </c>
      <c r="I146" s="96">
        <v>7.0119020047911009</v>
      </c>
      <c r="J146" s="96">
        <v>6.6714587393784912</v>
      </c>
      <c r="K146" s="96">
        <v>6.3042425488707048</v>
      </c>
      <c r="L146" s="96">
        <v>6.0745817411782026</v>
      </c>
      <c r="M146" s="96">
        <v>5.8585102189412357</v>
      </c>
      <c r="N146" s="96">
        <v>5.7038106398232946</v>
      </c>
      <c r="O146" s="96">
        <v>5.5142285832461724</v>
      </c>
      <c r="P146" s="96">
        <v>5.4622755254223367</v>
      </c>
      <c r="Q146" s="96">
        <v>5.3252092762261256</v>
      </c>
      <c r="R146" s="96">
        <v>5.2860049904126214</v>
      </c>
      <c r="S146" s="96">
        <v>5.2269575359232006</v>
      </c>
      <c r="T146" s="96">
        <v>5.2730220821966913</v>
      </c>
      <c r="U146" s="96">
        <v>5.2333544369307141</v>
      </c>
      <c r="V146" s="96">
        <v>4.921655294577957</v>
      </c>
      <c r="W146" s="96">
        <v>4.7096758265586844</v>
      </c>
      <c r="DA146" s="171" t="s">
        <v>887</v>
      </c>
    </row>
    <row r="147" spans="1:105" ht="11.45" customHeight="1" x14ac:dyDescent="0.25">
      <c r="A147" s="111" t="s">
        <v>111</v>
      </c>
      <c r="B147" s="96">
        <v>6.8378041651844059</v>
      </c>
      <c r="C147" s="96">
        <v>6.8344070494490756</v>
      </c>
      <c r="D147" s="96">
        <v>6.8306344558146312</v>
      </c>
      <c r="E147" s="96">
        <v>6.8461964045567125</v>
      </c>
      <c r="F147" s="96">
        <v>6.8010431744944571</v>
      </c>
      <c r="G147" s="96">
        <v>6.8213208652795938</v>
      </c>
      <c r="H147" s="96">
        <v>6.8650593727289353</v>
      </c>
      <c r="I147" s="96">
        <v>6.8018684293519929</v>
      </c>
      <c r="J147" s="96">
        <v>6.494991515900165</v>
      </c>
      <c r="K147" s="96">
        <v>6.2397519778197923</v>
      </c>
      <c r="L147" s="96">
        <v>6.0000743884815435</v>
      </c>
      <c r="M147" s="96">
        <v>5.756118936224901</v>
      </c>
      <c r="N147" s="96">
        <v>5.8451757414723309</v>
      </c>
      <c r="O147" s="96">
        <v>5.5093804981871815</v>
      </c>
      <c r="P147" s="96">
        <v>5.4452771735399761</v>
      </c>
      <c r="Q147" s="96">
        <v>5.3214692850139533</v>
      </c>
      <c r="R147" s="96">
        <v>4.985039148289272</v>
      </c>
      <c r="S147" s="96">
        <v>5.0917325791648063</v>
      </c>
      <c r="T147" s="96">
        <v>5.3885313148432736</v>
      </c>
      <c r="U147" s="96">
        <v>5.305436795998423</v>
      </c>
      <c r="V147" s="96">
        <v>5.2419337847785963</v>
      </c>
      <c r="W147" s="96">
        <v>5.0852876365722866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7.6429404224491977</v>
      </c>
      <c r="D148" s="96">
        <v>0</v>
      </c>
      <c r="E148" s="96">
        <v>7.6561244979739431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6.7099033975630826</v>
      </c>
      <c r="M148" s="96">
        <v>5.3350729529050689</v>
      </c>
      <c r="N148" s="96">
        <v>6.3519762737508652</v>
      </c>
      <c r="O148" s="96">
        <v>5.8109197326035575</v>
      </c>
      <c r="P148" s="96">
        <v>5.6296974349830986</v>
      </c>
      <c r="Q148" s="96">
        <v>4.7288673553553338</v>
      </c>
      <c r="R148" s="96">
        <v>4.3521413724747955</v>
      </c>
      <c r="S148" s="96">
        <v>0</v>
      </c>
      <c r="T148" s="96">
        <v>4.7280544873387029</v>
      </c>
      <c r="U148" s="96">
        <v>4.8997265288084675</v>
      </c>
      <c r="V148" s="96">
        <v>4.7705230664808091</v>
      </c>
      <c r="W148" s="96">
        <v>5.1297696133317903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10.036319824087437</v>
      </c>
      <c r="M149" s="96">
        <v>7.2031003522158645</v>
      </c>
      <c r="N149" s="96">
        <v>6.1946663029056426</v>
      </c>
      <c r="O149" s="96">
        <v>6.6593824546615199</v>
      </c>
      <c r="P149" s="96">
        <v>6.6199922284650627</v>
      </c>
      <c r="Q149" s="96">
        <v>4.768687249174322</v>
      </c>
      <c r="R149" s="96">
        <v>6.0506042958613264</v>
      </c>
      <c r="S149" s="96">
        <v>4.9623636955123152</v>
      </c>
      <c r="T149" s="96">
        <v>6.1946663029056426</v>
      </c>
      <c r="U149" s="96">
        <v>6.1946663029056426</v>
      </c>
      <c r="V149" s="96">
        <v>4.9387030318697906</v>
      </c>
      <c r="W149" s="96">
        <v>4.4582134511829512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2.428065157458271</v>
      </c>
      <c r="O150" s="96">
        <v>0</v>
      </c>
      <c r="P150" s="96">
        <v>2.319932212870818</v>
      </c>
      <c r="Q150" s="96">
        <v>2.0545328508653</v>
      </c>
      <c r="R150" s="96">
        <v>2.7100841805240732</v>
      </c>
      <c r="S150" s="96">
        <v>3.0035997611806922</v>
      </c>
      <c r="T150" s="96">
        <v>2.9444226659841544</v>
      </c>
      <c r="U150" s="96">
        <v>2.8463774965935937</v>
      </c>
      <c r="V150" s="96">
        <v>3.1349327900769066</v>
      </c>
      <c r="W150" s="96">
        <v>2.9030468520898287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1.3424803607346911</v>
      </c>
      <c r="M151" s="96">
        <v>1.3424803607346911</v>
      </c>
      <c r="N151" s="96">
        <v>1.2386286037957945</v>
      </c>
      <c r="O151" s="96">
        <v>1.2897678417884781</v>
      </c>
      <c r="P151" s="96">
        <v>1.3087437364722623</v>
      </c>
      <c r="Q151" s="96">
        <v>1.3034827284807737</v>
      </c>
      <c r="R151" s="96">
        <v>1.3136381719947128</v>
      </c>
      <c r="S151" s="96">
        <v>1.1941362749826983</v>
      </c>
      <c r="T151" s="96">
        <v>1.1715172624859724</v>
      </c>
      <c r="U151" s="96">
        <v>1.5825761344473706</v>
      </c>
      <c r="V151" s="96">
        <v>1.4738729551632082</v>
      </c>
      <c r="W151" s="96">
        <v>1.4223068419113132</v>
      </c>
      <c r="DA151" s="171" t="s">
        <v>892</v>
      </c>
    </row>
    <row r="152" spans="1:105" ht="11.45" customHeight="1" x14ac:dyDescent="0.25">
      <c r="A152" s="109" t="s">
        <v>21</v>
      </c>
      <c r="B152" s="130">
        <v>47.013141048322403</v>
      </c>
      <c r="C152" s="130">
        <v>47.064214419072101</v>
      </c>
      <c r="D152" s="130">
        <v>47.035778594196543</v>
      </c>
      <c r="E152" s="130">
        <v>46.826547330135263</v>
      </c>
      <c r="F152" s="130">
        <v>46.798873552351218</v>
      </c>
      <c r="G152" s="130">
        <v>46.661443093425227</v>
      </c>
      <c r="H152" s="130">
        <v>46.4899065218193</v>
      </c>
      <c r="I152" s="130">
        <v>46.321209643292896</v>
      </c>
      <c r="J152" s="130">
        <v>45.557624543778068</v>
      </c>
      <c r="K152" s="130">
        <v>45.09821406949559</v>
      </c>
      <c r="L152" s="130">
        <v>44.482812350414974</v>
      </c>
      <c r="M152" s="130">
        <v>43.963472329578636</v>
      </c>
      <c r="N152" s="130">
        <v>43.796017902246518</v>
      </c>
      <c r="O152" s="130">
        <v>43.585087613071003</v>
      </c>
      <c r="P152" s="130">
        <v>43.382809098616853</v>
      </c>
      <c r="Q152" s="130">
        <v>42.318793655915947</v>
      </c>
      <c r="R152" s="130">
        <v>42.356282696443955</v>
      </c>
      <c r="S152" s="130">
        <v>42.494368099283747</v>
      </c>
      <c r="T152" s="130">
        <v>42.444879198578484</v>
      </c>
      <c r="U152" s="130">
        <v>42.317018300602179</v>
      </c>
      <c r="V152" s="130">
        <v>41.255015924286049</v>
      </c>
      <c r="W152" s="130">
        <v>41.137390077894516</v>
      </c>
      <c r="DA152" s="176" t="s">
        <v>893</v>
      </c>
    </row>
    <row r="153" spans="1:105" ht="11.45" customHeight="1" x14ac:dyDescent="0.25">
      <c r="A153" s="111" t="s">
        <v>110</v>
      </c>
      <c r="B153" s="97">
        <v>15.960029158527696</v>
      </c>
      <c r="C153" s="97">
        <v>0</v>
      </c>
      <c r="D153" s="97">
        <v>0</v>
      </c>
      <c r="E153" s="97">
        <v>0</v>
      </c>
      <c r="F153" s="97">
        <v>15.558100192337863</v>
      </c>
      <c r="G153" s="97">
        <v>15.348513083660711</v>
      </c>
      <c r="H153" s="97">
        <v>0</v>
      </c>
      <c r="I153" s="97">
        <v>14.818380985242033</v>
      </c>
      <c r="J153" s="97">
        <v>14.098915994530969</v>
      </c>
      <c r="K153" s="97">
        <v>0</v>
      </c>
      <c r="L153" s="97">
        <v>12.838311179105158</v>
      </c>
      <c r="M153" s="97">
        <v>12.387101012395636</v>
      </c>
      <c r="N153" s="97">
        <v>12.083528009798988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11.068356439926861</v>
      </c>
      <c r="U153" s="97">
        <v>0</v>
      </c>
      <c r="V153" s="97">
        <v>10.981563674307393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47.211141761753609</v>
      </c>
      <c r="C154" s="97">
        <v>47.14660823405066</v>
      </c>
      <c r="D154" s="97">
        <v>47.075007767335997</v>
      </c>
      <c r="E154" s="97">
        <v>46.926305349899692</v>
      </c>
      <c r="F154" s="97">
        <v>46.910042263745062</v>
      </c>
      <c r="G154" s="97">
        <v>46.750445522143018</v>
      </c>
      <c r="H154" s="97">
        <v>46.511118646468042</v>
      </c>
      <c r="I154" s="97">
        <v>46.338662733962174</v>
      </c>
      <c r="J154" s="97">
        <v>45.754946192384459</v>
      </c>
      <c r="K154" s="97">
        <v>45.09821406949559</v>
      </c>
      <c r="L154" s="97">
        <v>44.676653092658832</v>
      </c>
      <c r="M154" s="97">
        <v>44.27347878009796</v>
      </c>
      <c r="N154" s="97">
        <v>43.997145050868774</v>
      </c>
      <c r="O154" s="97">
        <v>43.598845338369863</v>
      </c>
      <c r="P154" s="97">
        <v>43.489203338359538</v>
      </c>
      <c r="Q154" s="97">
        <v>43.199999999908329</v>
      </c>
      <c r="R154" s="97">
        <v>42.941361699122204</v>
      </c>
      <c r="S154" s="97">
        <v>42.709911432275291</v>
      </c>
      <c r="T154" s="97">
        <v>42.502672994085998</v>
      </c>
      <c r="U154" s="97">
        <v>42.317018300602179</v>
      </c>
      <c r="V154" s="97">
        <v>42.150622542259001</v>
      </c>
      <c r="W154" s="97">
        <v>42.001425850021633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36.24100278196628</v>
      </c>
      <c r="Q155" s="97">
        <v>0</v>
      </c>
      <c r="R155" s="97">
        <v>35.784468082601848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39.288840195042219</v>
      </c>
      <c r="D156" s="97">
        <v>39.229173139446665</v>
      </c>
      <c r="E156" s="97">
        <v>39.105254458249739</v>
      </c>
      <c r="F156" s="97">
        <v>39.091701886454217</v>
      </c>
      <c r="G156" s="97">
        <v>38.958704601785847</v>
      </c>
      <c r="H156" s="97">
        <v>38.759265538723369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36.582978901497782</v>
      </c>
      <c r="O156" s="97">
        <v>0</v>
      </c>
      <c r="P156" s="97">
        <v>36.24100278196628</v>
      </c>
      <c r="Q156" s="97">
        <v>35.99999999992361</v>
      </c>
      <c r="R156" s="97">
        <v>35.784468082601848</v>
      </c>
      <c r="S156" s="97">
        <v>35.591592860229426</v>
      </c>
      <c r="T156" s="97">
        <v>35.418894161738358</v>
      </c>
      <c r="U156" s="97">
        <v>0</v>
      </c>
      <c r="V156" s="97">
        <v>0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25.937638691716753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23.457535500843449</v>
      </c>
      <c r="P157" s="97">
        <v>23.222960145835014</v>
      </c>
      <c r="Q157" s="97">
        <v>22.990730544376664</v>
      </c>
      <c r="R157" s="97">
        <v>22.783710129838763</v>
      </c>
      <c r="S157" s="97">
        <v>0</v>
      </c>
      <c r="T157" s="97">
        <v>22.434015266687837</v>
      </c>
      <c r="U157" s="97">
        <v>0</v>
      </c>
      <c r="V157" s="97">
        <v>22.154700752560991</v>
      </c>
      <c r="W157" s="97">
        <v>22.036684391935477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8.1658895838149306</v>
      </c>
      <c r="C159" s="141">
        <v>8.2244961047809184</v>
      </c>
      <c r="D159" s="141">
        <v>8.2343234604636546</v>
      </c>
      <c r="E159" s="141">
        <v>8.244178923308608</v>
      </c>
      <c r="F159" s="141">
        <v>8.2191932666109757</v>
      </c>
      <c r="G159" s="141">
        <v>8.2305849746766846</v>
      </c>
      <c r="H159" s="141">
        <v>8.2683743443124964</v>
      </c>
      <c r="I159" s="141">
        <v>8.235192839401666</v>
      </c>
      <c r="J159" s="141">
        <v>8.1529115845158202</v>
      </c>
      <c r="K159" s="141">
        <v>8.0286538862544443</v>
      </c>
      <c r="L159" s="141">
        <v>8.2199182613455033</v>
      </c>
      <c r="M159" s="141">
        <v>8.3029036376042509</v>
      </c>
      <c r="N159" s="141">
        <v>7.6971077262070908</v>
      </c>
      <c r="O159" s="141">
        <v>7.4204397585896693</v>
      </c>
      <c r="P159" s="141">
        <v>7.1453190136225739</v>
      </c>
      <c r="Q159" s="141">
        <v>7.0461151072602108</v>
      </c>
      <c r="R159" s="141">
        <v>6.722724575159174</v>
      </c>
      <c r="S159" s="141">
        <v>6.7608537530450965</v>
      </c>
      <c r="T159" s="141">
        <v>6.6828866146367787</v>
      </c>
      <c r="U159" s="141">
        <v>6.5716962322739958</v>
      </c>
      <c r="V159" s="141">
        <v>6.9134465410510755</v>
      </c>
      <c r="W159" s="141">
        <v>6.7309434198642935</v>
      </c>
      <c r="DA159" s="174" t="s">
        <v>899</v>
      </c>
    </row>
    <row r="160" spans="1:105" ht="11.45" customHeight="1" x14ac:dyDescent="0.25">
      <c r="A160" s="111" t="s">
        <v>110</v>
      </c>
      <c r="B160" s="96">
        <v>7.1346729823725612</v>
      </c>
      <c r="C160" s="96">
        <v>7.0958311785445556</v>
      </c>
      <c r="D160" s="96">
        <v>7.0529215753012098</v>
      </c>
      <c r="E160" s="96">
        <v>6.9646419557845043</v>
      </c>
      <c r="F160" s="96">
        <v>6.9549971367068713</v>
      </c>
      <c r="G160" s="96">
        <v>6.861304608524148</v>
      </c>
      <c r="H160" s="96">
        <v>6.7229309797164687</v>
      </c>
      <c r="I160" s="96">
        <v>6.6243176254737284</v>
      </c>
      <c r="J160" s="96">
        <v>6.302692434191016</v>
      </c>
      <c r="K160" s="96">
        <v>5.9557741969598137</v>
      </c>
      <c r="L160" s="96">
        <v>5.7391594337978651</v>
      </c>
      <c r="M160" s="96">
        <v>5.5374532242528653</v>
      </c>
      <c r="N160" s="96">
        <v>5.4017458218232948</v>
      </c>
      <c r="O160" s="96">
        <v>5.6113530543309853</v>
      </c>
      <c r="P160" s="96">
        <v>5.6099716965889996</v>
      </c>
      <c r="Q160" s="96">
        <v>5.7217638100294872</v>
      </c>
      <c r="R160" s="96">
        <v>5.0782106489467411</v>
      </c>
      <c r="S160" s="96">
        <v>6.0301686608872735</v>
      </c>
      <c r="T160" s="96">
        <v>6.031163470434235</v>
      </c>
      <c r="U160" s="96">
        <v>6.3334643059207067</v>
      </c>
      <c r="V160" s="96">
        <v>5.2978214674809756</v>
      </c>
      <c r="W160" s="96">
        <v>5.4104164397193655</v>
      </c>
      <c r="DA160" s="171" t="s">
        <v>900</v>
      </c>
    </row>
    <row r="161" spans="1:105" ht="11.45" customHeight="1" x14ac:dyDescent="0.25">
      <c r="A161" s="111" t="s">
        <v>111</v>
      </c>
      <c r="B161" s="96">
        <v>8.2777291339907908</v>
      </c>
      <c r="C161" s="96">
        <v>8.2736166436043206</v>
      </c>
      <c r="D161" s="96">
        <v>8.2690496060752885</v>
      </c>
      <c r="E161" s="96">
        <v>8.2878886358825348</v>
      </c>
      <c r="F161" s="96">
        <v>8.23322690545697</v>
      </c>
      <c r="G161" s="96">
        <v>8.2577747321754984</v>
      </c>
      <c r="H161" s="96">
        <v>8.3107238235276775</v>
      </c>
      <c r="I161" s="96">
        <v>8.2342259449164441</v>
      </c>
      <c r="J161" s="96">
        <v>7.8627259859144942</v>
      </c>
      <c r="K161" s="96">
        <v>7.553737353091126</v>
      </c>
      <c r="L161" s="96">
        <v>7.2635877500750032</v>
      </c>
      <c r="M161" s="96">
        <v>6.9682594391499251</v>
      </c>
      <c r="N161" s="96">
        <v>7.0760700891142152</v>
      </c>
      <c r="O161" s="96">
        <v>6.983419711487171</v>
      </c>
      <c r="P161" s="96">
        <v>6.8331432646099382</v>
      </c>
      <c r="Q161" s="96">
        <v>6.8227643586546769</v>
      </c>
      <c r="R161" s="96">
        <v>6.4803570329601543</v>
      </c>
      <c r="S161" s="96">
        <v>6.2871897097409493</v>
      </c>
      <c r="T161" s="96">
        <v>6.3306973743013764</v>
      </c>
      <c r="U161" s="96">
        <v>6.0688671194240831</v>
      </c>
      <c r="V161" s="96">
        <v>7.1164437424882916</v>
      </c>
      <c r="W161" s="96">
        <v>7.1607919334074923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9.679625432225512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8.0446461290860789</v>
      </c>
      <c r="O162" s="96">
        <v>0</v>
      </c>
      <c r="P162" s="96">
        <v>0</v>
      </c>
      <c r="Q162" s="96">
        <v>7.2272756667725204</v>
      </c>
      <c r="R162" s="96">
        <v>0</v>
      </c>
      <c r="S162" s="96">
        <v>0</v>
      </c>
      <c r="T162" s="96">
        <v>0</v>
      </c>
      <c r="U162" s="96">
        <v>0</v>
      </c>
      <c r="V162" s="96">
        <v>5.3371270086334262</v>
      </c>
      <c r="W162" s="96">
        <v>5.5263868316346114</v>
      </c>
      <c r="DA162" s="171" t="s">
        <v>902</v>
      </c>
    </row>
    <row r="163" spans="1:105" ht="11.45" customHeight="1" x14ac:dyDescent="0.25">
      <c r="A163" s="111" t="s">
        <v>113</v>
      </c>
      <c r="B163" s="96">
        <v>9.6699221500255099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6.3079937999327305</v>
      </c>
      <c r="O163" s="96">
        <v>6.1593534231541645</v>
      </c>
      <c r="P163" s="96">
        <v>5.6732885414255847</v>
      </c>
      <c r="Q163" s="96">
        <v>7.5757768675662929</v>
      </c>
      <c r="R163" s="96">
        <v>8.6580307057900505</v>
      </c>
      <c r="S163" s="96">
        <v>6.5023681052579834</v>
      </c>
      <c r="T163" s="96">
        <v>8.0366409422166019</v>
      </c>
      <c r="U163" s="96">
        <v>5.8327785807427697</v>
      </c>
      <c r="V163" s="96">
        <v>5.9620425155195846</v>
      </c>
      <c r="W163" s="96">
        <v>6.6225453155805702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0</v>
      </c>
      <c r="O164" s="96">
        <v>1.4067222365919503</v>
      </c>
      <c r="P164" s="96">
        <v>1.418744625967326</v>
      </c>
      <c r="Q164" s="96">
        <v>1.436953113145516</v>
      </c>
      <c r="R164" s="96">
        <v>1.4105987238086621</v>
      </c>
      <c r="S164" s="96">
        <v>1.4105556237972401</v>
      </c>
      <c r="T164" s="96">
        <v>1.7138593214140998</v>
      </c>
      <c r="U164" s="96">
        <v>1.9200506173039793</v>
      </c>
      <c r="V164" s="96">
        <v>2.2196065683786674</v>
      </c>
      <c r="W164" s="96">
        <v>2.5061921689916704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30.216479288039565</v>
      </c>
      <c r="D165" s="130">
        <v>30.074122960474419</v>
      </c>
      <c r="E165" s="130">
        <v>29.801653972610652</v>
      </c>
      <c r="F165" s="130">
        <v>30.115142285136653</v>
      </c>
      <c r="G165" s="130">
        <v>29.272156122605558</v>
      </c>
      <c r="H165" s="130">
        <v>28.962318545819375</v>
      </c>
      <c r="I165" s="130">
        <v>28.92305276920559</v>
      </c>
      <c r="J165" s="130">
        <v>30.078765127144475</v>
      </c>
      <c r="K165" s="130">
        <v>27.618167367391713</v>
      </c>
      <c r="L165" s="130">
        <v>27.199299380569119</v>
      </c>
      <c r="M165" s="130">
        <v>28.383844977773258</v>
      </c>
      <c r="N165" s="130">
        <v>27.700537427086413</v>
      </c>
      <c r="O165" s="130">
        <v>27.428786695241151</v>
      </c>
      <c r="P165" s="130">
        <v>25.988169516072158</v>
      </c>
      <c r="Q165" s="130">
        <v>25.967996314441205</v>
      </c>
      <c r="R165" s="130">
        <v>25.08164687621521</v>
      </c>
      <c r="S165" s="130">
        <v>23.731687451250316</v>
      </c>
      <c r="T165" s="130">
        <v>22.754707910169479</v>
      </c>
      <c r="U165" s="130">
        <v>22.098967271533247</v>
      </c>
      <c r="V165" s="130">
        <v>21.59785955396832</v>
      </c>
      <c r="W165" s="130">
        <v>21.752212973194613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29.85309278344571</v>
      </c>
      <c r="D166" s="97">
        <v>29.700519830497072</v>
      </c>
      <c r="E166" s="97">
        <v>29.51053810479447</v>
      </c>
      <c r="F166" s="97">
        <v>29.283630353481158</v>
      </c>
      <c r="G166" s="97">
        <v>29.020369083734209</v>
      </c>
      <c r="H166" s="97">
        <v>28.721412992625702</v>
      </c>
      <c r="I166" s="97">
        <v>28.387502909841377</v>
      </c>
      <c r="J166" s="97">
        <v>28.019457299063632</v>
      </c>
      <c r="K166" s="97">
        <v>27.618167367391713</v>
      </c>
      <c r="L166" s="97">
        <v>27.184591836665028</v>
      </c>
      <c r="M166" s="97">
        <v>26.719751431395039</v>
      </c>
      <c r="N166" s="97">
        <v>26.224723140129562</v>
      </c>
      <c r="O166" s="97">
        <v>25.700634307738802</v>
      </c>
      <c r="P166" s="97">
        <v>25.148656614760199</v>
      </c>
      <c r="Q166" s="97">
        <v>24.569999999947854</v>
      </c>
      <c r="R166" s="97">
        <v>23.72119442292589</v>
      </c>
      <c r="S166" s="97">
        <v>23.127030519010518</v>
      </c>
      <c r="T166" s="97">
        <v>22.503158419899375</v>
      </c>
      <c r="U166" s="97">
        <v>21.740648076541312</v>
      </c>
      <c r="V166" s="97">
        <v>21.407518149044126</v>
      </c>
      <c r="W166" s="97">
        <v>21.193442967553686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124.66245000778061</v>
      </c>
      <c r="C171" s="152">
        <v>124.16715121253733</v>
      </c>
      <c r="D171" s="152">
        <v>123.06215753454718</v>
      </c>
      <c r="E171" s="152">
        <v>121.76642740763975</v>
      </c>
      <c r="F171" s="152">
        <v>119.72241408904426</v>
      </c>
      <c r="G171" s="152">
        <v>118.25474077876133</v>
      </c>
      <c r="H171" s="152">
        <v>116.78559137162793</v>
      </c>
      <c r="I171" s="152">
        <v>115.11976741489714</v>
      </c>
      <c r="J171" s="152">
        <v>113.23105633340214</v>
      </c>
      <c r="K171" s="152">
        <v>111.62349418244987</v>
      </c>
      <c r="L171" s="152">
        <v>110.16022504804694</v>
      </c>
      <c r="M171" s="152">
        <v>109.19246199362128</v>
      </c>
      <c r="N171" s="152">
        <v>107.72286525756712</v>
      </c>
      <c r="O171" s="152">
        <v>106.47640440077672</v>
      </c>
      <c r="P171" s="152">
        <v>104.80474172440186</v>
      </c>
      <c r="Q171" s="152">
        <v>102.62983999867446</v>
      </c>
      <c r="R171" s="152">
        <v>100.0763100097318</v>
      </c>
      <c r="S171" s="152">
        <v>98.900546088437906</v>
      </c>
      <c r="T171" s="152">
        <v>97.300070553613466</v>
      </c>
      <c r="U171" s="152">
        <v>95.651356517989456</v>
      </c>
      <c r="V171" s="152">
        <v>94.250616785200535</v>
      </c>
      <c r="W171" s="152">
        <v>89.109286925433238</v>
      </c>
      <c r="DA171" s="174" t="s">
        <v>908</v>
      </c>
    </row>
    <row r="172" spans="1:105" ht="11.45" customHeight="1" x14ac:dyDescent="0.25">
      <c r="A172" s="109" t="s">
        <v>20</v>
      </c>
      <c r="B172" s="116">
        <v>245.27662190646069</v>
      </c>
      <c r="C172" s="116">
        <v>241.68493805017891</v>
      </c>
      <c r="D172" s="116">
        <v>240.11895247867923</v>
      </c>
      <c r="E172" s="116">
        <v>233.46747588586041</v>
      </c>
      <c r="F172" s="116">
        <v>235.31536149527525</v>
      </c>
      <c r="G172" s="116">
        <v>231.05904281940963</v>
      </c>
      <c r="H172" s="116">
        <v>234.80874335158293</v>
      </c>
      <c r="I172" s="116">
        <v>231.77079402317548</v>
      </c>
      <c r="J172" s="116">
        <v>228.13727474851024</v>
      </c>
      <c r="K172" s="116">
        <v>228.01917568532616</v>
      </c>
      <c r="L172" s="116">
        <v>226.57219347685989</v>
      </c>
      <c r="M172" s="116">
        <v>221.53392687578662</v>
      </c>
      <c r="N172" s="116">
        <v>222.54650985174598</v>
      </c>
      <c r="O172" s="116">
        <v>221.39069983852227</v>
      </c>
      <c r="P172" s="116">
        <v>218.61929585177637</v>
      </c>
      <c r="Q172" s="116">
        <v>215.49634161026179</v>
      </c>
      <c r="R172" s="116">
        <v>211.62855413226799</v>
      </c>
      <c r="S172" s="116">
        <v>207.06417268812044</v>
      </c>
      <c r="T172" s="116">
        <v>202.11853452253254</v>
      </c>
      <c r="U172" s="116">
        <v>196.6609146776311</v>
      </c>
      <c r="V172" s="116">
        <v>189.91363012309088</v>
      </c>
      <c r="W172" s="116">
        <v>188.39636755132449</v>
      </c>
      <c r="DA172" s="176" t="s">
        <v>909</v>
      </c>
    </row>
    <row r="173" spans="1:105" ht="11.45" customHeight="1" x14ac:dyDescent="0.25">
      <c r="A173" s="111" t="s">
        <v>110</v>
      </c>
      <c r="B173" s="87">
        <v>245.78733331323488</v>
      </c>
      <c r="C173" s="87">
        <v>241.34996575848035</v>
      </c>
      <c r="D173" s="87">
        <v>238.71931884170229</v>
      </c>
      <c r="E173" s="87">
        <v>236.39241735918048</v>
      </c>
      <c r="F173" s="87">
        <v>233.72679061898526</v>
      </c>
      <c r="G173" s="87">
        <v>231.17317196226441</v>
      </c>
      <c r="H173" s="87">
        <v>229.61001328412326</v>
      </c>
      <c r="I173" s="87">
        <v>227.96703513917245</v>
      </c>
      <c r="J173" s="87">
        <v>224.83835434954227</v>
      </c>
      <c r="K173" s="87">
        <v>223.64523253839343</v>
      </c>
      <c r="L173" s="87">
        <v>222.41759180923006</v>
      </c>
      <c r="M173" s="87">
        <v>221.35244593982938</v>
      </c>
      <c r="N173" s="87">
        <v>219.31915890993503</v>
      </c>
      <c r="O173" s="87">
        <v>217.60355934622896</v>
      </c>
      <c r="P173" s="87">
        <v>214.42513207271463</v>
      </c>
      <c r="Q173" s="87">
        <v>210.82644988647451</v>
      </c>
      <c r="R173" s="87">
        <v>206.18547312761342</v>
      </c>
      <c r="S173" s="87">
        <v>201.39385446041811</v>
      </c>
      <c r="T173" s="87">
        <v>196.05675181922271</v>
      </c>
      <c r="U173" s="87">
        <v>190.44145942553214</v>
      </c>
      <c r="V173" s="87">
        <v>184.82796333232287</v>
      </c>
      <c r="W173" s="87">
        <v>183.16328927680675</v>
      </c>
      <c r="DA173" s="171" t="s">
        <v>910</v>
      </c>
    </row>
    <row r="174" spans="1:105" ht="11.45" customHeight="1" x14ac:dyDescent="0.25">
      <c r="A174" s="111" t="s">
        <v>111</v>
      </c>
      <c r="B174" s="87">
        <v>239.13731462369498</v>
      </c>
      <c r="C174" s="87">
        <v>234.64502654997457</v>
      </c>
      <c r="D174" s="87">
        <v>230.8071278147855</v>
      </c>
      <c r="E174" s="87">
        <v>227.39484374500378</v>
      </c>
      <c r="F174" s="87">
        <v>224.48390128827509</v>
      </c>
      <c r="G174" s="87">
        <v>222.7725212511925</v>
      </c>
      <c r="H174" s="87">
        <v>219.40620729169078</v>
      </c>
      <c r="I174" s="87">
        <v>217.73735259533845</v>
      </c>
      <c r="J174" s="87">
        <v>215.8481585123335</v>
      </c>
      <c r="K174" s="87">
        <v>214.7608860508802</v>
      </c>
      <c r="L174" s="87">
        <v>213.33794250462068</v>
      </c>
      <c r="M174" s="87">
        <v>211.89612064160508</v>
      </c>
      <c r="N174" s="87">
        <v>210.56777815022613</v>
      </c>
      <c r="O174" s="87">
        <v>208.19390839639894</v>
      </c>
      <c r="P174" s="87">
        <v>205.12432967041133</v>
      </c>
      <c r="Q174" s="87">
        <v>201.39732485200554</v>
      </c>
      <c r="R174" s="87">
        <v>196.32191122325696</v>
      </c>
      <c r="S174" s="87">
        <v>192.6724077573123</v>
      </c>
      <c r="T174" s="87">
        <v>189.22500431988908</v>
      </c>
      <c r="U174" s="87">
        <v>186.45872603865433</v>
      </c>
      <c r="V174" s="87">
        <v>185.13550967412306</v>
      </c>
      <c r="W174" s="87">
        <v>182.51271533710266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181.00816447719521</v>
      </c>
      <c r="D175" s="87">
        <v>181.00816447719524</v>
      </c>
      <c r="E175" s="87">
        <v>187.42318222948455</v>
      </c>
      <c r="F175" s="87">
        <v>187.68638987845955</v>
      </c>
      <c r="G175" s="87">
        <v>187.69926761261209</v>
      </c>
      <c r="H175" s="87">
        <v>187.71195514801903</v>
      </c>
      <c r="I175" s="87">
        <v>187.71075303145685</v>
      </c>
      <c r="J175" s="87">
        <v>187.82704045414664</v>
      </c>
      <c r="K175" s="87">
        <v>187.82704045414661</v>
      </c>
      <c r="L175" s="87">
        <v>190.40022539699598</v>
      </c>
      <c r="M175" s="87">
        <v>197.47557679509077</v>
      </c>
      <c r="N175" s="87">
        <v>199.07261636337049</v>
      </c>
      <c r="O175" s="87">
        <v>200.99904235017505</v>
      </c>
      <c r="P175" s="87">
        <v>200.89243151834395</v>
      </c>
      <c r="Q175" s="87">
        <v>199.82250637145262</v>
      </c>
      <c r="R175" s="87">
        <v>199.82820768371889</v>
      </c>
      <c r="S175" s="87">
        <v>199.99659187938539</v>
      </c>
      <c r="T175" s="87">
        <v>200.44443334424221</v>
      </c>
      <c r="U175" s="87">
        <v>201.96381622243649</v>
      </c>
      <c r="V175" s="87">
        <v>203.54025220934105</v>
      </c>
      <c r="W175" s="87">
        <v>205.56438932419223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235.73255813953489</v>
      </c>
      <c r="M176" s="87">
        <v>169.18604651162792</v>
      </c>
      <c r="N176" s="87">
        <v>145.49999999999997</v>
      </c>
      <c r="O176" s="87">
        <v>156.34347675603701</v>
      </c>
      <c r="P176" s="87">
        <v>156.02104084488005</v>
      </c>
      <c r="Q176" s="87">
        <v>128.94454199216617</v>
      </c>
      <c r="R176" s="87">
        <v>130.08856585914768</v>
      </c>
      <c r="S176" s="87">
        <v>128.43929515639405</v>
      </c>
      <c r="T176" s="87">
        <v>129.49379372276033</v>
      </c>
      <c r="U176" s="87">
        <v>129.64345087043722</v>
      </c>
      <c r="V176" s="87">
        <v>129.5563013143184</v>
      </c>
      <c r="W176" s="87">
        <v>129.40552050473482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44.923924542657254</v>
      </c>
      <c r="O177" s="87">
        <v>44.923924542657254</v>
      </c>
      <c r="P177" s="87">
        <v>41.100417633058619</v>
      </c>
      <c r="Q177" s="87">
        <v>33.185169381941613</v>
      </c>
      <c r="R177" s="87">
        <v>44.712185455582514</v>
      </c>
      <c r="S177" s="87">
        <v>49.903314837661711</v>
      </c>
      <c r="T177" s="87">
        <v>50.536450180308712</v>
      </c>
      <c r="U177" s="87">
        <v>48.8976814670946</v>
      </c>
      <c r="V177" s="87">
        <v>46.638219174080021</v>
      </c>
      <c r="W177" s="87">
        <v>42.400849029509772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1490.341022686591</v>
      </c>
      <c r="C179" s="116">
        <v>1475.5649205386983</v>
      </c>
      <c r="D179" s="116">
        <v>1474.2805576722826</v>
      </c>
      <c r="E179" s="116">
        <v>1468.4808769720573</v>
      </c>
      <c r="F179" s="116">
        <v>1467.0736088169053</v>
      </c>
      <c r="G179" s="116">
        <v>1465.8794460668121</v>
      </c>
      <c r="H179" s="116">
        <v>1462.1833019143144</v>
      </c>
      <c r="I179" s="116">
        <v>1459.2340988502299</v>
      </c>
      <c r="J179" s="116">
        <v>1440.5265672585538</v>
      </c>
      <c r="K179" s="116">
        <v>1443.8213171039429</v>
      </c>
      <c r="L179" s="116">
        <v>1445.3220078494928</v>
      </c>
      <c r="M179" s="116">
        <v>1442.9497746651452</v>
      </c>
      <c r="N179" s="116">
        <v>1428.5513425928775</v>
      </c>
      <c r="O179" s="116">
        <v>1422.9942612580328</v>
      </c>
      <c r="P179" s="116">
        <v>1407.2511469030439</v>
      </c>
      <c r="Q179" s="116">
        <v>1364.988219187946</v>
      </c>
      <c r="R179" s="116">
        <v>1371.0025555853904</v>
      </c>
      <c r="S179" s="116">
        <v>1379.0184095485058</v>
      </c>
      <c r="T179" s="116">
        <v>1378.032099129912</v>
      </c>
      <c r="U179" s="116">
        <v>1371.4687760838913</v>
      </c>
      <c r="V179" s="116">
        <v>1330.0945654234645</v>
      </c>
      <c r="W179" s="116">
        <v>1317.4158078724365</v>
      </c>
      <c r="DA179" s="176" t="s">
        <v>916</v>
      </c>
    </row>
    <row r="180" spans="1:105" ht="11.45" customHeight="1" x14ac:dyDescent="0.25">
      <c r="A180" s="111" t="s">
        <v>110</v>
      </c>
      <c r="B180" s="101">
        <v>543.74077465963774</v>
      </c>
      <c r="C180" s="101">
        <v>543.39854892646633</v>
      </c>
      <c r="D180" s="101">
        <v>543.36392550791822</v>
      </c>
      <c r="E180" s="101">
        <v>543.32132002078367</v>
      </c>
      <c r="F180" s="101">
        <v>543.06162951737952</v>
      </c>
      <c r="G180" s="101">
        <v>542.83777846858277</v>
      </c>
      <c r="H180" s="101">
        <v>542.70117204885173</v>
      </c>
      <c r="I180" s="101">
        <v>542.31278707937986</v>
      </c>
      <c r="J180" s="101">
        <v>539.91059889041662</v>
      </c>
      <c r="K180" s="101">
        <v>539.05545137734418</v>
      </c>
      <c r="L180" s="101">
        <v>535.55274879774754</v>
      </c>
      <c r="M180" s="101">
        <v>527.59781029601436</v>
      </c>
      <c r="N180" s="101">
        <v>518.83345523310049</v>
      </c>
      <c r="O180" s="101">
        <v>518.23951794057552</v>
      </c>
      <c r="P180" s="101">
        <v>514.73924997143013</v>
      </c>
      <c r="Q180" s="101">
        <v>506.85273682171834</v>
      </c>
      <c r="R180" s="101">
        <v>491.98992258408674</v>
      </c>
      <c r="S180" s="101">
        <v>482.91225525223149</v>
      </c>
      <c r="T180" s="101">
        <v>478.95829777286338</v>
      </c>
      <c r="U180" s="101">
        <v>478.41089409521936</v>
      </c>
      <c r="V180" s="101">
        <v>460.26637481438985</v>
      </c>
      <c r="W180" s="101">
        <v>458.96540580010401</v>
      </c>
      <c r="DA180" s="175" t="s">
        <v>917</v>
      </c>
    </row>
    <row r="181" spans="1:105" ht="11.45" customHeight="1" x14ac:dyDescent="0.25">
      <c r="A181" s="111" t="s">
        <v>111</v>
      </c>
      <c r="B181" s="101">
        <v>1639.24378468751</v>
      </c>
      <c r="C181" s="101">
        <v>1595.6057648635351</v>
      </c>
      <c r="D181" s="101">
        <v>1571.75007119157</v>
      </c>
      <c r="E181" s="101">
        <v>1551.5035406107174</v>
      </c>
      <c r="F181" s="101">
        <v>1537.0687004641193</v>
      </c>
      <c r="G181" s="101">
        <v>1520.4921026016161</v>
      </c>
      <c r="H181" s="101">
        <v>1498.3733740871676</v>
      </c>
      <c r="I181" s="101">
        <v>1486.2809378705217</v>
      </c>
      <c r="J181" s="101">
        <v>1469.2109081315766</v>
      </c>
      <c r="K181" s="101">
        <v>1464.8561823916891</v>
      </c>
      <c r="L181" s="101">
        <v>1459.6877000779295</v>
      </c>
      <c r="M181" s="101">
        <v>1452.6917926708675</v>
      </c>
      <c r="N181" s="101">
        <v>1439.7154323110337</v>
      </c>
      <c r="O181" s="101">
        <v>1429.2978032454939</v>
      </c>
      <c r="P181" s="101">
        <v>1415.950145041186</v>
      </c>
      <c r="Q181" s="101">
        <v>1404.5262840985749</v>
      </c>
      <c r="R181" s="101">
        <v>1396.7591244215216</v>
      </c>
      <c r="S181" s="101">
        <v>1388.5408150999681</v>
      </c>
      <c r="T181" s="101">
        <v>1379.295386717431</v>
      </c>
      <c r="U181" s="101">
        <v>1370.2451468603133</v>
      </c>
      <c r="V181" s="101">
        <v>1356.4352858637699</v>
      </c>
      <c r="W181" s="101">
        <v>1352.4178674055795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957.44047012395492</v>
      </c>
      <c r="Q182" s="101">
        <v>957.44047012395504</v>
      </c>
      <c r="R182" s="101">
        <v>951.18822910079564</v>
      </c>
      <c r="S182" s="101">
        <v>951.18822910079507</v>
      </c>
      <c r="T182" s="101">
        <v>951.18822910079541</v>
      </c>
      <c r="U182" s="101">
        <v>951.18822910079564</v>
      </c>
      <c r="V182" s="101">
        <v>951.1882291007953</v>
      </c>
      <c r="W182" s="101">
        <v>951.1882291007953</v>
      </c>
      <c r="DA182" s="175" t="s">
        <v>919</v>
      </c>
    </row>
    <row r="183" spans="1:105" ht="11.45" customHeight="1" x14ac:dyDescent="0.25">
      <c r="A183" s="111" t="s">
        <v>113</v>
      </c>
      <c r="B183" s="101">
        <v>1015.2499481693403</v>
      </c>
      <c r="C183" s="101">
        <v>991.56159219379833</v>
      </c>
      <c r="D183" s="101">
        <v>981.70771513075954</v>
      </c>
      <c r="E183" s="101">
        <v>966.16338692017393</v>
      </c>
      <c r="F183" s="101">
        <v>958.81462596659696</v>
      </c>
      <c r="G183" s="101">
        <v>949.12598121453641</v>
      </c>
      <c r="H183" s="101">
        <v>942.69957423866231</v>
      </c>
      <c r="I183" s="101">
        <v>933.65356344530653</v>
      </c>
      <c r="J183" s="101">
        <v>917.79695090492464</v>
      </c>
      <c r="K183" s="101">
        <v>917.79695090492464</v>
      </c>
      <c r="L183" s="101">
        <v>916.53110728531578</v>
      </c>
      <c r="M183" s="101">
        <v>915.82316386598359</v>
      </c>
      <c r="N183" s="101">
        <v>902.94468195338015</v>
      </c>
      <c r="O183" s="101">
        <v>897.57167306634915</v>
      </c>
      <c r="P183" s="101">
        <v>879.59163450995425</v>
      </c>
      <c r="Q183" s="101">
        <v>854.89327511791942</v>
      </c>
      <c r="R183" s="101">
        <v>849.25313365751458</v>
      </c>
      <c r="S183" s="101">
        <v>847.50078417306133</v>
      </c>
      <c r="T183" s="101">
        <v>847.23859307054738</v>
      </c>
      <c r="U183" s="101">
        <v>844.9107856621082</v>
      </c>
      <c r="V183" s="101">
        <v>842.42446377745068</v>
      </c>
      <c r="W183" s="101">
        <v>842.40062347322817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274.41197545850451</v>
      </c>
      <c r="C186" s="152">
        <v>267.73139555361064</v>
      </c>
      <c r="D186" s="152">
        <v>267.01400989132583</v>
      </c>
      <c r="E186" s="152">
        <v>266.1809761642794</v>
      </c>
      <c r="F186" s="152">
        <v>263.56308958249662</v>
      </c>
      <c r="G186" s="152">
        <v>263.60502323696704</v>
      </c>
      <c r="H186" s="152">
        <v>263.43468235455987</v>
      </c>
      <c r="I186" s="152">
        <v>260.13708350584392</v>
      </c>
      <c r="J186" s="152">
        <v>249.21420988771257</v>
      </c>
      <c r="K186" s="152">
        <v>241.79190030067542</v>
      </c>
      <c r="L186" s="152">
        <v>222.32827329733527</v>
      </c>
      <c r="M186" s="152">
        <v>212.76442004332287</v>
      </c>
      <c r="N186" s="152">
        <v>231.7165469394437</v>
      </c>
      <c r="O186" s="152">
        <v>225.94930877598611</v>
      </c>
      <c r="P186" s="152">
        <v>231.75977250991463</v>
      </c>
      <c r="Q186" s="152">
        <v>233.52149325730028</v>
      </c>
      <c r="R186" s="152">
        <v>228.86208863112748</v>
      </c>
      <c r="S186" s="152">
        <v>217.22034597521605</v>
      </c>
      <c r="T186" s="152">
        <v>217.43150681708084</v>
      </c>
      <c r="U186" s="152">
        <v>208.69363863437439</v>
      </c>
      <c r="V186" s="152">
        <v>228.53404465274184</v>
      </c>
      <c r="W186" s="152">
        <v>232.01785230471836</v>
      </c>
      <c r="DA186" s="174" t="s">
        <v>922</v>
      </c>
    </row>
    <row r="187" spans="1:105" ht="11.45" customHeight="1" x14ac:dyDescent="0.25">
      <c r="A187" s="111" t="s">
        <v>110</v>
      </c>
      <c r="B187" s="87">
        <v>232.20138602515448</v>
      </c>
      <c r="C187" s="87">
        <v>230.59048789303213</v>
      </c>
      <c r="D187" s="87">
        <v>229.87449244010034</v>
      </c>
      <c r="E187" s="87">
        <v>229.2166655554183</v>
      </c>
      <c r="F187" s="87">
        <v>228.44296199314917</v>
      </c>
      <c r="G187" s="87">
        <v>227.69005090081384</v>
      </c>
      <c r="H187" s="87">
        <v>227.17384341456119</v>
      </c>
      <c r="I187" s="87">
        <v>226.20766007969303</v>
      </c>
      <c r="J187" s="87">
        <v>224.48599436307529</v>
      </c>
      <c r="K187" s="87">
        <v>223.07824433955196</v>
      </c>
      <c r="L187" s="87">
        <v>222.01304017300933</v>
      </c>
      <c r="M187" s="87">
        <v>221.66214641095598</v>
      </c>
      <c r="N187" s="87">
        <v>220.84259958821102</v>
      </c>
      <c r="O187" s="87">
        <v>203.92089037386901</v>
      </c>
      <c r="P187" s="87">
        <v>195.97836810895663</v>
      </c>
      <c r="Q187" s="87">
        <v>190.74890863277139</v>
      </c>
      <c r="R187" s="87">
        <v>186.46385755072376</v>
      </c>
      <c r="S187" s="87">
        <v>182.70382606847457</v>
      </c>
      <c r="T187" s="87">
        <v>180.81604552053554</v>
      </c>
      <c r="U187" s="87">
        <v>178.98690127622493</v>
      </c>
      <c r="V187" s="87">
        <v>177.02612285119301</v>
      </c>
      <c r="W187" s="87">
        <v>175.70478748078531</v>
      </c>
      <c r="DA187" s="171" t="s">
        <v>923</v>
      </c>
    </row>
    <row r="188" spans="1:105" ht="11.45" customHeight="1" x14ac:dyDescent="0.25">
      <c r="A188" s="111" t="s">
        <v>111</v>
      </c>
      <c r="B188" s="87">
        <v>289.4955556586192</v>
      </c>
      <c r="C188" s="87">
        <v>278.81451946800939</v>
      </c>
      <c r="D188" s="87">
        <v>274.06074016251171</v>
      </c>
      <c r="E188" s="87">
        <v>270.84631784534673</v>
      </c>
      <c r="F188" s="87">
        <v>268.39036389108327</v>
      </c>
      <c r="G188" s="87">
        <v>266.85585954047042</v>
      </c>
      <c r="H188" s="87">
        <v>264.40293364911082</v>
      </c>
      <c r="I188" s="87">
        <v>262.49820863508597</v>
      </c>
      <c r="J188" s="87">
        <v>259.87302266909251</v>
      </c>
      <c r="K188" s="87">
        <v>257.95295482314748</v>
      </c>
      <c r="L188" s="87">
        <v>254.66712964144978</v>
      </c>
      <c r="M188" s="87">
        <v>255.0171869269185</v>
      </c>
      <c r="N188" s="87">
        <v>253.88558232943376</v>
      </c>
      <c r="O188" s="87">
        <v>251.37313521644467</v>
      </c>
      <c r="P188" s="87">
        <v>247.90096633842361</v>
      </c>
      <c r="Q188" s="87">
        <v>243.86643350799457</v>
      </c>
      <c r="R188" s="87">
        <v>238.68386458348053</v>
      </c>
      <c r="S188" s="87">
        <v>234.2031352307184</v>
      </c>
      <c r="T188" s="87">
        <v>230.04461684322933</v>
      </c>
      <c r="U188" s="87">
        <v>225.46104353483156</v>
      </c>
      <c r="V188" s="87">
        <v>223.06020147750593</v>
      </c>
      <c r="W188" s="87">
        <v>220.30912967358037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255.72319784333953</v>
      </c>
      <c r="D189" s="87">
        <v>255.72319784333959</v>
      </c>
      <c r="E189" s="87">
        <v>255.72319784333965</v>
      </c>
      <c r="F189" s="87">
        <v>255.72319784333962</v>
      </c>
      <c r="G189" s="87">
        <v>255.72319784333965</v>
      </c>
      <c r="H189" s="87">
        <v>255.72319784333965</v>
      </c>
      <c r="I189" s="87">
        <v>255.72319784333962</v>
      </c>
      <c r="J189" s="87">
        <v>255.7231978433397</v>
      </c>
      <c r="K189" s="87">
        <v>255.72319784333965</v>
      </c>
      <c r="L189" s="87">
        <v>255.72319784333959</v>
      </c>
      <c r="M189" s="87">
        <v>255.72319784333962</v>
      </c>
      <c r="N189" s="87">
        <v>255.14776998810467</v>
      </c>
      <c r="O189" s="87">
        <v>255.0659822079819</v>
      </c>
      <c r="P189" s="87">
        <v>254.95709273448125</v>
      </c>
      <c r="Q189" s="87">
        <v>248.02839542179558</v>
      </c>
      <c r="R189" s="87">
        <v>246.64746847186339</v>
      </c>
      <c r="S189" s="87">
        <v>244.66248803699199</v>
      </c>
      <c r="T189" s="87">
        <v>242.49213317409425</v>
      </c>
      <c r="U189" s="87">
        <v>238.80314833189371</v>
      </c>
      <c r="V189" s="87">
        <v>218.49939895498323</v>
      </c>
      <c r="W189" s="87">
        <v>206.4095486721678</v>
      </c>
      <c r="DA189" s="171" t="s">
        <v>925</v>
      </c>
    </row>
    <row r="190" spans="1:105" ht="11.45" customHeight="1" x14ac:dyDescent="0.25">
      <c r="A190" s="111" t="s">
        <v>113</v>
      </c>
      <c r="B190" s="87">
        <v>238.4829600550398</v>
      </c>
      <c r="C190" s="87">
        <v>227.12662862384732</v>
      </c>
      <c r="D190" s="87">
        <v>227.12662862384735</v>
      </c>
      <c r="E190" s="87">
        <v>227.12662862384732</v>
      </c>
      <c r="F190" s="87">
        <v>227.12662862384744</v>
      </c>
      <c r="G190" s="87">
        <v>227.12662862384744</v>
      </c>
      <c r="H190" s="87">
        <v>227.12662862384738</v>
      </c>
      <c r="I190" s="87">
        <v>227.12662862384744</v>
      </c>
      <c r="J190" s="87">
        <v>227.12662862384744</v>
      </c>
      <c r="K190" s="87">
        <v>227.12662862384741</v>
      </c>
      <c r="L190" s="87">
        <v>227.12662862384744</v>
      </c>
      <c r="M190" s="87">
        <v>227.12662862384741</v>
      </c>
      <c r="N190" s="87">
        <v>148.16183035714238</v>
      </c>
      <c r="O190" s="87">
        <v>144.97355787733832</v>
      </c>
      <c r="P190" s="87">
        <v>142.04187105442116</v>
      </c>
      <c r="Q190" s="87">
        <v>169.75148765167043</v>
      </c>
      <c r="R190" s="87">
        <v>171.45620475611804</v>
      </c>
      <c r="S190" s="87">
        <v>168.3375110966638</v>
      </c>
      <c r="T190" s="87">
        <v>171.17217715139395</v>
      </c>
      <c r="U190" s="87">
        <v>169.90895655727397</v>
      </c>
      <c r="V190" s="87">
        <v>166.19606153801854</v>
      </c>
      <c r="W190" s="87">
        <v>164.88475993118186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982.23729405211827</v>
      </c>
      <c r="C192" s="116">
        <v>978.92718560890648</v>
      </c>
      <c r="D192" s="116">
        <v>975.60542291492015</v>
      </c>
      <c r="E192" s="116">
        <v>971.55613729864785</v>
      </c>
      <c r="F192" s="116">
        <v>968.36307368017037</v>
      </c>
      <c r="G192" s="116">
        <v>960.84089741275193</v>
      </c>
      <c r="H192" s="116">
        <v>949.75437965508661</v>
      </c>
      <c r="I192" s="116">
        <v>942.88990885482497</v>
      </c>
      <c r="J192" s="116">
        <v>938.03143229187299</v>
      </c>
      <c r="K192" s="116">
        <v>910.97616133382746</v>
      </c>
      <c r="L192" s="116">
        <v>886.8108024137689</v>
      </c>
      <c r="M192" s="116">
        <v>880.60271458460102</v>
      </c>
      <c r="N192" s="116">
        <v>875.40254143705533</v>
      </c>
      <c r="O192" s="116">
        <v>869.98009689347566</v>
      </c>
      <c r="P192" s="116">
        <v>865.89251189704237</v>
      </c>
      <c r="Q192" s="116">
        <v>862.37702462282073</v>
      </c>
      <c r="R192" s="116">
        <v>857.67932348061129</v>
      </c>
      <c r="S192" s="116">
        <v>844.11637634006058</v>
      </c>
      <c r="T192" s="116">
        <v>823.16260940310553</v>
      </c>
      <c r="U192" s="116">
        <v>803.11777453222567</v>
      </c>
      <c r="V192" s="116">
        <v>791.72250747522571</v>
      </c>
      <c r="W192" s="116">
        <v>771.14190517657971</v>
      </c>
      <c r="DA192" s="176" t="s">
        <v>928</v>
      </c>
    </row>
    <row r="193" spans="1:105" ht="11.45" customHeight="1" x14ac:dyDescent="0.25">
      <c r="A193" s="128" t="s">
        <v>27</v>
      </c>
      <c r="B193" s="101">
        <v>910.88823551415487</v>
      </c>
      <c r="C193" s="101">
        <v>908.06864215319547</v>
      </c>
      <c r="D193" s="101">
        <v>905.30807074219172</v>
      </c>
      <c r="E193" s="101">
        <v>901.89190095891536</v>
      </c>
      <c r="F193" s="101">
        <v>898.72176674853279</v>
      </c>
      <c r="G193" s="101">
        <v>891.89580307794142</v>
      </c>
      <c r="H193" s="101">
        <v>881.79920184452351</v>
      </c>
      <c r="I193" s="101">
        <v>875.26496855863991</v>
      </c>
      <c r="J193" s="101">
        <v>870.13943044097334</v>
      </c>
      <c r="K193" s="101">
        <v>842.48812030881174</v>
      </c>
      <c r="L193" s="101">
        <v>822.41090476536613</v>
      </c>
      <c r="M193" s="101">
        <v>815.30264371042267</v>
      </c>
      <c r="N193" s="101">
        <v>809.54408111959424</v>
      </c>
      <c r="O193" s="101">
        <v>803.29751845090982</v>
      </c>
      <c r="P193" s="101">
        <v>800.46935254942582</v>
      </c>
      <c r="Q193" s="101">
        <v>798.31328028543464</v>
      </c>
      <c r="R193" s="101">
        <v>795.16204673652703</v>
      </c>
      <c r="S193" s="101">
        <v>783.13777421296265</v>
      </c>
      <c r="T193" s="101">
        <v>763.27838571180723</v>
      </c>
      <c r="U193" s="101">
        <v>744.36734378536539</v>
      </c>
      <c r="V193" s="101">
        <v>734.25609262210651</v>
      </c>
      <c r="W193" s="101">
        <v>714.89708605147018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1052.8419781841681</v>
      </c>
      <c r="D194" s="88">
        <v>1040.961357358646</v>
      </c>
      <c r="E194" s="88">
        <v>1030.6745317178334</v>
      </c>
      <c r="F194" s="88">
        <v>1010.0824431769674</v>
      </c>
      <c r="G194" s="88">
        <v>999.0833934451432</v>
      </c>
      <c r="H194" s="88">
        <v>984.66522843405187</v>
      </c>
      <c r="I194" s="88">
        <v>970.06247063424598</v>
      </c>
      <c r="J194" s="88">
        <v>955.09839195365191</v>
      </c>
      <c r="K194" s="88">
        <v>938.34347608898167</v>
      </c>
      <c r="L194" s="88">
        <v>935.90963483039411</v>
      </c>
      <c r="M194" s="88">
        <v>925.9874001157682</v>
      </c>
      <c r="N194" s="88">
        <v>917.85418963049608</v>
      </c>
      <c r="O194" s="88">
        <v>907.46855403460006</v>
      </c>
      <c r="P194" s="88">
        <v>895.32161170585687</v>
      </c>
      <c r="Q194" s="88">
        <v>878.69115984161306</v>
      </c>
      <c r="R194" s="88">
        <v>860.10407753727418</v>
      </c>
      <c r="S194" s="88">
        <v>840.98305576942062</v>
      </c>
      <c r="T194" s="88">
        <v>828.3672456171862</v>
      </c>
      <c r="U194" s="88">
        <v>812.56056425283077</v>
      </c>
      <c r="V194" s="88">
        <v>803.12313078754755</v>
      </c>
      <c r="W194" s="88">
        <v>780.6570952953075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1.1275000000068987</v>
      </c>
      <c r="C198" s="150">
        <f>IF(TrRoad_act!C59=0,0,TrRoad_emi!C56/TrRoad_tech!C171)</f>
        <v>1.1276279352174927</v>
      </c>
      <c r="D198" s="150">
        <f>IF(TrRoad_act!D59=0,0,TrRoad_emi!D56/TrRoad_tech!D171)</f>
        <v>1.1282740473511248</v>
      </c>
      <c r="E198" s="150">
        <f>IF(TrRoad_act!E59=0,0,TrRoad_emi!E56/TrRoad_tech!E171)</f>
        <v>1.1294907092846351</v>
      </c>
      <c r="F198" s="150">
        <f>IF(TrRoad_act!F59=0,0,TrRoad_emi!F56/TrRoad_tech!F171)</f>
        <v>1.1324903326936908</v>
      </c>
      <c r="G198" s="150">
        <f>IF(TrRoad_act!G59=0,0,TrRoad_emi!G56/TrRoad_tech!G171)</f>
        <v>1.1334995093364253</v>
      </c>
      <c r="H198" s="150">
        <f>IF(TrRoad_act!H59=0,0,TrRoad_emi!H56/TrRoad_tech!H171)</f>
        <v>1.1310174416176133</v>
      </c>
      <c r="I198" s="150">
        <f>IF(TrRoad_act!I59=0,0,TrRoad_emi!I56/TrRoad_tech!I171)</f>
        <v>1.1245534661892034</v>
      </c>
      <c r="J198" s="150">
        <f>IF(TrRoad_act!J59=0,0,TrRoad_emi!J56/TrRoad_tech!J171)</f>
        <v>1.1153389915314085</v>
      </c>
      <c r="K198" s="150">
        <f>IF(TrRoad_act!K59=0,0,TrRoad_emi!K56/TrRoad_tech!K171)</f>
        <v>1.1191560333315604</v>
      </c>
      <c r="L198" s="150">
        <f>IF(TrRoad_act!L59=0,0,TrRoad_emi!L56/TrRoad_tech!L171)</f>
        <v>1.1093183448127648</v>
      </c>
      <c r="M198" s="150">
        <f>IF(TrRoad_act!M59=0,0,TrRoad_emi!M56/TrRoad_tech!M171)</f>
        <v>1.110140634881837</v>
      </c>
      <c r="N198" s="150">
        <f>IF(TrRoad_act!N59=0,0,TrRoad_emi!N56/TrRoad_tech!N171)</f>
        <v>1.1174655066013814</v>
      </c>
      <c r="O198" s="150">
        <f>IF(TrRoad_act!O59=0,0,TrRoad_emi!O56/TrRoad_tech!O171)</f>
        <v>1.1377060587664969</v>
      </c>
      <c r="P198" s="150">
        <f>IF(TrRoad_act!P59=0,0,TrRoad_emi!P56/TrRoad_tech!P171)</f>
        <v>1.1200426332380871</v>
      </c>
      <c r="Q198" s="150">
        <f>IF(TrRoad_act!Q59=0,0,TrRoad_emi!Q56/TrRoad_tech!Q171)</f>
        <v>1.1450077057975734</v>
      </c>
      <c r="R198" s="150">
        <f>IF(TrRoad_act!R59=0,0,TrRoad_emi!R56/TrRoad_tech!R171)</f>
        <v>1.154634643603182</v>
      </c>
      <c r="S198" s="150">
        <f>IF(TrRoad_act!S59=0,0,TrRoad_emi!S56/TrRoad_tech!S171)</f>
        <v>1.1605822976774174</v>
      </c>
      <c r="T198" s="150">
        <f>IF(TrRoad_act!T59=0,0,TrRoad_emi!T56/TrRoad_tech!T171)</f>
        <v>1.1667909823406524</v>
      </c>
      <c r="U198" s="150">
        <f>IF(TrRoad_act!U59=0,0,TrRoad_emi!U56/TrRoad_tech!U171)</f>
        <v>1.1844035139573461</v>
      </c>
      <c r="V198" s="150">
        <f>IF(TrRoad_act!V59=0,0,TrRoad_emi!V56/TrRoad_tech!V171)</f>
        <v>1.1569147376460129</v>
      </c>
      <c r="W198" s="150">
        <f>IF(TrRoad_act!W59=0,0,TrRoad_emi!W56/TrRoad_tech!W171)</f>
        <v>1.159153516067948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0.92568265877202471</v>
      </c>
      <c r="C199" s="151">
        <f>IF(TrRoad_act!C60=0,0,TrRoad_emi!C57/TrRoad_tech!C172)</f>
        <v>0.92912223751294354</v>
      </c>
      <c r="D199" s="151">
        <f>IF(TrRoad_act!D60=0,0,TrRoad_emi!D57/TrRoad_tech!D172)</f>
        <v>0.93170971034788408</v>
      </c>
      <c r="E199" s="151">
        <f>IF(TrRoad_act!E60=0,0,TrRoad_emi!E57/TrRoad_tech!E172)</f>
        <v>0.95699424730093374</v>
      </c>
      <c r="F199" s="151">
        <f>IF(TrRoad_act!F60=0,0,TrRoad_emi!F57/TrRoad_tech!F172)</f>
        <v>0.95102957431070756</v>
      </c>
      <c r="G199" s="151">
        <f>IF(TrRoad_act!G60=0,0,TrRoad_emi!G57/TrRoad_tech!G172)</f>
        <v>0.90788714464263287</v>
      </c>
      <c r="H199" s="151">
        <f>IF(TrRoad_act!H60=0,0,TrRoad_emi!H57/TrRoad_tech!H172)</f>
        <v>0.93333170235928276</v>
      </c>
      <c r="I199" s="151">
        <f>IF(TrRoad_act!I60=0,0,TrRoad_emi!I57/TrRoad_tech!I172)</f>
        <v>0.93439958470149831</v>
      </c>
      <c r="J199" s="151">
        <f>IF(TrRoad_act!J60=0,0,TrRoad_emi!J57/TrRoad_tech!J172)</f>
        <v>0.92101205864277447</v>
      </c>
      <c r="K199" s="151">
        <f>IF(TrRoad_act!K60=0,0,TrRoad_emi!K57/TrRoad_tech!K172)</f>
        <v>0.86895634749999351</v>
      </c>
      <c r="L199" s="151">
        <f>IF(TrRoad_act!L60=0,0,TrRoad_emi!L57/TrRoad_tech!L172)</f>
        <v>0.87190503048027013</v>
      </c>
      <c r="M199" s="151">
        <f>IF(TrRoad_act!M60=0,0,TrRoad_emi!M57/TrRoad_tech!M172)</f>
        <v>0.92669738805102708</v>
      </c>
      <c r="N199" s="151">
        <f>IF(TrRoad_act!N60=0,0,TrRoad_emi!N57/TrRoad_tech!N172)</f>
        <v>0.91791390509190729</v>
      </c>
      <c r="O199" s="151">
        <f>IF(TrRoad_act!O60=0,0,TrRoad_emi!O57/TrRoad_tech!O172)</f>
        <v>0.9080078225992374</v>
      </c>
      <c r="P199" s="151">
        <f>IF(TrRoad_act!P60=0,0,TrRoad_emi!P57/TrRoad_tech!P172)</f>
        <v>0.91557250123181966</v>
      </c>
      <c r="Q199" s="151">
        <f>IF(TrRoad_act!Q60=0,0,TrRoad_emi!Q57/TrRoad_tech!Q172)</f>
        <v>0.93073594313112229</v>
      </c>
      <c r="R199" s="151">
        <f>IF(TrRoad_act!R60=0,0,TrRoad_emi!R57/TrRoad_tech!R172)</f>
        <v>0.94687668970042815</v>
      </c>
      <c r="S199" s="151">
        <f>IF(TrRoad_act!S60=0,0,TrRoad_emi!S57/TrRoad_tech!S172)</f>
        <v>0.96242127223993446</v>
      </c>
      <c r="T199" s="151">
        <f>IF(TrRoad_act!T60=0,0,TrRoad_emi!T57/TrRoad_tech!T172)</f>
        <v>0.96304043046935506</v>
      </c>
      <c r="U199" s="151">
        <f>IF(TrRoad_act!U60=0,0,TrRoad_emi!U57/TrRoad_tech!U172)</f>
        <v>0.97442024562247098</v>
      </c>
      <c r="V199" s="151">
        <f>IF(TrRoad_act!V60=0,0,TrRoad_emi!V57/TrRoad_tech!V172)</f>
        <v>0.93975873054102654</v>
      </c>
      <c r="W199" s="151">
        <f>IF(TrRoad_act!W60=0,0,TrRoad_emi!W57/TrRoad_tech!W172)</f>
        <v>0.96784089082132374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0.91023634248135843</v>
      </c>
      <c r="C200" s="91">
        <f>IF(TrRoad_act!C61=0,0,TrRoad_emi!C58/TrRoad_tech!C173)</f>
        <v>0.91638281620095585</v>
      </c>
      <c r="D200" s="91">
        <f>IF(TrRoad_act!D61=0,0,TrRoad_emi!D58/TrRoad_tech!D173)</f>
        <v>0.92226060683046651</v>
      </c>
      <c r="E200" s="91">
        <f>IF(TrRoad_act!E61=0,0,TrRoad_emi!E58/TrRoad_tech!E173)</f>
        <v>0.9250856999013819</v>
      </c>
      <c r="F200" s="91">
        <f>IF(TrRoad_act!F61=0,0,TrRoad_emi!F58/TrRoad_tech!F173)</f>
        <v>0.94064920053258372</v>
      </c>
      <c r="G200" s="91">
        <f>IF(TrRoad_act!G61=0,0,TrRoad_emi!G58/TrRoad_tech!G173)</f>
        <v>0.87018271305437744</v>
      </c>
      <c r="H200" s="91">
        <f>IF(TrRoad_act!H61=0,0,TrRoad_emi!H58/TrRoad_tech!H173)</f>
        <v>0.93478802081040213</v>
      </c>
      <c r="I200" s="91">
        <f>IF(TrRoad_act!I61=0,0,TrRoad_emi!I58/TrRoad_tech!I173)</f>
        <v>0.92885092604405783</v>
      </c>
      <c r="J200" s="91">
        <f>IF(TrRoad_act!J61=0,0,TrRoad_emi!J58/TrRoad_tech!J173)</f>
        <v>0.91784448719732004</v>
      </c>
      <c r="K200" s="91">
        <f>IF(TrRoad_act!K61=0,0,TrRoad_emi!K58/TrRoad_tech!K173)</f>
        <v>0.85482986177088971</v>
      </c>
      <c r="L200" s="91">
        <f>IF(TrRoad_act!L61=0,0,TrRoad_emi!L58/TrRoad_tech!L173)</f>
        <v>0.85399057212675333</v>
      </c>
      <c r="M200" s="91">
        <f>IF(TrRoad_act!M61=0,0,TrRoad_emi!M58/TrRoad_tech!M173)</f>
        <v>0.92342246287172558</v>
      </c>
      <c r="N200" s="91">
        <f>IF(TrRoad_act!N61=0,0,TrRoad_emi!N58/TrRoad_tech!N173)</f>
        <v>0.92887729726363077</v>
      </c>
      <c r="O200" s="91">
        <f>IF(TrRoad_act!O61=0,0,TrRoad_emi!O58/TrRoad_tech!O173)</f>
        <v>0.93982814369774281</v>
      </c>
      <c r="P200" s="91">
        <f>IF(TrRoad_act!P61=0,0,TrRoad_emi!P58/TrRoad_tech!P173)</f>
        <v>0.93081660523318877</v>
      </c>
      <c r="Q200" s="91">
        <f>IF(TrRoad_act!Q61=0,0,TrRoad_emi!Q58/TrRoad_tech!Q173)</f>
        <v>0.9487675048290124</v>
      </c>
      <c r="R200" s="91">
        <f>IF(TrRoad_act!R61=0,0,TrRoad_emi!R58/TrRoad_tech!R173)</f>
        <v>0.98888115177255276</v>
      </c>
      <c r="S200" s="91">
        <f>IF(TrRoad_act!S61=0,0,TrRoad_emi!S58/TrRoad_tech!S173)</f>
        <v>1.0083184299126262</v>
      </c>
      <c r="T200" s="91">
        <f>IF(TrRoad_act!T61=0,0,TrRoad_emi!T58/TrRoad_tech!T173)</f>
        <v>1.0093360230355124</v>
      </c>
      <c r="U200" s="91">
        <f>IF(TrRoad_act!U61=0,0,TrRoad_emi!U58/TrRoad_tech!U173)</f>
        <v>1.0195105718951503</v>
      </c>
      <c r="V200" s="91">
        <f>IF(TrRoad_act!V61=0,0,TrRoad_emi!V58/TrRoad_tech!V173)</f>
        <v>0.95278602337457285</v>
      </c>
      <c r="W200" s="91">
        <f>IF(TrRoad_act!W61=0,0,TrRoad_emi!W58/TrRoad_tech!W173)</f>
        <v>0.99286406154309548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1.0334752154557554</v>
      </c>
      <c r="C201" s="91">
        <f>IF(TrRoad_act!C62=0,0,TrRoad_emi!C59/TrRoad_tech!C174)</f>
        <v>1.0387741307367537</v>
      </c>
      <c r="D201" s="91">
        <f>IF(TrRoad_act!D62=0,0,TrRoad_emi!D59/TrRoad_tech!D174)</f>
        <v>1.0469993877515522</v>
      </c>
      <c r="E201" s="91">
        <f>IF(TrRoad_act!E62=0,0,TrRoad_emi!E59/TrRoad_tech!E174)</f>
        <v>1.0564441932784991</v>
      </c>
      <c r="F201" s="91">
        <f>IF(TrRoad_act!F62=0,0,TrRoad_emi!F59/TrRoad_tech!F174)</f>
        <v>1.0521243535336311</v>
      </c>
      <c r="G201" s="91">
        <f>IF(TrRoad_act!G62=0,0,TrRoad_emi!G59/TrRoad_tech!G174)</f>
        <v>1.1277656742372202</v>
      </c>
      <c r="H201" s="91">
        <f>IF(TrRoad_act!H62=0,0,TrRoad_emi!H59/TrRoad_tech!H174)</f>
        <v>1.0692645953513151</v>
      </c>
      <c r="I201" s="91">
        <f>IF(TrRoad_act!I62=0,0,TrRoad_emi!I59/TrRoad_tech!I174)</f>
        <v>1.0690785977525668</v>
      </c>
      <c r="J201" s="91">
        <f>IF(TrRoad_act!J62=0,0,TrRoad_emi!J59/TrRoad_tech!J174)</f>
        <v>1.0269655279214664</v>
      </c>
      <c r="K201" s="91">
        <f>IF(TrRoad_act!K62=0,0,TrRoad_emi!K59/TrRoad_tech!K174)</f>
        <v>1.0123084866447634</v>
      </c>
      <c r="L201" s="91">
        <f>IF(TrRoad_act!L62=0,0,TrRoad_emi!L59/TrRoad_tech!L174)</f>
        <v>1.0015170252583729</v>
      </c>
      <c r="M201" s="91">
        <f>IF(TrRoad_act!M62=0,0,TrRoad_emi!M59/TrRoad_tech!M174)</f>
        <v>0.96903404452155761</v>
      </c>
      <c r="N201" s="91">
        <f>IF(TrRoad_act!N62=0,0,TrRoad_emi!N59/TrRoad_tech!N174)</f>
        <v>0.97943979094087941</v>
      </c>
      <c r="O201" s="91">
        <f>IF(TrRoad_act!O62=0,0,TrRoad_emi!O59/TrRoad_tech!O174)</f>
        <v>0.93313418834458084</v>
      </c>
      <c r="P201" s="91">
        <f>IF(TrRoad_act!P62=0,0,TrRoad_emi!P59/TrRoad_tech!P174)</f>
        <v>0.98285119593767878</v>
      </c>
      <c r="Q201" s="91">
        <f>IF(TrRoad_act!Q62=0,0,TrRoad_emi!Q59/TrRoad_tech!Q174)</f>
        <v>1.0059817291595377</v>
      </c>
      <c r="R201" s="91">
        <f>IF(TrRoad_act!R62=0,0,TrRoad_emi!R59/TrRoad_tech!R174)</f>
        <v>1.0041479621106848</v>
      </c>
      <c r="S201" s="91">
        <f>IF(TrRoad_act!S62=0,0,TrRoad_emi!S59/TrRoad_tech!S174)</f>
        <v>1.0175098501533202</v>
      </c>
      <c r="T201" s="91">
        <f>IF(TrRoad_act!T62=0,0,TrRoad_emi!T59/TrRoad_tech!T174)</f>
        <v>1.0175845010245745</v>
      </c>
      <c r="U201" s="91">
        <f>IF(TrRoad_act!U62=0,0,TrRoad_emi!U59/TrRoad_tech!U174)</f>
        <v>1.0228493810958652</v>
      </c>
      <c r="V201" s="91">
        <f>IF(TrRoad_act!V62=0,0,TrRoad_emi!V59/TrRoad_tech!V174)</f>
        <v>0.99053537687573479</v>
      </c>
      <c r="W201" s="91">
        <f>IF(TrRoad_act!W62=0,0,TrRoad_emi!W59/TrRoad_tech!W174)</f>
        <v>1.0139003733815659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1.1782777597733494</v>
      </c>
      <c r="D202" s="91">
        <f>IF(TrRoad_act!D63=0,0,TrRoad_emi!D60/TrRoad_tech!D175)</f>
        <v>1.1740025714412927</v>
      </c>
      <c r="E202" s="91">
        <f>IF(TrRoad_act!E63=0,0,TrRoad_emi!E60/TrRoad_tech!E175)</f>
        <v>1.3850760982335468</v>
      </c>
      <c r="F202" s="91">
        <f>IF(TrRoad_act!F63=0,0,TrRoad_emi!F60/TrRoad_tech!F175)</f>
        <v>1.3183882688914017</v>
      </c>
      <c r="G202" s="91">
        <f>IF(TrRoad_act!G63=0,0,TrRoad_emi!G60/TrRoad_tech!G175)</f>
        <v>1.040846683640563</v>
      </c>
      <c r="H202" s="91">
        <f>IF(TrRoad_act!H63=0,0,TrRoad_emi!H60/TrRoad_tech!H175)</f>
        <v>1.1407272179925267</v>
      </c>
      <c r="I202" s="91">
        <f>IF(TrRoad_act!I63=0,0,TrRoad_emi!I60/TrRoad_tech!I175)</f>
        <v>1.025321290483906</v>
      </c>
      <c r="J202" s="91">
        <f>IF(TrRoad_act!J63=0,0,TrRoad_emi!J60/TrRoad_tech!J175)</f>
        <v>1.0028271232263728</v>
      </c>
      <c r="K202" s="91">
        <f>IF(TrRoad_act!K63=0,0,TrRoad_emi!K60/TrRoad_tech!K175)</f>
        <v>0.98924552760698647</v>
      </c>
      <c r="L202" s="91">
        <f>IF(TrRoad_act!L63=0,0,TrRoad_emi!L60/TrRoad_tech!L175)</f>
        <v>1.1765883952627332</v>
      </c>
      <c r="M202" s="91">
        <f>IF(TrRoad_act!M63=0,0,TrRoad_emi!M60/TrRoad_tech!M175)</f>
        <v>1.2830371110098855</v>
      </c>
      <c r="N202" s="91">
        <f>IF(TrRoad_act!N63=0,0,TrRoad_emi!N60/TrRoad_tech!N175)</f>
        <v>0.90539960683828202</v>
      </c>
      <c r="O202" s="91">
        <f>IF(TrRoad_act!O63=0,0,TrRoad_emi!O60/TrRoad_tech!O175)</f>
        <v>1.1528458263338495</v>
      </c>
      <c r="P202" s="91">
        <f>IF(TrRoad_act!P63=0,0,TrRoad_emi!P60/TrRoad_tech!P175)</f>
        <v>0.96259360855749132</v>
      </c>
      <c r="Q202" s="91">
        <f>IF(TrRoad_act!Q63=0,0,TrRoad_emi!Q60/TrRoad_tech!Q175)</f>
        <v>0.88777204636879647</v>
      </c>
      <c r="R202" s="91">
        <f>IF(TrRoad_act!R63=0,0,TrRoad_emi!R60/TrRoad_tech!R175)</f>
        <v>0.78279552188642099</v>
      </c>
      <c r="S202" s="91">
        <f>IF(TrRoad_act!S63=0,0,TrRoad_emi!S60/TrRoad_tech!S175)</f>
        <v>0.76586599644725795</v>
      </c>
      <c r="T202" s="91">
        <f>IF(TrRoad_act!T63=0,0,TrRoad_emi!T60/TrRoad_tech!T175)</f>
        <v>0.70129707634671745</v>
      </c>
      <c r="U202" s="91">
        <f>IF(TrRoad_act!U63=0,0,TrRoad_emi!U60/TrRoad_tech!U175)</f>
        <v>0.63883442180217254</v>
      </c>
      <c r="V202" s="91">
        <f>IF(TrRoad_act!V63=0,0,TrRoad_emi!V60/TrRoad_tech!V175)</f>
        <v>0.62989086191184318</v>
      </c>
      <c r="W202" s="91">
        <f>IF(TrRoad_act!W63=0,0,TrRoad_emi!W60/TrRoad_tech!W175)</f>
        <v>0.86326972935538648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1.0555555555604399</v>
      </c>
      <c r="M203" s="91">
        <f>IF(TrRoad_act!M64=0,0,TrRoad_emi!M61/TrRoad_tech!M176)</f>
        <v>1.0603703703752698</v>
      </c>
      <c r="N203" s="91">
        <f>IF(TrRoad_act!N64=0,0,TrRoad_emi!N61/TrRoad_tech!N176)</f>
        <v>1.0655555555606799</v>
      </c>
      <c r="O203" s="91">
        <f>IF(TrRoad_act!O64=0,0,TrRoad_emi!O61/TrRoad_tech!O176)</f>
        <v>1.0710771241657628</v>
      </c>
      <c r="P203" s="91">
        <f>IF(TrRoad_act!P64=0,0,TrRoad_emi!P61/TrRoad_tech!P176)</f>
        <v>1.073422906079273</v>
      </c>
      <c r="Q203" s="91">
        <f>IF(TrRoad_act!Q64=0,0,TrRoad_emi!Q61/TrRoad_tech!Q176)</f>
        <v>1.0787201929288925</v>
      </c>
      <c r="R203" s="91">
        <f>IF(TrRoad_act!R64=0,0,TrRoad_emi!R61/TrRoad_tech!R176)</f>
        <v>1.0796487650835984</v>
      </c>
      <c r="S203" s="91">
        <f>IF(TrRoad_act!S64=0,0,TrRoad_emi!S61/TrRoad_tech!S176)</f>
        <v>1.0810014298715465</v>
      </c>
      <c r="T203" s="91">
        <f>IF(TrRoad_act!T64=0,0,TrRoad_emi!T61/TrRoad_tech!T176)</f>
        <v>1.0819491864523456</v>
      </c>
      <c r="U203" s="91">
        <f>IF(TrRoad_act!U64=0,0,TrRoad_emi!U61/TrRoad_tech!U176)</f>
        <v>1.0821199649142579</v>
      </c>
      <c r="V203" s="91">
        <f>IF(TrRoad_act!V64=0,0,TrRoad_emi!V61/TrRoad_tech!V176)</f>
        <v>1.0822207944694224</v>
      </c>
      <c r="W203" s="91">
        <f>IF(TrRoad_act!W64=0,0,TrRoad_emi!W61/TrRoad_tech!W176)</f>
        <v>1.0823070678382918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0.95856138400659996</v>
      </c>
      <c r="O204" s="91">
        <f>IF(TrRoad_act!O65=0,0,TrRoad_emi!O62/TrRoad_tech!O177)</f>
        <v>0.96906660162341385</v>
      </c>
      <c r="P204" s="91">
        <f>IF(TrRoad_act!P65=0,0,TrRoad_emi!P62/TrRoad_tech!P177)</f>
        <v>0.96445630076923261</v>
      </c>
      <c r="Q204" s="91">
        <f>IF(TrRoad_act!Q65=0,0,TrRoad_emi!Q62/TrRoad_tech!Q177)</f>
        <v>0.9889470634898383</v>
      </c>
      <c r="R204" s="91">
        <f>IF(TrRoad_act!R65=0,0,TrRoad_emi!R62/TrRoad_tech!R177)</f>
        <v>1.035560511567049</v>
      </c>
      <c r="S204" s="91">
        <f>IF(TrRoad_act!S65=0,0,TrRoad_emi!S62/TrRoad_tech!S177)</f>
        <v>1.0552822265597459</v>
      </c>
      <c r="T204" s="91">
        <f>IF(TrRoad_act!T65=0,0,TrRoad_emi!T62/TrRoad_tech!T177)</f>
        <v>1.0545262382645122</v>
      </c>
      <c r="U204" s="91">
        <f>IF(TrRoad_act!U65=0,0,TrRoad_emi!U62/TrRoad_tech!U177)</f>
        <v>1.0625061846457899</v>
      </c>
      <c r="V204" s="91">
        <f>IF(TrRoad_act!V65=0,0,TrRoad_emi!V62/TrRoad_tech!V177)</f>
        <v>0.99094507143839239</v>
      </c>
      <c r="W204" s="91">
        <f>IF(TrRoad_act!W65=0,0,TrRoad_emi!W62/TrRoad_tech!W177)</f>
        <v>1.0324044975776354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1.1549861333369529</v>
      </c>
      <c r="C206" s="151">
        <f>IF(TrRoad_act!C67=0,0,TrRoad_emi!C64/TrRoad_tech!C179)</f>
        <v>1.1662678876910273</v>
      </c>
      <c r="D206" s="151">
        <f>IF(TrRoad_act!D67=0,0,TrRoad_emi!D64/TrRoad_tech!D179)</f>
        <v>1.2059323386386962</v>
      </c>
      <c r="E206" s="151">
        <f>IF(TrRoad_act!E67=0,0,TrRoad_emi!E64/TrRoad_tech!E179)</f>
        <v>1.2212422235314544</v>
      </c>
      <c r="F206" s="151">
        <f>IF(TrRoad_act!F67=0,0,TrRoad_emi!F64/TrRoad_tech!F179)</f>
        <v>1.2216079502741057</v>
      </c>
      <c r="G206" s="151">
        <f>IF(TrRoad_act!G67=0,0,TrRoad_emi!G64/TrRoad_tech!G179)</f>
        <v>1.2815418002880394</v>
      </c>
      <c r="H206" s="151">
        <f>IF(TrRoad_act!H67=0,0,TrRoad_emi!H64/TrRoad_tech!H179)</f>
        <v>1.2808728852343529</v>
      </c>
      <c r="I206" s="151">
        <f>IF(TrRoad_act!I67=0,0,TrRoad_emi!I64/TrRoad_tech!I179)</f>
        <v>1.2392212818637294</v>
      </c>
      <c r="J206" s="151">
        <f>IF(TrRoad_act!J67=0,0,TrRoad_emi!J64/TrRoad_tech!J179)</f>
        <v>1.2149329323273503</v>
      </c>
      <c r="K206" s="151">
        <f>IF(TrRoad_act!K67=0,0,TrRoad_emi!K64/TrRoad_tech!K179)</f>
        <v>1.1952051511481412</v>
      </c>
      <c r="L206" s="151">
        <f>IF(TrRoad_act!L67=0,0,TrRoad_emi!L64/TrRoad_tech!L179)</f>
        <v>1.2052679968699334</v>
      </c>
      <c r="M206" s="151">
        <f>IF(TrRoad_act!M67=0,0,TrRoad_emi!M64/TrRoad_tech!M179)</f>
        <v>1.1452412113176687</v>
      </c>
      <c r="N206" s="151">
        <f>IF(TrRoad_act!N67=0,0,TrRoad_emi!N64/TrRoad_tech!N179)</f>
        <v>1.1270048110538631</v>
      </c>
      <c r="O206" s="151">
        <f>IF(TrRoad_act!O67=0,0,TrRoad_emi!O64/TrRoad_tech!O179)</f>
        <v>1.0577525192319195</v>
      </c>
      <c r="P206" s="151">
        <f>IF(TrRoad_act!P67=0,0,TrRoad_emi!P64/TrRoad_tech!P179)</f>
        <v>1.1696278022303244</v>
      </c>
      <c r="Q206" s="151">
        <f>IF(TrRoad_act!Q67=0,0,TrRoad_emi!Q64/TrRoad_tech!Q179)</f>
        <v>1.2619417305018759</v>
      </c>
      <c r="R206" s="151">
        <f>IF(TrRoad_act!R67=0,0,TrRoad_emi!R64/TrRoad_tech!R179)</f>
        <v>1.2149102548769</v>
      </c>
      <c r="S206" s="151">
        <f>IF(TrRoad_act!S67=0,0,TrRoad_emi!S64/TrRoad_tech!S179)</f>
        <v>1.2345149342716759</v>
      </c>
      <c r="T206" s="151">
        <f>IF(TrRoad_act!T67=0,0,TrRoad_emi!T64/TrRoad_tech!T179)</f>
        <v>1.2428408616711231</v>
      </c>
      <c r="U206" s="151">
        <f>IF(TrRoad_act!U67=0,0,TrRoad_emi!U64/TrRoad_tech!U179)</f>
        <v>1.2398125242519664</v>
      </c>
      <c r="V206" s="151">
        <f>IF(TrRoad_act!V67=0,0,TrRoad_emi!V64/TrRoad_tech!V179)</f>
        <v>1.1762604556869996</v>
      </c>
      <c r="W206" s="151">
        <f>IF(TrRoad_act!W67=0,0,TrRoad_emi!W64/TrRoad_tech!W179)</f>
        <v>1.2416168391167597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1.1000000000067303</v>
      </c>
      <c r="D207" s="93">
        <f>IF(TrRoad_act!D68=0,0,TrRoad_emi!D65/TrRoad_tech!D180)</f>
        <v>1.1000000000067307</v>
      </c>
      <c r="E207" s="93">
        <f>IF(TrRoad_act!E68=0,0,TrRoad_emi!E65/TrRoad_tech!E180)</f>
        <v>1.10000000000673</v>
      </c>
      <c r="F207" s="93">
        <f>IF(TrRoad_act!F68=0,0,TrRoad_emi!F65/TrRoad_tech!F180)</f>
        <v>1.1000449786729314</v>
      </c>
      <c r="G207" s="93">
        <f>IF(TrRoad_act!G68=0,0,TrRoad_emi!G65/TrRoad_tech!G180)</f>
        <v>1.0982941711939853</v>
      </c>
      <c r="H207" s="93">
        <f>IF(TrRoad_act!H68=0,0,TrRoad_emi!H65/TrRoad_tech!H180)</f>
        <v>1.0926587947481312</v>
      </c>
      <c r="I207" s="93">
        <f>IF(TrRoad_act!I68=0,0,TrRoad_emi!I65/TrRoad_tech!I180)</f>
        <v>1.0822645775846651</v>
      </c>
      <c r="J207" s="93">
        <f>IF(TrRoad_act!J68=0,0,TrRoad_emi!J65/TrRoad_tech!J180)</f>
        <v>1.0696588945355472</v>
      </c>
      <c r="K207" s="93">
        <f>IF(TrRoad_act!K68=0,0,TrRoad_emi!K65/TrRoad_tech!K180)</f>
        <v>1.0699445178659261</v>
      </c>
      <c r="L207" s="93">
        <f>IF(TrRoad_act!L68=0,0,TrRoad_emi!L65/TrRoad_tech!L180)</f>
        <v>1.0583259209060754</v>
      </c>
      <c r="M207" s="93">
        <f>IF(TrRoad_act!M68=0,0,TrRoad_emi!M65/TrRoad_tech!M180)</f>
        <v>1.0595362744833938</v>
      </c>
      <c r="N207" s="93">
        <f>IF(TrRoad_act!N68=0,0,TrRoad_emi!N65/TrRoad_tech!N180)</f>
        <v>1.0660802087521293</v>
      </c>
      <c r="O207" s="93">
        <f>IF(TrRoad_act!O68=0,0,TrRoad_emi!O65/TrRoad_tech!O180)</f>
        <v>1.081414245167567</v>
      </c>
      <c r="P207" s="93">
        <f>IF(TrRoad_act!P68=0,0,TrRoad_emi!P65/TrRoad_tech!P180)</f>
        <v>1.0604000132428943</v>
      </c>
      <c r="Q207" s="93">
        <f>IF(TrRoad_act!Q68=0,0,TrRoad_emi!Q65/TrRoad_tech!Q180)</f>
        <v>1.079533835576187</v>
      </c>
      <c r="R207" s="93">
        <f>IF(TrRoad_act!R68=0,0,TrRoad_emi!R65/TrRoad_tech!R180)</f>
        <v>1.0857426193644806</v>
      </c>
      <c r="S207" s="93">
        <f>IF(TrRoad_act!S68=0,0,TrRoad_emi!S65/TrRoad_tech!S180)</f>
        <v>1.0898132466582611</v>
      </c>
      <c r="T207" s="93">
        <f>IF(TrRoad_act!T68=0,0,TrRoad_emi!T65/TrRoad_tech!T180)</f>
        <v>1.0899979301829821</v>
      </c>
      <c r="U207" s="93">
        <f>IF(TrRoad_act!U68=0,0,TrRoad_emi!U65/TrRoad_tech!U180)</f>
        <v>1.0966611481038941</v>
      </c>
      <c r="V207" s="93">
        <f>IF(TrRoad_act!V68=0,0,TrRoad_emi!V65/TrRoad_tech!V180)</f>
        <v>1.0779905934340996</v>
      </c>
      <c r="W207" s="93">
        <f>IF(TrRoad_act!W68=0,0,TrRoad_emi!W65/TrRoad_tech!W180)</f>
        <v>1.0802281901995208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1.1068808448824055</v>
      </c>
      <c r="C208" s="93">
        <f>IF(TrRoad_act!C69=0,0,TrRoad_emi!C66/TrRoad_tech!C181)</f>
        <v>1.1330500872261036</v>
      </c>
      <c r="D208" s="93">
        <f>IF(TrRoad_act!D69=0,0,TrRoad_emi!D66/TrRoad_tech!D181)</f>
        <v>1.185664175371367</v>
      </c>
      <c r="E208" s="93">
        <f>IF(TrRoad_act!E69=0,0,TrRoad_emi!E66/TrRoad_tech!E181)</f>
        <v>1.2086842487292266</v>
      </c>
      <c r="F208" s="93">
        <f>IF(TrRoad_act!F69=0,0,TrRoad_emi!F66/TrRoad_tech!F181)</f>
        <v>1.2169642102038618</v>
      </c>
      <c r="G208" s="93">
        <f>IF(TrRoad_act!G69=0,0,TrRoad_emi!G66/TrRoad_tech!G181)</f>
        <v>1.2769807925104206</v>
      </c>
      <c r="H208" s="93">
        <f>IF(TrRoad_act!H69=0,0,TrRoad_emi!H66/TrRoad_tech!H181)</f>
        <v>1.2826484531447249</v>
      </c>
      <c r="I208" s="93">
        <f>IF(TrRoad_act!I69=0,0,TrRoad_emi!I66/TrRoad_tech!I181)</f>
        <v>1.2430456394942475</v>
      </c>
      <c r="J208" s="93">
        <f>IF(TrRoad_act!J69=0,0,TrRoad_emi!J66/TrRoad_tech!J181)</f>
        <v>1.2139605002565255</v>
      </c>
      <c r="K208" s="93">
        <f>IF(TrRoad_act!K69=0,0,TrRoad_emi!K66/TrRoad_tech!K181)</f>
        <v>1.1971454774721302</v>
      </c>
      <c r="L208" s="93">
        <f>IF(TrRoad_act!L69=0,0,TrRoad_emi!L66/TrRoad_tech!L181)</f>
        <v>1.2086107303055063</v>
      </c>
      <c r="M208" s="93">
        <f>IF(TrRoad_act!M69=0,0,TrRoad_emi!M66/TrRoad_tech!M181)</f>
        <v>1.1483333358489465</v>
      </c>
      <c r="N208" s="93">
        <f>IF(TrRoad_act!N69=0,0,TrRoad_emi!N66/TrRoad_tech!N181)</f>
        <v>1.1276402064747446</v>
      </c>
      <c r="O208" s="93">
        <f>IF(TrRoad_act!O69=0,0,TrRoad_emi!O66/TrRoad_tech!O181)</f>
        <v>1.0599969166925851</v>
      </c>
      <c r="P208" s="93">
        <f>IF(TrRoad_act!P69=0,0,TrRoad_emi!P66/TrRoad_tech!P181)</f>
        <v>1.1702699491209305</v>
      </c>
      <c r="Q208" s="93">
        <f>IF(TrRoad_act!Q69=0,0,TrRoad_emi!Q66/TrRoad_tech!Q181)</f>
        <v>1.2395807935250147</v>
      </c>
      <c r="R208" s="93">
        <f>IF(TrRoad_act!R69=0,0,TrRoad_emi!R66/TrRoad_tech!R181)</f>
        <v>1.2042774118269017</v>
      </c>
      <c r="S208" s="93">
        <f>IF(TrRoad_act!S69=0,0,TrRoad_emi!S66/TrRoad_tech!S181)</f>
        <v>1.2404047047361015</v>
      </c>
      <c r="T208" s="93">
        <f>IF(TrRoad_act!T69=0,0,TrRoad_emi!T66/TrRoad_tech!T181)</f>
        <v>1.2546984571095954</v>
      </c>
      <c r="U208" s="93">
        <f>IF(TrRoad_act!U69=0,0,TrRoad_emi!U66/TrRoad_tech!U181)</f>
        <v>1.2532239610448659</v>
      </c>
      <c r="V208" s="93">
        <f>IF(TrRoad_act!V69=0,0,TrRoad_emi!V66/TrRoad_tech!V181)</f>
        <v>1.1674319777257556</v>
      </c>
      <c r="W208" s="93">
        <f>IF(TrRoad_act!W69=0,0,TrRoad_emi!W66/TrRoad_tech!W181)</f>
        <v>1.2274769887040524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1.2773333333398111</v>
      </c>
      <c r="Q209" s="93">
        <f>IF(TrRoad_act!Q70=0,0,TrRoad_emi!Q67/TrRoad_tech!Q182)</f>
        <v>1.2773333333398114</v>
      </c>
      <c r="R209" s="93">
        <f>IF(TrRoad_act!R70=0,0,TrRoad_emi!R67/TrRoad_tech!R182)</f>
        <v>1.29790606385574</v>
      </c>
      <c r="S209" s="93">
        <f>IF(TrRoad_act!S70=0,0,TrRoad_emi!S67/TrRoad_tech!S182)</f>
        <v>1.2979060638557411</v>
      </c>
      <c r="T209" s="93">
        <f>IF(TrRoad_act!T70=0,0,TrRoad_emi!T67/TrRoad_tech!T182)</f>
        <v>1.2979060638557409</v>
      </c>
      <c r="U209" s="93">
        <f>IF(TrRoad_act!U70=0,0,TrRoad_emi!U67/TrRoad_tech!U182)</f>
        <v>1.2979060638557403</v>
      </c>
      <c r="V209" s="93">
        <f>IF(TrRoad_act!V70=0,0,TrRoad_emi!V67/TrRoad_tech!V182)</f>
        <v>1.2979060638557409</v>
      </c>
      <c r="W209" s="93">
        <f>IF(TrRoad_act!W70=0,0,TrRoad_emi!W67/TrRoad_tech!W182)</f>
        <v>1.2979060638557409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1.0539765342057075</v>
      </c>
      <c r="C210" s="93">
        <f>IF(TrRoad_act!C71=0,0,TrRoad_emi!C68/TrRoad_tech!C183)</f>
        <v>1.0980746883723174</v>
      </c>
      <c r="D210" s="93">
        <f>IF(TrRoad_act!D71=0,0,TrRoad_emi!D68/TrRoad_tech!D183)</f>
        <v>1.0851003177484124</v>
      </c>
      <c r="E210" s="93">
        <f>IF(TrRoad_act!E71=0,0,TrRoad_emi!E68/TrRoad_tech!E183)</f>
        <v>1.0884525035144108</v>
      </c>
      <c r="F210" s="93">
        <f>IF(TrRoad_act!F71=0,0,TrRoad_emi!F68/TrRoad_tech!F183)</f>
        <v>1.0709245037051391</v>
      </c>
      <c r="G210" s="93">
        <f>IF(TrRoad_act!G71=0,0,TrRoad_emi!G68/TrRoad_tech!G183)</f>
        <v>1.2696418533726175</v>
      </c>
      <c r="H210" s="93">
        <f>IF(TrRoad_act!H71=0,0,TrRoad_emi!H68/TrRoad_tech!H183)</f>
        <v>1.348096908491649</v>
      </c>
      <c r="I210" s="93">
        <f>IF(TrRoad_act!I71=0,0,TrRoad_emi!I68/TrRoad_tech!I183)</f>
        <v>1.2167923358223243</v>
      </c>
      <c r="J210" s="93">
        <f>IF(TrRoad_act!J71=0,0,TrRoad_emi!J68/TrRoad_tech!J183)</f>
        <v>1.2216367509399719</v>
      </c>
      <c r="K210" s="93">
        <f>IF(TrRoad_act!K71=0,0,TrRoad_emi!K68/TrRoad_tech!K183)</f>
        <v>1.1208090446173271</v>
      </c>
      <c r="L210" s="93">
        <f>IF(TrRoad_act!L71=0,0,TrRoad_emi!L68/TrRoad_tech!L183)</f>
        <v>1.1171027749560873</v>
      </c>
      <c r="M210" s="93">
        <f>IF(TrRoad_act!M71=0,0,TrRoad_emi!M68/TrRoad_tech!M183)</f>
        <v>1.3365525554021511</v>
      </c>
      <c r="N210" s="93">
        <f>IF(TrRoad_act!N71=0,0,TrRoad_emi!N68/TrRoad_tech!N183)</f>
        <v>1.1805956600603948</v>
      </c>
      <c r="O210" s="93">
        <f>IF(TrRoad_act!O71=0,0,TrRoad_emi!O68/TrRoad_tech!O183)</f>
        <v>1.4619930164519546</v>
      </c>
      <c r="P210" s="93">
        <f>IF(TrRoad_act!P71=0,0,TrRoad_emi!P68/TrRoad_tech!P183)</f>
        <v>1.2011080100874545</v>
      </c>
      <c r="Q210" s="93">
        <f>IF(TrRoad_act!Q71=0,0,TrRoad_emi!Q68/TrRoad_tech!Q183)</f>
        <v>1.116409638748175</v>
      </c>
      <c r="R210" s="93">
        <f>IF(TrRoad_act!R71=0,0,TrRoad_emi!R68/TrRoad_tech!R183)</f>
        <v>1.4252942226047582</v>
      </c>
      <c r="S210" s="93">
        <f>IF(TrRoad_act!S71=0,0,TrRoad_emi!S68/TrRoad_tech!S183)</f>
        <v>1.306506916910787</v>
      </c>
      <c r="T210" s="93">
        <f>IF(TrRoad_act!T71=0,0,TrRoad_emi!T68/TrRoad_tech!T183)</f>
        <v>1.4207957335939856</v>
      </c>
      <c r="U210" s="93">
        <f>IF(TrRoad_act!U71=0,0,TrRoad_emi!U68/TrRoad_tech!U183)</f>
        <v>1.4162663223230811</v>
      </c>
      <c r="V210" s="93">
        <f>IF(TrRoad_act!V71=0,0,TrRoad_emi!V68/TrRoad_tech!V183)</f>
        <v>1.3238223772125777</v>
      </c>
      <c r="W210" s="93">
        <f>IF(TrRoad_act!W71=0,0,TrRoad_emi!W68/TrRoad_tech!W183)</f>
        <v>1.310067758598213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1.0936100839060126</v>
      </c>
      <c r="C213" s="150">
        <f>IF(TrRoad_act!C74=0,0,TrRoad_emi!C71/TrRoad_tech!C186)</f>
        <v>1.1137622284836959</v>
      </c>
      <c r="D213" s="150">
        <f>IF(TrRoad_act!D74=0,0,TrRoad_emi!D71/TrRoad_tech!D186)</f>
        <v>1.1480570822665757</v>
      </c>
      <c r="E213" s="150">
        <f>IF(TrRoad_act!E74=0,0,TrRoad_emi!E71/TrRoad_tech!E186)</f>
        <v>1.1639831299484189</v>
      </c>
      <c r="F213" s="150">
        <f>IF(TrRoad_act!F74=0,0,TrRoad_emi!F71/TrRoad_tech!F186)</f>
        <v>1.1772191223086501</v>
      </c>
      <c r="G213" s="150">
        <f>IF(TrRoad_act!G74=0,0,TrRoad_emi!G71/TrRoad_tech!G186)</f>
        <v>1.2212919127731392</v>
      </c>
      <c r="H213" s="150">
        <f>IF(TrRoad_act!H74=0,0,TrRoad_emi!H71/TrRoad_tech!H186)</f>
        <v>1.2152374864067634</v>
      </c>
      <c r="I213" s="150">
        <f>IF(TrRoad_act!I74=0,0,TrRoad_emi!I71/TrRoad_tech!I186)</f>
        <v>1.1937502650084599</v>
      </c>
      <c r="J213" s="150">
        <f>IF(TrRoad_act!J74=0,0,TrRoad_emi!J71/TrRoad_tech!J186)</f>
        <v>1.2127414823829574</v>
      </c>
      <c r="K213" s="150">
        <f>IF(TrRoad_act!K74=0,0,TrRoad_emi!K71/TrRoad_tech!K186)</f>
        <v>1.2329356965878924</v>
      </c>
      <c r="L213" s="150">
        <f>IF(TrRoad_act!L74=0,0,TrRoad_emi!L71/TrRoad_tech!L186)</f>
        <v>1.3333872891048462</v>
      </c>
      <c r="M213" s="150">
        <f>IF(TrRoad_act!M74=0,0,TrRoad_emi!M71/TrRoad_tech!M186)</f>
        <v>1.3355238622540637</v>
      </c>
      <c r="N213" s="150">
        <f>IF(TrRoad_act!N74=0,0,TrRoad_emi!N71/TrRoad_tech!N186)</f>
        <v>1.1984362167752414</v>
      </c>
      <c r="O213" s="150">
        <f>IF(TrRoad_act!O74=0,0,TrRoad_emi!O71/TrRoad_tech!O186)</f>
        <v>1.1490538940615074</v>
      </c>
      <c r="P213" s="150">
        <f>IF(TrRoad_act!P74=0,0,TrRoad_emi!P71/TrRoad_tech!P186)</f>
        <v>1.2028506388980886</v>
      </c>
      <c r="Q213" s="150">
        <f>IF(TrRoad_act!Q74=0,0,TrRoad_emi!Q71/TrRoad_tech!Q186)</f>
        <v>1.2387152442560363</v>
      </c>
      <c r="R213" s="150">
        <f>IF(TrRoad_act!R74=0,0,TrRoad_emi!R71/TrRoad_tech!R186)</f>
        <v>1.2092692361324306</v>
      </c>
      <c r="S213" s="150">
        <f>IF(TrRoad_act!S74=0,0,TrRoad_emi!S71/TrRoad_tech!S186)</f>
        <v>1.2880864578697391</v>
      </c>
      <c r="T213" s="150">
        <f>IF(TrRoad_act!T74=0,0,TrRoad_emi!T71/TrRoad_tech!T186)</f>
        <v>1.2779761347293204</v>
      </c>
      <c r="U213" s="150">
        <f>IF(TrRoad_act!U74=0,0,TrRoad_emi!U71/TrRoad_tech!U186)</f>
        <v>1.3073383367738158</v>
      </c>
      <c r="V213" s="150">
        <f>IF(TrRoad_act!V74=0,0,TrRoad_emi!V71/TrRoad_tech!V186)</f>
        <v>1.103520433857762</v>
      </c>
      <c r="W213" s="150">
        <f>IF(TrRoad_act!W74=0,0,TrRoad_emi!W71/TrRoad_tech!W186)</f>
        <v>1.1337034992129944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1.1000037451141631</v>
      </c>
      <c r="D214" s="91">
        <f>IF(TrRoad_act!D75=0,0,TrRoad_emi!D72/TrRoad_tech!D187)</f>
        <v>1.1000119268531257</v>
      </c>
      <c r="E214" s="91">
        <f>IF(TrRoad_act!E75=0,0,TrRoad_emi!E72/TrRoad_tech!E187)</f>
        <v>1.1000233992843937</v>
      </c>
      <c r="F214" s="91">
        <f>IF(TrRoad_act!F75=0,0,TrRoad_emi!F72/TrRoad_tech!F187)</f>
        <v>1.1000434758691062</v>
      </c>
      <c r="G214" s="91">
        <f>IF(TrRoad_act!G75=0,0,TrRoad_emi!G72/TrRoad_tech!G187)</f>
        <v>1.0982739402166706</v>
      </c>
      <c r="H214" s="91">
        <f>IF(TrRoad_act!H75=0,0,TrRoad_emi!H72/TrRoad_tech!H187)</f>
        <v>1.0926813307818355</v>
      </c>
      <c r="I214" s="91">
        <f>IF(TrRoad_act!I75=0,0,TrRoad_emi!I72/TrRoad_tech!I187)</f>
        <v>1.0824082673742852</v>
      </c>
      <c r="J214" s="91">
        <f>IF(TrRoad_act!J75=0,0,TrRoad_emi!J72/TrRoad_tech!J187)</f>
        <v>1.0694215179107147</v>
      </c>
      <c r="K214" s="91">
        <f>IF(TrRoad_act!K75=0,0,TrRoad_emi!K72/TrRoad_tech!K187)</f>
        <v>1.0702118862815291</v>
      </c>
      <c r="L214" s="91">
        <f>IF(TrRoad_act!L75=0,0,TrRoad_emi!L72/TrRoad_tech!L187)</f>
        <v>1.057898585226686</v>
      </c>
      <c r="M214" s="91">
        <f>IF(TrRoad_act!M75=0,0,TrRoad_emi!M72/TrRoad_tech!M187)</f>
        <v>1.0564560682972433</v>
      </c>
      <c r="N214" s="91">
        <f>IF(TrRoad_act!N75=0,0,TrRoad_emi!N72/TrRoad_tech!N187)</f>
        <v>1.0602856785123826</v>
      </c>
      <c r="O214" s="91">
        <f>IF(TrRoad_act!O75=0,0,TrRoad_emi!O72/TrRoad_tech!O187)</f>
        <v>1.0987583885080094</v>
      </c>
      <c r="P214" s="91">
        <f>IF(TrRoad_act!P75=0,0,TrRoad_emi!P72/TrRoad_tech!P187)</f>
        <v>1.0872523051865217</v>
      </c>
      <c r="Q214" s="91">
        <f>IF(TrRoad_act!Q75=0,0,TrRoad_emi!Q72/TrRoad_tech!Q187)</f>
        <v>1.1121931499217694</v>
      </c>
      <c r="R214" s="91">
        <f>IF(TrRoad_act!R75=0,0,TrRoad_emi!R72/TrRoad_tech!R187)</f>
        <v>1.1195516094844198</v>
      </c>
      <c r="S214" s="91">
        <f>IF(TrRoad_act!S75=0,0,TrRoad_emi!S72/TrRoad_tech!S187)</f>
        <v>1.1298347456006672</v>
      </c>
      <c r="T214" s="91">
        <f>IF(TrRoad_act!T75=0,0,TrRoad_emi!T72/TrRoad_tech!T187)</f>
        <v>1.1378460965091841</v>
      </c>
      <c r="U214" s="91">
        <f>IF(TrRoad_act!U75=0,0,TrRoad_emi!U72/TrRoad_tech!U187)</f>
        <v>1.1591785053328143</v>
      </c>
      <c r="V214" s="91">
        <f>IF(TrRoad_act!V75=0,0,TrRoad_emi!V72/TrRoad_tech!V187)</f>
        <v>1.1308853037689002</v>
      </c>
      <c r="W214" s="91">
        <f>IF(TrRoad_act!W75=0,0,TrRoad_emi!W72/TrRoad_tech!W187)</f>
        <v>1.1400960841809893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1.1063515491227378</v>
      </c>
      <c r="C215" s="91">
        <f>IF(TrRoad_act!C76=0,0,TrRoad_emi!C73/TrRoad_tech!C188)</f>
        <v>1.1301183074438383</v>
      </c>
      <c r="D215" s="91">
        <f>IF(TrRoad_act!D76=0,0,TrRoad_emi!D73/TrRoad_tech!D188)</f>
        <v>1.1778663618478731</v>
      </c>
      <c r="E215" s="91">
        <f>IF(TrRoad_act!E76=0,0,TrRoad_emi!E73/TrRoad_tech!E188)</f>
        <v>1.1977466624771749</v>
      </c>
      <c r="F215" s="91">
        <f>IF(TrRoad_act!F76=0,0,TrRoad_emi!F73/TrRoad_tech!F188)</f>
        <v>1.2039928427322324</v>
      </c>
      <c r="G215" s="91">
        <f>IF(TrRoad_act!G76=0,0,TrRoad_emi!G73/TrRoad_tech!G188)</f>
        <v>1.2560862693396957</v>
      </c>
      <c r="H215" s="91">
        <f>IF(TrRoad_act!H76=0,0,TrRoad_emi!H73/TrRoad_tech!H188)</f>
        <v>1.2551408028160163</v>
      </c>
      <c r="I215" s="91">
        <f>IF(TrRoad_act!I76=0,0,TrRoad_emi!I73/TrRoad_tech!I188)</f>
        <v>1.2168661959046041</v>
      </c>
      <c r="J215" s="91">
        <f>IF(TrRoad_act!J76=0,0,TrRoad_emi!J73/TrRoad_tech!J188)</f>
        <v>1.1863695821722304</v>
      </c>
      <c r="K215" s="91">
        <f>IF(TrRoad_act!K76=0,0,TrRoad_emi!K73/TrRoad_tech!K188)</f>
        <v>1.1729444902246808</v>
      </c>
      <c r="L215" s="91">
        <f>IF(TrRoad_act!L76=0,0,TrRoad_emi!L73/TrRoad_tech!L188)</f>
        <v>1.1832241750231001</v>
      </c>
      <c r="M215" s="91">
        <f>IF(TrRoad_act!M76=0,0,TrRoad_emi!M73/TrRoad_tech!M188)</f>
        <v>1.1271265130653436</v>
      </c>
      <c r="N215" s="91">
        <f>IF(TrRoad_act!N76=0,0,TrRoad_emi!N73/TrRoad_tech!N188)</f>
        <v>1.1040968131354987</v>
      </c>
      <c r="O215" s="91">
        <f>IF(TrRoad_act!O76=0,0,TrRoad_emi!O73/TrRoad_tech!O188)</f>
        <v>1.0405318262354109</v>
      </c>
      <c r="P215" s="91">
        <f>IF(TrRoad_act!P76=0,0,TrRoad_emi!P73/TrRoad_tech!P188)</f>
        <v>1.1373465707156352</v>
      </c>
      <c r="Q215" s="91">
        <f>IF(TrRoad_act!Q76=0,0,TrRoad_emi!Q73/TrRoad_tech!Q188)</f>
        <v>1.1995618148714522</v>
      </c>
      <c r="R215" s="91">
        <f>IF(TrRoad_act!R76=0,0,TrRoad_emi!R73/TrRoad_tech!R188)</f>
        <v>1.1702785451594884</v>
      </c>
      <c r="S215" s="91">
        <f>IF(TrRoad_act!S76=0,0,TrRoad_emi!S73/TrRoad_tech!S188)</f>
        <v>1.2057211071444442</v>
      </c>
      <c r="T215" s="91">
        <f>IF(TrRoad_act!T76=0,0,TrRoad_emi!T73/TrRoad_tech!T188)</f>
        <v>1.2184519021935496</v>
      </c>
      <c r="U215" s="91">
        <f>IF(TrRoad_act!U76=0,0,TrRoad_emi!U73/TrRoad_tech!U188)</f>
        <v>1.2194225489144346</v>
      </c>
      <c r="V215" s="91">
        <f>IF(TrRoad_act!V76=0,0,TrRoad_emi!V73/TrRoad_tech!V188)</f>
        <v>1.1377203668280411</v>
      </c>
      <c r="W215" s="91">
        <f>IF(TrRoad_act!W76=0,0,TrRoad_emi!W73/TrRoad_tech!W188)</f>
        <v>1.2023652874907866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1.1040000000061811</v>
      </c>
      <c r="D216" s="91">
        <f>IF(TrRoad_act!D77=0,0,TrRoad_emi!D74/TrRoad_tech!D189)</f>
        <v>1.1040000000061809</v>
      </c>
      <c r="E216" s="91">
        <f>IF(TrRoad_act!E77=0,0,TrRoad_emi!E74/TrRoad_tech!E189)</f>
        <v>1.1040000000061807</v>
      </c>
      <c r="F216" s="91">
        <f>IF(TrRoad_act!F77=0,0,TrRoad_emi!F74/TrRoad_tech!F189)</f>
        <v>1.1040000000061807</v>
      </c>
      <c r="G216" s="91">
        <f>IF(TrRoad_act!G77=0,0,TrRoad_emi!G74/TrRoad_tech!G189)</f>
        <v>1.1040000000061807</v>
      </c>
      <c r="H216" s="91">
        <f>IF(TrRoad_act!H77=0,0,TrRoad_emi!H74/TrRoad_tech!H189)</f>
        <v>1.1040000000061807</v>
      </c>
      <c r="I216" s="91">
        <f>IF(TrRoad_act!I77=0,0,TrRoad_emi!I74/TrRoad_tech!I189)</f>
        <v>1.1040000000061807</v>
      </c>
      <c r="J216" s="91">
        <f>IF(TrRoad_act!J77=0,0,TrRoad_emi!J74/TrRoad_tech!J189)</f>
        <v>1.1040000000061805</v>
      </c>
      <c r="K216" s="91">
        <f>IF(TrRoad_act!K77=0,0,TrRoad_emi!K74/TrRoad_tech!K189)</f>
        <v>1.1040000000061807</v>
      </c>
      <c r="L216" s="91">
        <f>IF(TrRoad_act!L77=0,0,TrRoad_emi!L74/TrRoad_tech!L189)</f>
        <v>1.1040000000061809</v>
      </c>
      <c r="M216" s="91">
        <f>IF(TrRoad_act!M77=0,0,TrRoad_emi!M74/TrRoad_tech!M189)</f>
        <v>1.1040000000061807</v>
      </c>
      <c r="N216" s="91">
        <f>IF(TrRoad_act!N77=0,0,TrRoad_emi!N74/TrRoad_tech!N189)</f>
        <v>1.1054647642205506</v>
      </c>
      <c r="O216" s="91">
        <f>IF(TrRoad_act!O77=0,0,TrRoad_emi!O74/TrRoad_tech!O189)</f>
        <v>1.1056734932463241</v>
      </c>
      <c r="P216" s="91">
        <f>IF(TrRoad_act!P77=0,0,TrRoad_emi!P74/TrRoad_tech!P189)</f>
        <v>1.1059515958160802</v>
      </c>
      <c r="Q216" s="91">
        <f>IF(TrRoad_act!Q77=0,0,TrRoad_emi!Q74/TrRoad_tech!Q189)</f>
        <v>1.12215806024238</v>
      </c>
      <c r="R216" s="91">
        <f>IF(TrRoad_act!R77=0,0,TrRoad_emi!R74/TrRoad_tech!R189)</f>
        <v>1.125536655352348</v>
      </c>
      <c r="S216" s="91">
        <f>IF(TrRoad_act!S77=0,0,TrRoad_emi!S74/TrRoad_tech!S189)</f>
        <v>1.1304599484361089</v>
      </c>
      <c r="T216" s="91">
        <f>IF(TrRoad_act!T77=0,0,TrRoad_emi!T74/TrRoad_tech!T189)</f>
        <v>1.1359352647874044</v>
      </c>
      <c r="U216" s="91">
        <f>IF(TrRoad_act!U77=0,0,TrRoad_emi!U74/TrRoad_tech!U189)</f>
        <v>1.14547008873276</v>
      </c>
      <c r="V216" s="91">
        <f>IF(TrRoad_act!V77=0,0,TrRoad_emi!V74/TrRoad_tech!V189)</f>
        <v>1.178402891895544</v>
      </c>
      <c r="W216" s="91">
        <f>IF(TrRoad_act!W77=0,0,TrRoad_emi!W74/TrRoad_tech!W189)</f>
        <v>1.2047884659228087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1.1000000000067303</v>
      </c>
      <c r="C217" s="91">
        <f>IF(TrRoad_act!C78=0,0,TrRoad_emi!C75/TrRoad_tech!C190)</f>
        <v>1.1000000000067305</v>
      </c>
      <c r="D217" s="91">
        <f>IF(TrRoad_act!D78=0,0,TrRoad_emi!D75/TrRoad_tech!D190)</f>
        <v>1.1000000000067303</v>
      </c>
      <c r="E217" s="91">
        <f>IF(TrRoad_act!E78=0,0,TrRoad_emi!E75/TrRoad_tech!E190)</f>
        <v>1.1000000000067307</v>
      </c>
      <c r="F217" s="91">
        <f>IF(TrRoad_act!F78=0,0,TrRoad_emi!F75/TrRoad_tech!F190)</f>
        <v>1.1000000000067298</v>
      </c>
      <c r="G217" s="91">
        <f>IF(TrRoad_act!G78=0,0,TrRoad_emi!G75/TrRoad_tech!G190)</f>
        <v>1.10000000000673</v>
      </c>
      <c r="H217" s="91">
        <f>IF(TrRoad_act!H78=0,0,TrRoad_emi!H75/TrRoad_tech!H190)</f>
        <v>1.1000000000067303</v>
      </c>
      <c r="I217" s="91">
        <f>IF(TrRoad_act!I78=0,0,TrRoad_emi!I75/TrRoad_tech!I190)</f>
        <v>1.10000000000673</v>
      </c>
      <c r="J217" s="91">
        <f>IF(TrRoad_act!J78=0,0,TrRoad_emi!J75/TrRoad_tech!J190)</f>
        <v>1.1000000000067303</v>
      </c>
      <c r="K217" s="91">
        <f>IF(TrRoad_act!K78=0,0,TrRoad_emi!K75/TrRoad_tech!K190)</f>
        <v>1.10000000000673</v>
      </c>
      <c r="L217" s="91">
        <f>IF(TrRoad_act!L78=0,0,TrRoad_emi!L75/TrRoad_tech!L190)</f>
        <v>1.10000000000673</v>
      </c>
      <c r="M217" s="91">
        <f>IF(TrRoad_act!M78=0,0,TrRoad_emi!M75/TrRoad_tech!M190)</f>
        <v>1.1000000000067303</v>
      </c>
      <c r="N217" s="91">
        <f>IF(TrRoad_act!N78=0,0,TrRoad_emi!N75/TrRoad_tech!N190)</f>
        <v>1.2360000000066977</v>
      </c>
      <c r="O217" s="91">
        <f>IF(TrRoad_act!O78=0,0,TrRoad_emi!O75/TrRoad_tech!O190)</f>
        <v>1.2542261506671426</v>
      </c>
      <c r="P217" s="91">
        <f>IF(TrRoad_act!P78=0,0,TrRoad_emi!P75/TrRoad_tech!P190)</f>
        <v>1.2596488239001342</v>
      </c>
      <c r="Q217" s="91">
        <f>IF(TrRoad_act!Q78=0,0,TrRoad_emi!Q75/TrRoad_tech!Q190)</f>
        <v>1.2922985979155999</v>
      </c>
      <c r="R217" s="91">
        <f>IF(TrRoad_act!R78=0,0,TrRoad_emi!R75/TrRoad_tech!R190)</f>
        <v>1.2938184227085237</v>
      </c>
      <c r="S217" s="91">
        <f>IF(TrRoad_act!S78=0,0,TrRoad_emi!S75/TrRoad_tech!S190)</f>
        <v>1.2994452052140968</v>
      </c>
      <c r="T217" s="91">
        <f>IF(TrRoad_act!T78=0,0,TrRoad_emi!T75/TrRoad_tech!T190)</f>
        <v>1.3057366748893393</v>
      </c>
      <c r="U217" s="91">
        <f>IF(TrRoad_act!U78=0,0,TrRoad_emi!U75/TrRoad_tech!U190)</f>
        <v>1.307205751709881</v>
      </c>
      <c r="V217" s="91">
        <f>IF(TrRoad_act!V78=0,0,TrRoad_emi!V75/TrRoad_tech!V190)</f>
        <v>1.3154327220194226</v>
      </c>
      <c r="W217" s="91">
        <f>IF(TrRoad_act!W78=0,0,TrRoad_emi!W75/TrRoad_tech!W190)</f>
        <v>1.3243523874278513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1.1668626070072359</v>
      </c>
      <c r="C219" s="151">
        <f>IF(TrRoad_act!C80=0,0,TrRoad_emi!C77/TrRoad_tech!C192)</f>
        <v>1.2362155647446504</v>
      </c>
      <c r="D219" s="151">
        <f>IF(TrRoad_act!D80=0,0,TrRoad_emi!D77/TrRoad_tech!D192)</f>
        <v>1.3878449608692724</v>
      </c>
      <c r="E219" s="151">
        <f>IF(TrRoad_act!E80=0,0,TrRoad_emi!E77/TrRoad_tech!E192)</f>
        <v>1.455991061130874</v>
      </c>
      <c r="F219" s="151">
        <f>IF(TrRoad_act!F80=0,0,TrRoad_emi!F77/TrRoad_tech!F192)</f>
        <v>1.4760074126063751</v>
      </c>
      <c r="G219" s="151">
        <f>IF(TrRoad_act!G80=0,0,TrRoad_emi!G77/TrRoad_tech!G192)</f>
        <v>1.5518700570629598</v>
      </c>
      <c r="H219" s="151">
        <f>IF(TrRoad_act!H80=0,0,TrRoad_emi!H77/TrRoad_tech!H192)</f>
        <v>1.5962529818557376</v>
      </c>
      <c r="I219" s="151">
        <f>IF(TrRoad_act!I80=0,0,TrRoad_emi!I77/TrRoad_tech!I192)</f>
        <v>1.4762855727611079</v>
      </c>
      <c r="J219" s="151">
        <f>IF(TrRoad_act!J80=0,0,TrRoad_emi!J77/TrRoad_tech!J192)</f>
        <v>1.4818177000404125</v>
      </c>
      <c r="K219" s="151">
        <f>IF(TrRoad_act!K80=0,0,TrRoad_emi!K77/TrRoad_tech!K192)</f>
        <v>1.4710539265329614</v>
      </c>
      <c r="L219" s="151">
        <f>IF(TrRoad_act!L80=0,0,TrRoad_emi!L77/TrRoad_tech!L192)</f>
        <v>1.5816482835468904</v>
      </c>
      <c r="M219" s="151">
        <f>IF(TrRoad_act!M80=0,0,TrRoad_emi!M77/TrRoad_tech!M192)</f>
        <v>1.3917352365637419</v>
      </c>
      <c r="N219" s="151">
        <f>IF(TrRoad_act!N80=0,0,TrRoad_emi!N77/TrRoad_tech!N192)</f>
        <v>1.2952036787089543</v>
      </c>
      <c r="O219" s="151">
        <f>IF(TrRoad_act!O80=0,0,TrRoad_emi!O77/TrRoad_tech!O192)</f>
        <v>1.0530037519002677</v>
      </c>
      <c r="P219" s="151">
        <f>IF(TrRoad_act!P80=0,0,TrRoad_emi!P77/TrRoad_tech!P192)</f>
        <v>1.3872452529211772</v>
      </c>
      <c r="Q219" s="151">
        <f>IF(TrRoad_act!Q80=0,0,TrRoad_emi!Q77/TrRoad_tech!Q192)</f>
        <v>1.5808278927500932</v>
      </c>
      <c r="R219" s="151">
        <f>IF(TrRoad_act!R80=0,0,TrRoad_emi!R77/TrRoad_tech!R192)</f>
        <v>1.4121294257700465</v>
      </c>
      <c r="S219" s="151">
        <f>IF(TrRoad_act!S80=0,0,TrRoad_emi!S77/TrRoad_tech!S192)</f>
        <v>1.4921248463780949</v>
      </c>
      <c r="T219" s="151">
        <f>IF(TrRoad_act!T80=0,0,TrRoad_emi!T77/TrRoad_tech!T192)</f>
        <v>1.5349053844735865</v>
      </c>
      <c r="U219" s="151">
        <f>IF(TrRoad_act!U80=0,0,TrRoad_emi!U77/TrRoad_tech!U192)</f>
        <v>1.5062037557767154</v>
      </c>
      <c r="V219" s="151">
        <f>IF(TrRoad_act!V80=0,0,TrRoad_emi!V77/TrRoad_tech!V192)</f>
        <v>1.1499812670415459</v>
      </c>
      <c r="W219" s="151">
        <f>IF(TrRoad_act!W80=0,0,TrRoad_emi!W77/TrRoad_tech!W192)</f>
        <v>1.3631478205897898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1.1830425063172596</v>
      </c>
      <c r="C220" s="93">
        <f>IF(TrRoad_act!C81=0,0,TrRoad_emi!C78/TrRoad_tech!C193)</f>
        <v>1.2118695453733663</v>
      </c>
      <c r="D220" s="93">
        <f>IF(TrRoad_act!D81=0,0,TrRoad_emi!D78/TrRoad_tech!D193)</f>
        <v>1.2740041466814285</v>
      </c>
      <c r="E220" s="93">
        <f>IF(TrRoad_act!E81=0,0,TrRoad_emi!E78/TrRoad_tech!E193)</f>
        <v>1.3030322138396726</v>
      </c>
      <c r="F220" s="93">
        <f>IF(TrRoad_act!F81=0,0,TrRoad_emi!F78/TrRoad_tech!F193)</f>
        <v>1.3133095181908021</v>
      </c>
      <c r="G220" s="93">
        <f>IF(TrRoad_act!G81=0,0,TrRoad_emi!G78/TrRoad_tech!G193)</f>
        <v>1.3518714787630655</v>
      </c>
      <c r="H220" s="93">
        <f>IF(TrRoad_act!H81=0,0,TrRoad_emi!H78/TrRoad_tech!H193)</f>
        <v>1.3743752327511281</v>
      </c>
      <c r="I220" s="93">
        <f>IF(TrRoad_act!I81=0,0,TrRoad_emi!I78/TrRoad_tech!I193)</f>
        <v>1.327279501547987</v>
      </c>
      <c r="J220" s="93">
        <f>IF(TrRoad_act!J81=0,0,TrRoad_emi!J78/TrRoad_tech!J193)</f>
        <v>1.2989977289718702</v>
      </c>
      <c r="K220" s="93">
        <f>IF(TrRoad_act!K81=0,0,TrRoad_emi!K78/TrRoad_tech!K193)</f>
        <v>1.3074844772338767</v>
      </c>
      <c r="L220" s="93">
        <f>IF(TrRoad_act!L81=0,0,TrRoad_emi!L78/TrRoad_tech!L193)</f>
        <v>1.3622260542642222</v>
      </c>
      <c r="M220" s="93">
        <f>IF(TrRoad_act!M81=0,0,TrRoad_emi!M78/TrRoad_tech!M193)</f>
        <v>1.2894392993917196</v>
      </c>
      <c r="N220" s="93">
        <f>IF(TrRoad_act!N81=0,0,TrRoad_emi!N78/TrRoad_tech!N193)</f>
        <v>1.2514753662068536</v>
      </c>
      <c r="O220" s="93">
        <f>IF(TrRoad_act!O81=0,0,TrRoad_emi!O78/TrRoad_tech!O193)</f>
        <v>1.1532144843793812</v>
      </c>
      <c r="P220" s="93">
        <f>IF(TrRoad_act!P81=0,0,TrRoad_emi!P78/TrRoad_tech!P193)</f>
        <v>1.2905194151481714</v>
      </c>
      <c r="Q220" s="93">
        <f>IF(TrRoad_act!Q81=0,0,TrRoad_emi!Q78/TrRoad_tech!Q193)</f>
        <v>1.3744215241694435</v>
      </c>
      <c r="R220" s="93">
        <f>IF(TrRoad_act!R81=0,0,TrRoad_emi!R78/TrRoad_tech!R193)</f>
        <v>1.3038190140798156</v>
      </c>
      <c r="S220" s="93">
        <f>IF(TrRoad_act!S81=0,0,TrRoad_emi!S78/TrRoad_tech!S193)</f>
        <v>1.3501340643839761</v>
      </c>
      <c r="T220" s="93">
        <f>IF(TrRoad_act!T81=0,0,TrRoad_emi!T78/TrRoad_tech!T193)</f>
        <v>1.376758836167614</v>
      </c>
      <c r="U220" s="93">
        <f>IF(TrRoad_act!U81=0,0,TrRoad_emi!U78/TrRoad_tech!U193)</f>
        <v>1.3745043642108754</v>
      </c>
      <c r="V220" s="93">
        <f>IF(TrRoad_act!V81=0,0,TrRoad_emi!V78/TrRoad_tech!V193)</f>
        <v>1.2187847632332698</v>
      </c>
      <c r="W220" s="93">
        <f>IF(TrRoad_act!W81=0,0,TrRoad_emi!W78/TrRoad_tech!W193)</f>
        <v>1.3261425742592221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1.2120286119593371</v>
      </c>
      <c r="C221" s="94">
        <f>IF(TrRoad_act!C82=0,0,TrRoad_emi!C79/TrRoad_tech!C194)</f>
        <v>1.3562471050007128</v>
      </c>
      <c r="D221" s="94">
        <f>IF(TrRoad_act!D82=0,0,TrRoad_emi!D79/TrRoad_tech!D194)</f>
        <v>1.6496623757714897</v>
      </c>
      <c r="E221" s="94">
        <f>IF(TrRoad_act!E82=0,0,TrRoad_emi!E79/TrRoad_tech!E194)</f>
        <v>1.7805939634228154</v>
      </c>
      <c r="F221" s="94">
        <f>IF(TrRoad_act!F82=0,0,TrRoad_emi!F79/TrRoad_tech!F194)</f>
        <v>1.8015715894210427</v>
      </c>
      <c r="G221" s="94">
        <f>IF(TrRoad_act!G82=0,0,TrRoad_emi!G79/TrRoad_tech!G194)</f>
        <v>2.0740731318362853</v>
      </c>
      <c r="H221" s="94">
        <f>IF(TrRoad_act!H82=0,0,TrRoad_emi!H79/TrRoad_tech!H194)</f>
        <v>2.1613201587237736</v>
      </c>
      <c r="I221" s="94">
        <f>IF(TrRoad_act!I82=0,0,TrRoad_emi!I79/TrRoad_tech!I194)</f>
        <v>1.8952032407797592</v>
      </c>
      <c r="J221" s="94">
        <f>IF(TrRoad_act!J82=0,0,TrRoad_emi!J79/TrRoad_tech!J194)</f>
        <v>1.9036034380788729</v>
      </c>
      <c r="K221" s="94">
        <f>IF(TrRoad_act!K82=0,0,TrRoad_emi!K79/TrRoad_tech!K194)</f>
        <v>2.0335352957654527</v>
      </c>
      <c r="L221" s="94">
        <f>IF(TrRoad_act!L82=0,0,TrRoad_emi!L79/TrRoad_tech!L194)</f>
        <v>2.1156747005984742</v>
      </c>
      <c r="M221" s="94">
        <f>IF(TrRoad_act!M82=0,0,TrRoad_emi!M79/TrRoad_tech!M194)</f>
        <v>1.6642488354005562</v>
      </c>
      <c r="N221" s="94">
        <f>IF(TrRoad_act!N82=0,0,TrRoad_emi!N79/TrRoad_tech!N194)</f>
        <v>1.4400122468288314</v>
      </c>
      <c r="O221" s="94">
        <f>IF(TrRoad_act!O82=0,0,TrRoad_emi!O79/TrRoad_tech!O194)</f>
        <v>0.99206122942763486</v>
      </c>
      <c r="P221" s="94">
        <f>IF(TrRoad_act!P82=0,0,TrRoad_emi!P79/TrRoad_tech!P194)</f>
        <v>1.6279057351156492</v>
      </c>
      <c r="Q221" s="94">
        <f>IF(TrRoad_act!Q82=0,0,TrRoad_emi!Q79/TrRoad_tech!Q194)</f>
        <v>2.0002865769164595</v>
      </c>
      <c r="R221" s="94">
        <f>IF(TrRoad_act!R82=0,0,TrRoad_emi!R79/TrRoad_tech!R194)</f>
        <v>1.7037109893101128</v>
      </c>
      <c r="S221" s="94">
        <f>IF(TrRoad_act!S82=0,0,TrRoad_emi!S79/TrRoad_tech!S194)</f>
        <v>1.8134497487537706</v>
      </c>
      <c r="T221" s="94">
        <f>IF(TrRoad_act!T82=0,0,TrRoad_emi!T79/TrRoad_tech!T194)</f>
        <v>1.8954366676397632</v>
      </c>
      <c r="U221" s="94">
        <f>IF(TrRoad_act!U82=0,0,TrRoad_emi!U79/TrRoad_tech!U194)</f>
        <v>1.8229501179789702</v>
      </c>
      <c r="V221" s="94">
        <f>IF(TrRoad_act!V82=0,0,TrRoad_emi!V79/TrRoad_tech!V194)</f>
        <v>1.162975819004199</v>
      </c>
      <c r="W221" s="94">
        <f>IF(TrRoad_act!W82=0,0,TrRoad_emi!W79/TrRoad_tech!W194)</f>
        <v>1.5501526180912417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0</v>
      </c>
      <c r="C225" s="152">
        <v>110.5323935408461</v>
      </c>
      <c r="D225" s="152">
        <v>109.86398683371978</v>
      </c>
      <c r="E225" s="152">
        <v>108.48884734681077</v>
      </c>
      <c r="F225" s="152">
        <v>108.33860914199799</v>
      </c>
      <c r="G225" s="152">
        <v>106.87915229524504</v>
      </c>
      <c r="H225" s="152">
        <v>104.72369396905324</v>
      </c>
      <c r="I225" s="152">
        <v>103.18758497698768</v>
      </c>
      <c r="J225" s="152">
        <v>98.177600759352657</v>
      </c>
      <c r="K225" s="152">
        <v>92.773624514810564</v>
      </c>
      <c r="L225" s="152">
        <v>89.399397078147587</v>
      </c>
      <c r="M225" s="152">
        <v>86.257401507498599</v>
      </c>
      <c r="N225" s="152">
        <v>84.143475226796397</v>
      </c>
      <c r="O225" s="152">
        <v>81.177083898995392</v>
      </c>
      <c r="P225" s="152">
        <v>80.366624587037421</v>
      </c>
      <c r="Q225" s="152">
        <v>78.270685372893595</v>
      </c>
      <c r="R225" s="152">
        <v>76.785167964376569</v>
      </c>
      <c r="S225" s="152">
        <v>75.596754037562945</v>
      </c>
      <c r="T225" s="152">
        <v>74.646022896112044</v>
      </c>
      <c r="U225" s="152">
        <v>73.885437982951316</v>
      </c>
      <c r="V225" s="152">
        <v>73.27697005242274</v>
      </c>
      <c r="W225" s="152">
        <v>72.790195707999885</v>
      </c>
      <c r="DA225" s="174" t="s">
        <v>931</v>
      </c>
    </row>
    <row r="226" spans="1:105" ht="11.45" customHeight="1" x14ac:dyDescent="0.25">
      <c r="A226" s="109" t="s">
        <v>20</v>
      </c>
      <c r="B226" s="116">
        <v>217.79458301615216</v>
      </c>
      <c r="C226" s="116">
        <v>216.86313104923295</v>
      </c>
      <c r="D226" s="116">
        <v>215.85660428304465</v>
      </c>
      <c r="E226" s="116">
        <v>211.52516669879731</v>
      </c>
      <c r="F226" s="116">
        <v>213.05304799012376</v>
      </c>
      <c r="G226" s="116">
        <v>210.77449327336353</v>
      </c>
      <c r="H226" s="116">
        <v>209.34007513434321</v>
      </c>
      <c r="I226" s="116">
        <v>206.20285785452779</v>
      </c>
      <c r="J226" s="116">
        <v>196.50284534292931</v>
      </c>
      <c r="K226" s="116">
        <v>187.63140894466434</v>
      </c>
      <c r="L226" s="116">
        <v>180.68435641840298</v>
      </c>
      <c r="M226" s="116">
        <v>169.18892338096464</v>
      </c>
      <c r="N226" s="116">
        <v>171.70671130965496</v>
      </c>
      <c r="O226" s="116">
        <v>164.90588058920855</v>
      </c>
      <c r="P226" s="116">
        <v>163.00978568601366</v>
      </c>
      <c r="Q226" s="116">
        <v>158.69334623600315</v>
      </c>
      <c r="R226" s="116">
        <v>153.73016099802774</v>
      </c>
      <c r="S226" s="116">
        <v>153.64641924158497</v>
      </c>
      <c r="T226" s="116">
        <v>157.31449146630655</v>
      </c>
      <c r="U226" s="116">
        <v>154.35604051222819</v>
      </c>
      <c r="V226" s="116">
        <v>143.23378600190006</v>
      </c>
      <c r="W226" s="116">
        <v>136.55428122125642</v>
      </c>
      <c r="DA226" s="176" t="s">
        <v>932</v>
      </c>
    </row>
    <row r="227" spans="1:105" ht="11.45" customHeight="1" x14ac:dyDescent="0.25">
      <c r="A227" s="111" t="s">
        <v>110</v>
      </c>
      <c r="B227" s="87">
        <v>219.12110638450599</v>
      </c>
      <c r="C227" s="87">
        <v>217.92819129928904</v>
      </c>
      <c r="D227" s="87">
        <v>216.6103453713211</v>
      </c>
      <c r="E227" s="87">
        <v>213.89908895529527</v>
      </c>
      <c r="F227" s="87">
        <v>213.60287587974287</v>
      </c>
      <c r="G227" s="87">
        <v>210.72537743151921</v>
      </c>
      <c r="H227" s="87">
        <v>206.47562657206291</v>
      </c>
      <c r="I227" s="87">
        <v>203.4469990036595</v>
      </c>
      <c r="J227" s="87">
        <v>193.569199708707</v>
      </c>
      <c r="K227" s="87">
        <v>182.91459673603023</v>
      </c>
      <c r="L227" s="87">
        <v>176.25109771937676</v>
      </c>
      <c r="M227" s="87">
        <v>169.98188535171573</v>
      </c>
      <c r="N227" s="87">
        <v>165.49335070060835</v>
      </c>
      <c r="O227" s="87">
        <v>159.99271757008208</v>
      </c>
      <c r="P227" s="87">
        <v>158.485324326979</v>
      </c>
      <c r="Q227" s="87">
        <v>154.50841235008556</v>
      </c>
      <c r="R227" s="87">
        <v>153.37091865844678</v>
      </c>
      <c r="S227" s="87">
        <v>151.65768487302458</v>
      </c>
      <c r="T227" s="87">
        <v>152.99422575642589</v>
      </c>
      <c r="U227" s="87">
        <v>151.84328791083269</v>
      </c>
      <c r="V227" s="87">
        <v>142.79948566425921</v>
      </c>
      <c r="W227" s="87">
        <v>136.64900230190679</v>
      </c>
      <c r="DA227" s="171" t="s">
        <v>933</v>
      </c>
    </row>
    <row r="228" spans="1:105" ht="11.45" customHeight="1" x14ac:dyDescent="0.25">
      <c r="A228" s="111" t="s">
        <v>111</v>
      </c>
      <c r="B228" s="87">
        <v>212.13732192786406</v>
      </c>
      <c r="C228" s="87">
        <v>212.03192917063342</v>
      </c>
      <c r="D228" s="87">
        <v>211.9148875164708</v>
      </c>
      <c r="E228" s="87">
        <v>212.39768433989153</v>
      </c>
      <c r="F228" s="87">
        <v>210.99684204163285</v>
      </c>
      <c r="G228" s="87">
        <v>211.62594093275683</v>
      </c>
      <c r="H228" s="87">
        <v>212.98289261070454</v>
      </c>
      <c r="I228" s="87">
        <v>211.02244490348096</v>
      </c>
      <c r="J228" s="87">
        <v>201.50183784769172</v>
      </c>
      <c r="K228" s="87">
        <v>193.58323843325309</v>
      </c>
      <c r="L228" s="87">
        <v>186.14743584223646</v>
      </c>
      <c r="M228" s="87">
        <v>178.57891602780134</v>
      </c>
      <c r="N228" s="87">
        <v>181.34183109647699</v>
      </c>
      <c r="O228" s="87">
        <v>170.92405633929278</v>
      </c>
      <c r="P228" s="87">
        <v>168.93530274401286</v>
      </c>
      <c r="Q228" s="87">
        <v>165.09426353449848</v>
      </c>
      <c r="R228" s="87">
        <v>154.65679172388624</v>
      </c>
      <c r="S228" s="87">
        <v>157.96686878173384</v>
      </c>
      <c r="T228" s="87">
        <v>167.17480855558489</v>
      </c>
      <c r="U228" s="87">
        <v>164.59686858117271</v>
      </c>
      <c r="V228" s="87">
        <v>162.6267392225227</v>
      </c>
      <c r="W228" s="87">
        <v>157.76691967109431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201.91661128208202</v>
      </c>
      <c r="D229" s="87">
        <v>0</v>
      </c>
      <c r="E229" s="87">
        <v>202.2649175236202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177.26697856842702</v>
      </c>
      <c r="M229" s="87">
        <v>140.94573450149679</v>
      </c>
      <c r="N229" s="87">
        <v>167.81100639915221</v>
      </c>
      <c r="O229" s="87">
        <v>153.51699162709147</v>
      </c>
      <c r="P229" s="87">
        <v>148.7293326631675</v>
      </c>
      <c r="Q229" s="87">
        <v>124.93056583186481</v>
      </c>
      <c r="R229" s="87">
        <v>114.97795209413087</v>
      </c>
      <c r="S229" s="87">
        <v>0</v>
      </c>
      <c r="T229" s="87">
        <v>124.90909090909091</v>
      </c>
      <c r="U229" s="87">
        <v>129.44444444444451</v>
      </c>
      <c r="V229" s="87">
        <v>126.0310559006211</v>
      </c>
      <c r="W229" s="87">
        <v>135.52188552188551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235.73255813953489</v>
      </c>
      <c r="M230" s="87">
        <v>169.18604651162792</v>
      </c>
      <c r="N230" s="87">
        <v>145.5</v>
      </c>
      <c r="O230" s="87">
        <v>156.41522880720214</v>
      </c>
      <c r="P230" s="87">
        <v>155.49003322259153</v>
      </c>
      <c r="Q230" s="87">
        <v>112.00667813686952</v>
      </c>
      <c r="R230" s="87">
        <v>142.11627906976744</v>
      </c>
      <c r="S230" s="87">
        <v>116.55574043728109</v>
      </c>
      <c r="T230" s="87">
        <v>145.5</v>
      </c>
      <c r="U230" s="87">
        <v>145.5</v>
      </c>
      <c r="V230" s="87">
        <v>116</v>
      </c>
      <c r="W230" s="87">
        <v>104.71428571428569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44.923924542657254</v>
      </c>
      <c r="O231" s="87">
        <v>0</v>
      </c>
      <c r="P231" s="87">
        <v>38.42194486871346</v>
      </c>
      <c r="Q231" s="87">
        <v>30.716972710219668</v>
      </c>
      <c r="R231" s="87">
        <v>44.712185455582528</v>
      </c>
      <c r="S231" s="87">
        <v>52.074230238527399</v>
      </c>
      <c r="T231" s="87">
        <v>50.965108953978813</v>
      </c>
      <c r="U231" s="87">
        <v>46.475037821482601</v>
      </c>
      <c r="V231" s="87">
        <v>45.519541778975743</v>
      </c>
      <c r="W231" s="87">
        <v>38.566487099518007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1458.3413101168887</v>
      </c>
      <c r="C233" s="116">
        <v>1457.0243383886332</v>
      </c>
      <c r="D233" s="116">
        <v>1457.7686355138276</v>
      </c>
      <c r="E233" s="116">
        <v>1448.9884787884512</v>
      </c>
      <c r="F233" s="116">
        <v>1449.6297387161778</v>
      </c>
      <c r="G233" s="116">
        <v>1444.9713915409577</v>
      </c>
      <c r="H233" s="116">
        <v>1441.5123017240344</v>
      </c>
      <c r="I233" s="116">
        <v>1437.0614268997999</v>
      </c>
      <c r="J233" s="116">
        <v>1413.2116937308831</v>
      </c>
      <c r="K233" s="116">
        <v>1399.1354717562763</v>
      </c>
      <c r="L233" s="116">
        <v>1379.8860512905685</v>
      </c>
      <c r="M233" s="116">
        <v>1363.689006551225</v>
      </c>
      <c r="N233" s="116">
        <v>1356.258784405793</v>
      </c>
      <c r="O233" s="116">
        <v>1351.6948544326685</v>
      </c>
      <c r="P233" s="116">
        <v>1342.0035615052361</v>
      </c>
      <c r="Q233" s="116">
        <v>1280.3532002243103</v>
      </c>
      <c r="R233" s="116">
        <v>1292.1741023791071</v>
      </c>
      <c r="S233" s="116">
        <v>1310.2313334142605</v>
      </c>
      <c r="T233" s="116">
        <v>1315.4529735832223</v>
      </c>
      <c r="U233" s="116">
        <v>1312.8511313573226</v>
      </c>
      <c r="V233" s="116">
        <v>1258.1123546263786</v>
      </c>
      <c r="W233" s="116">
        <v>1246.6661850652461</v>
      </c>
      <c r="DA233" s="176" t="s">
        <v>939</v>
      </c>
    </row>
    <row r="234" spans="1:105" ht="11.45" customHeight="1" x14ac:dyDescent="0.25">
      <c r="A234" s="111" t="s">
        <v>110</v>
      </c>
      <c r="B234" s="101">
        <v>463.07264906080172</v>
      </c>
      <c r="C234" s="101">
        <v>0</v>
      </c>
      <c r="D234" s="101">
        <v>0</v>
      </c>
      <c r="E234" s="101">
        <v>0</v>
      </c>
      <c r="F234" s="101">
        <v>451.41087142499151</v>
      </c>
      <c r="G234" s="101">
        <v>445.32980123018774</v>
      </c>
      <c r="H234" s="101">
        <v>0</v>
      </c>
      <c r="I234" s="101">
        <v>429.94827073744869</v>
      </c>
      <c r="J234" s="101">
        <v>409.07333649730271</v>
      </c>
      <c r="K234" s="101">
        <v>0</v>
      </c>
      <c r="L234" s="101">
        <v>372.497487825615</v>
      </c>
      <c r="M234" s="101">
        <v>359.40583961457747</v>
      </c>
      <c r="N234" s="101">
        <v>350.59781344498498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321.14309356681247</v>
      </c>
      <c r="U234" s="101">
        <v>0</v>
      </c>
      <c r="V234" s="101">
        <v>318.62484278572009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1464.6873377112954</v>
      </c>
      <c r="C235" s="101">
        <v>1462.6852374155358</v>
      </c>
      <c r="D235" s="101">
        <v>1460.4638910752924</v>
      </c>
      <c r="E235" s="101">
        <v>1455.850519320694</v>
      </c>
      <c r="F235" s="101">
        <v>1455.3459702783725</v>
      </c>
      <c r="G235" s="101">
        <v>1450.3946109627232</v>
      </c>
      <c r="H235" s="101">
        <v>1442.9696889783302</v>
      </c>
      <c r="I235" s="101">
        <v>1437.6193843270366</v>
      </c>
      <c r="J235" s="101">
        <v>1419.5100526024198</v>
      </c>
      <c r="K235" s="101">
        <v>1399.1354717562763</v>
      </c>
      <c r="L235" s="101">
        <v>1386.0568847574291</v>
      </c>
      <c r="M235" s="101">
        <v>1373.54872908777</v>
      </c>
      <c r="N235" s="101">
        <v>1364.9756995214225</v>
      </c>
      <c r="O235" s="101">
        <v>1352.6187743605105</v>
      </c>
      <c r="P235" s="101">
        <v>1349.2172203394941</v>
      </c>
      <c r="Q235" s="101">
        <v>1340.2449215971562</v>
      </c>
      <c r="R235" s="101">
        <v>1332.2208783295669</v>
      </c>
      <c r="S235" s="101">
        <v>1325.0403217382579</v>
      </c>
      <c r="T235" s="101">
        <v>1318.6109174710471</v>
      </c>
      <c r="U235" s="101">
        <v>1312.8511313573226</v>
      </c>
      <c r="V235" s="101">
        <v>1307.6888380680814</v>
      </c>
      <c r="W235" s="101">
        <v>1303.0601318391311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957.44047012395492</v>
      </c>
      <c r="Q236" s="101">
        <v>0</v>
      </c>
      <c r="R236" s="101">
        <v>945.37941320957827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922.81423548146165</v>
      </c>
      <c r="D237" s="101">
        <v>921.41277878232017</v>
      </c>
      <c r="E237" s="101">
        <v>918.50218324213813</v>
      </c>
      <c r="F237" s="101">
        <v>918.18386114053862</v>
      </c>
      <c r="G237" s="101">
        <v>915.06002783410679</v>
      </c>
      <c r="H237" s="101">
        <v>910.37561349172654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859.25910612347707</v>
      </c>
      <c r="O237" s="101">
        <v>0</v>
      </c>
      <c r="P237" s="101">
        <v>851.22678881067941</v>
      </c>
      <c r="Q237" s="101">
        <v>845.56612799820584</v>
      </c>
      <c r="R237" s="101">
        <v>840.50372553181205</v>
      </c>
      <c r="S237" s="101">
        <v>835.97348233824005</v>
      </c>
      <c r="T237" s="101">
        <v>831.91714428841419</v>
      </c>
      <c r="U237" s="101">
        <v>0</v>
      </c>
      <c r="V237" s="101">
        <v>0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253.32080890004795</v>
      </c>
      <c r="C240" s="152">
        <v>253.04654538825213</v>
      </c>
      <c r="D240" s="152">
        <v>254.17538978779339</v>
      </c>
      <c r="E240" s="152">
        <v>255.03614173052412</v>
      </c>
      <c r="F240" s="152">
        <v>253.06093879774048</v>
      </c>
      <c r="G240" s="152">
        <v>254.12010621209328</v>
      </c>
      <c r="H240" s="152">
        <v>257.0203338664453</v>
      </c>
      <c r="I240" s="152">
        <v>254.20864811836964</v>
      </c>
      <c r="J240" s="152">
        <v>243.10338017061235</v>
      </c>
      <c r="K240" s="152">
        <v>233.49587530809859</v>
      </c>
      <c r="L240" s="152">
        <v>223.75216392387844</v>
      </c>
      <c r="M240" s="152">
        <v>215.91115391225679</v>
      </c>
      <c r="N240" s="152">
        <v>218.70931445750904</v>
      </c>
      <c r="O240" s="152">
        <v>208.04043400053118</v>
      </c>
      <c r="P240" s="152">
        <v>208.15963751779367</v>
      </c>
      <c r="Q240" s="152">
        <v>209.81676930073559</v>
      </c>
      <c r="R240" s="152">
        <v>199.86926584054603</v>
      </c>
      <c r="S240" s="152">
        <v>194.14006079758229</v>
      </c>
      <c r="T240" s="152">
        <v>195.13600283165167</v>
      </c>
      <c r="U240" s="152">
        <v>187.72666854601846</v>
      </c>
      <c r="V240" s="152">
        <v>218.86875444532606</v>
      </c>
      <c r="W240" s="152">
        <v>219.2841383364165</v>
      </c>
      <c r="DA240" s="174" t="s">
        <v>945</v>
      </c>
    </row>
    <row r="241" spans="1:105" ht="11.45" customHeight="1" x14ac:dyDescent="0.25">
      <c r="A241" s="111" t="s">
        <v>110</v>
      </c>
      <c r="B241" s="87">
        <v>207.00914047920025</v>
      </c>
      <c r="C241" s="87">
        <v>205.88216402982931</v>
      </c>
      <c r="D241" s="87">
        <v>204.63716231669477</v>
      </c>
      <c r="E241" s="87">
        <v>202.07577117751646</v>
      </c>
      <c r="F241" s="87">
        <v>201.79593134291281</v>
      </c>
      <c r="G241" s="87">
        <v>199.0774872353345</v>
      </c>
      <c r="H241" s="87">
        <v>195.06264226132703</v>
      </c>
      <c r="I241" s="87">
        <v>192.20142272793049</v>
      </c>
      <c r="J241" s="87">
        <v>182.86962089645365</v>
      </c>
      <c r="K241" s="87">
        <v>172.80395337627127</v>
      </c>
      <c r="L241" s="87">
        <v>166.51897913175458</v>
      </c>
      <c r="M241" s="87">
        <v>160.66656947396217</v>
      </c>
      <c r="N241" s="87">
        <v>156.72908378919172</v>
      </c>
      <c r="O241" s="87">
        <v>162.81073786735971</v>
      </c>
      <c r="P241" s="87">
        <v>162.77065843000224</v>
      </c>
      <c r="Q241" s="87">
        <v>166.014253388432</v>
      </c>
      <c r="R241" s="87">
        <v>147.34186475092082</v>
      </c>
      <c r="S241" s="87">
        <v>174.96247333536166</v>
      </c>
      <c r="T241" s="87">
        <v>174.99133726083741</v>
      </c>
      <c r="U241" s="87">
        <v>183.7624521072797</v>
      </c>
      <c r="V241" s="87">
        <v>153.713768115942</v>
      </c>
      <c r="W241" s="87">
        <v>156.9806576402321</v>
      </c>
      <c r="DA241" s="171" t="s">
        <v>946</v>
      </c>
    </row>
    <row r="242" spans="1:105" ht="11.45" customHeight="1" x14ac:dyDescent="0.25">
      <c r="A242" s="111" t="s">
        <v>111</v>
      </c>
      <c r="B242" s="87">
        <v>256.80982486600755</v>
      </c>
      <c r="C242" s="87">
        <v>256.68223819110943</v>
      </c>
      <c r="D242" s="87">
        <v>256.5405495602057</v>
      </c>
      <c r="E242" s="87">
        <v>257.12501516268333</v>
      </c>
      <c r="F242" s="87">
        <v>255.42917936155527</v>
      </c>
      <c r="G242" s="87">
        <v>256.19075575266231</v>
      </c>
      <c r="H242" s="87">
        <v>257.83345831720152</v>
      </c>
      <c r="I242" s="87">
        <v>255.46017374956543</v>
      </c>
      <c r="J242" s="87">
        <v>243.93468917949662</v>
      </c>
      <c r="K242" s="87">
        <v>234.34856774492152</v>
      </c>
      <c r="L242" s="87">
        <v>225.34691191282391</v>
      </c>
      <c r="M242" s="87">
        <v>216.18459087296185</v>
      </c>
      <c r="N242" s="87">
        <v>219.52932874585616</v>
      </c>
      <c r="O242" s="87">
        <v>216.65492601208376</v>
      </c>
      <c r="P242" s="87">
        <v>211.99272127219251</v>
      </c>
      <c r="Q242" s="87">
        <v>211.6707241426021</v>
      </c>
      <c r="R242" s="87">
        <v>201.04781489767802</v>
      </c>
      <c r="S242" s="87">
        <v>195.05495554666862</v>
      </c>
      <c r="T242" s="87">
        <v>196.40474551143225</v>
      </c>
      <c r="U242" s="87">
        <v>188.28167446003121</v>
      </c>
      <c r="V242" s="87">
        <v>220.78188855838039</v>
      </c>
      <c r="W242" s="87">
        <v>222.15775517091751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255.72319784333959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212.52915704765547</v>
      </c>
      <c r="O243" s="87">
        <v>0</v>
      </c>
      <c r="P243" s="87">
        <v>0</v>
      </c>
      <c r="Q243" s="87">
        <v>190.93528547596856</v>
      </c>
      <c r="R243" s="87">
        <v>0</v>
      </c>
      <c r="S243" s="87">
        <v>0</v>
      </c>
      <c r="T243" s="87">
        <v>0</v>
      </c>
      <c r="U243" s="87">
        <v>0</v>
      </c>
      <c r="V243" s="87">
        <v>141</v>
      </c>
      <c r="W243" s="87">
        <v>146</v>
      </c>
      <c r="DA243" s="171" t="s">
        <v>948</v>
      </c>
    </row>
    <row r="244" spans="1:105" ht="11.45" customHeight="1" x14ac:dyDescent="0.25">
      <c r="A244" s="111" t="s">
        <v>113</v>
      </c>
      <c r="B244" s="87">
        <v>227.12662862384741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148.16183035714238</v>
      </c>
      <c r="O244" s="87">
        <v>144.67057291666703</v>
      </c>
      <c r="P244" s="87">
        <v>133.25390625</v>
      </c>
      <c r="Q244" s="87">
        <v>177.939453125</v>
      </c>
      <c r="R244" s="87">
        <v>203.359375</v>
      </c>
      <c r="S244" s="87">
        <v>152.72728393315805</v>
      </c>
      <c r="T244" s="87">
        <v>188.76420454545459</v>
      </c>
      <c r="U244" s="87">
        <v>137</v>
      </c>
      <c r="V244" s="87">
        <v>140.03614457831321</v>
      </c>
      <c r="W244" s="87">
        <v>155.55000000000001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937.44173413024566</v>
      </c>
      <c r="D246" s="116">
        <v>933.02524466087505</v>
      </c>
      <c r="E246" s="116">
        <v>924.57211555721972</v>
      </c>
      <c r="F246" s="116">
        <v>934.29783590082911</v>
      </c>
      <c r="G246" s="116">
        <v>908.14487471306597</v>
      </c>
      <c r="H246" s="116">
        <v>898.53241548138692</v>
      </c>
      <c r="I246" s="116">
        <v>897.31422664575484</v>
      </c>
      <c r="J246" s="116">
        <v>933.16926411237421</v>
      </c>
      <c r="K246" s="116">
        <v>856.83121662142571</v>
      </c>
      <c r="L246" s="116">
        <v>843.83617745105994</v>
      </c>
      <c r="M246" s="116">
        <v>880.5857427532934</v>
      </c>
      <c r="N246" s="116">
        <v>859.38668083896516</v>
      </c>
      <c r="O246" s="116">
        <v>850.95583504506021</v>
      </c>
      <c r="P246" s="116">
        <v>806.26185684249162</v>
      </c>
      <c r="Q246" s="116">
        <v>805.63599964253115</v>
      </c>
      <c r="R246" s="116">
        <v>778.13772803731342</v>
      </c>
      <c r="S246" s="116">
        <v>736.25633304483074</v>
      </c>
      <c r="T246" s="116">
        <v>705.94633609018501</v>
      </c>
      <c r="U246" s="116">
        <v>685.60251523789464</v>
      </c>
      <c r="V246" s="116">
        <v>670.05605519990945</v>
      </c>
      <c r="W246" s="116">
        <v>674.84474469642862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866.17327703951253</v>
      </c>
      <c r="D247" s="101">
        <v>861.74644543443321</v>
      </c>
      <c r="E247" s="101">
        <v>856.23421609447382</v>
      </c>
      <c r="F247" s="101">
        <v>849.65059569820755</v>
      </c>
      <c r="G247" s="101">
        <v>842.01219526886428</v>
      </c>
      <c r="H247" s="101">
        <v>833.33812658845034</v>
      </c>
      <c r="I247" s="101">
        <v>823.64988447766257</v>
      </c>
      <c r="J247" s="101">
        <v>812.9712162706569</v>
      </c>
      <c r="K247" s="101">
        <v>801.32797991720361</v>
      </c>
      <c r="L247" s="101">
        <v>788.74799227512165</v>
      </c>
      <c r="M247" s="101">
        <v>775.26086918024578</v>
      </c>
      <c r="N247" s="101">
        <v>760.89785894264446</v>
      </c>
      <c r="O247" s="101">
        <v>745.69167093711087</v>
      </c>
      <c r="P247" s="101">
        <v>729.67630091671867</v>
      </c>
      <c r="Q247" s="101">
        <v>712.88685467848711</v>
      </c>
      <c r="R247" s="101">
        <v>688.25916489264932</v>
      </c>
      <c r="S247" s="101">
        <v>671.01978204256307</v>
      </c>
      <c r="T247" s="101">
        <v>652.91843004997247</v>
      </c>
      <c r="U247" s="101">
        <v>630.79455539236176</v>
      </c>
      <c r="V247" s="101">
        <v>621.12894911587637</v>
      </c>
      <c r="W247" s="101">
        <v>614.91765962471766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12263</v>
      </c>
      <c r="C4" s="28">
        <f t="shared" ref="C4:V4" si="1">SUM(C5,C6,C9)</f>
        <v>12576</v>
      </c>
      <c r="D4" s="28">
        <f t="shared" si="1"/>
        <v>13067</v>
      </c>
      <c r="E4" s="28">
        <f t="shared" si="1"/>
        <v>12802</v>
      </c>
      <c r="F4" s="28">
        <f t="shared" si="1"/>
        <v>12585</v>
      </c>
      <c r="G4" s="28">
        <f t="shared" si="1"/>
        <v>12204</v>
      </c>
      <c r="H4" s="28">
        <f t="shared" si="1"/>
        <v>11941</v>
      </c>
      <c r="I4" s="28">
        <f t="shared" si="1"/>
        <v>11032</v>
      </c>
      <c r="J4" s="28">
        <f t="shared" si="1"/>
        <v>10627</v>
      </c>
      <c r="K4" s="28">
        <f t="shared" si="1"/>
        <v>10596</v>
      </c>
      <c r="L4" s="28">
        <f t="shared" si="1"/>
        <v>10170</v>
      </c>
      <c r="M4" s="28">
        <f t="shared" si="1"/>
        <v>10266.913</v>
      </c>
      <c r="N4" s="28">
        <f t="shared" si="1"/>
        <v>10305.0787</v>
      </c>
      <c r="O4" s="28">
        <f t="shared" si="1"/>
        <v>10352.4894</v>
      </c>
      <c r="P4" s="28">
        <f t="shared" si="1"/>
        <v>10557.4692</v>
      </c>
      <c r="Q4" s="28">
        <f t="shared" si="1"/>
        <v>10555.669399999999</v>
      </c>
      <c r="R4" s="28">
        <f t="shared" si="1"/>
        <v>10715.704099999999</v>
      </c>
      <c r="S4" s="28">
        <f t="shared" si="1"/>
        <v>10776.6327</v>
      </c>
      <c r="T4" s="28">
        <f t="shared" si="1"/>
        <v>10477.700000000001</v>
      </c>
      <c r="U4" s="28">
        <f t="shared" si="1"/>
        <v>10559.330399999999</v>
      </c>
      <c r="V4" s="28">
        <f t="shared" si="1"/>
        <v>6699</v>
      </c>
      <c r="W4" s="28">
        <f t="shared" ref="W4" si="2">SUM(W5,W6,W9)</f>
        <v>7201.7847000000002</v>
      </c>
      <c r="DA4" s="173" t="s">
        <v>375</v>
      </c>
    </row>
    <row r="5" spans="1:105" ht="11.45" customHeight="1" x14ac:dyDescent="0.25">
      <c r="A5" s="107" t="s">
        <v>23</v>
      </c>
      <c r="B5" s="108">
        <v>2570.0000000000005</v>
      </c>
      <c r="C5" s="108">
        <v>2570.9999999999995</v>
      </c>
      <c r="D5" s="108">
        <v>2536</v>
      </c>
      <c r="E5" s="108">
        <v>2516</v>
      </c>
      <c r="F5" s="108">
        <v>2420</v>
      </c>
      <c r="G5" s="108">
        <v>2352.9999999999995</v>
      </c>
      <c r="H5" s="108">
        <v>2283</v>
      </c>
      <c r="I5" s="108">
        <v>2280.0000000000005</v>
      </c>
      <c r="J5" s="108">
        <v>2335</v>
      </c>
      <c r="K5" s="108">
        <v>2524</v>
      </c>
      <c r="L5" s="108">
        <v>2489</v>
      </c>
      <c r="M5" s="108">
        <v>2503.913</v>
      </c>
      <c r="N5" s="108">
        <v>2499.0787</v>
      </c>
      <c r="O5" s="108">
        <v>2510.4893999999999</v>
      </c>
      <c r="P5" s="108">
        <v>2819.4692000000005</v>
      </c>
      <c r="Q5" s="108">
        <v>2946.6693999999998</v>
      </c>
      <c r="R5" s="108">
        <v>3062.7040999999999</v>
      </c>
      <c r="S5" s="108">
        <v>3045.6327000000001</v>
      </c>
      <c r="T5" s="108">
        <v>2707.7</v>
      </c>
      <c r="U5" s="108">
        <v>2807.3303999999998</v>
      </c>
      <c r="V5" s="108">
        <v>1845</v>
      </c>
      <c r="W5" s="108">
        <v>1766.7846999999999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9693</v>
      </c>
      <c r="C6" s="110">
        <f t="shared" ref="C6:V6" si="4">SUM(C7:C8)</f>
        <v>10005</v>
      </c>
      <c r="D6" s="110">
        <f t="shared" si="4"/>
        <v>10531</v>
      </c>
      <c r="E6" s="110">
        <f t="shared" si="4"/>
        <v>10286</v>
      </c>
      <c r="F6" s="110">
        <f t="shared" si="4"/>
        <v>10165</v>
      </c>
      <c r="G6" s="110">
        <f t="shared" si="4"/>
        <v>9851</v>
      </c>
      <c r="H6" s="110">
        <f t="shared" si="4"/>
        <v>9658</v>
      </c>
      <c r="I6" s="110">
        <f t="shared" si="4"/>
        <v>8752</v>
      </c>
      <c r="J6" s="110">
        <f t="shared" si="4"/>
        <v>8292</v>
      </c>
      <c r="K6" s="110">
        <f t="shared" si="4"/>
        <v>8071.9999999999991</v>
      </c>
      <c r="L6" s="110">
        <f t="shared" si="4"/>
        <v>7681</v>
      </c>
      <c r="M6" s="110">
        <f t="shared" si="4"/>
        <v>7763</v>
      </c>
      <c r="N6" s="110">
        <f t="shared" si="4"/>
        <v>7806</v>
      </c>
      <c r="O6" s="110">
        <f t="shared" si="4"/>
        <v>7842</v>
      </c>
      <c r="P6" s="110">
        <f t="shared" si="4"/>
        <v>7738</v>
      </c>
      <c r="Q6" s="110">
        <f t="shared" si="4"/>
        <v>7609</v>
      </c>
      <c r="R6" s="110">
        <f t="shared" si="4"/>
        <v>7653</v>
      </c>
      <c r="S6" s="110">
        <f t="shared" si="4"/>
        <v>7731</v>
      </c>
      <c r="T6" s="110">
        <f t="shared" si="4"/>
        <v>7770</v>
      </c>
      <c r="U6" s="110">
        <f t="shared" si="4"/>
        <v>7752</v>
      </c>
      <c r="V6" s="110">
        <f t="shared" si="4"/>
        <v>4854</v>
      </c>
      <c r="W6" s="110">
        <f t="shared" ref="W6" si="5">SUM(W7:W8)</f>
        <v>5435</v>
      </c>
      <c r="DA6" s="176" t="s">
        <v>377</v>
      </c>
    </row>
    <row r="7" spans="1:105" ht="11.45" customHeight="1" x14ac:dyDescent="0.25">
      <c r="A7" s="111" t="s">
        <v>90</v>
      </c>
      <c r="B7" s="84">
        <v>3965.1061475208944</v>
      </c>
      <c r="C7" s="84">
        <v>3963.5151529712975</v>
      </c>
      <c r="D7" s="84">
        <v>4501.9261277036994</v>
      </c>
      <c r="E7" s="84">
        <v>4137.6368372961097</v>
      </c>
      <c r="F7" s="84">
        <v>4086.5983285286402</v>
      </c>
      <c r="G7" s="84">
        <v>3574.3272701492842</v>
      </c>
      <c r="H7" s="84">
        <v>3655.32844338117</v>
      </c>
      <c r="I7" s="84">
        <v>3130.0690384957593</v>
      </c>
      <c r="J7" s="84">
        <v>2946.4037946947965</v>
      </c>
      <c r="K7" s="84">
        <v>2955.515739919997</v>
      </c>
      <c r="L7" s="84">
        <v>2636.2101761698041</v>
      </c>
      <c r="M7" s="84">
        <v>2642.8966827044819</v>
      </c>
      <c r="N7" s="84">
        <v>2327.4605329591509</v>
      </c>
      <c r="O7" s="84">
        <v>2422.1806899014678</v>
      </c>
      <c r="P7" s="84">
        <v>2745.7533667674447</v>
      </c>
      <c r="Q7" s="84">
        <v>2134.5009921784244</v>
      </c>
      <c r="R7" s="84">
        <v>2118.9944164118924</v>
      </c>
      <c r="S7" s="84">
        <v>2203.4169956597498</v>
      </c>
      <c r="T7" s="84">
        <v>2274.3259329018219</v>
      </c>
      <c r="U7" s="84">
        <v>2154.8881762473457</v>
      </c>
      <c r="V7" s="84">
        <v>1234.4315194660981</v>
      </c>
      <c r="W7" s="84">
        <v>1335.359134546776</v>
      </c>
      <c r="DA7" s="171" t="s">
        <v>1029</v>
      </c>
    </row>
    <row r="8" spans="1:105" ht="11.45" customHeight="1" x14ac:dyDescent="0.25">
      <c r="A8" s="111" t="s">
        <v>93</v>
      </c>
      <c r="B8" s="84">
        <v>5727.8938524791056</v>
      </c>
      <c r="C8" s="84">
        <v>6041.4848470287025</v>
      </c>
      <c r="D8" s="84">
        <v>6029.0738722963006</v>
      </c>
      <c r="E8" s="84">
        <v>6148.3631627038903</v>
      </c>
      <c r="F8" s="84">
        <v>6078.4016714713598</v>
      </c>
      <c r="G8" s="84">
        <v>6276.6727298507158</v>
      </c>
      <c r="H8" s="84">
        <v>6002.6715566188304</v>
      </c>
      <c r="I8" s="84">
        <v>5621.9309615042403</v>
      </c>
      <c r="J8" s="84">
        <v>5345.5962053052035</v>
      </c>
      <c r="K8" s="84">
        <v>5116.4842600800021</v>
      </c>
      <c r="L8" s="84">
        <v>5044.7898238301959</v>
      </c>
      <c r="M8" s="84">
        <v>5120.1033172955176</v>
      </c>
      <c r="N8" s="84">
        <v>5478.5394670408496</v>
      </c>
      <c r="O8" s="84">
        <v>5419.8193100985318</v>
      </c>
      <c r="P8" s="84">
        <v>4992.2466332325548</v>
      </c>
      <c r="Q8" s="84">
        <v>5474.499007821576</v>
      </c>
      <c r="R8" s="84">
        <v>5534.0055835881076</v>
      </c>
      <c r="S8" s="84">
        <v>5527.5830043402502</v>
      </c>
      <c r="T8" s="84">
        <v>5495.6740670981781</v>
      </c>
      <c r="U8" s="84">
        <v>5597.1118237526543</v>
      </c>
      <c r="V8" s="84">
        <v>3619.5684805339019</v>
      </c>
      <c r="W8" s="84">
        <v>4099.6408654532243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8800</v>
      </c>
      <c r="C10" s="28">
        <f t="shared" ref="C10:V10" si="7">SUM(C11:C12)</f>
        <v>7700</v>
      </c>
      <c r="D10" s="28">
        <f t="shared" si="7"/>
        <v>7800</v>
      </c>
      <c r="E10" s="28">
        <f t="shared" si="7"/>
        <v>7614</v>
      </c>
      <c r="F10" s="28">
        <f t="shared" si="7"/>
        <v>8749</v>
      </c>
      <c r="G10" s="28">
        <f t="shared" si="7"/>
        <v>9090</v>
      </c>
      <c r="H10" s="28">
        <f t="shared" si="7"/>
        <v>10167</v>
      </c>
      <c r="I10" s="28">
        <f t="shared" si="7"/>
        <v>10048</v>
      </c>
      <c r="J10" s="28">
        <f t="shared" si="7"/>
        <v>9874</v>
      </c>
      <c r="K10" s="28">
        <f t="shared" si="7"/>
        <v>7673</v>
      </c>
      <c r="L10" s="28">
        <f t="shared" si="7"/>
        <v>8809</v>
      </c>
      <c r="M10" s="28">
        <f t="shared" si="7"/>
        <v>9118</v>
      </c>
      <c r="N10" s="28">
        <f t="shared" si="7"/>
        <v>9230</v>
      </c>
      <c r="O10" s="28">
        <f t="shared" si="7"/>
        <v>9722</v>
      </c>
      <c r="P10" s="28">
        <f t="shared" si="7"/>
        <v>10158</v>
      </c>
      <c r="Q10" s="28">
        <f t="shared" si="7"/>
        <v>10010</v>
      </c>
      <c r="R10" s="28">
        <f t="shared" si="7"/>
        <v>10528</v>
      </c>
      <c r="S10" s="28">
        <f t="shared" si="7"/>
        <v>13356</v>
      </c>
      <c r="T10" s="28">
        <f t="shared" si="7"/>
        <v>10584</v>
      </c>
      <c r="U10" s="28">
        <f t="shared" si="7"/>
        <v>10625</v>
      </c>
      <c r="V10" s="28">
        <f t="shared" si="7"/>
        <v>11595</v>
      </c>
      <c r="W10" s="28">
        <f t="shared" ref="W10" si="8">SUM(W11:W12)</f>
        <v>11347</v>
      </c>
      <c r="DA10" s="173" t="s">
        <v>383</v>
      </c>
    </row>
    <row r="11" spans="1:105" ht="11.45" customHeight="1" x14ac:dyDescent="0.25">
      <c r="A11" s="83" t="s">
        <v>90</v>
      </c>
      <c r="B11" s="84">
        <v>2281.4252611848046</v>
      </c>
      <c r="C11" s="84">
        <v>1932.6792871432026</v>
      </c>
      <c r="D11" s="84">
        <v>1974.0390574899593</v>
      </c>
      <c r="E11" s="84">
        <v>1839.4026561175478</v>
      </c>
      <c r="F11" s="84">
        <v>2000.0279309450514</v>
      </c>
      <c r="G11" s="84">
        <v>1980.3084735941575</v>
      </c>
      <c r="H11" s="84">
        <v>2368.3006785155117</v>
      </c>
      <c r="I11" s="84">
        <v>2256.9786156850455</v>
      </c>
      <c r="J11" s="84">
        <v>2092.2336539588841</v>
      </c>
      <c r="K11" s="84">
        <v>1468.8850902439685</v>
      </c>
      <c r="L11" s="84">
        <v>1461.5278140268886</v>
      </c>
      <c r="M11" s="84">
        <v>687.09789959801276</v>
      </c>
      <c r="N11" s="84">
        <v>1452.0365335872566</v>
      </c>
      <c r="O11" s="84">
        <v>1489.8063341235263</v>
      </c>
      <c r="P11" s="84">
        <v>1683.6234055611787</v>
      </c>
      <c r="Q11" s="84">
        <v>1448.7966670871151</v>
      </c>
      <c r="R11" s="84">
        <v>1492.1821271381655</v>
      </c>
      <c r="S11" s="84">
        <v>1922.1438990327267</v>
      </c>
      <c r="T11" s="84">
        <v>1529.5224324430185</v>
      </c>
      <c r="U11" s="84">
        <v>1449.0927839752858</v>
      </c>
      <c r="V11" s="84">
        <v>1431.8839271828861</v>
      </c>
      <c r="W11" s="84">
        <v>1393.1825572878743</v>
      </c>
      <c r="DA11" s="171" t="s">
        <v>1031</v>
      </c>
    </row>
    <row r="12" spans="1:105" ht="11.45" customHeight="1" x14ac:dyDescent="0.25">
      <c r="A12" s="85" t="s">
        <v>93</v>
      </c>
      <c r="B12" s="86">
        <v>6518.5747388151958</v>
      </c>
      <c r="C12" s="86">
        <v>5767.3207128567974</v>
      </c>
      <c r="D12" s="86">
        <v>5825.9609425100407</v>
      </c>
      <c r="E12" s="86">
        <v>5774.5973438824522</v>
      </c>
      <c r="F12" s="86">
        <v>6748.9720690549484</v>
      </c>
      <c r="G12" s="86">
        <v>7109.6915264058425</v>
      </c>
      <c r="H12" s="86">
        <v>7798.6993214844879</v>
      </c>
      <c r="I12" s="86">
        <v>7791.021384314954</v>
      </c>
      <c r="J12" s="86">
        <v>7781.7663460411159</v>
      </c>
      <c r="K12" s="86">
        <v>6204.1149097560319</v>
      </c>
      <c r="L12" s="86">
        <v>7347.4721859731117</v>
      </c>
      <c r="M12" s="86">
        <v>8430.9021004019869</v>
      </c>
      <c r="N12" s="86">
        <v>7777.9634664127434</v>
      </c>
      <c r="O12" s="86">
        <v>8232.1936658764735</v>
      </c>
      <c r="P12" s="86">
        <v>8474.3765944388215</v>
      </c>
      <c r="Q12" s="86">
        <v>8561.2033329128844</v>
      </c>
      <c r="R12" s="86">
        <v>9035.817872861835</v>
      </c>
      <c r="S12" s="86">
        <v>11433.856100967274</v>
      </c>
      <c r="T12" s="86">
        <v>9054.4775675569817</v>
      </c>
      <c r="U12" s="86">
        <v>9175.9072160247142</v>
      </c>
      <c r="V12" s="86">
        <v>10163.116072817114</v>
      </c>
      <c r="W12" s="86">
        <v>9953.8174427121266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104.87954510626132</v>
      </c>
      <c r="C14" s="62">
        <f t="shared" ref="C14:V14" si="10">C15+C21</f>
        <v>106.00423269517083</v>
      </c>
      <c r="D14" s="62">
        <f t="shared" si="10"/>
        <v>105.65113951577636</v>
      </c>
      <c r="E14" s="62">
        <f t="shared" si="10"/>
        <v>109.51144617402203</v>
      </c>
      <c r="F14" s="62">
        <f t="shared" si="10"/>
        <v>110.89179801899095</v>
      </c>
      <c r="G14" s="62">
        <f t="shared" si="10"/>
        <v>109.28146537206852</v>
      </c>
      <c r="H14" s="62">
        <f t="shared" si="10"/>
        <v>114.4731603277485</v>
      </c>
      <c r="I14" s="62">
        <f t="shared" si="10"/>
        <v>117.73988744615394</v>
      </c>
      <c r="J14" s="62">
        <f t="shared" si="10"/>
        <v>118.52315567412124</v>
      </c>
      <c r="K14" s="62">
        <f t="shared" si="10"/>
        <v>124.76982823843869</v>
      </c>
      <c r="L14" s="62">
        <f t="shared" si="10"/>
        <v>116.59201269330281</v>
      </c>
      <c r="M14" s="62">
        <f t="shared" si="10"/>
        <v>115.67727907549209</v>
      </c>
      <c r="N14" s="62">
        <f t="shared" si="10"/>
        <v>105.94883927083958</v>
      </c>
      <c r="O14" s="62">
        <f t="shared" si="10"/>
        <v>124.92152323686386</v>
      </c>
      <c r="P14" s="62">
        <f t="shared" si="10"/>
        <v>126.3296719395307</v>
      </c>
      <c r="Q14" s="62">
        <f t="shared" si="10"/>
        <v>126.94846707821389</v>
      </c>
      <c r="R14" s="62">
        <f t="shared" si="10"/>
        <v>130.25300912029465</v>
      </c>
      <c r="S14" s="62">
        <f t="shared" si="10"/>
        <v>132.94609804610658</v>
      </c>
      <c r="T14" s="62">
        <f t="shared" si="10"/>
        <v>129.28801604536332</v>
      </c>
      <c r="U14" s="62">
        <f t="shared" si="10"/>
        <v>127.08926043348397</v>
      </c>
      <c r="V14" s="62">
        <f t="shared" si="10"/>
        <v>121.14626039074095</v>
      </c>
      <c r="W14" s="62">
        <f t="shared" ref="W14" si="11">W15+W21</f>
        <v>123.4791521012001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90.112593582586797</v>
      </c>
      <c r="C15" s="29">
        <f t="shared" ref="C15:V15" si="13">SUM(C16,C17,C20)</f>
        <v>92.114904896865696</v>
      </c>
      <c r="D15" s="29">
        <f t="shared" si="13"/>
        <v>91.422620294016326</v>
      </c>
      <c r="E15" s="29">
        <f t="shared" si="13"/>
        <v>95.36536136541379</v>
      </c>
      <c r="F15" s="29">
        <f t="shared" si="13"/>
        <v>95.15679679357315</v>
      </c>
      <c r="G15" s="29">
        <f t="shared" si="13"/>
        <v>93.27433686982458</v>
      </c>
      <c r="H15" s="29">
        <f t="shared" si="13"/>
        <v>96.212265426188566</v>
      </c>
      <c r="I15" s="29">
        <f t="shared" si="13"/>
        <v>98.469550377185428</v>
      </c>
      <c r="J15" s="29">
        <f t="shared" si="13"/>
        <v>99.606115353583377</v>
      </c>
      <c r="K15" s="29">
        <f t="shared" si="13"/>
        <v>110.02907738988573</v>
      </c>
      <c r="L15" s="29">
        <f t="shared" si="13"/>
        <v>100.69366636277611</v>
      </c>
      <c r="M15" s="29">
        <f t="shared" si="13"/>
        <v>99.934251995099018</v>
      </c>
      <c r="N15" s="29">
        <f t="shared" si="13"/>
        <v>91.805582259040094</v>
      </c>
      <c r="O15" s="29">
        <f t="shared" si="13"/>
        <v>108.05179349609421</v>
      </c>
      <c r="P15" s="29">
        <f t="shared" si="13"/>
        <v>108.71217489608512</v>
      </c>
      <c r="Q15" s="29">
        <f t="shared" si="13"/>
        <v>110.33145311100706</v>
      </c>
      <c r="R15" s="29">
        <f t="shared" si="13"/>
        <v>113.44780258625077</v>
      </c>
      <c r="S15" s="29">
        <f t="shared" si="13"/>
        <v>111.81655475276737</v>
      </c>
      <c r="T15" s="29">
        <f t="shared" si="13"/>
        <v>109.90207346937279</v>
      </c>
      <c r="U15" s="29">
        <f t="shared" si="13"/>
        <v>108.16486840498665</v>
      </c>
      <c r="V15" s="29">
        <f t="shared" si="13"/>
        <v>96.696629175031106</v>
      </c>
      <c r="W15" s="29">
        <f t="shared" ref="W15" si="14">SUM(W16,W17,W20)</f>
        <v>105.11539086476068</v>
      </c>
      <c r="DA15" s="173" t="s">
        <v>1034</v>
      </c>
    </row>
    <row r="16" spans="1:105" ht="11.45" customHeight="1" x14ac:dyDescent="0.25">
      <c r="A16" s="107" t="s">
        <v>23</v>
      </c>
      <c r="B16" s="115">
        <v>29.64325265696823</v>
      </c>
      <c r="C16" s="115">
        <v>29.809008679351383</v>
      </c>
      <c r="D16" s="115">
        <v>28.980908309935998</v>
      </c>
      <c r="E16" s="115">
        <v>29.813943605337712</v>
      </c>
      <c r="F16" s="115">
        <v>28.869605672230424</v>
      </c>
      <c r="G16" s="115">
        <v>27.868316803002884</v>
      </c>
      <c r="H16" s="115">
        <v>27.338876366327597</v>
      </c>
      <c r="I16" s="115">
        <v>28.72454051899663</v>
      </c>
      <c r="J16" s="115">
        <v>29.656348793104115</v>
      </c>
      <c r="K16" s="115">
        <v>32.409391953142816</v>
      </c>
      <c r="L16" s="115">
        <v>31.830354963828508</v>
      </c>
      <c r="M16" s="115">
        <v>32.267318213731997</v>
      </c>
      <c r="N16" s="115">
        <v>31.923380526877708</v>
      </c>
      <c r="O16" s="115">
        <v>31.873021604444876</v>
      </c>
      <c r="P16" s="115">
        <v>36.20256604198066</v>
      </c>
      <c r="Q16" s="115">
        <v>40.902510205899517</v>
      </c>
      <c r="R16" s="115">
        <v>42.513179696337943</v>
      </c>
      <c r="S16" s="115">
        <v>41.434722078312873</v>
      </c>
      <c r="T16" s="115">
        <v>34.837830829161867</v>
      </c>
      <c r="U16" s="115">
        <v>36.166128765980702</v>
      </c>
      <c r="V16" s="115">
        <v>34.725775509239178</v>
      </c>
      <c r="W16" s="115">
        <v>34.150921446319764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60.469340925618567</v>
      </c>
      <c r="C17" s="116">
        <f t="shared" ref="C17:V17" si="16">SUM(C18:C19)</f>
        <v>62.305896217514317</v>
      </c>
      <c r="D17" s="116">
        <f t="shared" si="16"/>
        <v>62.441711984080335</v>
      </c>
      <c r="E17" s="116">
        <f t="shared" si="16"/>
        <v>65.551417760076077</v>
      </c>
      <c r="F17" s="116">
        <f t="shared" si="16"/>
        <v>66.28719112134273</v>
      </c>
      <c r="G17" s="116">
        <f t="shared" si="16"/>
        <v>65.406020066821696</v>
      </c>
      <c r="H17" s="116">
        <f t="shared" si="16"/>
        <v>68.873389059860969</v>
      </c>
      <c r="I17" s="116">
        <f t="shared" si="16"/>
        <v>69.745009858188794</v>
      </c>
      <c r="J17" s="116">
        <f t="shared" si="16"/>
        <v>69.949766560479262</v>
      </c>
      <c r="K17" s="116">
        <f t="shared" si="16"/>
        <v>77.619685436742913</v>
      </c>
      <c r="L17" s="116">
        <f t="shared" si="16"/>
        <v>68.863311398947602</v>
      </c>
      <c r="M17" s="116">
        <f t="shared" si="16"/>
        <v>67.666933781367021</v>
      </c>
      <c r="N17" s="116">
        <f t="shared" si="16"/>
        <v>59.882201732162386</v>
      </c>
      <c r="O17" s="116">
        <f t="shared" si="16"/>
        <v>76.178771891649333</v>
      </c>
      <c r="P17" s="116">
        <f t="shared" si="16"/>
        <v>72.509608854104457</v>
      </c>
      <c r="Q17" s="116">
        <f t="shared" si="16"/>
        <v>69.428942905107547</v>
      </c>
      <c r="R17" s="116">
        <f t="shared" si="16"/>
        <v>70.934622889912831</v>
      </c>
      <c r="S17" s="116">
        <f t="shared" si="16"/>
        <v>70.3818326744545</v>
      </c>
      <c r="T17" s="116">
        <f t="shared" si="16"/>
        <v>75.064242640210935</v>
      </c>
      <c r="U17" s="116">
        <f t="shared" si="16"/>
        <v>71.998739639005947</v>
      </c>
      <c r="V17" s="116">
        <f t="shared" si="16"/>
        <v>61.970853665791928</v>
      </c>
      <c r="W17" s="116">
        <f t="shared" ref="W17" si="17">SUM(W18:W19)</f>
        <v>70.964469418440927</v>
      </c>
      <c r="DA17" s="176" t="s">
        <v>1036</v>
      </c>
    </row>
    <row r="18" spans="1:105" ht="11.45" customHeight="1" x14ac:dyDescent="0.25">
      <c r="A18" s="111" t="s">
        <v>92</v>
      </c>
      <c r="B18" s="87">
        <v>29.965947060802804</v>
      </c>
      <c r="C18" s="87">
        <v>29.948387132984301</v>
      </c>
      <c r="D18" s="87">
        <v>30.663148249961928</v>
      </c>
      <c r="E18" s="87">
        <v>30.828604338972816</v>
      </c>
      <c r="F18" s="87">
        <v>28.993653490402046</v>
      </c>
      <c r="G18" s="87">
        <v>26.942462877841344</v>
      </c>
      <c r="H18" s="87">
        <v>25.382206412888593</v>
      </c>
      <c r="I18" s="87">
        <v>25.314588108635576</v>
      </c>
      <c r="J18" s="87">
        <v>26.158060436667895</v>
      </c>
      <c r="K18" s="87">
        <v>28.900751049755549</v>
      </c>
      <c r="L18" s="87">
        <v>26.116224011862403</v>
      </c>
      <c r="M18" s="87">
        <v>24.292545853596355</v>
      </c>
      <c r="N18" s="87">
        <v>20.619575460447962</v>
      </c>
      <c r="O18" s="87">
        <v>24.276725901224086</v>
      </c>
      <c r="P18" s="87">
        <v>26.206148144481144</v>
      </c>
      <c r="Q18" s="87">
        <v>21.523684571414272</v>
      </c>
      <c r="R18" s="87">
        <v>21.672713011771076</v>
      </c>
      <c r="S18" s="87">
        <v>22.507811476573949</v>
      </c>
      <c r="T18" s="87">
        <v>22.279984834301207</v>
      </c>
      <c r="U18" s="87">
        <v>20.21850387372038</v>
      </c>
      <c r="V18" s="87">
        <v>15.711104858790618</v>
      </c>
      <c r="W18" s="87">
        <v>16.246809878571447</v>
      </c>
      <c r="DA18" s="171" t="s">
        <v>1037</v>
      </c>
    </row>
    <row r="19" spans="1:105" ht="11.45" customHeight="1" x14ac:dyDescent="0.25">
      <c r="A19" s="111" t="s">
        <v>93</v>
      </c>
      <c r="B19" s="87">
        <v>30.503393864815767</v>
      </c>
      <c r="C19" s="87">
        <v>32.357509084530015</v>
      </c>
      <c r="D19" s="87">
        <v>31.778563734118407</v>
      </c>
      <c r="E19" s="87">
        <v>34.722813421103261</v>
      </c>
      <c r="F19" s="87">
        <v>37.293537630940683</v>
      </c>
      <c r="G19" s="87">
        <v>38.463557188980353</v>
      </c>
      <c r="H19" s="87">
        <v>43.491182646972376</v>
      </c>
      <c r="I19" s="87">
        <v>44.430421749553219</v>
      </c>
      <c r="J19" s="87">
        <v>43.791706123811366</v>
      </c>
      <c r="K19" s="87">
        <v>48.718934386987364</v>
      </c>
      <c r="L19" s="87">
        <v>42.747087387085202</v>
      </c>
      <c r="M19" s="87">
        <v>43.37438792777067</v>
      </c>
      <c r="N19" s="87">
        <v>39.262626271714424</v>
      </c>
      <c r="O19" s="87">
        <v>51.90204599042525</v>
      </c>
      <c r="P19" s="87">
        <v>46.303460709623309</v>
      </c>
      <c r="Q19" s="87">
        <v>47.905258333693276</v>
      </c>
      <c r="R19" s="87">
        <v>49.261909878141751</v>
      </c>
      <c r="S19" s="87">
        <v>47.874021197880552</v>
      </c>
      <c r="T19" s="87">
        <v>52.784257805909732</v>
      </c>
      <c r="U19" s="87">
        <v>51.780235765285568</v>
      </c>
      <c r="V19" s="87">
        <v>46.259748807001309</v>
      </c>
      <c r="W19" s="87">
        <v>54.717659539869473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14.766951523674518</v>
      </c>
      <c r="C21" s="29">
        <f t="shared" ref="C21:V21" si="19">SUM(C22:C23)</f>
        <v>13.889327798305128</v>
      </c>
      <c r="D21" s="29">
        <f t="shared" si="19"/>
        <v>14.228519221760042</v>
      </c>
      <c r="E21" s="29">
        <f t="shared" si="19"/>
        <v>14.146084808608233</v>
      </c>
      <c r="F21" s="29">
        <f t="shared" si="19"/>
        <v>15.735001225417797</v>
      </c>
      <c r="G21" s="29">
        <f t="shared" si="19"/>
        <v>16.007128502243944</v>
      </c>
      <c r="H21" s="29">
        <f t="shared" si="19"/>
        <v>18.26089490155994</v>
      </c>
      <c r="I21" s="29">
        <f t="shared" si="19"/>
        <v>19.270337068968516</v>
      </c>
      <c r="J21" s="29">
        <f t="shared" si="19"/>
        <v>18.917040320537865</v>
      </c>
      <c r="K21" s="29">
        <f t="shared" si="19"/>
        <v>14.740750848552967</v>
      </c>
      <c r="L21" s="29">
        <f t="shared" si="19"/>
        <v>15.898346330526696</v>
      </c>
      <c r="M21" s="29">
        <f t="shared" si="19"/>
        <v>15.743027080393073</v>
      </c>
      <c r="N21" s="29">
        <f t="shared" si="19"/>
        <v>14.143257011799486</v>
      </c>
      <c r="O21" s="29">
        <f t="shared" si="19"/>
        <v>16.869729740769657</v>
      </c>
      <c r="P21" s="29">
        <f t="shared" si="19"/>
        <v>17.617497043445582</v>
      </c>
      <c r="Q21" s="29">
        <f t="shared" si="19"/>
        <v>16.617013967206837</v>
      </c>
      <c r="R21" s="29">
        <f t="shared" si="19"/>
        <v>16.805206534043879</v>
      </c>
      <c r="S21" s="29">
        <f t="shared" si="19"/>
        <v>21.1295432933392</v>
      </c>
      <c r="T21" s="29">
        <f t="shared" si="19"/>
        <v>19.385942575990526</v>
      </c>
      <c r="U21" s="29">
        <f t="shared" si="19"/>
        <v>18.924392028497323</v>
      </c>
      <c r="V21" s="29">
        <f t="shared" si="19"/>
        <v>24.449631215709847</v>
      </c>
      <c r="W21" s="29">
        <f t="shared" ref="W21" si="20">SUM(W22:W23)</f>
        <v>18.363761236439412</v>
      </c>
      <c r="DA21" s="173" t="s">
        <v>1040</v>
      </c>
    </row>
    <row r="22" spans="1:105" ht="11.45" customHeight="1" x14ac:dyDescent="0.25">
      <c r="A22" s="83" t="s">
        <v>92</v>
      </c>
      <c r="B22" s="87">
        <v>3.0820287381419402</v>
      </c>
      <c r="C22" s="87">
        <v>2.7467999635705924</v>
      </c>
      <c r="D22" s="87">
        <v>2.7156351198974389</v>
      </c>
      <c r="E22" s="87">
        <v>2.4261694747671312</v>
      </c>
      <c r="F22" s="87">
        <v>2.4851212367943831</v>
      </c>
      <c r="G22" s="87">
        <v>2.4821933732597627</v>
      </c>
      <c r="H22" s="87">
        <v>2.9530195290045449</v>
      </c>
      <c r="I22" s="87">
        <v>2.9246715751330798</v>
      </c>
      <c r="J22" s="87">
        <v>2.6893431742590885</v>
      </c>
      <c r="K22" s="87">
        <v>1.949770947275677</v>
      </c>
      <c r="L22" s="87">
        <v>1.9576781267673</v>
      </c>
      <c r="M22" s="87">
        <v>0.82272440327418184</v>
      </c>
      <c r="N22" s="87">
        <v>1.5555538774271327</v>
      </c>
      <c r="O22" s="87">
        <v>1.857872431371433</v>
      </c>
      <c r="P22" s="87">
        <v>2.0013496758971563</v>
      </c>
      <c r="Q22" s="87">
        <v>1.7413676943855536</v>
      </c>
      <c r="R22" s="87">
        <v>1.5668696966864213</v>
      </c>
      <c r="S22" s="87">
        <v>1.9047845533356209</v>
      </c>
      <c r="T22" s="87">
        <v>2.1149467479579362</v>
      </c>
      <c r="U22" s="87">
        <v>1.9640350110061879</v>
      </c>
      <c r="V22" s="87">
        <v>2.5319661454879525</v>
      </c>
      <c r="W22" s="87">
        <v>2.3417964548797543</v>
      </c>
      <c r="DA22" s="171" t="s">
        <v>1041</v>
      </c>
    </row>
    <row r="23" spans="1:105" ht="11.45" customHeight="1" x14ac:dyDescent="0.25">
      <c r="A23" s="85" t="s">
        <v>93</v>
      </c>
      <c r="B23" s="88">
        <v>11.684922785532578</v>
      </c>
      <c r="C23" s="88">
        <v>11.142527834734537</v>
      </c>
      <c r="D23" s="88">
        <v>11.512884101862603</v>
      </c>
      <c r="E23" s="88">
        <v>11.719915333841101</v>
      </c>
      <c r="F23" s="88">
        <v>13.249879988623414</v>
      </c>
      <c r="G23" s="88">
        <v>13.524935128984181</v>
      </c>
      <c r="H23" s="88">
        <v>15.307875372555396</v>
      </c>
      <c r="I23" s="88">
        <v>16.345665493835437</v>
      </c>
      <c r="J23" s="88">
        <v>16.227697146278775</v>
      </c>
      <c r="K23" s="88">
        <v>12.790979901277289</v>
      </c>
      <c r="L23" s="88">
        <v>13.940668203759396</v>
      </c>
      <c r="M23" s="88">
        <v>14.920302677118892</v>
      </c>
      <c r="N23" s="88">
        <v>12.587703134372353</v>
      </c>
      <c r="O23" s="88">
        <v>15.011857309398225</v>
      </c>
      <c r="P23" s="88">
        <v>15.616147367548425</v>
      </c>
      <c r="Q23" s="88">
        <v>14.875646272821283</v>
      </c>
      <c r="R23" s="88">
        <v>15.238336837357458</v>
      </c>
      <c r="S23" s="88">
        <v>19.22475874000358</v>
      </c>
      <c r="T23" s="88">
        <v>17.270995828032589</v>
      </c>
      <c r="U23" s="88">
        <v>16.960357017491134</v>
      </c>
      <c r="V23" s="88">
        <v>21.917665070221894</v>
      </c>
      <c r="W23" s="88">
        <v>16.021964781559657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746.44781499999999</v>
      </c>
      <c r="C25" s="62">
        <f t="shared" ref="C25:V25" si="22">C26+C32</f>
        <v>755.94540099999995</v>
      </c>
      <c r="D25" s="62">
        <f t="shared" si="22"/>
        <v>750.88348100000007</v>
      </c>
      <c r="E25" s="62">
        <f t="shared" si="22"/>
        <v>778.77572799999996</v>
      </c>
      <c r="F25" s="62">
        <f t="shared" si="22"/>
        <v>783.04057699999998</v>
      </c>
      <c r="G25" s="62">
        <f t="shared" si="22"/>
        <v>769.42411300000003</v>
      </c>
      <c r="H25" s="62">
        <f t="shared" si="22"/>
        <v>798.99564300000009</v>
      </c>
      <c r="I25" s="62">
        <f t="shared" si="22"/>
        <v>822.45060599999988</v>
      </c>
      <c r="J25" s="62">
        <f t="shared" si="22"/>
        <v>830.52015099999994</v>
      </c>
      <c r="K25" s="62">
        <f t="shared" si="22"/>
        <v>899.29713299999992</v>
      </c>
      <c r="L25" s="62">
        <f t="shared" si="22"/>
        <v>848.00035500000001</v>
      </c>
      <c r="M25" s="62">
        <f t="shared" si="22"/>
        <v>827.87733800000001</v>
      </c>
      <c r="N25" s="62">
        <f t="shared" si="22"/>
        <v>777.54937300000006</v>
      </c>
      <c r="O25" s="62">
        <f t="shared" si="22"/>
        <v>881.96187199999997</v>
      </c>
      <c r="P25" s="62">
        <f t="shared" si="22"/>
        <v>917.58742199999995</v>
      </c>
      <c r="Q25" s="62">
        <f t="shared" si="22"/>
        <v>929.02481899999998</v>
      </c>
      <c r="R25" s="62">
        <f t="shared" si="22"/>
        <v>943.40697299999999</v>
      </c>
      <c r="S25" s="62">
        <f t="shared" si="22"/>
        <v>951.53922800000009</v>
      </c>
      <c r="T25" s="62">
        <f t="shared" si="22"/>
        <v>951.01523399999996</v>
      </c>
      <c r="U25" s="62">
        <f t="shared" si="22"/>
        <v>903.39654900000005</v>
      </c>
      <c r="V25" s="62">
        <f t="shared" si="22"/>
        <v>877.61572999999999</v>
      </c>
      <c r="W25" s="62">
        <f t="shared" ref="W25" si="23">W26+W32</f>
        <v>899.01423399999999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672.61305700000003</v>
      </c>
      <c r="C26" s="29">
        <f t="shared" ref="C26:V26" si="25">SUM(C27,C28,C31)</f>
        <v>686.36363099999994</v>
      </c>
      <c r="D26" s="29">
        <f t="shared" si="25"/>
        <v>679.74088400000005</v>
      </c>
      <c r="E26" s="29">
        <f t="shared" si="25"/>
        <v>708.04530299999999</v>
      </c>
      <c r="F26" s="29">
        <f t="shared" si="25"/>
        <v>704.36556999999993</v>
      </c>
      <c r="G26" s="29">
        <f t="shared" si="25"/>
        <v>689.38846999999998</v>
      </c>
      <c r="H26" s="29">
        <f t="shared" si="25"/>
        <v>707.69116800000006</v>
      </c>
      <c r="I26" s="29">
        <f t="shared" si="25"/>
        <v>726.09891999999991</v>
      </c>
      <c r="J26" s="29">
        <f t="shared" si="25"/>
        <v>735.93494899999996</v>
      </c>
      <c r="K26" s="29">
        <f t="shared" si="25"/>
        <v>812.09540599999991</v>
      </c>
      <c r="L26" s="29">
        <f t="shared" si="25"/>
        <v>767.93232499999999</v>
      </c>
      <c r="M26" s="29">
        <f t="shared" si="25"/>
        <v>744.45214999999996</v>
      </c>
      <c r="N26" s="29">
        <f t="shared" si="25"/>
        <v>701.01255000000003</v>
      </c>
      <c r="O26" s="29">
        <f t="shared" si="25"/>
        <v>797.61322199999995</v>
      </c>
      <c r="P26" s="29">
        <f t="shared" si="25"/>
        <v>829.49993599999993</v>
      </c>
      <c r="Q26" s="29">
        <f t="shared" si="25"/>
        <v>845.93974800000001</v>
      </c>
      <c r="R26" s="29">
        <f t="shared" si="25"/>
        <v>859.38093900000001</v>
      </c>
      <c r="S26" s="29">
        <f t="shared" si="25"/>
        <v>845.89151100000004</v>
      </c>
      <c r="T26" s="29">
        <f t="shared" si="25"/>
        <v>850.15916700000002</v>
      </c>
      <c r="U26" s="29">
        <f t="shared" si="25"/>
        <v>808.774587</v>
      </c>
      <c r="V26" s="29">
        <f t="shared" si="25"/>
        <v>755.36757299999999</v>
      </c>
      <c r="W26" s="29">
        <f t="shared" ref="W26" si="26">SUM(W27,W28,W31)</f>
        <v>783.55938600000002</v>
      </c>
      <c r="DA26" s="173" t="s">
        <v>1044</v>
      </c>
    </row>
    <row r="27" spans="1:105" ht="11.45" customHeight="1" x14ac:dyDescent="0.25">
      <c r="A27" s="107" t="s">
        <v>23</v>
      </c>
      <c r="B27" s="115">
        <v>269.48411599999997</v>
      </c>
      <c r="C27" s="115">
        <v>270.99098800000002</v>
      </c>
      <c r="D27" s="115">
        <v>263.46280300000001</v>
      </c>
      <c r="E27" s="115">
        <v>271.03585099999998</v>
      </c>
      <c r="F27" s="115">
        <v>262.45096100000001</v>
      </c>
      <c r="G27" s="115">
        <v>253.34833499999999</v>
      </c>
      <c r="H27" s="115">
        <v>248.53523999999999</v>
      </c>
      <c r="I27" s="115">
        <v>261.13218699999999</v>
      </c>
      <c r="J27" s="115">
        <v>269.60317099999997</v>
      </c>
      <c r="K27" s="115">
        <v>294.63083599999999</v>
      </c>
      <c r="L27" s="115">
        <v>289.36686400000002</v>
      </c>
      <c r="M27" s="115">
        <v>293.33925699999998</v>
      </c>
      <c r="N27" s="115">
        <v>290.21255100000002</v>
      </c>
      <c r="O27" s="115">
        <v>289.75474200000002</v>
      </c>
      <c r="P27" s="115">
        <v>329.114237</v>
      </c>
      <c r="Q27" s="115">
        <v>371.841002</v>
      </c>
      <c r="R27" s="115">
        <v>386.483452</v>
      </c>
      <c r="S27" s="115">
        <v>376.67929199999998</v>
      </c>
      <c r="T27" s="115">
        <v>349.73088100000001</v>
      </c>
      <c r="U27" s="115">
        <v>328.78298899999999</v>
      </c>
      <c r="V27" s="115">
        <v>315.68886900000001</v>
      </c>
      <c r="W27" s="115">
        <v>310.46292299999999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403.128941</v>
      </c>
      <c r="C28" s="116">
        <f t="shared" ref="C28:V28" si="28">SUM(C29:C30)</f>
        <v>415.37264299999998</v>
      </c>
      <c r="D28" s="116">
        <f t="shared" si="28"/>
        <v>416.27808099999999</v>
      </c>
      <c r="E28" s="116">
        <f t="shared" si="28"/>
        <v>437.00945200000001</v>
      </c>
      <c r="F28" s="116">
        <f t="shared" si="28"/>
        <v>441.91460899999998</v>
      </c>
      <c r="G28" s="116">
        <f t="shared" si="28"/>
        <v>436.04013500000002</v>
      </c>
      <c r="H28" s="116">
        <f t="shared" si="28"/>
        <v>459.15592800000002</v>
      </c>
      <c r="I28" s="116">
        <f t="shared" si="28"/>
        <v>464.96673299999998</v>
      </c>
      <c r="J28" s="116">
        <f t="shared" si="28"/>
        <v>466.33177799999999</v>
      </c>
      <c r="K28" s="116">
        <f t="shared" si="28"/>
        <v>517.46456999999998</v>
      </c>
      <c r="L28" s="116">
        <f t="shared" si="28"/>
        <v>478.56546099999997</v>
      </c>
      <c r="M28" s="116">
        <f t="shared" si="28"/>
        <v>451.11289299999999</v>
      </c>
      <c r="N28" s="116">
        <f t="shared" si="28"/>
        <v>410.79999900000001</v>
      </c>
      <c r="O28" s="116">
        <f t="shared" si="28"/>
        <v>507.85847999999999</v>
      </c>
      <c r="P28" s="116">
        <f t="shared" si="28"/>
        <v>500.38569899999999</v>
      </c>
      <c r="Q28" s="116">
        <f t="shared" si="28"/>
        <v>474.09874600000001</v>
      </c>
      <c r="R28" s="116">
        <f t="shared" si="28"/>
        <v>472.89748700000001</v>
      </c>
      <c r="S28" s="116">
        <f t="shared" si="28"/>
        <v>469.212219</v>
      </c>
      <c r="T28" s="116">
        <f t="shared" si="28"/>
        <v>500.42828600000001</v>
      </c>
      <c r="U28" s="116">
        <f t="shared" si="28"/>
        <v>479.99159800000001</v>
      </c>
      <c r="V28" s="116">
        <f t="shared" si="28"/>
        <v>439.67870399999998</v>
      </c>
      <c r="W28" s="116">
        <f t="shared" ref="W28" si="29">SUM(W29:W30)</f>
        <v>473.09646300000003</v>
      </c>
      <c r="DA28" s="176" t="s">
        <v>1046</v>
      </c>
    </row>
    <row r="29" spans="1:105" ht="11.45" customHeight="1" x14ac:dyDescent="0.25">
      <c r="A29" s="111" t="s">
        <v>92</v>
      </c>
      <c r="B29" s="87">
        <v>199.77298099999999</v>
      </c>
      <c r="C29" s="87">
        <v>199.65591499999999</v>
      </c>
      <c r="D29" s="87">
        <v>204.42098899999999</v>
      </c>
      <c r="E29" s="87">
        <v>205.52402899999998</v>
      </c>
      <c r="F29" s="87">
        <v>193.29102399999999</v>
      </c>
      <c r="G29" s="87">
        <v>179.61642000000001</v>
      </c>
      <c r="H29" s="87">
        <v>169.21471</v>
      </c>
      <c r="I29" s="87">
        <v>168.76392100000001</v>
      </c>
      <c r="J29" s="87">
        <v>174.38706999999999</v>
      </c>
      <c r="K29" s="87">
        <v>192.671674</v>
      </c>
      <c r="L29" s="87">
        <v>174.108161</v>
      </c>
      <c r="M29" s="87">
        <v>161.95030599999998</v>
      </c>
      <c r="N29" s="87">
        <v>141.97300799999999</v>
      </c>
      <c r="O29" s="87">
        <v>161.84484</v>
      </c>
      <c r="P29" s="87">
        <v>174.70765499999999</v>
      </c>
      <c r="Q29" s="87">
        <v>154.730357</v>
      </c>
      <c r="R29" s="87">
        <v>144.48475400000001</v>
      </c>
      <c r="S29" s="87">
        <v>150.052077</v>
      </c>
      <c r="T29" s="87">
        <v>148.533233</v>
      </c>
      <c r="U29" s="87">
        <v>134.79002600000001</v>
      </c>
      <c r="V29" s="87">
        <v>114.81272799999999</v>
      </c>
      <c r="W29" s="87">
        <v>108.312066</v>
      </c>
      <c r="DA29" s="171" t="s">
        <v>1047</v>
      </c>
    </row>
    <row r="30" spans="1:105" ht="11.45" customHeight="1" x14ac:dyDescent="0.25">
      <c r="A30" s="111" t="s">
        <v>93</v>
      </c>
      <c r="B30" s="87">
        <v>203.35596000000001</v>
      </c>
      <c r="C30" s="87">
        <v>215.71672799999999</v>
      </c>
      <c r="D30" s="87">
        <v>211.85709199999999</v>
      </c>
      <c r="E30" s="87">
        <v>231.485423</v>
      </c>
      <c r="F30" s="87">
        <v>248.62358499999999</v>
      </c>
      <c r="G30" s="87">
        <v>256.42371500000002</v>
      </c>
      <c r="H30" s="87">
        <v>289.94121799999999</v>
      </c>
      <c r="I30" s="87">
        <v>296.20281199999999</v>
      </c>
      <c r="J30" s="87">
        <v>291.94470799999999</v>
      </c>
      <c r="K30" s="87">
        <v>324.79289599999998</v>
      </c>
      <c r="L30" s="87">
        <v>304.45729999999998</v>
      </c>
      <c r="M30" s="87">
        <v>289.16258699999997</v>
      </c>
      <c r="N30" s="87">
        <v>268.82699100000002</v>
      </c>
      <c r="O30" s="87">
        <v>346.01364000000001</v>
      </c>
      <c r="P30" s="87">
        <v>325.678044</v>
      </c>
      <c r="Q30" s="87">
        <v>319.36838899999998</v>
      </c>
      <c r="R30" s="87">
        <v>328.412733</v>
      </c>
      <c r="S30" s="87">
        <v>319.16014200000001</v>
      </c>
      <c r="T30" s="87">
        <v>351.89505300000002</v>
      </c>
      <c r="U30" s="87">
        <v>345.201572</v>
      </c>
      <c r="V30" s="87">
        <v>324.86597599999999</v>
      </c>
      <c r="W30" s="87">
        <v>364.78439700000001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73.834757999999994</v>
      </c>
      <c r="C32" s="29">
        <f t="shared" ref="C32:V32" si="31">SUM(C33:C34)</f>
        <v>69.581770000000006</v>
      </c>
      <c r="D32" s="29">
        <f t="shared" si="31"/>
        <v>71.142596999999995</v>
      </c>
      <c r="E32" s="29">
        <f t="shared" si="31"/>
        <v>70.730424999999997</v>
      </c>
      <c r="F32" s="29">
        <f t="shared" si="31"/>
        <v>78.675006999999994</v>
      </c>
      <c r="G32" s="29">
        <f t="shared" si="31"/>
        <v>80.035642999999993</v>
      </c>
      <c r="H32" s="29">
        <f t="shared" si="31"/>
        <v>91.304474999999996</v>
      </c>
      <c r="I32" s="29">
        <f t="shared" si="31"/>
        <v>96.351685999999987</v>
      </c>
      <c r="J32" s="29">
        <f t="shared" si="31"/>
        <v>94.585201999999995</v>
      </c>
      <c r="K32" s="29">
        <f t="shared" si="31"/>
        <v>87.201727000000005</v>
      </c>
      <c r="L32" s="29">
        <f t="shared" si="31"/>
        <v>80.068029999999993</v>
      </c>
      <c r="M32" s="29">
        <f t="shared" si="31"/>
        <v>83.425187999999991</v>
      </c>
      <c r="N32" s="29">
        <f t="shared" si="31"/>
        <v>76.536822999999998</v>
      </c>
      <c r="O32" s="29">
        <f t="shared" si="31"/>
        <v>84.348649999999992</v>
      </c>
      <c r="P32" s="29">
        <f t="shared" si="31"/>
        <v>88.087485999999998</v>
      </c>
      <c r="Q32" s="29">
        <f t="shared" si="31"/>
        <v>83.085070999999999</v>
      </c>
      <c r="R32" s="29">
        <f t="shared" si="31"/>
        <v>84.026033999999996</v>
      </c>
      <c r="S32" s="29">
        <f t="shared" si="31"/>
        <v>105.647717</v>
      </c>
      <c r="T32" s="29">
        <f t="shared" si="31"/>
        <v>100.856067</v>
      </c>
      <c r="U32" s="29">
        <f t="shared" si="31"/>
        <v>94.621961999999996</v>
      </c>
      <c r="V32" s="29">
        <f t="shared" si="31"/>
        <v>122.24815699999999</v>
      </c>
      <c r="W32" s="29">
        <f t="shared" ref="W32" si="32">SUM(W33:W34)</f>
        <v>115.454848</v>
      </c>
      <c r="DA32" s="173" t="s">
        <v>1050</v>
      </c>
    </row>
    <row r="33" spans="1:105" ht="11.45" customHeight="1" x14ac:dyDescent="0.25">
      <c r="A33" s="83" t="s">
        <v>92</v>
      </c>
      <c r="B33" s="87">
        <v>15.410143999999999</v>
      </c>
      <c r="C33" s="87">
        <v>13.869129999999998</v>
      </c>
      <c r="D33" s="87">
        <v>13.578175999999999</v>
      </c>
      <c r="E33" s="87">
        <v>12.130847999999999</v>
      </c>
      <c r="F33" s="87">
        <v>12.425606999999999</v>
      </c>
      <c r="G33" s="87">
        <v>12.410966999999999</v>
      </c>
      <c r="H33" s="87">
        <v>14.765098</v>
      </c>
      <c r="I33" s="87">
        <v>14.623358</v>
      </c>
      <c r="J33" s="87">
        <v>13.446715999999999</v>
      </c>
      <c r="K33" s="87">
        <v>11.905702</v>
      </c>
      <c r="L33" s="87">
        <v>10.364687999999999</v>
      </c>
      <c r="M33" s="87">
        <v>8.8236739999999987</v>
      </c>
      <c r="N33" s="87">
        <v>7.7777700000000003</v>
      </c>
      <c r="O33" s="87">
        <v>9.2893629999999998</v>
      </c>
      <c r="P33" s="87">
        <v>10.006748999999999</v>
      </c>
      <c r="Q33" s="87">
        <v>8.7068389999999987</v>
      </c>
      <c r="R33" s="87">
        <v>7.8343490000000005</v>
      </c>
      <c r="S33" s="87">
        <v>9.5239229999999999</v>
      </c>
      <c r="T33" s="87">
        <v>10.574733999999999</v>
      </c>
      <c r="U33" s="87">
        <v>9.820176</v>
      </c>
      <c r="V33" s="87">
        <v>12.659830999999999</v>
      </c>
      <c r="W33" s="87">
        <v>11.708983</v>
      </c>
      <c r="DA33" s="171" t="s">
        <v>1051</v>
      </c>
    </row>
    <row r="34" spans="1:105" ht="11.45" customHeight="1" x14ac:dyDescent="0.25">
      <c r="A34" s="85" t="s">
        <v>93</v>
      </c>
      <c r="B34" s="88">
        <v>58.424613999999998</v>
      </c>
      <c r="C34" s="88">
        <v>55.71264</v>
      </c>
      <c r="D34" s="88">
        <v>57.564420999999996</v>
      </c>
      <c r="E34" s="88">
        <v>58.599576999999996</v>
      </c>
      <c r="F34" s="88">
        <v>66.249399999999994</v>
      </c>
      <c r="G34" s="88">
        <v>67.624675999999994</v>
      </c>
      <c r="H34" s="88">
        <v>76.539377000000002</v>
      </c>
      <c r="I34" s="88">
        <v>81.728327999999991</v>
      </c>
      <c r="J34" s="88">
        <v>81.138486</v>
      </c>
      <c r="K34" s="88">
        <v>75.296025</v>
      </c>
      <c r="L34" s="88">
        <v>69.703341999999992</v>
      </c>
      <c r="M34" s="88">
        <v>74.601513999999995</v>
      </c>
      <c r="N34" s="88">
        <v>68.759052999999994</v>
      </c>
      <c r="O34" s="88">
        <v>75.059286999999998</v>
      </c>
      <c r="P34" s="88">
        <v>78.080736999999999</v>
      </c>
      <c r="Q34" s="88">
        <v>74.378231999999997</v>
      </c>
      <c r="R34" s="88">
        <v>76.191684999999993</v>
      </c>
      <c r="S34" s="88">
        <v>96.123794000000004</v>
      </c>
      <c r="T34" s="88">
        <v>90.281333000000004</v>
      </c>
      <c r="U34" s="88">
        <v>84.801785999999993</v>
      </c>
      <c r="V34" s="88">
        <v>109.588326</v>
      </c>
      <c r="W34" s="88">
        <v>103.74586499999999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35.602141000000017</v>
      </c>
      <c r="D36" s="54">
        <f t="shared" ref="D36:V36" si="34">D37+D43</f>
        <v>19.201500999999979</v>
      </c>
      <c r="E36" s="54">
        <f t="shared" si="34"/>
        <v>53.048229999999954</v>
      </c>
      <c r="F36" s="54">
        <f t="shared" si="34"/>
        <v>34.106076999999999</v>
      </c>
      <c r="G36" s="54">
        <f t="shared" si="34"/>
        <v>17.735956000000044</v>
      </c>
      <c r="H36" s="54">
        <f t="shared" si="34"/>
        <v>57.581462999999992</v>
      </c>
      <c r="I36" s="54">
        <f t="shared" si="34"/>
        <v>47.718384000000029</v>
      </c>
      <c r="J36" s="54">
        <f t="shared" si="34"/>
        <v>32.954841999999999</v>
      </c>
      <c r="K36" s="54">
        <f t="shared" si="34"/>
        <v>98.012024000000025</v>
      </c>
      <c r="L36" s="54">
        <f t="shared" si="34"/>
        <v>3.769061000000022</v>
      </c>
      <c r="M36" s="54">
        <f t="shared" si="34"/>
        <v>19.76068599999995</v>
      </c>
      <c r="N36" s="54">
        <f t="shared" si="34"/>
        <v>5.906327000000033</v>
      </c>
      <c r="O36" s="54">
        <f t="shared" si="34"/>
        <v>128.67592000000002</v>
      </c>
      <c r="P36" s="54">
        <f t="shared" si="34"/>
        <v>74.061230999999978</v>
      </c>
      <c r="Q36" s="54">
        <f t="shared" si="34"/>
        <v>51.759797999999989</v>
      </c>
      <c r="R36" s="54">
        <f t="shared" si="34"/>
        <v>42.553704000000025</v>
      </c>
      <c r="S36" s="54">
        <f t="shared" si="34"/>
        <v>36.256058000000017</v>
      </c>
      <c r="T36" s="54">
        <f t="shared" si="34"/>
        <v>45.640178000000034</v>
      </c>
      <c r="U36" s="54">
        <f t="shared" si="34"/>
        <v>0</v>
      </c>
      <c r="V36" s="54">
        <f t="shared" si="34"/>
        <v>30.038049000000008</v>
      </c>
      <c r="W36" s="54">
        <f t="shared" ref="W36" si="35">W37+W43</f>
        <v>50.043380000000013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35.602141000000017</v>
      </c>
      <c r="D37" s="28">
        <f t="shared" ref="D37:V37" si="37">SUM(D38,D39,D42)</f>
        <v>15.228819999999985</v>
      </c>
      <c r="E37" s="28">
        <f t="shared" si="37"/>
        <v>50.155985999999956</v>
      </c>
      <c r="F37" s="28">
        <f t="shared" si="37"/>
        <v>23.749640999999997</v>
      </c>
      <c r="G37" s="28">
        <f t="shared" si="37"/>
        <v>13.963466000000039</v>
      </c>
      <c r="H37" s="28">
        <f t="shared" si="37"/>
        <v>43.900776999999977</v>
      </c>
      <c r="I37" s="28">
        <f t="shared" si="37"/>
        <v>40.259319000000033</v>
      </c>
      <c r="J37" s="28">
        <f t="shared" si="37"/>
        <v>31.687595999999985</v>
      </c>
      <c r="K37" s="28">
        <f t="shared" si="37"/>
        <v>98.012024000000025</v>
      </c>
      <c r="L37" s="28">
        <f t="shared" si="37"/>
        <v>3.769061000000022</v>
      </c>
      <c r="M37" s="28">
        <f t="shared" si="37"/>
        <v>13.005425999999943</v>
      </c>
      <c r="N37" s="28">
        <f t="shared" si="37"/>
        <v>5.906327000000033</v>
      </c>
      <c r="O37" s="28">
        <f t="shared" si="37"/>
        <v>118.45223900000002</v>
      </c>
      <c r="P37" s="28">
        <f t="shared" si="37"/>
        <v>67.910540999999967</v>
      </c>
      <c r="Q37" s="28">
        <f t="shared" si="37"/>
        <v>51.759797999999989</v>
      </c>
      <c r="R37" s="28">
        <f t="shared" si="37"/>
        <v>38.883163000000025</v>
      </c>
      <c r="S37" s="28">
        <f t="shared" si="37"/>
        <v>12.222521</v>
      </c>
      <c r="T37" s="28">
        <f t="shared" si="37"/>
        <v>44.034601000000038</v>
      </c>
      <c r="U37" s="28">
        <f t="shared" si="37"/>
        <v>0</v>
      </c>
      <c r="V37" s="28">
        <f t="shared" si="37"/>
        <v>0</v>
      </c>
      <c r="W37" s="28">
        <f t="shared" ref="W37" si="38">SUM(W38,W39,W42)</f>
        <v>50.043380000000013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10.539905000000033</v>
      </c>
      <c r="D38" s="108">
        <v>1.5048479999999813</v>
      </c>
      <c r="E38" s="108">
        <v>16.606080999999961</v>
      </c>
      <c r="F38" s="108">
        <v>0.44814300000001595</v>
      </c>
      <c r="G38" s="108">
        <v>0</v>
      </c>
      <c r="H38" s="108">
        <v>4.2199379999999849</v>
      </c>
      <c r="I38" s="108">
        <v>21.629979999999989</v>
      </c>
      <c r="J38" s="108">
        <v>17.504016999999976</v>
      </c>
      <c r="K38" s="108">
        <v>34.060698000000002</v>
      </c>
      <c r="L38" s="108">
        <v>3.769061000000022</v>
      </c>
      <c r="M38" s="108">
        <v>13.005425999999943</v>
      </c>
      <c r="N38" s="108">
        <v>5.906327000000033</v>
      </c>
      <c r="O38" s="108">
        <v>8.5752239999999915</v>
      </c>
      <c r="P38" s="108">
        <v>48.39252799999997</v>
      </c>
      <c r="Q38" s="108">
        <v>51.759797999999989</v>
      </c>
      <c r="R38" s="108">
        <v>23.675482999999986</v>
      </c>
      <c r="S38" s="108">
        <v>0</v>
      </c>
      <c r="T38" s="108">
        <v>0</v>
      </c>
      <c r="U38" s="108">
        <v>0</v>
      </c>
      <c r="V38" s="108">
        <v>0</v>
      </c>
      <c r="W38" s="108">
        <v>3.8070869999999672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25.062235999999984</v>
      </c>
      <c r="D39" s="110">
        <f t="shared" ref="D39:V39" si="40">SUM(D40:D41)</f>
        <v>13.723972000000003</v>
      </c>
      <c r="E39" s="110">
        <f t="shared" si="40"/>
        <v>33.549904999999995</v>
      </c>
      <c r="F39" s="110">
        <f t="shared" si="40"/>
        <v>23.301497999999981</v>
      </c>
      <c r="G39" s="110">
        <f t="shared" si="40"/>
        <v>13.963466000000039</v>
      </c>
      <c r="H39" s="110">
        <f t="shared" si="40"/>
        <v>39.680838999999992</v>
      </c>
      <c r="I39" s="110">
        <f t="shared" si="40"/>
        <v>18.629339000000044</v>
      </c>
      <c r="J39" s="110">
        <f t="shared" si="40"/>
        <v>14.183579000000009</v>
      </c>
      <c r="K39" s="110">
        <f t="shared" si="40"/>
        <v>63.951326000000023</v>
      </c>
      <c r="L39" s="110">
        <f t="shared" si="40"/>
        <v>0</v>
      </c>
      <c r="M39" s="110">
        <f t="shared" si="40"/>
        <v>0</v>
      </c>
      <c r="N39" s="110">
        <f t="shared" si="40"/>
        <v>0</v>
      </c>
      <c r="O39" s="110">
        <f t="shared" si="40"/>
        <v>109.87701500000003</v>
      </c>
      <c r="P39" s="110">
        <f t="shared" si="40"/>
        <v>19.518012999999996</v>
      </c>
      <c r="Q39" s="110">
        <f t="shared" si="40"/>
        <v>0</v>
      </c>
      <c r="R39" s="110">
        <f t="shared" si="40"/>
        <v>15.207680000000039</v>
      </c>
      <c r="S39" s="110">
        <f t="shared" si="40"/>
        <v>12.222521</v>
      </c>
      <c r="T39" s="110">
        <f t="shared" si="40"/>
        <v>44.034601000000038</v>
      </c>
      <c r="U39" s="110">
        <f t="shared" si="40"/>
        <v>0</v>
      </c>
      <c r="V39" s="110">
        <f t="shared" si="40"/>
        <v>0</v>
      </c>
      <c r="W39" s="110">
        <f t="shared" ref="W39" si="41">SUM(W40:W41)</f>
        <v>46.236293000000046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6.5381320000000187</v>
      </c>
      <c r="D40" s="84">
        <v>11.420272000000011</v>
      </c>
      <c r="E40" s="84">
        <v>7.7582380000000057</v>
      </c>
      <c r="F40" s="84">
        <v>0</v>
      </c>
      <c r="G40" s="84">
        <v>0</v>
      </c>
      <c r="H40" s="84">
        <v>0</v>
      </c>
      <c r="I40" s="84">
        <v>6.2044090000000267</v>
      </c>
      <c r="J40" s="84">
        <v>12.278346999999997</v>
      </c>
      <c r="K40" s="84">
        <v>24.939802000000014</v>
      </c>
      <c r="L40" s="84">
        <v>0</v>
      </c>
      <c r="M40" s="84">
        <v>0</v>
      </c>
      <c r="N40" s="84">
        <v>0</v>
      </c>
      <c r="O40" s="84">
        <v>26.527030000000025</v>
      </c>
      <c r="P40" s="84">
        <v>19.518012999999996</v>
      </c>
      <c r="Q40" s="84">
        <v>0</v>
      </c>
      <c r="R40" s="84">
        <v>0</v>
      </c>
      <c r="S40" s="84">
        <v>12.222521</v>
      </c>
      <c r="T40" s="84">
        <v>5.1363540000000114</v>
      </c>
      <c r="U40" s="84">
        <v>0</v>
      </c>
      <c r="V40" s="84">
        <v>0</v>
      </c>
      <c r="W40" s="84">
        <v>0.15453600000000733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18.524103999999966</v>
      </c>
      <c r="D41" s="84">
        <v>2.3036999999999921</v>
      </c>
      <c r="E41" s="84">
        <v>25.79166699999999</v>
      </c>
      <c r="F41" s="84">
        <v>23.301497999999981</v>
      </c>
      <c r="G41" s="84">
        <v>13.963466000000039</v>
      </c>
      <c r="H41" s="84">
        <v>39.680838999999992</v>
      </c>
      <c r="I41" s="84">
        <v>12.424930000000018</v>
      </c>
      <c r="J41" s="84">
        <v>1.9052320000000122</v>
      </c>
      <c r="K41" s="84">
        <v>39.011524000000009</v>
      </c>
      <c r="L41" s="84">
        <v>0</v>
      </c>
      <c r="M41" s="84">
        <v>0</v>
      </c>
      <c r="N41" s="84">
        <v>0</v>
      </c>
      <c r="O41" s="84">
        <v>83.349985000000004</v>
      </c>
      <c r="P41" s="84">
        <v>0</v>
      </c>
      <c r="Q41" s="84">
        <v>0</v>
      </c>
      <c r="R41" s="84">
        <v>15.207680000000039</v>
      </c>
      <c r="S41" s="84">
        <v>0</v>
      </c>
      <c r="T41" s="84">
        <v>38.898247000000026</v>
      </c>
      <c r="U41" s="84">
        <v>0</v>
      </c>
      <c r="V41" s="84">
        <v>0</v>
      </c>
      <c r="W41" s="84">
        <v>46.081757000000039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3.9726809999999944</v>
      </c>
      <c r="E43" s="28">
        <f t="shared" si="43"/>
        <v>2.892243999999998</v>
      </c>
      <c r="F43" s="28">
        <f t="shared" si="43"/>
        <v>10.356436000000004</v>
      </c>
      <c r="G43" s="28">
        <f t="shared" si="43"/>
        <v>3.7724900000000048</v>
      </c>
      <c r="H43" s="28">
        <f t="shared" si="43"/>
        <v>13.680686000000014</v>
      </c>
      <c r="I43" s="28">
        <f t="shared" si="43"/>
        <v>7.4590649999999936</v>
      </c>
      <c r="J43" s="28">
        <f t="shared" si="43"/>
        <v>1.2672460000000143</v>
      </c>
      <c r="K43" s="28">
        <f t="shared" si="43"/>
        <v>0</v>
      </c>
      <c r="L43" s="28">
        <f t="shared" si="43"/>
        <v>0</v>
      </c>
      <c r="M43" s="28">
        <f t="shared" si="43"/>
        <v>6.7552600000000069</v>
      </c>
      <c r="N43" s="28">
        <f t="shared" si="43"/>
        <v>0</v>
      </c>
      <c r="O43" s="28">
        <f t="shared" si="43"/>
        <v>10.223681000000008</v>
      </c>
      <c r="P43" s="28">
        <f t="shared" si="43"/>
        <v>6.1506900000000062</v>
      </c>
      <c r="Q43" s="28">
        <f t="shared" si="43"/>
        <v>0</v>
      </c>
      <c r="R43" s="28">
        <f t="shared" si="43"/>
        <v>3.6705410000000001</v>
      </c>
      <c r="S43" s="28">
        <f t="shared" si="43"/>
        <v>24.033537000000017</v>
      </c>
      <c r="T43" s="28">
        <f t="shared" si="43"/>
        <v>1.6055770000000003</v>
      </c>
      <c r="U43" s="28">
        <f t="shared" si="43"/>
        <v>0</v>
      </c>
      <c r="V43" s="28">
        <f t="shared" si="43"/>
        <v>30.038049000000008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0.26381200000000149</v>
      </c>
      <c r="E44" s="84">
        <v>0</v>
      </c>
      <c r="F44" s="84">
        <v>0.84952500000000164</v>
      </c>
      <c r="G44" s="84">
        <v>0.54012600000000077</v>
      </c>
      <c r="H44" s="84">
        <v>2.9088970000000014</v>
      </c>
      <c r="I44" s="84">
        <v>0.41302600000000034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2.0663590000000003</v>
      </c>
      <c r="P44" s="84">
        <v>1.2721520000000002</v>
      </c>
      <c r="Q44" s="84">
        <v>0</v>
      </c>
      <c r="R44" s="84">
        <v>0</v>
      </c>
      <c r="S44" s="84">
        <v>2.2443400000000002</v>
      </c>
      <c r="T44" s="84">
        <v>1.6055770000000003</v>
      </c>
      <c r="U44" s="84">
        <v>0</v>
      </c>
      <c r="V44" s="84">
        <v>3.3944209999999995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3.7088689999999929</v>
      </c>
      <c r="E45" s="86">
        <v>2.892243999999998</v>
      </c>
      <c r="F45" s="86">
        <v>9.5069110000000023</v>
      </c>
      <c r="G45" s="86">
        <v>3.232364000000004</v>
      </c>
      <c r="H45" s="86">
        <v>10.771789000000012</v>
      </c>
      <c r="I45" s="86">
        <v>7.0460389999999933</v>
      </c>
      <c r="J45" s="86">
        <v>1.2672460000000143</v>
      </c>
      <c r="K45" s="86">
        <v>0</v>
      </c>
      <c r="L45" s="86">
        <v>0</v>
      </c>
      <c r="M45" s="86">
        <v>6.7552600000000069</v>
      </c>
      <c r="N45" s="86">
        <v>0</v>
      </c>
      <c r="O45" s="86">
        <v>8.1573220000000077</v>
      </c>
      <c r="P45" s="86">
        <v>4.878538000000006</v>
      </c>
      <c r="Q45" s="86">
        <v>0</v>
      </c>
      <c r="R45" s="86">
        <v>3.6705410000000001</v>
      </c>
      <c r="S45" s="86">
        <v>21.789197000000016</v>
      </c>
      <c r="T45" s="86">
        <v>0</v>
      </c>
      <c r="U45" s="86">
        <v>0</v>
      </c>
      <c r="V45" s="86">
        <v>26.643628000000007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136.08530741889203</v>
      </c>
      <c r="C50" s="29">
        <f t="shared" si="45"/>
        <v>136.52513688290102</v>
      </c>
      <c r="D50" s="29">
        <f t="shared" si="45"/>
        <v>142.92961586504916</v>
      </c>
      <c r="E50" s="29">
        <f t="shared" si="45"/>
        <v>134.24161369185467</v>
      </c>
      <c r="F50" s="29">
        <f t="shared" si="45"/>
        <v>132.2553976601489</v>
      </c>
      <c r="G50" s="29">
        <f t="shared" si="45"/>
        <v>130.83984737444055</v>
      </c>
      <c r="H50" s="29">
        <f t="shared" si="45"/>
        <v>124.1109950701744</v>
      </c>
      <c r="I50" s="29">
        <f t="shared" si="45"/>
        <v>112.03463362777802</v>
      </c>
      <c r="J50" s="29">
        <f t="shared" si="45"/>
        <v>106.69023646064407</v>
      </c>
      <c r="K50" s="29">
        <f t="shared" ref="K50:V50" si="46">IF(K4=0,0,K4/K15)</f>
        <v>96.301816314003034</v>
      </c>
      <c r="L50" s="29">
        <f t="shared" si="46"/>
        <v>100.99940112777134</v>
      </c>
      <c r="M50" s="29">
        <f t="shared" si="46"/>
        <v>102.7366773156366</v>
      </c>
      <c r="N50" s="29">
        <f t="shared" si="46"/>
        <v>112.2489335226155</v>
      </c>
      <c r="O50" s="29">
        <f t="shared" si="46"/>
        <v>95.810435579435492</v>
      </c>
      <c r="P50" s="29">
        <f t="shared" si="46"/>
        <v>97.113954440628063</v>
      </c>
      <c r="Q50" s="29">
        <f t="shared" si="46"/>
        <v>95.672350017720618</v>
      </c>
      <c r="R50" s="29">
        <f t="shared" si="46"/>
        <v>94.454928660722089</v>
      </c>
      <c r="S50" s="29">
        <f t="shared" si="46"/>
        <v>96.377792392438977</v>
      </c>
      <c r="T50" s="29">
        <f t="shared" si="46"/>
        <v>95.336690830677526</v>
      </c>
      <c r="U50" s="29">
        <f t="shared" si="46"/>
        <v>97.622551163878541</v>
      </c>
      <c r="V50" s="29">
        <f t="shared" si="46"/>
        <v>69.278526636891371</v>
      </c>
      <c r="W50" s="29">
        <f t="shared" ref="W50" si="47">IF(W4=0,0,W4/W15)</f>
        <v>68.513132479958799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86.697638404936356</v>
      </c>
      <c r="C51" s="115">
        <f t="shared" si="48"/>
        <v>86.249094280714004</v>
      </c>
      <c r="D51" s="115">
        <f t="shared" si="48"/>
        <v>87.50588397295131</v>
      </c>
      <c r="E51" s="115">
        <f t="shared" si="48"/>
        <v>84.390043575099213</v>
      </c>
      <c r="F51" s="115">
        <f t="shared" si="48"/>
        <v>83.825183740829189</v>
      </c>
      <c r="G51" s="115">
        <f t="shared" si="48"/>
        <v>84.432799319493085</v>
      </c>
      <c r="H51" s="115">
        <f t="shared" si="48"/>
        <v>83.507455442166474</v>
      </c>
      <c r="I51" s="115">
        <f t="shared" si="48"/>
        <v>79.374637811600493</v>
      </c>
      <c r="J51" s="115">
        <f t="shared" si="48"/>
        <v>78.735248775565694</v>
      </c>
      <c r="K51" s="115">
        <f t="shared" ref="K51:V51" si="49">IF(K5=0,0,K5/K16)</f>
        <v>77.87865948392907</v>
      </c>
      <c r="L51" s="115">
        <f t="shared" si="49"/>
        <v>78.195797779461103</v>
      </c>
      <c r="M51" s="115">
        <f t="shared" si="49"/>
        <v>77.599042579696331</v>
      </c>
      <c r="N51" s="115">
        <f t="shared" si="49"/>
        <v>78.283648496935186</v>
      </c>
      <c r="O51" s="115">
        <f t="shared" si="49"/>
        <v>78.765340517633817</v>
      </c>
      <c r="P51" s="115">
        <f t="shared" si="49"/>
        <v>77.880368942094634</v>
      </c>
      <c r="Q51" s="115">
        <f t="shared" si="49"/>
        <v>72.041285123253658</v>
      </c>
      <c r="R51" s="115">
        <f t="shared" si="49"/>
        <v>72.041285123253658</v>
      </c>
      <c r="S51" s="115">
        <f t="shared" si="49"/>
        <v>73.504359320756691</v>
      </c>
      <c r="T51" s="115">
        <f t="shared" si="49"/>
        <v>77.722979173934462</v>
      </c>
      <c r="U51" s="115">
        <f t="shared" si="49"/>
        <v>77.623193186235795</v>
      </c>
      <c r="V51" s="115">
        <f t="shared" si="49"/>
        <v>53.13056290158638</v>
      </c>
      <c r="W51" s="115">
        <f t="shared" ref="W51" si="50">IF(W5=0,0,W5/W16)</f>
        <v>51.734612864754652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160.29610793878263</v>
      </c>
      <c r="C52" s="116">
        <f t="shared" si="51"/>
        <v>160.57870293803066</v>
      </c>
      <c r="D52" s="116">
        <f t="shared" si="51"/>
        <v>168.65328744805882</v>
      </c>
      <c r="E52" s="116">
        <f t="shared" si="51"/>
        <v>156.91498904947653</v>
      </c>
      <c r="F52" s="116">
        <f t="shared" si="51"/>
        <v>153.34787653609203</v>
      </c>
      <c r="G52" s="116">
        <f t="shared" si="51"/>
        <v>150.61304739129181</v>
      </c>
      <c r="H52" s="116">
        <f t="shared" si="51"/>
        <v>140.22832521869654</v>
      </c>
      <c r="I52" s="116">
        <f t="shared" si="51"/>
        <v>125.48568016257042</v>
      </c>
      <c r="J52" s="116">
        <f t="shared" si="51"/>
        <v>118.5422111856607</v>
      </c>
      <c r="K52" s="116">
        <f t="shared" ref="K52:V52" si="52">IF(K6=0,0,K6/K17)</f>
        <v>103.99423747444031</v>
      </c>
      <c r="L52" s="116">
        <f t="shared" si="52"/>
        <v>111.53980027915684</v>
      </c>
      <c r="M52" s="116">
        <f t="shared" si="52"/>
        <v>114.72368505838288</v>
      </c>
      <c r="N52" s="116">
        <f t="shared" si="52"/>
        <v>130.35592837608445</v>
      </c>
      <c r="O52" s="116">
        <f t="shared" si="52"/>
        <v>102.94206384888747</v>
      </c>
      <c r="P52" s="116">
        <f t="shared" si="52"/>
        <v>106.71689066161588</v>
      </c>
      <c r="Q52" s="116">
        <f t="shared" si="52"/>
        <v>109.59406382435708</v>
      </c>
      <c r="R52" s="116">
        <f t="shared" si="52"/>
        <v>107.88807620612988</v>
      </c>
      <c r="S52" s="116">
        <f t="shared" si="52"/>
        <v>109.84368701734606</v>
      </c>
      <c r="T52" s="116">
        <f t="shared" si="52"/>
        <v>103.51133544692173</v>
      </c>
      <c r="U52" s="116">
        <f t="shared" si="52"/>
        <v>107.66855140614554</v>
      </c>
      <c r="V52" s="116">
        <f t="shared" si="52"/>
        <v>78.327144340750309</v>
      </c>
      <c r="W52" s="116">
        <f t="shared" ref="W52" si="53">IF(W6=0,0,W6/W17)</f>
        <v>76.587622574229428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132.32040153696605</v>
      </c>
      <c r="C53" s="87">
        <f t="shared" si="54"/>
        <v>132.34486169059818</v>
      </c>
      <c r="D53" s="87">
        <f t="shared" si="54"/>
        <v>146.81878360971265</v>
      </c>
      <c r="E53" s="87">
        <f t="shared" si="54"/>
        <v>134.21421196370554</v>
      </c>
      <c r="F53" s="87">
        <f t="shared" si="54"/>
        <v>140.9480295362381</v>
      </c>
      <c r="G53" s="87">
        <f t="shared" si="54"/>
        <v>132.66520163191788</v>
      </c>
      <c r="H53" s="87">
        <f t="shared" si="54"/>
        <v>144.01145369005687</v>
      </c>
      <c r="I53" s="87">
        <f t="shared" si="54"/>
        <v>123.64684841259565</v>
      </c>
      <c r="J53" s="87">
        <f t="shared" si="54"/>
        <v>112.63846575431032</v>
      </c>
      <c r="K53" s="87">
        <f t="shared" ref="K53:V53" si="55">IF(K7=0,0,K7/K18)</f>
        <v>102.2643229870317</v>
      </c>
      <c r="L53" s="87">
        <f t="shared" si="55"/>
        <v>100.94147511418173</v>
      </c>
      <c r="M53" s="87">
        <f t="shared" si="55"/>
        <v>108.79455363107684</v>
      </c>
      <c r="N53" s="87">
        <f t="shared" si="55"/>
        <v>112.87625865157297</v>
      </c>
      <c r="O53" s="87">
        <f t="shared" si="55"/>
        <v>99.773779205512056</v>
      </c>
      <c r="P53" s="87">
        <f t="shared" si="55"/>
        <v>104.77516007424707</v>
      </c>
      <c r="Q53" s="87">
        <f t="shared" si="55"/>
        <v>99.169869596271042</v>
      </c>
      <c r="R53" s="87">
        <f t="shared" si="55"/>
        <v>97.772457710347823</v>
      </c>
      <c r="S53" s="87">
        <f t="shared" si="55"/>
        <v>97.895657156763491</v>
      </c>
      <c r="T53" s="87">
        <f t="shared" si="55"/>
        <v>102.07933038627466</v>
      </c>
      <c r="U53" s="87">
        <f t="shared" si="55"/>
        <v>106.58000165127092</v>
      </c>
      <c r="V53" s="87">
        <f t="shared" si="55"/>
        <v>78.570637174215889</v>
      </c>
      <c r="W53" s="87">
        <f t="shared" ref="W53" si="56">IF(W7=0,0,W7/W18)</f>
        <v>82.192082293523569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187.77890348411239</v>
      </c>
      <c r="C54" s="87">
        <f t="shared" si="57"/>
        <v>186.71044273667871</v>
      </c>
      <c r="D54" s="87">
        <f t="shared" si="57"/>
        <v>189.72140851738081</v>
      </c>
      <c r="E54" s="87">
        <f t="shared" si="57"/>
        <v>177.06984420125181</v>
      </c>
      <c r="F54" s="87">
        <f t="shared" si="57"/>
        <v>162.98806864673512</v>
      </c>
      <c r="G54" s="87">
        <f t="shared" si="57"/>
        <v>163.18492590303001</v>
      </c>
      <c r="H54" s="87">
        <f t="shared" si="57"/>
        <v>138.02042601011459</v>
      </c>
      <c r="I54" s="87">
        <f t="shared" si="57"/>
        <v>126.5333692575352</v>
      </c>
      <c r="J54" s="87">
        <f t="shared" si="57"/>
        <v>122.06869013487879</v>
      </c>
      <c r="K54" s="87">
        <f t="shared" ref="K54:V54" si="58">IF(K8=0,0,K8/K19)</f>
        <v>105.02044686442474</v>
      </c>
      <c r="L54" s="87">
        <f t="shared" si="58"/>
        <v>118.01482000746402</v>
      </c>
      <c r="M54" s="87">
        <f t="shared" si="58"/>
        <v>118.04439352139758</v>
      </c>
      <c r="N54" s="87">
        <f t="shared" si="58"/>
        <v>139.53573632917414</v>
      </c>
      <c r="O54" s="87">
        <f t="shared" si="58"/>
        <v>104.4240011482084</v>
      </c>
      <c r="P54" s="87">
        <f t="shared" si="58"/>
        <v>107.815842633011</v>
      </c>
      <c r="Q54" s="87">
        <f t="shared" si="58"/>
        <v>114.27762208665909</v>
      </c>
      <c r="R54" s="87">
        <f t="shared" si="58"/>
        <v>112.33842937225683</v>
      </c>
      <c r="S54" s="87">
        <f t="shared" si="58"/>
        <v>115.4610134271521</v>
      </c>
      <c r="T54" s="87">
        <f t="shared" si="58"/>
        <v>104.11577799021134</v>
      </c>
      <c r="U54" s="87">
        <f t="shared" si="58"/>
        <v>108.09359480562779</v>
      </c>
      <c r="V54" s="87">
        <f t="shared" si="58"/>
        <v>78.244447362543582</v>
      </c>
      <c r="W54" s="87">
        <f t="shared" ref="W54" si="59">IF(W8=0,0,W8/W19)</f>
        <v>74.923542050735236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595.92529886021202</v>
      </c>
      <c r="C56" s="29">
        <f t="shared" si="63"/>
        <v>554.38248069424981</v>
      </c>
      <c r="D56" s="29">
        <f t="shared" si="63"/>
        <v>548.19478249509325</v>
      </c>
      <c r="E56" s="29">
        <f t="shared" si="63"/>
        <v>538.24079969934144</v>
      </c>
      <c r="F56" s="29">
        <f t="shared" si="63"/>
        <v>556.02156457840988</v>
      </c>
      <c r="G56" s="29">
        <f t="shared" si="63"/>
        <v>567.87199520049626</v>
      </c>
      <c r="H56" s="29">
        <f t="shared" si="63"/>
        <v>556.76351322363075</v>
      </c>
      <c r="I56" s="29">
        <f t="shared" si="63"/>
        <v>521.42315746933843</v>
      </c>
      <c r="J56" s="29">
        <f t="shared" si="63"/>
        <v>521.9632581361044</v>
      </c>
      <c r="K56" s="29">
        <f t="shared" ref="K56:V56" si="64">IF(K10=0,0,K10/K21)</f>
        <v>520.52979382344176</v>
      </c>
      <c r="L56" s="29">
        <f t="shared" si="64"/>
        <v>554.08278426327172</v>
      </c>
      <c r="M56" s="29">
        <f t="shared" si="64"/>
        <v>579.17705111210046</v>
      </c>
      <c r="N56" s="29">
        <f t="shared" si="64"/>
        <v>652.60781107912862</v>
      </c>
      <c r="O56" s="29">
        <f t="shared" si="64"/>
        <v>576.29850325962889</v>
      </c>
      <c r="P56" s="29">
        <f t="shared" si="64"/>
        <v>576.5858779456521</v>
      </c>
      <c r="Q56" s="29">
        <f t="shared" si="64"/>
        <v>602.39463117467585</v>
      </c>
      <c r="R56" s="29">
        <f t="shared" si="64"/>
        <v>626.47251485261097</v>
      </c>
      <c r="S56" s="29">
        <f t="shared" si="64"/>
        <v>632.10074229149552</v>
      </c>
      <c r="T56" s="29">
        <f t="shared" si="64"/>
        <v>545.96262000220077</v>
      </c>
      <c r="U56" s="29">
        <f t="shared" si="64"/>
        <v>561.44472086608266</v>
      </c>
      <c r="V56" s="29">
        <f t="shared" si="64"/>
        <v>474.24028189634851</v>
      </c>
      <c r="W56" s="29">
        <f t="shared" ref="W56" si="65">IF(W10=0,0,W10/W21)</f>
        <v>617.90173885968545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740.23490856876481</v>
      </c>
      <c r="C57" s="87">
        <f t="shared" si="66"/>
        <v>703.6112249801015</v>
      </c>
      <c r="D57" s="87">
        <f t="shared" si="66"/>
        <v>726.91616153664734</v>
      </c>
      <c r="E57" s="87">
        <f t="shared" si="66"/>
        <v>758.15093514606917</v>
      </c>
      <c r="F57" s="87">
        <f t="shared" si="66"/>
        <v>804.80094948000806</v>
      </c>
      <c r="G57" s="87">
        <f t="shared" si="66"/>
        <v>797.80588205885817</v>
      </c>
      <c r="H57" s="87">
        <f t="shared" si="66"/>
        <v>801.99289413905763</v>
      </c>
      <c r="I57" s="87">
        <f t="shared" si="66"/>
        <v>771.7032691379535</v>
      </c>
      <c r="J57" s="87">
        <f t="shared" si="66"/>
        <v>777.97198735534835</v>
      </c>
      <c r="K57" s="87">
        <f t="shared" ref="K57:V57" si="67">IF(K11=0,0,K11/K22)</f>
        <v>753.36289747078877</v>
      </c>
      <c r="L57" s="87">
        <f t="shared" si="67"/>
        <v>746.56185510960324</v>
      </c>
      <c r="M57" s="87">
        <f t="shared" si="67"/>
        <v>835.1495310745388</v>
      </c>
      <c r="N57" s="87">
        <f t="shared" si="67"/>
        <v>933.45306431231268</v>
      </c>
      <c r="O57" s="87">
        <f t="shared" si="67"/>
        <v>801.88839070279448</v>
      </c>
      <c r="P57" s="87">
        <f t="shared" si="67"/>
        <v>841.24399940577666</v>
      </c>
      <c r="Q57" s="87">
        <f t="shared" si="67"/>
        <v>831.98779428277328</v>
      </c>
      <c r="R57" s="87">
        <f t="shared" si="67"/>
        <v>952.3332605728458</v>
      </c>
      <c r="S57" s="87">
        <f t="shared" si="67"/>
        <v>1009.1135481263256</v>
      </c>
      <c r="T57" s="87">
        <f t="shared" si="67"/>
        <v>723.19666389701399</v>
      </c>
      <c r="U57" s="87">
        <f t="shared" si="67"/>
        <v>737.81413052963148</v>
      </c>
      <c r="V57" s="87">
        <f t="shared" si="67"/>
        <v>565.52254054997957</v>
      </c>
      <c r="W57" s="87">
        <f t="shared" ref="W57" si="68">IF(W11=0,0,W11/W22)</f>
        <v>594.9204314426255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557.86202942530531</v>
      </c>
      <c r="C58" s="88">
        <f t="shared" si="69"/>
        <v>517.595360621704</v>
      </c>
      <c r="D58" s="88">
        <f t="shared" si="69"/>
        <v>506.03835589446192</v>
      </c>
      <c r="E58" s="88">
        <f t="shared" si="69"/>
        <v>492.71664337099588</v>
      </c>
      <c r="F58" s="88">
        <f t="shared" si="69"/>
        <v>509.36099608824662</v>
      </c>
      <c r="G58" s="88">
        <f t="shared" si="69"/>
        <v>525.67287447979288</v>
      </c>
      <c r="H58" s="88">
        <f t="shared" si="69"/>
        <v>509.45667714713204</v>
      </c>
      <c r="I58" s="88">
        <f t="shared" si="69"/>
        <v>476.64143055253641</v>
      </c>
      <c r="J58" s="88">
        <f t="shared" si="69"/>
        <v>479.53608425737582</v>
      </c>
      <c r="K58" s="88">
        <f t="shared" ref="K58:V58" si="70">IF(K12=0,0,K12/K23)</f>
        <v>485.03828147963065</v>
      </c>
      <c r="L58" s="88">
        <f t="shared" si="70"/>
        <v>527.05308515926879</v>
      </c>
      <c r="M58" s="88">
        <f t="shared" si="70"/>
        <v>565.06240408455255</v>
      </c>
      <c r="N58" s="88">
        <f t="shared" si="70"/>
        <v>617.90172387955408</v>
      </c>
      <c r="O58" s="88">
        <f t="shared" si="70"/>
        <v>548.37942409182642</v>
      </c>
      <c r="P58" s="88">
        <f t="shared" si="70"/>
        <v>542.66756037723098</v>
      </c>
      <c r="Q58" s="88">
        <f t="shared" si="70"/>
        <v>575.5180767207894</v>
      </c>
      <c r="R58" s="88">
        <f t="shared" si="70"/>
        <v>592.96614645701538</v>
      </c>
      <c r="S58" s="88">
        <f t="shared" si="70"/>
        <v>594.74640257384806</v>
      </c>
      <c r="T58" s="88">
        <f t="shared" si="70"/>
        <v>524.25914855822271</v>
      </c>
      <c r="U58" s="88">
        <f t="shared" si="70"/>
        <v>541.02087630358517</v>
      </c>
      <c r="V58" s="88">
        <f t="shared" si="70"/>
        <v>463.69519929497778</v>
      </c>
      <c r="W58" s="88">
        <f t="shared" ref="W58" si="71">IF(W12=0,0,W12/W23)</f>
        <v>621.26072416339275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352.05220156765415</v>
      </c>
      <c r="C61" s="29">
        <f t="shared" ref="C61" si="73">IF(C26=0,0,(C62*C27+C64*C29+C65*C30+C66*C31)/(C27+C29+C30+C31))</f>
        <v>351.58570480841809</v>
      </c>
      <c r="D61" s="29">
        <f t="shared" ref="D61" si="74">IF(D26=0,0,(D62*D27+D64*D29+D65*D30+D66*D31)/(D27+D29+D30+D31))</f>
        <v>351.00743935831883</v>
      </c>
      <c r="E61" s="29">
        <f t="shared" ref="E61" si="75">IF(E26=0,0,(E62*E27+E64*E29+E65*E30+E66*E31)/(E27+E29+E30+E31))</f>
        <v>350.62356036842459</v>
      </c>
      <c r="F61" s="29">
        <f t="shared" ref="F61" si="76">IF(F26=0,0,(F62*F27+F64*F29+F65*F30+F66*F31)/(F27+F29+F30+F31))</f>
        <v>349.80849401824116</v>
      </c>
      <c r="G61" s="29">
        <f t="shared" ref="G61" si="77">IF(G26=0,0,(G62*G27+G64*G29+G65*G30+G66*G31)/(G27+G29+G30+G31))</f>
        <v>349.39977629739008</v>
      </c>
      <c r="H61" s="29">
        <f t="shared" ref="H61" si="78">IF(H26=0,0,(H62*H27+H64*H29+H65*H30+H66*H31)/(H27+H29+H30+H31))</f>
        <v>348.09533324570185</v>
      </c>
      <c r="I61" s="29">
        <f t="shared" ref="I61" si="79">IF(I26=0,0,(I62*I27+I64*I29+I65*I30+I66*I31)/(I27+I29+I30+I31))</f>
        <v>348.77097649449746</v>
      </c>
      <c r="J61" s="29">
        <f t="shared" ref="J61" si="80">IF(J26=0,0,(J62*J27+J64*J29+J65*J30+J66*J31)/(J27+J29+J30+J31))</f>
        <v>349.30728280985608</v>
      </c>
      <c r="K61" s="29">
        <f t="shared" ref="K61" si="81">IF(K26=0,0,(K62*K27+K64*K29+K65*K30+K66*K31)/(K27+K29+K30+K31))</f>
        <v>349.02425836404745</v>
      </c>
      <c r="L61" s="29">
        <f t="shared" ref="L61" si="82">IF(L26=0,0,(L62*L27+L64*L29+L65*L30+L66*L31)/(L27+L29+L30+L31))</f>
        <v>350.14503800188385</v>
      </c>
      <c r="M61" s="29">
        <f t="shared" ref="M61" si="83">IF(M26=0,0,(M62*M27+M64*M29+M65*M30+M66*M31)/(M27+M29+M30+M31))</f>
        <v>351.52269834938352</v>
      </c>
      <c r="N61" s="29">
        <f t="shared" ref="N61" si="84">IF(N26=0,0,(N62*N27+N64*N29+N65*N30+N66*N31)/(N27+N29+N30+N31))</f>
        <v>353.11924170259147</v>
      </c>
      <c r="O61" s="29">
        <f t="shared" ref="O61" si="85">IF(O26=0,0,(O62*O27+O64*O29+O65*O30+O66*O31)/(O27+O29+O30+O31))</f>
        <v>349.06218041606132</v>
      </c>
      <c r="P61" s="29">
        <f t="shared" ref="P61" si="86">IF(P26=0,0,(P62*P27+P64*P29+P65*P30+P66*P31)/(P27+P29+P30+P31))</f>
        <v>351.74097768706764</v>
      </c>
      <c r="Q61" s="29">
        <f t="shared" ref="Q61" si="87">IF(Q26=0,0,(Q62*Q27+Q64*Q29+Q65*Q30+Q66*Q31)/(Q27+Q29+Q30+Q31))</f>
        <v>355.16477412289652</v>
      </c>
      <c r="R61" s="29">
        <f t="shared" ref="R61" si="88">IF(R26=0,0,(R62*R27+R64*R29+R65*R30+R66*R31)/(R27+R29+R30+R31))</f>
        <v>355.97784725825761</v>
      </c>
      <c r="S61" s="29">
        <f t="shared" ref="S61" si="89">IF(S26=0,0,(S62*S27+S64*S29+S65*S30+S66*S31)/(S27+S29+S30+S31))</f>
        <v>355.62435958764456</v>
      </c>
      <c r="T61" s="29">
        <f t="shared" ref="T61" si="90">IF(T26=0,0,(T62*T27+T64*T29+T65*T30+T66*T31)/(T27+T29+T30+T31))</f>
        <v>352.90968511076466</v>
      </c>
      <c r="U61" s="29">
        <f t="shared" ref="U61" si="91">IF(U26=0,0,(U62*U27+U64*U29+U65*U30+U66*U31)/(U27+U29+U30+U31))</f>
        <v>352.52159445014809</v>
      </c>
      <c r="V61" s="29">
        <f t="shared" ref="V61" si="92">IF(V26=0,0,(V62*V27+V64*V29+V65*V30+V66*V31)/(V27+V29+V30+V31))</f>
        <v>353.43419869044345</v>
      </c>
      <c r="W61" s="29">
        <f t="shared" ref="W61" si="93">IF(W26=0,0,(W62*W27+W64*W29+W65*W30+W66*W31)/(W27+W29+W30+W31))</f>
        <v>351.69770445452866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319.99999999999994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319.99999999999994</v>
      </c>
      <c r="I63" s="116">
        <f t="shared" ref="I63" si="101">IF(I28=0,0,(I64*I29+I65*I30)/(I29+I30))</f>
        <v>320.00000000000006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319.99999999999994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2100.0000000000005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0.3865486618544563</v>
      </c>
      <c r="C72" s="30">
        <f t="shared" ref="C72:J72" si="138">IF(C50=0,0,C50/C61)</f>
        <v>0.3883125366467749</v>
      </c>
      <c r="D72" s="30">
        <f t="shared" si="138"/>
        <v>0.40719825234000911</v>
      </c>
      <c r="E72" s="30">
        <f t="shared" si="138"/>
        <v>0.38286535437264302</v>
      </c>
      <c r="F72" s="30">
        <f t="shared" si="138"/>
        <v>0.37807943466705041</v>
      </c>
      <c r="G72" s="30">
        <f t="shared" si="138"/>
        <v>0.37447032382492651</v>
      </c>
      <c r="H72" s="30">
        <f t="shared" si="138"/>
        <v>0.3565431168322245</v>
      </c>
      <c r="I72" s="30">
        <f t="shared" si="138"/>
        <v>0.32122694025127857</v>
      </c>
      <c r="J72" s="30">
        <f t="shared" si="138"/>
        <v>0.30543375907430032</v>
      </c>
      <c r="K72" s="30">
        <f t="shared" ref="K72:V72" si="139">IF(K50=0,0,K50/K61)</f>
        <v>0.27591725791608462</v>
      </c>
      <c r="L72" s="30">
        <f t="shared" si="139"/>
        <v>0.28845018539782347</v>
      </c>
      <c r="M72" s="30">
        <f t="shared" si="139"/>
        <v>0.29226185904366586</v>
      </c>
      <c r="N72" s="30">
        <f t="shared" si="139"/>
        <v>0.31787826962189508</v>
      </c>
      <c r="O72" s="30">
        <f t="shared" si="139"/>
        <v>0.27447956540360563</v>
      </c>
      <c r="P72" s="30">
        <f t="shared" si="139"/>
        <v>0.27609508303302421</v>
      </c>
      <c r="Q72" s="30">
        <f t="shared" si="139"/>
        <v>0.26937454665652011</v>
      </c>
      <c r="R72" s="30">
        <f t="shared" si="139"/>
        <v>0.26533934453566205</v>
      </c>
      <c r="S72" s="30">
        <f t="shared" si="139"/>
        <v>0.27101009757653122</v>
      </c>
      <c r="T72" s="30">
        <f t="shared" si="139"/>
        <v>0.27014472782393328</v>
      </c>
      <c r="U72" s="30">
        <f t="shared" si="139"/>
        <v>0.27692644280741746</v>
      </c>
      <c r="V72" s="30">
        <f t="shared" si="139"/>
        <v>0.19601534569542095</v>
      </c>
      <c r="W72" s="30">
        <f t="shared" ref="W72" si="140">IF(W50=0,0,W50/W61)</f>
        <v>0.19480687992041451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0.2167440960123409</v>
      </c>
      <c r="C73" s="118">
        <f t="shared" si="141"/>
        <v>0.215622735701785</v>
      </c>
      <c r="D73" s="118">
        <f t="shared" si="141"/>
        <v>0.21876470993237829</v>
      </c>
      <c r="E73" s="118">
        <f t="shared" si="141"/>
        <v>0.21097510893774804</v>
      </c>
      <c r="F73" s="118">
        <f t="shared" si="141"/>
        <v>0.20956295935207297</v>
      </c>
      <c r="G73" s="118">
        <f t="shared" si="141"/>
        <v>0.21108199829873273</v>
      </c>
      <c r="H73" s="118">
        <f t="shared" si="141"/>
        <v>0.2087686386054162</v>
      </c>
      <c r="I73" s="118">
        <f t="shared" si="141"/>
        <v>0.19843659452900123</v>
      </c>
      <c r="J73" s="118">
        <f t="shared" si="141"/>
        <v>0.19683812193891423</v>
      </c>
      <c r="K73" s="118">
        <f t="shared" ref="K73:V73" si="142">IF(K51=0,0,K51/K62)</f>
        <v>0.19469664870982267</v>
      </c>
      <c r="L73" s="118">
        <f t="shared" si="142"/>
        <v>0.19548949444865277</v>
      </c>
      <c r="M73" s="118">
        <f t="shared" si="142"/>
        <v>0.19399760644924083</v>
      </c>
      <c r="N73" s="118">
        <f t="shared" si="142"/>
        <v>0.19570912124233797</v>
      </c>
      <c r="O73" s="118">
        <f t="shared" si="142"/>
        <v>0.19691335129408455</v>
      </c>
      <c r="P73" s="118">
        <f t="shared" si="142"/>
        <v>0.19470092235523659</v>
      </c>
      <c r="Q73" s="118">
        <f t="shared" si="142"/>
        <v>0.18010321280813416</v>
      </c>
      <c r="R73" s="118">
        <f t="shared" si="142"/>
        <v>0.18010321280813416</v>
      </c>
      <c r="S73" s="118">
        <f t="shared" si="142"/>
        <v>0.18376089830189174</v>
      </c>
      <c r="T73" s="118">
        <f t="shared" si="142"/>
        <v>0.19430744793483615</v>
      </c>
      <c r="U73" s="118">
        <f t="shared" si="142"/>
        <v>0.19405798296558949</v>
      </c>
      <c r="V73" s="118">
        <f t="shared" si="142"/>
        <v>0.13282640725396594</v>
      </c>
      <c r="W73" s="118">
        <f t="shared" ref="W73" si="143">IF(W51=0,0,W51/W62)</f>
        <v>0.12933653216188662</v>
      </c>
      <c r="DA73" s="203"/>
    </row>
    <row r="74" spans="1:105" ht="11.45" customHeight="1" x14ac:dyDescent="0.25">
      <c r="A74" s="109" t="s">
        <v>24</v>
      </c>
      <c r="B74" s="119">
        <f t="shared" si="141"/>
        <v>0.50092533730869571</v>
      </c>
      <c r="C74" s="119">
        <f t="shared" si="141"/>
        <v>0.50180844668134583</v>
      </c>
      <c r="D74" s="119">
        <f t="shared" si="141"/>
        <v>0.52704152327518383</v>
      </c>
      <c r="E74" s="119">
        <f t="shared" si="141"/>
        <v>0.49035934077961424</v>
      </c>
      <c r="F74" s="119">
        <f t="shared" si="141"/>
        <v>0.47921211417528758</v>
      </c>
      <c r="G74" s="119">
        <f t="shared" si="141"/>
        <v>0.4706657730977869</v>
      </c>
      <c r="H74" s="119">
        <f t="shared" si="141"/>
        <v>0.43821351630842675</v>
      </c>
      <c r="I74" s="119">
        <f t="shared" si="141"/>
        <v>0.39214275050803249</v>
      </c>
      <c r="J74" s="119">
        <f t="shared" si="141"/>
        <v>0.37044440995518979</v>
      </c>
      <c r="K74" s="119">
        <f t="shared" ref="K74:V74" si="144">IF(K52=0,0,K52/K63)</f>
        <v>0.32498199210762602</v>
      </c>
      <c r="L74" s="119">
        <f t="shared" si="144"/>
        <v>0.34856187587236509</v>
      </c>
      <c r="M74" s="119">
        <f t="shared" si="144"/>
        <v>0.3585115158074465</v>
      </c>
      <c r="N74" s="119">
        <f t="shared" si="144"/>
        <v>0.40736227617526388</v>
      </c>
      <c r="O74" s="119">
        <f t="shared" si="144"/>
        <v>0.3216939495277733</v>
      </c>
      <c r="P74" s="119">
        <f t="shared" si="144"/>
        <v>0.3334902833175496</v>
      </c>
      <c r="Q74" s="119">
        <f t="shared" si="144"/>
        <v>0.34248144945111586</v>
      </c>
      <c r="R74" s="119">
        <f t="shared" si="144"/>
        <v>0.3371502381441559</v>
      </c>
      <c r="S74" s="119">
        <f t="shared" si="144"/>
        <v>0.34326152192920645</v>
      </c>
      <c r="T74" s="119">
        <f t="shared" si="144"/>
        <v>0.32347292327163041</v>
      </c>
      <c r="U74" s="119">
        <f t="shared" si="144"/>
        <v>0.33646422314420482</v>
      </c>
      <c r="V74" s="119">
        <f t="shared" si="144"/>
        <v>0.24477232606484473</v>
      </c>
      <c r="W74" s="119">
        <f t="shared" ref="W74" si="145">IF(W52=0,0,W52/W63)</f>
        <v>0.23933632054446696</v>
      </c>
      <c r="DA74" s="176"/>
    </row>
    <row r="75" spans="1:105" ht="11.45" customHeight="1" x14ac:dyDescent="0.25">
      <c r="A75" s="111" t="s">
        <v>92</v>
      </c>
      <c r="B75" s="120">
        <f t="shared" si="141"/>
        <v>0.41350125480301891</v>
      </c>
      <c r="C75" s="120">
        <f t="shared" si="141"/>
        <v>0.41357769278311929</v>
      </c>
      <c r="D75" s="120">
        <f t="shared" si="141"/>
        <v>0.45880869878035202</v>
      </c>
      <c r="E75" s="120">
        <f t="shared" si="141"/>
        <v>0.41941941238657982</v>
      </c>
      <c r="F75" s="120">
        <f t="shared" si="141"/>
        <v>0.44046259230074403</v>
      </c>
      <c r="G75" s="120">
        <f t="shared" si="141"/>
        <v>0.4145787550997434</v>
      </c>
      <c r="H75" s="120">
        <f t="shared" si="141"/>
        <v>0.45003579278142769</v>
      </c>
      <c r="I75" s="120">
        <f t="shared" si="141"/>
        <v>0.38639640128936137</v>
      </c>
      <c r="J75" s="120">
        <f t="shared" si="141"/>
        <v>0.35199520548221974</v>
      </c>
      <c r="K75" s="120">
        <f t="shared" ref="K75:V75" si="146">IF(K53=0,0,K53/K64)</f>
        <v>0.31957600933447405</v>
      </c>
      <c r="L75" s="120">
        <f t="shared" si="146"/>
        <v>0.31544210973181791</v>
      </c>
      <c r="M75" s="120">
        <f t="shared" si="146"/>
        <v>0.33998298009711514</v>
      </c>
      <c r="N75" s="120">
        <f t="shared" si="146"/>
        <v>0.35273830828616554</v>
      </c>
      <c r="O75" s="120">
        <f t="shared" si="146"/>
        <v>0.31179306001722518</v>
      </c>
      <c r="P75" s="120">
        <f t="shared" si="146"/>
        <v>0.32742237523202211</v>
      </c>
      <c r="Q75" s="120">
        <f t="shared" si="146"/>
        <v>0.30990584248834702</v>
      </c>
      <c r="R75" s="120">
        <f t="shared" si="146"/>
        <v>0.30553893034483692</v>
      </c>
      <c r="S75" s="120">
        <f t="shared" si="146"/>
        <v>0.30592392861488593</v>
      </c>
      <c r="T75" s="120">
        <f t="shared" si="146"/>
        <v>0.31899790745710832</v>
      </c>
      <c r="U75" s="120">
        <f t="shared" si="146"/>
        <v>0.33306250516022162</v>
      </c>
      <c r="V75" s="120">
        <f t="shared" si="146"/>
        <v>0.24553324116942465</v>
      </c>
      <c r="W75" s="120">
        <f t="shared" ref="W75" si="147">IF(W53=0,0,W53/W64)</f>
        <v>0.25685025716726118</v>
      </c>
      <c r="DA75" s="171"/>
    </row>
    <row r="76" spans="1:105" ht="11.45" customHeight="1" x14ac:dyDescent="0.25">
      <c r="A76" s="111" t="s">
        <v>93</v>
      </c>
      <c r="B76" s="120">
        <f t="shared" si="141"/>
        <v>0.58680907338785127</v>
      </c>
      <c r="C76" s="120">
        <f t="shared" si="141"/>
        <v>0.58347013355212096</v>
      </c>
      <c r="D76" s="120">
        <f t="shared" si="141"/>
        <v>0.59287940161681507</v>
      </c>
      <c r="E76" s="120">
        <f t="shared" si="141"/>
        <v>0.55334326312891191</v>
      </c>
      <c r="F76" s="120">
        <f t="shared" si="141"/>
        <v>0.50933771452104726</v>
      </c>
      <c r="G76" s="120">
        <f t="shared" si="141"/>
        <v>0.50995289344696881</v>
      </c>
      <c r="H76" s="120">
        <f t="shared" si="141"/>
        <v>0.43131383128160811</v>
      </c>
      <c r="I76" s="120">
        <f t="shared" si="141"/>
        <v>0.39541677892979749</v>
      </c>
      <c r="J76" s="120">
        <f t="shared" si="141"/>
        <v>0.38146465667149621</v>
      </c>
      <c r="K76" s="120">
        <f t="shared" ref="K76:V76" si="148">IF(K54=0,0,K54/K65)</f>
        <v>0.32818889645132732</v>
      </c>
      <c r="L76" s="120">
        <f t="shared" si="148"/>
        <v>0.36879631252332506</v>
      </c>
      <c r="M76" s="120">
        <f t="shared" si="148"/>
        <v>0.36888872975436743</v>
      </c>
      <c r="N76" s="120">
        <f t="shared" si="148"/>
        <v>0.43604917602866922</v>
      </c>
      <c r="O76" s="120">
        <f t="shared" si="148"/>
        <v>0.32632500358815125</v>
      </c>
      <c r="P76" s="120">
        <f t="shared" si="148"/>
        <v>0.33692450822815939</v>
      </c>
      <c r="Q76" s="120">
        <f t="shared" si="148"/>
        <v>0.35711756902080966</v>
      </c>
      <c r="R76" s="120">
        <f t="shared" si="148"/>
        <v>0.35105759178830259</v>
      </c>
      <c r="S76" s="120">
        <f t="shared" si="148"/>
        <v>0.36081566695985029</v>
      </c>
      <c r="T76" s="120">
        <f t="shared" si="148"/>
        <v>0.32536180621941047</v>
      </c>
      <c r="U76" s="120">
        <f t="shared" si="148"/>
        <v>0.33779248376758686</v>
      </c>
      <c r="V76" s="120">
        <f t="shared" si="148"/>
        <v>0.2445138980079487</v>
      </c>
      <c r="W76" s="120">
        <f t="shared" ref="W76" si="149">IF(W54=0,0,W54/W65)</f>
        <v>0.2341360689085476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0.2837739518381962</v>
      </c>
      <c r="C78" s="30">
        <f t="shared" si="141"/>
        <v>0.26399165747345227</v>
      </c>
      <c r="D78" s="30">
        <f t="shared" si="141"/>
        <v>0.26104513452147299</v>
      </c>
      <c r="E78" s="30">
        <f t="shared" si="141"/>
        <v>0.25630514271397209</v>
      </c>
      <c r="F78" s="30">
        <f t="shared" si="141"/>
        <v>0.26477217360876659</v>
      </c>
      <c r="G78" s="30">
        <f t="shared" si="141"/>
        <v>0.27041523580976012</v>
      </c>
      <c r="H78" s="30">
        <f t="shared" si="141"/>
        <v>0.26512548248744322</v>
      </c>
      <c r="I78" s="30">
        <f t="shared" si="141"/>
        <v>0.24829674165206592</v>
      </c>
      <c r="J78" s="30">
        <f t="shared" si="141"/>
        <v>0.24855393244576399</v>
      </c>
      <c r="K78" s="30">
        <f t="shared" ref="K78:V78" si="152">IF(K56=0,0,K56/K67)</f>
        <v>0.24787133039211512</v>
      </c>
      <c r="L78" s="30">
        <f t="shared" si="152"/>
        <v>0.26384894488727223</v>
      </c>
      <c r="M78" s="30">
        <f t="shared" si="152"/>
        <v>0.27579859576766691</v>
      </c>
      <c r="N78" s="30">
        <f t="shared" si="152"/>
        <v>0.31076562432339461</v>
      </c>
      <c r="O78" s="30">
        <f t="shared" si="152"/>
        <v>0.27442785869506137</v>
      </c>
      <c r="P78" s="30">
        <f t="shared" si="152"/>
        <v>0.27456470378364384</v>
      </c>
      <c r="Q78" s="30">
        <f t="shared" si="152"/>
        <v>0.28685458627365518</v>
      </c>
      <c r="R78" s="30">
        <f t="shared" si="152"/>
        <v>0.29832024516791</v>
      </c>
      <c r="S78" s="30">
        <f t="shared" si="152"/>
        <v>0.30100035347214071</v>
      </c>
      <c r="T78" s="30">
        <f t="shared" si="152"/>
        <v>0.25998220000104794</v>
      </c>
      <c r="U78" s="30">
        <f t="shared" si="152"/>
        <v>0.26735462898384887</v>
      </c>
      <c r="V78" s="30">
        <f t="shared" si="152"/>
        <v>0.22582870566492785</v>
      </c>
      <c r="W78" s="30">
        <f t="shared" ref="W78" si="153">IF(W56=0,0,W56/W67)</f>
        <v>0.29423892326651691</v>
      </c>
      <c r="DA78" s="173"/>
    </row>
    <row r="79" spans="1:105" ht="11.45" customHeight="1" x14ac:dyDescent="0.25">
      <c r="A79" s="83" t="s">
        <v>92</v>
      </c>
      <c r="B79" s="120">
        <f t="shared" si="141"/>
        <v>0.35249281360417373</v>
      </c>
      <c r="C79" s="120">
        <f t="shared" si="141"/>
        <v>0.33505296427623882</v>
      </c>
      <c r="D79" s="120">
        <f t="shared" si="141"/>
        <v>0.34615055311268922</v>
      </c>
      <c r="E79" s="120">
        <f t="shared" si="141"/>
        <v>0.3610242548314615</v>
      </c>
      <c r="F79" s="120">
        <f t="shared" si="141"/>
        <v>0.38323854737143243</v>
      </c>
      <c r="G79" s="120">
        <f t="shared" si="141"/>
        <v>0.37990756288517058</v>
      </c>
      <c r="H79" s="120">
        <f t="shared" si="141"/>
        <v>0.38190137816145603</v>
      </c>
      <c r="I79" s="120">
        <f t="shared" si="141"/>
        <v>0.36747774720854931</v>
      </c>
      <c r="J79" s="120">
        <f t="shared" si="141"/>
        <v>0.37046285112159444</v>
      </c>
      <c r="K79" s="120">
        <f t="shared" ref="K79:V79" si="154">IF(K57=0,0,K57/K68)</f>
        <v>0.35874423689085178</v>
      </c>
      <c r="L79" s="120">
        <f t="shared" si="154"/>
        <v>0.35550564529028728</v>
      </c>
      <c r="M79" s="120">
        <f t="shared" si="154"/>
        <v>0.39769025289263754</v>
      </c>
      <c r="N79" s="120">
        <f t="shared" si="154"/>
        <v>0.44450145919633938</v>
      </c>
      <c r="O79" s="120">
        <f t="shared" si="154"/>
        <v>0.38185161462037831</v>
      </c>
      <c r="P79" s="120">
        <f t="shared" si="154"/>
        <v>0.40059238066941744</v>
      </c>
      <c r="Q79" s="120">
        <f t="shared" si="154"/>
        <v>0.39618466394417773</v>
      </c>
      <c r="R79" s="120">
        <f t="shared" si="154"/>
        <v>0.4534920288442123</v>
      </c>
      <c r="S79" s="120">
        <f t="shared" si="154"/>
        <v>0.48053026101253599</v>
      </c>
      <c r="T79" s="120">
        <f t="shared" si="154"/>
        <v>0.34437936376048284</v>
      </c>
      <c r="U79" s="120">
        <f t="shared" si="154"/>
        <v>0.35134006215696739</v>
      </c>
      <c r="V79" s="120">
        <f t="shared" si="154"/>
        <v>0.26929644788094265</v>
      </c>
      <c r="W79" s="120">
        <f t="shared" ref="W79" si="155">IF(W57=0,0,W57/W68)</f>
        <v>0.28329544354410741</v>
      </c>
      <c r="DA79" s="171"/>
    </row>
    <row r="80" spans="1:105" ht="11.45" customHeight="1" x14ac:dyDescent="0.25">
      <c r="A80" s="85" t="s">
        <v>93</v>
      </c>
      <c r="B80" s="122">
        <f t="shared" si="141"/>
        <v>0.26564858544062159</v>
      </c>
      <c r="C80" s="122">
        <f t="shared" si="141"/>
        <v>0.24647398124843048</v>
      </c>
      <c r="D80" s="122">
        <f t="shared" si="141"/>
        <v>0.24097064566402948</v>
      </c>
      <c r="E80" s="122">
        <f t="shared" si="141"/>
        <v>0.23462697303380756</v>
      </c>
      <c r="F80" s="122">
        <f t="shared" si="141"/>
        <v>0.24255285528011744</v>
      </c>
      <c r="G80" s="122">
        <f t="shared" si="141"/>
        <v>0.25032041641894898</v>
      </c>
      <c r="H80" s="122">
        <f t="shared" si="141"/>
        <v>0.2425984176891105</v>
      </c>
      <c r="I80" s="122">
        <f t="shared" si="141"/>
        <v>0.22697210978692209</v>
      </c>
      <c r="J80" s="122">
        <f t="shared" si="141"/>
        <v>0.2283505163130361</v>
      </c>
      <c r="K80" s="122">
        <f t="shared" ref="K80:V80" si="156">IF(K58=0,0,K58/K69)</f>
        <v>0.23097061022839555</v>
      </c>
      <c r="L80" s="122">
        <f t="shared" si="156"/>
        <v>0.25097765959965179</v>
      </c>
      <c r="M80" s="122">
        <f t="shared" si="156"/>
        <v>0.26907733527835836</v>
      </c>
      <c r="N80" s="122">
        <f t="shared" si="156"/>
        <v>0.29423891613312098</v>
      </c>
      <c r="O80" s="122">
        <f t="shared" si="156"/>
        <v>0.26113305909134593</v>
      </c>
      <c r="P80" s="122">
        <f t="shared" si="156"/>
        <v>0.25841312398915761</v>
      </c>
      <c r="Q80" s="122">
        <f t="shared" si="156"/>
        <v>0.27405622700989973</v>
      </c>
      <c r="R80" s="122">
        <f t="shared" si="156"/>
        <v>0.2823648316461978</v>
      </c>
      <c r="S80" s="122">
        <f t="shared" si="156"/>
        <v>0.28321257265421335</v>
      </c>
      <c r="T80" s="122">
        <f t="shared" si="156"/>
        <v>0.24964721359915368</v>
      </c>
      <c r="U80" s="122">
        <f t="shared" si="156"/>
        <v>0.25762898871599293</v>
      </c>
      <c r="V80" s="122">
        <f t="shared" si="156"/>
        <v>0.22080723775951322</v>
      </c>
      <c r="W80" s="122">
        <f t="shared" ref="W80" si="157">IF(W58=0,0,W58/W69)</f>
        <v>0.29583844007780608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140504.85914579482</v>
      </c>
      <c r="C82" s="54">
        <f t="shared" si="158"/>
        <v>140227.36636130529</v>
      </c>
      <c r="D82" s="54">
        <f t="shared" si="158"/>
        <v>140702.44210869295</v>
      </c>
      <c r="E82" s="54">
        <f t="shared" si="158"/>
        <v>140620.00424083843</v>
      </c>
      <c r="F82" s="54">
        <f t="shared" si="158"/>
        <v>141616.92417504304</v>
      </c>
      <c r="G82" s="54">
        <f t="shared" si="158"/>
        <v>142030.20613167153</v>
      </c>
      <c r="H82" s="54">
        <f t="shared" si="158"/>
        <v>143271.31985092501</v>
      </c>
      <c r="I82" s="54">
        <f t="shared" si="158"/>
        <v>143157.3964286847</v>
      </c>
      <c r="J82" s="54">
        <f t="shared" si="158"/>
        <v>142709.54838532419</v>
      </c>
      <c r="K82" s="54">
        <f t="shared" ref="K82:V82" si="159">IF(K14=0,0,K14/K25*1000000)</f>
        <v>138741.4945071761</v>
      </c>
      <c r="L82" s="54">
        <f t="shared" si="159"/>
        <v>137490.52344831012</v>
      </c>
      <c r="M82" s="54">
        <f t="shared" si="159"/>
        <v>139727.55837833078</v>
      </c>
      <c r="N82" s="54">
        <f t="shared" si="159"/>
        <v>136259.95075021376</v>
      </c>
      <c r="O82" s="54">
        <f t="shared" si="159"/>
        <v>141640.50306798733</v>
      </c>
      <c r="P82" s="54">
        <f t="shared" si="159"/>
        <v>137675.8975882417</v>
      </c>
      <c r="Q82" s="54">
        <f t="shared" si="159"/>
        <v>136647.01360170433</v>
      </c>
      <c r="R82" s="54">
        <f t="shared" si="159"/>
        <v>138066.61689821392</v>
      </c>
      <c r="S82" s="54">
        <f t="shared" si="159"/>
        <v>139716.88621344633</v>
      </c>
      <c r="T82" s="54">
        <f t="shared" si="159"/>
        <v>135947.36595498462</v>
      </c>
      <c r="U82" s="54">
        <f t="shared" si="159"/>
        <v>140679.37338720556</v>
      </c>
      <c r="V82" s="54">
        <f t="shared" si="159"/>
        <v>138040.21082295431</v>
      </c>
      <c r="W82" s="54">
        <f t="shared" ref="W82" si="160">IF(W14=0,0,W14/W25*1000000)</f>
        <v>137349.49618294931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133973.898729395</v>
      </c>
      <c r="C83" s="28">
        <f t="shared" si="161"/>
        <v>134207.14725612508</v>
      </c>
      <c r="D83" s="28">
        <f t="shared" si="161"/>
        <v>134496.28004723095</v>
      </c>
      <c r="E83" s="28">
        <f t="shared" si="161"/>
        <v>134688.21975281686</v>
      </c>
      <c r="F83" s="28">
        <f t="shared" si="161"/>
        <v>135095.75261262862</v>
      </c>
      <c r="G83" s="28">
        <f t="shared" si="161"/>
        <v>135300.11151742149</v>
      </c>
      <c r="H83" s="28">
        <f t="shared" si="161"/>
        <v>135952.33313154554</v>
      </c>
      <c r="I83" s="28">
        <f t="shared" si="161"/>
        <v>135614.51155606381</v>
      </c>
      <c r="J83" s="28">
        <f t="shared" si="161"/>
        <v>135346.3583825306</v>
      </c>
      <c r="K83" s="28">
        <f t="shared" ref="K83:V83" si="162">IF(K15=0,0,K15/K26*1000000)</f>
        <v>135487.8707316388</v>
      </c>
      <c r="L83" s="28">
        <f t="shared" si="162"/>
        <v>131123.09911264136</v>
      </c>
      <c r="M83" s="28">
        <f t="shared" si="162"/>
        <v>134238.65052320558</v>
      </c>
      <c r="N83" s="28">
        <f t="shared" si="162"/>
        <v>130961.39613911348</v>
      </c>
      <c r="O83" s="28">
        <f t="shared" si="162"/>
        <v>135468.9096366236</v>
      </c>
      <c r="P83" s="28">
        <f t="shared" si="162"/>
        <v>131057.48436861255</v>
      </c>
      <c r="Q83" s="28">
        <f t="shared" si="162"/>
        <v>130424.71803914699</v>
      </c>
      <c r="R83" s="28">
        <f t="shared" si="162"/>
        <v>132011.07615705539</v>
      </c>
      <c r="S83" s="28">
        <f t="shared" si="162"/>
        <v>132187.81994936863</v>
      </c>
      <c r="T83" s="28">
        <f t="shared" si="162"/>
        <v>129272.35009085397</v>
      </c>
      <c r="U83" s="28">
        <f t="shared" si="162"/>
        <v>133739.20266981219</v>
      </c>
      <c r="V83" s="28">
        <f t="shared" si="162"/>
        <v>128012.68234350208</v>
      </c>
      <c r="W83" s="28">
        <f t="shared" ref="W83" si="163">IF(W15=0,0,W15/W26*1000000)</f>
        <v>134151.14762566405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109999.99961767034</v>
      </c>
      <c r="C84" s="108">
        <f t="shared" si="161"/>
        <v>109999.9999976065</v>
      </c>
      <c r="D84" s="108">
        <f t="shared" si="161"/>
        <v>109999.99992384503</v>
      </c>
      <c r="E84" s="108">
        <f t="shared" si="161"/>
        <v>109999.99998279827</v>
      </c>
      <c r="F84" s="108">
        <f t="shared" si="161"/>
        <v>109999.99985608902</v>
      </c>
      <c r="G84" s="108">
        <f t="shared" si="161"/>
        <v>109999.99981449606</v>
      </c>
      <c r="H84" s="108">
        <f t="shared" si="161"/>
        <v>109999.99986451659</v>
      </c>
      <c r="I84" s="108">
        <f t="shared" si="161"/>
        <v>109999.99980468371</v>
      </c>
      <c r="J84" s="108">
        <f t="shared" si="161"/>
        <v>109999.99993733055</v>
      </c>
      <c r="K84" s="108">
        <f t="shared" ref="K84:V84" si="164">IF(K16=0,0,K16/K27*1000000)</f>
        <v>109999.99997672619</v>
      </c>
      <c r="L84" s="108">
        <f t="shared" si="164"/>
        <v>109999.99973676496</v>
      </c>
      <c r="M84" s="108">
        <f t="shared" si="164"/>
        <v>109999.99980818115</v>
      </c>
      <c r="N84" s="108">
        <f t="shared" si="164"/>
        <v>109999.99971358132</v>
      </c>
      <c r="O84" s="108">
        <f t="shared" si="164"/>
        <v>109999.99994631624</v>
      </c>
      <c r="P84" s="108">
        <f t="shared" si="164"/>
        <v>109999.9999148644</v>
      </c>
      <c r="Q84" s="108">
        <f t="shared" si="164"/>
        <v>109999.99996207927</v>
      </c>
      <c r="R84" s="108">
        <f t="shared" si="164"/>
        <v>109999.99993877602</v>
      </c>
      <c r="S84" s="108">
        <f t="shared" si="164"/>
        <v>109999.99988932993</v>
      </c>
      <c r="T84" s="108">
        <f t="shared" si="164"/>
        <v>99613.253280775825</v>
      </c>
      <c r="U84" s="108">
        <f t="shared" si="164"/>
        <v>109999.99992694483</v>
      </c>
      <c r="V84" s="108">
        <f t="shared" si="164"/>
        <v>109999.99974417589</v>
      </c>
      <c r="W84" s="108">
        <f t="shared" ref="W84" si="165">IF(W16=0,0,W16/W27*1000000)</f>
        <v>109999.99973046625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149999.99944340033</v>
      </c>
      <c r="C85" s="110">
        <f t="shared" si="161"/>
        <v>149999.99944029612</v>
      </c>
      <c r="D85" s="110">
        <f t="shared" si="161"/>
        <v>149999.99960142109</v>
      </c>
      <c r="E85" s="110">
        <f t="shared" si="161"/>
        <v>149999.99990864287</v>
      </c>
      <c r="F85" s="110">
        <f t="shared" si="161"/>
        <v>149999.99948257589</v>
      </c>
      <c r="G85" s="110">
        <f t="shared" si="161"/>
        <v>149999.99957990495</v>
      </c>
      <c r="H85" s="110">
        <f t="shared" si="161"/>
        <v>149999.99969478988</v>
      </c>
      <c r="I85" s="110">
        <f t="shared" si="161"/>
        <v>149999.99980254241</v>
      </c>
      <c r="J85" s="110">
        <f t="shared" si="161"/>
        <v>149999.9997008123</v>
      </c>
      <c r="K85" s="110">
        <f t="shared" ref="K85:V85" si="166">IF(K17=0,0,K17/K28*1000000)</f>
        <v>149999.99987775573</v>
      </c>
      <c r="L85" s="110">
        <f t="shared" si="166"/>
        <v>143895.2808149847</v>
      </c>
      <c r="M85" s="110">
        <f t="shared" si="166"/>
        <v>149999.99962618455</v>
      </c>
      <c r="N85" s="110">
        <f t="shared" si="166"/>
        <v>145769.72219555039</v>
      </c>
      <c r="O85" s="110">
        <f t="shared" si="166"/>
        <v>149999.99978665184</v>
      </c>
      <c r="P85" s="110">
        <f t="shared" si="166"/>
        <v>144907.4364015836</v>
      </c>
      <c r="Q85" s="110">
        <f t="shared" si="166"/>
        <v>146444.05514860305</v>
      </c>
      <c r="R85" s="110">
        <f t="shared" si="166"/>
        <v>149999.99966147594</v>
      </c>
      <c r="S85" s="110">
        <f t="shared" si="166"/>
        <v>149999.99962587186</v>
      </c>
      <c r="T85" s="110">
        <f t="shared" si="166"/>
        <v>149999.99948086654</v>
      </c>
      <c r="U85" s="110">
        <f t="shared" si="166"/>
        <v>149999.99987292683</v>
      </c>
      <c r="V85" s="110">
        <f t="shared" si="166"/>
        <v>140945.77040463604</v>
      </c>
      <c r="W85" s="110">
        <f t="shared" ref="W85" si="167">IF(W17=0,0,W17/W28*1000000)</f>
        <v>149999.99993329251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149999.99955350719</v>
      </c>
      <c r="C86" s="84">
        <f t="shared" si="161"/>
        <v>149999.9994139132</v>
      </c>
      <c r="D86" s="84">
        <f t="shared" si="161"/>
        <v>149999.99951062721</v>
      </c>
      <c r="E86" s="84">
        <f t="shared" si="161"/>
        <v>149999.99994634601</v>
      </c>
      <c r="F86" s="84">
        <f t="shared" si="161"/>
        <v>149999.99943298995</v>
      </c>
      <c r="G86" s="84">
        <f t="shared" si="161"/>
        <v>149999.99931989147</v>
      </c>
      <c r="H86" s="84">
        <f t="shared" si="161"/>
        <v>149999.99948520193</v>
      </c>
      <c r="I86" s="84">
        <f t="shared" si="161"/>
        <v>149999.9997548977</v>
      </c>
      <c r="J86" s="84">
        <f t="shared" si="161"/>
        <v>149999.99963683027</v>
      </c>
      <c r="K86" s="84">
        <f t="shared" ref="K86:V86" si="168">IF(K18=0,0,K18/K29*1000000)</f>
        <v>149999.99973922243</v>
      </c>
      <c r="L86" s="84">
        <f t="shared" si="168"/>
        <v>149999.99920659896</v>
      </c>
      <c r="M86" s="84">
        <f t="shared" si="168"/>
        <v>149999.99971346985</v>
      </c>
      <c r="N86" s="84">
        <f t="shared" si="168"/>
        <v>145235.88498208029</v>
      </c>
      <c r="O86" s="84">
        <f t="shared" si="168"/>
        <v>149999.99938968758</v>
      </c>
      <c r="P86" s="84">
        <f t="shared" si="168"/>
        <v>149999.99939602616</v>
      </c>
      <c r="Q86" s="84">
        <f t="shared" si="168"/>
        <v>139104.47173216485</v>
      </c>
      <c r="R86" s="84">
        <f t="shared" si="168"/>
        <v>149999.99938935478</v>
      </c>
      <c r="S86" s="84">
        <f t="shared" si="168"/>
        <v>149999.99951066286</v>
      </c>
      <c r="T86" s="84">
        <f t="shared" si="168"/>
        <v>149999.99922105786</v>
      </c>
      <c r="U86" s="84">
        <f t="shared" si="168"/>
        <v>149999.99980503289</v>
      </c>
      <c r="V86" s="84">
        <f t="shared" si="168"/>
        <v>136841.14237570087</v>
      </c>
      <c r="W86" s="84">
        <f t="shared" ref="W86" si="169">IF(W18=0,0,W18/W29*1000000)</f>
        <v>149999.99980215915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149999.99933523347</v>
      </c>
      <c r="C87" s="84">
        <f t="shared" si="161"/>
        <v>149999.99946471475</v>
      </c>
      <c r="D87" s="84">
        <f t="shared" si="161"/>
        <v>149999.99968902813</v>
      </c>
      <c r="E87" s="84">
        <f t="shared" si="161"/>
        <v>149999.9998751682</v>
      </c>
      <c r="F87" s="84">
        <f t="shared" si="161"/>
        <v>149999.99952112621</v>
      </c>
      <c r="G87" s="84">
        <f t="shared" si="161"/>
        <v>149999.99976203585</v>
      </c>
      <c r="H87" s="84">
        <f t="shared" si="161"/>
        <v>149999.99981710906</v>
      </c>
      <c r="I87" s="84">
        <f t="shared" si="161"/>
        <v>149999.99982968837</v>
      </c>
      <c r="J87" s="84">
        <f t="shared" si="161"/>
        <v>149999.99973903061</v>
      </c>
      <c r="K87" s="84">
        <f t="shared" ref="K87:V87" si="170">IF(K19=0,0,K19/K30*1000000)</f>
        <v>149999.99995993561</v>
      </c>
      <c r="L87" s="84">
        <f t="shared" si="170"/>
        <v>140404.21230525663</v>
      </c>
      <c r="M87" s="84">
        <f t="shared" si="170"/>
        <v>149999.99957729896</v>
      </c>
      <c r="N87" s="84">
        <f t="shared" si="170"/>
        <v>146051.65249836992</v>
      </c>
      <c r="O87" s="84">
        <f t="shared" si="170"/>
        <v>149999.9999723284</v>
      </c>
      <c r="P87" s="84">
        <f t="shared" si="170"/>
        <v>142175.56744360484</v>
      </c>
      <c r="Q87" s="84">
        <f t="shared" si="170"/>
        <v>149999.99994894073</v>
      </c>
      <c r="R87" s="84">
        <f t="shared" si="170"/>
        <v>149999.99978119531</v>
      </c>
      <c r="S87" s="84">
        <f t="shared" si="170"/>
        <v>149999.99968003697</v>
      </c>
      <c r="T87" s="84">
        <f t="shared" si="170"/>
        <v>149999.99959053055</v>
      </c>
      <c r="U87" s="84">
        <f t="shared" si="170"/>
        <v>149999.99989943721</v>
      </c>
      <c r="V87" s="84">
        <f t="shared" si="170"/>
        <v>142396.41028767294</v>
      </c>
      <c r="W87" s="84">
        <f t="shared" ref="W87" si="171">IF(W19=0,0,W19/W30*1000000)</f>
        <v>149999.99997222872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199999.99896626626</v>
      </c>
      <c r="C89" s="28">
        <f t="shared" si="161"/>
        <v>199611.59077018491</v>
      </c>
      <c r="D89" s="28">
        <f t="shared" si="161"/>
        <v>199999.99749460991</v>
      </c>
      <c r="E89" s="28">
        <f t="shared" si="161"/>
        <v>199999.99729406735</v>
      </c>
      <c r="F89" s="28">
        <f t="shared" si="161"/>
        <v>199999.99778097001</v>
      </c>
      <c r="G89" s="28">
        <f t="shared" si="161"/>
        <v>199999.99877859349</v>
      </c>
      <c r="H89" s="28">
        <f t="shared" si="161"/>
        <v>199999.99892184848</v>
      </c>
      <c r="I89" s="28">
        <f t="shared" si="161"/>
        <v>199999.9986400707</v>
      </c>
      <c r="J89" s="28">
        <f t="shared" si="161"/>
        <v>199999.99915988831</v>
      </c>
      <c r="K89" s="28">
        <f t="shared" ref="K89:V89" si="174">IF(K21=0,0,K21/K32*1000000)</f>
        <v>169041.96001247736</v>
      </c>
      <c r="L89" s="28">
        <f t="shared" si="174"/>
        <v>198560.4782648792</v>
      </c>
      <c r="M89" s="28">
        <f t="shared" si="174"/>
        <v>188708.32008665148</v>
      </c>
      <c r="N89" s="28">
        <f t="shared" si="174"/>
        <v>184790.22851261395</v>
      </c>
      <c r="O89" s="28">
        <f t="shared" si="174"/>
        <v>199999.99692668061</v>
      </c>
      <c r="P89" s="28">
        <f t="shared" si="174"/>
        <v>199999.99822273941</v>
      </c>
      <c r="Q89" s="28">
        <f t="shared" si="174"/>
        <v>199999.99719813489</v>
      </c>
      <c r="R89" s="28">
        <f t="shared" si="174"/>
        <v>199999.9968348367</v>
      </c>
      <c r="S89" s="28">
        <f t="shared" si="174"/>
        <v>199999.99899041074</v>
      </c>
      <c r="T89" s="28">
        <f t="shared" si="174"/>
        <v>192213.94560220683</v>
      </c>
      <c r="U89" s="28">
        <f t="shared" si="174"/>
        <v>199999.99607382188</v>
      </c>
      <c r="V89" s="28">
        <f t="shared" si="174"/>
        <v>199999.99849249137</v>
      </c>
      <c r="W89" s="28">
        <f t="shared" ref="W89" si="175">IF(W21=0,0,W21/W32*1000000)</f>
        <v>159055.78288440008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199999.99598588698</v>
      </c>
      <c r="C90" s="84">
        <f t="shared" si="161"/>
        <v>198051.35315413389</v>
      </c>
      <c r="D90" s="84">
        <f t="shared" si="161"/>
        <v>199999.99410063907</v>
      </c>
      <c r="E90" s="84">
        <f t="shared" si="161"/>
        <v>199999.98967649514</v>
      </c>
      <c r="F90" s="84">
        <f t="shared" si="161"/>
        <v>199999.98686538075</v>
      </c>
      <c r="G90" s="84">
        <f t="shared" si="161"/>
        <v>199999.99784543485</v>
      </c>
      <c r="H90" s="84">
        <f t="shared" si="161"/>
        <v>199999.99519167058</v>
      </c>
      <c r="I90" s="84">
        <f t="shared" si="161"/>
        <v>199999.99829950684</v>
      </c>
      <c r="J90" s="84">
        <f t="shared" si="161"/>
        <v>199999.99808571019</v>
      </c>
      <c r="K90" s="84">
        <f t="shared" ref="K90:V90" si="176">IF(K22=0,0,K22/K33*1000000)</f>
        <v>163767.82715338224</v>
      </c>
      <c r="L90" s="84">
        <f t="shared" si="176"/>
        <v>188879.60030898181</v>
      </c>
      <c r="M90" s="84">
        <f t="shared" si="176"/>
        <v>93240.571135581617</v>
      </c>
      <c r="N90" s="84">
        <f t="shared" si="176"/>
        <v>199999.98424061557</v>
      </c>
      <c r="O90" s="84">
        <f t="shared" si="176"/>
        <v>199999.98184713343</v>
      </c>
      <c r="P90" s="84">
        <f t="shared" si="176"/>
        <v>199999.98759808572</v>
      </c>
      <c r="Q90" s="84">
        <f t="shared" si="176"/>
        <v>199999.98786994384</v>
      </c>
      <c r="R90" s="84">
        <f t="shared" si="176"/>
        <v>199999.98681274234</v>
      </c>
      <c r="S90" s="84">
        <f t="shared" si="176"/>
        <v>199999.99510029858</v>
      </c>
      <c r="T90" s="84">
        <f t="shared" si="176"/>
        <v>199999.99507864087</v>
      </c>
      <c r="U90" s="84">
        <f t="shared" si="176"/>
        <v>199999.98075453923</v>
      </c>
      <c r="V90" s="84">
        <f t="shared" si="176"/>
        <v>199999.99569409361</v>
      </c>
      <c r="W90" s="84">
        <f t="shared" ref="W90" si="177">IF(W22=0,0,W22/W33*1000000)</f>
        <v>199999.98760607597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199999.99975237454</v>
      </c>
      <c r="C91" s="86">
        <f t="shared" si="161"/>
        <v>199999.99703360919</v>
      </c>
      <c r="D91" s="86">
        <f t="shared" si="161"/>
        <v>199999.9982951727</v>
      </c>
      <c r="E91" s="86">
        <f t="shared" si="161"/>
        <v>199999.99887100043</v>
      </c>
      <c r="F91" s="86">
        <f t="shared" si="161"/>
        <v>199999.9998282764</v>
      </c>
      <c r="G91" s="86">
        <f t="shared" si="161"/>
        <v>199999.9989498535</v>
      </c>
      <c r="H91" s="86">
        <f t="shared" si="161"/>
        <v>199999.99964143155</v>
      </c>
      <c r="I91" s="86">
        <f t="shared" si="161"/>
        <v>199999.99870100658</v>
      </c>
      <c r="J91" s="86">
        <f t="shared" si="161"/>
        <v>199999.99933790698</v>
      </c>
      <c r="K91" s="86">
        <f t="shared" ref="K91:V91" si="178">IF(K23=0,0,K23/K34*1000000)</f>
        <v>169875.89851226925</v>
      </c>
      <c r="L91" s="86">
        <f t="shared" si="178"/>
        <v>199999.99718463139</v>
      </c>
      <c r="M91" s="86">
        <f t="shared" si="178"/>
        <v>199999.99835283362</v>
      </c>
      <c r="N91" s="86">
        <f t="shared" si="178"/>
        <v>183069.75714706766</v>
      </c>
      <c r="O91" s="86">
        <f t="shared" si="178"/>
        <v>199999.99879293051</v>
      </c>
      <c r="P91" s="86">
        <f t="shared" si="178"/>
        <v>199999.99958438435</v>
      </c>
      <c r="Q91" s="86">
        <f t="shared" si="178"/>
        <v>199999.99829010837</v>
      </c>
      <c r="R91" s="86">
        <f t="shared" si="178"/>
        <v>199999.99786535054</v>
      </c>
      <c r="S91" s="86">
        <f t="shared" si="178"/>
        <v>199999.99937584213</v>
      </c>
      <c r="T91" s="86">
        <f t="shared" si="178"/>
        <v>191301.95860126024</v>
      </c>
      <c r="U91" s="86">
        <f t="shared" si="178"/>
        <v>199999.99784781816</v>
      </c>
      <c r="V91" s="86">
        <f t="shared" si="178"/>
        <v>199999.99881576706</v>
      </c>
      <c r="W91" s="86">
        <f t="shared" ref="W91" si="179">IF(W23=0,0,W23/W34*1000000)</f>
        <v>154434.73126914172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18231879.194697224</v>
      </c>
      <c r="C94" s="28">
        <f t="shared" si="180"/>
        <v>18322649.149806134</v>
      </c>
      <c r="D94" s="28">
        <f t="shared" si="180"/>
        <v>19223501.642428793</v>
      </c>
      <c r="E94" s="28">
        <f t="shared" si="180"/>
        <v>18080763.964901268</v>
      </c>
      <c r="F94" s="28">
        <f t="shared" si="180"/>
        <v>17867142.483980302</v>
      </c>
      <c r="G94" s="28">
        <f t="shared" si="180"/>
        <v>17702645.940684214</v>
      </c>
      <c r="H94" s="28">
        <f t="shared" si="180"/>
        <v>16873179.347067956</v>
      </c>
      <c r="I94" s="28">
        <f t="shared" si="180"/>
        <v>15193522.116793675</v>
      </c>
      <c r="J94" s="28">
        <f t="shared" si="180"/>
        <v>14440134.979919266</v>
      </c>
      <c r="K94" s="28">
        <f t="shared" ref="K94:V94" si="181">IF(K4=0,0,K4/K26*1000000)</f>
        <v>13047728.039973671</v>
      </c>
      <c r="L94" s="28">
        <f t="shared" si="181"/>
        <v>13243354.484394182</v>
      </c>
      <c r="M94" s="28">
        <f t="shared" si="181"/>
        <v>13791232.922089083</v>
      </c>
      <c r="N94" s="28">
        <f t="shared" si="181"/>
        <v>14700277.049248261</v>
      </c>
      <c r="O94" s="28">
        <f t="shared" si="181"/>
        <v>12979335.239756094</v>
      </c>
      <c r="P94" s="28">
        <f t="shared" si="181"/>
        <v>12727510.566076765</v>
      </c>
      <c r="Q94" s="28">
        <f t="shared" si="181"/>
        <v>12478039.275203792</v>
      </c>
      <c r="R94" s="28">
        <f t="shared" si="181"/>
        <v>12469096.780839816</v>
      </c>
      <c r="S94" s="28">
        <f t="shared" si="181"/>
        <v>12739970.267889353</v>
      </c>
      <c r="T94" s="28">
        <f t="shared" si="181"/>
        <v>12324398.073566852</v>
      </c>
      <c r="U94" s="28">
        <f t="shared" si="181"/>
        <v>13055962.155250063</v>
      </c>
      <c r="V94" s="28">
        <f t="shared" si="181"/>
        <v>8868530.0235942211</v>
      </c>
      <c r="W94" s="28">
        <f t="shared" ref="W94" si="182">IF(W4=0,0,W4/W26*1000000)</f>
        <v>9191115.3496156316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9536740.1913959216</v>
      </c>
      <c r="C95" s="108">
        <f t="shared" si="180"/>
        <v>9487400.370672103</v>
      </c>
      <c r="D95" s="108">
        <f t="shared" si="180"/>
        <v>9625647.2303606365</v>
      </c>
      <c r="E95" s="108">
        <f t="shared" si="180"/>
        <v>9282904.791809259</v>
      </c>
      <c r="F95" s="108">
        <f t="shared" si="180"/>
        <v>9220770.1994278468</v>
      </c>
      <c r="G95" s="108">
        <f t="shared" si="180"/>
        <v>9287607.9094816223</v>
      </c>
      <c r="H95" s="108">
        <f t="shared" si="180"/>
        <v>9185820.0873244368</v>
      </c>
      <c r="I95" s="108">
        <f t="shared" si="180"/>
        <v>8731210.1437728945</v>
      </c>
      <c r="J95" s="108">
        <f t="shared" si="180"/>
        <v>8660877.360377932</v>
      </c>
      <c r="K95" s="108">
        <f t="shared" ref="K95:V95" si="183">IF(K5=0,0,K5/K27*1000000)</f>
        <v>8566652.5414196644</v>
      </c>
      <c r="L95" s="108">
        <f t="shared" si="183"/>
        <v>8601537.7351568472</v>
      </c>
      <c r="M95" s="108">
        <f t="shared" si="183"/>
        <v>8535894.668881638</v>
      </c>
      <c r="N95" s="108">
        <f t="shared" si="183"/>
        <v>8611201.3122409713</v>
      </c>
      <c r="O95" s="108">
        <f t="shared" si="183"/>
        <v>8664187.4527112991</v>
      </c>
      <c r="P95" s="108">
        <f t="shared" si="183"/>
        <v>8566840.5770000163</v>
      </c>
      <c r="Q95" s="108">
        <f t="shared" si="183"/>
        <v>7924541.3608260443</v>
      </c>
      <c r="R95" s="108">
        <f t="shared" si="183"/>
        <v>7924541.3591472479</v>
      </c>
      <c r="S95" s="108">
        <f t="shared" si="183"/>
        <v>8085479.517148505</v>
      </c>
      <c r="T95" s="108">
        <f t="shared" si="183"/>
        <v>7742238.8101895973</v>
      </c>
      <c r="U95" s="108">
        <f t="shared" si="183"/>
        <v>8538551.2448151615</v>
      </c>
      <c r="V95" s="108">
        <f t="shared" si="183"/>
        <v>5844361.9055824233</v>
      </c>
      <c r="W95" s="108">
        <f t="shared" ref="W95" si="184">IF(W5=0,0,W5/W27*1000000)</f>
        <v>5690807.4011787875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24044416.101596635</v>
      </c>
      <c r="C96" s="110">
        <f t="shared" si="180"/>
        <v>24086805.350828078</v>
      </c>
      <c r="D96" s="110">
        <f t="shared" si="180"/>
        <v>25297993.049987182</v>
      </c>
      <c r="E96" s="110">
        <f t="shared" si="180"/>
        <v>23537248.343086179</v>
      </c>
      <c r="F96" s="110">
        <f t="shared" si="180"/>
        <v>23002181.401067916</v>
      </c>
      <c r="G96" s="110">
        <f t="shared" si="180"/>
        <v>22591957.045421973</v>
      </c>
      <c r="H96" s="110">
        <f t="shared" si="180"/>
        <v>21034248.740005378</v>
      </c>
      <c r="I96" s="110">
        <f t="shared" si="180"/>
        <v>18822851.999607466</v>
      </c>
      <c r="J96" s="110">
        <f t="shared" si="180"/>
        <v>17781331.642382734</v>
      </c>
      <c r="K96" s="110">
        <f t="shared" ref="K96:V96" si="185">IF(K6=0,0,K6/K28*1000000)</f>
        <v>15599135.608453346</v>
      </c>
      <c r="L96" s="110">
        <f t="shared" si="185"/>
        <v>16050050.883216582</v>
      </c>
      <c r="M96" s="110">
        <f t="shared" si="185"/>
        <v>17208552.715871945</v>
      </c>
      <c r="N96" s="110">
        <f t="shared" si="185"/>
        <v>19001947.465924896</v>
      </c>
      <c r="O96" s="110">
        <f t="shared" si="185"/>
        <v>15441309.555370623</v>
      </c>
      <c r="P96" s="110">
        <f t="shared" si="185"/>
        <v>15464071.046522856</v>
      </c>
      <c r="Q96" s="110">
        <f t="shared" si="185"/>
        <v>16049399.126653668</v>
      </c>
      <c r="R96" s="110">
        <f t="shared" si="185"/>
        <v>16183211.394396771</v>
      </c>
      <c r="S96" s="110">
        <f t="shared" si="185"/>
        <v>16476553.011506293</v>
      </c>
      <c r="T96" s="110">
        <f t="shared" si="185"/>
        <v>15526700.263302064</v>
      </c>
      <c r="U96" s="110">
        <f t="shared" si="185"/>
        <v>16150282.697240043</v>
      </c>
      <c r="V96" s="110">
        <f t="shared" si="185"/>
        <v>11039879.702702181</v>
      </c>
      <c r="W96" s="110">
        <f t="shared" ref="W96" si="186">IF(W6=0,0,W6/W28*1000000)</f>
        <v>11488143.381025445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19848060.171464801</v>
      </c>
      <c r="C97" s="84">
        <f t="shared" si="180"/>
        <v>19851729.17602415</v>
      </c>
      <c r="D97" s="84">
        <f t="shared" si="180"/>
        <v>22022817.469607782</v>
      </c>
      <c r="E97" s="84">
        <f t="shared" si="180"/>
        <v>20132131.787354704</v>
      </c>
      <c r="F97" s="84">
        <f t="shared" si="180"/>
        <v>21142204.350516763</v>
      </c>
      <c r="G97" s="84">
        <f t="shared" si="180"/>
        <v>19899780.154560946</v>
      </c>
      <c r="H97" s="84">
        <f t="shared" si="180"/>
        <v>21601717.979371712</v>
      </c>
      <c r="I97" s="84">
        <f t="shared" si="180"/>
        <v>18547027.231583219</v>
      </c>
      <c r="J97" s="84">
        <f t="shared" si="180"/>
        <v>16895769.822239667</v>
      </c>
      <c r="K97" s="84">
        <f t="shared" ref="K97:V97" si="187">IF(K7=0,0,K7/K29*1000000)</f>
        <v>15339648.421386514</v>
      </c>
      <c r="L97" s="84">
        <f t="shared" si="187"/>
        <v>15141221.187040187</v>
      </c>
      <c r="M97" s="84">
        <f t="shared" si="187"/>
        <v>16319183.013488607</v>
      </c>
      <c r="N97" s="84">
        <f t="shared" si="187"/>
        <v>16393683.318727395</v>
      </c>
      <c r="O97" s="84">
        <f t="shared" si="187"/>
        <v>14966066.819933634</v>
      </c>
      <c r="P97" s="84">
        <f t="shared" si="187"/>
        <v>15716273.947855605</v>
      </c>
      <c r="Q97" s="84">
        <f t="shared" si="187"/>
        <v>13794972.321936958</v>
      </c>
      <c r="R97" s="84">
        <f t="shared" si="187"/>
        <v>14665868.596847888</v>
      </c>
      <c r="S97" s="84">
        <f t="shared" si="187"/>
        <v>14684348.525610544</v>
      </c>
      <c r="T97" s="84">
        <f t="shared" si="187"/>
        <v>15311899.47842731</v>
      </c>
      <c r="U97" s="84">
        <f t="shared" si="187"/>
        <v>15987000.226911044</v>
      </c>
      <c r="V97" s="84">
        <f t="shared" si="187"/>
        <v>10751695.748106414</v>
      </c>
      <c r="W97" s="84">
        <f t="shared" ref="W97" si="188">IF(W7=0,0,W7/W29*1000000)</f>
        <v>12328812.327767581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28166835.397787727</v>
      </c>
      <c r="C98" s="84">
        <f t="shared" si="180"/>
        <v>28006566.310558457</v>
      </c>
      <c r="D98" s="84">
        <f t="shared" si="180"/>
        <v>28458211.218609102</v>
      </c>
      <c r="E98" s="84">
        <f t="shared" si="180"/>
        <v>26560476.608083829</v>
      </c>
      <c r="F98" s="84">
        <f t="shared" si="180"/>
        <v>24448210.218959555</v>
      </c>
      <c r="G98" s="84">
        <f t="shared" si="180"/>
        <v>24477738.84662234</v>
      </c>
      <c r="H98" s="84">
        <f t="shared" si="180"/>
        <v>20703063.876274504</v>
      </c>
      <c r="I98" s="84">
        <f t="shared" si="180"/>
        <v>18980005.367080174</v>
      </c>
      <c r="J98" s="84">
        <f t="shared" si="180"/>
        <v>18310303.488375627</v>
      </c>
      <c r="K98" s="84">
        <f t="shared" ref="K98:V98" si="189">IF(K8=0,0,K8/K30*1000000)</f>
        <v>15753067.025456131</v>
      </c>
      <c r="L98" s="84">
        <f t="shared" si="189"/>
        <v>16569777.843494628</v>
      </c>
      <c r="M98" s="84">
        <f t="shared" si="189"/>
        <v>17706658.97831215</v>
      </c>
      <c r="N98" s="84">
        <f t="shared" si="189"/>
        <v>20379424.873452716</v>
      </c>
      <c r="O98" s="84">
        <f t="shared" si="189"/>
        <v>15663600.169341682</v>
      </c>
      <c r="P98" s="84">
        <f t="shared" si="189"/>
        <v>15328778.605758743</v>
      </c>
      <c r="Q98" s="84">
        <f t="shared" si="189"/>
        <v>17141643.307163928</v>
      </c>
      <c r="R98" s="84">
        <f t="shared" si="189"/>
        <v>16850764.381258346</v>
      </c>
      <c r="S98" s="84">
        <f t="shared" si="189"/>
        <v>17319151.977129556</v>
      </c>
      <c r="T98" s="84">
        <f t="shared" si="189"/>
        <v>15617366.655899473</v>
      </c>
      <c r="U98" s="84">
        <f t="shared" si="189"/>
        <v>16214039.209973976</v>
      </c>
      <c r="V98" s="84">
        <f t="shared" si="189"/>
        <v>11141728.429368984</v>
      </c>
      <c r="W98" s="84">
        <f t="shared" ref="W98" si="190">IF(W8=0,0,W8/W30*1000000)</f>
        <v>11238531.305529563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119185059.15601431</v>
      </c>
      <c r="C100" s="28">
        <f t="shared" si="180"/>
        <v>110661168.86650051</v>
      </c>
      <c r="D100" s="28">
        <f t="shared" si="180"/>
        <v>109638955.12557688</v>
      </c>
      <c r="E100" s="28">
        <f t="shared" si="180"/>
        <v>107648158.48342492</v>
      </c>
      <c r="F100" s="28">
        <f t="shared" si="180"/>
        <v>111204311.68185344</v>
      </c>
      <c r="G100" s="28">
        <f t="shared" si="180"/>
        <v>113574398.3464967</v>
      </c>
      <c r="H100" s="28">
        <f t="shared" si="180"/>
        <v>111352702.04445073</v>
      </c>
      <c r="I100" s="28">
        <f t="shared" si="180"/>
        <v>104284630.78476904</v>
      </c>
      <c r="J100" s="28">
        <f t="shared" si="180"/>
        <v>104392651.18871343</v>
      </c>
      <c r="K100" s="28">
        <f t="shared" ref="K100:V100" si="193">IF(K10=0,0,K10/K32*1000000)</f>
        <v>87991376.592805326</v>
      </c>
      <c r="L100" s="28">
        <f t="shared" si="193"/>
        <v>110018942.64165111</v>
      </c>
      <c r="M100" s="28">
        <f t="shared" si="193"/>
        <v>109295528.34810513</v>
      </c>
      <c r="N100" s="28">
        <f t="shared" si="193"/>
        <v>120595546.53842896</v>
      </c>
      <c r="O100" s="28">
        <f t="shared" si="193"/>
        <v>115259698.88077641</v>
      </c>
      <c r="P100" s="28">
        <f t="shared" si="193"/>
        <v>115317174.56438704</v>
      </c>
      <c r="Q100" s="28">
        <f t="shared" si="193"/>
        <v>120478924.54710665</v>
      </c>
      <c r="R100" s="28">
        <f t="shared" si="193"/>
        <v>125294500.98763439</v>
      </c>
      <c r="S100" s="28">
        <f t="shared" si="193"/>
        <v>126420147.82013699</v>
      </c>
      <c r="T100" s="28">
        <f t="shared" si="193"/>
        <v>104941629.34194133</v>
      </c>
      <c r="U100" s="28">
        <f t="shared" si="193"/>
        <v>112288941.96888456</v>
      </c>
      <c r="V100" s="28">
        <f t="shared" si="193"/>
        <v>94848055.664348379</v>
      </c>
      <c r="W100" s="28">
        <f t="shared" ref="W100" si="194">IF(W10=0,0,W10/W32*1000000)</f>
        <v>98280844.819959402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148046978.74236637</v>
      </c>
      <c r="C101" s="84">
        <f t="shared" si="180"/>
        <v>139351155.20174682</v>
      </c>
      <c r="D101" s="84">
        <f t="shared" si="180"/>
        <v>145383228.01898867</v>
      </c>
      <c r="E101" s="84">
        <f t="shared" si="180"/>
        <v>151630179.20243895</v>
      </c>
      <c r="F101" s="84">
        <f t="shared" si="180"/>
        <v>160960179.32524756</v>
      </c>
      <c r="G101" s="84">
        <f t="shared" si="180"/>
        <v>159561174.69284686</v>
      </c>
      <c r="H101" s="84">
        <f t="shared" si="180"/>
        <v>160398574.97156549</v>
      </c>
      <c r="I101" s="84">
        <f t="shared" si="180"/>
        <v>154340652.51531458</v>
      </c>
      <c r="J101" s="84">
        <f t="shared" si="180"/>
        <v>155594395.98180583</v>
      </c>
      <c r="K101" s="84">
        <f t="shared" ref="K101:V101" si="195">IF(K11=0,0,K11/K33*1000000)</f>
        <v>123376604.77676736</v>
      </c>
      <c r="L101" s="84">
        <f t="shared" si="195"/>
        <v>141010304.79903385</v>
      </c>
      <c r="M101" s="84">
        <f t="shared" si="195"/>
        <v>77869819.261003166</v>
      </c>
      <c r="N101" s="84">
        <f t="shared" si="195"/>
        <v>186690598.15181684</v>
      </c>
      <c r="O101" s="84">
        <f t="shared" si="195"/>
        <v>160377663.58398592</v>
      </c>
      <c r="P101" s="84">
        <f t="shared" si="195"/>
        <v>168248789.44811934</v>
      </c>
      <c r="Q101" s="84">
        <f t="shared" si="195"/>
        <v>166397548.76449597</v>
      </c>
      <c r="R101" s="84">
        <f t="shared" si="195"/>
        <v>190466639.5559051</v>
      </c>
      <c r="S101" s="84">
        <f t="shared" si="195"/>
        <v>201822704.68091002</v>
      </c>
      <c r="T101" s="84">
        <f t="shared" si="195"/>
        <v>144639329.2202923</v>
      </c>
      <c r="U101" s="84">
        <f t="shared" si="195"/>
        <v>147562811.90635338</v>
      </c>
      <c r="V101" s="84">
        <f t="shared" si="195"/>
        <v>113104505.67490879</v>
      </c>
      <c r="W101" s="84">
        <f t="shared" ref="W101" si="196">IF(W11=0,0,W11/W33*1000000)</f>
        <v>118984078.91512647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111572405.74692023</v>
      </c>
      <c r="C102" s="86">
        <f t="shared" si="180"/>
        <v>103519070.58895068</v>
      </c>
      <c r="D102" s="86">
        <f t="shared" si="180"/>
        <v>101207670.31618439</v>
      </c>
      <c r="E102" s="86">
        <f t="shared" si="180"/>
        <v>98543328.117922306</v>
      </c>
      <c r="F102" s="86">
        <f t="shared" si="180"/>
        <v>101872199.13018003</v>
      </c>
      <c r="G102" s="86">
        <f t="shared" si="180"/>
        <v>105134574.34392504</v>
      </c>
      <c r="H102" s="86">
        <f t="shared" si="180"/>
        <v>101891335.24675132</v>
      </c>
      <c r="I102" s="86">
        <f t="shared" si="180"/>
        <v>95328285.491353199</v>
      </c>
      <c r="J102" s="86">
        <f t="shared" si="180"/>
        <v>95907216.533977672</v>
      </c>
      <c r="K102" s="86">
        <f t="shared" ref="K102:V102" si="197">IF(K12=0,0,K12/K34*1000000)</f>
        <v>82396313.879199222</v>
      </c>
      <c r="L102" s="86">
        <f t="shared" si="197"/>
        <v>105410615.54800504</v>
      </c>
      <c r="M102" s="86">
        <f t="shared" si="197"/>
        <v>113012479.88615872</v>
      </c>
      <c r="N102" s="86">
        <f t="shared" si="197"/>
        <v>113119118.53138442</v>
      </c>
      <c r="O102" s="86">
        <f t="shared" si="197"/>
        <v>109675884.15643321</v>
      </c>
      <c r="P102" s="86">
        <f t="shared" si="197"/>
        <v>108533511.84990507</v>
      </c>
      <c r="Q102" s="86">
        <f t="shared" si="197"/>
        <v>115103614.36008434</v>
      </c>
      <c r="R102" s="86">
        <f t="shared" si="197"/>
        <v>118593228.02562821</v>
      </c>
      <c r="S102" s="86">
        <f t="shared" si="197"/>
        <v>118949280.14355397</v>
      </c>
      <c r="T102" s="86">
        <f t="shared" si="197"/>
        <v>100291801.93381706</v>
      </c>
      <c r="U102" s="86">
        <f t="shared" si="197"/>
        <v>108204174.09634173</v>
      </c>
      <c r="V102" s="86">
        <f t="shared" si="197"/>
        <v>92739039.309872419</v>
      </c>
      <c r="W102" s="86">
        <f t="shared" ref="W102" si="198">IF(W12=0,0,W12/W34*1000000)</f>
        <v>95944232.984245941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0.2095735138220664</v>
      </c>
      <c r="C106" s="123">
        <f t="shared" si="199"/>
        <v>0.20443702290076332</v>
      </c>
      <c r="D106" s="123">
        <f t="shared" si="199"/>
        <v>0.19407668171730313</v>
      </c>
      <c r="E106" s="123">
        <f t="shared" si="199"/>
        <v>0.19653179190751446</v>
      </c>
      <c r="F106" s="123">
        <f t="shared" si="199"/>
        <v>0.19229241160111243</v>
      </c>
      <c r="G106" s="123">
        <f t="shared" si="199"/>
        <v>0.19280563749590293</v>
      </c>
      <c r="H106" s="123">
        <f t="shared" si="199"/>
        <v>0.19119001758646678</v>
      </c>
      <c r="I106" s="123">
        <f t="shared" si="199"/>
        <v>0.20667150108774479</v>
      </c>
      <c r="J106" s="123">
        <f t="shared" si="199"/>
        <v>0.21972334619365766</v>
      </c>
      <c r="K106" s="123">
        <f t="shared" ref="K106:V106" si="202">IF(K5=0,0,K5/K$4)</f>
        <v>0.23820309550773877</v>
      </c>
      <c r="L106" s="123">
        <f t="shared" si="202"/>
        <v>0.24473942969518192</v>
      </c>
      <c r="M106" s="123">
        <f t="shared" si="202"/>
        <v>0.24388177829109878</v>
      </c>
      <c r="N106" s="123">
        <f t="shared" si="202"/>
        <v>0.24250942401827558</v>
      </c>
      <c r="O106" s="123">
        <f t="shared" si="202"/>
        <v>0.24250103554802963</v>
      </c>
      <c r="P106" s="123">
        <f t="shared" si="202"/>
        <v>0.26705919255724664</v>
      </c>
      <c r="Q106" s="123">
        <f t="shared" si="202"/>
        <v>0.27915514292253224</v>
      </c>
      <c r="R106" s="123">
        <f t="shared" si="202"/>
        <v>0.28581454577492488</v>
      </c>
      <c r="S106" s="123">
        <f t="shared" si="202"/>
        <v>0.282614503508132</v>
      </c>
      <c r="T106" s="123">
        <f t="shared" si="202"/>
        <v>0.25842503602889944</v>
      </c>
      <c r="U106" s="123">
        <f t="shared" si="202"/>
        <v>0.26586253992014497</v>
      </c>
      <c r="V106" s="123">
        <f t="shared" si="202"/>
        <v>0.27541424093148231</v>
      </c>
      <c r="W106" s="123">
        <f t="shared" ref="W106" si="203">IF(W5=0,0,W5/W$4)</f>
        <v>0.245325953718111</v>
      </c>
      <c r="DA106" s="203"/>
    </row>
    <row r="107" spans="1:105" ht="11.45" customHeight="1" x14ac:dyDescent="0.25">
      <c r="A107" s="109" t="s">
        <v>24</v>
      </c>
      <c r="B107" s="124">
        <f t="shared" si="199"/>
        <v>0.79042648617793365</v>
      </c>
      <c r="C107" s="124">
        <f t="shared" si="199"/>
        <v>0.79556297709923662</v>
      </c>
      <c r="D107" s="124">
        <f t="shared" si="199"/>
        <v>0.80592331828269692</v>
      </c>
      <c r="E107" s="124">
        <f t="shared" si="199"/>
        <v>0.80346820809248554</v>
      </c>
      <c r="F107" s="124">
        <f t="shared" si="199"/>
        <v>0.80770758839888757</v>
      </c>
      <c r="G107" s="124">
        <f t="shared" si="199"/>
        <v>0.80719436250409704</v>
      </c>
      <c r="H107" s="124">
        <f t="shared" si="199"/>
        <v>0.80880998241353319</v>
      </c>
      <c r="I107" s="124">
        <f t="shared" si="199"/>
        <v>0.79332849891225521</v>
      </c>
      <c r="J107" s="124">
        <f t="shared" si="199"/>
        <v>0.78027665380634237</v>
      </c>
      <c r="K107" s="124">
        <f t="shared" ref="K107:V107" si="204">IF(K6=0,0,K6/K$4)</f>
        <v>0.76179690449226112</v>
      </c>
      <c r="L107" s="124">
        <f t="shared" si="204"/>
        <v>0.75526057030481808</v>
      </c>
      <c r="M107" s="124">
        <f t="shared" si="204"/>
        <v>0.75611822170890119</v>
      </c>
      <c r="N107" s="124">
        <f t="shared" si="204"/>
        <v>0.75749057598172442</v>
      </c>
      <c r="O107" s="124">
        <f t="shared" si="204"/>
        <v>0.75749896445197029</v>
      </c>
      <c r="P107" s="124">
        <f t="shared" si="204"/>
        <v>0.73294080744275347</v>
      </c>
      <c r="Q107" s="124">
        <f t="shared" si="204"/>
        <v>0.72084485707746782</v>
      </c>
      <c r="R107" s="124">
        <f t="shared" si="204"/>
        <v>0.71418545422507518</v>
      </c>
      <c r="S107" s="124">
        <f t="shared" si="204"/>
        <v>0.717385496491868</v>
      </c>
      <c r="T107" s="124">
        <f t="shared" si="204"/>
        <v>0.74157496397110045</v>
      </c>
      <c r="U107" s="124">
        <f t="shared" si="204"/>
        <v>0.73413746007985514</v>
      </c>
      <c r="V107" s="124">
        <f t="shared" si="204"/>
        <v>0.72458575906851774</v>
      </c>
      <c r="W107" s="124">
        <f t="shared" ref="W107" si="205">IF(W6=0,0,W6/W$4)</f>
        <v>0.75467404628188894</v>
      </c>
      <c r="DA107" s="176"/>
    </row>
    <row r="108" spans="1:105" ht="11.45" customHeight="1" x14ac:dyDescent="0.25">
      <c r="A108" s="111" t="s">
        <v>92</v>
      </c>
      <c r="B108" s="125">
        <f t="shared" si="199"/>
        <v>0.32333899922701576</v>
      </c>
      <c r="C108" s="125">
        <f t="shared" si="199"/>
        <v>0.31516500898308664</v>
      </c>
      <c r="D108" s="125">
        <f t="shared" si="199"/>
        <v>0.34452637389635721</v>
      </c>
      <c r="E108" s="125">
        <f t="shared" si="199"/>
        <v>0.3232023775422676</v>
      </c>
      <c r="F108" s="125">
        <f t="shared" si="199"/>
        <v>0.32471977183382122</v>
      </c>
      <c r="G108" s="125">
        <f t="shared" si="199"/>
        <v>0.2928816183340941</v>
      </c>
      <c r="H108" s="125">
        <f t="shared" si="199"/>
        <v>0.30611577283151914</v>
      </c>
      <c r="I108" s="125">
        <f t="shared" si="199"/>
        <v>0.2837263450413125</v>
      </c>
      <c r="J108" s="125">
        <f t="shared" si="199"/>
        <v>0.27725640300129822</v>
      </c>
      <c r="K108" s="125">
        <f t="shared" ref="K108:V108" si="206">IF(K7=0,0,K7/K$4)</f>
        <v>0.27892749527368793</v>
      </c>
      <c r="L108" s="125">
        <f t="shared" si="206"/>
        <v>0.25921437327136715</v>
      </c>
      <c r="M108" s="125">
        <f t="shared" si="206"/>
        <v>0.25741882518187131</v>
      </c>
      <c r="N108" s="125">
        <f t="shared" si="206"/>
        <v>0.22585567764360218</v>
      </c>
      <c r="O108" s="125">
        <f t="shared" si="206"/>
        <v>0.23397084472276472</v>
      </c>
      <c r="P108" s="125">
        <f t="shared" si="206"/>
        <v>0.26007685315032175</v>
      </c>
      <c r="Q108" s="125">
        <f t="shared" si="206"/>
        <v>0.20221370254153892</v>
      </c>
      <c r="R108" s="125">
        <f t="shared" si="206"/>
        <v>0.19774663397171377</v>
      </c>
      <c r="S108" s="125">
        <f t="shared" si="206"/>
        <v>0.20446247515327767</v>
      </c>
      <c r="T108" s="125">
        <f t="shared" si="206"/>
        <v>0.21706347126772305</v>
      </c>
      <c r="U108" s="125">
        <f t="shared" si="206"/>
        <v>0.20407432049359359</v>
      </c>
      <c r="V108" s="125">
        <f t="shared" si="206"/>
        <v>0.18427101350441827</v>
      </c>
      <c r="W108" s="125">
        <f t="shared" ref="W108" si="207">IF(W7=0,0,W7/W$4)</f>
        <v>0.18542058533723951</v>
      </c>
      <c r="DA108" s="171"/>
    </row>
    <row r="109" spans="1:105" ht="11.45" customHeight="1" x14ac:dyDescent="0.25">
      <c r="A109" s="111" t="s">
        <v>93</v>
      </c>
      <c r="B109" s="125">
        <f t="shared" si="199"/>
        <v>0.46708748695091784</v>
      </c>
      <c r="C109" s="125">
        <f t="shared" si="199"/>
        <v>0.48039796811614999</v>
      </c>
      <c r="D109" s="125">
        <f t="shared" si="199"/>
        <v>0.46139694438633966</v>
      </c>
      <c r="E109" s="125">
        <f t="shared" si="199"/>
        <v>0.48026583055021799</v>
      </c>
      <c r="F109" s="125">
        <f t="shared" si="199"/>
        <v>0.48298781656506634</v>
      </c>
      <c r="G109" s="125">
        <f t="shared" si="199"/>
        <v>0.51431274417000294</v>
      </c>
      <c r="H109" s="125">
        <f t="shared" si="199"/>
        <v>0.50269420958201405</v>
      </c>
      <c r="I109" s="125">
        <f t="shared" si="199"/>
        <v>0.50960215387094276</v>
      </c>
      <c r="J109" s="125">
        <f t="shared" si="199"/>
        <v>0.50302025080504409</v>
      </c>
      <c r="K109" s="125">
        <f t="shared" ref="K109:V109" si="208">IF(K8=0,0,K8/K$4)</f>
        <v>0.48286940921857324</v>
      </c>
      <c r="L109" s="125">
        <f t="shared" si="208"/>
        <v>0.49604619703345093</v>
      </c>
      <c r="M109" s="125">
        <f t="shared" si="208"/>
        <v>0.49869939652702983</v>
      </c>
      <c r="N109" s="125">
        <f t="shared" si="208"/>
        <v>0.53163489833812227</v>
      </c>
      <c r="O109" s="125">
        <f t="shared" si="208"/>
        <v>0.52352811972920554</v>
      </c>
      <c r="P109" s="125">
        <f t="shared" si="208"/>
        <v>0.47286395429243167</v>
      </c>
      <c r="Q109" s="125">
        <f t="shared" si="208"/>
        <v>0.51863115453592901</v>
      </c>
      <c r="R109" s="125">
        <f t="shared" si="208"/>
        <v>0.51643882025336141</v>
      </c>
      <c r="S109" s="125">
        <f t="shared" si="208"/>
        <v>0.51292302133859036</v>
      </c>
      <c r="T109" s="125">
        <f t="shared" si="208"/>
        <v>0.52451149270337738</v>
      </c>
      <c r="U109" s="125">
        <f t="shared" si="208"/>
        <v>0.5300631395862615</v>
      </c>
      <c r="V109" s="125">
        <f t="shared" si="208"/>
        <v>0.54031474556409942</v>
      </c>
      <c r="W109" s="125">
        <f t="shared" ref="W109" si="209">IF(W8=0,0,W8/W$4)</f>
        <v>0.56925346094464946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0.25925287058918234</v>
      </c>
      <c r="C112" s="125">
        <f t="shared" si="212"/>
        <v>0.25099731001859776</v>
      </c>
      <c r="D112" s="125">
        <f t="shared" si="212"/>
        <v>0.25308193044743066</v>
      </c>
      <c r="E112" s="125">
        <f t="shared" si="212"/>
        <v>0.24158164645620539</v>
      </c>
      <c r="F112" s="125">
        <f t="shared" si="212"/>
        <v>0.22860074647903206</v>
      </c>
      <c r="G112" s="125">
        <f t="shared" si="212"/>
        <v>0.21785571766712403</v>
      </c>
      <c r="H112" s="125">
        <f t="shared" si="212"/>
        <v>0.23293997034676028</v>
      </c>
      <c r="I112" s="125">
        <f t="shared" si="212"/>
        <v>0.22461968707056584</v>
      </c>
      <c r="J112" s="125">
        <f t="shared" si="212"/>
        <v>0.21189321996747865</v>
      </c>
      <c r="K112" s="125">
        <f t="shared" ref="K112:V112" si="215">IF(K11=0,0,K11/K$10)</f>
        <v>0.19143556499986558</v>
      </c>
      <c r="L112" s="125">
        <f t="shared" si="215"/>
        <v>0.16591302236654429</v>
      </c>
      <c r="M112" s="125">
        <f t="shared" si="215"/>
        <v>7.5356207457557875E-2</v>
      </c>
      <c r="N112" s="125">
        <f t="shared" si="215"/>
        <v>0.15731706756091621</v>
      </c>
      <c r="O112" s="125">
        <f t="shared" si="215"/>
        <v>0.15324072558357604</v>
      </c>
      <c r="P112" s="125">
        <f t="shared" si="215"/>
        <v>0.16574359180558956</v>
      </c>
      <c r="Q112" s="125">
        <f t="shared" si="215"/>
        <v>0.14473493177693458</v>
      </c>
      <c r="R112" s="125">
        <f t="shared" si="215"/>
        <v>0.1417346245381996</v>
      </c>
      <c r="S112" s="125">
        <f t="shared" si="215"/>
        <v>0.14391613499795797</v>
      </c>
      <c r="T112" s="125">
        <f t="shared" si="215"/>
        <v>0.14451270147798739</v>
      </c>
      <c r="U112" s="125">
        <f t="shared" si="215"/>
        <v>0.13638520319767394</v>
      </c>
      <c r="V112" s="125">
        <f t="shared" si="215"/>
        <v>0.12349149867898974</v>
      </c>
      <c r="W112" s="125">
        <f t="shared" ref="W112" si="216">IF(W11=0,0,W11/W$10)</f>
        <v>0.12277981469003915</v>
      </c>
      <c r="DA112" s="171"/>
    </row>
    <row r="113" spans="1:105" ht="11.45" customHeight="1" x14ac:dyDescent="0.25">
      <c r="A113" s="85" t="s">
        <v>93</v>
      </c>
      <c r="B113" s="127">
        <f t="shared" si="212"/>
        <v>0.74074712941081766</v>
      </c>
      <c r="C113" s="127">
        <f t="shared" si="212"/>
        <v>0.74900268998140229</v>
      </c>
      <c r="D113" s="127">
        <f t="shared" si="212"/>
        <v>0.74691806955256934</v>
      </c>
      <c r="E113" s="127">
        <f t="shared" si="212"/>
        <v>0.75841835354379461</v>
      </c>
      <c r="F113" s="127">
        <f t="shared" si="212"/>
        <v>0.77139925352096794</v>
      </c>
      <c r="G113" s="127">
        <f t="shared" si="212"/>
        <v>0.78214428233287592</v>
      </c>
      <c r="H113" s="127">
        <f t="shared" si="212"/>
        <v>0.76706002965323972</v>
      </c>
      <c r="I113" s="127">
        <f t="shared" si="212"/>
        <v>0.7753803129294341</v>
      </c>
      <c r="J113" s="127">
        <f t="shared" si="212"/>
        <v>0.78810678003252133</v>
      </c>
      <c r="K113" s="127">
        <f t="shared" ref="K113:V113" si="217">IF(K12=0,0,K12/K$10)</f>
        <v>0.80856443500013453</v>
      </c>
      <c r="L113" s="127">
        <f t="shared" si="217"/>
        <v>0.83408697763345574</v>
      </c>
      <c r="M113" s="127">
        <f t="shared" si="217"/>
        <v>0.92464379254244211</v>
      </c>
      <c r="N113" s="127">
        <f t="shared" si="217"/>
        <v>0.84268293243908376</v>
      </c>
      <c r="O113" s="127">
        <f t="shared" si="217"/>
        <v>0.84675927441642396</v>
      </c>
      <c r="P113" s="127">
        <f t="shared" si="217"/>
        <v>0.83425640819441049</v>
      </c>
      <c r="Q113" s="127">
        <f t="shared" si="217"/>
        <v>0.85526506822306536</v>
      </c>
      <c r="R113" s="127">
        <f t="shared" si="217"/>
        <v>0.85826537546180048</v>
      </c>
      <c r="S113" s="127">
        <f t="shared" si="217"/>
        <v>0.85608386500204203</v>
      </c>
      <c r="T113" s="127">
        <f t="shared" si="217"/>
        <v>0.85548729852201266</v>
      </c>
      <c r="U113" s="127">
        <f t="shared" si="217"/>
        <v>0.863614796802326</v>
      </c>
      <c r="V113" s="127">
        <f t="shared" si="217"/>
        <v>0.87650850132101032</v>
      </c>
      <c r="W113" s="127">
        <f t="shared" ref="W113" si="218">IF(W12=0,0,W12/W$10)</f>
        <v>0.87722018530996093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0.32895793449558908</v>
      </c>
      <c r="C117" s="123">
        <f t="shared" si="219"/>
        <v>0.32360678994052422</v>
      </c>
      <c r="D117" s="123">
        <f t="shared" si="219"/>
        <v>0.3169993182948927</v>
      </c>
      <c r="E117" s="123">
        <f t="shared" si="219"/>
        <v>0.31262864396957396</v>
      </c>
      <c r="F117" s="123">
        <f t="shared" si="219"/>
        <v>0.30338984334306918</v>
      </c>
      <c r="G117" s="123">
        <f t="shared" si="219"/>
        <v>0.29877796764072878</v>
      </c>
      <c r="H117" s="123">
        <f t="shared" si="219"/>
        <v>0.28415167489535148</v>
      </c>
      <c r="I117" s="123">
        <f t="shared" si="219"/>
        <v>0.29170987791624836</v>
      </c>
      <c r="J117" s="123">
        <f t="shared" si="219"/>
        <v>0.29773622520895965</v>
      </c>
      <c r="K117" s="123">
        <f t="shared" ref="K117:V117" si="222">IF(K16=0,0,K16/K$15)</f>
        <v>0.29455297383164286</v>
      </c>
      <c r="L117" s="123">
        <f t="shared" si="222"/>
        <v>0.31611079538161879</v>
      </c>
      <c r="M117" s="123">
        <f t="shared" si="222"/>
        <v>0.32288547289386277</v>
      </c>
      <c r="N117" s="123">
        <f t="shared" si="222"/>
        <v>0.34772809824137041</v>
      </c>
      <c r="O117" s="123">
        <f t="shared" si="222"/>
        <v>0.29497910745550932</v>
      </c>
      <c r="P117" s="123">
        <f t="shared" si="222"/>
        <v>0.333012986600495</v>
      </c>
      <c r="Q117" s="123">
        <f t="shared" si="222"/>
        <v>0.37072393277324595</v>
      </c>
      <c r="R117" s="123">
        <f t="shared" si="222"/>
        <v>0.37473779771112375</v>
      </c>
      <c r="S117" s="123">
        <f t="shared" si="222"/>
        <v>0.370559817103356</v>
      </c>
      <c r="T117" s="123">
        <f t="shared" si="222"/>
        <v>0.31698975032414084</v>
      </c>
      <c r="U117" s="123">
        <f t="shared" si="222"/>
        <v>0.3343611405375071</v>
      </c>
      <c r="V117" s="123">
        <f t="shared" si="222"/>
        <v>0.35912084842566599</v>
      </c>
      <c r="W117" s="123">
        <f t="shared" ref="W117" si="223">IF(W16=0,0,W16/W$15)</f>
        <v>0.32488982978960373</v>
      </c>
      <c r="DA117" s="203"/>
    </row>
    <row r="118" spans="1:105" ht="11.45" customHeight="1" x14ac:dyDescent="0.25">
      <c r="A118" s="109" t="s">
        <v>24</v>
      </c>
      <c r="B118" s="124">
        <f t="shared" si="219"/>
        <v>0.67104206550441092</v>
      </c>
      <c r="C118" s="124">
        <f t="shared" si="219"/>
        <v>0.67639321005947584</v>
      </c>
      <c r="D118" s="124">
        <f t="shared" si="219"/>
        <v>0.68300068170510742</v>
      </c>
      <c r="E118" s="124">
        <f t="shared" si="219"/>
        <v>0.68737135603042598</v>
      </c>
      <c r="F118" s="124">
        <f t="shared" si="219"/>
        <v>0.69661015665693082</v>
      </c>
      <c r="G118" s="124">
        <f t="shared" si="219"/>
        <v>0.70122203235927127</v>
      </c>
      <c r="H118" s="124">
        <f t="shared" si="219"/>
        <v>0.71584832510464858</v>
      </c>
      <c r="I118" s="124">
        <f t="shared" si="219"/>
        <v>0.70829012208375164</v>
      </c>
      <c r="J118" s="124">
        <f t="shared" si="219"/>
        <v>0.7022637747910403</v>
      </c>
      <c r="K118" s="124">
        <f t="shared" ref="K118:V118" si="224">IF(K17=0,0,K17/K$15)</f>
        <v>0.70544702616835719</v>
      </c>
      <c r="L118" s="124">
        <f t="shared" si="224"/>
        <v>0.68388920461838121</v>
      </c>
      <c r="M118" s="124">
        <f t="shared" si="224"/>
        <v>0.67711452710613718</v>
      </c>
      <c r="N118" s="124">
        <f t="shared" si="224"/>
        <v>0.65227190175862959</v>
      </c>
      <c r="O118" s="124">
        <f t="shared" si="224"/>
        <v>0.70502089254449074</v>
      </c>
      <c r="P118" s="124">
        <f t="shared" si="224"/>
        <v>0.66698701339950506</v>
      </c>
      <c r="Q118" s="124">
        <f t="shared" si="224"/>
        <v>0.62927606722675411</v>
      </c>
      <c r="R118" s="124">
        <f t="shared" si="224"/>
        <v>0.6252622022888763</v>
      </c>
      <c r="S118" s="124">
        <f t="shared" si="224"/>
        <v>0.62944018289664394</v>
      </c>
      <c r="T118" s="124">
        <f t="shared" si="224"/>
        <v>0.68301024967585922</v>
      </c>
      <c r="U118" s="124">
        <f t="shared" si="224"/>
        <v>0.6656388594624929</v>
      </c>
      <c r="V118" s="124">
        <f t="shared" si="224"/>
        <v>0.64087915157433406</v>
      </c>
      <c r="W118" s="124">
        <f t="shared" ref="W118" si="225">IF(W17=0,0,W17/W$15)</f>
        <v>0.67511017021039632</v>
      </c>
      <c r="DA118" s="176"/>
    </row>
    <row r="119" spans="1:105" ht="11.45" customHeight="1" x14ac:dyDescent="0.25">
      <c r="A119" s="111" t="s">
        <v>92</v>
      </c>
      <c r="B119" s="125">
        <f t="shared" si="219"/>
        <v>0.33253894788123567</v>
      </c>
      <c r="C119" s="125">
        <f t="shared" si="219"/>
        <v>0.32511988332957964</v>
      </c>
      <c r="D119" s="125">
        <f t="shared" si="219"/>
        <v>0.3354000153501272</v>
      </c>
      <c r="E119" s="125">
        <f t="shared" si="219"/>
        <v>0.32326836387528696</v>
      </c>
      <c r="F119" s="125">
        <f t="shared" si="219"/>
        <v>0.30469345824343957</v>
      </c>
      <c r="G119" s="125">
        <f t="shared" si="219"/>
        <v>0.28885182979582852</v>
      </c>
      <c r="H119" s="125">
        <f t="shared" si="219"/>
        <v>0.26381466334311743</v>
      </c>
      <c r="I119" s="125">
        <f t="shared" si="219"/>
        <v>0.25708036658711864</v>
      </c>
      <c r="J119" s="125">
        <f t="shared" si="219"/>
        <v>0.26261500454878295</v>
      </c>
      <c r="K119" s="125">
        <f t="shared" ref="K119:V119" si="226">IF(K18=0,0,K18/K$15)</f>
        <v>0.26266466769821528</v>
      </c>
      <c r="L119" s="125">
        <f t="shared" si="226"/>
        <v>0.25936312536055306</v>
      </c>
      <c r="M119" s="125">
        <f t="shared" si="226"/>
        <v>0.24308528225925694</v>
      </c>
      <c r="N119" s="125">
        <f t="shared" si="226"/>
        <v>0.22460045405809245</v>
      </c>
      <c r="O119" s="125">
        <f t="shared" si="226"/>
        <v>0.22467675098888226</v>
      </c>
      <c r="P119" s="125">
        <f t="shared" si="226"/>
        <v>0.24105991964129922</v>
      </c>
      <c r="Q119" s="125">
        <f t="shared" si="226"/>
        <v>0.19508203657717429</v>
      </c>
      <c r="R119" s="125">
        <f t="shared" si="226"/>
        <v>0.19103686909487735</v>
      </c>
      <c r="S119" s="125">
        <f t="shared" si="226"/>
        <v>0.20129229993125769</v>
      </c>
      <c r="T119" s="125">
        <f t="shared" si="226"/>
        <v>0.20272579152485354</v>
      </c>
      <c r="U119" s="125">
        <f t="shared" si="226"/>
        <v>0.18692302012534284</v>
      </c>
      <c r="V119" s="125">
        <f t="shared" si="226"/>
        <v>0.1624783096663262</v>
      </c>
      <c r="W119" s="125">
        <f t="shared" ref="W119" si="227">IF(W18=0,0,W18/W$15)</f>
        <v>0.1545616654698479</v>
      </c>
      <c r="DA119" s="171"/>
    </row>
    <row r="120" spans="1:105" ht="11.45" customHeight="1" x14ac:dyDescent="0.25">
      <c r="A120" s="111" t="s">
        <v>93</v>
      </c>
      <c r="B120" s="125">
        <f t="shared" si="219"/>
        <v>0.33850311762317525</v>
      </c>
      <c r="C120" s="125">
        <f t="shared" si="219"/>
        <v>0.35127332672989614</v>
      </c>
      <c r="D120" s="125">
        <f t="shared" si="219"/>
        <v>0.34760066635498016</v>
      </c>
      <c r="E120" s="125">
        <f t="shared" si="219"/>
        <v>0.36410299215513908</v>
      </c>
      <c r="F120" s="125">
        <f t="shared" si="219"/>
        <v>0.3919166984134913</v>
      </c>
      <c r="G120" s="125">
        <f t="shared" si="219"/>
        <v>0.4123702025634427</v>
      </c>
      <c r="H120" s="125">
        <f t="shared" si="219"/>
        <v>0.45203366176153109</v>
      </c>
      <c r="I120" s="125">
        <f t="shared" si="219"/>
        <v>0.45120975549663295</v>
      </c>
      <c r="J120" s="125">
        <f t="shared" si="219"/>
        <v>0.4396487702422574</v>
      </c>
      <c r="K120" s="125">
        <f t="shared" ref="K120:V120" si="228">IF(K19=0,0,K19/K$15)</f>
        <v>0.44278235847014186</v>
      </c>
      <c r="L120" s="125">
        <f t="shared" si="228"/>
        <v>0.4245260792578282</v>
      </c>
      <c r="M120" s="125">
        <f t="shared" si="228"/>
        <v>0.43402924484688032</v>
      </c>
      <c r="N120" s="125">
        <f t="shared" si="228"/>
        <v>0.42767144770053711</v>
      </c>
      <c r="O120" s="125">
        <f t="shared" si="228"/>
        <v>0.48034414155560845</v>
      </c>
      <c r="P120" s="125">
        <f t="shared" si="228"/>
        <v>0.42592709375820575</v>
      </c>
      <c r="Q120" s="125">
        <f t="shared" si="228"/>
        <v>0.43419403064957979</v>
      </c>
      <c r="R120" s="125">
        <f t="shared" si="228"/>
        <v>0.43422533319399886</v>
      </c>
      <c r="S120" s="125">
        <f t="shared" si="228"/>
        <v>0.42814788296538625</v>
      </c>
      <c r="T120" s="125">
        <f t="shared" si="228"/>
        <v>0.48028445815100568</v>
      </c>
      <c r="U120" s="125">
        <f t="shared" si="228"/>
        <v>0.47871583933715006</v>
      </c>
      <c r="V120" s="125">
        <f t="shared" si="228"/>
        <v>0.4784008419080078</v>
      </c>
      <c r="W120" s="125">
        <f t="shared" ref="W120" si="229">IF(W19=0,0,W19/W$15)</f>
        <v>0.52054850474054837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0.20871123828102248</v>
      </c>
      <c r="C123" s="125">
        <f t="shared" si="232"/>
        <v>0.19776334776300519</v>
      </c>
      <c r="D123" s="125">
        <f t="shared" si="232"/>
        <v>0.1908585902420786</v>
      </c>
      <c r="E123" s="125">
        <f t="shared" si="232"/>
        <v>0.17150819520682845</v>
      </c>
      <c r="F123" s="125">
        <f t="shared" si="232"/>
        <v>0.15793587818601507</v>
      </c>
      <c r="G123" s="125">
        <f t="shared" si="232"/>
        <v>0.15506799816792868</v>
      </c>
      <c r="H123" s="125">
        <f t="shared" si="232"/>
        <v>0.1617127498363885</v>
      </c>
      <c r="I123" s="125">
        <f t="shared" si="232"/>
        <v>0.15177064960855036</v>
      </c>
      <c r="J123" s="125">
        <f t="shared" si="232"/>
        <v>0.14216511297167986</v>
      </c>
      <c r="K123" s="125">
        <f t="shared" ref="K123:V123" si="235">IF(K22=0,0,K22/K$21)</f>
        <v>0.13227080270928515</v>
      </c>
      <c r="L123" s="125">
        <f t="shared" si="235"/>
        <v>0.12313721729714289</v>
      </c>
      <c r="M123" s="125">
        <f t="shared" si="235"/>
        <v>5.225960668636797E-2</v>
      </c>
      <c r="N123" s="125">
        <f t="shared" si="235"/>
        <v>0.10998554831672505</v>
      </c>
      <c r="O123" s="125">
        <f t="shared" si="235"/>
        <v>0.11013053913255343</v>
      </c>
      <c r="P123" s="125">
        <f t="shared" si="235"/>
        <v>0.11360011419112109</v>
      </c>
      <c r="Q123" s="125">
        <f t="shared" si="235"/>
        <v>0.10479426073914898</v>
      </c>
      <c r="R123" s="125">
        <f t="shared" si="235"/>
        <v>9.3237157991023001E-2</v>
      </c>
      <c r="S123" s="125">
        <f t="shared" si="235"/>
        <v>9.0147928277090505E-2</v>
      </c>
      <c r="T123" s="125">
        <f t="shared" si="235"/>
        <v>0.10909692627364408</v>
      </c>
      <c r="U123" s="125">
        <f t="shared" si="235"/>
        <v>0.10378325539064309</v>
      </c>
      <c r="V123" s="125">
        <f t="shared" si="235"/>
        <v>0.10355845955913907</v>
      </c>
      <c r="W123" s="125">
        <f t="shared" ref="W123" si="236">IF(W22=0,0,W22/W$21)</f>
        <v>0.12752270217023418</v>
      </c>
      <c r="DA123" s="171"/>
    </row>
    <row r="124" spans="1:105" ht="11.45" customHeight="1" x14ac:dyDescent="0.25">
      <c r="A124" s="85" t="s">
        <v>93</v>
      </c>
      <c r="B124" s="127">
        <f t="shared" si="232"/>
        <v>0.79128876171897755</v>
      </c>
      <c r="C124" s="127">
        <f t="shared" si="232"/>
        <v>0.80223665223699492</v>
      </c>
      <c r="D124" s="127">
        <f t="shared" si="232"/>
        <v>0.80914140975792148</v>
      </c>
      <c r="E124" s="127">
        <f t="shared" si="232"/>
        <v>0.82849180479317153</v>
      </c>
      <c r="F124" s="127">
        <f t="shared" si="232"/>
        <v>0.84206412181398493</v>
      </c>
      <c r="G124" s="127">
        <f t="shared" si="232"/>
        <v>0.84493200183207129</v>
      </c>
      <c r="H124" s="127">
        <f t="shared" si="232"/>
        <v>0.8382872501636115</v>
      </c>
      <c r="I124" s="127">
        <f t="shared" si="232"/>
        <v>0.84822935039144964</v>
      </c>
      <c r="J124" s="127">
        <f t="shared" si="232"/>
        <v>0.85783488702832011</v>
      </c>
      <c r="K124" s="127">
        <f t="shared" ref="K124:V124" si="237">IF(K23=0,0,K23/K$21)</f>
        <v>0.86772919729071485</v>
      </c>
      <c r="L124" s="127">
        <f t="shared" si="237"/>
        <v>0.87686278270285711</v>
      </c>
      <c r="M124" s="127">
        <f t="shared" si="237"/>
        <v>0.94774039331363202</v>
      </c>
      <c r="N124" s="127">
        <f t="shared" si="237"/>
        <v>0.89001445168327487</v>
      </c>
      <c r="O124" s="127">
        <f t="shared" si="237"/>
        <v>0.88986946086744667</v>
      </c>
      <c r="P124" s="127">
        <f t="shared" si="237"/>
        <v>0.88639988580887896</v>
      </c>
      <c r="Q124" s="127">
        <f t="shared" si="237"/>
        <v>0.89520573926085101</v>
      </c>
      <c r="R124" s="127">
        <f t="shared" si="237"/>
        <v>0.90676284200897705</v>
      </c>
      <c r="S124" s="127">
        <f t="shared" si="237"/>
        <v>0.90985207172290949</v>
      </c>
      <c r="T124" s="127">
        <f t="shared" si="237"/>
        <v>0.89090307372635591</v>
      </c>
      <c r="U124" s="127">
        <f t="shared" si="237"/>
        <v>0.89621674460935685</v>
      </c>
      <c r="V124" s="127">
        <f t="shared" si="237"/>
        <v>0.89644154044086088</v>
      </c>
      <c r="W124" s="127">
        <f t="shared" ref="W124" si="238">IF(W23=0,0,W23/W$21)</f>
        <v>0.8724772978297658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173.32123817712812</v>
      </c>
      <c r="C4" s="146">
        <f t="shared" ref="C4:V4" si="0">SUM(C5,C8)</f>
        <v>169.8122098022356</v>
      </c>
      <c r="D4" s="146">
        <f t="shared" si="0"/>
        <v>165.7243336199484</v>
      </c>
      <c r="E4" s="146">
        <f t="shared" si="0"/>
        <v>165.18314703353397</v>
      </c>
      <c r="F4" s="146">
        <f t="shared" si="0"/>
        <v>165.20206362854685</v>
      </c>
      <c r="G4" s="146">
        <f t="shared" si="0"/>
        <v>158.73155631986242</v>
      </c>
      <c r="H4" s="146">
        <f t="shared" si="0"/>
        <v>165.74471195184861</v>
      </c>
      <c r="I4" s="146">
        <f t="shared" si="0"/>
        <v>165.26225279449699</v>
      </c>
      <c r="J4" s="146">
        <f t="shared" si="0"/>
        <v>162.85468615649177</v>
      </c>
      <c r="K4" s="146">
        <f t="shared" si="0"/>
        <v>165.46285468615645</v>
      </c>
      <c r="L4" s="146">
        <f t="shared" si="0"/>
        <v>150.27231298366294</v>
      </c>
      <c r="M4" s="146">
        <f t="shared" si="0"/>
        <v>142.18976784178847</v>
      </c>
      <c r="N4" s="146">
        <f t="shared" si="0"/>
        <v>125.65202063628546</v>
      </c>
      <c r="O4" s="146">
        <f t="shared" si="0"/>
        <v>151.07480653482369</v>
      </c>
      <c r="P4" s="146">
        <f t="shared" si="0"/>
        <v>148.23731728288908</v>
      </c>
      <c r="Q4" s="146">
        <f t="shared" si="0"/>
        <v>140.06878761822873</v>
      </c>
      <c r="R4" s="146">
        <f t="shared" si="0"/>
        <v>139.18030954428201</v>
      </c>
      <c r="S4" s="146">
        <f t="shared" si="0"/>
        <v>143.89509888220121</v>
      </c>
      <c r="T4" s="146">
        <f t="shared" si="0"/>
        <v>143.29320722269992</v>
      </c>
      <c r="U4" s="146">
        <f t="shared" si="0"/>
        <v>137.4748925193465</v>
      </c>
      <c r="V4" s="146">
        <f t="shared" si="0"/>
        <v>132.00773860705073</v>
      </c>
      <c r="W4" s="146">
        <f t="shared" ref="W4" si="1">SUM(W5,W8)</f>
        <v>132.78159931212383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86.0469475494411</v>
      </c>
      <c r="C5" s="101">
        <f t="shared" ref="C5:V5" si="2">SUM(C6:C7)</f>
        <v>81.162166809974195</v>
      </c>
      <c r="D5" s="101">
        <f t="shared" si="2"/>
        <v>78.450042992261388</v>
      </c>
      <c r="E5" s="101">
        <f t="shared" si="2"/>
        <v>75.329320722269998</v>
      </c>
      <c r="F5" s="101">
        <f t="shared" si="2"/>
        <v>71.220980223559749</v>
      </c>
      <c r="G5" s="101">
        <f t="shared" si="2"/>
        <v>64.492519346517625</v>
      </c>
      <c r="H5" s="101">
        <f t="shared" si="2"/>
        <v>62.649269131556323</v>
      </c>
      <c r="I5" s="101">
        <f t="shared" si="2"/>
        <v>60.189165950128967</v>
      </c>
      <c r="J5" s="101">
        <f t="shared" si="2"/>
        <v>60.189165950128967</v>
      </c>
      <c r="K5" s="101">
        <f t="shared" si="2"/>
        <v>62.195442820292342</v>
      </c>
      <c r="L5" s="101">
        <f t="shared" si="2"/>
        <v>55.173430782459157</v>
      </c>
      <c r="M5" s="101">
        <f t="shared" si="2"/>
        <v>46.145055889939812</v>
      </c>
      <c r="N5" s="101">
        <f t="shared" si="2"/>
        <v>41.129234737747197</v>
      </c>
      <c r="O5" s="101">
        <f t="shared" si="2"/>
        <v>48.15133276010318</v>
      </c>
      <c r="P5" s="101">
        <f t="shared" si="2"/>
        <v>51.160791057609629</v>
      </c>
      <c r="Q5" s="101">
        <f t="shared" si="2"/>
        <v>42.132416165090277</v>
      </c>
      <c r="R5" s="101">
        <f t="shared" si="2"/>
        <v>40.985984522785891</v>
      </c>
      <c r="S5" s="101">
        <f t="shared" si="2"/>
        <v>43.035253654342213</v>
      </c>
      <c r="T5" s="101">
        <f t="shared" si="2"/>
        <v>43.035253654342213</v>
      </c>
      <c r="U5" s="101">
        <f t="shared" si="2"/>
        <v>38.936629406706793</v>
      </c>
      <c r="V5" s="101">
        <f t="shared" si="2"/>
        <v>33.813413585554599</v>
      </c>
      <c r="W5" s="101">
        <f t="shared" ref="W5" si="3">SUM(W6:W7)</f>
        <v>33.813413585554599</v>
      </c>
      <c r="DA5" s="175"/>
    </row>
    <row r="6" spans="1:105" ht="11.45" customHeight="1" x14ac:dyDescent="0.25">
      <c r="A6" s="164" t="s">
        <v>182</v>
      </c>
      <c r="B6" s="165">
        <v>86.0469475494411</v>
      </c>
      <c r="C6" s="165">
        <v>81.162166809974195</v>
      </c>
      <c r="D6" s="165">
        <v>78.450042992261388</v>
      </c>
      <c r="E6" s="165">
        <v>75.329320722269998</v>
      </c>
      <c r="F6" s="165">
        <v>71.220980223559749</v>
      </c>
      <c r="G6" s="165">
        <v>64.492519346517625</v>
      </c>
      <c r="H6" s="165">
        <v>62.649269131556323</v>
      </c>
      <c r="I6" s="165">
        <v>60.189165950128967</v>
      </c>
      <c r="J6" s="165">
        <v>60.189165950128967</v>
      </c>
      <c r="K6" s="165">
        <v>62.195442820292342</v>
      </c>
      <c r="L6" s="165">
        <v>55.173430782459157</v>
      </c>
      <c r="M6" s="165">
        <v>46.145055889939812</v>
      </c>
      <c r="N6" s="165">
        <v>41.129234737747197</v>
      </c>
      <c r="O6" s="165">
        <v>48.15133276010318</v>
      </c>
      <c r="P6" s="165">
        <v>51.160791057609629</v>
      </c>
      <c r="Q6" s="165">
        <v>42.132416165090277</v>
      </c>
      <c r="R6" s="165">
        <v>40.985984522785891</v>
      </c>
      <c r="S6" s="165">
        <v>43.035253654342213</v>
      </c>
      <c r="T6" s="165">
        <v>43.035253654342213</v>
      </c>
      <c r="U6" s="165">
        <v>38.936629406706793</v>
      </c>
      <c r="V6" s="165">
        <v>33.813413585554599</v>
      </c>
      <c r="W6" s="165">
        <v>33.813413585554599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87.274290627687009</v>
      </c>
      <c r="C8" s="88">
        <v>88.65004299226139</v>
      </c>
      <c r="D8" s="88">
        <v>87.274290627687009</v>
      </c>
      <c r="E8" s="88">
        <v>89.853826311263973</v>
      </c>
      <c r="F8" s="88">
        <v>93.981083404987089</v>
      </c>
      <c r="G8" s="88">
        <v>94.239036973344795</v>
      </c>
      <c r="H8" s="88">
        <v>103.09544282029231</v>
      </c>
      <c r="I8" s="88">
        <v>105.07308684436801</v>
      </c>
      <c r="J8" s="88">
        <v>102.6655202063628</v>
      </c>
      <c r="K8" s="88">
        <v>103.2674118658641</v>
      </c>
      <c r="L8" s="88">
        <v>95.098882201203779</v>
      </c>
      <c r="M8" s="88">
        <v>96.044711951848655</v>
      </c>
      <c r="N8" s="88">
        <v>84.52278589853826</v>
      </c>
      <c r="O8" s="88">
        <v>102.92347377472051</v>
      </c>
      <c r="P8" s="88">
        <v>97.076526225279437</v>
      </c>
      <c r="Q8" s="88">
        <v>97.936371453138435</v>
      </c>
      <c r="R8" s="88">
        <v>98.194325021496127</v>
      </c>
      <c r="S8" s="88">
        <v>100.859845227859</v>
      </c>
      <c r="T8" s="88">
        <v>100.25795356835771</v>
      </c>
      <c r="U8" s="88">
        <v>98.538263112639711</v>
      </c>
      <c r="V8" s="88">
        <v>98.194325021496127</v>
      </c>
      <c r="W8" s="88">
        <v>98.968185726569217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173.32123817712812</v>
      </c>
      <c r="C10" s="62">
        <f t="shared" ref="C10:V10" si="5">SUM(C11,C17)</f>
        <v>169.8122098022356</v>
      </c>
      <c r="D10" s="62">
        <f t="shared" si="5"/>
        <v>165.7243336199484</v>
      </c>
      <c r="E10" s="62">
        <f t="shared" si="5"/>
        <v>165.18314703353397</v>
      </c>
      <c r="F10" s="62">
        <f t="shared" si="5"/>
        <v>165.20206362854682</v>
      </c>
      <c r="G10" s="62">
        <f t="shared" si="5"/>
        <v>158.73155631986242</v>
      </c>
      <c r="H10" s="62">
        <f t="shared" si="5"/>
        <v>165.74471195184861</v>
      </c>
      <c r="I10" s="62">
        <f t="shared" si="5"/>
        <v>165.26225279449696</v>
      </c>
      <c r="J10" s="62">
        <f t="shared" si="5"/>
        <v>162.85468615649174</v>
      </c>
      <c r="K10" s="62">
        <f t="shared" si="5"/>
        <v>165.46285468615645</v>
      </c>
      <c r="L10" s="62">
        <f t="shared" si="5"/>
        <v>150.27231298366294</v>
      </c>
      <c r="M10" s="62">
        <f t="shared" si="5"/>
        <v>142.18976784178847</v>
      </c>
      <c r="N10" s="62">
        <f t="shared" si="5"/>
        <v>125.65202063628546</v>
      </c>
      <c r="O10" s="62">
        <f t="shared" si="5"/>
        <v>151.07480653482367</v>
      </c>
      <c r="P10" s="62">
        <f t="shared" si="5"/>
        <v>148.23731728288908</v>
      </c>
      <c r="Q10" s="62">
        <f t="shared" si="5"/>
        <v>140.0687876182287</v>
      </c>
      <c r="R10" s="62">
        <f t="shared" si="5"/>
        <v>139.18030954428201</v>
      </c>
      <c r="S10" s="62">
        <f t="shared" si="5"/>
        <v>143.89509888220121</v>
      </c>
      <c r="T10" s="62">
        <f t="shared" si="5"/>
        <v>143.29320722269992</v>
      </c>
      <c r="U10" s="62">
        <f t="shared" si="5"/>
        <v>137.47489251934653</v>
      </c>
      <c r="V10" s="62">
        <f t="shared" si="5"/>
        <v>132.00773860705073</v>
      </c>
      <c r="W10" s="62">
        <f t="shared" ref="W10" si="6">SUM(W11,W17)</f>
        <v>132.78159931212383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135.2610149985945</v>
      </c>
      <c r="C11" s="29">
        <f t="shared" ref="C11:V11" si="8">SUM(C12,C13,C16)</f>
        <v>135.06895167188347</v>
      </c>
      <c r="D11" s="29">
        <f t="shared" si="8"/>
        <v>130.8633748352951</v>
      </c>
      <c r="E11" s="29">
        <f t="shared" si="8"/>
        <v>132.05494239660806</v>
      </c>
      <c r="F11" s="29">
        <f t="shared" si="8"/>
        <v>129.58368328724964</v>
      </c>
      <c r="G11" s="29">
        <f t="shared" si="8"/>
        <v>123.34902351063032</v>
      </c>
      <c r="H11" s="29">
        <f t="shared" si="8"/>
        <v>126.07626657991055</v>
      </c>
      <c r="I11" s="29">
        <f t="shared" si="8"/>
        <v>124.85329408609557</v>
      </c>
      <c r="J11" s="29">
        <f t="shared" si="8"/>
        <v>124.25730656222895</v>
      </c>
      <c r="K11" s="29">
        <f t="shared" si="8"/>
        <v>136.23258654936734</v>
      </c>
      <c r="L11" s="29">
        <f t="shared" si="8"/>
        <v>119.42891904960136</v>
      </c>
      <c r="M11" s="29">
        <f t="shared" si="8"/>
        <v>114.57621301427415</v>
      </c>
      <c r="N11" s="29">
        <f t="shared" si="8"/>
        <v>99.507696632459528</v>
      </c>
      <c r="O11" s="29">
        <f t="shared" si="8"/>
        <v>120.35784309149625</v>
      </c>
      <c r="P11" s="29">
        <f t="shared" si="8"/>
        <v>116.54768876583496</v>
      </c>
      <c r="Q11" s="29">
        <f t="shared" si="8"/>
        <v>110.9974945056056</v>
      </c>
      <c r="R11" s="29">
        <f t="shared" si="8"/>
        <v>110.71038034851989</v>
      </c>
      <c r="S11" s="29">
        <f t="shared" si="8"/>
        <v>108.70522461649641</v>
      </c>
      <c r="T11" s="29">
        <f t="shared" si="8"/>
        <v>110.48507080426009</v>
      </c>
      <c r="U11" s="29">
        <f t="shared" si="8"/>
        <v>105.90111147227491</v>
      </c>
      <c r="V11" s="29">
        <f t="shared" si="8"/>
        <v>91.444561379120543</v>
      </c>
      <c r="W11" s="29">
        <f t="shared" ref="W11" si="9">SUM(W12,W13,W16)</f>
        <v>101.43391637381283</v>
      </c>
      <c r="DA11" s="173" t="s">
        <v>394</v>
      </c>
    </row>
    <row r="12" spans="1:105" ht="11.45" customHeight="1" x14ac:dyDescent="0.25">
      <c r="A12" s="107" t="s">
        <v>23</v>
      </c>
      <c r="B12" s="115">
        <v>14.070378891446671</v>
      </c>
      <c r="C12" s="115">
        <v>14.02152958333307</v>
      </c>
      <c r="D12" s="115">
        <v>13.322674033084578</v>
      </c>
      <c r="E12" s="115">
        <v>13.546095335273041</v>
      </c>
      <c r="F12" s="115">
        <v>13.002890903682754</v>
      </c>
      <c r="G12" s="115">
        <v>12.446375659661355</v>
      </c>
      <c r="H12" s="115">
        <v>12.093735038587241</v>
      </c>
      <c r="I12" s="115">
        <v>12.587566590118209</v>
      </c>
      <c r="J12" s="115">
        <v>12.887612999539291</v>
      </c>
      <c r="K12" s="115">
        <v>13.977429690279092</v>
      </c>
      <c r="L12" s="115">
        <v>13.585002560928077</v>
      </c>
      <c r="M12" s="115">
        <v>13.714357272266286</v>
      </c>
      <c r="N12" s="115">
        <v>13.447665884615954</v>
      </c>
      <c r="O12" s="115">
        <v>13.207936180772981</v>
      </c>
      <c r="P12" s="115">
        <v>14.925855623042981</v>
      </c>
      <c r="Q12" s="115">
        <v>16.793287950007194</v>
      </c>
      <c r="R12" s="115">
        <v>17.225981422963322</v>
      </c>
      <c r="S12" s="115">
        <v>16.623818017577651</v>
      </c>
      <c r="T12" s="115">
        <v>13.87384766123205</v>
      </c>
      <c r="U12" s="115">
        <v>14.322948889502111</v>
      </c>
      <c r="V12" s="115">
        <v>13.695277074333461</v>
      </c>
      <c r="W12" s="115">
        <v>13.426494388102382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121.19063610714782</v>
      </c>
      <c r="C13" s="116">
        <f t="shared" ref="C13:V13" si="11">SUM(C14:C15)</f>
        <v>121.04742208855041</v>
      </c>
      <c r="D13" s="116">
        <f t="shared" si="11"/>
        <v>117.54070080221052</v>
      </c>
      <c r="E13" s="116">
        <f t="shared" si="11"/>
        <v>118.50884706133502</v>
      </c>
      <c r="F13" s="116">
        <f t="shared" si="11"/>
        <v>116.58079238356689</v>
      </c>
      <c r="G13" s="116">
        <f t="shared" si="11"/>
        <v>110.90264785096896</v>
      </c>
      <c r="H13" s="116">
        <f t="shared" si="11"/>
        <v>113.98253154132331</v>
      </c>
      <c r="I13" s="116">
        <f t="shared" si="11"/>
        <v>112.26572749597736</v>
      </c>
      <c r="J13" s="116">
        <f t="shared" si="11"/>
        <v>111.36969356268966</v>
      </c>
      <c r="K13" s="116">
        <f t="shared" si="11"/>
        <v>122.25515685908825</v>
      </c>
      <c r="L13" s="116">
        <f t="shared" si="11"/>
        <v>105.84391648867329</v>
      </c>
      <c r="M13" s="116">
        <f t="shared" si="11"/>
        <v>100.86185574200786</v>
      </c>
      <c r="N13" s="116">
        <f t="shared" si="11"/>
        <v>86.06003074784357</v>
      </c>
      <c r="O13" s="116">
        <f t="shared" si="11"/>
        <v>107.14990691072327</v>
      </c>
      <c r="P13" s="116">
        <f t="shared" si="11"/>
        <v>101.62183314279198</v>
      </c>
      <c r="Q13" s="116">
        <f t="shared" si="11"/>
        <v>94.204206555598404</v>
      </c>
      <c r="R13" s="116">
        <f t="shared" si="11"/>
        <v>93.484398925556576</v>
      </c>
      <c r="S13" s="116">
        <f t="shared" si="11"/>
        <v>92.081406598918761</v>
      </c>
      <c r="T13" s="116">
        <f t="shared" si="11"/>
        <v>96.611223143028042</v>
      </c>
      <c r="U13" s="116">
        <f t="shared" si="11"/>
        <v>91.578162582772791</v>
      </c>
      <c r="V13" s="116">
        <f t="shared" si="11"/>
        <v>77.749284304787082</v>
      </c>
      <c r="W13" s="116">
        <f t="shared" ref="W13" si="12">SUM(W14:W15)</f>
        <v>88.007421985710451</v>
      </c>
      <c r="DA13" s="176" t="s">
        <v>396</v>
      </c>
    </row>
    <row r="14" spans="1:105" ht="11.45" customHeight="1" x14ac:dyDescent="0.25">
      <c r="A14" s="111" t="s">
        <v>95</v>
      </c>
      <c r="B14" s="87">
        <v>72.171753671942568</v>
      </c>
      <c r="C14" s="87">
        <v>69.348476138231021</v>
      </c>
      <c r="D14" s="87">
        <v>67.117245851438412</v>
      </c>
      <c r="E14" s="87">
        <v>65.322553196822355</v>
      </c>
      <c r="F14" s="87">
        <v>61.024866943783117</v>
      </c>
      <c r="G14" s="87">
        <v>54.430027602744616</v>
      </c>
      <c r="H14" s="87">
        <v>50.781216293174396</v>
      </c>
      <c r="I14" s="87">
        <v>48.509561506554462</v>
      </c>
      <c r="J14" s="87">
        <v>49.557201875329007</v>
      </c>
      <c r="K14" s="87">
        <v>54.545419787874522</v>
      </c>
      <c r="L14" s="87">
        <v>47.543071085350583</v>
      </c>
      <c r="M14" s="87">
        <v>42.973526820958568</v>
      </c>
      <c r="N14" s="87">
        <v>35.170515517393504</v>
      </c>
      <c r="O14" s="87">
        <v>41.077957095582597</v>
      </c>
      <c r="P14" s="87">
        <v>43.598611130435934</v>
      </c>
      <c r="Q14" s="87">
        <v>35.58259291146944</v>
      </c>
      <c r="R14" s="87">
        <v>35.124416355533505</v>
      </c>
      <c r="S14" s="87">
        <v>35.938525329653103</v>
      </c>
      <c r="T14" s="87">
        <v>35.179546383651385</v>
      </c>
      <c r="U14" s="87">
        <v>31.658157131471143</v>
      </c>
      <c r="V14" s="87">
        <v>24.446365168252491</v>
      </c>
      <c r="W14" s="87">
        <v>25.161056938395554</v>
      </c>
      <c r="DA14" s="171" t="s">
        <v>1106</v>
      </c>
    </row>
    <row r="15" spans="1:105" ht="11.45" customHeight="1" x14ac:dyDescent="0.25">
      <c r="A15" s="111" t="s">
        <v>93</v>
      </c>
      <c r="B15" s="87">
        <v>49.018882435205256</v>
      </c>
      <c r="C15" s="87">
        <v>51.698945950319377</v>
      </c>
      <c r="D15" s="87">
        <v>50.423454950772118</v>
      </c>
      <c r="E15" s="87">
        <v>53.186293864512663</v>
      </c>
      <c r="F15" s="87">
        <v>55.555925439783771</v>
      </c>
      <c r="G15" s="87">
        <v>56.472620248224345</v>
      </c>
      <c r="H15" s="87">
        <v>63.201315248148923</v>
      </c>
      <c r="I15" s="87">
        <v>63.756165989422904</v>
      </c>
      <c r="J15" s="87">
        <v>61.812491687360662</v>
      </c>
      <c r="K15" s="87">
        <v>67.709737071213723</v>
      </c>
      <c r="L15" s="87">
        <v>58.300845403322704</v>
      </c>
      <c r="M15" s="87">
        <v>57.888328921049286</v>
      </c>
      <c r="N15" s="87">
        <v>50.889515230450066</v>
      </c>
      <c r="O15" s="87">
        <v>66.071949815140684</v>
      </c>
      <c r="P15" s="87">
        <v>58.023222012356044</v>
      </c>
      <c r="Q15" s="87">
        <v>58.621613644128971</v>
      </c>
      <c r="R15" s="87">
        <v>58.359982570023071</v>
      </c>
      <c r="S15" s="87">
        <v>56.142881269265651</v>
      </c>
      <c r="T15" s="87">
        <v>61.431676759376657</v>
      </c>
      <c r="U15" s="87">
        <v>59.920005451301641</v>
      </c>
      <c r="V15" s="87">
        <v>53.302919136534591</v>
      </c>
      <c r="W15" s="87">
        <v>62.846365047314897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38.060223178533604</v>
      </c>
      <c r="C17" s="29">
        <f t="shared" si="13"/>
        <v>34.743258130352125</v>
      </c>
      <c r="D17" s="29">
        <f t="shared" si="13"/>
        <v>34.860958784653292</v>
      </c>
      <c r="E17" s="29">
        <f t="shared" si="13"/>
        <v>33.128204636925915</v>
      </c>
      <c r="F17" s="29">
        <f t="shared" si="13"/>
        <v>35.618380341297183</v>
      </c>
      <c r="G17" s="29">
        <f t="shared" si="13"/>
        <v>35.382532809232096</v>
      </c>
      <c r="H17" s="29">
        <f t="shared" si="13"/>
        <v>39.668445371938077</v>
      </c>
      <c r="I17" s="29">
        <f t="shared" si="13"/>
        <v>40.408958708401379</v>
      </c>
      <c r="J17" s="29">
        <f t="shared" si="13"/>
        <v>38.597379594262797</v>
      </c>
      <c r="K17" s="29">
        <f t="shared" si="13"/>
        <v>29.230268136789118</v>
      </c>
      <c r="L17" s="29">
        <f t="shared" si="13"/>
        <v>30.843393934061574</v>
      </c>
      <c r="M17" s="29">
        <f t="shared" si="13"/>
        <v>27.613554827514328</v>
      </c>
      <c r="N17" s="29">
        <f t="shared" si="13"/>
        <v>26.144324003825933</v>
      </c>
      <c r="O17" s="29">
        <f t="shared" si="13"/>
        <v>30.716963443327408</v>
      </c>
      <c r="P17" s="29">
        <f t="shared" si="13"/>
        <v>31.689628517054114</v>
      </c>
      <c r="Q17" s="29">
        <f t="shared" si="13"/>
        <v>29.071293112623103</v>
      </c>
      <c r="R17" s="29">
        <f t="shared" si="13"/>
        <v>28.46992919576212</v>
      </c>
      <c r="S17" s="29">
        <f t="shared" si="13"/>
        <v>35.189874265704809</v>
      </c>
      <c r="T17" s="29">
        <f t="shared" si="13"/>
        <v>32.80813641843983</v>
      </c>
      <c r="U17" s="29">
        <f t="shared" si="13"/>
        <v>31.573781047071613</v>
      </c>
      <c r="V17" s="29">
        <f t="shared" si="13"/>
        <v>40.563177227930183</v>
      </c>
      <c r="W17" s="29">
        <f t="shared" si="13"/>
        <v>31.347682938310985</v>
      </c>
      <c r="DA17" s="173" t="s">
        <v>401</v>
      </c>
    </row>
    <row r="18" spans="1:105" ht="11.45" customHeight="1" x14ac:dyDescent="0.25">
      <c r="A18" s="83" t="s">
        <v>95</v>
      </c>
      <c r="B18" s="87">
        <v>13.875193877498527</v>
      </c>
      <c r="C18" s="87">
        <v>11.813690671743176</v>
      </c>
      <c r="D18" s="87">
        <v>11.332797140822972</v>
      </c>
      <c r="E18" s="87">
        <v>10.006767525447646</v>
      </c>
      <c r="F18" s="87">
        <v>10.196113279776631</v>
      </c>
      <c r="G18" s="87">
        <v>10.062491743773007</v>
      </c>
      <c r="H18" s="87">
        <v>11.868052838381924</v>
      </c>
      <c r="I18" s="87">
        <v>11.679604443574503</v>
      </c>
      <c r="J18" s="87">
        <v>10.631964074799956</v>
      </c>
      <c r="K18" s="87">
        <v>7.6500230324178231</v>
      </c>
      <c r="L18" s="87">
        <v>7.630359697108573</v>
      </c>
      <c r="M18" s="87">
        <v>3.1715290689812456</v>
      </c>
      <c r="N18" s="87">
        <v>5.9587192203536921</v>
      </c>
      <c r="O18" s="87">
        <v>7.0733756645205803</v>
      </c>
      <c r="P18" s="87">
        <v>7.5621799271736982</v>
      </c>
      <c r="Q18" s="87">
        <v>6.5498232536208336</v>
      </c>
      <c r="R18" s="87">
        <v>5.8615681672523863</v>
      </c>
      <c r="S18" s="87">
        <v>7.0967283246891073</v>
      </c>
      <c r="T18" s="87">
        <v>7.8557072706908277</v>
      </c>
      <c r="U18" s="87">
        <v>7.2784722752356519</v>
      </c>
      <c r="V18" s="87">
        <v>9.367048417302108</v>
      </c>
      <c r="W18" s="87">
        <v>8.6523566471590492</v>
      </c>
      <c r="DA18" s="171" t="s">
        <v>1108</v>
      </c>
    </row>
    <row r="19" spans="1:105" ht="11.45" customHeight="1" x14ac:dyDescent="0.25">
      <c r="A19" s="85" t="s">
        <v>93</v>
      </c>
      <c r="B19" s="88">
        <v>24.18502930103508</v>
      </c>
      <c r="C19" s="88">
        <v>22.92956745860895</v>
      </c>
      <c r="D19" s="88">
        <v>23.52816164383032</v>
      </c>
      <c r="E19" s="88">
        <v>23.121437111478265</v>
      </c>
      <c r="F19" s="88">
        <v>25.422267061520554</v>
      </c>
      <c r="G19" s="88">
        <v>25.320041065459087</v>
      </c>
      <c r="H19" s="88">
        <v>27.800392533556153</v>
      </c>
      <c r="I19" s="88">
        <v>28.729354264826878</v>
      </c>
      <c r="J19" s="88">
        <v>27.965415519462841</v>
      </c>
      <c r="K19" s="88">
        <v>21.580245104371294</v>
      </c>
      <c r="L19" s="88">
        <v>23.213034236953</v>
      </c>
      <c r="M19" s="88">
        <v>24.442025758533081</v>
      </c>
      <c r="N19" s="88">
        <v>20.18560478347224</v>
      </c>
      <c r="O19" s="88">
        <v>23.643587778806829</v>
      </c>
      <c r="P19" s="88">
        <v>24.127448589880416</v>
      </c>
      <c r="Q19" s="88">
        <v>22.52146985900227</v>
      </c>
      <c r="R19" s="88">
        <v>22.608361028509734</v>
      </c>
      <c r="S19" s="88">
        <v>28.093145941015699</v>
      </c>
      <c r="T19" s="88">
        <v>24.952429147749001</v>
      </c>
      <c r="U19" s="88">
        <v>24.295308771835959</v>
      </c>
      <c r="V19" s="88">
        <v>31.196128810628075</v>
      </c>
      <c r="W19" s="88">
        <v>22.695326291151936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165.25742746264146</v>
      </c>
      <c r="C23" s="62">
        <f>IF(C10=0,0,C10/TrRail_act!C14*100)</f>
        <v>160.19380121410157</v>
      </c>
      <c r="D23" s="62">
        <f>IF(D10=0,0,D10/TrRail_act!D14*100)</f>
        <v>156.85995851961596</v>
      </c>
      <c r="E23" s="62">
        <f>IF(E10=0,0,E10/TrRail_act!E14*100)</f>
        <v>150.83642194903112</v>
      </c>
      <c r="F23" s="62">
        <f>IF(F10=0,0,F10/TrRail_act!F14*100)</f>
        <v>148.97590857013148</v>
      </c>
      <c r="G23" s="62">
        <f>IF(G10=0,0,G10/TrRail_act!G14*100)</f>
        <v>145.25020851379702</v>
      </c>
      <c r="H23" s="62">
        <f>IF(H10=0,0,H10/TrRail_act!H14*100)</f>
        <v>144.78914662380626</v>
      </c>
      <c r="I23" s="62">
        <f>IF(I10=0,0,I10/TrRail_act!I14*100)</f>
        <v>140.36216305207225</v>
      </c>
      <c r="J23" s="62">
        <f>IF(J10=0,0,J10/TrRail_act!J14*100)</f>
        <v>137.40326540432301</v>
      </c>
      <c r="K23" s="62">
        <f>IF(K10=0,0,K10/TrRail_act!K14*100)</f>
        <v>132.6144766104448</v>
      </c>
      <c r="L23" s="62">
        <f>IF(L10=0,0,L10/TrRail_act!L14*100)</f>
        <v>128.88731355805371</v>
      </c>
      <c r="M23" s="62">
        <f>IF(M10=0,0,M10/TrRail_act!M14*100)</f>
        <v>122.91935717903087</v>
      </c>
      <c r="N23" s="62">
        <f>IF(N10=0,0,N10/TrRail_act!N14*100)</f>
        <v>118.59688270399845</v>
      </c>
      <c r="O23" s="62">
        <f>IF(O10=0,0,O10/TrRail_act!O14*100)</f>
        <v>120.93577041033237</v>
      </c>
      <c r="P23" s="62">
        <f>IF(P10=0,0,P10/TrRail_act!P14*100)</f>
        <v>117.34164666701956</v>
      </c>
      <c r="Q23" s="62">
        <f>IF(Q10=0,0,Q10/TrRail_act!Q14*100)</f>
        <v>110.33515476160203</v>
      </c>
      <c r="R23" s="62">
        <f>IF(R10=0,0,R10/TrRail_act!R14*100)</f>
        <v>106.85381511281831</v>
      </c>
      <c r="S23" s="62">
        <f>IF(S10=0,0,S10/TrRail_act!S14*100)</f>
        <v>108.23566919000318</v>
      </c>
      <c r="T23" s="62">
        <f>IF(T10=0,0,T10/TrRail_act!T14*100)</f>
        <v>110.83255169792581</v>
      </c>
      <c r="U23" s="62">
        <f>IF(U10=0,0,U10/TrRail_act!U14*100)</f>
        <v>108.17191952367855</v>
      </c>
      <c r="V23" s="62">
        <f>IF(V10=0,0,V10/TrRail_act!V14*100)</f>
        <v>108.96559099825083</v>
      </c>
      <c r="W23" s="62">
        <f>IF(W10=0,0,W10/TrRail_act!W14*100)</f>
        <v>107.53361766146539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150.10223279682864</v>
      </c>
      <c r="C24" s="29">
        <f>IF(C11=0,0,C11/TrRail_act!C15*100)</f>
        <v>146.63094080497643</v>
      </c>
      <c r="D24" s="29">
        <f>IF(D11=0,0,D11/TrRail_act!D15*100)</f>
        <v>143.14113335893984</v>
      </c>
      <c r="E24" s="29">
        <f>IF(E11=0,0,E11/TrRail_act!E15*100)</f>
        <v>138.47264929937182</v>
      </c>
      <c r="F24" s="29">
        <f>IF(F11=0,0,F11/TrRail_act!F15*100)</f>
        <v>136.17911452858161</v>
      </c>
      <c r="G24" s="29">
        <f>IF(G11=0,0,G11/TrRail_act!G15*100)</f>
        <v>132.24325966828209</v>
      </c>
      <c r="H24" s="29">
        <f>IF(H11=0,0,H11/TrRail_act!H15*100)</f>
        <v>131.03970270467525</v>
      </c>
      <c r="I24" s="29">
        <f>IF(I11=0,0,I11/TrRail_act!I15*100)</f>
        <v>126.79380946480185</v>
      </c>
      <c r="J24" s="29">
        <f>IF(J11=0,0,J11/TrRail_act!J15*100)</f>
        <v>124.74867242953746</v>
      </c>
      <c r="K24" s="29">
        <f>IF(K11=0,0,K11/TrRail_act!K15*100)</f>
        <v>123.81507668798315</v>
      </c>
      <c r="L24" s="29">
        <f>IF(L11=0,0,L11/TrRail_act!L15*100)</f>
        <v>118.60618782051935</v>
      </c>
      <c r="M24" s="29">
        <f>IF(M11=0,0,M11/TrRail_act!M15*100)</f>
        <v>114.65159415001496</v>
      </c>
      <c r="N24" s="29">
        <f>IF(N11=0,0,N11/TrRail_act!N15*100)</f>
        <v>108.38959264120456</v>
      </c>
      <c r="O24" s="29">
        <f>IF(O11=0,0,O11/TrRail_act!O15*100)</f>
        <v>111.38902853643691</v>
      </c>
      <c r="P24" s="29">
        <f>IF(P11=0,0,P11/TrRail_act!P15*100)</f>
        <v>107.20757714325887</v>
      </c>
      <c r="Q24" s="29">
        <f>IF(Q11=0,0,Q11/TrRail_act!Q15*100)</f>
        <v>100.60367318277628</v>
      </c>
      <c r="R24" s="29">
        <f>IF(R11=0,0,R11/TrRail_act!R15*100)</f>
        <v>97.587064557156395</v>
      </c>
      <c r="S24" s="29">
        <f>IF(S11=0,0,S11/TrRail_act!S15*100)</f>
        <v>97.217469145646376</v>
      </c>
      <c r="T24" s="29">
        <f>IF(T11=0,0,T11/TrRail_act!T15*100)</f>
        <v>100.53046982325566</v>
      </c>
      <c r="U24" s="29">
        <f>IF(U11=0,0,U11/TrRail_act!U15*100)</f>
        <v>97.907123665850662</v>
      </c>
      <c r="V24" s="29">
        <f>IF(V11=0,0,V11/TrRail_act!V15*100)</f>
        <v>94.568509946294228</v>
      </c>
      <c r="W24" s="29">
        <f>IF(W11=0,0,W11/TrRail_act!W15*100)</f>
        <v>96.497682726895476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47.465705110937449</v>
      </c>
      <c r="C25" s="115">
        <f>IF(C12=0,0,C12/TrRail_act!C16*100)</f>
        <v>47.037892920759035</v>
      </c>
      <c r="D25" s="115">
        <f>IF(D12=0,0,D12/TrRail_act!D16*100)</f>
        <v>45.970519248759871</v>
      </c>
      <c r="E25" s="115">
        <f>IF(E12=0,0,E12/TrRail_act!E16*100)</f>
        <v>45.435436232755968</v>
      </c>
      <c r="F25" s="115">
        <f>IF(F12=0,0,F12/TrRail_act!F16*100)</f>
        <v>45.040071039800139</v>
      </c>
      <c r="G25" s="115">
        <f>IF(G12=0,0,G12/TrRail_act!G16*100)</f>
        <v>44.661382844335343</v>
      </c>
      <c r="H25" s="115">
        <f>IF(H12=0,0,H12/TrRail_act!H16*100)</f>
        <v>44.23640122050773</v>
      </c>
      <c r="I25" s="115">
        <f>IF(I12=0,0,I12/TrRail_act!I16*100)</f>
        <v>43.821646448247179</v>
      </c>
      <c r="J25" s="115">
        <f>IF(J12=0,0,J12/TrRail_act!J16*100)</f>
        <v>43.456506023209442</v>
      </c>
      <c r="K25" s="115">
        <f>IF(K12=0,0,K12/TrRail_act!K16*100)</f>
        <v>43.127713443336191</v>
      </c>
      <c r="L25" s="115">
        <f>IF(L12=0,0,L12/TrRail_act!L16*100)</f>
        <v>42.679393856480239</v>
      </c>
      <c r="M25" s="115">
        <f>IF(M12=0,0,M12/TrRail_act!M16*100)</f>
        <v>42.502315133303732</v>
      </c>
      <c r="N25" s="115">
        <f>IF(N12=0,0,N12/TrRail_act!N16*100)</f>
        <v>42.124817806478134</v>
      </c>
      <c r="O25" s="115">
        <f>IF(O12=0,0,O12/TrRail_act!O16*100)</f>
        <v>41.439234549795742</v>
      </c>
      <c r="P25" s="115">
        <f>IF(P12=0,0,P12/TrRail_act!P16*100)</f>
        <v>41.228722863829297</v>
      </c>
      <c r="Q25" s="115">
        <f>IF(Q12=0,0,Q12/TrRail_act!Q16*100)</f>
        <v>41.056863907548241</v>
      </c>
      <c r="R25" s="115">
        <f>IF(R12=0,0,R12/TrRail_act!R16*100)</f>
        <v>40.519155579527627</v>
      </c>
      <c r="S25" s="115">
        <f>IF(S12=0,0,S12/TrRail_act!S16*100)</f>
        <v>40.120500835405956</v>
      </c>
      <c r="T25" s="115">
        <f>IF(T12=0,0,T12/TrRail_act!T16*100)</f>
        <v>39.824085860186806</v>
      </c>
      <c r="U25" s="115">
        <f>IF(U12=0,0,U12/TrRail_act!U16*100)</f>
        <v>39.603212669460071</v>
      </c>
      <c r="V25" s="115">
        <f>IF(V12=0,0,V12/TrRail_act!V16*100)</f>
        <v>39.438362062467633</v>
      </c>
      <c r="W25" s="115">
        <f>IF(W12=0,0,W12/TrRail_act!W16*100)</f>
        <v>39.315174582351638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200.41666446508918</v>
      </c>
      <c r="C26" s="116">
        <f>IF(C13=0,0,C13/TrRail_act!C17*100)</f>
        <v>194.2792407093628</v>
      </c>
      <c r="D26" s="116">
        <f>IF(D13=0,0,D13/TrRail_act!D17*100)</f>
        <v>188.24067609193324</v>
      </c>
      <c r="E26" s="116">
        <f>IF(E13=0,0,E13/TrRail_act!E17*100)</f>
        <v>180.78761849985878</v>
      </c>
      <c r="F26" s="116">
        <f>IF(F13=0,0,F13/TrRail_act!F17*100)</f>
        <v>175.87227699867182</v>
      </c>
      <c r="G26" s="116">
        <f>IF(G13=0,0,G13/TrRail_act!G17*100)</f>
        <v>169.56030612727372</v>
      </c>
      <c r="H26" s="116">
        <f>IF(H13=0,0,H13/TrRail_act!H17*100)</f>
        <v>165.49574966066496</v>
      </c>
      <c r="I26" s="116">
        <f>IF(I13=0,0,I13/TrRail_act!I17*100)</f>
        <v>160.96596405139971</v>
      </c>
      <c r="J26" s="116">
        <f>IF(J13=0,0,J13/TrRail_act!J17*100)</f>
        <v>159.21381734190396</v>
      </c>
      <c r="K26" s="116">
        <f>IF(K13=0,0,K13/TrRail_act!K17*100)</f>
        <v>157.50534954012605</v>
      </c>
      <c r="L26" s="116">
        <f>IF(L13=0,0,L13/TrRail_act!L17*100)</f>
        <v>153.70146212616032</v>
      </c>
      <c r="M26" s="116">
        <f>IF(M13=0,0,M13/TrRail_act!M17*100)</f>
        <v>149.05634126690913</v>
      </c>
      <c r="N26" s="116">
        <f>IF(N13=0,0,N13/TrRail_act!N17*100)</f>
        <v>143.71554194477994</v>
      </c>
      <c r="O26" s="116">
        <f>IF(O13=0,0,O13/TrRail_act!O17*100)</f>
        <v>140.65586022195899</v>
      </c>
      <c r="P26" s="116">
        <f>IF(P13=0,0,P13/TrRail_act!P17*100)</f>
        <v>140.14947087532056</v>
      </c>
      <c r="Q26" s="116">
        <f>IF(Q13=0,0,Q13/TrRail_act!Q17*100)</f>
        <v>135.68434519354932</v>
      </c>
      <c r="R26" s="116">
        <f>IF(R13=0,0,R13/TrRail_act!R17*100)</f>
        <v>131.78951986625759</v>
      </c>
      <c r="S26" s="116">
        <f>IF(S13=0,0,S13/TrRail_act!S17*100)</f>
        <v>130.83121467557385</v>
      </c>
      <c r="T26" s="116">
        <f>IF(T13=0,0,T13/TrRail_act!T17*100)</f>
        <v>128.70471977728937</v>
      </c>
      <c r="U26" s="116">
        <f>IF(U13=0,0,U13/TrRail_act!U17*100)</f>
        <v>127.19411901088269</v>
      </c>
      <c r="V26" s="116">
        <f>IF(V13=0,0,V13/TrRail_act!V17*100)</f>
        <v>125.46105097097427</v>
      </c>
      <c r="W26" s="116">
        <f>IF(W13=0,0,W13/TrRail_act!W17*100)</f>
        <v>124.01617697833547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240.84589592813975</v>
      </c>
      <c r="C27" s="87">
        <f>IF(C14=0,0,C14/TrRail_act!C18*100)</f>
        <v>231.55996959132597</v>
      </c>
      <c r="D27" s="87">
        <f>IF(D14=0,0,D14/TrRail_act!D18*100)</f>
        <v>218.88569726861542</v>
      </c>
      <c r="E27" s="87">
        <f>IF(E14=0,0,E14/TrRail_act!E18*100)</f>
        <v>211.88942735965207</v>
      </c>
      <c r="F27" s="87">
        <f>IF(F14=0,0,F14/TrRail_act!F18*100)</f>
        <v>210.47663746131397</v>
      </c>
      <c r="G27" s="87">
        <f>IF(G14=0,0,G14/TrRail_act!G18*100)</f>
        <v>202.02320719354222</v>
      </c>
      <c r="H27" s="87">
        <f>IF(H14=0,0,H14/TrRail_act!H18*100)</f>
        <v>200.06620176009866</v>
      </c>
      <c r="I27" s="87">
        <f>IF(I14=0,0,I14/TrRail_act!I18*100)</f>
        <v>191.62690421183024</v>
      </c>
      <c r="J27" s="87">
        <f>IF(J14=0,0,J14/TrRail_act!J18*100)</f>
        <v>189.45289156783437</v>
      </c>
      <c r="K27" s="87">
        <f>IF(K14=0,0,K14/TrRail_act!K18*100)</f>
        <v>188.73357198907772</v>
      </c>
      <c r="L27" s="87">
        <f>IF(L14=0,0,L14/TrRail_act!L18*100)</f>
        <v>182.04420004881169</v>
      </c>
      <c r="M27" s="87">
        <f>IF(M14=0,0,M14/TrRail_act!M18*100)</f>
        <v>176.90005436213519</v>
      </c>
      <c r="N27" s="87">
        <f>IF(N14=0,0,N14/TrRail_act!N18*100)</f>
        <v>170.56857249489374</v>
      </c>
      <c r="O27" s="87">
        <f>IF(O14=0,0,O14/TrRail_act!O18*100)</f>
        <v>169.20715446851651</v>
      </c>
      <c r="P27" s="87">
        <f>IF(P14=0,0,P14/TrRail_act!P18*100)</f>
        <v>166.36787249337723</v>
      </c>
      <c r="Q27" s="87">
        <f>IF(Q14=0,0,Q14/TrRail_act!Q18*100)</f>
        <v>165.31831617123254</v>
      </c>
      <c r="R27" s="87">
        <f>IF(R14=0,0,R14/TrRail_act!R18*100)</f>
        <v>162.06746398781002</v>
      </c>
      <c r="S27" s="87">
        <f>IF(S14=0,0,S14/TrRail_act!S18*100)</f>
        <v>159.67134506639081</v>
      </c>
      <c r="T27" s="87">
        <f>IF(T14=0,0,T14/TrRail_act!T18*100)</f>
        <v>157.89753289908271</v>
      </c>
      <c r="U27" s="87">
        <f>IF(U14=0,0,U14/TrRail_act!U18*100)</f>
        <v>156.58011754578837</v>
      </c>
      <c r="V27" s="87">
        <f>IF(V14=0,0,V14/TrRail_act!V18*100)</f>
        <v>155.59927444933547</v>
      </c>
      <c r="W27" s="87">
        <f>IF(W14=0,0,W14/TrRail_act!W18*100)</f>
        <v>154.86767634045779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160.69976558164643</v>
      </c>
      <c r="C28" s="87">
        <f>IF(C15=0,0,C15/TrRail_act!C19*100)</f>
        <v>159.77418352958577</v>
      </c>
      <c r="D28" s="87">
        <f>IF(D15=0,0,D15/TrRail_act!D19*100)</f>
        <v>158.67128348735284</v>
      </c>
      <c r="E28" s="87">
        <f>IF(E15=0,0,E15/TrRail_act!E19*100)</f>
        <v>153.17391830982211</v>
      </c>
      <c r="F28" s="87">
        <f>IF(F15=0,0,F15/TrRail_act!F19*100)</f>
        <v>148.96930934675302</v>
      </c>
      <c r="G28" s="87">
        <f>IF(G15=0,0,G15/TrRail_act!G19*100)</f>
        <v>146.82110645867022</v>
      </c>
      <c r="H28" s="87">
        <f>IF(H15=0,0,H15/TrRail_act!H19*100)</f>
        <v>145.31983588758229</v>
      </c>
      <c r="I28" s="87">
        <f>IF(I15=0,0,I15/TrRail_act!I19*100)</f>
        <v>143.49664819480139</v>
      </c>
      <c r="J28" s="87">
        <f>IF(J15=0,0,J15/TrRail_act!J19*100)</f>
        <v>141.15113832879567</v>
      </c>
      <c r="K28" s="87">
        <f>IF(K15=0,0,K15/TrRail_act!K19*100)</f>
        <v>138.98033264311039</v>
      </c>
      <c r="L28" s="87">
        <f>IF(L15=0,0,L15/TrRail_act!L19*100)</f>
        <v>136.38553868102045</v>
      </c>
      <c r="M28" s="87">
        <f>IF(M15=0,0,M15/TrRail_act!M19*100)</f>
        <v>133.46200761944584</v>
      </c>
      <c r="N28" s="87">
        <f>IF(N15=0,0,N15/TrRail_act!N19*100)</f>
        <v>129.6131208296473</v>
      </c>
      <c r="O28" s="87">
        <f>IF(O15=0,0,O15/TrRail_act!O19*100)</f>
        <v>127.30124324449457</v>
      </c>
      <c r="P28" s="87">
        <f>IF(P15=0,0,P15/TrRail_act!P19*100)</f>
        <v>125.31076753901679</v>
      </c>
      <c r="Q28" s="87">
        <f>IF(Q15=0,0,Q15/TrRail_act!Q19*100)</f>
        <v>122.36989358410064</v>
      </c>
      <c r="R28" s="87">
        <f>IF(R15=0,0,R15/TrRail_act!R19*100)</f>
        <v>118.46877783339511</v>
      </c>
      <c r="S28" s="87">
        <f>IF(S15=0,0,S15/TrRail_act!S19*100)</f>
        <v>117.27212351184566</v>
      </c>
      <c r="T28" s="87">
        <f>IF(T15=0,0,T15/TrRail_act!T19*100)</f>
        <v>116.38257183659549</v>
      </c>
      <c r="U28" s="87">
        <f>IF(U15=0,0,U15/TrRail_act!U19*100)</f>
        <v>115.7198389804805</v>
      </c>
      <c r="V28" s="87">
        <f>IF(V15=0,0,V15/TrRail_act!V19*100)</f>
        <v>115.22526713000074</v>
      </c>
      <c r="W28" s="87">
        <f>IF(W15=0,0,W15/TrRail_act!W19*100)</f>
        <v>114.85572587680312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257.7392030949319</v>
      </c>
      <c r="C30" s="29">
        <f>IF(C17=0,0,C17/TrRail_act!C21*100)</f>
        <v>250.14355363253605</v>
      </c>
      <c r="D30" s="29">
        <f>IF(D17=0,0,D17/TrRail_act!D21*100)</f>
        <v>245.00763741696696</v>
      </c>
      <c r="E30" s="29">
        <f>IF(E17=0,0,E17/TrRail_act!E21*100)</f>
        <v>234.18638503260354</v>
      </c>
      <c r="F30" s="29">
        <f>IF(F17=0,0,F17/TrRail_act!F21*100)</f>
        <v>226.36401377433918</v>
      </c>
      <c r="G30" s="29">
        <f>IF(G17=0,0,G17/TrRail_act!G21*100)</f>
        <v>221.04234875275745</v>
      </c>
      <c r="H30" s="29">
        <f>IF(H17=0,0,H17/TrRail_act!H21*100)</f>
        <v>217.2316613494632</v>
      </c>
      <c r="I30" s="29">
        <f>IF(I17=0,0,I17/TrRail_act!I21*100)</f>
        <v>209.69513176535398</v>
      </c>
      <c r="J30" s="29">
        <f>IF(J17=0,0,J17/TrRail_act!J21*100)</f>
        <v>204.03498084400852</v>
      </c>
      <c r="K30" s="29">
        <f>IF(K17=0,0,K17/TrRail_act!K21*100)</f>
        <v>198.29565289517475</v>
      </c>
      <c r="L30" s="29">
        <f>IF(L17=0,0,L17/TrRail_act!L21*100)</f>
        <v>194.00378688970076</v>
      </c>
      <c r="M30" s="29">
        <f>IF(M17=0,0,M17/TrRail_act!M21*100)</f>
        <v>175.40181241195495</v>
      </c>
      <c r="N30" s="29">
        <f>IF(N17=0,0,N17/TrRail_act!N21*100)</f>
        <v>184.8536301222141</v>
      </c>
      <c r="O30" s="29">
        <f>IF(O17=0,0,O17/TrRail_act!O21*100)</f>
        <v>182.08331677710677</v>
      </c>
      <c r="P30" s="29">
        <f>IF(P17=0,0,P17/TrRail_act!P21*100)</f>
        <v>179.87588383812974</v>
      </c>
      <c r="Q30" s="29">
        <f>IF(Q17=0,0,Q17/TrRail_act!Q21*100)</f>
        <v>174.94895996353134</v>
      </c>
      <c r="R30" s="29">
        <f>IF(R17=0,0,R17/TrRail_act!R21*100)</f>
        <v>169.41136152113287</v>
      </c>
      <c r="S30" s="29">
        <f>IF(S17=0,0,S17/TrRail_act!S21*100)</f>
        <v>166.54346843737952</v>
      </c>
      <c r="T30" s="29">
        <f>IF(T17=0,0,T17/TrRail_act!T21*100)</f>
        <v>169.2367357936605</v>
      </c>
      <c r="U30" s="29">
        <f>IF(U17=0,0,U17/TrRail_act!U21*100)</f>
        <v>166.84171940385821</v>
      </c>
      <c r="V30" s="29">
        <f>IF(V17=0,0,V17/TrRail_act!V21*100)</f>
        <v>165.90506772906559</v>
      </c>
      <c r="W30" s="29">
        <f>IF(W17=0,0,W17/TrRail_act!W21*100)</f>
        <v>170.7040433313162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450.19677155455247</v>
      </c>
      <c r="C31" s="87">
        <f>IF(C18=0,0,C18/TrRail_act!C22*100)</f>
        <v>430.08922485882238</v>
      </c>
      <c r="D31" s="87">
        <f>IF(D18=0,0,D18/TrRail_act!D22*100)</f>
        <v>417.31663645780873</v>
      </c>
      <c r="E31" s="87">
        <f>IF(E18=0,0,E18/TrRail_act!E22*100)</f>
        <v>412.45129944634709</v>
      </c>
      <c r="F31" s="87">
        <f>IF(F18=0,0,F18/TrRail_act!F22*100)</f>
        <v>410.28635258571285</v>
      </c>
      <c r="G31" s="87">
        <f>IF(G18=0,0,G18/TrRail_act!G22*100)</f>
        <v>405.38710046422972</v>
      </c>
      <c r="H31" s="87">
        <f>IF(H18=0,0,H18/TrRail_act!H22*100)</f>
        <v>401.89550803216713</v>
      </c>
      <c r="I31" s="87">
        <f>IF(I18=0,0,I18/TrRail_act!I22*100)</f>
        <v>399.34755556418509</v>
      </c>
      <c r="J31" s="87">
        <f>IF(J18=0,0,J18/TrRail_act!J22*100)</f>
        <v>395.33683081293827</v>
      </c>
      <c r="K31" s="87">
        <f>IF(K18=0,0,K18/TrRail_act!K22*100)</f>
        <v>392.35496062277673</v>
      </c>
      <c r="L31" s="87">
        <f>IF(L18=0,0,L18/TrRail_act!L22*100)</f>
        <v>389.76579412002377</v>
      </c>
      <c r="M31" s="87">
        <f>IF(M18=0,0,M18/TrRail_act!M22*100)</f>
        <v>385.49106558156865</v>
      </c>
      <c r="N31" s="87">
        <f>IF(N18=0,0,N18/TrRail_act!N22*100)</f>
        <v>383.06093455337862</v>
      </c>
      <c r="O31" s="87">
        <f>IF(O18=0,0,O18/TrRail_act!O22*100)</f>
        <v>380.72450751094891</v>
      </c>
      <c r="P31" s="87">
        <f>IF(P18=0,0,P18/TrRail_act!P22*100)</f>
        <v>377.85400613632186</v>
      </c>
      <c r="Q31" s="87">
        <f>IF(Q18=0,0,Q18/TrRail_act!Q22*100)</f>
        <v>376.13097307010491</v>
      </c>
      <c r="R31" s="87">
        <f>IF(R18=0,0,R18/TrRail_act!R22*100)</f>
        <v>374.0941687524043</v>
      </c>
      <c r="S31" s="87">
        <f>IF(S18=0,0,S18/TrRail_act!S22*100)</f>
        <v>372.57380695687903</v>
      </c>
      <c r="T31" s="87">
        <f>IF(T18=0,0,T18/TrRail_act!T22*100)</f>
        <v>371.43759190513049</v>
      </c>
      <c r="U31" s="87">
        <f>IF(U18=0,0,U18/TrRail_act!U22*100)</f>
        <v>370.58770512990213</v>
      </c>
      <c r="V31" s="87">
        <f>IF(V18=0,0,V18/TrRail_act!V22*100)</f>
        <v>369.95156645338636</v>
      </c>
      <c r="W31" s="87">
        <f>IF(W18=0,0,W18/TrRail_act!W22*100)</f>
        <v>369.47517915699154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206.97637241539351</v>
      </c>
      <c r="C32" s="88">
        <f>IF(C19=0,0,C19/TrRail_act!C23*100)</f>
        <v>205.78425110261554</v>
      </c>
      <c r="D32" s="88">
        <f>IF(D19=0,0,D19/TrRail_act!D23*100)</f>
        <v>204.36374965351933</v>
      </c>
      <c r="E32" s="88">
        <f>IF(E19=0,0,E19/TrRail_act!E23*100)</f>
        <v>197.28331180614776</v>
      </c>
      <c r="F32" s="88">
        <f>IF(F19=0,0,F19/TrRail_act!F23*100)</f>
        <v>191.86790433836813</v>
      </c>
      <c r="G32" s="88">
        <f>IF(G19=0,0,G19/TrRail_act!G23*100)</f>
        <v>187.21007401505224</v>
      </c>
      <c r="H32" s="88">
        <f>IF(H19=0,0,H19/TrRail_act!H23*100)</f>
        <v>181.60843263329585</v>
      </c>
      <c r="I32" s="88">
        <f>IF(I19=0,0,I19/TrRail_act!I23*100)</f>
        <v>175.76130060695169</v>
      </c>
      <c r="J32" s="88">
        <f>IF(J19=0,0,J19/TrRail_act!J23*100)</f>
        <v>172.33138668646944</v>
      </c>
      <c r="K32" s="88">
        <f>IF(K19=0,0,K19/TrRail_act!K23*100)</f>
        <v>168.71455721868753</v>
      </c>
      <c r="L32" s="88">
        <f>IF(L19=0,0,L19/TrRail_act!L23*100)</f>
        <v>166.51306736281919</v>
      </c>
      <c r="M32" s="88">
        <f>IF(M19=0,0,M19/TrRail_act!M23*100)</f>
        <v>163.81722467343963</v>
      </c>
      <c r="N32" s="88">
        <f>IF(N19=0,0,N19/TrRail_act!N23*100)</f>
        <v>160.35971430207019</v>
      </c>
      <c r="O32" s="88">
        <f>IF(O19=0,0,O19/TrRail_act!O23*100)</f>
        <v>157.49941723736396</v>
      </c>
      <c r="P32" s="88">
        <f>IF(P19=0,0,P19/TrRail_act!P23*100)</f>
        <v>154.50320762225348</v>
      </c>
      <c r="Q32" s="88">
        <f>IF(Q19=0,0,Q19/TrRail_act!Q23*100)</f>
        <v>151.39826160124804</v>
      </c>
      <c r="R32" s="88">
        <f>IF(R19=0,0,R19/TrRail_act!R23*100)</f>
        <v>148.36501692943506</v>
      </c>
      <c r="S32" s="88">
        <f>IF(S19=0,0,S19/TrRail_act!S23*100)</f>
        <v>146.13003117983715</v>
      </c>
      <c r="T32" s="88">
        <f>IF(T19=0,0,T19/TrRail_act!T23*100)</f>
        <v>144.4759143954436</v>
      </c>
      <c r="U32" s="88">
        <f>IF(U19=0,0,U19/TrRail_act!U23*100)</f>
        <v>143.24762590068315</v>
      </c>
      <c r="V32" s="88">
        <f>IF(V19=0,0,V19/TrRail_act!V23*100)</f>
        <v>142.33326730141627</v>
      </c>
      <c r="W32" s="88">
        <f>IF(W19=0,0,W19/TrRail_act!W23*100)</f>
        <v>141.65133053639542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11.030010193149678</v>
      </c>
      <c r="C35" s="29">
        <f>IF(C11=0,0,C11/TrRail_act!C4*1000)</f>
        <v>10.74021562276427</v>
      </c>
      <c r="D35" s="29">
        <f>IF(D11=0,0,D11/TrRail_act!D4*1000)</f>
        <v>10.0147987170196</v>
      </c>
      <c r="E35" s="29">
        <f>IF(E11=0,0,E11/TrRail_act!E4*1000)</f>
        <v>10.315180627761917</v>
      </c>
      <c r="F35" s="29">
        <f>IF(F11=0,0,F11/TrRail_act!F4*1000)</f>
        <v>10.296677257628099</v>
      </c>
      <c r="G35" s="29">
        <f>IF(G11=0,0,G11/TrRail_act!G4*1000)</f>
        <v>10.107261841251255</v>
      </c>
      <c r="H35" s="29">
        <f>IF(H11=0,0,H11/TrRail_act!H4*1000)</f>
        <v>10.558267027879619</v>
      </c>
      <c r="I35" s="29">
        <f>IF(I11=0,0,I11/TrRail_act!I4*1000)</f>
        <v>11.317376186194306</v>
      </c>
      <c r="J35" s="29">
        <f>IF(J11=0,0,J11/TrRail_act!J4*1000)</f>
        <v>11.69260436268269</v>
      </c>
      <c r="K35" s="29">
        <f>IF(K11=0,0,K11/TrRail_act!K4*1000)</f>
        <v>12.856982498052787</v>
      </c>
      <c r="L35" s="29">
        <f>IF(L11=0,0,L11/TrRail_act!L4*1000)</f>
        <v>11.743256543716949</v>
      </c>
      <c r="M35" s="29">
        <f>IF(M11=0,0,M11/TrRail_act!M4*1000)</f>
        <v>11.159752986537836</v>
      </c>
      <c r="N35" s="29">
        <f>IF(N11=0,0,N11/TrRail_act!N4*1000)</f>
        <v>9.6561801738068755</v>
      </c>
      <c r="O35" s="29">
        <f>IF(O11=0,0,O11/TrRail_act!O4*1000)</f>
        <v>11.625980809166174</v>
      </c>
      <c r="P35" s="29">
        <f>IF(P11=0,0,P11/TrRail_act!P4*1000)</f>
        <v>11.039358633964566</v>
      </c>
      <c r="Q35" s="29">
        <f>IF(Q11=0,0,Q11/TrRail_act!Q4*1000)</f>
        <v>10.515438699283782</v>
      </c>
      <c r="R35" s="29">
        <f>IF(R11=0,0,R11/TrRail_act!R4*1000)</f>
        <v>10.33160110762296</v>
      </c>
      <c r="S35" s="29">
        <f>IF(S11=0,0,S11/TrRail_act!S4*1000)</f>
        <v>10.087123468214372</v>
      </c>
      <c r="T35" s="29">
        <f>IF(T11=0,0,T11/TrRail_act!T4*1000)</f>
        <v>10.544782805793265</v>
      </c>
      <c r="U35" s="29">
        <f>IF(U11=0,0,U11/TrRail_act!U4*1000)</f>
        <v>10.02915028326748</v>
      </c>
      <c r="V35" s="29">
        <f>IF(V11=0,0,V11/TrRail_act!V4*1000)</f>
        <v>13.650479381866031</v>
      </c>
      <c r="W35" s="29">
        <f>IF(W11=0,0,W11/TrRail_act!W4*1000)</f>
        <v>14.084552732298819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5.4748555997846955</v>
      </c>
      <c r="C36" s="115">
        <f>IF(C12=0,0,C12/TrRail_act!C5*1000)</f>
        <v>5.4537260145208375</v>
      </c>
      <c r="D36" s="115">
        <f>IF(D12=0,0,D12/TrRail_act!D5*1000)</f>
        <v>5.253420360049124</v>
      </c>
      <c r="E36" s="115">
        <f>IF(E12=0,0,E12/TrRail_act!E5*1000)</f>
        <v>5.3839806578986646</v>
      </c>
      <c r="F36" s="115">
        <f>IF(F12=0,0,F12/TrRail_act!F5*1000)</f>
        <v>5.373095414744939</v>
      </c>
      <c r="G36" s="115">
        <f>IF(G12=0,0,G12/TrRail_act!G5*1000)</f>
        <v>5.2895774159206788</v>
      </c>
      <c r="H36" s="115">
        <f>IF(H12=0,0,H12/TrRail_act!H5*1000)</f>
        <v>5.2972996226838553</v>
      </c>
      <c r="I36" s="115">
        <f>IF(I12=0,0,I12/TrRail_act!I5*1000)</f>
        <v>5.5208625395255293</v>
      </c>
      <c r="J36" s="115">
        <f>IF(J12=0,0,J12/TrRail_act!J5*1000)</f>
        <v>5.5193203424151136</v>
      </c>
      <c r="K36" s="115">
        <f>IF(K12=0,0,K12/TrRail_act!K5*1000)</f>
        <v>5.5378089105701624</v>
      </c>
      <c r="L36" s="115">
        <f>IF(L12=0,0,L12/TrRail_act!L5*1000)</f>
        <v>5.4580162960739553</v>
      </c>
      <c r="M36" s="115">
        <f>IF(M12=0,0,M12/TrRail_act!M5*1000)</f>
        <v>5.4771700423562182</v>
      </c>
      <c r="N36" s="115">
        <f>IF(N12=0,0,N12/TrRail_act!N5*1000)</f>
        <v>5.3810493781632225</v>
      </c>
      <c r="O36" s="115">
        <f>IF(O12=0,0,O12/TrRail_act!O5*1000)</f>
        <v>5.2611001587072952</v>
      </c>
      <c r="P36" s="115">
        <f>IF(P12=0,0,P12/TrRail_act!P5*1000)</f>
        <v>5.2938530497311262</v>
      </c>
      <c r="Q36" s="115">
        <f>IF(Q12=0,0,Q12/TrRail_act!Q5*1000)</f>
        <v>5.699074334571498</v>
      </c>
      <c r="R36" s="115">
        <f>IF(R12=0,0,R12/TrRail_act!R5*1000)</f>
        <v>5.6244354206347662</v>
      </c>
      <c r="S36" s="115">
        <f>IF(S12=0,0,S12/TrRail_act!S5*1000)</f>
        <v>5.4582478108990786</v>
      </c>
      <c r="T36" s="115">
        <f>IF(T12=0,0,T12/TrRail_act!T5*1000)</f>
        <v>5.123849636677642</v>
      </c>
      <c r="U36" s="115">
        <f>IF(U12=0,0,U12/TrRail_act!U5*1000)</f>
        <v>5.1019819004924081</v>
      </c>
      <c r="V36" s="115">
        <f>IF(V12=0,0,V12/TrRail_act!V5*1000)</f>
        <v>7.4229144034327703</v>
      </c>
      <c r="W36" s="115">
        <f>IF(W12=0,0,W12/TrRail_act!W5*1000)</f>
        <v>7.5993947582308037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12.502902724352401</v>
      </c>
      <c r="C37" s="116">
        <f>IF(C13=0,0,C13/TrRail_act!C6*1000)</f>
        <v>12.098692862423828</v>
      </c>
      <c r="D37" s="116">
        <f>IF(D13=0,0,D13/TrRail_act!D6*1000)</f>
        <v>11.161399753319772</v>
      </c>
      <c r="E37" s="116">
        <f>IF(E13=0,0,E13/TrRail_act!E6*1000)</f>
        <v>11.521373426145733</v>
      </c>
      <c r="F37" s="116">
        <f>IF(F13=0,0,F13/TrRail_act!F6*1000)</f>
        <v>11.468843323518632</v>
      </c>
      <c r="G37" s="116">
        <f>IF(G13=0,0,G13/TrRail_act!G6*1000)</f>
        <v>11.258009120999793</v>
      </c>
      <c r="H37" s="116">
        <f>IF(H13=0,0,H13/TrRail_act!H6*1000)</f>
        <v>11.801877359838819</v>
      </c>
      <c r="I37" s="116">
        <f>IF(I13=0,0,I13/TrRail_act!I6*1000)</f>
        <v>12.827436871112585</v>
      </c>
      <c r="J37" s="116">
        <f>IF(J13=0,0,J13/TrRail_act!J6*1000)</f>
        <v>13.430980892750805</v>
      </c>
      <c r="K37" s="116">
        <f>IF(K13=0,0,K13/TrRail_act!K6*1000)</f>
        <v>15.145584348251766</v>
      </c>
      <c r="L37" s="116">
        <f>IF(L13=0,0,L13/TrRail_act!L6*1000)</f>
        <v>13.779965693096379</v>
      </c>
      <c r="M37" s="116">
        <f>IF(M13=0,0,M13/TrRail_act!M6*1000)</f>
        <v>12.992638895015826</v>
      </c>
      <c r="N37" s="116">
        <f>IF(N13=0,0,N13/TrRail_act!N6*1000)</f>
        <v>11.024856616428846</v>
      </c>
      <c r="O37" s="116">
        <f>IF(O13=0,0,O13/TrRail_act!O6*1000)</f>
        <v>13.663594352298301</v>
      </c>
      <c r="P37" s="116">
        <f>IF(P13=0,0,P13/TrRail_act!P6*1000)</f>
        <v>13.132829302506073</v>
      </c>
      <c r="Q37" s="116">
        <f>IF(Q13=0,0,Q13/TrRail_act!Q6*1000)</f>
        <v>12.380629065001761</v>
      </c>
      <c r="R37" s="116">
        <f>IF(R13=0,0,R13/TrRail_act!R6*1000)</f>
        <v>12.215392516079522</v>
      </c>
      <c r="S37" s="116">
        <f>IF(S13=0,0,S13/TrRail_act!S6*1000)</f>
        <v>11.910672176810085</v>
      </c>
      <c r="T37" s="116">
        <f>IF(T13=0,0,T13/TrRail_act!T6*1000)</f>
        <v>12.433876852384563</v>
      </c>
      <c r="U37" s="116">
        <f>IF(U13=0,0,U13/TrRail_act!U6*1000)</f>
        <v>11.813488465269968</v>
      </c>
      <c r="V37" s="116">
        <f>IF(V13=0,0,V13/TrRail_act!V6*1000)</f>
        <v>16.017569902098696</v>
      </c>
      <c r="W37" s="116">
        <f>IF(W13=0,0,W13/TrRail_act!W6*1000)</f>
        <v>16.192717936653256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18.201720455092119</v>
      </c>
      <c r="C38" s="87">
        <f>IF(C14=0,0,C14/TrRail_act!C7*1000)</f>
        <v>17.496710233652845</v>
      </c>
      <c r="D38" s="87">
        <f>IF(D14=0,0,D14/TrRail_act!D7*1000)</f>
        <v>14.908562234821245</v>
      </c>
      <c r="E38" s="87">
        <f>IF(E14=0,0,E14/TrRail_act!E7*1000)</f>
        <v>15.7874061367623</v>
      </c>
      <c r="F38" s="87">
        <f>IF(F14=0,0,F14/TrRail_act!F7*1000)</f>
        <v>14.932925146512948</v>
      </c>
      <c r="G38" s="87">
        <f>IF(G14=0,0,G14/TrRail_act!G7*1000)</f>
        <v>15.22804810217373</v>
      </c>
      <c r="H38" s="87">
        <f>IF(H14=0,0,H14/TrRail_act!H7*1000)</f>
        <v>13.892381240084104</v>
      </c>
      <c r="I38" s="87">
        <f>IF(I14=0,0,I14/TrRail_act!I7*1000)</f>
        <v>15.497920624098139</v>
      </c>
      <c r="J38" s="87">
        <f>IF(J14=0,0,J14/TrRail_act!J7*1000)</f>
        <v>16.819555406682603</v>
      </c>
      <c r="K38" s="87">
        <f>IF(K14=0,0,K14/TrRail_act!K7*1000)</f>
        <v>18.455465843450732</v>
      </c>
      <c r="L38" s="87">
        <f>IF(L14=0,0,L14/TrRail_act!L7*1000)</f>
        <v>18.034628465939214</v>
      </c>
      <c r="M38" s="87">
        <f>IF(M14=0,0,M14/TrRail_act!M7*1000)</f>
        <v>16.260010125323426</v>
      </c>
      <c r="N38" s="87">
        <f>IF(N14=0,0,N14/TrRail_act!N7*1000)</f>
        <v>15.111111453596784</v>
      </c>
      <c r="O38" s="87">
        <f>IF(O14=0,0,O14/TrRail_act!O7*1000)</f>
        <v>16.95908041330047</v>
      </c>
      <c r="P38" s="87">
        <f>IF(P14=0,0,P14/TrRail_act!P7*1000)</f>
        <v>15.878560564878505</v>
      </c>
      <c r="Q38" s="87">
        <f>IF(Q14=0,0,Q14/TrRail_act!Q7*1000)</f>
        <v>16.67021614974966</v>
      </c>
      <c r="R38" s="87">
        <f>IF(R14=0,0,R14/TrRail_act!R7*1000)</f>
        <v>16.575983439828931</v>
      </c>
      <c r="S38" s="87">
        <f>IF(S14=0,0,S14/TrRail_act!S7*1000)</f>
        <v>16.310360408603611</v>
      </c>
      <c r="T38" s="87">
        <f>IF(T14=0,0,T14/TrRail_act!T7*1000)</f>
        <v>15.468119971162469</v>
      </c>
      <c r="U38" s="87">
        <f>IF(U14=0,0,U14/TrRail_act!U7*1000)</f>
        <v>14.691322492010977</v>
      </c>
      <c r="V38" s="87">
        <f>IF(V14=0,0,V14/TrRail_act!V7*1000)</f>
        <v>19.803743490627774</v>
      </c>
      <c r="W38" s="87">
        <f>IF(W14=0,0,W14/TrRail_act!W7*1000)</f>
        <v>18.842164843493787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8.5579243780834489</v>
      </c>
      <c r="C39" s="87">
        <f>IF(C15=0,0,C15/TrRail_act!C8*1000)</f>
        <v>8.557324442474723</v>
      </c>
      <c r="D39" s="87">
        <f>IF(D15=0,0,D15/TrRail_act!D8*1000)</f>
        <v>8.3633831694232139</v>
      </c>
      <c r="E39" s="87">
        <f>IF(E15=0,0,E15/TrRail_act!E8*1000)</f>
        <v>8.6504802102683058</v>
      </c>
      <c r="F39" s="87">
        <f>IF(F15=0,0,F15/TrRail_act!F8*1000)</f>
        <v>9.1398904584625296</v>
      </c>
      <c r="G39" s="87">
        <f>IF(G15=0,0,G15/TrRail_act!G8*1000)</f>
        <v>8.9972223626780501</v>
      </c>
      <c r="H39" s="87">
        <f>IF(H15=0,0,H15/TrRail_act!H8*1000)</f>
        <v>10.528864465099735</v>
      </c>
      <c r="I39" s="87">
        <f>IF(I15=0,0,I15/TrRail_act!I8*1000)</f>
        <v>11.340617027492613</v>
      </c>
      <c r="J39" s="87">
        <f>IF(J15=0,0,J15/TrRail_act!J8*1000)</f>
        <v>11.563254932352587</v>
      </c>
      <c r="K39" s="87">
        <f>IF(K15=0,0,K15/TrRail_act!K8*1000)</f>
        <v>13.233645141743288</v>
      </c>
      <c r="L39" s="87">
        <f>IF(L15=0,0,L15/TrRail_act!L8*1000)</f>
        <v>11.556645061390981</v>
      </c>
      <c r="M39" s="87">
        <f>IF(M15=0,0,M15/TrRail_act!M8*1000)</f>
        <v>11.306086095080284</v>
      </c>
      <c r="N39" s="87">
        <f>IF(N15=0,0,N15/TrRail_act!N8*1000)</f>
        <v>9.2888835677106609</v>
      </c>
      <c r="O39" s="87">
        <f>IF(O15=0,0,O15/TrRail_act!O8*1000)</f>
        <v>12.190803057222125</v>
      </c>
      <c r="P39" s="87">
        <f>IF(P15=0,0,P15/TrRail_act!P8*1000)</f>
        <v>11.622667363047553</v>
      </c>
      <c r="Q39" s="87">
        <f>IF(Q15=0,0,Q15/TrRail_act!Q8*1000)</f>
        <v>10.708123895971955</v>
      </c>
      <c r="R39" s="87">
        <f>IF(R15=0,0,R15/TrRail_act!R8*1000)</f>
        <v>10.545703593631714</v>
      </c>
      <c r="S39" s="87">
        <f>IF(S15=0,0,S15/TrRail_act!S8*1000)</f>
        <v>10.156859015085317</v>
      </c>
      <c r="T39" s="87">
        <f>IF(T15=0,0,T15/TrRail_act!T8*1000)</f>
        <v>11.178187790858885</v>
      </c>
      <c r="U39" s="87">
        <f>IF(U15=0,0,U15/TrRail_act!U8*1000)</f>
        <v>10.705522301165589</v>
      </c>
      <c r="V39" s="87">
        <f>IF(V15=0,0,V15/TrRail_act!V8*1000)</f>
        <v>14.72631873749552</v>
      </c>
      <c r="W39" s="87">
        <f>IF(W15=0,0,W15/TrRail_act!W8*1000)</f>
        <v>15.329724507555637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4.3250253611970004</v>
      </c>
      <c r="C41" s="29">
        <f>IF(C17=0,0,C17/TrRail_act!C10*1000)</f>
        <v>4.5121114455002758</v>
      </c>
      <c r="D41" s="29">
        <f>IF(D17=0,0,D17/TrRail_act!D10*1000)</f>
        <v>4.4693536903401654</v>
      </c>
      <c r="E41" s="29">
        <f>IF(E17=0,0,E17/TrRail_act!E10*1000)</f>
        <v>4.3509593691786073</v>
      </c>
      <c r="F41" s="29">
        <f>IF(F17=0,0,F17/TrRail_act!F10*1000)</f>
        <v>4.0711373118410314</v>
      </c>
      <c r="G41" s="29">
        <f>IF(G17=0,0,G17/TrRail_act!G10*1000)</f>
        <v>3.8924678558011108</v>
      </c>
      <c r="H41" s="29">
        <f>IF(H17=0,0,H17/TrRail_act!H10*1000)</f>
        <v>3.9016863747357213</v>
      </c>
      <c r="I41" s="29">
        <f>IF(I17=0,0,I17/TrRail_act!I10*1000)</f>
        <v>4.0215922281450416</v>
      </c>
      <c r="J41" s="29">
        <f>IF(J17=0,0,J17/TrRail_act!J10*1000)</f>
        <v>3.9089912491657683</v>
      </c>
      <c r="K41" s="29">
        <f>IF(K17=0,0,K17/TrRail_act!K10*1000)</f>
        <v>3.8094966944857442</v>
      </c>
      <c r="L41" s="29">
        <f>IF(L17=0,0,L17/TrRail_act!L10*1000)</f>
        <v>3.5013502025271399</v>
      </c>
      <c r="M41" s="29">
        <f>IF(M17=0,0,M17/TrRail_act!M10*1000)</f>
        <v>3.028466201745375</v>
      </c>
      <c r="N41" s="29">
        <f>IF(N17=0,0,N17/TrRail_act!N10*1000)</f>
        <v>2.8325378118988009</v>
      </c>
      <c r="O41" s="29">
        <f>IF(O17=0,0,O17/TrRail_act!O10*1000)</f>
        <v>3.1595313148865878</v>
      </c>
      <c r="P41" s="29">
        <f>IF(P17=0,0,P17/TrRail_act!P10*1000)</f>
        <v>3.1196720335749277</v>
      </c>
      <c r="Q41" s="29">
        <f>IF(Q17=0,0,Q17/TrRail_act!Q10*1000)</f>
        <v>2.9042250861761341</v>
      </c>
      <c r="R41" s="29">
        <f>IF(R17=0,0,R17/TrRail_act!R10*1000)</f>
        <v>2.7042105999014172</v>
      </c>
      <c r="S41" s="29">
        <f>IF(S17=0,0,S17/TrRail_act!S10*1000)</f>
        <v>2.6347614754196473</v>
      </c>
      <c r="T41" s="29">
        <f>IF(T17=0,0,T17/TrRail_act!T10*1000)</f>
        <v>3.099786131749795</v>
      </c>
      <c r="U41" s="29">
        <f>IF(U17=0,0,U17/TrRail_act!U10*1000)</f>
        <v>2.9716499809008576</v>
      </c>
      <c r="V41" s="29">
        <f>IF(V17=0,0,V17/TrRail_act!V10*1000)</f>
        <v>3.4983335254791013</v>
      </c>
      <c r="W41" s="29">
        <f>IF(W17=0,0,W17/TrRail_act!W10*1000)</f>
        <v>2.7626406044162319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6.0818095221286237</v>
      </c>
      <c r="C42" s="87">
        <f>IF(C18=0,0,C18/TrRail_act!C11*1000)</f>
        <v>6.1125975480420385</v>
      </c>
      <c r="D42" s="87">
        <f>IF(D18=0,0,D18/TrRail_act!D11*1000)</f>
        <v>5.7409183966364425</v>
      </c>
      <c r="E42" s="87">
        <f>IF(E18=0,0,E18/TrRail_act!E11*1000)</f>
        <v>5.4402267454419508</v>
      </c>
      <c r="F42" s="87">
        <f>IF(F18=0,0,F18/TrRail_act!F11*1000)</f>
        <v>5.0979854441126591</v>
      </c>
      <c r="G42" s="87">
        <f>IF(G18=0,0,G18/TrRail_act!G11*1000)</f>
        <v>5.0812749013339849</v>
      </c>
      <c r="H42" s="87">
        <f>IF(H18=0,0,H18/TrRail_act!H11*1000)</f>
        <v>5.0112103357674194</v>
      </c>
      <c r="I42" s="87">
        <f>IF(I18=0,0,I18/TrRail_act!I11*1000)</f>
        <v>5.1748848493318444</v>
      </c>
      <c r="J42" s="87">
        <f>IF(J18=0,0,J18/TrRail_act!J11*1000)</f>
        <v>5.0816332366523023</v>
      </c>
      <c r="K42" s="87">
        <f>IF(K18=0,0,K18/TrRail_act!K11*1000)</f>
        <v>5.2080473028337595</v>
      </c>
      <c r="L42" s="87">
        <f>IF(L18=0,0,L18/TrRail_act!L11*1000)</f>
        <v>5.2208104586699253</v>
      </c>
      <c r="M42" s="87">
        <f>IF(M18=0,0,M18/TrRail_act!M11*1000)</f>
        <v>4.6158328687029186</v>
      </c>
      <c r="N42" s="87">
        <f>IF(N18=0,0,N18/TrRail_act!N11*1000)</f>
        <v>4.1036978633262589</v>
      </c>
      <c r="O42" s="87">
        <f>IF(O18=0,0,O18/TrRail_act!O11*1000)</f>
        <v>4.7478491012604973</v>
      </c>
      <c r="P42" s="87">
        <f>IF(P18=0,0,P18/TrRail_act!P11*1000)</f>
        <v>4.4916101202888079</v>
      </c>
      <c r="Q42" s="87">
        <f>IF(Q18=0,0,Q18/TrRail_act!Q11*1000)</f>
        <v>4.5208712874730805</v>
      </c>
      <c r="R42" s="87">
        <f>IF(R18=0,0,R18/TrRail_act!R11*1000)</f>
        <v>3.9281854812818344</v>
      </c>
      <c r="S42" s="87">
        <f>IF(S18=0,0,S18/TrRail_act!S11*1000)</f>
        <v>3.6920900293991346</v>
      </c>
      <c r="T42" s="87">
        <f>IF(T18=0,0,T18/TrRail_act!T11*1000)</f>
        <v>5.1360523416079342</v>
      </c>
      <c r="U42" s="87">
        <f>IF(U18=0,0,U18/TrRail_act!U11*1000)</f>
        <v>5.0227786348288008</v>
      </c>
      <c r="V42" s="87">
        <f>IF(V18=0,0,V18/TrRail_act!V11*1000)</f>
        <v>6.5417651804577526</v>
      </c>
      <c r="W42" s="87">
        <f>IF(W18=0,0,W18/TrRail_act!W11*1000)</f>
        <v>6.2104973981318707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3.7101713595495123</v>
      </c>
      <c r="C43" s="88">
        <f>IF(C19=0,0,C19/TrRail_act!C12*1000)</f>
        <v>3.9757746448005258</v>
      </c>
      <c r="D43" s="88">
        <f>IF(D19=0,0,D19/TrRail_act!D12*1000)</f>
        <v>4.0385031544158467</v>
      </c>
      <c r="E43" s="88">
        <f>IF(E19=0,0,E19/TrRail_act!E12*1000)</f>
        <v>4.0039912282321941</v>
      </c>
      <c r="F43" s="88">
        <f>IF(F19=0,0,F19/TrRail_act!F12*1000)</f>
        <v>3.7668354234395887</v>
      </c>
      <c r="G43" s="88">
        <f>IF(G19=0,0,G19/TrRail_act!G12*1000)</f>
        <v>3.561341722270067</v>
      </c>
      <c r="H43" s="88">
        <f>IF(H19=0,0,H19/TrRail_act!H12*1000)</f>
        <v>3.5647473235657876</v>
      </c>
      <c r="I43" s="88">
        <f>IF(I19=0,0,I19/TrRail_act!I12*1000)</f>
        <v>3.6874952394130771</v>
      </c>
      <c r="J43" s="88">
        <f>IF(J19=0,0,J19/TrRail_act!J12*1000)</f>
        <v>3.5937105119700652</v>
      </c>
      <c r="K43" s="88">
        <f>IF(K19=0,0,K19/TrRail_act!K12*1000)</f>
        <v>3.4783761129949649</v>
      </c>
      <c r="L43" s="88">
        <f>IF(L19=0,0,L19/TrRail_act!L12*1000)</f>
        <v>3.1593225056732384</v>
      </c>
      <c r="M43" s="88">
        <f>IF(M19=0,0,M19/TrRail_act!M12*1000)</f>
        <v>2.8990997010115538</v>
      </c>
      <c r="N43" s="88">
        <f>IF(N19=0,0,N19/TrRail_act!N12*1000)</f>
        <v>2.5952300844094855</v>
      </c>
      <c r="O43" s="88">
        <f>IF(O19=0,0,O19/TrRail_act!O12*1000)</f>
        <v>2.8720883811094744</v>
      </c>
      <c r="P43" s="88">
        <f>IF(P19=0,0,P19/TrRail_act!P12*1000)</f>
        <v>2.8471060167084952</v>
      </c>
      <c r="Q43" s="88">
        <f>IF(Q19=0,0,Q19/TrRail_act!Q12*1000)</f>
        <v>2.6306430279982043</v>
      </c>
      <c r="R43" s="88">
        <f>IF(R19=0,0,R19/TrRail_act!R12*1000)</f>
        <v>2.5020824176206182</v>
      </c>
      <c r="S43" s="88">
        <f>IF(S19=0,0,S19/TrRail_act!S12*1000)</f>
        <v>2.4570141248007391</v>
      </c>
      <c r="T43" s="88">
        <f>IF(T19=0,0,T19/TrRail_act!T12*1000)</f>
        <v>2.7558110295789819</v>
      </c>
      <c r="U43" s="88">
        <f>IF(U19=0,0,U19/TrRail_act!U12*1000)</f>
        <v>2.6477282518078287</v>
      </c>
      <c r="V43" s="88">
        <f>IF(V19=0,0,V19/TrRail_act!V12*1000)</f>
        <v>3.0695436898597599</v>
      </c>
      <c r="W43" s="88">
        <f>IF(W19=0,0,W19/TrRail_act!W12*1000)</f>
        <v>2.2800625410071933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232194.71568434846</v>
      </c>
      <c r="C45" s="54">
        <f>IF(C10=0,0,1000000*C10/TrRail_act!C25)</f>
        <v>224635.54851659932</v>
      </c>
      <c r="D45" s="54">
        <f>IF(D10=0,0,1000000*D10/TrRail_act!D25)</f>
        <v>220705.79232778243</v>
      </c>
      <c r="E45" s="54">
        <f>IF(E10=0,0,1000000*E10/TrRail_act!E25)</f>
        <v>212106.1829414565</v>
      </c>
      <c r="F45" s="54">
        <f>IF(F10=0,0,1000000*F10/TrRail_act!F25)</f>
        <v>210975.09947884455</v>
      </c>
      <c r="G45" s="54">
        <f>IF(G10=0,0,1000000*G10/TrRail_act!G25)</f>
        <v>206299.1705588286</v>
      </c>
      <c r="H45" s="54">
        <f>IF(H10=0,0,1000000*H10/TrRail_act!H25)</f>
        <v>207441.32136881829</v>
      </c>
      <c r="I45" s="54">
        <f>IF(I10=0,0,1000000*I10/TrRail_act!I25)</f>
        <v>200938.81819633188</v>
      </c>
      <c r="J45" s="54">
        <f>IF(J10=0,0,1000000*J10/TrRail_act!J25)</f>
        <v>196087.57952519774</v>
      </c>
      <c r="K45" s="54">
        <f>IF(K10=0,0,1000000*K10/TrRail_act!K25)</f>
        <v>183991.30678220061</v>
      </c>
      <c r="L45" s="54">
        <f>IF(L10=0,0,1000000*L10/TrRail_act!L25)</f>
        <v>177207.84206943278</v>
      </c>
      <c r="M45" s="54">
        <f>IF(M10=0,0,1000000*M10/TrRail_act!M25)</f>
        <v>171752.21656059931</v>
      </c>
      <c r="N45" s="54">
        <f>IF(N10=0,0,1000000*N10/TrRail_act!N25)</f>
        <v>161600.05396375703</v>
      </c>
      <c r="O45" s="54">
        <f>IF(O10=0,0,1000000*O10/TrRail_act!O25)</f>
        <v>171294.03359834093</v>
      </c>
      <c r="P45" s="54">
        <f>IF(P10=0,0,1000000*P10/TrRail_act!P25)</f>
        <v>161551.16529364226</v>
      </c>
      <c r="Q45" s="54">
        <f>IF(Q10=0,0,1000000*Q10/TrRail_act!Q25)</f>
        <v>150769.69393454783</v>
      </c>
      <c r="R45" s="54">
        <f>IF(R10=0,0,1000000*R10/TrRail_act!R25)</f>
        <v>147529.44755294066</v>
      </c>
      <c r="S45" s="54">
        <f>IF(S10=0,0,1000000*S10/TrRail_act!S25)</f>
        <v>151223.50676455896</v>
      </c>
      <c r="T45" s="54">
        <f>IF(T10=0,0,1000000*T10/TrRail_act!T25)</f>
        <v>150673.9346540267</v>
      </c>
      <c r="U45" s="54">
        <f>IF(U10=0,0,1000000*U10/TrRail_act!U25)</f>
        <v>152175.5785668233</v>
      </c>
      <c r="V45" s="54">
        <f>IF(V10=0,0,1000000*V10/TrRail_act!V25)</f>
        <v>150416.33153846356</v>
      </c>
      <c r="W45" s="54">
        <f>IF(W10=0,0,1000000*W10/TrRail_act!W25)</f>
        <v>147696.88208532173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201097.81335778395</v>
      </c>
      <c r="C46" s="28">
        <f>IF(C11=0,0,1000000*C11/TrRail_act!C26)</f>
        <v>196789.20264917632</v>
      </c>
      <c r="D46" s="28">
        <f>IF(D11=0,0,1000000*D11/TrRail_act!D26)</f>
        <v>192519.49958522004</v>
      </c>
      <c r="E46" s="28">
        <f>IF(E11=0,0,1000000*E11/TrRail_act!E26)</f>
        <v>186506.34618588531</v>
      </c>
      <c r="F46" s="28">
        <f>IF(F11=0,0,1000000*F11/TrRail_act!F26)</f>
        <v>183972.19967360082</v>
      </c>
      <c r="G46" s="28">
        <f>IF(G11=0,0,1000000*G11/TrRail_act!G26)</f>
        <v>178925.27780545899</v>
      </c>
      <c r="H46" s="28">
        <f>IF(H11=0,0,1000000*H11/TrRail_act!H26)</f>
        <v>178151.53315564699</v>
      </c>
      <c r="I46" s="28">
        <f>IF(I11=0,0,1000000*I11/TrRail_act!I26)</f>
        <v>171950.80538901722</v>
      </c>
      <c r="J46" s="28">
        <f>IF(J11=0,0,1000000*J11/TrRail_act!J26)</f>
        <v>168842.78526393091</v>
      </c>
      <c r="K46" s="28">
        <f>IF(K11=0,0,1000000*K11/TrRail_act!K26)</f>
        <v>167754.41104929408</v>
      </c>
      <c r="L46" s="28">
        <f>IF(L11=0,0,1000000*L11/TrRail_act!L26)</f>
        <v>155520.10920962517</v>
      </c>
      <c r="M46" s="28">
        <f>IF(M11=0,0,1000000*M11/TrRail_act!M26)</f>
        <v>153906.75279032259</v>
      </c>
      <c r="N46" s="28">
        <f>IF(N11=0,0,1000000*N11/TrRail_act!N26)</f>
        <v>141948.52379241929</v>
      </c>
      <c r="O46" s="28">
        <f>IF(O11=0,0,1000000*O11/TrRail_act!O26)</f>
        <v>150897.5024131386</v>
      </c>
      <c r="P46" s="28">
        <f>IF(P11=0,0,1000000*P11/TrRail_act!P26)</f>
        <v>140503.55365649477</v>
      </c>
      <c r="Q46" s="28">
        <f>IF(Q11=0,0,1000000*Q11/TrRail_act!Q26)</f>
        <v>131212.05708566093</v>
      </c>
      <c r="R46" s="28">
        <f>IF(R11=0,0,1000000*R11/TrRail_act!R26)</f>
        <v>128825.73411198254</v>
      </c>
      <c r="S46" s="28">
        <f>IF(S11=0,0,1000000*S11/TrRail_act!S26)</f>
        <v>128509.65307358003</v>
      </c>
      <c r="T46" s="28">
        <f>IF(T11=0,0,1000000*T11/TrRail_act!T26)</f>
        <v>129958.10089789938</v>
      </c>
      <c r="U46" s="28">
        <f>IF(U11=0,0,1000000*U11/TrRail_act!U26)</f>
        <v>130940.20654765566</v>
      </c>
      <c r="V46" s="28">
        <f>IF(V11=0,0,1000000*V11/TrRail_act!V26)</f>
        <v>121059.6862345328</v>
      </c>
      <c r="W46" s="28">
        <f>IF(W11=0,0,1000000*W11/TrRail_act!W26)</f>
        <v>129452.74881030248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52212.275440555735</v>
      </c>
      <c r="C47" s="108">
        <f>IF(C12=0,0,1000000*C12/TrRail_act!C27)</f>
        <v>51741.682211709078</v>
      </c>
      <c r="D47" s="108">
        <f>IF(D12=0,0,1000000*D12/TrRail_act!D27)</f>
        <v>50567.57113862702</v>
      </c>
      <c r="E47" s="108">
        <f>IF(E12=0,0,1000000*E12/TrRail_act!E27)</f>
        <v>49978.97984821588</v>
      </c>
      <c r="F47" s="108">
        <f>IF(F12=0,0,1000000*F12/TrRail_act!F27)</f>
        <v>49544.078078962542</v>
      </c>
      <c r="G47" s="108">
        <f>IF(G12=0,0,1000000*G12/TrRail_act!G27)</f>
        <v>49127.521045920257</v>
      </c>
      <c r="H47" s="108">
        <f>IF(H12=0,0,1000000*H12/TrRail_act!H27)</f>
        <v>48660.04128262552</v>
      </c>
      <c r="I47" s="108">
        <f>IF(I12=0,0,1000000*I12/TrRail_act!I27)</f>
        <v>48203.81100748109</v>
      </c>
      <c r="J47" s="108">
        <f>IF(J12=0,0,1000000*J12/TrRail_act!J27)</f>
        <v>47802.156598296438</v>
      </c>
      <c r="K47" s="108">
        <f>IF(K12=0,0,1000000*K12/TrRail_act!K27)</f>
        <v>47440.484777632344</v>
      </c>
      <c r="L47" s="108">
        <f>IF(L12=0,0,1000000*L12/TrRail_act!L27)</f>
        <v>46947.333129781146</v>
      </c>
      <c r="M47" s="108">
        <f>IF(M12=0,0,1000000*M12/TrRail_act!M27)</f>
        <v>46752.546565106648</v>
      </c>
      <c r="N47" s="108">
        <f>IF(N12=0,0,1000000*N12/TrRail_act!N27)</f>
        <v>46337.299466472607</v>
      </c>
      <c r="O47" s="108">
        <f>IF(O12=0,0,1000000*O12/TrRail_act!O27)</f>
        <v>45583.15798252917</v>
      </c>
      <c r="P47" s="108">
        <f>IF(P12=0,0,1000000*P12/TrRail_act!P27)</f>
        <v>45351.595115111901</v>
      </c>
      <c r="Q47" s="108">
        <f>IF(Q12=0,0,1000000*Q12/TrRail_act!Q27)</f>
        <v>45162.550282733995</v>
      </c>
      <c r="R47" s="108">
        <f>IF(R12=0,0,1000000*R12/TrRail_act!R27)</f>
        <v>44571.071112672944</v>
      </c>
      <c r="S47" s="108">
        <f>IF(S12=0,0,1000000*S12/TrRail_act!S27)</f>
        <v>44132.550874545166</v>
      </c>
      <c r="T47" s="108">
        <f>IF(T12=0,0,1000000*T12/TrRail_act!T27)</f>
        <v>39670.06751466151</v>
      </c>
      <c r="U47" s="108">
        <f>IF(U12=0,0,1000000*U12/TrRail_act!U27)</f>
        <v>43563.53390747388</v>
      </c>
      <c r="V47" s="108">
        <f>IF(V12=0,0,1000000*V12/TrRail_act!V27)</f>
        <v>43382.19816782156</v>
      </c>
      <c r="W47" s="108">
        <f>IF(W12=0,0,1000000*W12/TrRail_act!W27)</f>
        <v>43246.691934619143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300624.99558211531</v>
      </c>
      <c r="C48" s="110">
        <f>IF(C13=0,0,1000000*C13/TrRail_act!C28)</f>
        <v>291418.85997665575</v>
      </c>
      <c r="D48" s="110">
        <f>IF(D13=0,0,1000000*D13/TrRail_act!D28)</f>
        <v>282361.01338761224</v>
      </c>
      <c r="E48" s="110">
        <f>IF(E13=0,0,1000000*E13/TrRail_act!E28)</f>
        <v>271181.42758462584</v>
      </c>
      <c r="F48" s="110">
        <f>IF(F13=0,0,1000000*F13/TrRail_act!F28)</f>
        <v>263808.4145880022</v>
      </c>
      <c r="G48" s="110">
        <f>IF(G13=0,0,1000000*G13/TrRail_act!G28)</f>
        <v>254340.45847859612</v>
      </c>
      <c r="H48" s="110">
        <f>IF(H13=0,0,1000000*H13/TrRail_act!H28)</f>
        <v>248243.62398588765</v>
      </c>
      <c r="I48" s="110">
        <f>IF(I13=0,0,1000000*I13/TrRail_act!I28)</f>
        <v>241448.94575926007</v>
      </c>
      <c r="J48" s="110">
        <f>IF(J13=0,0,1000000*J13/TrRail_act!J28)</f>
        <v>238820.72553650776</v>
      </c>
      <c r="K48" s="110">
        <f>IF(K13=0,0,1000000*K13/TrRail_act!K28)</f>
        <v>236258.02411764779</v>
      </c>
      <c r="L48" s="110">
        <f>IF(L13=0,0,1000000*L13/TrRail_act!L28)</f>
        <v>221169.15054317573</v>
      </c>
      <c r="M48" s="110">
        <f>IF(M13=0,0,1000000*M13/TrRail_act!M28)</f>
        <v>223584.51134316809</v>
      </c>
      <c r="N48" s="110">
        <f>IF(N13=0,0,1000000*N13/TrRail_act!N28)</f>
        <v>209493.7462447354</v>
      </c>
      <c r="O48" s="110">
        <f>IF(O13=0,0,1000000*O13/TrRail_act!O28)</f>
        <v>210983.7900328518</v>
      </c>
      <c r="P48" s="110">
        <f>IF(P13=0,0,1000000*P13/TrRail_act!P28)</f>
        <v>203087.00537581107</v>
      </c>
      <c r="Q48" s="110">
        <f>IF(Q13=0,0,1000000*Q13/TrRail_act!Q28)</f>
        <v>198701.65730326233</v>
      </c>
      <c r="R48" s="110">
        <f>IF(R13=0,0,1000000*R13/TrRail_act!R28)</f>
        <v>197684.27935324717</v>
      </c>
      <c r="S48" s="110">
        <f>IF(S13=0,0,1000000*S13/TrRail_act!S28)</f>
        <v>196246.8215238844</v>
      </c>
      <c r="T48" s="110">
        <f>IF(T13=0,0,1000000*T13/TrRail_act!T28)</f>
        <v>193057.07899778479</v>
      </c>
      <c r="U48" s="110">
        <f>IF(U13=0,0,1000000*U13/TrRail_act!U28)</f>
        <v>190791.17835469442</v>
      </c>
      <c r="V48" s="110">
        <f>IF(V13=0,0,1000000*V13/TrRail_act!V28)</f>
        <v>176832.04484879278</v>
      </c>
      <c r="W48" s="110">
        <f>IF(W13=0,0,1000000*W13/TrRail_act!W28)</f>
        <v>186024.26538477515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361268.84281685</v>
      </c>
      <c r="C49" s="84">
        <f>IF(C14=0,0,1000000*C14/TrRail_act!C29)</f>
        <v>347339.95302984648</v>
      </c>
      <c r="D49" s="84">
        <f>IF(D14=0,0,1000000*D14/TrRail_act!D29)</f>
        <v>328328.54483175609</v>
      </c>
      <c r="E49" s="84">
        <f>IF(E14=0,0,1000000*E14/TrRail_act!E29)</f>
        <v>317834.140925791</v>
      </c>
      <c r="F49" s="84">
        <f>IF(F14=0,0,1000000*F14/TrRail_act!F29)</f>
        <v>315714.95499854727</v>
      </c>
      <c r="G49" s="84">
        <f>IF(G14=0,0,1000000*G14/TrRail_act!G29)</f>
        <v>303034.8094163363</v>
      </c>
      <c r="H49" s="84">
        <f>IF(H14=0,0,1000000*H14/TrRail_act!H29)</f>
        <v>300099.30161021103</v>
      </c>
      <c r="I49" s="84">
        <f>IF(I14=0,0,1000000*I14/TrRail_act!I29)</f>
        <v>287440.35584806342</v>
      </c>
      <c r="J49" s="84">
        <f>IF(J14=0,0,1000000*J14/TrRail_act!J29)</f>
        <v>284179.33666371601</v>
      </c>
      <c r="K49" s="84">
        <f>IF(K14=0,0,1000000*K14/TrRail_act!K29)</f>
        <v>283100.35749144177</v>
      </c>
      <c r="L49" s="84">
        <f>IF(L14=0,0,1000000*L14/TrRail_act!L29)</f>
        <v>273066.29862887692</v>
      </c>
      <c r="M49" s="84">
        <f>IF(M14=0,0,1000000*M14/TrRail_act!M29)</f>
        <v>265350.08103633084</v>
      </c>
      <c r="N49" s="84">
        <f>IF(N14=0,0,1000000*N14/TrRail_act!N29)</f>
        <v>247726.77576426012</v>
      </c>
      <c r="O49" s="84">
        <f>IF(O14=0,0,1000000*O14/TrRail_act!O29)</f>
        <v>253810.7306700825</v>
      </c>
      <c r="P49" s="84">
        <f>IF(P14=0,0,1000000*P14/TrRail_act!P29)</f>
        <v>249551.80773524742</v>
      </c>
      <c r="Q49" s="84">
        <f>IF(Q14=0,0,1000000*Q14/TrRail_act!Q29)</f>
        <v>229965.17038650301</v>
      </c>
      <c r="R49" s="84">
        <f>IF(R14=0,0,1000000*R14/TrRail_act!R29)</f>
        <v>243101.19499205778</v>
      </c>
      <c r="S49" s="84">
        <f>IF(S14=0,0,1000000*S14/TrRail_act!S29)</f>
        <v>239507.0168182551</v>
      </c>
      <c r="T49" s="84">
        <f>IF(T14=0,0,1000000*T14/TrRail_act!T29)</f>
        <v>236846.29811869364</v>
      </c>
      <c r="U49" s="84">
        <f>IF(U14=0,0,1000000*U14/TrRail_act!U29)</f>
        <v>234870.17601340279</v>
      </c>
      <c r="V49" s="84">
        <f>IF(V14=0,0,1000000*V14/TrRail_act!V29)</f>
        <v>212923.8246847727</v>
      </c>
      <c r="W49" s="84">
        <f>IF(W14=0,0,1000000*W14/TrRail_act!W29)</f>
        <v>232301.51420429512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241049.6473041914</v>
      </c>
      <c r="C50" s="84">
        <f>IF(C15=0,0,1000000*C15/TrRail_act!C30)</f>
        <v>239661.27443913103</v>
      </c>
      <c r="D50" s="84">
        <f>IF(D15=0,0,1000000*D15/TrRail_act!D30)</f>
        <v>238006.92473760626</v>
      </c>
      <c r="E50" s="84">
        <f>IF(E15=0,0,1000000*E15/TrRail_act!E30)</f>
        <v>229760.87727352345</v>
      </c>
      <c r="F50" s="84">
        <f>IF(F15=0,0,1000000*F15/TrRail_act!F30)</f>
        <v>223453.96330675454</v>
      </c>
      <c r="G50" s="84">
        <f>IF(G15=0,0,1000000*G15/TrRail_act!G30)</f>
        <v>220231.65933862375</v>
      </c>
      <c r="H50" s="84">
        <f>IF(H15=0,0,1000000*H15/TrRail_act!H30)</f>
        <v>217979.75356559662</v>
      </c>
      <c r="I50" s="84">
        <f>IF(I15=0,0,1000000*I15/TrRail_act!I30)</f>
        <v>215244.97204781062</v>
      </c>
      <c r="J50" s="84">
        <f>IF(J15=0,0,1000000*J15/TrRail_act!J30)</f>
        <v>211726.7071248322</v>
      </c>
      <c r="K50" s="84">
        <f>IF(K15=0,0,1000000*K15/TrRail_act!K30)</f>
        <v>208470.49890898392</v>
      </c>
      <c r="L50" s="84">
        <f>IF(L15=0,0,1000000*L15/TrRail_act!L30)</f>
        <v>191491.04128336784</v>
      </c>
      <c r="M50" s="84">
        <f>IF(M15=0,0,1000000*M15/TrRail_act!M30)</f>
        <v>200193.01086502348</v>
      </c>
      <c r="N50" s="84">
        <f>IF(N15=0,0,1000000*N15/TrRail_act!N30)</f>
        <v>189302.10482640882</v>
      </c>
      <c r="O50" s="84">
        <f>IF(O15=0,0,1000000*O15/TrRail_act!O30)</f>
        <v>190951.86483151556</v>
      </c>
      <c r="P50" s="84">
        <f>IF(P15=0,0,1000000*P15/TrRail_act!P30)</f>
        <v>178161.29481653371</v>
      </c>
      <c r="Q50" s="84">
        <f>IF(Q15=0,0,1000000*Q15/TrRail_act!Q30)</f>
        <v>183554.84031366979</v>
      </c>
      <c r="R50" s="84">
        <f>IF(R15=0,0,1000000*R15/TrRail_act!R30)</f>
        <v>177703.1664908774</v>
      </c>
      <c r="S50" s="84">
        <f>IF(S15=0,0,1000000*S15/TrRail_act!S30)</f>
        <v>175908.18489254103</v>
      </c>
      <c r="T50" s="84">
        <f>IF(T15=0,0,1000000*T15/TrRail_act!T30)</f>
        <v>174573.85727834218</v>
      </c>
      <c r="U50" s="84">
        <f>IF(U15=0,0,1000000*U15/TrRail_act!U30)</f>
        <v>173579.75835434967</v>
      </c>
      <c r="V50" s="84">
        <f>IF(V15=0,0,1000000*V15/TrRail_act!V30)</f>
        <v>164076.64413750303</v>
      </c>
      <c r="W50" s="84">
        <f>IF(W15=0,0,1000000*W15/TrRail_act!W30)</f>
        <v>172283.58878330779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515478.40352552669</v>
      </c>
      <c r="C52" s="28">
        <f>IF(C17=0,0,1000000*C17/TrRail_act!C32)</f>
        <v>499315.52661497577</v>
      </c>
      <c r="D52" s="28">
        <f>IF(D17=0,0,1000000*D17/TrRail_act!D32)</f>
        <v>490015.26869553683</v>
      </c>
      <c r="E52" s="28">
        <f>IF(E17=0,0,1000000*E17/TrRail_act!E32)</f>
        <v>468372.76372828119</v>
      </c>
      <c r="F52" s="28">
        <f>IF(F17=0,0,1000000*F17/TrRail_act!F32)</f>
        <v>452728.02252559294</v>
      </c>
      <c r="G52" s="28">
        <f>IF(G17=0,0,1000000*G17/TrRail_act!G32)</f>
        <v>442084.69480568921</v>
      </c>
      <c r="H52" s="28">
        <f>IF(H17=0,0,1000000*H17/TrRail_act!H32)</f>
        <v>434463.32035683992</v>
      </c>
      <c r="I52" s="28">
        <f>IF(I17=0,0,1000000*I17/TrRail_act!I32)</f>
        <v>419390.26067900244</v>
      </c>
      <c r="J52" s="28">
        <f>IF(J17=0,0,1000000*J17/TrRail_act!J32)</f>
        <v>408069.95997389522</v>
      </c>
      <c r="K52" s="28">
        <f>IF(K17=0,0,1000000*K17/TrRail_act!K32)</f>
        <v>335202.85827354214</v>
      </c>
      <c r="L52" s="28">
        <f>IF(L17=0,0,1000000*L17/TrRail_act!L32)</f>
        <v>385214.84710016689</v>
      </c>
      <c r="M52" s="28">
        <f>IF(M17=0,0,1000000*M17/TrRail_act!M32)</f>
        <v>330997.8136041399</v>
      </c>
      <c r="N52" s="28">
        <f>IF(N17=0,0,1000000*N17/TrRail_act!N32)</f>
        <v>341591.44551670161</v>
      </c>
      <c r="O52" s="28">
        <f>IF(O17=0,0,1000000*O17/TrRail_act!O32)</f>
        <v>364166.6279582117</v>
      </c>
      <c r="P52" s="28">
        <f>IF(P17=0,0,1000000*P17/TrRail_act!P32)</f>
        <v>359751.76447939628</v>
      </c>
      <c r="Q52" s="28">
        <f>IF(Q17=0,0,1000000*Q17/TrRail_act!Q32)</f>
        <v>349897.91502522881</v>
      </c>
      <c r="R52" s="28">
        <f>IF(R17=0,0,1000000*R17/TrRail_act!R32)</f>
        <v>338822.7176801195</v>
      </c>
      <c r="S52" s="28">
        <f>IF(S17=0,0,1000000*S17/TrRail_act!S32)</f>
        <v>333086.93519335409</v>
      </c>
      <c r="T52" s="28">
        <f>IF(T17=0,0,1000000*T17/TrRail_act!T32)</f>
        <v>325296.60727737704</v>
      </c>
      <c r="U52" s="28">
        <f>IF(U17=0,0,1000000*U17/TrRail_act!U32)</f>
        <v>333683.43225721334</v>
      </c>
      <c r="V52" s="28">
        <f>IF(V17=0,0,1000000*V17/TrRail_act!V32)</f>
        <v>331810.13295709796</v>
      </c>
      <c r="W52" s="28">
        <f>IF(W17=0,0,1000000*W17/TrRail_act!W32)</f>
        <v>271514.65253595053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900393.52503769775</v>
      </c>
      <c r="C53" s="84">
        <f>IF(C18=0,0,1000000*C18/TrRail_act!C33)</f>
        <v>851797.52960302331</v>
      </c>
      <c r="D53" s="84">
        <f>IF(D18=0,0,1000000*D18/TrRail_act!D33)</f>
        <v>834633.24829660286</v>
      </c>
      <c r="E53" s="84">
        <f>IF(E18=0,0,1000000*E18/TrRail_act!E33)</f>
        <v>824902.55631326407</v>
      </c>
      <c r="F53" s="84">
        <f>IF(F18=0,0,1000000*F18/TrRail_act!F33)</f>
        <v>820572.65128187556</v>
      </c>
      <c r="G53" s="84">
        <f>IF(G18=0,0,1000000*G18/TrRail_act!G33)</f>
        <v>810774.19219413027</v>
      </c>
      <c r="H53" s="84">
        <f>IF(H18=0,0,1000000*H18/TrRail_act!H33)</f>
        <v>803790.99673987424</v>
      </c>
      <c r="I53" s="84">
        <f>IF(I18=0,0,1000000*I18/TrRail_act!I33)</f>
        <v>798695.10433749238</v>
      </c>
      <c r="J53" s="84">
        <f>IF(J18=0,0,1000000*J18/TrRail_act!J33)</f>
        <v>790673.65405798401</v>
      </c>
      <c r="K53" s="84">
        <f>IF(K18=0,0,1000000*K18/TrRail_act!K33)</f>
        <v>642551.19374042994</v>
      </c>
      <c r="L53" s="84">
        <f>IF(L18=0,0,1000000*L18/TrRail_act!L33)</f>
        <v>736188.07407502993</v>
      </c>
      <c r="M53" s="84">
        <f>IF(M18=0,0,1000000*M18/TrRail_act!M33)</f>
        <v>359434.07122489408</v>
      </c>
      <c r="N53" s="84">
        <f>IF(N18=0,0,1000000*N18/TrRail_act!N33)</f>
        <v>766121.80873871199</v>
      </c>
      <c r="O53" s="84">
        <f>IF(O18=0,0,1000000*O18/TrRail_act!O33)</f>
        <v>761448.94590948604</v>
      </c>
      <c r="P53" s="84">
        <f>IF(P18=0,0,1000000*P18/TrRail_act!P33)</f>
        <v>755707.96541151369</v>
      </c>
      <c r="Q53" s="84">
        <f>IF(Q18=0,0,1000000*Q18/TrRail_act!Q33)</f>
        <v>752261.90051531151</v>
      </c>
      <c r="R53" s="84">
        <f>IF(R18=0,0,1000000*R18/TrRail_act!R33)</f>
        <v>748188.28817204665</v>
      </c>
      <c r="S53" s="84">
        <f>IF(S18=0,0,1000000*S18/TrRail_act!S33)</f>
        <v>745147.595658754</v>
      </c>
      <c r="T53" s="84">
        <f>IF(T18=0,0,1000000*T18/TrRail_act!T33)</f>
        <v>742875.16553048312</v>
      </c>
      <c r="U53" s="84">
        <f>IF(U18=0,0,1000000*U18/TrRail_act!U33)</f>
        <v>741175.3389384927</v>
      </c>
      <c r="V53" s="84">
        <f>IF(V18=0,0,1000000*V18/TrRail_act!V33)</f>
        <v>739903.11697700457</v>
      </c>
      <c r="W53" s="84">
        <f>IF(W18=0,0,1000000*W18/TrRail_act!W33)</f>
        <v>738950.31252151018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413952.74431826081</v>
      </c>
      <c r="C54" s="86">
        <f>IF(C19=0,0,1000000*C19/TrRail_act!C34)</f>
        <v>411568.496100866</v>
      </c>
      <c r="D54" s="86">
        <f>IF(D19=0,0,1000000*D19/TrRail_act!D34)</f>
        <v>408727.49582298967</v>
      </c>
      <c r="E54" s="86">
        <f>IF(E19=0,0,1000000*E19/TrRail_act!E34)</f>
        <v>394566.62138496782</v>
      </c>
      <c r="F54" s="86">
        <f>IF(F19=0,0,1000000*F19/TrRail_act!F34)</f>
        <v>383735.80834725383</v>
      </c>
      <c r="G54" s="86">
        <f>IF(G19=0,0,1000000*G19/TrRail_act!G34)</f>
        <v>374420.14606412442</v>
      </c>
      <c r="H54" s="86">
        <f>IF(H19=0,0,1000000*H19/TrRail_act!H34)</f>
        <v>363216.86461540119</v>
      </c>
      <c r="I54" s="86">
        <f>IF(I19=0,0,1000000*I19/TrRail_act!I34)</f>
        <v>351522.59893077565</v>
      </c>
      <c r="J54" s="86">
        <f>IF(J19=0,0,1000000*J19/TrRail_act!J34)</f>
        <v>344662.77223194478</v>
      </c>
      <c r="K54" s="86">
        <f>IF(K19=0,0,1000000*K19/TrRail_act!K34)</f>
        <v>286605.36999624211</v>
      </c>
      <c r="L54" s="86">
        <f>IF(L19=0,0,1000000*L19/TrRail_act!L34)</f>
        <v>333026.13003768172</v>
      </c>
      <c r="M54" s="86">
        <f>IF(M19=0,0,1000000*M19/TrRail_act!M34)</f>
        <v>327634.44664853695</v>
      </c>
      <c r="N54" s="86">
        <f>IF(N19=0,0,1000000*N19/TrRail_act!N34)</f>
        <v>293570.13953453145</v>
      </c>
      <c r="O54" s="86">
        <f>IF(O19=0,0,1000000*O19/TrRail_act!O34)</f>
        <v>314998.83257360052</v>
      </c>
      <c r="P54" s="86">
        <f>IF(P19=0,0,1000000*P19/TrRail_act!P34)</f>
        <v>309006.4146023675</v>
      </c>
      <c r="Q54" s="86">
        <f>IF(Q19=0,0,1000000*Q19/TrRail_act!Q34)</f>
        <v>302796.52061374986</v>
      </c>
      <c r="R54" s="86">
        <f>IF(R19=0,0,1000000*R19/TrRail_act!R34)</f>
        <v>296730.03069179709</v>
      </c>
      <c r="S54" s="86">
        <f>IF(S19=0,0,1000000*S19/TrRail_act!S34)</f>
        <v>292260.06144759222</v>
      </c>
      <c r="T54" s="86">
        <f>IF(T19=0,0,1000000*T19/TrRail_act!T34)</f>
        <v>276385.25394556369</v>
      </c>
      <c r="U54" s="86">
        <f>IF(U19=0,0,1000000*U19/TrRail_act!U34)</f>
        <v>286495.2487184169</v>
      </c>
      <c r="V54" s="86">
        <f>IF(V19=0,0,1000000*V19/TrRail_act!V34)</f>
        <v>284666.53291727509</v>
      </c>
      <c r="W54" s="86">
        <f>IF(W19=0,0,1000000*W19/TrRail_act!W34)</f>
        <v>218758.851653046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0.78040646617330633</v>
      </c>
      <c r="C57" s="31">
        <f t="shared" ref="C57:V57" si="17">IF(C11=0,0,C11/C$10)</f>
        <v>0.79540188440622528</v>
      </c>
      <c r="D57" s="31">
        <f t="shared" si="17"/>
        <v>0.78964489991796205</v>
      </c>
      <c r="E57" s="31">
        <f t="shared" si="17"/>
        <v>0.7994456139632663</v>
      </c>
      <c r="F57" s="31">
        <f t="shared" si="17"/>
        <v>0.78439506408718762</v>
      </c>
      <c r="G57" s="31">
        <f t="shared" si="17"/>
        <v>0.77709200596551697</v>
      </c>
      <c r="H57" s="31">
        <f t="shared" si="17"/>
        <v>0.76066539375649977</v>
      </c>
      <c r="I57" s="31">
        <f t="shared" si="17"/>
        <v>0.75548585339297181</v>
      </c>
      <c r="J57" s="31">
        <f t="shared" si="17"/>
        <v>0.76299497112920989</v>
      </c>
      <c r="K57" s="31">
        <f t="shared" si="17"/>
        <v>0.82334241608346503</v>
      </c>
      <c r="L57" s="31">
        <f t="shared" si="17"/>
        <v>0.79474998872603519</v>
      </c>
      <c r="M57" s="31">
        <f t="shared" si="17"/>
        <v>0.80579787669222913</v>
      </c>
      <c r="N57" s="31">
        <f t="shared" si="17"/>
        <v>0.79193073162345917</v>
      </c>
      <c r="O57" s="31">
        <f t="shared" si="17"/>
        <v>0.79667712871605123</v>
      </c>
      <c r="P57" s="31">
        <f t="shared" si="17"/>
        <v>0.78622367769527879</v>
      </c>
      <c r="Q57" s="31">
        <f t="shared" si="17"/>
        <v>0.79244988403940664</v>
      </c>
      <c r="R57" s="31">
        <f t="shared" si="17"/>
        <v>0.79544571147325949</v>
      </c>
      <c r="S57" s="31">
        <f t="shared" si="17"/>
        <v>0.75544772171488084</v>
      </c>
      <c r="T57" s="31">
        <f t="shared" si="17"/>
        <v>0.77104192826495332</v>
      </c>
      <c r="U57" s="31">
        <f t="shared" si="17"/>
        <v>0.77033056386912024</v>
      </c>
      <c r="V57" s="31">
        <f t="shared" si="17"/>
        <v>0.69272121728654745</v>
      </c>
      <c r="W57" s="31">
        <f t="shared" ref="W57" si="18">IF(W11=0,0,W11/W$10)</f>
        <v>0.76391545891367529</v>
      </c>
      <c r="DA57" s="173"/>
    </row>
    <row r="58" spans="1:105" ht="11.45" customHeight="1" x14ac:dyDescent="0.25">
      <c r="A58" s="107" t="s">
        <v>23</v>
      </c>
      <c r="B58" s="123">
        <f t="shared" si="14"/>
        <v>8.1180927619887211E-2</v>
      </c>
      <c r="C58" s="123">
        <f t="shared" ref="C58:V58" si="19">IF(C12=0,0,C12/C$10)</f>
        <v>8.257079746893721E-2</v>
      </c>
      <c r="D58" s="123">
        <f t="shared" si="19"/>
        <v>8.0390572356363446E-2</v>
      </c>
      <c r="E58" s="123">
        <f t="shared" si="19"/>
        <v>8.2006521721753101E-2</v>
      </c>
      <c r="F58" s="123">
        <f t="shared" si="19"/>
        <v>7.8709010154494594E-2</v>
      </c>
      <c r="G58" s="123">
        <f t="shared" si="19"/>
        <v>7.8411476257313761E-2</v>
      </c>
      <c r="H58" s="123">
        <f t="shared" si="19"/>
        <v>7.2966038530994926E-2</v>
      </c>
      <c r="I58" s="123">
        <f t="shared" si="19"/>
        <v>7.6167221354357342E-2</v>
      </c>
      <c r="J58" s="123">
        <f t="shared" si="19"/>
        <v>7.9135659548385445E-2</v>
      </c>
      <c r="K58" s="123">
        <f t="shared" si="19"/>
        <v>8.4474728281407577E-2</v>
      </c>
      <c r="L58" s="123">
        <f t="shared" si="19"/>
        <v>9.0402565124588108E-2</v>
      </c>
      <c r="M58" s="123">
        <f t="shared" si="19"/>
        <v>9.6451084212514929E-2</v>
      </c>
      <c r="N58" s="123">
        <f t="shared" si="19"/>
        <v>0.10702307703862403</v>
      </c>
      <c r="O58" s="123">
        <f t="shared" si="19"/>
        <v>8.7426464304149021E-2</v>
      </c>
      <c r="P58" s="123">
        <f t="shared" si="19"/>
        <v>0.1006889216334048</v>
      </c>
      <c r="Q58" s="123">
        <f t="shared" si="19"/>
        <v>0.11989314847058545</v>
      </c>
      <c r="R58" s="123">
        <f t="shared" si="19"/>
        <v>0.12376737398678261</v>
      </c>
      <c r="S58" s="123">
        <f t="shared" si="19"/>
        <v>0.1155273400325235</v>
      </c>
      <c r="T58" s="123">
        <f t="shared" si="19"/>
        <v>9.6821391119189165E-2</v>
      </c>
      <c r="U58" s="123">
        <f t="shared" si="19"/>
        <v>0.10418592534987053</v>
      </c>
      <c r="V58" s="123">
        <f t="shared" si="19"/>
        <v>0.10374601685360571</v>
      </c>
      <c r="W58" s="123">
        <f t="shared" ref="W58" si="20">IF(W12=0,0,W12/W$10)</f>
        <v>0.10111713112101713</v>
      </c>
      <c r="DA58" s="203"/>
    </row>
    <row r="59" spans="1:105" ht="11.45" customHeight="1" x14ac:dyDescent="0.25">
      <c r="A59" s="109" t="s">
        <v>24</v>
      </c>
      <c r="B59" s="124">
        <f t="shared" si="14"/>
        <v>0.69922553855341907</v>
      </c>
      <c r="C59" s="124">
        <f t="shared" ref="C59:V59" si="21">IF(C13=0,0,C13/C$10)</f>
        <v>0.71283108693728803</v>
      </c>
      <c r="D59" s="124">
        <f t="shared" si="21"/>
        <v>0.70925432756159856</v>
      </c>
      <c r="E59" s="124">
        <f t="shared" si="21"/>
        <v>0.71743909224151325</v>
      </c>
      <c r="F59" s="124">
        <f t="shared" si="21"/>
        <v>0.70568605393269312</v>
      </c>
      <c r="G59" s="124">
        <f t="shared" si="21"/>
        <v>0.69868052970820316</v>
      </c>
      <c r="H59" s="124">
        <f t="shared" si="21"/>
        <v>0.68769935522550485</v>
      </c>
      <c r="I59" s="124">
        <f t="shared" si="21"/>
        <v>0.67931863203861442</v>
      </c>
      <c r="J59" s="124">
        <f t="shared" si="21"/>
        <v>0.68385931158082447</v>
      </c>
      <c r="K59" s="124">
        <f t="shared" si="21"/>
        <v>0.73886768780205747</v>
      </c>
      <c r="L59" s="124">
        <f t="shared" si="21"/>
        <v>0.70434742360144709</v>
      </c>
      <c r="M59" s="124">
        <f t="shared" si="21"/>
        <v>0.70934679247971422</v>
      </c>
      <c r="N59" s="124">
        <f t="shared" si="21"/>
        <v>0.68490765458483505</v>
      </c>
      <c r="O59" s="124">
        <f t="shared" si="21"/>
        <v>0.70925066441190221</v>
      </c>
      <c r="P59" s="124">
        <f t="shared" si="21"/>
        <v>0.68553475606187397</v>
      </c>
      <c r="Q59" s="124">
        <f t="shared" si="21"/>
        <v>0.67255673556882112</v>
      </c>
      <c r="R59" s="124">
        <f t="shared" si="21"/>
        <v>0.67167833748647687</v>
      </c>
      <c r="S59" s="124">
        <f t="shared" si="21"/>
        <v>0.63992038168235743</v>
      </c>
      <c r="T59" s="124">
        <f t="shared" si="21"/>
        <v>0.67422053714576424</v>
      </c>
      <c r="U59" s="124">
        <f t="shared" si="21"/>
        <v>0.66614463851924965</v>
      </c>
      <c r="V59" s="124">
        <f t="shared" si="21"/>
        <v>0.58897520043294171</v>
      </c>
      <c r="W59" s="124">
        <f t="shared" ref="W59" si="22">IF(W13=0,0,W13/W$10)</f>
        <v>0.66279832779265824</v>
      </c>
      <c r="DA59" s="176"/>
    </row>
    <row r="60" spans="1:105" ht="11.45" customHeight="1" x14ac:dyDescent="0.25">
      <c r="A60" s="111" t="s">
        <v>92</v>
      </c>
      <c r="B60" s="125">
        <f t="shared" si="14"/>
        <v>0.41640455855840131</v>
      </c>
      <c r="C60" s="125">
        <f t="shared" ref="C60:V60" si="23">IF(C14=0,0,C14/C$10)</f>
        <v>0.40838333250002873</v>
      </c>
      <c r="D60" s="125">
        <f t="shared" si="23"/>
        <v>0.40499330656750004</v>
      </c>
      <c r="E60" s="125">
        <f t="shared" si="23"/>
        <v>0.39545531351065233</v>
      </c>
      <c r="F60" s="125">
        <f t="shared" si="23"/>
        <v>0.36939530659251435</v>
      </c>
      <c r="G60" s="125">
        <f t="shared" si="23"/>
        <v>0.34290615467199115</v>
      </c>
      <c r="H60" s="125">
        <f t="shared" si="23"/>
        <v>0.30638212040168811</v>
      </c>
      <c r="I60" s="125">
        <f t="shared" si="23"/>
        <v>0.29353080141583171</v>
      </c>
      <c r="J60" s="125">
        <f t="shared" si="23"/>
        <v>0.30430319842137099</v>
      </c>
      <c r="K60" s="125">
        <f t="shared" si="23"/>
        <v>0.32965356418716557</v>
      </c>
      <c r="L60" s="125">
        <f t="shared" si="23"/>
        <v>0.31637944569682169</v>
      </c>
      <c r="M60" s="125">
        <f t="shared" si="23"/>
        <v>0.30222657701202732</v>
      </c>
      <c r="N60" s="125">
        <f t="shared" si="23"/>
        <v>0.27990409815373118</v>
      </c>
      <c r="O60" s="125">
        <f t="shared" si="23"/>
        <v>0.27190474730883657</v>
      </c>
      <c r="P60" s="125">
        <f t="shared" si="23"/>
        <v>0.29411360060729114</v>
      </c>
      <c r="Q60" s="125">
        <f t="shared" si="23"/>
        <v>0.25403655958280519</v>
      </c>
      <c r="R60" s="125">
        <f t="shared" si="23"/>
        <v>0.25236627559272828</v>
      </c>
      <c r="S60" s="125">
        <f t="shared" si="23"/>
        <v>0.24975503411046643</v>
      </c>
      <c r="T60" s="125">
        <f t="shared" si="23"/>
        <v>0.24550742540766013</v>
      </c>
      <c r="U60" s="125">
        <f t="shared" si="23"/>
        <v>0.23028319245287618</v>
      </c>
      <c r="V60" s="125">
        <f t="shared" si="23"/>
        <v>0.18518887927489106</v>
      </c>
      <c r="W60" s="125">
        <f t="shared" ref="W60" si="24">IF(W14=0,0,W14/W$10)</f>
        <v>0.18949204610234111</v>
      </c>
      <c r="DA60" s="171"/>
    </row>
    <row r="61" spans="1:105" ht="11.45" customHeight="1" x14ac:dyDescent="0.25">
      <c r="A61" s="111" t="s">
        <v>93</v>
      </c>
      <c r="B61" s="125">
        <f t="shared" si="14"/>
        <v>0.28282097999501771</v>
      </c>
      <c r="C61" s="125">
        <f t="shared" ref="C61:V61" si="25">IF(C15=0,0,C15/C$10)</f>
        <v>0.3044477544372593</v>
      </c>
      <c r="D61" s="125">
        <f t="shared" si="25"/>
        <v>0.30426102099409857</v>
      </c>
      <c r="E61" s="125">
        <f t="shared" si="25"/>
        <v>0.32198377873086087</v>
      </c>
      <c r="F61" s="125">
        <f t="shared" si="25"/>
        <v>0.33629074734017872</v>
      </c>
      <c r="G61" s="125">
        <f t="shared" si="25"/>
        <v>0.35577437503621201</v>
      </c>
      <c r="H61" s="125">
        <f t="shared" si="25"/>
        <v>0.38131723482381674</v>
      </c>
      <c r="I61" s="125">
        <f t="shared" si="25"/>
        <v>0.38578783062278277</v>
      </c>
      <c r="J61" s="125">
        <f t="shared" si="25"/>
        <v>0.37955611315945348</v>
      </c>
      <c r="K61" s="125">
        <f t="shared" si="25"/>
        <v>0.4092141236148919</v>
      </c>
      <c r="L61" s="125">
        <f t="shared" si="25"/>
        <v>0.38796797790462545</v>
      </c>
      <c r="M61" s="125">
        <f t="shared" si="25"/>
        <v>0.40712021546768684</v>
      </c>
      <c r="N61" s="125">
        <f t="shared" si="25"/>
        <v>0.40500355643110386</v>
      </c>
      <c r="O61" s="125">
        <f t="shared" si="25"/>
        <v>0.43734591710306575</v>
      </c>
      <c r="P61" s="125">
        <f t="shared" si="25"/>
        <v>0.39142115545458284</v>
      </c>
      <c r="Q61" s="125">
        <f t="shared" si="25"/>
        <v>0.41852017598601599</v>
      </c>
      <c r="R61" s="125">
        <f t="shared" si="25"/>
        <v>0.41931206189374864</v>
      </c>
      <c r="S61" s="125">
        <f t="shared" si="25"/>
        <v>0.39016534757189092</v>
      </c>
      <c r="T61" s="125">
        <f t="shared" si="25"/>
        <v>0.42871311173810411</v>
      </c>
      <c r="U61" s="125">
        <f t="shared" si="25"/>
        <v>0.43586144606637345</v>
      </c>
      <c r="V61" s="125">
        <f t="shared" si="25"/>
        <v>0.40378632115805069</v>
      </c>
      <c r="W61" s="125">
        <f t="shared" ref="W61" si="26">IF(W15=0,0,W15/W$10)</f>
        <v>0.47330628169031708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0.21959353382669361</v>
      </c>
      <c r="C63" s="31">
        <f t="shared" ref="C63:V63" si="29">IF(C17=0,0,C17/C$10)</f>
        <v>0.20459811559377472</v>
      </c>
      <c r="D63" s="31">
        <f t="shared" si="29"/>
        <v>0.21035510008203795</v>
      </c>
      <c r="E63" s="31">
        <f t="shared" si="29"/>
        <v>0.2005543860367337</v>
      </c>
      <c r="F63" s="31">
        <f t="shared" si="29"/>
        <v>0.21560493591281232</v>
      </c>
      <c r="G63" s="31">
        <f t="shared" si="29"/>
        <v>0.222907994034483</v>
      </c>
      <c r="H63" s="31">
        <f t="shared" si="29"/>
        <v>0.23933460624350036</v>
      </c>
      <c r="I63" s="31">
        <f t="shared" si="29"/>
        <v>0.24451414660702817</v>
      </c>
      <c r="J63" s="31">
        <f t="shared" si="29"/>
        <v>0.23700502887079017</v>
      </c>
      <c r="K63" s="31">
        <f t="shared" si="29"/>
        <v>0.17665758391653499</v>
      </c>
      <c r="L63" s="31">
        <f t="shared" si="29"/>
        <v>0.20525001127396472</v>
      </c>
      <c r="M63" s="31">
        <f t="shared" si="29"/>
        <v>0.19420212330777095</v>
      </c>
      <c r="N63" s="31">
        <f t="shared" si="29"/>
        <v>0.20806926837654088</v>
      </c>
      <c r="O63" s="31">
        <f t="shared" si="29"/>
        <v>0.20332287128394874</v>
      </c>
      <c r="P63" s="31">
        <f t="shared" si="29"/>
        <v>0.21377632230472121</v>
      </c>
      <c r="Q63" s="31">
        <f t="shared" si="29"/>
        <v>0.20755011596059345</v>
      </c>
      <c r="R63" s="31">
        <f t="shared" si="29"/>
        <v>0.20455428852674051</v>
      </c>
      <c r="S63" s="31">
        <f t="shared" si="29"/>
        <v>0.24455227828511916</v>
      </c>
      <c r="T63" s="31">
        <f t="shared" si="29"/>
        <v>0.22895807173504662</v>
      </c>
      <c r="U63" s="31">
        <f t="shared" si="29"/>
        <v>0.22966943613087973</v>
      </c>
      <c r="V63" s="31">
        <f t="shared" si="29"/>
        <v>0.30727878271345255</v>
      </c>
      <c r="W63" s="31">
        <f t="shared" ref="W63" si="30">IF(W17=0,0,W17/W$10)</f>
        <v>0.23608454108632457</v>
      </c>
      <c r="DA63" s="173"/>
    </row>
    <row r="64" spans="1:105" ht="11.45" customHeight="1" x14ac:dyDescent="0.25">
      <c r="A64" s="83" t="s">
        <v>92</v>
      </c>
      <c r="B64" s="125">
        <f t="shared" si="14"/>
        <v>8.0054781649543563E-2</v>
      </c>
      <c r="C64" s="125">
        <f t="shared" ref="C64:V64" si="31">IF(C18=0,0,C18/C$10)</f>
        <v>6.956914750418404E-2</v>
      </c>
      <c r="D64" s="125">
        <f t="shared" si="31"/>
        <v>6.8383422598712634E-2</v>
      </c>
      <c r="E64" s="125">
        <f t="shared" si="31"/>
        <v>6.0579833385885087E-2</v>
      </c>
      <c r="F64" s="125">
        <f t="shared" si="31"/>
        <v>6.1719043066570674E-2</v>
      </c>
      <c r="G64" s="125">
        <f t="shared" si="31"/>
        <v>6.3393139820893105E-2</v>
      </c>
      <c r="H64" s="125">
        <f t="shared" si="31"/>
        <v>7.1604413188336144E-2</v>
      </c>
      <c r="I64" s="125">
        <f t="shared" si="31"/>
        <v>7.0673152798528358E-2</v>
      </c>
      <c r="J64" s="125">
        <f t="shared" si="31"/>
        <v>6.5284974757087416E-2</v>
      </c>
      <c r="K64" s="125">
        <f t="shared" si="31"/>
        <v>4.6234081038478946E-2</v>
      </c>
      <c r="L64" s="125">
        <f t="shared" si="31"/>
        <v>5.0776883283470305E-2</v>
      </c>
      <c r="M64" s="125">
        <f t="shared" si="31"/>
        <v>2.230490363068979E-2</v>
      </c>
      <c r="N64" s="125">
        <f t="shared" si="31"/>
        <v>4.7422390743734277E-2</v>
      </c>
      <c r="O64" s="125">
        <f t="shared" si="31"/>
        <v>4.6820352292757189E-2</v>
      </c>
      <c r="P64" s="125">
        <f t="shared" si="31"/>
        <v>5.1014009601525585E-2</v>
      </c>
      <c r="Q64" s="125">
        <f t="shared" si="31"/>
        <v>4.6761476021860225E-2</v>
      </c>
      <c r="R64" s="125">
        <f t="shared" si="31"/>
        <v>4.2114924061060897E-2</v>
      </c>
      <c r="S64" s="125">
        <f t="shared" si="31"/>
        <v>4.9318763320068307E-2</v>
      </c>
      <c r="T64" s="125">
        <f t="shared" si="31"/>
        <v>5.4822607595640158E-2</v>
      </c>
      <c r="U64" s="125">
        <f t="shared" si="31"/>
        <v>5.2944011388925939E-2</v>
      </c>
      <c r="V64" s="125">
        <f t="shared" si="31"/>
        <v>7.0958328020337746E-2</v>
      </c>
      <c r="W64" s="125">
        <f t="shared" ref="W64" si="32">IF(W18=0,0,W18/W$10)</f>
        <v>6.5162316857024269E-2</v>
      </c>
      <c r="DA64" s="171"/>
    </row>
    <row r="65" spans="1:105" ht="11.45" customHeight="1" x14ac:dyDescent="0.25">
      <c r="A65" s="85" t="s">
        <v>93</v>
      </c>
      <c r="B65" s="127">
        <f t="shared" si="14"/>
        <v>0.13953875217715006</v>
      </c>
      <c r="C65" s="127">
        <f t="shared" ref="C65:V65" si="33">IF(C19=0,0,C19/C$10)</f>
        <v>0.1350289680895907</v>
      </c>
      <c r="D65" s="127">
        <f t="shared" si="33"/>
        <v>0.14197167748332531</v>
      </c>
      <c r="E65" s="127">
        <f t="shared" si="33"/>
        <v>0.1399745526508486</v>
      </c>
      <c r="F65" s="127">
        <f t="shared" si="33"/>
        <v>0.15388589284624166</v>
      </c>
      <c r="G65" s="127">
        <f t="shared" si="33"/>
        <v>0.15951485421358988</v>
      </c>
      <c r="H65" s="127">
        <f t="shared" si="33"/>
        <v>0.16773019305516421</v>
      </c>
      <c r="I65" s="127">
        <f t="shared" si="33"/>
        <v>0.17384099380849982</v>
      </c>
      <c r="J65" s="127">
        <f t="shared" si="33"/>
        <v>0.17172005411370275</v>
      </c>
      <c r="K65" s="127">
        <f t="shared" si="33"/>
        <v>0.13042350287805604</v>
      </c>
      <c r="L65" s="127">
        <f t="shared" si="33"/>
        <v>0.1544731279904944</v>
      </c>
      <c r="M65" s="127">
        <f t="shared" si="33"/>
        <v>0.17189721967708116</v>
      </c>
      <c r="N65" s="127">
        <f t="shared" si="33"/>
        <v>0.16064687763280661</v>
      </c>
      <c r="O65" s="127">
        <f t="shared" si="33"/>
        <v>0.15650251899119155</v>
      </c>
      <c r="P65" s="127">
        <f t="shared" si="33"/>
        <v>0.16276231270319561</v>
      </c>
      <c r="Q65" s="127">
        <f t="shared" si="33"/>
        <v>0.16078863993873324</v>
      </c>
      <c r="R65" s="127">
        <f t="shared" si="33"/>
        <v>0.16243936446567961</v>
      </c>
      <c r="S65" s="127">
        <f t="shared" si="33"/>
        <v>0.19523351496505084</v>
      </c>
      <c r="T65" s="127">
        <f t="shared" si="33"/>
        <v>0.17413546413940648</v>
      </c>
      <c r="U65" s="127">
        <f t="shared" si="33"/>
        <v>0.17672542474195377</v>
      </c>
      <c r="V65" s="127">
        <f t="shared" si="33"/>
        <v>0.23632045469311483</v>
      </c>
      <c r="W65" s="127">
        <f t="shared" ref="W65" si="34">IF(W19=0,0,W19/W$10)</f>
        <v>0.17092222422930031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268.82605209982682</v>
      </c>
      <c r="C4" s="26">
        <f t="shared" ref="C4:W4" si="0">SUM(C5:C6)</f>
        <v>258.44363406688274</v>
      </c>
      <c r="D4" s="26">
        <f t="shared" si="0"/>
        <v>249.59176451999997</v>
      </c>
      <c r="E4" s="26">
        <f t="shared" si="0"/>
        <v>238.47113764096702</v>
      </c>
      <c r="F4" s="26">
        <f t="shared" si="0"/>
        <v>225.17393820000001</v>
      </c>
      <c r="G4" s="26">
        <f t="shared" si="0"/>
        <v>204.75838392</v>
      </c>
      <c r="H4" s="26">
        <f t="shared" si="0"/>
        <v>194.36427036000001</v>
      </c>
      <c r="I4" s="26">
        <f t="shared" si="0"/>
        <v>186.73199999999997</v>
      </c>
      <c r="J4" s="26">
        <f t="shared" si="0"/>
        <v>186.73199999999997</v>
      </c>
      <c r="K4" s="26">
        <f t="shared" si="0"/>
        <v>192.95631108000001</v>
      </c>
      <c r="L4" s="26">
        <f t="shared" si="0"/>
        <v>171.17108892000002</v>
      </c>
      <c r="M4" s="26">
        <f t="shared" si="0"/>
        <v>143.16128892</v>
      </c>
      <c r="N4" s="26">
        <f t="shared" si="0"/>
        <v>127.60011107999998</v>
      </c>
      <c r="O4" s="26">
        <f t="shared" si="0"/>
        <v>149.38560000000001</v>
      </c>
      <c r="P4" s="26">
        <f t="shared" si="0"/>
        <v>158.72220000000002</v>
      </c>
      <c r="Q4" s="26">
        <f t="shared" si="0"/>
        <v>130.71239999999997</v>
      </c>
      <c r="R4" s="26">
        <f t="shared" si="0"/>
        <v>127.15568891999999</v>
      </c>
      <c r="S4" s="26">
        <f t="shared" si="0"/>
        <v>133.51337999999998</v>
      </c>
      <c r="T4" s="26">
        <f t="shared" si="0"/>
        <v>133.51337999999998</v>
      </c>
      <c r="U4" s="26">
        <f t="shared" si="0"/>
        <v>120.79773108000001</v>
      </c>
      <c r="V4" s="26">
        <f t="shared" si="0"/>
        <v>104.90337</v>
      </c>
      <c r="W4" s="26">
        <f t="shared" si="0"/>
        <v>104.90337</v>
      </c>
      <c r="DA4" s="202" t="s">
        <v>1135</v>
      </c>
    </row>
    <row r="5" spans="1:105" ht="11.45" customHeight="1" x14ac:dyDescent="0.25">
      <c r="A5" s="107" t="s">
        <v>92</v>
      </c>
      <c r="B5" s="129">
        <v>268.82605209982682</v>
      </c>
      <c r="C5" s="129">
        <v>258.44363406688274</v>
      </c>
      <c r="D5" s="129">
        <v>249.59176451999997</v>
      </c>
      <c r="E5" s="129">
        <v>238.47113764096702</v>
      </c>
      <c r="F5" s="129">
        <v>225.17393820000001</v>
      </c>
      <c r="G5" s="129">
        <v>204.75838392</v>
      </c>
      <c r="H5" s="129">
        <v>194.36427036000001</v>
      </c>
      <c r="I5" s="129">
        <v>186.73199999999997</v>
      </c>
      <c r="J5" s="129">
        <v>186.73199999999997</v>
      </c>
      <c r="K5" s="129">
        <v>192.95631108000001</v>
      </c>
      <c r="L5" s="129">
        <v>171.17108892000002</v>
      </c>
      <c r="M5" s="129">
        <v>143.16128892</v>
      </c>
      <c r="N5" s="129">
        <v>127.60011107999998</v>
      </c>
      <c r="O5" s="129">
        <v>149.38560000000001</v>
      </c>
      <c r="P5" s="129">
        <v>158.72220000000002</v>
      </c>
      <c r="Q5" s="129">
        <v>130.71239999999997</v>
      </c>
      <c r="R5" s="129">
        <v>127.15568891999999</v>
      </c>
      <c r="S5" s="129">
        <v>133.51337999999998</v>
      </c>
      <c r="T5" s="129">
        <v>133.51337999999998</v>
      </c>
      <c r="U5" s="129">
        <v>120.79773108000001</v>
      </c>
      <c r="V5" s="129">
        <v>104.90337</v>
      </c>
      <c r="W5" s="129">
        <v>104.90337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268.82605209982682</v>
      </c>
      <c r="C8" s="79">
        <f t="shared" si="1"/>
        <v>258.44363406688268</v>
      </c>
      <c r="D8" s="79">
        <f t="shared" si="1"/>
        <v>249.59176451999997</v>
      </c>
      <c r="E8" s="79">
        <f t="shared" si="1"/>
        <v>238.47113764096702</v>
      </c>
      <c r="F8" s="79">
        <f t="shared" si="1"/>
        <v>225.17393820000001</v>
      </c>
      <c r="G8" s="79">
        <f t="shared" si="1"/>
        <v>204.75838392</v>
      </c>
      <c r="H8" s="79">
        <f t="shared" si="1"/>
        <v>194.36427035999998</v>
      </c>
      <c r="I8" s="79">
        <f t="shared" si="1"/>
        <v>186.73199999999997</v>
      </c>
      <c r="J8" s="79">
        <f t="shared" si="1"/>
        <v>186.73199999999997</v>
      </c>
      <c r="K8" s="79">
        <f t="shared" si="1"/>
        <v>192.95631108000001</v>
      </c>
      <c r="L8" s="79">
        <f t="shared" si="1"/>
        <v>171.17108892000002</v>
      </c>
      <c r="M8" s="79">
        <f t="shared" si="1"/>
        <v>143.16128892000003</v>
      </c>
      <c r="N8" s="79">
        <f t="shared" si="1"/>
        <v>127.60011107999998</v>
      </c>
      <c r="O8" s="79">
        <f t="shared" si="1"/>
        <v>149.38559999999998</v>
      </c>
      <c r="P8" s="79">
        <f t="shared" si="1"/>
        <v>158.72220000000004</v>
      </c>
      <c r="Q8" s="79">
        <f t="shared" si="1"/>
        <v>130.71239999999995</v>
      </c>
      <c r="R8" s="79">
        <f t="shared" si="1"/>
        <v>127.15568891999997</v>
      </c>
      <c r="S8" s="79">
        <f t="shared" si="1"/>
        <v>133.51337999999998</v>
      </c>
      <c r="T8" s="79">
        <f t="shared" si="1"/>
        <v>133.51337999999998</v>
      </c>
      <c r="U8" s="79">
        <f t="shared" si="1"/>
        <v>120.79773108000001</v>
      </c>
      <c r="V8" s="79">
        <f t="shared" si="1"/>
        <v>104.90337000000001</v>
      </c>
      <c r="W8" s="79">
        <f t="shared" si="1"/>
        <v>104.90337000000001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225.47746509661656</v>
      </c>
      <c r="C9" s="32">
        <f t="shared" si="2"/>
        <v>220.82545223475191</v>
      </c>
      <c r="D9" s="32">
        <f t="shared" si="2"/>
        <v>213.53604386724982</v>
      </c>
      <c r="E9" s="32">
        <f t="shared" si="2"/>
        <v>206.79256662742671</v>
      </c>
      <c r="F9" s="32">
        <f t="shared" si="2"/>
        <v>192.93766492302615</v>
      </c>
      <c r="G9" s="32">
        <f t="shared" si="2"/>
        <v>172.810809712317</v>
      </c>
      <c r="H9" s="32">
        <f t="shared" si="2"/>
        <v>157.54460011481055</v>
      </c>
      <c r="I9" s="32">
        <f t="shared" si="2"/>
        <v>150.49697559769089</v>
      </c>
      <c r="J9" s="32">
        <f t="shared" si="2"/>
        <v>153.74719477341597</v>
      </c>
      <c r="K9" s="32">
        <f t="shared" si="2"/>
        <v>169.22273580379394</v>
      </c>
      <c r="L9" s="32">
        <f t="shared" si="2"/>
        <v>147.49851754492806</v>
      </c>
      <c r="M9" s="32">
        <f t="shared" si="2"/>
        <v>133.32187751164611</v>
      </c>
      <c r="N9" s="32">
        <f t="shared" si="2"/>
        <v>109.11366854685333</v>
      </c>
      <c r="O9" s="32">
        <f t="shared" si="2"/>
        <v>127.44102635892885</v>
      </c>
      <c r="P9" s="32">
        <f t="shared" si="2"/>
        <v>135.26115082495372</v>
      </c>
      <c r="Q9" s="32">
        <f t="shared" si="2"/>
        <v>110.39210520128951</v>
      </c>
      <c r="R9" s="32">
        <f t="shared" si="2"/>
        <v>108.97064964043463</v>
      </c>
      <c r="S9" s="32">
        <f t="shared" si="2"/>
        <v>111.496356626992</v>
      </c>
      <c r="T9" s="32">
        <f t="shared" si="2"/>
        <v>109.14168607611208</v>
      </c>
      <c r="U9" s="32">
        <f t="shared" si="2"/>
        <v>98.216861858030143</v>
      </c>
      <c r="V9" s="32">
        <f t="shared" si="2"/>
        <v>75.842862889651698</v>
      </c>
      <c r="W9" s="32">
        <f t="shared" si="2"/>
        <v>78.060136073548804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225.47746509661656</v>
      </c>
      <c r="C11" s="130">
        <f t="shared" si="3"/>
        <v>220.82545223475191</v>
      </c>
      <c r="D11" s="130">
        <f t="shared" si="3"/>
        <v>213.53604386724982</v>
      </c>
      <c r="E11" s="130">
        <f t="shared" si="3"/>
        <v>206.79256662742671</v>
      </c>
      <c r="F11" s="130">
        <f t="shared" si="3"/>
        <v>192.93766492302615</v>
      </c>
      <c r="G11" s="130">
        <f t="shared" si="3"/>
        <v>172.810809712317</v>
      </c>
      <c r="H11" s="130">
        <f t="shared" si="3"/>
        <v>157.54460011481055</v>
      </c>
      <c r="I11" s="130">
        <f t="shared" si="3"/>
        <v>150.49697559769089</v>
      </c>
      <c r="J11" s="130">
        <f t="shared" si="3"/>
        <v>153.74719477341597</v>
      </c>
      <c r="K11" s="130">
        <f t="shared" si="3"/>
        <v>169.22273580379394</v>
      </c>
      <c r="L11" s="130">
        <f t="shared" si="3"/>
        <v>147.49851754492806</v>
      </c>
      <c r="M11" s="130">
        <f t="shared" si="3"/>
        <v>133.32187751164611</v>
      </c>
      <c r="N11" s="130">
        <f t="shared" si="3"/>
        <v>109.11366854685333</v>
      </c>
      <c r="O11" s="130">
        <f t="shared" si="3"/>
        <v>127.44102635892885</v>
      </c>
      <c r="P11" s="130">
        <f t="shared" si="3"/>
        <v>135.26115082495372</v>
      </c>
      <c r="Q11" s="130">
        <f t="shared" si="3"/>
        <v>110.39210520128951</v>
      </c>
      <c r="R11" s="130">
        <f t="shared" si="3"/>
        <v>108.97064964043463</v>
      </c>
      <c r="S11" s="130">
        <f t="shared" si="3"/>
        <v>111.496356626992</v>
      </c>
      <c r="T11" s="130">
        <f t="shared" si="3"/>
        <v>109.14168607611208</v>
      </c>
      <c r="U11" s="130">
        <f t="shared" si="3"/>
        <v>98.216861858030143</v>
      </c>
      <c r="V11" s="130">
        <f t="shared" si="3"/>
        <v>75.842862889651698</v>
      </c>
      <c r="W11" s="130">
        <f t="shared" si="3"/>
        <v>78.060136073548804</v>
      </c>
      <c r="DA11" s="176" t="s">
        <v>408</v>
      </c>
    </row>
    <row r="12" spans="1:105" ht="11.45" customHeight="1" x14ac:dyDescent="0.25">
      <c r="A12" s="111" t="s">
        <v>92</v>
      </c>
      <c r="B12" s="96">
        <v>225.47746509661656</v>
      </c>
      <c r="C12" s="96">
        <v>220.82545223475191</v>
      </c>
      <c r="D12" s="96">
        <v>213.53604386724982</v>
      </c>
      <c r="E12" s="96">
        <v>206.79256662742671</v>
      </c>
      <c r="F12" s="96">
        <v>192.93766492302615</v>
      </c>
      <c r="G12" s="96">
        <v>172.810809712317</v>
      </c>
      <c r="H12" s="96">
        <v>157.54460011481055</v>
      </c>
      <c r="I12" s="96">
        <v>150.49697559769089</v>
      </c>
      <c r="J12" s="96">
        <v>153.74719477341597</v>
      </c>
      <c r="K12" s="96">
        <v>169.22273580379394</v>
      </c>
      <c r="L12" s="96">
        <v>147.49851754492806</v>
      </c>
      <c r="M12" s="96">
        <v>133.32187751164611</v>
      </c>
      <c r="N12" s="96">
        <v>109.11366854685333</v>
      </c>
      <c r="O12" s="96">
        <v>127.44102635892885</v>
      </c>
      <c r="P12" s="96">
        <v>135.26115082495372</v>
      </c>
      <c r="Q12" s="96">
        <v>110.39210520128951</v>
      </c>
      <c r="R12" s="96">
        <v>108.97064964043463</v>
      </c>
      <c r="S12" s="96">
        <v>111.496356626992</v>
      </c>
      <c r="T12" s="96">
        <v>109.14168607611208</v>
      </c>
      <c r="U12" s="96">
        <v>98.216861858030143</v>
      </c>
      <c r="V12" s="96">
        <v>75.842862889651698</v>
      </c>
      <c r="W12" s="96">
        <v>78.060136073548804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43.348587003210262</v>
      </c>
      <c r="C15" s="32">
        <f t="shared" si="4"/>
        <v>37.618181832130787</v>
      </c>
      <c r="D15" s="32">
        <f t="shared" si="4"/>
        <v>36.055720652750153</v>
      </c>
      <c r="E15" s="32">
        <f t="shared" si="4"/>
        <v>31.678571013540321</v>
      </c>
      <c r="F15" s="32">
        <f t="shared" si="4"/>
        <v>32.236273276973854</v>
      </c>
      <c r="G15" s="32">
        <f t="shared" si="4"/>
        <v>31.947574207683004</v>
      </c>
      <c r="H15" s="32">
        <f t="shared" si="4"/>
        <v>36.819670245189442</v>
      </c>
      <c r="I15" s="32">
        <f t="shared" si="4"/>
        <v>36.23502440230908</v>
      </c>
      <c r="J15" s="32">
        <f t="shared" si="4"/>
        <v>32.984805226583994</v>
      </c>
      <c r="K15" s="32">
        <f t="shared" si="4"/>
        <v>23.733575276206064</v>
      </c>
      <c r="L15" s="32">
        <f t="shared" si="4"/>
        <v>23.672571375071943</v>
      </c>
      <c r="M15" s="32">
        <f t="shared" si="4"/>
        <v>9.8394114083539144</v>
      </c>
      <c r="N15" s="32">
        <f t="shared" si="4"/>
        <v>18.486442533146636</v>
      </c>
      <c r="O15" s="32">
        <f t="shared" si="4"/>
        <v>21.944573641071141</v>
      </c>
      <c r="P15" s="32">
        <f t="shared" si="4"/>
        <v>23.461049175046316</v>
      </c>
      <c r="Q15" s="32">
        <f t="shared" si="4"/>
        <v>20.320294798710439</v>
      </c>
      <c r="R15" s="32">
        <f t="shared" si="4"/>
        <v>18.185039279565348</v>
      </c>
      <c r="S15" s="32">
        <f t="shared" si="4"/>
        <v>22.017023373007991</v>
      </c>
      <c r="T15" s="32">
        <f t="shared" si="4"/>
        <v>24.371693923887914</v>
      </c>
      <c r="U15" s="32">
        <f t="shared" si="4"/>
        <v>22.580869221969863</v>
      </c>
      <c r="V15" s="32">
        <f t="shared" si="4"/>
        <v>29.060507110348308</v>
      </c>
      <c r="W15" s="32">
        <f t="shared" si="4"/>
        <v>26.843233926451202</v>
      </c>
      <c r="DA15" s="173" t="s">
        <v>413</v>
      </c>
    </row>
    <row r="16" spans="1:105" ht="11.45" customHeight="1" x14ac:dyDescent="0.25">
      <c r="A16" s="83" t="s">
        <v>92</v>
      </c>
      <c r="B16" s="96">
        <v>43.348587003210262</v>
      </c>
      <c r="C16" s="96">
        <v>37.618181832130787</v>
      </c>
      <c r="D16" s="96">
        <v>36.055720652750153</v>
      </c>
      <c r="E16" s="96">
        <v>31.678571013540321</v>
      </c>
      <c r="F16" s="96">
        <v>32.236273276973854</v>
      </c>
      <c r="G16" s="96">
        <v>31.947574207683004</v>
      </c>
      <c r="H16" s="96">
        <v>36.819670245189442</v>
      </c>
      <c r="I16" s="96">
        <v>36.23502440230908</v>
      </c>
      <c r="J16" s="96">
        <v>32.984805226583994</v>
      </c>
      <c r="K16" s="96">
        <v>23.733575276206064</v>
      </c>
      <c r="L16" s="96">
        <v>23.672571375071943</v>
      </c>
      <c r="M16" s="96">
        <v>9.8394114083539144</v>
      </c>
      <c r="N16" s="96">
        <v>18.486442533146636</v>
      </c>
      <c r="O16" s="96">
        <v>21.944573641071141</v>
      </c>
      <c r="P16" s="96">
        <v>23.461049175046316</v>
      </c>
      <c r="Q16" s="96">
        <v>20.320294798710439</v>
      </c>
      <c r="R16" s="96">
        <v>18.185039279565348</v>
      </c>
      <c r="S16" s="96">
        <v>22.017023373007991</v>
      </c>
      <c r="T16" s="96">
        <v>24.371693923887914</v>
      </c>
      <c r="U16" s="96">
        <v>22.580869221969863</v>
      </c>
      <c r="V16" s="96">
        <v>29.060507110348308</v>
      </c>
      <c r="W16" s="96">
        <v>26.843233926451202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1.551027761670478</v>
      </c>
      <c r="C22" s="134">
        <f>IF(C4=0,0,C4/TrRail_ene!C4)</f>
        <v>1.5219378769516507</v>
      </c>
      <c r="D22" s="134">
        <f>IF(D4=0,0,D4/TrRail_ene!D4)</f>
        <v>1.5060658810213274</v>
      </c>
      <c r="E22" s="134">
        <f>IF(E4=0,0,E4/TrRail_ene!E4)</f>
        <v>1.4436771663670676</v>
      </c>
      <c r="F22" s="134">
        <f>IF(F4=0,0,F4/TrRail_ene!F4)</f>
        <v>1.3630213403768283</v>
      </c>
      <c r="G22" s="134">
        <f>IF(G4=0,0,G4/TrRail_ene!G4)</f>
        <v>1.2899664607797847</v>
      </c>
      <c r="H22" s="134">
        <f>IF(H4=0,0,H4/TrRail_ene!H4)</f>
        <v>1.1726725279565227</v>
      </c>
      <c r="I22" s="134">
        <f>IF(I4=0,0,I4/TrRail_ene!I4)</f>
        <v>1.1299131945889698</v>
      </c>
      <c r="J22" s="134">
        <f>IF(J4=0,0,J4/TrRail_ene!J4)</f>
        <v>1.1466172967265051</v>
      </c>
      <c r="K22" s="134">
        <f>IF(K4=0,0,K4/TrRail_ene!K4)</f>
        <v>1.1661608972357698</v>
      </c>
      <c r="L22" s="134">
        <f>IF(L4=0,0,L4/TrRail_ene!L4)</f>
        <v>1.1390726975674428</v>
      </c>
      <c r="M22" s="134">
        <f>IF(M4=0,0,M4/TrRail_ene!M4)</f>
        <v>1.0068325667378015</v>
      </c>
      <c r="N22" s="134">
        <f>IF(N4=0,0,N4/TrRail_ene!N4)</f>
        <v>1.0155038528934883</v>
      </c>
      <c r="O22" s="134">
        <f>IF(O4=0,0,O4/TrRail_ene!O4)</f>
        <v>0.98881874103585687</v>
      </c>
      <c r="P22" s="134">
        <f>IF(P4=0,0,P4/TrRail_ene!P4)</f>
        <v>1.070730386310905</v>
      </c>
      <c r="Q22" s="134">
        <f>IF(Q4=0,0,Q4/TrRail_ene!Q4)</f>
        <v>0.93320148066298314</v>
      </c>
      <c r="R22" s="134">
        <f>IF(R4=0,0,R4/TrRail_ene!R4)</f>
        <v>0.91360401005246916</v>
      </c>
      <c r="S22" s="134">
        <f>IF(S4=0,0,S4/TrRail_ene!S4)</f>
        <v>0.92785217173588275</v>
      </c>
      <c r="T22" s="134">
        <f>IF(T4=0,0,T4/TrRail_ene!T4)</f>
        <v>0.93174954059405923</v>
      </c>
      <c r="U22" s="134">
        <f>IF(U4=0,0,U4/TrRail_ene!U4)</f>
        <v>0.87868940187023925</v>
      </c>
      <c r="V22" s="134">
        <f>IF(V4=0,0,V4/TrRail_ene!V4)</f>
        <v>0.79467591148021499</v>
      </c>
      <c r="W22" s="134">
        <f>IF(W4=0,0,W4/TrRail_ene!W4)</f>
        <v>0.79004448314715869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1.5620894160444447</v>
      </c>
      <c r="C23" s="129">
        <f>IF(C5=0,0,C5/SUM(TrRail_ene!C5:C7))</f>
        <v>1.5921435086373399</v>
      </c>
      <c r="D23" s="129">
        <f>IF(D5=0,0,D5/SUM(TrRail_ene!D5:D7))</f>
        <v>1.5907688192383824</v>
      </c>
      <c r="E23" s="129">
        <f>IF(E5=0,0,E5/SUM(TrRail_ene!E5:E7))</f>
        <v>1.5828573479387991</v>
      </c>
      <c r="F23" s="129">
        <f>IF(F5=0,0,F5/SUM(TrRail_ene!F5:F7))</f>
        <v>1.5808118442991672</v>
      </c>
      <c r="G23" s="129">
        <f>IF(G5=0,0,G5/SUM(TrRail_ene!G5:G7))</f>
        <v>1.5874584059884167</v>
      </c>
      <c r="H23" s="129">
        <f>IF(H5=0,0,H5/SUM(TrRail_ene!H5:H7))</f>
        <v>1.5512093999999998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1.5512094000000003</v>
      </c>
      <c r="Q23" s="129">
        <f>IF(Q5=0,0,Q5/SUM(TrRail_ene!Q5:Q7))</f>
        <v>1.5512093999999998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2563.1885781680216</v>
      </c>
      <c r="C26" s="54">
        <f>IF(C8=0,0,C8/TrRail_act!C14*1000)</f>
        <v>2438.0501372060444</v>
      </c>
      <c r="D26" s="54">
        <f>IF(D8=0,0,D8/TrRail_act!D14*1000)</f>
        <v>2362.4143162481432</v>
      </c>
      <c r="E26" s="54">
        <f>IF(E8=0,0,E8/TrRail_act!E14*1000)</f>
        <v>2177.5909822432463</v>
      </c>
      <c r="F26" s="54">
        <f>IF(F8=0,0,F8/TrRail_act!F14*1000)</f>
        <v>2030.5734258311645</v>
      </c>
      <c r="G26" s="54">
        <f>IF(G8=0,0,G8/TrRail_act!G14*1000)</f>
        <v>1873.678974040685</v>
      </c>
      <c r="H26" s="54">
        <f>IF(H8=0,0,H8/TrRail_act!H14*1000)</f>
        <v>1697.9025459200652</v>
      </c>
      <c r="I26" s="54">
        <f>IF(I8=0,0,I8/TrRail_act!I14*1000)</f>
        <v>1585.9706005358485</v>
      </c>
      <c r="J26" s="54">
        <f>IF(J8=0,0,J8/TrRail_act!J14*1000)</f>
        <v>1575.4896073929938</v>
      </c>
      <c r="K26" s="54">
        <f>IF(K8=0,0,K8/TrRail_act!K14*1000)</f>
        <v>1546.4981703048834</v>
      </c>
      <c r="L26" s="54">
        <f>IF(L8=0,0,L8/TrRail_act!L14*1000)</f>
        <v>1468.1201993679308</v>
      </c>
      <c r="M26" s="54">
        <f>IF(M8=0,0,M8/TrRail_act!M14*1000)</f>
        <v>1237.5921189032431</v>
      </c>
      <c r="N26" s="54">
        <f>IF(N8=0,0,N8/TrRail_act!N14*1000)</f>
        <v>1204.355913270675</v>
      </c>
      <c r="O26" s="54">
        <f>IF(O8=0,0,O8/TrRail_act!O14*1000)</f>
        <v>1195.8355624334627</v>
      </c>
      <c r="P26" s="54">
        <f>IF(P8=0,0,P8/TrRail_act!P14*1000)</f>
        <v>1256.4126666613561</v>
      </c>
      <c r="Q26" s="54">
        <f>IF(Q8=0,0,Q8/TrRail_act!Q14*1000)</f>
        <v>1029.6492979270643</v>
      </c>
      <c r="R26" s="54">
        <f>IF(R8=0,0,R8/TrRail_act!R14*1000)</f>
        <v>976.22073976475917</v>
      </c>
      <c r="S26" s="54">
        <f>IF(S8=0,0,S8/TrRail_act!S14*1000)</f>
        <v>1004.2670071723103</v>
      </c>
      <c r="T26" s="54">
        <f>IF(T8=0,0,T8/TrRail_act!T14*1000)</f>
        <v>1032.6817912740969</v>
      </c>
      <c r="U26" s="54">
        <f>IF(U8=0,0,U8/TrRail_act!U14*1000)</f>
        <v>950.49519265416734</v>
      </c>
      <c r="V26" s="54">
        <f>IF(V8=0,0,V8/TrRail_act!V14*1000)</f>
        <v>865.92330346515291</v>
      </c>
      <c r="W26" s="54">
        <f>IF(W8=0,0,W8/TrRail_act!W14*1000)</f>
        <v>849.56341386296617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2502.1748474032097</v>
      </c>
      <c r="C27" s="28">
        <f>IF(C9=0,0,C9/TrRail_act!C15*1000)</f>
        <v>2397.282529705632</v>
      </c>
      <c r="D27" s="28">
        <f>IF(D9=0,0,D9/TrRail_act!D15*1000)</f>
        <v>2335.7025119222699</v>
      </c>
      <c r="E27" s="28">
        <f>IF(E9=0,0,E9/TrRail_act!E15*1000)</f>
        <v>2168.4242964807167</v>
      </c>
      <c r="F27" s="28">
        <f>IF(F9=0,0,F9/TrRail_act!F15*1000)</f>
        <v>2027.5762890755175</v>
      </c>
      <c r="G27" s="28">
        <f>IF(G9=0,0,G9/TrRail_act!G15*1000)</f>
        <v>1852.7155004435465</v>
      </c>
      <c r="H27" s="28">
        <f>IF(H9=0,0,H9/TrRail_act!H15*1000)</f>
        <v>1637.4689798326647</v>
      </c>
      <c r="I27" s="28">
        <f>IF(I9=0,0,I9/TrRail_act!I15*1000)</f>
        <v>1528.3605441602563</v>
      </c>
      <c r="J27" s="28">
        <f>IF(J9=0,0,J9/TrRail_act!J15*1000)</f>
        <v>1543.5517611307473</v>
      </c>
      <c r="K27" s="28">
        <f>IF(K9=0,0,K9/TrRail_act!K15*1000)</f>
        <v>1537.9819572980398</v>
      </c>
      <c r="L27" s="28">
        <f>IF(L9=0,0,L9/TrRail_act!L15*1000)</f>
        <v>1464.8241828192533</v>
      </c>
      <c r="M27" s="28">
        <f>IF(M9=0,0,M9/TrRail_act!M15*1000)</f>
        <v>1334.0959165650681</v>
      </c>
      <c r="N27" s="28">
        <f>IF(N9=0,0,N9/TrRail_act!N15*1000)</f>
        <v>1188.5297806725573</v>
      </c>
      <c r="O27" s="28">
        <f>IF(O9=0,0,O9/TrRail_act!O15*1000)</f>
        <v>1179.4438781206859</v>
      </c>
      <c r="P27" s="28">
        <f>IF(P9=0,0,P9/TrRail_act!P15*1000)</f>
        <v>1244.2134558916332</v>
      </c>
      <c r="Q27" s="28">
        <f>IF(Q9=0,0,Q9/TrRail_act!Q15*1000)</f>
        <v>1000.549726198398</v>
      </c>
      <c r="R27" s="28">
        <f>IF(R9=0,0,R9/TrRail_act!R15*1000)</f>
        <v>960.53556927722502</v>
      </c>
      <c r="S27" s="28">
        <f>IF(S9=0,0,S9/TrRail_act!S15*1000)</f>
        <v>997.13639785733551</v>
      </c>
      <c r="T27" s="28">
        <f>IF(T9=0,0,T9/TrRail_act!T15*1000)</f>
        <v>993.08122795815484</v>
      </c>
      <c r="U27" s="28">
        <f>IF(U9=0,0,U9/TrRail_act!U15*1000)</f>
        <v>908.02922710810708</v>
      </c>
      <c r="V27" s="28">
        <f>IF(V9=0,0,V9/TrRail_act!V15*1000)</f>
        <v>784.33822912656149</v>
      </c>
      <c r="W27" s="28">
        <f>IF(W9=0,0,W9/TrRail_act!W15*1000)</f>
        <v>742.61376408692979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3728.789856895733</v>
      </c>
      <c r="C29" s="110">
        <f>IF(C11=0,0,C11/TrRail_act!C17*1000)</f>
        <v>3544.2143623748634</v>
      </c>
      <c r="D29" s="110">
        <f>IF(D11=0,0,D11/TrRail_act!D17*1000)</f>
        <v>3419.7660038804083</v>
      </c>
      <c r="E29" s="110">
        <f>IF(E11=0,0,E11/TrRail_act!E17*1000)</f>
        <v>3154.6619995971037</v>
      </c>
      <c r="F29" s="110">
        <f>IF(F11=0,0,F11/TrRail_act!F17*1000)</f>
        <v>2910.6326827130451</v>
      </c>
      <c r="G29" s="110">
        <f>IF(G11=0,0,G11/TrRail_act!G17*1000)</f>
        <v>2642.1239136055947</v>
      </c>
      <c r="H29" s="110">
        <f>IF(H11=0,0,H11/TrRail_act!H17*1000)</f>
        <v>2287.4524147182801</v>
      </c>
      <c r="I29" s="110">
        <f>IF(I11=0,0,I11/TrRail_act!I17*1000)</f>
        <v>2157.8171098361522</v>
      </c>
      <c r="J29" s="110">
        <f>IF(J11=0,0,J11/TrRail_act!J17*1000)</f>
        <v>2197.9658022230083</v>
      </c>
      <c r="K29" s="110">
        <f>IF(K11=0,0,K11/TrRail_act!K17*1000)</f>
        <v>2180.1523009482439</v>
      </c>
      <c r="L29" s="110">
        <f>IF(L11=0,0,L11/TrRail_act!L17*1000)</f>
        <v>2141.902771570497</v>
      </c>
      <c r="M29" s="110">
        <f>IF(M11=0,0,M11/TrRail_act!M17*1000)</f>
        <v>1970.2662742545906</v>
      </c>
      <c r="N29" s="110">
        <f>IF(N11=0,0,N11/TrRail_act!N17*1000)</f>
        <v>1822.1385552069473</v>
      </c>
      <c r="O29" s="110">
        <f>IF(O11=0,0,O11/TrRail_act!O17*1000)</f>
        <v>1672.9204631992611</v>
      </c>
      <c r="P29" s="110">
        <f>IF(P11=0,0,P11/TrRail_act!P17*1000)</f>
        <v>1865.4238102030138</v>
      </c>
      <c r="Q29" s="110">
        <f>IF(Q11=0,0,Q11/TrRail_act!Q17*1000)</f>
        <v>1590.0012384196693</v>
      </c>
      <c r="R29" s="110">
        <f>IF(R11=0,0,R11/TrRail_act!R17*1000)</f>
        <v>1536.2124333775894</v>
      </c>
      <c r="S29" s="110">
        <f>IF(S11=0,0,S11/TrRail_act!S17*1000)</f>
        <v>1584.1638728378873</v>
      </c>
      <c r="T29" s="110">
        <f>IF(T11=0,0,T11/TrRail_act!T17*1000)</f>
        <v>1453.9770500215013</v>
      </c>
      <c r="U29" s="110">
        <f>IF(U11=0,0,U11/TrRail_act!U17*1000)</f>
        <v>1364.1469607729121</v>
      </c>
      <c r="V29" s="110">
        <f>IF(V11=0,0,V11/TrRail_act!V17*1000)</f>
        <v>1223.8473153633054</v>
      </c>
      <c r="W29" s="110">
        <f>IF(W11=0,0,W11/TrRail_act!W17*1000)</f>
        <v>1099.9890045435045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7524.4564985417783</v>
      </c>
      <c r="C30" s="84">
        <f>IF(C12=0,0,C12/TrRail_act!C18*1000)</f>
        <v>7373.5340489017872</v>
      </c>
      <c r="D30" s="84">
        <f>IF(D12=0,0,D12/TrRail_act!D18*1000)</f>
        <v>6963.9308438433072</v>
      </c>
      <c r="E30" s="84">
        <f>IF(E12=0,0,E12/TrRail_act!E18*1000)</f>
        <v>6707.8147409353942</v>
      </c>
      <c r="F30" s="84">
        <f>IF(F12=0,0,F12/TrRail_act!F18*1000)</f>
        <v>6654.4792289421384</v>
      </c>
      <c r="G30" s="84">
        <f>IF(G12=0,0,G12/TrRail_act!G18*1000)</f>
        <v>6414.0687692825641</v>
      </c>
      <c r="H30" s="84">
        <f>IF(H12=0,0,H12/TrRail_act!H18*1000)</f>
        <v>6206.8914558512324</v>
      </c>
      <c r="I30" s="84">
        <f>IF(I12=0,0,I12/TrRail_act!I18*1000)</f>
        <v>5945.0691021258126</v>
      </c>
      <c r="J30" s="84">
        <f>IF(J12=0,0,J12/TrRail_act!J18*1000)</f>
        <v>5877.6221251441084</v>
      </c>
      <c r="K30" s="84">
        <f>IF(K12=0,0,K12/TrRail_act!K18*1000)</f>
        <v>5855.3058193006809</v>
      </c>
      <c r="L30" s="84">
        <f>IF(L12=0,0,L12/TrRail_act!L18*1000)</f>
        <v>5647.7734866239425</v>
      </c>
      <c r="M30" s="84">
        <f>IF(M12=0,0,M12/TrRail_act!M18*1000)</f>
        <v>5488.1805437411031</v>
      </c>
      <c r="N30" s="84">
        <f>IF(N12=0,0,N12/TrRail_act!N18*1000)</f>
        <v>5291.7514599732131</v>
      </c>
      <c r="O30" s="84">
        <f>IF(O12=0,0,O12/TrRail_act!O18*1000)</f>
        <v>5249.5145711762971</v>
      </c>
      <c r="P30" s="84">
        <f>IF(P12=0,0,P12/TrRail_act!P18*1000)</f>
        <v>5161.4281533945641</v>
      </c>
      <c r="Q30" s="84">
        <f>IF(Q12=0,0,Q12/TrRail_act!Q18*1000)</f>
        <v>5128.8665207397571</v>
      </c>
      <c r="R30" s="84">
        <f>IF(R12=0,0,R12/TrRail_act!R18*1000)</f>
        <v>5028.0114714410474</v>
      </c>
      <c r="S30" s="84">
        <f>IF(S12=0,0,S12/TrRail_act!S18*1000)</f>
        <v>4953.6738275525813</v>
      </c>
      <c r="T30" s="84">
        <f>IF(T12=0,0,T12/TrRail_act!T18*1000)</f>
        <v>4898.6427453973274</v>
      </c>
      <c r="U30" s="84">
        <f>IF(U12=0,0,U12/TrRail_act!U18*1000)</f>
        <v>4857.7710038026362</v>
      </c>
      <c r="V30" s="84">
        <f>IF(V12=0,0,V12/TrRail_act!V18*1000)</f>
        <v>4827.3411431797795</v>
      </c>
      <c r="W30" s="84">
        <f>IF(W12=0,0,W12/TrRail_act!W18*1000)</f>
        <v>4804.6439059095146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2935.5135983018154</v>
      </c>
      <c r="C33" s="28">
        <f>IF(C15=0,0,C15/TrRail_act!C21*1000)</f>
        <v>2708.4235017277956</v>
      </c>
      <c r="D33" s="28">
        <f>IF(D15=0,0,D15/TrRail_act!D21*1000)</f>
        <v>2534.0458898638735</v>
      </c>
      <c r="E33" s="28">
        <f>IF(E15=0,0,E15/TrRail_act!E21*1000)</f>
        <v>2239.3878901576459</v>
      </c>
      <c r="F33" s="28">
        <f>IF(F15=0,0,F15/TrRail_act!F21*1000)</f>
        <v>2048.6984916722122</v>
      </c>
      <c r="G33" s="28">
        <f>IF(G15=0,0,G15/TrRail_act!G21*1000)</f>
        <v>1995.8341812027352</v>
      </c>
      <c r="H33" s="28">
        <f>IF(H15=0,0,H15/TrRail_act!H21*1000)</f>
        <v>2016.312477766033</v>
      </c>
      <c r="I33" s="28">
        <f>IF(I15=0,0,I15/TrRail_act!I21*1000)</f>
        <v>1880.3523920014459</v>
      </c>
      <c r="J33" s="28">
        <f>IF(J15=0,0,J15/TrRail_act!J21*1000)</f>
        <v>1743.6557023549306</v>
      </c>
      <c r="K33" s="28">
        <f>IF(K15=0,0,K15/TrRail_act!K21*1000)</f>
        <v>1610.0655604348594</v>
      </c>
      <c r="L33" s="28">
        <f>IF(L15=0,0,L15/TrRail_act!L21*1000)</f>
        <v>1488.9958290578827</v>
      </c>
      <c r="M33" s="28">
        <f>IF(M15=0,0,M15/TrRail_act!M21*1000)</f>
        <v>625.00123757064921</v>
      </c>
      <c r="N33" s="28">
        <f>IF(N15=0,0,N15/TrRail_act!N21*1000)</f>
        <v>1307.0852433582804</v>
      </c>
      <c r="O33" s="28">
        <f>IF(O15=0,0,O15/TrRail_act!O21*1000)</f>
        <v>1300.8254416807242</v>
      </c>
      <c r="P33" s="28">
        <f>IF(P15=0,0,P15/TrRail_act!P21*1000)</f>
        <v>1331.6902575428426</v>
      </c>
      <c r="Q33" s="28">
        <f>IF(Q15=0,0,Q15/TrRail_act!Q21*1000)</f>
        <v>1222.860788274711</v>
      </c>
      <c r="R33" s="28">
        <f>IF(R15=0,0,R15/TrRail_act!R21*1000)</f>
        <v>1082.107455372608</v>
      </c>
      <c r="S33" s="28">
        <f>IF(S15=0,0,S15/TrRail_act!S21*1000)</f>
        <v>1042.0018581257532</v>
      </c>
      <c r="T33" s="28">
        <f>IF(T15=0,0,T15/TrRail_act!T21*1000)</f>
        <v>1257.1838500167764</v>
      </c>
      <c r="U33" s="28">
        <f>IF(U15=0,0,U15/TrRail_act!U21*1000)</f>
        <v>1193.2150416228128</v>
      </c>
      <c r="V33" s="28">
        <f>IF(V15=0,0,V15/TrRail_act!V21*1000)</f>
        <v>1188.5867256629945</v>
      </c>
      <c r="W33" s="28">
        <f>IF(W15=0,0,W15/TrRail_act!W21*1000)</f>
        <v>1461.7503234133692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14064.952239654905</v>
      </c>
      <c r="C34" s="84">
        <f>IF(C16=0,0,C16/TrRail_act!C22*1000)</f>
        <v>13695.275349876785</v>
      </c>
      <c r="D34" s="84">
        <f>IF(D16=0,0,D16/TrRail_act!D22*1000)</f>
        <v>13277.085860530435</v>
      </c>
      <c r="E34" s="84">
        <f>IF(E16=0,0,E16/TrRail_act!E22*1000)</f>
        <v>13057.031399911128</v>
      </c>
      <c r="F34" s="84">
        <f>IF(F16=0,0,F16/TrRail_act!F22*1000)</f>
        <v>12971.710514435983</v>
      </c>
      <c r="G34" s="84">
        <f>IF(G16=0,0,G16/TrRail_act!G22*1000)</f>
        <v>12870.703206224245</v>
      </c>
      <c r="H34" s="84">
        <f>IF(H16=0,0,H16/TrRail_act!H22*1000)</f>
        <v>12468.481797545463</v>
      </c>
      <c r="I34" s="84">
        <f>IF(I16=0,0,I16/TrRail_act!I22*1000)</f>
        <v>12389.433641163725</v>
      </c>
      <c r="J34" s="84">
        <f>IF(J16=0,0,J16/TrRail_act!J22*1000)</f>
        <v>12265.004162464791</v>
      </c>
      <c r="K34" s="84">
        <f>IF(K16=0,0,K16/TrRail_act!K22*1000)</f>
        <v>12172.494061093623</v>
      </c>
      <c r="L34" s="84">
        <f>IF(L16=0,0,L16/TrRail_act!L22*1000)</f>
        <v>12092.167272748913</v>
      </c>
      <c r="M34" s="84">
        <f>IF(M16=0,0,M16/TrRail_act!M22*1000)</f>
        <v>11959.547290922917</v>
      </c>
      <c r="N34" s="84">
        <f>IF(N16=0,0,N16/TrRail_act!N22*1000)</f>
        <v>11884.154449039714</v>
      </c>
      <c r="O34" s="84">
        <f>IF(O16=0,0,O16/TrRail_act!O22*1000)</f>
        <v>11811.668697227091</v>
      </c>
      <c r="P34" s="84">
        <f>IF(P16=0,0,P16/TrRail_act!P22*1000)</f>
        <v>11722.613722926404</v>
      </c>
      <c r="Q34" s="84">
        <f>IF(Q16=0,0,Q16/TrRail_act!Q22*1000)</f>
        <v>11669.158021149871</v>
      </c>
      <c r="R34" s="84">
        <f>IF(R16=0,0,R16/TrRail_act!R22*1000)</f>
        <v>11605.967821078319</v>
      </c>
      <c r="S34" s="84">
        <f>IF(S16=0,0,S16/TrRail_act!S22*1000)</f>
        <v>11558.799830905924</v>
      </c>
      <c r="T34" s="84">
        <f>IF(T16=0,0,T16/TrRail_act!T22*1000)</f>
        <v>11523.549681532046</v>
      </c>
      <c r="U34" s="84">
        <f>IF(U16=0,0,U16/TrRail_act!U22*1000)</f>
        <v>11497.182634438648</v>
      </c>
      <c r="V34" s="84">
        <f>IF(V16=0,0,V16/TrRail_act!V22*1000)</f>
        <v>11477.446948544353</v>
      </c>
      <c r="W34" s="84">
        <f>IF(W16=0,0,W16/TrRail_act!W22*1000)</f>
        <v>11462.667419500187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18.386811147077921</v>
      </c>
      <c r="C38" s="29">
        <f>IF(C9=0,0,C9/TrRail_act!C4*1000)</f>
        <v>17.559275782025438</v>
      </c>
      <c r="D38" s="29">
        <f>IF(D9=0,0,D9/TrRail_act!D4*1000)</f>
        <v>16.341627295266687</v>
      </c>
      <c r="E38" s="29">
        <f>IF(E9=0,0,E9/TrRail_act!E4*1000)</f>
        <v>16.153145338808525</v>
      </c>
      <c r="F38" s="29">
        <f>IF(F9=0,0,F9/TrRail_act!F4*1000)</f>
        <v>15.330763998651262</v>
      </c>
      <c r="G38" s="29">
        <f>IF(G9=0,0,G9/TrRail_act!G4*1000)</f>
        <v>14.160177786981071</v>
      </c>
      <c r="H38" s="29">
        <f>IF(H9=0,0,H9/TrRail_act!H4*1000)</f>
        <v>13.193585136488615</v>
      </c>
      <c r="I38" s="29">
        <f>IF(I9=0,0,I9/TrRail_act!I4*1000)</f>
        <v>13.641857831552835</v>
      </c>
      <c r="J38" s="29">
        <f>IF(J9=0,0,J9/TrRail_act!J4*1000)</f>
        <v>14.467600900857812</v>
      </c>
      <c r="K38" s="29">
        <f>IF(K9=0,0,K9/TrRail_act!K4*1000)</f>
        <v>15.970435617572095</v>
      </c>
      <c r="L38" s="29">
        <f>IF(L9=0,0,L9/TrRail_act!L4*1000)</f>
        <v>14.503295727131569</v>
      </c>
      <c r="M38" s="29">
        <f>IF(M9=0,0,M9/TrRail_act!M4*1000)</f>
        <v>12.985585590493082</v>
      </c>
      <c r="N38" s="29">
        <f>IF(N9=0,0,N9/TrRail_act!N4*1000)</f>
        <v>10.588339179481796</v>
      </c>
      <c r="O38" s="29">
        <f>IF(O9=0,0,O9/TrRail_act!O4*1000)</f>
        <v>12.310181777044741</v>
      </c>
      <c r="P38" s="29">
        <f>IF(P9=0,0,P9/TrRail_act!P4*1000)</f>
        <v>12.81189158713849</v>
      </c>
      <c r="Q38" s="29">
        <f>IF(Q9=0,0,Q9/TrRail_act!Q4*1000)</f>
        <v>10.458086646905549</v>
      </c>
      <c r="R38" s="29">
        <f>IF(R9=0,0,R9/TrRail_act!R4*1000)</f>
        <v>10.169247734307504</v>
      </c>
      <c r="S38" s="29">
        <f>IF(S9=0,0,S9/TrRail_act!S4*1000)</f>
        <v>10.346121996622562</v>
      </c>
      <c r="T38" s="29">
        <f>IF(T9=0,0,T9/TrRail_act!T4*1000)</f>
        <v>10.416569101626509</v>
      </c>
      <c r="U38" s="29">
        <f>IF(U9=0,0,U9/TrRail_act!U4*1000)</f>
        <v>9.3014289862575144</v>
      </c>
      <c r="V38" s="29">
        <f>IF(V9=0,0,V9/TrRail_act!V4*1000)</f>
        <v>11.321520061151171</v>
      </c>
      <c r="W38" s="29">
        <f>IF(W9=0,0,W9/TrRail_act!W4*1000)</f>
        <v>10.838998848930988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23.261886422842935</v>
      </c>
      <c r="C40" s="116">
        <f>IF(C11=0,0,C11/TrRail_act!C6*1000)</f>
        <v>22.071509468740821</v>
      </c>
      <c r="D40" s="116">
        <f>IF(D11=0,0,D11/TrRail_act!D6*1000)</f>
        <v>20.276900946467553</v>
      </c>
      <c r="E40" s="116">
        <f>IF(E11=0,0,E11/TrRail_act!E6*1000)</f>
        <v>20.104274414488305</v>
      </c>
      <c r="F40" s="116">
        <f>IF(F11=0,0,F11/TrRail_act!F6*1000)</f>
        <v>18.980586809938629</v>
      </c>
      <c r="G40" s="116">
        <f>IF(G11=0,0,G11/TrRail_act!G6*1000)</f>
        <v>17.54246368006466</v>
      </c>
      <c r="H40" s="116">
        <f>IF(H11=0,0,H11/TrRail_act!H6*1000)</f>
        <v>16.312342111701234</v>
      </c>
      <c r="I40" s="116">
        <f>IF(I11=0,0,I11/TrRail_act!I6*1000)</f>
        <v>17.195723902844026</v>
      </c>
      <c r="J40" s="116">
        <f>IF(J11=0,0,J11/TrRail_act!J6*1000)</f>
        <v>18.541629856900141</v>
      </c>
      <c r="K40" s="116">
        <f>IF(K11=0,0,K11/TrRail_act!K6*1000)</f>
        <v>20.96416449501907</v>
      </c>
      <c r="L40" s="116">
        <f>IF(L11=0,0,L11/TrRail_act!L6*1000)</f>
        <v>19.20303574338342</v>
      </c>
      <c r="M40" s="116">
        <f>IF(M11=0,0,M11/TrRail_act!M6*1000)</f>
        <v>17.174014879768919</v>
      </c>
      <c r="N40" s="116">
        <f>IF(N11=0,0,N11/TrRail_act!N6*1000)</f>
        <v>13.978179419274062</v>
      </c>
      <c r="O40" s="116">
        <f>IF(O11=0,0,O11/TrRail_act!O6*1000)</f>
        <v>16.251087268417347</v>
      </c>
      <c r="P40" s="116">
        <f>IF(P11=0,0,P11/TrRail_act!P6*1000)</f>
        <v>17.48011770805812</v>
      </c>
      <c r="Q40" s="116">
        <f>IF(Q11=0,0,Q11/TrRail_act!Q6*1000)</f>
        <v>14.508096359743661</v>
      </c>
      <c r="R40" s="116">
        <f>IF(R11=0,0,R11/TrRail_act!R6*1000)</f>
        <v>14.238945464580508</v>
      </c>
      <c r="S40" s="116">
        <f>IF(S11=0,0,S11/TrRail_act!S6*1000)</f>
        <v>14.421983783080067</v>
      </c>
      <c r="T40" s="116">
        <f>IF(T11=0,0,T11/TrRail_act!T6*1000)</f>
        <v>14.046549044544669</v>
      </c>
      <c r="U40" s="116">
        <f>IF(U11=0,0,U11/TrRail_act!U6*1000)</f>
        <v>12.669873820695322</v>
      </c>
      <c r="V40" s="116">
        <f>IF(V11=0,0,V11/TrRail_act!V6*1000)</f>
        <v>15.624817241378596</v>
      </c>
      <c r="W40" s="116">
        <f>IF(W11=0,0,W11/TrRail_act!W6*1000)</f>
        <v>14.362490537911464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56.865429753398146</v>
      </c>
      <c r="C41" s="87">
        <f>IF(C12=0,0,C12/TrRail_act!C7*1000)</f>
        <v>55.714547242037767</v>
      </c>
      <c r="D41" s="87">
        <f>IF(D12=0,0,D12/TrRail_act!D7*1000)</f>
        <v>47.432151885657063</v>
      </c>
      <c r="E41" s="87">
        <f>IF(E12=0,0,E12/TrRail_act!E7*1000)</f>
        <v>49.978423616936595</v>
      </c>
      <c r="F41" s="87">
        <f>IF(F12=0,0,F12/TrRail_act!F7*1000)</f>
        <v>47.212289883281095</v>
      </c>
      <c r="G41" s="87">
        <f>IF(G12=0,0,G12/TrRail_act!G7*1000)</f>
        <v>48.347785933183289</v>
      </c>
      <c r="H41" s="87">
        <f>IF(H12=0,0,H12/TrRail_act!H7*1000)</f>
        <v>43.099984736004238</v>
      </c>
      <c r="I41" s="87">
        <f>IF(I12=0,0,I12/TrRail_act!I7*1000)</f>
        <v>48.081040305109802</v>
      </c>
      <c r="J41" s="87">
        <f>IF(J12=0,0,J12/TrRail_act!J7*1000)</f>
        <v>52.181304901333753</v>
      </c>
      <c r="K41" s="87">
        <f>IF(K12=0,0,K12/TrRail_act!K7*1000)</f>
        <v>57.256584195479412</v>
      </c>
      <c r="L41" s="87">
        <f>IF(L12=0,0,L12/TrRail_act!L7*1000)</f>
        <v>55.950970403744982</v>
      </c>
      <c r="M41" s="87">
        <f>IF(M12=0,0,M12/TrRail_act!M7*1000)</f>
        <v>50.445361100993757</v>
      </c>
      <c r="N41" s="87">
        <f>IF(N12=0,0,N12/TrRail_act!N7*1000)</f>
        <v>46.880996262533998</v>
      </c>
      <c r="O41" s="87">
        <f>IF(O12=0,0,O12/TrRail_act!O7*1000)</f>
        <v>52.614169904935146</v>
      </c>
      <c r="P41" s="87">
        <f>IF(P12=0,0,P12/TrRail_act!P7*1000)</f>
        <v>49.261944813417706</v>
      </c>
      <c r="Q41" s="87">
        <f>IF(Q12=0,0,Q12/TrRail_act!Q7*1000)</f>
        <v>51.71799198304695</v>
      </c>
      <c r="R41" s="87">
        <f>IF(R12=0,0,R12/TrRail_act!R7*1000)</f>
        <v>51.425642652213952</v>
      </c>
      <c r="S41" s="87">
        <f>IF(S12=0,0,S12/TrRail_act!S7*1000)</f>
        <v>50.60156876642754</v>
      </c>
      <c r="T41" s="87">
        <f>IF(T12=0,0,T12/TrRail_act!T7*1000)</f>
        <v>47.988586199189911</v>
      </c>
      <c r="U41" s="87">
        <f>IF(U12=0,0,U12/TrRail_act!U7*1000)</f>
        <v>45.578635096077697</v>
      </c>
      <c r="V41" s="87">
        <f>IF(V12=0,0,V12/TrRail_act!V7*1000)</f>
        <v>61.439506115701228</v>
      </c>
      <c r="W41" s="87">
        <f>IF(W12=0,0,W12/TrRail_act!W7*1000)</f>
        <v>58.456286443154184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4.9259757958193475</v>
      </c>
      <c r="C44" s="29">
        <f>IF(C15=0,0,C15/TrRail_act!C10*1000)</f>
        <v>4.8854781600169854</v>
      </c>
      <c r="D44" s="29">
        <f>IF(D15=0,0,D15/TrRail_act!D10*1000)</f>
        <v>4.6225282888141228</v>
      </c>
      <c r="E44" s="29">
        <f>IF(E15=0,0,E15/TrRail_act!E10*1000)</f>
        <v>4.1605688223719879</v>
      </c>
      <c r="F44" s="29">
        <f>IF(F15=0,0,F15/TrRail_act!F10*1000)</f>
        <v>3.6845666106953772</v>
      </c>
      <c r="G44" s="29">
        <f>IF(G15=0,0,G15/TrRail_act!G10*1000)</f>
        <v>3.5145846213072613</v>
      </c>
      <c r="H44" s="29">
        <f>IF(H15=0,0,H15/TrRail_act!H10*1000)</f>
        <v>3.6214881720457801</v>
      </c>
      <c r="I44" s="29">
        <f>IF(I15=0,0,I15/TrRail_act!I10*1000)</f>
        <v>3.6061927151979578</v>
      </c>
      <c r="J44" s="29">
        <f>IF(J15=0,0,J15/TrRail_act!J10*1000)</f>
        <v>3.3405717264111803</v>
      </c>
      <c r="K44" s="29">
        <f>IF(K15=0,0,K15/TrRail_act!K10*1000)</f>
        <v>3.0931285385385197</v>
      </c>
      <c r="L44" s="29">
        <f>IF(L15=0,0,L15/TrRail_act!L10*1000)</f>
        <v>2.6873165370725332</v>
      </c>
      <c r="M44" s="29">
        <f>IF(M15=0,0,M15/TrRail_act!M10*1000)</f>
        <v>1.0791194788718923</v>
      </c>
      <c r="N44" s="29">
        <f>IF(N15=0,0,N15/TrRail_act!N10*1000)</f>
        <v>2.0028648464947603</v>
      </c>
      <c r="O44" s="29">
        <f>IF(O15=0,0,O15/TrRail_act!O10*1000)</f>
        <v>2.2572077392585004</v>
      </c>
      <c r="P44" s="29">
        <f>IF(P15=0,0,P15/TrRail_act!P10*1000)</f>
        <v>2.3096130316052683</v>
      </c>
      <c r="Q44" s="29">
        <f>IF(Q15=0,0,Q15/TrRail_act!Q10*1000)</f>
        <v>2.0299994803906531</v>
      </c>
      <c r="R44" s="29">
        <f>IF(R15=0,0,R15/TrRail_act!R10*1000)</f>
        <v>1.727302363180599</v>
      </c>
      <c r="S44" s="29">
        <f>IF(S15=0,0,S15/TrRail_act!S10*1000)</f>
        <v>1.6484743465864025</v>
      </c>
      <c r="T44" s="29">
        <f>IF(T15=0,0,T15/TrRail_act!T10*1000)</f>
        <v>2.3026921696795082</v>
      </c>
      <c r="U44" s="29">
        <f>IF(U15=0,0,U15/TrRail_act!U10*1000)</f>
        <v>2.1252582797148105</v>
      </c>
      <c r="V44" s="29">
        <f>IF(V15=0,0,V15/TrRail_act!V10*1000)</f>
        <v>2.5062964303879527</v>
      </c>
      <c r="W44" s="29">
        <f>IF(W15=0,0,W15/TrRail_act!W10*1000)</f>
        <v>2.365667923367516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19.000660569830892</v>
      </c>
      <c r="C45" s="87">
        <f>IF(C16=0,0,C16/TrRail_act!C11*1000)</f>
        <v>19.464265014055307</v>
      </c>
      <c r="D45" s="87">
        <f>IF(D16=0,0,D16/TrRail_act!D11*1000)</f>
        <v>18.264947958322526</v>
      </c>
      <c r="E45" s="87">
        <f>IF(E16=0,0,E16/TrRail_act!E11*1000)</f>
        <v>17.22220575695194</v>
      </c>
      <c r="F45" s="87">
        <f>IF(F16=0,0,F16/TrRail_act!F11*1000)</f>
        <v>16.117911544236087</v>
      </c>
      <c r="G45" s="87">
        <f>IF(G16=0,0,G16/TrRail_act!G11*1000)</f>
        <v>16.132625110521193</v>
      </c>
      <c r="H45" s="87">
        <f>IF(H16=0,0,H16/TrRail_act!H11*1000)</f>
        <v>15.546873156439155</v>
      </c>
      <c r="I45" s="87">
        <f>IF(I16=0,0,I16/TrRail_act!I11*1000)</f>
        <v>16.054660044402286</v>
      </c>
      <c r="J45" s="87">
        <f>IF(J16=0,0,J16/TrRail_act!J11*1000)</f>
        <v>15.765354488094951</v>
      </c>
      <c r="K45" s="87">
        <f>IF(K16=0,0,K16/TrRail_act!K11*1000)</f>
        <v>16.157543863600747</v>
      </c>
      <c r="L45" s="87">
        <f>IF(L16=0,0,L16/TrRail_act!L11*1000)</f>
        <v>16.197140518214198</v>
      </c>
      <c r="M45" s="87">
        <f>IF(M16=0,0,M16/TrRail_act!M11*1000)</f>
        <v>14.32024666952187</v>
      </c>
      <c r="N45" s="87">
        <f>IF(N16=0,0,N16/TrRail_act!N11*1000)</f>
        <v>12.731389400703215</v>
      </c>
      <c r="O45" s="87">
        <f>IF(O16=0,0,O16/TrRail_act!O11*1000)</f>
        <v>14.729816311313671</v>
      </c>
      <c r="P45" s="87">
        <f>IF(P16=0,0,P16/TrRail_act!P11*1000)</f>
        <v>13.934855679454261</v>
      </c>
      <c r="Q45" s="87">
        <f>IF(Q16=0,0,Q16/TrRail_act!Q11*1000)</f>
        <v>14.025636074636687</v>
      </c>
      <c r="R45" s="87">
        <f>IF(R16=0,0,R16/TrRail_act!R11*1000)</f>
        <v>12.186876487015812</v>
      </c>
      <c r="S45" s="87">
        <f>IF(S16=0,0,S16/TrRail_act!S11*1000)</f>
        <v>11.454409518500428</v>
      </c>
      <c r="T45" s="87">
        <f>IF(T16=0,0,T16/TrRail_act!T11*1000)</f>
        <v>15.934185342388476</v>
      </c>
      <c r="U45" s="87">
        <f>IF(U16=0,0,U16/TrRail_act!U11*1000)</f>
        <v>15.582762864931206</v>
      </c>
      <c r="V45" s="87">
        <f>IF(V16=0,0,V16/TrRail_act!V11*1000)</f>
        <v>20.295295281037525</v>
      </c>
      <c r="W45" s="87">
        <f>IF(W16=0,0,W16/TrRail_act!W11*1000)</f>
        <v>19.267563885315401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360.14045013960799</v>
      </c>
      <c r="C48" s="62">
        <f>IF(C8=0,0,1000000*C8/TrRail_act!C25/1000)</f>
        <v>341.88134979722258</v>
      </c>
      <c r="D48" s="62">
        <f>IF(D8=0,0,1000000*D8/TrRail_act!D25/1000)</f>
        <v>332.3974635686518</v>
      </c>
      <c r="E48" s="62">
        <f>IF(E8=0,0,1000000*E8/TrRail_act!E25/1000)</f>
        <v>306.21285315785678</v>
      </c>
      <c r="F48" s="62">
        <f>IF(F8=0,0,1000000*F8/TrRail_act!F25/1000)</f>
        <v>287.56356287778942</v>
      </c>
      <c r="G48" s="62">
        <f>IF(G8=0,0,1000000*G8/TrRail_act!G25/1000)</f>
        <v>266.11901090757732</v>
      </c>
      <c r="H48" s="62">
        <f>IF(H8=0,0,1000000*H8/TrRail_act!H25/1000)</f>
        <v>243.26073873221353</v>
      </c>
      <c r="I48" s="62">
        <f>IF(I8=0,0,1000000*I8/TrRail_act!I25/1000)</f>
        <v>227.04342198514959</v>
      </c>
      <c r="J48" s="62">
        <f>IF(J8=0,0,1000000*J8/TrRail_act!J25/1000)</f>
        <v>224.83741035682587</v>
      </c>
      <c r="K48" s="62">
        <f>IF(K8=0,0,1000000*K8/TrRail_act!K25/1000)</f>
        <v>214.56346740071285</v>
      </c>
      <c r="L48" s="62">
        <f>IF(L8=0,0,1000000*L8/TrRail_act!L25/1000)</f>
        <v>201.8526146961342</v>
      </c>
      <c r="M48" s="62">
        <f>IF(M8=0,0,1000000*M8/TrRail_act!M25/1000)</f>
        <v>172.925725042615</v>
      </c>
      <c r="N48" s="62">
        <f>IF(N8=0,0,1000000*N8/TrRail_act!N25/1000)</f>
        <v>164.10547742799091</v>
      </c>
      <c r="O48" s="62">
        <f>IF(O8=0,0,1000000*O8/TrRail_act!O25/1000)</f>
        <v>169.37875064966525</v>
      </c>
      <c r="P48" s="62">
        <f>IF(P8=0,0,1000000*P8/TrRail_act!P25/1000)</f>
        <v>172.97774162383845</v>
      </c>
      <c r="Q48" s="62">
        <f>IF(Q8=0,0,1000000*Q8/TrRail_act!Q25/1000)</f>
        <v>140.69850161882485</v>
      </c>
      <c r="R48" s="62">
        <f>IF(R8=0,0,1000000*R8/TrRail_act!R25/1000)</f>
        <v>134.78349488519203</v>
      </c>
      <c r="S48" s="62">
        <f>IF(S8=0,0,1000000*S8/TrRail_act!S25/1000)</f>
        <v>140.31305916901198</v>
      </c>
      <c r="T48" s="62">
        <f>IF(T8=0,0,1000000*T8/TrRail_act!T25/1000)</f>
        <v>140.39036939338871</v>
      </c>
      <c r="U48" s="62">
        <f>IF(U8=0,0,1000000*U8/TrRail_act!U25/1000)</f>
        <v>133.71506811013953</v>
      </c>
      <c r="V48" s="62">
        <f>IF(V8=0,0,1000000*V8/TrRail_act!V25/1000)</f>
        <v>119.53223536683876</v>
      </c>
      <c r="W48" s="62">
        <f>IF(W8=0,0,1000000*W8/TrRail_act!W25/1000)</f>
        <v>116.68710686954486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335.226119609237</v>
      </c>
      <c r="C49" s="29">
        <f>IF(C9=0,0,1000000*C9/TrRail_act!C26/1000)</f>
        <v>321.7324494787398</v>
      </c>
      <c r="D49" s="29">
        <f>IF(D9=0,0,1000000*D9/TrRail_act!D26/1000)</f>
        <v>314.14329915051837</v>
      </c>
      <c r="E49" s="29">
        <f>IF(E9=0,0,1000000*E9/TrRail_act!E26/1000)</f>
        <v>292.061208161742</v>
      </c>
      <c r="F49" s="29">
        <f>IF(F9=0,0,1000000*F9/TrRail_act!F26/1000)</f>
        <v>273.9169447521777</v>
      </c>
      <c r="G49" s="29">
        <f>IF(G9=0,0,1000000*G9/TrRail_act!G26/1000)</f>
        <v>250.67261382006723</v>
      </c>
      <c r="H49" s="29">
        <f>IF(H9=0,0,1000000*H9/TrRail_act!H26/1000)</f>
        <v>222.61772823878246</v>
      </c>
      <c r="I49" s="29">
        <f>IF(I9=0,0,1000000*I9/TrRail_act!I26/1000)</f>
        <v>207.26786867785302</v>
      </c>
      <c r="J49" s="29">
        <f>IF(J9=0,0,1000000*J9/TrRail_act!J26/1000)</f>
        <v>208.91410984398837</v>
      </c>
      <c r="K49" s="29">
        <f>IF(K9=0,0,1000000*K9/TrRail_act!K26/1000)</f>
        <v>208.37790061798967</v>
      </c>
      <c r="L49" s="29">
        <f>IF(L9=0,0,1000000*L9/TrRail_act!L26/1000)</f>
        <v>192.07228650640286</v>
      </c>
      <c r="M49" s="29">
        <f>IF(M9=0,0,1000000*M9/TrRail_act!M26/1000)</f>
        <v>179.08723550821381</v>
      </c>
      <c r="N49" s="29">
        <f>IF(N9=0,0,1000000*N9/TrRail_act!N26/1000)</f>
        <v>155.65151942979242</v>
      </c>
      <c r="O49" s="29">
        <f>IF(O9=0,0,1000000*O9/TrRail_act!O26/1000)</f>
        <v>159.77797614660011</v>
      </c>
      <c r="P49" s="29">
        <f>IF(P9=0,0,1000000*P9/TrRail_act!P26/1000)</f>
        <v>163.06348554673514</v>
      </c>
      <c r="Q49" s="29">
        <f>IF(Q9=0,0,1000000*Q9/TrRail_act!Q26/1000)</f>
        <v>130.49641592357179</v>
      </c>
      <c r="R49" s="29">
        <f>IF(R9=0,0,1000000*R9/TrRail_act!R26/1000)</f>
        <v>126.8013341874163</v>
      </c>
      <c r="S49" s="29">
        <f>IF(S9=0,0,1000000*S9/TrRail_act!S26/1000)</f>
        <v>131.80928662492749</v>
      </c>
      <c r="T49" s="29">
        <f>IF(T9=0,0,1000000*T9/TrRail_act!T26/1000)</f>
        <v>128.37794416926175</v>
      </c>
      <c r="U49" s="29">
        <f>IF(U9=0,0,1000000*U9/TrRail_act!U26/1000)</f>
        <v>121.43910483432406</v>
      </c>
      <c r="V49" s="29">
        <f>IF(V9=0,0,1000000*V9/TrRail_act!V26/1000)</f>
        <v>100.40524057504345</v>
      </c>
      <c r="W49" s="29">
        <f>IF(W9=0,0,1000000*W9/TrRail_act!W26/1000)</f>
        <v>99.622488694875784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559.31847645891673</v>
      </c>
      <c r="C51" s="116">
        <f>IF(C11=0,0,1000000*C11/TrRail_act!C28/1000)</f>
        <v>531.63215237251893</v>
      </c>
      <c r="D51" s="116">
        <f>IF(D11=0,0,1000000*D11/TrRail_act!D28/1000)</f>
        <v>512.96489921901468</v>
      </c>
      <c r="E51" s="116">
        <f>IF(E11=0,0,1000000*E11/TrRail_act!E28/1000)</f>
        <v>473.19929965136481</v>
      </c>
      <c r="F51" s="116">
        <f>IF(F11=0,0,1000000*F11/TrRail_act!F28/1000)</f>
        <v>436.59490090092527</v>
      </c>
      <c r="G51" s="116">
        <f>IF(G11=0,0,1000000*G11/TrRail_act!G28/1000)</f>
        <v>396.31858593089601</v>
      </c>
      <c r="H51" s="116">
        <f>IF(H11=0,0,1000000*H11/TrRail_act!H28/1000)</f>
        <v>343.11786150958841</v>
      </c>
      <c r="I51" s="116">
        <f>IF(I11=0,0,1000000*I11/TrRail_act!I28/1000)</f>
        <v>323.67256604934551</v>
      </c>
      <c r="J51" s="116">
        <f>IF(J11=0,0,1000000*J11/TrRail_act!J28/1000)</f>
        <v>329.69486967584692</v>
      </c>
      <c r="K51" s="116">
        <f>IF(K11=0,0,1000000*K11/TrRail_act!K28/1000)</f>
        <v>327.02284487572541</v>
      </c>
      <c r="L51" s="116">
        <f>IF(L11=0,0,1000000*L11/TrRail_act!L28/1000)</f>
        <v>308.20970079353066</v>
      </c>
      <c r="M51" s="116">
        <f>IF(M11=0,0,1000000*M11/TrRail_act!M28/1000)</f>
        <v>295.5399404016726</v>
      </c>
      <c r="N51" s="116">
        <f>IF(N11=0,0,1000000*N11/TrRail_act!N28/1000)</f>
        <v>265.61263099431829</v>
      </c>
      <c r="O51" s="116">
        <f>IF(O11=0,0,1000000*O11/TrRail_act!O28/1000)</f>
        <v>250.9380691229747</v>
      </c>
      <c r="P51" s="116">
        <f>IF(P11=0,0,1000000*P11/TrRail_act!P28/1000)</f>
        <v>270.31378213899296</v>
      </c>
      <c r="Q51" s="116">
        <f>IF(Q11=0,0,1000000*Q11/TrRail_act!Q28/1000)</f>
        <v>232.84622904547717</v>
      </c>
      <c r="R51" s="116">
        <f>IF(R11=0,0,1000000*R11/TrRail_act!R28/1000)</f>
        <v>230.43186448659353</v>
      </c>
      <c r="S51" s="116">
        <f>IF(S11=0,0,1000000*S11/TrRail_act!S28/1000)</f>
        <v>237.6245803330028</v>
      </c>
      <c r="T51" s="116">
        <f>IF(T11=0,0,1000000*T11/TrRail_act!T28/1000)</f>
        <v>218.09655674841704</v>
      </c>
      <c r="U51" s="116">
        <f>IF(U11=0,0,1000000*U11/TrRail_act!U28/1000)</f>
        <v>204.6220439425903</v>
      </c>
      <c r="V51" s="116">
        <f>IF(V11=0,0,1000000*V11/TrRail_act!V28/1000)</f>
        <v>172.49610272152663</v>
      </c>
      <c r="W51" s="116">
        <f>IF(W11=0,0,1000000*W11/TrRail_act!W28/1000)</f>
        <v>164.99835060814817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1128.6684714216512</v>
      </c>
      <c r="C52" s="87">
        <f>IF(C12=0,0,1000000*C12/TrRail_act!C29/1000)</f>
        <v>1106.0301030137368</v>
      </c>
      <c r="D52" s="87">
        <f>IF(D12=0,0,1000000*D12/TrRail_act!D29/1000)</f>
        <v>1044.5896231685379</v>
      </c>
      <c r="E52" s="87">
        <f>IF(E12=0,0,1000000*E12/TrRail_act!E29/1000)</f>
        <v>1006.1722107804082</v>
      </c>
      <c r="F52" s="87">
        <f>IF(F12=0,0,1000000*F12/TrRail_act!F29/1000)</f>
        <v>998.17188056816417</v>
      </c>
      <c r="G52" s="87">
        <f>IF(G12=0,0,1000000*G12/TrRail_act!G29/1000)</f>
        <v>962.11031103012181</v>
      </c>
      <c r="H52" s="87">
        <f>IF(H12=0,0,1000000*H12/TrRail_act!H29/1000)</f>
        <v>931.03371518238896</v>
      </c>
      <c r="I52" s="87">
        <f>IF(I12=0,0,1000000*I12/TrRail_act!I29/1000)</f>
        <v>891.76036386172177</v>
      </c>
      <c r="J52" s="87">
        <f>IF(J12=0,0,1000000*J12/TrRail_act!J29/1000)</f>
        <v>881.64331663704183</v>
      </c>
      <c r="K52" s="87">
        <f>IF(K12=0,0,1000000*K12/TrRail_act!K29/1000)</f>
        <v>878.29587136816974</v>
      </c>
      <c r="L52" s="87">
        <f>IF(L12=0,0,1000000*L12/TrRail_act!L29/1000)</f>
        <v>847.16601851264215</v>
      </c>
      <c r="M52" s="87">
        <f>IF(M12=0,0,1000000*M12/TrRail_act!M29/1000)</f>
        <v>823.22707998863632</v>
      </c>
      <c r="N52" s="87">
        <f>IF(N12=0,0,1000000*N12/TrRail_act!N29/1000)</f>
        <v>768.55220639442484</v>
      </c>
      <c r="O52" s="87">
        <f>IF(O12=0,0,1000000*O12/TrRail_act!O29/1000)</f>
        <v>787.42718247260063</v>
      </c>
      <c r="P52" s="87">
        <f>IF(P12=0,0,1000000*P12/TrRail_act!P29/1000)</f>
        <v>774.21421989181704</v>
      </c>
      <c r="Q52" s="87">
        <f>IF(Q12=0,0,1000000*Q12/TrRail_act!Q29/1000)</f>
        <v>713.44826795229017</v>
      </c>
      <c r="R52" s="87">
        <f>IF(R12=0,0,1000000*R12/TrRail_act!R29/1000)</f>
        <v>754.20171764582597</v>
      </c>
      <c r="S52" s="87">
        <f>IF(S12=0,0,1000000*S12/TrRail_act!S29/1000)</f>
        <v>743.05107170887084</v>
      </c>
      <c r="T52" s="87">
        <f>IF(T12=0,0,1000000*T12/TrRail_act!T29/1000)</f>
        <v>734.79640799383981</v>
      </c>
      <c r="U52" s="87">
        <f>IF(U12=0,0,1000000*U12/TrRail_act!U29/1000)</f>
        <v>728.66564962328982</v>
      </c>
      <c r="V52" s="87">
        <f>IF(V12=0,0,1000000*V12/TrRail_act!V29/1000)</f>
        <v>660.57887666994293</v>
      </c>
      <c r="W52" s="87">
        <f>IF(W12=0,0,1000000*W12/TrRail_act!W29/1000)</f>
        <v>720.69658493587235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587.10271662582363</v>
      </c>
      <c r="C55" s="29">
        <f>IF(C15=0,0,1000000*C15/TrRail_act!C32/1000)</f>
        <v>540.63272365923979</v>
      </c>
      <c r="D55" s="29">
        <f>IF(D15=0,0,1000000*D15/TrRail_act!D32/1000)</f>
        <v>506.80917162400129</v>
      </c>
      <c r="E55" s="29">
        <f>IF(E15=0,0,1000000*E15/TrRail_act!E32/1000)</f>
        <v>447.87757197189637</v>
      </c>
      <c r="F55" s="29">
        <f>IF(F15=0,0,1000000*F15/TrRail_act!F32/1000)</f>
        <v>409.73969378831907</v>
      </c>
      <c r="G55" s="29">
        <f>IF(G15=0,0,1000000*G15/TrRail_act!G32/1000)</f>
        <v>399.16683380282217</v>
      </c>
      <c r="H55" s="29">
        <f>IF(H15=0,0,1000000*H15/TrRail_act!H32/1000)</f>
        <v>403.26249337931625</v>
      </c>
      <c r="I55" s="29">
        <f>IF(I15=0,0,1000000*I15/TrRail_act!I32/1000)</f>
        <v>376.0704758431429</v>
      </c>
      <c r="J55" s="29">
        <f>IF(J15=0,0,1000000*J15/TrRail_act!J32/1000)</f>
        <v>348.7311390061206</v>
      </c>
      <c r="K55" s="29">
        <f>IF(K15=0,0,1000000*K15/TrRail_act!K32/1000)</f>
        <v>272.16863808449648</v>
      </c>
      <c r="L55" s="29">
        <f>IF(L15=0,0,1000000*L15/TrRail_act!L32/1000)</f>
        <v>295.65572395214349</v>
      </c>
      <c r="M55" s="29">
        <f>IF(M15=0,0,1000000*M15/TrRail_act!M32/1000)</f>
        <v>117.94293359403535</v>
      </c>
      <c r="N55" s="29">
        <f>IF(N15=0,0,1000000*N15/TrRail_act!N32/1000)</f>
        <v>241.53658080564222</v>
      </c>
      <c r="O55" s="29">
        <f>IF(O15=0,0,1000000*O15/TrRail_act!O32/1000)</f>
        <v>260.16508433829284</v>
      </c>
      <c r="P55" s="29">
        <f>IF(P15=0,0,1000000*P15/TrRail_act!P32/1000)</f>
        <v>266.33804914180797</v>
      </c>
      <c r="Q55" s="29">
        <f>IF(Q15=0,0,1000000*Q15/TrRail_act!Q32/1000)</f>
        <v>244.57215422865124</v>
      </c>
      <c r="R55" s="29">
        <f>IF(R15=0,0,1000000*R15/TrRail_act!R32/1000)</f>
        <v>216.42148764947481</v>
      </c>
      <c r="S55" s="29">
        <f>IF(S15=0,0,1000000*S15/TrRail_act!S32/1000)</f>
        <v>208.40037057315675</v>
      </c>
      <c r="T55" s="29">
        <f>IF(T15=0,0,1000000*T15/TrRail_act!T32/1000)</f>
        <v>241.64826815909763</v>
      </c>
      <c r="U55" s="29">
        <f>IF(U15=0,0,1000000*U15/TrRail_act!U32/1000)</f>
        <v>238.64300363978779</v>
      </c>
      <c r="V55" s="29">
        <f>IF(V15=0,0,1000000*V15/TrRail_act!V32/1000)</f>
        <v>237.71734334079414</v>
      </c>
      <c r="W55" s="29">
        <f>IF(W15=0,0,1000000*W15/TrRail_act!W32/1000)</f>
        <v>232.49984207203843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2812.9903914726729</v>
      </c>
      <c r="C56" s="87">
        <f>IF(C16=0,0,1000000*C16/TrRail_act!C33/1000)</f>
        <v>2712.3678148615518</v>
      </c>
      <c r="D56" s="87">
        <f>IF(D16=0,0,1000000*D16/TrRail_act!D33/1000)</f>
        <v>2655.4170937797653</v>
      </c>
      <c r="E56" s="87">
        <f>IF(E16=0,0,1000000*E16/TrRail_act!E33/1000)</f>
        <v>2611.4061451878979</v>
      </c>
      <c r="F56" s="87">
        <f>IF(F16=0,0,1000000*F16/TrRail_act!F33/1000)</f>
        <v>2594.3419325087184</v>
      </c>
      <c r="G56" s="87">
        <f>IF(G16=0,0,1000000*G16/TrRail_act!G33/1000)</f>
        <v>2574.1406135140801</v>
      </c>
      <c r="H56" s="87">
        <f>IF(H16=0,0,1000000*H16/TrRail_act!H33/1000)</f>
        <v>2493.6962995565245</v>
      </c>
      <c r="I56" s="87">
        <f>IF(I16=0,0,1000000*I16/TrRail_act!I33/1000)</f>
        <v>2477.8867071645982</v>
      </c>
      <c r="J56" s="87">
        <f>IF(J16=0,0,1000000*J16/TrRail_act!J33/1000)</f>
        <v>2453.000809014186</v>
      </c>
      <c r="K56" s="87">
        <f>IF(K16=0,0,1000000*K16/TrRail_act!K33/1000)</f>
        <v>1993.4629034227519</v>
      </c>
      <c r="L56" s="87">
        <f>IF(L16=0,0,1000000*L16/TrRail_act!L33/1000)</f>
        <v>2283.9637213461656</v>
      </c>
      <c r="M56" s="87">
        <f>IF(M16=0,0,1000000*M16/TrRail_act!M33/1000)</f>
        <v>1115.1150199286506</v>
      </c>
      <c r="N56" s="87">
        <f>IF(N16=0,0,1000000*N16/TrRail_act!N33/1000)</f>
        <v>2376.8307025209842</v>
      </c>
      <c r="O56" s="87">
        <f>IF(O16=0,0,1000000*O16/TrRail_act!O33/1000)</f>
        <v>2362.3335250297723</v>
      </c>
      <c r="P56" s="87">
        <f>IF(P16=0,0,1000000*P16/TrRail_act!P33/1000)</f>
        <v>2344.5225992024302</v>
      </c>
      <c r="Q56" s="87">
        <f>IF(Q16=0,0,1000000*Q16/TrRail_act!Q33/1000)</f>
        <v>2333.8314626824322</v>
      </c>
      <c r="R56" s="87">
        <f>IF(R16=0,0,1000000*R16/TrRail_act!R33/1000)</f>
        <v>2321.1934111647756</v>
      </c>
      <c r="S56" s="87">
        <f>IF(S16=0,0,1000000*S16/TrRail_act!S33/1000)</f>
        <v>2311.7599095465166</v>
      </c>
      <c r="T56" s="87">
        <f>IF(T16=0,0,1000000*T16/TrRail_act!T33/1000)</f>
        <v>2304.7098795948828</v>
      </c>
      <c r="U56" s="87">
        <f>IF(U16=0,0,1000000*U16/TrRail_act!U33/1000)</f>
        <v>2299.4363056191519</v>
      </c>
      <c r="V56" s="87">
        <f>IF(V16=0,0,1000000*V16/TrRail_act!V33/1000)</f>
        <v>2295.4893402880584</v>
      </c>
      <c r="W56" s="87">
        <f>IF(W16=0,0,1000000*W16/TrRail_act!W33/1000)</f>
        <v>2292.5333418326086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0.83874856374741147</v>
      </c>
      <c r="C60" s="31">
        <f t="shared" ref="C60:V60" si="8">IF(C9=0,0,C9/C$8)</f>
        <v>0.85444338001223297</v>
      </c>
      <c r="D60" s="31">
        <f t="shared" si="8"/>
        <v>0.85554122459893511</v>
      </c>
      <c r="E60" s="31">
        <f t="shared" si="8"/>
        <v>0.86715972705579847</v>
      </c>
      <c r="F60" s="31">
        <f t="shared" si="8"/>
        <v>0.85683834668139292</v>
      </c>
      <c r="G60" s="31">
        <f t="shared" si="8"/>
        <v>0.8439742803392849</v>
      </c>
      <c r="H60" s="31">
        <f t="shared" si="8"/>
        <v>0.81056358672819684</v>
      </c>
      <c r="I60" s="31">
        <f t="shared" si="8"/>
        <v>0.80595171474461214</v>
      </c>
      <c r="J60" s="31">
        <f t="shared" si="8"/>
        <v>0.82335751115725209</v>
      </c>
      <c r="K60" s="31">
        <f t="shared" si="8"/>
        <v>0.87700026423926558</v>
      </c>
      <c r="L60" s="31">
        <f t="shared" si="8"/>
        <v>0.86170227972239066</v>
      </c>
      <c r="M60" s="31">
        <f t="shared" si="8"/>
        <v>0.93127044690235861</v>
      </c>
      <c r="N60" s="31">
        <f t="shared" si="8"/>
        <v>0.85512204984244555</v>
      </c>
      <c r="O60" s="31">
        <f t="shared" si="8"/>
        <v>0.85310114468147447</v>
      </c>
      <c r="P60" s="31">
        <f t="shared" si="8"/>
        <v>0.85218797890247033</v>
      </c>
      <c r="Q60" s="31">
        <f t="shared" si="8"/>
        <v>0.84454195012324429</v>
      </c>
      <c r="R60" s="31">
        <f t="shared" si="8"/>
        <v>0.85698603472624446</v>
      </c>
      <c r="S60" s="31">
        <f t="shared" si="8"/>
        <v>0.83509500416356786</v>
      </c>
      <c r="T60" s="31">
        <f t="shared" si="8"/>
        <v>0.81745879009363775</v>
      </c>
      <c r="U60" s="31">
        <f t="shared" si="8"/>
        <v>0.81306876362590486</v>
      </c>
      <c r="V60" s="31">
        <f t="shared" si="8"/>
        <v>0.72297832652708571</v>
      </c>
      <c r="W60" s="31">
        <f t="shared" ref="W60" si="9">IF(W9=0,0,W9/W$8)</f>
        <v>0.74411466546354799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0.83874856374741147</v>
      </c>
      <c r="C62" s="124">
        <f t="shared" ref="C62:V62" si="12">IF(C11=0,0,C11/C$8)</f>
        <v>0.85444338001223297</v>
      </c>
      <c r="D62" s="124">
        <f t="shared" si="12"/>
        <v>0.85554122459893511</v>
      </c>
      <c r="E62" s="124">
        <f t="shared" si="12"/>
        <v>0.86715972705579847</v>
      </c>
      <c r="F62" s="124">
        <f t="shared" si="12"/>
        <v>0.85683834668139292</v>
      </c>
      <c r="G62" s="124">
        <f t="shared" si="12"/>
        <v>0.8439742803392849</v>
      </c>
      <c r="H62" s="124">
        <f t="shared" si="12"/>
        <v>0.81056358672819684</v>
      </c>
      <c r="I62" s="124">
        <f t="shared" si="12"/>
        <v>0.80595171474461214</v>
      </c>
      <c r="J62" s="124">
        <f t="shared" si="12"/>
        <v>0.82335751115725209</v>
      </c>
      <c r="K62" s="124">
        <f t="shared" si="12"/>
        <v>0.87700026423926558</v>
      </c>
      <c r="L62" s="124">
        <f t="shared" si="12"/>
        <v>0.86170227972239066</v>
      </c>
      <c r="M62" s="124">
        <f t="shared" si="12"/>
        <v>0.93127044690235861</v>
      </c>
      <c r="N62" s="124">
        <f t="shared" si="12"/>
        <v>0.85512204984244555</v>
      </c>
      <c r="O62" s="124">
        <f t="shared" si="12"/>
        <v>0.85310114468147447</v>
      </c>
      <c r="P62" s="124">
        <f t="shared" si="12"/>
        <v>0.85218797890247033</v>
      </c>
      <c r="Q62" s="124">
        <f t="shared" si="12"/>
        <v>0.84454195012324429</v>
      </c>
      <c r="R62" s="124">
        <f t="shared" si="12"/>
        <v>0.85698603472624446</v>
      </c>
      <c r="S62" s="124">
        <f t="shared" si="12"/>
        <v>0.83509500416356786</v>
      </c>
      <c r="T62" s="124">
        <f t="shared" si="12"/>
        <v>0.81745879009363775</v>
      </c>
      <c r="U62" s="124">
        <f t="shared" si="12"/>
        <v>0.81306876362590486</v>
      </c>
      <c r="V62" s="124">
        <f t="shared" si="12"/>
        <v>0.72297832652708571</v>
      </c>
      <c r="W62" s="124">
        <f t="shared" ref="W62" si="13">IF(W11=0,0,W11/W$8)</f>
        <v>0.74411466546354799</v>
      </c>
      <c r="DA62" s="176"/>
    </row>
    <row r="63" spans="1:105" ht="11.45" customHeight="1" x14ac:dyDescent="0.25">
      <c r="A63" s="111" t="s">
        <v>92</v>
      </c>
      <c r="B63" s="125">
        <f t="shared" si="5"/>
        <v>0.83874856374741147</v>
      </c>
      <c r="C63" s="125">
        <f t="shared" ref="C63:V63" si="14">IF(C12=0,0,C12/C$8)</f>
        <v>0.85444338001223297</v>
      </c>
      <c r="D63" s="125">
        <f t="shared" si="14"/>
        <v>0.85554122459893511</v>
      </c>
      <c r="E63" s="125">
        <f t="shared" si="14"/>
        <v>0.86715972705579847</v>
      </c>
      <c r="F63" s="125">
        <f t="shared" si="14"/>
        <v>0.85683834668139292</v>
      </c>
      <c r="G63" s="125">
        <f t="shared" si="14"/>
        <v>0.8439742803392849</v>
      </c>
      <c r="H63" s="125">
        <f t="shared" si="14"/>
        <v>0.81056358672819684</v>
      </c>
      <c r="I63" s="125">
        <f t="shared" si="14"/>
        <v>0.80595171474461214</v>
      </c>
      <c r="J63" s="125">
        <f t="shared" si="14"/>
        <v>0.82335751115725209</v>
      </c>
      <c r="K63" s="125">
        <f t="shared" si="14"/>
        <v>0.87700026423926558</v>
      </c>
      <c r="L63" s="125">
        <f t="shared" si="14"/>
        <v>0.86170227972239066</v>
      </c>
      <c r="M63" s="125">
        <f t="shared" si="14"/>
        <v>0.93127044690235861</v>
      </c>
      <c r="N63" s="125">
        <f t="shared" si="14"/>
        <v>0.85512204984244555</v>
      </c>
      <c r="O63" s="125">
        <f t="shared" si="14"/>
        <v>0.85310114468147447</v>
      </c>
      <c r="P63" s="125">
        <f t="shared" si="14"/>
        <v>0.85218797890247033</v>
      </c>
      <c r="Q63" s="125">
        <f t="shared" si="14"/>
        <v>0.84454195012324429</v>
      </c>
      <c r="R63" s="125">
        <f t="shared" si="14"/>
        <v>0.85698603472624446</v>
      </c>
      <c r="S63" s="125">
        <f t="shared" si="14"/>
        <v>0.83509500416356786</v>
      </c>
      <c r="T63" s="125">
        <f t="shared" si="14"/>
        <v>0.81745879009363775</v>
      </c>
      <c r="U63" s="125">
        <f t="shared" si="14"/>
        <v>0.81306876362590486</v>
      </c>
      <c r="V63" s="125">
        <f t="shared" si="14"/>
        <v>0.72297832652708571</v>
      </c>
      <c r="W63" s="125">
        <f t="shared" ref="W63" si="15">IF(W12=0,0,W12/W$8)</f>
        <v>0.74411466546354799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0.1612514362525885</v>
      </c>
      <c r="C66" s="31">
        <f t="shared" ref="C66:V66" si="20">IF(C15=0,0,C15/C$8)</f>
        <v>0.14555661998776712</v>
      </c>
      <c r="D66" s="31">
        <f t="shared" si="20"/>
        <v>0.14445877540106489</v>
      </c>
      <c r="E66" s="31">
        <f t="shared" si="20"/>
        <v>0.13284027294420159</v>
      </c>
      <c r="F66" s="31">
        <f t="shared" si="20"/>
        <v>0.14316165331860706</v>
      </c>
      <c r="G66" s="31">
        <f t="shared" si="20"/>
        <v>0.15602571966071516</v>
      </c>
      <c r="H66" s="31">
        <f t="shared" si="20"/>
        <v>0.18943641327180319</v>
      </c>
      <c r="I66" s="31">
        <f t="shared" si="20"/>
        <v>0.19404828525538786</v>
      </c>
      <c r="J66" s="31">
        <f t="shared" si="20"/>
        <v>0.17664248884274789</v>
      </c>
      <c r="K66" s="31">
        <f t="shared" si="20"/>
        <v>0.12299973576073438</v>
      </c>
      <c r="L66" s="31">
        <f t="shared" si="20"/>
        <v>0.13829772027760925</v>
      </c>
      <c r="M66" s="31">
        <f t="shared" si="20"/>
        <v>6.8729553097641338E-2</v>
      </c>
      <c r="N66" s="31">
        <f t="shared" si="20"/>
        <v>0.14487795015755436</v>
      </c>
      <c r="O66" s="31">
        <f t="shared" si="20"/>
        <v>0.14689885531852565</v>
      </c>
      <c r="P66" s="31">
        <f t="shared" si="20"/>
        <v>0.14781202109752958</v>
      </c>
      <c r="Q66" s="31">
        <f t="shared" si="20"/>
        <v>0.15545804987675574</v>
      </c>
      <c r="R66" s="31">
        <f t="shared" si="20"/>
        <v>0.14301396527375562</v>
      </c>
      <c r="S66" s="31">
        <f t="shared" si="20"/>
        <v>0.16490499583643223</v>
      </c>
      <c r="T66" s="31">
        <f t="shared" si="20"/>
        <v>0.18254120990636233</v>
      </c>
      <c r="U66" s="31">
        <f t="shared" si="20"/>
        <v>0.18693123637409517</v>
      </c>
      <c r="V66" s="31">
        <f t="shared" si="20"/>
        <v>0.27702167347291423</v>
      </c>
      <c r="W66" s="31">
        <f t="shared" ref="W66" si="21">IF(W15=0,0,W15/W$8)</f>
        <v>0.25588533453645196</v>
      </c>
      <c r="DA66" s="173"/>
    </row>
    <row r="67" spans="1:105" ht="11.45" customHeight="1" x14ac:dyDescent="0.25">
      <c r="A67" s="83" t="s">
        <v>92</v>
      </c>
      <c r="B67" s="125">
        <f t="shared" si="5"/>
        <v>0.1612514362525885</v>
      </c>
      <c r="C67" s="125">
        <f t="shared" ref="C67:V67" si="22">IF(C16=0,0,C16/C$8)</f>
        <v>0.14555661998776712</v>
      </c>
      <c r="D67" s="125">
        <f t="shared" si="22"/>
        <v>0.14445877540106489</v>
      </c>
      <c r="E67" s="125">
        <f t="shared" si="22"/>
        <v>0.13284027294420159</v>
      </c>
      <c r="F67" s="125">
        <f t="shared" si="22"/>
        <v>0.14316165331860706</v>
      </c>
      <c r="G67" s="125">
        <f t="shared" si="22"/>
        <v>0.15602571966071516</v>
      </c>
      <c r="H67" s="125">
        <f t="shared" si="22"/>
        <v>0.18943641327180319</v>
      </c>
      <c r="I67" s="125">
        <f t="shared" si="22"/>
        <v>0.19404828525538786</v>
      </c>
      <c r="J67" s="125">
        <f t="shared" si="22"/>
        <v>0.17664248884274789</v>
      </c>
      <c r="K67" s="125">
        <f t="shared" si="22"/>
        <v>0.12299973576073438</v>
      </c>
      <c r="L67" s="125">
        <f t="shared" si="22"/>
        <v>0.13829772027760925</v>
      </c>
      <c r="M67" s="125">
        <f t="shared" si="22"/>
        <v>6.8729553097641338E-2</v>
      </c>
      <c r="N67" s="125">
        <f t="shared" si="22"/>
        <v>0.14487795015755436</v>
      </c>
      <c r="O67" s="125">
        <f t="shared" si="22"/>
        <v>0.14689885531852565</v>
      </c>
      <c r="P67" s="125">
        <f t="shared" si="22"/>
        <v>0.14781202109752958</v>
      </c>
      <c r="Q67" s="125">
        <f t="shared" si="22"/>
        <v>0.15545804987675574</v>
      </c>
      <c r="R67" s="125">
        <f t="shared" si="22"/>
        <v>0.14301396527375562</v>
      </c>
      <c r="S67" s="125">
        <f t="shared" si="22"/>
        <v>0.16490499583643223</v>
      </c>
      <c r="T67" s="125">
        <f t="shared" si="22"/>
        <v>0.18254120990636233</v>
      </c>
      <c r="U67" s="125">
        <f t="shared" si="22"/>
        <v>0.18693123637409517</v>
      </c>
      <c r="V67" s="125">
        <f t="shared" si="22"/>
        <v>0.27702167347291423</v>
      </c>
      <c r="W67" s="125">
        <f t="shared" ref="W67" si="23">IF(W16=0,0,W16/W$8)</f>
        <v>0.25588533453645196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3785.3705503837191</v>
      </c>
      <c r="C4" s="11">
        <f t="shared" si="0"/>
        <v>3603.4031396888204</v>
      </c>
      <c r="D4" s="11">
        <f t="shared" ref="D4:V4" si="1">SUM(D5:D7)</f>
        <v>3426.384445026978</v>
      </c>
      <c r="E4" s="11">
        <f t="shared" si="1"/>
        <v>3819.1950263360741</v>
      </c>
      <c r="F4" s="11">
        <f t="shared" si="1"/>
        <v>4763.9741101740156</v>
      </c>
      <c r="G4" s="11">
        <f t="shared" si="1"/>
        <v>5925.011642938297</v>
      </c>
      <c r="H4" s="11">
        <f t="shared" si="1"/>
        <v>6119.9945441030577</v>
      </c>
      <c r="I4" s="11">
        <f t="shared" si="1"/>
        <v>6399.607633495496</v>
      </c>
      <c r="J4" s="11">
        <f t="shared" si="1"/>
        <v>6034.3017442055007</v>
      </c>
      <c r="K4" s="11">
        <f t="shared" si="1"/>
        <v>5504.4386020805196</v>
      </c>
      <c r="L4" s="11">
        <f t="shared" si="1"/>
        <v>5546.1438385405199</v>
      </c>
      <c r="M4" s="11">
        <f t="shared" si="1"/>
        <v>5939.5096658831699</v>
      </c>
      <c r="N4" s="11">
        <f t="shared" si="1"/>
        <v>5380.5000394070012</v>
      </c>
      <c r="O4" s="11">
        <f t="shared" si="1"/>
        <v>5371.1204093525976</v>
      </c>
      <c r="P4" s="11">
        <f t="shared" si="1"/>
        <v>5944.5624545812607</v>
      </c>
      <c r="Q4" s="11">
        <f t="shared" si="1"/>
        <v>6982.8366690257544</v>
      </c>
      <c r="R4" s="11">
        <f t="shared" si="1"/>
        <v>8227.3993494943243</v>
      </c>
      <c r="S4" s="11">
        <f t="shared" si="1"/>
        <v>9442.5127641305899</v>
      </c>
      <c r="T4" s="11">
        <f t="shared" si="1"/>
        <v>11403.238667110374</v>
      </c>
      <c r="U4" s="11">
        <f t="shared" si="1"/>
        <v>12757.885259634888</v>
      </c>
      <c r="V4" s="11">
        <f t="shared" si="1"/>
        <v>3045.109619177636</v>
      </c>
      <c r="W4" s="11">
        <f t="shared" ref="W4" si="2">SUM(W5:W7)</f>
        <v>3506.4665679028631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2262.5352441667478</v>
      </c>
      <c r="C6" s="84">
        <v>2167.1084803901404</v>
      </c>
      <c r="D6" s="84">
        <v>2191.8497393673756</v>
      </c>
      <c r="E6" s="84">
        <v>2304.2159295081306</v>
      </c>
      <c r="F6" s="84">
        <v>2987.8153759019938</v>
      </c>
      <c r="G6" s="84">
        <v>4050.1430346945572</v>
      </c>
      <c r="H6" s="84">
        <v>4095.3734873432822</v>
      </c>
      <c r="I6" s="84">
        <v>4062.5968738477309</v>
      </c>
      <c r="J6" s="84">
        <v>3897.8815434319599</v>
      </c>
      <c r="K6" s="84">
        <v>3748.8463501585361</v>
      </c>
      <c r="L6" s="84">
        <v>3740.5530702344727</v>
      </c>
      <c r="M6" s="84">
        <v>4067.659815896488</v>
      </c>
      <c r="N6" s="84">
        <v>4312.4370151818339</v>
      </c>
      <c r="O6" s="84">
        <v>4126.3628334096247</v>
      </c>
      <c r="P6" s="84">
        <v>4306.0650322198017</v>
      </c>
      <c r="Q6" s="84">
        <v>4890.2339740623993</v>
      </c>
      <c r="R6" s="84">
        <v>5946.468793748023</v>
      </c>
      <c r="S6" s="84">
        <v>6612.2506791958258</v>
      </c>
      <c r="T6" s="84">
        <v>7257.5301765320892</v>
      </c>
      <c r="U6" s="84">
        <v>7923.3806547696195</v>
      </c>
      <c r="V6" s="84">
        <v>2054.3000143958011</v>
      </c>
      <c r="W6" s="84">
        <v>2221.1089040134548</v>
      </c>
      <c r="DA6" s="171" t="s">
        <v>191</v>
      </c>
    </row>
    <row r="7" spans="1:105" ht="11.45" customHeight="1" x14ac:dyDescent="0.25">
      <c r="A7" s="83" t="s">
        <v>174</v>
      </c>
      <c r="B7" s="84">
        <v>1522.8353062169715</v>
      </c>
      <c r="C7" s="84">
        <v>1436.2946592986798</v>
      </c>
      <c r="D7" s="84">
        <v>1234.5347056596024</v>
      </c>
      <c r="E7" s="84">
        <v>1514.9790968279435</v>
      </c>
      <c r="F7" s="84">
        <v>1776.158734272022</v>
      </c>
      <c r="G7" s="84">
        <v>1874.86860824374</v>
      </c>
      <c r="H7" s="84">
        <v>2024.6210567597757</v>
      </c>
      <c r="I7" s="84">
        <v>2337.0107596477651</v>
      </c>
      <c r="J7" s="84">
        <v>2136.4202007735407</v>
      </c>
      <c r="K7" s="84">
        <v>1755.5922519219837</v>
      </c>
      <c r="L7" s="84">
        <v>1805.5907683060473</v>
      </c>
      <c r="M7" s="84">
        <v>1871.8498499866814</v>
      </c>
      <c r="N7" s="84">
        <v>1068.0630242251671</v>
      </c>
      <c r="O7" s="84">
        <v>1244.7575759429726</v>
      </c>
      <c r="P7" s="84">
        <v>1638.497422361459</v>
      </c>
      <c r="Q7" s="84">
        <v>2092.6026949633551</v>
      </c>
      <c r="R7" s="84">
        <v>2280.9305557463003</v>
      </c>
      <c r="S7" s="84">
        <v>2830.2620849347645</v>
      </c>
      <c r="T7" s="84">
        <v>4145.7084905782858</v>
      </c>
      <c r="U7" s="84">
        <v>4834.5046048652694</v>
      </c>
      <c r="V7" s="84">
        <v>990.80960478183499</v>
      </c>
      <c r="W7" s="84">
        <v>1285.3576638894081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35.448036228047059</v>
      </c>
      <c r="C8" s="13">
        <f t="shared" si="3"/>
        <v>37.226417411349288</v>
      </c>
      <c r="D8" s="13">
        <f t="shared" ref="D8:V8" si="4">SUM(D9:D11)</f>
        <v>30.371637781938528</v>
      </c>
      <c r="E8" s="13">
        <f t="shared" si="4"/>
        <v>30.024309788733021</v>
      </c>
      <c r="F8" s="13">
        <f t="shared" si="4"/>
        <v>26.152786528403368</v>
      </c>
      <c r="G8" s="13">
        <f t="shared" si="4"/>
        <v>33.036541334081036</v>
      </c>
      <c r="H8" s="13">
        <f t="shared" si="4"/>
        <v>63.637561622970978</v>
      </c>
      <c r="I8" s="13">
        <f t="shared" si="4"/>
        <v>36.380107933089846</v>
      </c>
      <c r="J8" s="13">
        <f t="shared" si="4"/>
        <v>32.520855240251748</v>
      </c>
      <c r="K8" s="13">
        <f t="shared" si="4"/>
        <v>28.830838408997792</v>
      </c>
      <c r="L8" s="13">
        <f t="shared" si="4"/>
        <v>33.324477166662625</v>
      </c>
      <c r="M8" s="13">
        <f t="shared" si="4"/>
        <v>26.632287847831112</v>
      </c>
      <c r="N8" s="13">
        <f t="shared" si="4"/>
        <v>23.549532660854581</v>
      </c>
      <c r="O8" s="13">
        <f t="shared" si="4"/>
        <v>24.444417297671546</v>
      </c>
      <c r="P8" s="13">
        <f t="shared" si="4"/>
        <v>23.819725533839719</v>
      </c>
      <c r="Q8" s="13">
        <f t="shared" si="4"/>
        <v>27.850066072406634</v>
      </c>
      <c r="R8" s="13">
        <f t="shared" si="4"/>
        <v>36.349201049058436</v>
      </c>
      <c r="S8" s="13">
        <f t="shared" si="4"/>
        <v>38.199270144584574</v>
      </c>
      <c r="T8" s="13">
        <f t="shared" si="4"/>
        <v>48.271103866658109</v>
      </c>
      <c r="U8" s="13">
        <f t="shared" si="4"/>
        <v>55.669169953462003</v>
      </c>
      <c r="V8" s="13">
        <f t="shared" si="4"/>
        <v>39.11890930040218</v>
      </c>
      <c r="W8" s="13">
        <f t="shared" ref="W8" si="5">SUM(W9:W11)</f>
        <v>52.304981238308329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13.375258316307605</v>
      </c>
      <c r="C10" s="102">
        <v>15.741525152006796</v>
      </c>
      <c r="D10" s="102">
        <v>19.998761264456569</v>
      </c>
      <c r="E10" s="102">
        <v>18.943923537889464</v>
      </c>
      <c r="F10" s="102">
        <v>17.885482308516654</v>
      </c>
      <c r="G10" s="102">
        <v>23.861406983842244</v>
      </c>
      <c r="H10" s="102">
        <v>15.260179516897541</v>
      </c>
      <c r="I10" s="102">
        <v>16.551607854262411</v>
      </c>
      <c r="J10" s="102">
        <v>11.918021265762924</v>
      </c>
      <c r="K10" s="102">
        <v>11.250403949099269</v>
      </c>
      <c r="L10" s="102">
        <v>11.644438957023931</v>
      </c>
      <c r="M10" s="102">
        <v>16.126871510707257</v>
      </c>
      <c r="N10" s="102">
        <v>16.700256322658451</v>
      </c>
      <c r="O10" s="102">
        <v>16.623648425408447</v>
      </c>
      <c r="P10" s="102">
        <v>17.624860956440354</v>
      </c>
      <c r="Q10" s="102">
        <v>19.618930882575576</v>
      </c>
      <c r="R10" s="102">
        <v>21.193979308157143</v>
      </c>
      <c r="S10" s="102">
        <v>21.202765761407864</v>
      </c>
      <c r="T10" s="102">
        <v>23.621027715419661</v>
      </c>
      <c r="U10" s="102">
        <v>21.88598548680498</v>
      </c>
      <c r="V10" s="102">
        <v>18.33209078200678</v>
      </c>
      <c r="W10" s="102">
        <v>21.836527252311583</v>
      </c>
      <c r="DA10" s="175" t="s">
        <v>195</v>
      </c>
    </row>
    <row r="11" spans="1:105" ht="11.45" customHeight="1" x14ac:dyDescent="0.25">
      <c r="A11" s="85" t="s">
        <v>174</v>
      </c>
      <c r="B11" s="86">
        <v>22.07277791173945</v>
      </c>
      <c r="C11" s="86">
        <v>21.484892259342494</v>
      </c>
      <c r="D11" s="86">
        <v>10.372876517481959</v>
      </c>
      <c r="E11" s="86">
        <v>11.080386250843556</v>
      </c>
      <c r="F11" s="86">
        <v>8.2673042198867162</v>
      </c>
      <c r="G11" s="86">
        <v>9.1751343502387908</v>
      </c>
      <c r="H11" s="86">
        <v>48.377382106073441</v>
      </c>
      <c r="I11" s="86">
        <v>19.828500078827439</v>
      </c>
      <c r="J11" s="86">
        <v>20.602833974488824</v>
      </c>
      <c r="K11" s="86">
        <v>17.580434459898523</v>
      </c>
      <c r="L11" s="86">
        <v>21.680038209638692</v>
      </c>
      <c r="M11" s="86">
        <v>10.505416337123854</v>
      </c>
      <c r="N11" s="86">
        <v>6.8492763381961295</v>
      </c>
      <c r="O11" s="86">
        <v>7.8207688722630984</v>
      </c>
      <c r="P11" s="86">
        <v>6.1948645773993656</v>
      </c>
      <c r="Q11" s="86">
        <v>8.2311351898310559</v>
      </c>
      <c r="R11" s="86">
        <v>15.155221740901297</v>
      </c>
      <c r="S11" s="86">
        <v>16.996504383176706</v>
      </c>
      <c r="T11" s="86">
        <v>24.650076151238451</v>
      </c>
      <c r="U11" s="86">
        <v>33.783184466657019</v>
      </c>
      <c r="V11" s="86">
        <v>20.7868185183954</v>
      </c>
      <c r="W11" s="86">
        <v>30.468453985996742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42.200595392727593</v>
      </c>
      <c r="C13" s="54">
        <f t="shared" si="6"/>
        <v>39.744352193122985</v>
      </c>
      <c r="D13" s="54">
        <f t="shared" ref="D13:V13" si="7">SUM(D14,D18)</f>
        <v>38.450521441623017</v>
      </c>
      <c r="E13" s="54">
        <f t="shared" si="7"/>
        <v>44.49994664642503</v>
      </c>
      <c r="F13" s="54">
        <f t="shared" si="7"/>
        <v>56.223520782727007</v>
      </c>
      <c r="G13" s="54">
        <f t="shared" si="7"/>
        <v>64.937156504689582</v>
      </c>
      <c r="H13" s="54">
        <f t="shared" si="7"/>
        <v>66.489246303793081</v>
      </c>
      <c r="I13" s="54">
        <f t="shared" si="7"/>
        <v>67.738655558339616</v>
      </c>
      <c r="J13" s="54">
        <f t="shared" si="7"/>
        <v>64.203085151678934</v>
      </c>
      <c r="K13" s="54">
        <f t="shared" si="7"/>
        <v>58.061643225266465</v>
      </c>
      <c r="L13" s="54">
        <f t="shared" si="7"/>
        <v>55.826368066986085</v>
      </c>
      <c r="M13" s="54">
        <f t="shared" si="7"/>
        <v>58.372277083085244</v>
      </c>
      <c r="N13" s="54">
        <f t="shared" si="7"/>
        <v>45.623581864517661</v>
      </c>
      <c r="O13" s="54">
        <f t="shared" si="7"/>
        <v>43.870225073620752</v>
      </c>
      <c r="P13" s="54">
        <f t="shared" si="7"/>
        <v>46.889695306721329</v>
      </c>
      <c r="Q13" s="54">
        <f t="shared" si="7"/>
        <v>52.280949954967738</v>
      </c>
      <c r="R13" s="54">
        <f t="shared" si="7"/>
        <v>57.699633565072681</v>
      </c>
      <c r="S13" s="54">
        <f t="shared" si="7"/>
        <v>63.097956355367046</v>
      </c>
      <c r="T13" s="54">
        <f t="shared" si="7"/>
        <v>75.411477768539953</v>
      </c>
      <c r="U13" s="54">
        <f t="shared" si="7"/>
        <v>82.203388220349268</v>
      </c>
      <c r="V13" s="54">
        <f t="shared" si="7"/>
        <v>26.475767941873656</v>
      </c>
      <c r="W13" s="54">
        <f t="shared" ref="W13" si="8">SUM(W14,W18)</f>
        <v>29.181869349185948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41.409650311155033</v>
      </c>
      <c r="C14" s="11">
        <f t="shared" si="9"/>
        <v>38.905635278274509</v>
      </c>
      <c r="D14" s="11">
        <f t="shared" ref="D14:V14" si="10">SUM(D15:D17)</f>
        <v>37.496778695403307</v>
      </c>
      <c r="E14" s="11">
        <f t="shared" si="10"/>
        <v>43.584574745661897</v>
      </c>
      <c r="F14" s="11">
        <f t="shared" si="10"/>
        <v>55.322025615215836</v>
      </c>
      <c r="G14" s="11">
        <f t="shared" si="10"/>
        <v>63.755954104057324</v>
      </c>
      <c r="H14" s="11">
        <f t="shared" si="10"/>
        <v>65.008851338810544</v>
      </c>
      <c r="I14" s="11">
        <f t="shared" si="10"/>
        <v>66.570909431744013</v>
      </c>
      <c r="J14" s="11">
        <f t="shared" si="10"/>
        <v>63.236565004759768</v>
      </c>
      <c r="K14" s="11">
        <f t="shared" si="10"/>
        <v>57.207795054786629</v>
      </c>
      <c r="L14" s="11">
        <f t="shared" si="10"/>
        <v>54.910174097035096</v>
      </c>
      <c r="M14" s="11">
        <f t="shared" si="10"/>
        <v>57.410307777161705</v>
      </c>
      <c r="N14" s="11">
        <f t="shared" si="10"/>
        <v>44.738649321570989</v>
      </c>
      <c r="O14" s="11">
        <f t="shared" si="10"/>
        <v>42.961355477772656</v>
      </c>
      <c r="P14" s="11">
        <f t="shared" si="10"/>
        <v>46.094692973450549</v>
      </c>
      <c r="Q14" s="11">
        <f t="shared" si="10"/>
        <v>51.376916411765343</v>
      </c>
      <c r="R14" s="11">
        <f t="shared" si="10"/>
        <v>56.746272990864881</v>
      </c>
      <c r="S14" s="11">
        <f t="shared" si="10"/>
        <v>62.049075748307231</v>
      </c>
      <c r="T14" s="11">
        <f t="shared" si="10"/>
        <v>74.202389711692604</v>
      </c>
      <c r="U14" s="11">
        <f t="shared" si="10"/>
        <v>81.023786252334233</v>
      </c>
      <c r="V14" s="11">
        <f t="shared" si="10"/>
        <v>25.300299209297698</v>
      </c>
      <c r="W14" s="11">
        <f t="shared" ref="W14" si="11">SUM(W15:W17)</f>
        <v>27.586838168369255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26.589525779707923</v>
      </c>
      <c r="C16" s="84">
        <v>24.981441842090877</v>
      </c>
      <c r="D16" s="84">
        <v>24.470172419354256</v>
      </c>
      <c r="E16" s="84">
        <v>27.287240349196257</v>
      </c>
      <c r="F16" s="84">
        <v>36.926457027070285</v>
      </c>
      <c r="G16" s="84">
        <v>45.859674179516645</v>
      </c>
      <c r="H16" s="84">
        <v>45.458635152141561</v>
      </c>
      <c r="I16" s="84">
        <v>44.512283978363698</v>
      </c>
      <c r="J16" s="84">
        <v>43.137995586731122</v>
      </c>
      <c r="K16" s="84">
        <v>40.788044386314077</v>
      </c>
      <c r="L16" s="84">
        <v>38.703329617835017</v>
      </c>
      <c r="M16" s="84">
        <v>40.057611272980104</v>
      </c>
      <c r="N16" s="84">
        <v>35.201456448596268</v>
      </c>
      <c r="O16" s="84">
        <v>32.618643883408737</v>
      </c>
      <c r="P16" s="84">
        <v>32.9891794530825</v>
      </c>
      <c r="Q16" s="84">
        <v>36.287148252155411</v>
      </c>
      <c r="R16" s="84">
        <v>41.40218855453476</v>
      </c>
      <c r="S16" s="84">
        <v>43.889658060356602</v>
      </c>
      <c r="T16" s="84">
        <v>48.178655836378944</v>
      </c>
      <c r="U16" s="84">
        <v>52.071214871829532</v>
      </c>
      <c r="V16" s="84">
        <v>17.626771873466282</v>
      </c>
      <c r="W16" s="84">
        <v>18.010675125689342</v>
      </c>
      <c r="DA16" s="171" t="s">
        <v>200</v>
      </c>
    </row>
    <row r="17" spans="1:105" ht="11.45" customHeight="1" x14ac:dyDescent="0.25">
      <c r="A17" s="83" t="s">
        <v>174</v>
      </c>
      <c r="B17" s="84">
        <v>14.820124531447112</v>
      </c>
      <c r="C17" s="84">
        <v>13.924193436183634</v>
      </c>
      <c r="D17" s="84">
        <v>13.026606276049055</v>
      </c>
      <c r="E17" s="84">
        <v>16.297334396465644</v>
      </c>
      <c r="F17" s="84">
        <v>18.395568588145551</v>
      </c>
      <c r="G17" s="84">
        <v>17.896279924540679</v>
      </c>
      <c r="H17" s="84">
        <v>19.550216186668983</v>
      </c>
      <c r="I17" s="84">
        <v>22.058625453380323</v>
      </c>
      <c r="J17" s="84">
        <v>20.098569418028646</v>
      </c>
      <c r="K17" s="84">
        <v>16.419750668472556</v>
      </c>
      <c r="L17" s="84">
        <v>16.206844479200075</v>
      </c>
      <c r="M17" s="84">
        <v>17.352696504181605</v>
      </c>
      <c r="N17" s="84">
        <v>9.5371928729747246</v>
      </c>
      <c r="O17" s="84">
        <v>10.342711594363919</v>
      </c>
      <c r="P17" s="84">
        <v>13.105513520368048</v>
      </c>
      <c r="Q17" s="84">
        <v>15.08976815960993</v>
      </c>
      <c r="R17" s="84">
        <v>15.344084436330117</v>
      </c>
      <c r="S17" s="84">
        <v>18.159417687950633</v>
      </c>
      <c r="T17" s="84">
        <v>26.023733875313663</v>
      </c>
      <c r="U17" s="84">
        <v>28.952571380504704</v>
      </c>
      <c r="V17" s="84">
        <v>7.6735273358314151</v>
      </c>
      <c r="W17" s="84">
        <v>9.5761630426799123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0.79094508157255805</v>
      </c>
      <c r="C18" s="13">
        <f t="shared" si="12"/>
        <v>0.8387169148484781</v>
      </c>
      <c r="D18" s="13">
        <f t="shared" ref="D18:V18" si="13">SUM(D19:D21)</f>
        <v>0.95374274621971189</v>
      </c>
      <c r="E18" s="13">
        <f t="shared" si="13"/>
        <v>0.91537190076313701</v>
      </c>
      <c r="F18" s="13">
        <f t="shared" si="13"/>
        <v>0.90149516751116998</v>
      </c>
      <c r="G18" s="13">
        <f t="shared" si="13"/>
        <v>1.1812024006322615</v>
      </c>
      <c r="H18" s="13">
        <f t="shared" si="13"/>
        <v>1.4803949649825394</v>
      </c>
      <c r="I18" s="13">
        <f t="shared" si="13"/>
        <v>1.167746126595598</v>
      </c>
      <c r="J18" s="13">
        <f t="shared" si="13"/>
        <v>0.96652014691917132</v>
      </c>
      <c r="K18" s="13">
        <f t="shared" si="13"/>
        <v>0.8538481704798343</v>
      </c>
      <c r="L18" s="13">
        <f t="shared" si="13"/>
        <v>0.91619396995098668</v>
      </c>
      <c r="M18" s="13">
        <f t="shared" si="13"/>
        <v>0.96196930592353713</v>
      </c>
      <c r="N18" s="13">
        <f t="shared" si="13"/>
        <v>0.88493254294667356</v>
      </c>
      <c r="O18" s="13">
        <f t="shared" si="13"/>
        <v>0.90886959584809501</v>
      </c>
      <c r="P18" s="13">
        <f t="shared" si="13"/>
        <v>0.79500233327077985</v>
      </c>
      <c r="Q18" s="13">
        <f t="shared" si="13"/>
        <v>0.90403354320239671</v>
      </c>
      <c r="R18" s="13">
        <f t="shared" si="13"/>
        <v>0.95336057420779863</v>
      </c>
      <c r="S18" s="13">
        <f t="shared" si="13"/>
        <v>1.0488806070598178</v>
      </c>
      <c r="T18" s="13">
        <f t="shared" si="13"/>
        <v>1.2090880568473432</v>
      </c>
      <c r="U18" s="13">
        <f t="shared" si="13"/>
        <v>1.1796019680150358</v>
      </c>
      <c r="V18" s="13">
        <f t="shared" si="13"/>
        <v>1.1754687325759563</v>
      </c>
      <c r="W18" s="13">
        <f t="shared" ref="W18" si="14">SUM(W19:W21)</f>
        <v>1.5950311808166946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0.5338739944340658</v>
      </c>
      <c r="C20" s="102">
        <v>0.59985502971562898</v>
      </c>
      <c r="D20" s="102">
        <v>0.83163397982892806</v>
      </c>
      <c r="E20" s="102">
        <v>0.77184054377747879</v>
      </c>
      <c r="F20" s="102">
        <v>0.79116882594756699</v>
      </c>
      <c r="G20" s="102">
        <v>1.0510070712909441</v>
      </c>
      <c r="H20" s="102">
        <v>0.77026228249032624</v>
      </c>
      <c r="I20" s="102">
        <v>0.87175298274128676</v>
      </c>
      <c r="J20" s="102">
        <v>0.65263558913870079</v>
      </c>
      <c r="K20" s="102">
        <v>0.61635495861908107</v>
      </c>
      <c r="L20" s="102">
        <v>0.62811698593272181</v>
      </c>
      <c r="M20" s="102">
        <v>0.82365607759736814</v>
      </c>
      <c r="N20" s="102">
        <v>0.78911692132505196</v>
      </c>
      <c r="O20" s="102">
        <v>0.79093708226412662</v>
      </c>
      <c r="P20" s="102">
        <v>0.71845973334606184</v>
      </c>
      <c r="Q20" s="102">
        <v>0.80805459676126901</v>
      </c>
      <c r="R20" s="102">
        <v>0.789631313443937</v>
      </c>
      <c r="S20" s="102">
        <v>0.85907710885406274</v>
      </c>
      <c r="T20" s="102">
        <v>0.93828972548639644</v>
      </c>
      <c r="U20" s="102">
        <v>0.82743035263042042</v>
      </c>
      <c r="V20" s="102">
        <v>0.83849346767120314</v>
      </c>
      <c r="W20" s="102">
        <v>1.0928019707496932</v>
      </c>
      <c r="DA20" s="175" t="s">
        <v>204</v>
      </c>
    </row>
    <row r="21" spans="1:105" ht="11.45" customHeight="1" x14ac:dyDescent="0.25">
      <c r="A21" s="85" t="s">
        <v>174</v>
      </c>
      <c r="B21" s="86">
        <v>0.2570710871384923</v>
      </c>
      <c r="C21" s="86">
        <v>0.23886188513284909</v>
      </c>
      <c r="D21" s="86">
        <v>0.12210876639078384</v>
      </c>
      <c r="E21" s="86">
        <v>0.14353135698565819</v>
      </c>
      <c r="F21" s="86">
        <v>0.11032634156360295</v>
      </c>
      <c r="G21" s="86">
        <v>0.13019532934131736</v>
      </c>
      <c r="H21" s="86">
        <v>0.71013268249221317</v>
      </c>
      <c r="I21" s="86">
        <v>0.29599314385431119</v>
      </c>
      <c r="J21" s="86">
        <v>0.31388455778047059</v>
      </c>
      <c r="K21" s="86">
        <v>0.23749321186075326</v>
      </c>
      <c r="L21" s="86">
        <v>0.28807698401826487</v>
      </c>
      <c r="M21" s="86">
        <v>0.13831322832616902</v>
      </c>
      <c r="N21" s="86">
        <v>9.5815621621621633E-2</v>
      </c>
      <c r="O21" s="86">
        <v>0.11793251358396833</v>
      </c>
      <c r="P21" s="86">
        <v>7.6542599924718027E-2</v>
      </c>
      <c r="Q21" s="86">
        <v>9.5978946441127741E-2</v>
      </c>
      <c r="R21" s="86">
        <v>0.16372926076386157</v>
      </c>
      <c r="S21" s="86">
        <v>0.18980349820575504</v>
      </c>
      <c r="T21" s="86">
        <v>0.27079833136094678</v>
      </c>
      <c r="U21" s="86">
        <v>0.35217161538461544</v>
      </c>
      <c r="V21" s="86">
        <v>0.33697526490475327</v>
      </c>
      <c r="W21" s="86">
        <v>0.5022292100670015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37432</v>
      </c>
      <c r="C23" s="54">
        <f t="shared" si="15"/>
        <v>35297</v>
      </c>
      <c r="D23" s="54">
        <f t="shared" ref="D23:V23" si="16">SUM(D24,D28)</f>
        <v>34567</v>
      </c>
      <c r="E23" s="54">
        <f t="shared" si="16"/>
        <v>39597</v>
      </c>
      <c r="F23" s="54">
        <f t="shared" si="16"/>
        <v>50129</v>
      </c>
      <c r="G23" s="54">
        <f t="shared" si="16"/>
        <v>56261</v>
      </c>
      <c r="H23" s="54">
        <f t="shared" si="16"/>
        <v>56760</v>
      </c>
      <c r="I23" s="54">
        <f t="shared" si="16"/>
        <v>56176</v>
      </c>
      <c r="J23" s="54">
        <f t="shared" si="16"/>
        <v>53440</v>
      </c>
      <c r="K23" s="54">
        <f t="shared" si="16"/>
        <v>50430</v>
      </c>
      <c r="L23" s="54">
        <f t="shared" si="16"/>
        <v>48028</v>
      </c>
      <c r="M23" s="54">
        <f t="shared" si="16"/>
        <v>50480</v>
      </c>
      <c r="N23" s="54">
        <f t="shared" si="16"/>
        <v>39168</v>
      </c>
      <c r="O23" s="54">
        <f t="shared" si="16"/>
        <v>37232</v>
      </c>
      <c r="P23" s="54">
        <f t="shared" si="16"/>
        <v>38596</v>
      </c>
      <c r="Q23" s="54">
        <f t="shared" si="16"/>
        <v>41387</v>
      </c>
      <c r="R23" s="54">
        <f t="shared" si="16"/>
        <v>44448</v>
      </c>
      <c r="S23" s="54">
        <f t="shared" si="16"/>
        <v>47900</v>
      </c>
      <c r="T23" s="54">
        <f t="shared" si="16"/>
        <v>54013</v>
      </c>
      <c r="U23" s="54">
        <f t="shared" si="16"/>
        <v>57923</v>
      </c>
      <c r="V23" s="54">
        <f t="shared" si="16"/>
        <v>19813</v>
      </c>
      <c r="W23" s="54">
        <f t="shared" ref="W23" si="17">SUM(W24,W28)</f>
        <v>21205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36479</v>
      </c>
      <c r="C24" s="11">
        <f t="shared" si="18"/>
        <v>34273</v>
      </c>
      <c r="D24" s="11">
        <f t="shared" ref="D24:V24" si="19">SUM(D25:D27)</f>
        <v>33399</v>
      </c>
      <c r="E24" s="11">
        <f t="shared" si="19"/>
        <v>38486</v>
      </c>
      <c r="F24" s="11">
        <f t="shared" si="19"/>
        <v>48992</v>
      </c>
      <c r="G24" s="11">
        <f t="shared" si="19"/>
        <v>54800</v>
      </c>
      <c r="H24" s="11">
        <f t="shared" si="19"/>
        <v>55111</v>
      </c>
      <c r="I24" s="11">
        <f t="shared" si="19"/>
        <v>54725</v>
      </c>
      <c r="J24" s="11">
        <f t="shared" si="19"/>
        <v>52268</v>
      </c>
      <c r="K24" s="11">
        <f t="shared" si="19"/>
        <v>49369</v>
      </c>
      <c r="L24" s="11">
        <f t="shared" si="19"/>
        <v>46883</v>
      </c>
      <c r="M24" s="11">
        <f t="shared" si="19"/>
        <v>49073</v>
      </c>
      <c r="N24" s="11">
        <f t="shared" si="19"/>
        <v>37868</v>
      </c>
      <c r="O24" s="11">
        <f t="shared" si="19"/>
        <v>35894</v>
      </c>
      <c r="P24" s="11">
        <f t="shared" si="19"/>
        <v>37409</v>
      </c>
      <c r="Q24" s="11">
        <f t="shared" si="19"/>
        <v>40098</v>
      </c>
      <c r="R24" s="11">
        <f t="shared" si="19"/>
        <v>43145</v>
      </c>
      <c r="S24" s="11">
        <f t="shared" si="19"/>
        <v>46464</v>
      </c>
      <c r="T24" s="11">
        <f t="shared" si="19"/>
        <v>52433</v>
      </c>
      <c r="U24" s="11">
        <f t="shared" si="19"/>
        <v>56508</v>
      </c>
      <c r="V24" s="11">
        <f t="shared" si="19"/>
        <v>18331</v>
      </c>
      <c r="W24" s="11">
        <f t="shared" ref="W24" si="20">SUM(W25:W27)</f>
        <v>19339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27530</v>
      </c>
      <c r="C26" s="84">
        <v>25865</v>
      </c>
      <c r="D26" s="84">
        <v>25533</v>
      </c>
      <c r="E26" s="84">
        <v>28645</v>
      </c>
      <c r="F26" s="84">
        <v>37884</v>
      </c>
      <c r="G26" s="84">
        <v>44083</v>
      </c>
      <c r="H26" s="84">
        <v>44057</v>
      </c>
      <c r="I26" s="84">
        <v>42927</v>
      </c>
      <c r="J26" s="84">
        <v>40644</v>
      </c>
      <c r="K26" s="84">
        <v>38714</v>
      </c>
      <c r="L26" s="84">
        <v>36320</v>
      </c>
      <c r="M26" s="84">
        <v>37941</v>
      </c>
      <c r="N26" s="84">
        <v>32096</v>
      </c>
      <c r="O26" s="84">
        <v>29753</v>
      </c>
      <c r="P26" s="84">
        <v>29716</v>
      </c>
      <c r="Q26" s="84">
        <v>31874</v>
      </c>
      <c r="R26" s="84">
        <v>35496</v>
      </c>
      <c r="S26" s="84">
        <v>37437</v>
      </c>
      <c r="T26" s="84">
        <v>40542</v>
      </c>
      <c r="U26" s="84">
        <v>43659</v>
      </c>
      <c r="V26" s="84">
        <v>14889</v>
      </c>
      <c r="W26" s="84">
        <v>15111</v>
      </c>
      <c r="DA26" s="171" t="s">
        <v>209</v>
      </c>
    </row>
    <row r="27" spans="1:105" ht="11.45" customHeight="1" x14ac:dyDescent="0.25">
      <c r="A27" s="83" t="s">
        <v>174</v>
      </c>
      <c r="B27" s="84">
        <v>8949</v>
      </c>
      <c r="C27" s="84">
        <v>8408</v>
      </c>
      <c r="D27" s="84">
        <v>7866</v>
      </c>
      <c r="E27" s="84">
        <v>9841</v>
      </c>
      <c r="F27" s="84">
        <v>11108</v>
      </c>
      <c r="G27" s="84">
        <v>10717</v>
      </c>
      <c r="H27" s="84">
        <v>11054</v>
      </c>
      <c r="I27" s="84">
        <v>11798</v>
      </c>
      <c r="J27" s="84">
        <v>11624</v>
      </c>
      <c r="K27" s="84">
        <v>10655</v>
      </c>
      <c r="L27" s="84">
        <v>10563</v>
      </c>
      <c r="M27" s="84">
        <v>11132</v>
      </c>
      <c r="N27" s="84">
        <v>5772</v>
      </c>
      <c r="O27" s="84">
        <v>6141</v>
      </c>
      <c r="P27" s="84">
        <v>7693</v>
      </c>
      <c r="Q27" s="84">
        <v>8224</v>
      </c>
      <c r="R27" s="84">
        <v>7649</v>
      </c>
      <c r="S27" s="84">
        <v>9027</v>
      </c>
      <c r="T27" s="84">
        <v>11891</v>
      </c>
      <c r="U27" s="84">
        <v>12849</v>
      </c>
      <c r="V27" s="84">
        <v>3442</v>
      </c>
      <c r="W27" s="84">
        <v>4228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953</v>
      </c>
      <c r="C28" s="13">
        <f t="shared" si="21"/>
        <v>1024</v>
      </c>
      <c r="D28" s="13">
        <f t="shared" ref="D28:V28" si="22">SUM(D29:D31)</f>
        <v>1168</v>
      </c>
      <c r="E28" s="13">
        <f t="shared" si="22"/>
        <v>1111</v>
      </c>
      <c r="F28" s="13">
        <f t="shared" si="22"/>
        <v>1137</v>
      </c>
      <c r="G28" s="13">
        <f t="shared" si="22"/>
        <v>1461</v>
      </c>
      <c r="H28" s="13">
        <f t="shared" si="22"/>
        <v>1649</v>
      </c>
      <c r="I28" s="13">
        <f t="shared" si="22"/>
        <v>1451</v>
      </c>
      <c r="J28" s="13">
        <f t="shared" si="22"/>
        <v>1172</v>
      </c>
      <c r="K28" s="13">
        <f t="shared" si="22"/>
        <v>1061</v>
      </c>
      <c r="L28" s="13">
        <f t="shared" si="22"/>
        <v>1145</v>
      </c>
      <c r="M28" s="13">
        <f t="shared" si="22"/>
        <v>1407</v>
      </c>
      <c r="N28" s="13">
        <f t="shared" si="22"/>
        <v>1300</v>
      </c>
      <c r="O28" s="13">
        <f t="shared" si="22"/>
        <v>1338</v>
      </c>
      <c r="P28" s="13">
        <f t="shared" si="22"/>
        <v>1187</v>
      </c>
      <c r="Q28" s="13">
        <f t="shared" si="22"/>
        <v>1289</v>
      </c>
      <c r="R28" s="13">
        <f t="shared" si="22"/>
        <v>1303</v>
      </c>
      <c r="S28" s="13">
        <f t="shared" si="22"/>
        <v>1436</v>
      </c>
      <c r="T28" s="13">
        <f t="shared" si="22"/>
        <v>1580</v>
      </c>
      <c r="U28" s="13">
        <f t="shared" si="22"/>
        <v>1415</v>
      </c>
      <c r="V28" s="13">
        <f t="shared" si="22"/>
        <v>1482</v>
      </c>
      <c r="W28" s="13">
        <f t="shared" ref="W28" si="23">SUM(W29:W31)</f>
        <v>1866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713</v>
      </c>
      <c r="C30" s="102">
        <v>801</v>
      </c>
      <c r="D30" s="102">
        <v>1054</v>
      </c>
      <c r="E30" s="102">
        <v>977</v>
      </c>
      <c r="F30" s="102">
        <v>1034</v>
      </c>
      <c r="G30" s="102">
        <v>1341</v>
      </c>
      <c r="H30" s="102">
        <v>1073</v>
      </c>
      <c r="I30" s="102">
        <v>1237</v>
      </c>
      <c r="J30" s="102">
        <v>929</v>
      </c>
      <c r="K30" s="102">
        <v>855</v>
      </c>
      <c r="L30" s="102">
        <v>904</v>
      </c>
      <c r="M30" s="102">
        <v>1259</v>
      </c>
      <c r="N30" s="102">
        <v>1171</v>
      </c>
      <c r="O30" s="102">
        <v>1172</v>
      </c>
      <c r="P30" s="102">
        <v>1072</v>
      </c>
      <c r="Q30" s="102">
        <v>1158</v>
      </c>
      <c r="R30" s="102">
        <v>1108</v>
      </c>
      <c r="S30" s="102">
        <v>1193</v>
      </c>
      <c r="T30" s="102">
        <v>1277</v>
      </c>
      <c r="U30" s="102">
        <v>1104</v>
      </c>
      <c r="V30" s="102">
        <v>1178</v>
      </c>
      <c r="W30" s="102">
        <v>1427</v>
      </c>
      <c r="DA30" s="175" t="s">
        <v>213</v>
      </c>
    </row>
    <row r="31" spans="1:105" ht="11.45" customHeight="1" x14ac:dyDescent="0.25">
      <c r="A31" s="85" t="s">
        <v>174</v>
      </c>
      <c r="B31" s="86">
        <v>240</v>
      </c>
      <c r="C31" s="86">
        <v>223</v>
      </c>
      <c r="D31" s="86">
        <v>114</v>
      </c>
      <c r="E31" s="86">
        <v>134</v>
      </c>
      <c r="F31" s="86">
        <v>103</v>
      </c>
      <c r="G31" s="86">
        <v>120</v>
      </c>
      <c r="H31" s="86">
        <v>576</v>
      </c>
      <c r="I31" s="86">
        <v>214</v>
      </c>
      <c r="J31" s="86">
        <v>243</v>
      </c>
      <c r="K31" s="86">
        <v>206</v>
      </c>
      <c r="L31" s="86">
        <v>241</v>
      </c>
      <c r="M31" s="86">
        <v>148</v>
      </c>
      <c r="N31" s="86">
        <v>129</v>
      </c>
      <c r="O31" s="86">
        <v>166</v>
      </c>
      <c r="P31" s="86">
        <v>115</v>
      </c>
      <c r="Q31" s="86">
        <v>131</v>
      </c>
      <c r="R31" s="86">
        <v>195</v>
      </c>
      <c r="S31" s="86">
        <v>243</v>
      </c>
      <c r="T31" s="86">
        <v>303</v>
      </c>
      <c r="U31" s="86">
        <v>311</v>
      </c>
      <c r="V31" s="86">
        <v>304</v>
      </c>
      <c r="W31" s="86">
        <v>439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2440008</v>
      </c>
      <c r="C34" s="11">
        <f t="shared" si="24"/>
        <v>2320217</v>
      </c>
      <c r="D34" s="11">
        <f t="shared" ref="D34:V34" si="25">SUM(D35:D37)</f>
        <v>2267123</v>
      </c>
      <c r="E34" s="11">
        <f t="shared" si="25"/>
        <v>2523164</v>
      </c>
      <c r="F34" s="11">
        <f t="shared" si="25"/>
        <v>3224229</v>
      </c>
      <c r="G34" s="11">
        <f t="shared" si="25"/>
        <v>3994176</v>
      </c>
      <c r="H34" s="11">
        <f t="shared" si="25"/>
        <v>4184414</v>
      </c>
      <c r="I34" s="11">
        <f t="shared" si="25"/>
        <v>4390748</v>
      </c>
      <c r="J34" s="11">
        <f t="shared" si="25"/>
        <v>4280407</v>
      </c>
      <c r="K34" s="11">
        <f t="shared" si="25"/>
        <v>4106418</v>
      </c>
      <c r="L34" s="11">
        <f t="shared" si="25"/>
        <v>4114462</v>
      </c>
      <c r="M34" s="11">
        <f t="shared" si="25"/>
        <v>4468710</v>
      </c>
      <c r="N34" s="11">
        <f t="shared" si="25"/>
        <v>4246711</v>
      </c>
      <c r="O34" s="11">
        <f t="shared" si="25"/>
        <v>4254626</v>
      </c>
      <c r="P34" s="11">
        <f t="shared" si="25"/>
        <v>4559278</v>
      </c>
      <c r="Q34" s="11">
        <f t="shared" si="25"/>
        <v>5159421</v>
      </c>
      <c r="R34" s="11">
        <f t="shared" si="25"/>
        <v>5898110</v>
      </c>
      <c r="S34" s="11">
        <f t="shared" si="25"/>
        <v>6734603</v>
      </c>
      <c r="T34" s="11">
        <f t="shared" si="25"/>
        <v>7653880</v>
      </c>
      <c r="U34" s="11">
        <f t="shared" si="25"/>
        <v>8410692</v>
      </c>
      <c r="V34" s="11">
        <f t="shared" si="25"/>
        <v>2024774</v>
      </c>
      <c r="W34" s="11">
        <f t="shared" ref="W34" si="26">SUM(W35:W37)</f>
        <v>2325738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1742965</v>
      </c>
      <c r="C36" s="84">
        <v>1662786</v>
      </c>
      <c r="D36" s="84">
        <v>1702043</v>
      </c>
      <c r="E36" s="84">
        <v>1829717</v>
      </c>
      <c r="F36" s="84">
        <v>2411233</v>
      </c>
      <c r="G36" s="84">
        <v>3143106</v>
      </c>
      <c r="H36" s="84">
        <v>3316662</v>
      </c>
      <c r="I36" s="84">
        <v>3443258</v>
      </c>
      <c r="J36" s="84">
        <v>3343792</v>
      </c>
      <c r="K36" s="84">
        <v>3242854</v>
      </c>
      <c r="L36" s="84">
        <v>3222406</v>
      </c>
      <c r="M36" s="84">
        <v>3528245</v>
      </c>
      <c r="N36" s="84">
        <v>3663505</v>
      </c>
      <c r="O36" s="84">
        <v>3530536</v>
      </c>
      <c r="P36" s="84">
        <v>3670165</v>
      </c>
      <c r="Q36" s="84">
        <v>4166423</v>
      </c>
      <c r="R36" s="84">
        <v>4900691</v>
      </c>
      <c r="S36" s="84">
        <v>5465826</v>
      </c>
      <c r="T36" s="84">
        <v>5943501</v>
      </c>
      <c r="U36" s="84">
        <v>6493730</v>
      </c>
      <c r="V36" s="84">
        <v>1626684</v>
      </c>
      <c r="W36" s="84">
        <v>1806583</v>
      </c>
      <c r="DA36" s="171" t="s">
        <v>217</v>
      </c>
    </row>
    <row r="37" spans="1:105" ht="11.45" customHeight="1" x14ac:dyDescent="0.25">
      <c r="A37" s="83" t="s">
        <v>174</v>
      </c>
      <c r="B37" s="84">
        <v>697043</v>
      </c>
      <c r="C37" s="84">
        <v>657431</v>
      </c>
      <c r="D37" s="84">
        <v>565080</v>
      </c>
      <c r="E37" s="84">
        <v>693447</v>
      </c>
      <c r="F37" s="84">
        <v>812996</v>
      </c>
      <c r="G37" s="84">
        <v>851070</v>
      </c>
      <c r="H37" s="84">
        <v>867752</v>
      </c>
      <c r="I37" s="84">
        <v>947490</v>
      </c>
      <c r="J37" s="84">
        <v>936615</v>
      </c>
      <c r="K37" s="84">
        <v>863564</v>
      </c>
      <c r="L37" s="84">
        <v>892056</v>
      </c>
      <c r="M37" s="84">
        <v>940465</v>
      </c>
      <c r="N37" s="84">
        <v>583206</v>
      </c>
      <c r="O37" s="84">
        <v>724090</v>
      </c>
      <c r="P37" s="84">
        <v>889113</v>
      </c>
      <c r="Q37" s="84">
        <v>992998</v>
      </c>
      <c r="R37" s="84">
        <v>997419</v>
      </c>
      <c r="S37" s="84">
        <v>1268777</v>
      </c>
      <c r="T37" s="84">
        <v>1710379</v>
      </c>
      <c r="U37" s="84">
        <v>1916962</v>
      </c>
      <c r="V37" s="84">
        <v>398090</v>
      </c>
      <c r="W37" s="84">
        <v>519155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23973.231523051159</v>
      </c>
      <c r="C38" s="13">
        <f t="shared" si="27"/>
        <v>25023.299590108036</v>
      </c>
      <c r="D38" s="13">
        <f t="shared" ref="D38:V38" si="28">SUM(D39:D41)</f>
        <v>23205.095683347728</v>
      </c>
      <c r="E38" s="13">
        <f t="shared" si="28"/>
        <v>23301.266788585526</v>
      </c>
      <c r="F38" s="13">
        <f t="shared" si="28"/>
        <v>21524.193353901828</v>
      </c>
      <c r="G38" s="13">
        <f t="shared" si="28"/>
        <v>25663.665155551389</v>
      </c>
      <c r="H38" s="13">
        <f t="shared" si="28"/>
        <v>41020.56468836515</v>
      </c>
      <c r="I38" s="13">
        <f t="shared" si="28"/>
        <v>26685.741802719705</v>
      </c>
      <c r="J38" s="13">
        <f t="shared" si="28"/>
        <v>23600.841064363762</v>
      </c>
      <c r="K38" s="13">
        <f t="shared" si="28"/>
        <v>21930.029126506844</v>
      </c>
      <c r="L38" s="13">
        <f t="shared" si="28"/>
        <v>25696.33535083897</v>
      </c>
      <c r="M38" s="13">
        <f t="shared" si="28"/>
        <v>27651.227439149752</v>
      </c>
      <c r="N38" s="13">
        <f t="shared" si="28"/>
        <v>26855.154219715409</v>
      </c>
      <c r="O38" s="13">
        <f t="shared" si="28"/>
        <v>29238.745407758212</v>
      </c>
      <c r="P38" s="13">
        <f t="shared" si="28"/>
        <v>27112.931580755623</v>
      </c>
      <c r="Q38" s="13">
        <f t="shared" si="28"/>
        <v>29685.230811974572</v>
      </c>
      <c r="R38" s="13">
        <f t="shared" si="28"/>
        <v>37032.835650240668</v>
      </c>
      <c r="S38" s="13">
        <f t="shared" si="28"/>
        <v>40528.773763862147</v>
      </c>
      <c r="T38" s="13">
        <f t="shared" si="28"/>
        <v>46431.502622463799</v>
      </c>
      <c r="U38" s="13">
        <f t="shared" si="28"/>
        <v>44818.605953231941</v>
      </c>
      <c r="V38" s="13">
        <f t="shared" si="28"/>
        <v>35908.029150990486</v>
      </c>
      <c r="W38" s="13">
        <f t="shared" ref="W38" si="29">SUM(W39:W41)</f>
        <v>48568.671028114106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11462.24180112861</v>
      </c>
      <c r="C40" s="102">
        <v>13017.243200747429</v>
      </c>
      <c r="D40" s="102">
        <v>17175.872952573311</v>
      </c>
      <c r="E40" s="102">
        <v>16772.652649278742</v>
      </c>
      <c r="F40" s="102">
        <v>16574.072308671464</v>
      </c>
      <c r="G40" s="102">
        <v>20357.750467267022</v>
      </c>
      <c r="H40" s="102">
        <v>15006.198511536735</v>
      </c>
      <c r="I40" s="102">
        <v>17015.720663282806</v>
      </c>
      <c r="J40" s="102">
        <v>12687.004577798552</v>
      </c>
      <c r="K40" s="102">
        <v>11650.880052325154</v>
      </c>
      <c r="L40" s="102">
        <v>13036.391321958103</v>
      </c>
      <c r="M40" s="102">
        <v>19501.536753351331</v>
      </c>
      <c r="N40" s="102">
        <v>19276.79369772151</v>
      </c>
      <c r="O40" s="102">
        <v>19387.274600829391</v>
      </c>
      <c r="P40" s="102">
        <v>19507.99122674399</v>
      </c>
      <c r="Q40" s="102">
        <v>21047.536753576114</v>
      </c>
      <c r="R40" s="102">
        <v>22795.451233385724</v>
      </c>
      <c r="S40" s="102">
        <v>22819.81623512286</v>
      </c>
      <c r="T40" s="102">
        <v>24277.078212512268</v>
      </c>
      <c r="U40" s="102">
        <v>21519.875504965246</v>
      </c>
      <c r="V40" s="102">
        <v>20637.575679860729</v>
      </c>
      <c r="W40" s="102">
        <v>25187.019143927857</v>
      </c>
      <c r="DA40" s="175" t="s">
        <v>221</v>
      </c>
    </row>
    <row r="41" spans="1:105" ht="11.45" customHeight="1" x14ac:dyDescent="0.25">
      <c r="A41" s="85" t="s">
        <v>174</v>
      </c>
      <c r="B41" s="86">
        <v>12510.98972192255</v>
      </c>
      <c r="C41" s="86">
        <v>12006.056389360605</v>
      </c>
      <c r="D41" s="86">
        <v>6029.2227307744179</v>
      </c>
      <c r="E41" s="86">
        <v>6528.6141393067865</v>
      </c>
      <c r="F41" s="86">
        <v>4950.1210452303621</v>
      </c>
      <c r="G41" s="86">
        <v>5305.9146882843679</v>
      </c>
      <c r="H41" s="86">
        <v>26014.366176828415</v>
      </c>
      <c r="I41" s="86">
        <v>9670.021139436898</v>
      </c>
      <c r="J41" s="86">
        <v>10913.836486565209</v>
      </c>
      <c r="K41" s="86">
        <v>10279.149074181692</v>
      </c>
      <c r="L41" s="86">
        <v>12659.944028880867</v>
      </c>
      <c r="M41" s="86">
        <v>8149.6906857984204</v>
      </c>
      <c r="N41" s="86">
        <v>7578.3605219938972</v>
      </c>
      <c r="O41" s="86">
        <v>9851.4708069288208</v>
      </c>
      <c r="P41" s="86">
        <v>7604.9403540116336</v>
      </c>
      <c r="Q41" s="86">
        <v>8637.694058398456</v>
      </c>
      <c r="R41" s="86">
        <v>14237.384416854948</v>
      </c>
      <c r="S41" s="86">
        <v>17708.957528739291</v>
      </c>
      <c r="T41" s="86">
        <v>22154.424409951534</v>
      </c>
      <c r="U41" s="86">
        <v>23298.730448266695</v>
      </c>
      <c r="V41" s="86">
        <v>15270.453471129755</v>
      </c>
      <c r="W41" s="86">
        <v>23381.651884186249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30.861452964998833</v>
      </c>
      <c r="C43" s="54">
        <f t="shared" si="30"/>
        <v>29.103639031947445</v>
      </c>
      <c r="D43" s="54">
        <f t="shared" ref="D43:V43" si="31">SUM(D44,D48)</f>
        <v>28.465054658389818</v>
      </c>
      <c r="E43" s="54">
        <f t="shared" si="31"/>
        <v>32.876772738516941</v>
      </c>
      <c r="F43" s="54">
        <f t="shared" si="31"/>
        <v>40.998167332294344</v>
      </c>
      <c r="G43" s="54">
        <f t="shared" si="31"/>
        <v>46.110453687589803</v>
      </c>
      <c r="H43" s="54">
        <f t="shared" si="31"/>
        <v>48.033979101222009</v>
      </c>
      <c r="I43" s="54">
        <f t="shared" si="31"/>
        <v>49.110848677685581</v>
      </c>
      <c r="J43" s="54">
        <f t="shared" si="31"/>
        <v>46.193088712117671</v>
      </c>
      <c r="K43" s="54">
        <f t="shared" si="31"/>
        <v>43.586248864562954</v>
      </c>
      <c r="L43" s="54">
        <f t="shared" si="31"/>
        <v>40.785331546854181</v>
      </c>
      <c r="M43" s="54">
        <f t="shared" si="31"/>
        <v>42.305357766874124</v>
      </c>
      <c r="N43" s="54">
        <f t="shared" si="31"/>
        <v>39.634725470439299</v>
      </c>
      <c r="O43" s="54">
        <f t="shared" si="31"/>
        <v>36.807311757139622</v>
      </c>
      <c r="P43" s="54">
        <f t="shared" si="31"/>
        <v>34.373188781114926</v>
      </c>
      <c r="Q43" s="54">
        <f t="shared" si="31"/>
        <v>36.001355647632252</v>
      </c>
      <c r="R43" s="54">
        <f t="shared" si="31"/>
        <v>38.827544046693703</v>
      </c>
      <c r="S43" s="54">
        <f t="shared" si="31"/>
        <v>42.343777654572058</v>
      </c>
      <c r="T43" s="54">
        <f t="shared" si="31"/>
        <v>49.83049619865168</v>
      </c>
      <c r="U43" s="54">
        <f t="shared" si="31"/>
        <v>53.989204203379273</v>
      </c>
      <c r="V43" s="54">
        <f t="shared" si="31"/>
        <v>51.960068024082638</v>
      </c>
      <c r="W43" s="54">
        <f t="shared" ref="W43" si="32">SUM(W44,W48)</f>
        <v>50.353899192687891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29.996120252607298</v>
      </c>
      <c r="C44" s="11">
        <f t="shared" si="33"/>
        <v>28.182259363508955</v>
      </c>
      <c r="D44" s="11">
        <f t="shared" ref="D44:V44" si="34">SUM(D45:D47)</f>
        <v>27.340586518235405</v>
      </c>
      <c r="E44" s="11">
        <f t="shared" si="34"/>
        <v>31.838837869601683</v>
      </c>
      <c r="F44" s="11">
        <f t="shared" si="34"/>
        <v>39.935381623234122</v>
      </c>
      <c r="G44" s="11">
        <f t="shared" si="34"/>
        <v>44.800932286064992</v>
      </c>
      <c r="H44" s="11">
        <f t="shared" si="34"/>
        <v>46.254201859627869</v>
      </c>
      <c r="I44" s="11">
        <f t="shared" si="34"/>
        <v>47.358927675042104</v>
      </c>
      <c r="J44" s="11">
        <f t="shared" si="34"/>
        <v>44.527700980713348</v>
      </c>
      <c r="K44" s="11">
        <f t="shared" si="34"/>
        <v>42.007394404397786</v>
      </c>
      <c r="L44" s="11">
        <f t="shared" si="34"/>
        <v>39.293010357928168</v>
      </c>
      <c r="M44" s="11">
        <f t="shared" si="34"/>
        <v>40.70679563756773</v>
      </c>
      <c r="N44" s="11">
        <f t="shared" si="34"/>
        <v>38.122696612372053</v>
      </c>
      <c r="O44" s="11">
        <f t="shared" si="34"/>
        <v>35.353448982227214</v>
      </c>
      <c r="P44" s="11">
        <f t="shared" si="34"/>
        <v>33.005859277441672</v>
      </c>
      <c r="Q44" s="11">
        <f t="shared" si="34"/>
        <v>34.594498571746001</v>
      </c>
      <c r="R44" s="11">
        <f t="shared" si="34"/>
        <v>37.483892909313333</v>
      </c>
      <c r="S44" s="11">
        <f t="shared" si="34"/>
        <v>40.960550658813744</v>
      </c>
      <c r="T44" s="11">
        <f t="shared" si="34"/>
        <v>48.400072587524839</v>
      </c>
      <c r="U44" s="11">
        <f t="shared" si="34"/>
        <v>52.626404234859692</v>
      </c>
      <c r="V44" s="11">
        <f t="shared" si="34"/>
        <v>50.626662884685871</v>
      </c>
      <c r="W44" s="11">
        <f t="shared" ref="W44" si="35">SUM(W45:W47)</f>
        <v>48.62692153451205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19.25302301371174</v>
      </c>
      <c r="C46" s="84">
        <v>18.088621908526964</v>
      </c>
      <c r="D46" s="84">
        <v>17.897609327359056</v>
      </c>
      <c r="E46" s="84">
        <v>20.024912299373593</v>
      </c>
      <c r="F46" s="84">
        <v>26.600447649644682</v>
      </c>
      <c r="G46" s="84">
        <v>31.857695571089142</v>
      </c>
      <c r="H46" s="84">
        <v>32.402071533813334</v>
      </c>
      <c r="I46" s="84">
        <v>32.01692507426187</v>
      </c>
      <c r="J46" s="84">
        <v>30.177083696762733</v>
      </c>
      <c r="K46" s="84">
        <v>28.731086844336726</v>
      </c>
      <c r="L46" s="84">
        <v>27.091012521756664</v>
      </c>
      <c r="M46" s="84">
        <v>27.83743147571802</v>
      </c>
      <c r="N46" s="84">
        <v>26.327642174411896</v>
      </c>
      <c r="O46" s="84">
        <v>24.632704268156616</v>
      </c>
      <c r="P46" s="84">
        <v>23.35942428726063</v>
      </c>
      <c r="Q46" s="84">
        <v>24.037374053132396</v>
      </c>
      <c r="R46" s="84">
        <v>27.062911982882817</v>
      </c>
      <c r="S46" s="84">
        <v>28.62858344569899</v>
      </c>
      <c r="T46" s="84">
        <v>31.191678955108053</v>
      </c>
      <c r="U46" s="84">
        <v>33.647083703101941</v>
      </c>
      <c r="V46" s="84">
        <v>32.363548835521158</v>
      </c>
      <c r="W46" s="84">
        <v>31.080013967940371</v>
      </c>
      <c r="DA46" s="171" t="s">
        <v>226</v>
      </c>
    </row>
    <row r="47" spans="1:105" ht="11.45" customHeight="1" x14ac:dyDescent="0.25">
      <c r="A47" s="83" t="s">
        <v>174</v>
      </c>
      <c r="B47" s="84">
        <v>10.743097238895558</v>
      </c>
      <c r="C47" s="84">
        <v>10.093637454981993</v>
      </c>
      <c r="D47" s="84">
        <v>9.4429771908763502</v>
      </c>
      <c r="E47" s="84">
        <v>11.813925570228092</v>
      </c>
      <c r="F47" s="84">
        <v>13.334933973589436</v>
      </c>
      <c r="G47" s="84">
        <v>12.943236714975846</v>
      </c>
      <c r="H47" s="84">
        <v>13.852130325814537</v>
      </c>
      <c r="I47" s="84">
        <v>15.342002600780233</v>
      </c>
      <c r="J47" s="84">
        <v>14.350617283950617</v>
      </c>
      <c r="K47" s="84">
        <v>13.276307560061062</v>
      </c>
      <c r="L47" s="84">
        <v>12.201997836171506</v>
      </c>
      <c r="M47" s="84">
        <v>12.869364161849711</v>
      </c>
      <c r="N47" s="84">
        <v>11.795054437960156</v>
      </c>
      <c r="O47" s="84">
        <v>10.7207447140706</v>
      </c>
      <c r="P47" s="84">
        <v>9.646434990181044</v>
      </c>
      <c r="Q47" s="84">
        <v>10.557124518613607</v>
      </c>
      <c r="R47" s="84">
        <v>10.420980926430518</v>
      </c>
      <c r="S47" s="84">
        <v>12.331967213114755</v>
      </c>
      <c r="T47" s="84">
        <v>17.208393632416787</v>
      </c>
      <c r="U47" s="84">
        <v>18.979320531757754</v>
      </c>
      <c r="V47" s="84">
        <v>18.263114049164717</v>
      </c>
      <c r="W47" s="84">
        <v>17.546907566571679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0.86533271239153597</v>
      </c>
      <c r="C48" s="13">
        <f t="shared" si="36"/>
        <v>0.92137966843849195</v>
      </c>
      <c r="D48" s="13">
        <f t="shared" ref="D48:V48" si="37">SUM(D49:D51)</f>
        <v>1.1244681401544145</v>
      </c>
      <c r="E48" s="13">
        <f t="shared" si="37"/>
        <v>1.037934868915261</v>
      </c>
      <c r="F48" s="13">
        <f t="shared" si="37"/>
        <v>1.0627857090602189</v>
      </c>
      <c r="G48" s="13">
        <f t="shared" si="37"/>
        <v>1.3095214015248113</v>
      </c>
      <c r="H48" s="13">
        <f t="shared" si="37"/>
        <v>1.779777241594138</v>
      </c>
      <c r="I48" s="13">
        <f t="shared" si="37"/>
        <v>1.7519210026434768</v>
      </c>
      <c r="J48" s="13">
        <f t="shared" si="37"/>
        <v>1.6653877314043233</v>
      </c>
      <c r="K48" s="13">
        <f t="shared" si="37"/>
        <v>1.5788544601651697</v>
      </c>
      <c r="L48" s="13">
        <f t="shared" si="37"/>
        <v>1.4923211889260162</v>
      </c>
      <c r="M48" s="13">
        <f t="shared" si="37"/>
        <v>1.5985621293063974</v>
      </c>
      <c r="N48" s="13">
        <f t="shared" si="37"/>
        <v>1.5120288580672439</v>
      </c>
      <c r="O48" s="13">
        <f t="shared" si="37"/>
        <v>1.4538627749124078</v>
      </c>
      <c r="P48" s="13">
        <f t="shared" si="37"/>
        <v>1.3673295036732542</v>
      </c>
      <c r="Q48" s="13">
        <f t="shared" si="37"/>
        <v>1.4068570758862484</v>
      </c>
      <c r="R48" s="13">
        <f t="shared" si="37"/>
        <v>1.3436511373803681</v>
      </c>
      <c r="S48" s="13">
        <f t="shared" si="37"/>
        <v>1.3832269957583105</v>
      </c>
      <c r="T48" s="13">
        <f t="shared" si="37"/>
        <v>1.4304236111268438</v>
      </c>
      <c r="U48" s="13">
        <f t="shared" si="37"/>
        <v>1.3627999685195786</v>
      </c>
      <c r="V48" s="13">
        <f t="shared" si="37"/>
        <v>1.3334051393967701</v>
      </c>
      <c r="W48" s="13">
        <f t="shared" ref="W48" si="38">SUM(W49:W51)</f>
        <v>1.7269776581758411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0.60389480389480388</v>
      </c>
      <c r="C50" s="102">
        <v>0.67846027846027845</v>
      </c>
      <c r="D50" s="102">
        <v>0.90769254102587438</v>
      </c>
      <c r="E50" s="102">
        <v>0.84730306063639405</v>
      </c>
      <c r="F50" s="102">
        <v>0.89829769163102491</v>
      </c>
      <c r="G50" s="102">
        <v>1.1711771749452908</v>
      </c>
      <c r="H50" s="102">
        <v>1.1107876945558104</v>
      </c>
      <c r="I50" s="102">
        <v>1.1090752464548226</v>
      </c>
      <c r="J50" s="102">
        <v>1.0486857660653421</v>
      </c>
      <c r="K50" s="102">
        <v>0.9882962856758617</v>
      </c>
      <c r="L50" s="102">
        <v>0.92790680528638136</v>
      </c>
      <c r="M50" s="102">
        <v>1.060291536516436</v>
      </c>
      <c r="N50" s="102">
        <v>0.9999020561269556</v>
      </c>
      <c r="O50" s="102">
        <v>0.96787976382179275</v>
      </c>
      <c r="P50" s="102">
        <v>0.90749028343231242</v>
      </c>
      <c r="Q50" s="102">
        <v>0.97316164649497972</v>
      </c>
      <c r="R50" s="102">
        <v>0.93609949883877275</v>
      </c>
      <c r="S50" s="102">
        <v>1.0018191480663885</v>
      </c>
      <c r="T50" s="102">
        <v>1.0751595542845949</v>
      </c>
      <c r="U50" s="102">
        <v>1.0157017542338642</v>
      </c>
      <c r="V50" s="102">
        <v>0.99712195355606204</v>
      </c>
      <c r="W50" s="102">
        <v>1.2342728321376817</v>
      </c>
      <c r="DA50" s="175" t="s">
        <v>230</v>
      </c>
    </row>
    <row r="51" spans="1:105" ht="11.45" customHeight="1" x14ac:dyDescent="0.25">
      <c r="A51" s="85" t="s">
        <v>174</v>
      </c>
      <c r="B51" s="86">
        <v>0.26143790849673204</v>
      </c>
      <c r="C51" s="86">
        <v>0.2429193899782135</v>
      </c>
      <c r="D51" s="86">
        <v>0.21677559912854028</v>
      </c>
      <c r="E51" s="86">
        <v>0.19063180827886705</v>
      </c>
      <c r="F51" s="86">
        <v>0.16448801742919383</v>
      </c>
      <c r="G51" s="86">
        <v>0.13834422657952061</v>
      </c>
      <c r="H51" s="86">
        <v>0.66898954703832758</v>
      </c>
      <c r="I51" s="86">
        <v>0.64284575618865436</v>
      </c>
      <c r="J51" s="86">
        <v>0.61670196533898114</v>
      </c>
      <c r="K51" s="86">
        <v>0.59055817448930792</v>
      </c>
      <c r="L51" s="86">
        <v>0.5644143836396347</v>
      </c>
      <c r="M51" s="86">
        <v>0.53827059278996148</v>
      </c>
      <c r="N51" s="86">
        <v>0.51212680194028826</v>
      </c>
      <c r="O51" s="86">
        <v>0.48598301109061504</v>
      </c>
      <c r="P51" s="86">
        <v>0.45983922024094182</v>
      </c>
      <c r="Q51" s="86">
        <v>0.43369542939126859</v>
      </c>
      <c r="R51" s="86">
        <v>0.40755163854159537</v>
      </c>
      <c r="S51" s="86">
        <v>0.38140784769192215</v>
      </c>
      <c r="T51" s="86">
        <v>0.35526405684224893</v>
      </c>
      <c r="U51" s="86">
        <v>0.3470982142857143</v>
      </c>
      <c r="V51" s="86">
        <v>0.33628318584070799</v>
      </c>
      <c r="W51" s="86">
        <v>0.49270482603815935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4.2696585452305342</v>
      </c>
      <c r="C53" s="54">
        <f t="shared" si="39"/>
        <v>9.7180817180474569E-2</v>
      </c>
      <c r="D53" s="54">
        <f t="shared" ref="D53:V53" si="40">SUM(D54,D58)</f>
        <v>0.74616707802747129</v>
      </c>
      <c r="E53" s="54">
        <f t="shared" si="40"/>
        <v>5.4519503614002787</v>
      </c>
      <c r="F53" s="54">
        <f t="shared" si="40"/>
        <v>9.1247244097299909</v>
      </c>
      <c r="G53" s="54">
        <f t="shared" si="40"/>
        <v>6.1594005146956512</v>
      </c>
      <c r="H53" s="54">
        <f t="shared" si="40"/>
        <v>3.0567020839693146</v>
      </c>
      <c r="I53" s="54">
        <f t="shared" si="40"/>
        <v>2.2083126551637839</v>
      </c>
      <c r="J53" s="54">
        <f t="shared" si="40"/>
        <v>7.1170559289038982E-2</v>
      </c>
      <c r="K53" s="54">
        <f t="shared" si="40"/>
        <v>0</v>
      </c>
      <c r="L53" s="54">
        <f t="shared" si="40"/>
        <v>0</v>
      </c>
      <c r="M53" s="54">
        <f t="shared" si="40"/>
        <v>2.6514692987201598</v>
      </c>
      <c r="N53" s="54">
        <f t="shared" si="40"/>
        <v>0.2759414039844254</v>
      </c>
      <c r="O53" s="54">
        <f t="shared" si="40"/>
        <v>9.0792799035271765E-2</v>
      </c>
      <c r="P53" s="54">
        <f t="shared" si="40"/>
        <v>0.52674108897756566</v>
      </c>
      <c r="Q53" s="54">
        <f t="shared" si="40"/>
        <v>2.6343287137199196</v>
      </c>
      <c r="R53" s="54">
        <f t="shared" si="40"/>
        <v>3.828802983018333</v>
      </c>
      <c r="S53" s="54">
        <f t="shared" si="40"/>
        <v>4.5081050904979518</v>
      </c>
      <c r="T53" s="54">
        <f t="shared" si="40"/>
        <v>8.4782456990953037</v>
      </c>
      <c r="U53" s="54">
        <f t="shared" si="40"/>
        <v>5.1657402927858538</v>
      </c>
      <c r="V53" s="54">
        <f t="shared" si="40"/>
        <v>5.7639369991483447E-3</v>
      </c>
      <c r="W53" s="54">
        <f t="shared" ref="W53" si="41">SUM(W54,W58)</f>
        <v>0.4260135694550215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4.1241523081562859</v>
      </c>
      <c r="C54" s="11">
        <f t="shared" si="42"/>
        <v>0</v>
      </c>
      <c r="D54" s="11">
        <f t="shared" ref="D54:V54" si="43">SUM(D55:D57)</f>
        <v>0.49431947284687539</v>
      </c>
      <c r="E54" s="11">
        <f t="shared" si="43"/>
        <v>5.4519503614002787</v>
      </c>
      <c r="F54" s="11">
        <f t="shared" si="43"/>
        <v>9.0474107324164343</v>
      </c>
      <c r="G54" s="11">
        <f t="shared" si="43"/>
        <v>5.8602019850624592</v>
      </c>
      <c r="H54" s="11">
        <f t="shared" si="43"/>
        <v>2.5179594505115079</v>
      </c>
      <c r="I54" s="11">
        <f t="shared" si="43"/>
        <v>2.1837060569458462</v>
      </c>
      <c r="J54" s="11">
        <f t="shared" si="43"/>
        <v>7.1170559289038982E-2</v>
      </c>
      <c r="K54" s="11">
        <f t="shared" si="43"/>
        <v>0</v>
      </c>
      <c r="L54" s="11">
        <f t="shared" si="43"/>
        <v>0</v>
      </c>
      <c r="M54" s="11">
        <f t="shared" si="43"/>
        <v>2.4927655211711794</v>
      </c>
      <c r="N54" s="11">
        <f t="shared" si="43"/>
        <v>0.2759414039844254</v>
      </c>
      <c r="O54" s="11">
        <f t="shared" si="43"/>
        <v>9.0792799035271765E-2</v>
      </c>
      <c r="P54" s="11">
        <f t="shared" si="43"/>
        <v>0.52674108897756566</v>
      </c>
      <c r="Q54" s="11">
        <f t="shared" si="43"/>
        <v>2.5423383043383261</v>
      </c>
      <c r="R54" s="11">
        <f t="shared" si="43"/>
        <v>3.828802983018333</v>
      </c>
      <c r="S54" s="11">
        <f t="shared" si="43"/>
        <v>4.4160663949514101</v>
      </c>
      <c r="T54" s="11">
        <f t="shared" si="43"/>
        <v>8.3789305741620961</v>
      </c>
      <c r="U54" s="11">
        <f t="shared" si="43"/>
        <v>5.1657402927858538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2.6472415438502965</v>
      </c>
      <c r="C56" s="84">
        <v>0</v>
      </c>
      <c r="D56" s="84">
        <v>0.49431947284687539</v>
      </c>
      <c r="E56" s="84">
        <v>2.7445474002155383</v>
      </c>
      <c r="F56" s="84">
        <v>7.1899477472220905</v>
      </c>
      <c r="G56" s="84">
        <v>5.8602019850624592</v>
      </c>
      <c r="H56" s="84">
        <v>1.2726112578398179</v>
      </c>
      <c r="I56" s="84">
        <v>0.3573792001471503</v>
      </c>
      <c r="J56" s="84">
        <v>7.1170559289038982E-2</v>
      </c>
      <c r="K56" s="84">
        <v>0</v>
      </c>
      <c r="L56" s="84">
        <v>0</v>
      </c>
      <c r="M56" s="84">
        <v>1.4889446136599744</v>
      </c>
      <c r="N56" s="84">
        <v>0.2759414039844254</v>
      </c>
      <c r="O56" s="84">
        <v>9.0792799035271765E-2</v>
      </c>
      <c r="P56" s="84">
        <v>0.52674108897756566</v>
      </c>
      <c r="Q56" s="84">
        <v>1.2951941940727636</v>
      </c>
      <c r="R56" s="84">
        <v>3.6284919933684225</v>
      </c>
      <c r="S56" s="84">
        <v>2.1686255264341741</v>
      </c>
      <c r="T56" s="84">
        <v>3.1660495730270655</v>
      </c>
      <c r="U56" s="84">
        <v>3.0583588116118867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1.4769107643059893</v>
      </c>
      <c r="C57" s="84">
        <v>0</v>
      </c>
      <c r="D57" s="84">
        <v>0</v>
      </c>
      <c r="E57" s="84">
        <v>2.7074029611847408</v>
      </c>
      <c r="F57" s="84">
        <v>1.8574629851943438</v>
      </c>
      <c r="G57" s="84">
        <v>0</v>
      </c>
      <c r="H57" s="84">
        <v>1.2453481926716901</v>
      </c>
      <c r="I57" s="84">
        <v>1.8263268567986959</v>
      </c>
      <c r="J57" s="84">
        <v>0</v>
      </c>
      <c r="K57" s="84">
        <v>0</v>
      </c>
      <c r="L57" s="84">
        <v>0</v>
      </c>
      <c r="M57" s="84">
        <v>1.003820907511205</v>
      </c>
      <c r="N57" s="84">
        <v>0</v>
      </c>
      <c r="O57" s="84">
        <v>0</v>
      </c>
      <c r="P57" s="84">
        <v>0</v>
      </c>
      <c r="Q57" s="84">
        <v>1.2471441102655625</v>
      </c>
      <c r="R57" s="84">
        <v>0.20031098964991045</v>
      </c>
      <c r="S57" s="84">
        <v>2.247440868517236</v>
      </c>
      <c r="T57" s="84">
        <v>5.2128810011350311</v>
      </c>
      <c r="U57" s="84">
        <v>2.1073814811739666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0.14550623707424817</v>
      </c>
      <c r="C58" s="13">
        <f t="shared" si="45"/>
        <v>9.7180817180474569E-2</v>
      </c>
      <c r="D58" s="13">
        <f t="shared" ref="D58:V58" si="46">SUM(D59:D61)</f>
        <v>0.2518476051805959</v>
      </c>
      <c r="E58" s="13">
        <f t="shared" si="46"/>
        <v>0</v>
      </c>
      <c r="F58" s="13">
        <f t="shared" si="46"/>
        <v>7.7313677313556872E-2</v>
      </c>
      <c r="G58" s="13">
        <f t="shared" si="46"/>
        <v>0.29919852963319171</v>
      </c>
      <c r="H58" s="13">
        <f t="shared" si="46"/>
        <v>0.53874263345780693</v>
      </c>
      <c r="I58" s="13">
        <f t="shared" si="46"/>
        <v>2.4606598217937981E-2</v>
      </c>
      <c r="J58" s="13">
        <f t="shared" si="46"/>
        <v>0</v>
      </c>
      <c r="K58" s="13">
        <f t="shared" si="46"/>
        <v>0</v>
      </c>
      <c r="L58" s="13">
        <f t="shared" si="46"/>
        <v>0</v>
      </c>
      <c r="M58" s="13">
        <f t="shared" si="46"/>
        <v>0.15870377754898046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9.1990409381593308E-2</v>
      </c>
      <c r="R58" s="13">
        <f t="shared" si="46"/>
        <v>0</v>
      </c>
      <c r="S58" s="13">
        <f t="shared" si="46"/>
        <v>9.203869554654176E-2</v>
      </c>
      <c r="T58" s="13">
        <f t="shared" si="46"/>
        <v>9.9315124933207266E-2</v>
      </c>
      <c r="U58" s="13">
        <f t="shared" si="46"/>
        <v>0</v>
      </c>
      <c r="V58" s="13">
        <f t="shared" si="46"/>
        <v>5.7639369991483447E-3</v>
      </c>
      <c r="W58" s="13">
        <f t="shared" ref="W58" si="47">SUM(W59:W61)</f>
        <v>0.4260135694550215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0.11889040555672961</v>
      </c>
      <c r="C60" s="102">
        <v>9.7180817180474569E-2</v>
      </c>
      <c r="D60" s="102">
        <v>0.2518476051805959</v>
      </c>
      <c r="E60" s="102">
        <v>0</v>
      </c>
      <c r="F60" s="102">
        <v>7.7313677313556872E-2</v>
      </c>
      <c r="G60" s="102">
        <v>0.29919852963319171</v>
      </c>
      <c r="H60" s="102">
        <v>0</v>
      </c>
      <c r="I60" s="102">
        <v>2.4606598217937981E-2</v>
      </c>
      <c r="J60" s="102">
        <v>0</v>
      </c>
      <c r="K60" s="102">
        <v>0</v>
      </c>
      <c r="L60" s="102">
        <v>0</v>
      </c>
      <c r="M60" s="102">
        <v>0.15870377754898046</v>
      </c>
      <c r="N60" s="102">
        <v>0</v>
      </c>
      <c r="O60" s="102">
        <v>0</v>
      </c>
      <c r="P60" s="102">
        <v>0</v>
      </c>
      <c r="Q60" s="102">
        <v>9.1990409381593308E-2</v>
      </c>
      <c r="R60" s="102">
        <v>0</v>
      </c>
      <c r="S60" s="102">
        <v>9.203869554654176E-2</v>
      </c>
      <c r="T60" s="102">
        <v>9.9315124933207266E-2</v>
      </c>
      <c r="U60" s="102">
        <v>0</v>
      </c>
      <c r="V60" s="102">
        <v>5.7639369991483447E-3</v>
      </c>
      <c r="W60" s="102">
        <v>0.26149461625857018</v>
      </c>
      <c r="DA60" s="175" t="s">
        <v>239</v>
      </c>
    </row>
    <row r="61" spans="1:105" ht="11.45" customHeight="1" x14ac:dyDescent="0.25">
      <c r="A61" s="85" t="s">
        <v>174</v>
      </c>
      <c r="B61" s="86">
        <v>2.6615831517518562E-2</v>
      </c>
      <c r="C61" s="86">
        <v>0</v>
      </c>
      <c r="D61" s="86">
        <v>0</v>
      </c>
      <c r="E61" s="86">
        <v>0</v>
      </c>
      <c r="F61" s="86">
        <v>0</v>
      </c>
      <c r="G61" s="86">
        <v>0</v>
      </c>
      <c r="H61" s="86">
        <v>0.53874263345780693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0.16451895319645132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66.888017763644839</v>
      </c>
      <c r="C66" s="14">
        <f t="shared" si="48"/>
        <v>67.698100545618999</v>
      </c>
      <c r="D66" s="14">
        <f t="shared" ref="D66:V66" si="49">IF(D34=0,0,D34/D24)</f>
        <v>67.879966466061859</v>
      </c>
      <c r="E66" s="14">
        <f t="shared" si="49"/>
        <v>65.560567479083304</v>
      </c>
      <c r="F66" s="14">
        <f t="shared" si="49"/>
        <v>65.811336544742005</v>
      </c>
      <c r="G66" s="14">
        <f t="shared" si="49"/>
        <v>72.886423357664228</v>
      </c>
      <c r="H66" s="14">
        <f t="shared" si="49"/>
        <v>75.927020014153257</v>
      </c>
      <c r="I66" s="14">
        <f t="shared" si="49"/>
        <v>80.232946550936504</v>
      </c>
      <c r="J66" s="14">
        <f t="shared" si="49"/>
        <v>81.893452973138437</v>
      </c>
      <c r="K66" s="14">
        <f t="shared" si="49"/>
        <v>83.178067208167064</v>
      </c>
      <c r="L66" s="14">
        <f t="shared" si="49"/>
        <v>87.760211590555215</v>
      </c>
      <c r="M66" s="14">
        <f t="shared" si="49"/>
        <v>91.062498726387219</v>
      </c>
      <c r="N66" s="14">
        <f t="shared" si="49"/>
        <v>112.14510932713637</v>
      </c>
      <c r="O66" s="14">
        <f t="shared" si="49"/>
        <v>118.53306959380397</v>
      </c>
      <c r="P66" s="14">
        <f t="shared" si="49"/>
        <v>121.87650030741266</v>
      </c>
      <c r="Q66" s="14">
        <f t="shared" si="49"/>
        <v>128.67028280712256</v>
      </c>
      <c r="R66" s="14">
        <f t="shared" si="49"/>
        <v>136.70436898829527</v>
      </c>
      <c r="S66" s="14">
        <f t="shared" si="49"/>
        <v>144.94238550275483</v>
      </c>
      <c r="T66" s="14">
        <f t="shared" si="49"/>
        <v>145.97448171952777</v>
      </c>
      <c r="U66" s="14">
        <f t="shared" si="49"/>
        <v>148.84073051603312</v>
      </c>
      <c r="V66" s="14">
        <f t="shared" si="49"/>
        <v>110.45627625334133</v>
      </c>
      <c r="W66" s="14">
        <f t="shared" ref="W66" si="50">IF(W34=0,0,W34/W24)</f>
        <v>120.26154403019804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63.311478387213945</v>
      </c>
      <c r="C68" s="87">
        <f t="shared" si="48"/>
        <v>64.287106127972166</v>
      </c>
      <c r="D68" s="87">
        <f t="shared" ref="D68:V68" si="53">IF(D36=0,0,D36/D26)</f>
        <v>66.660517761328478</v>
      </c>
      <c r="E68" s="87">
        <f t="shared" si="53"/>
        <v>63.875615290626634</v>
      </c>
      <c r="F68" s="87">
        <f t="shared" si="53"/>
        <v>63.647793263646925</v>
      </c>
      <c r="G68" s="87">
        <f t="shared" si="53"/>
        <v>71.299730054669595</v>
      </c>
      <c r="H68" s="87">
        <f t="shared" si="53"/>
        <v>75.281158499216929</v>
      </c>
      <c r="I68" s="87">
        <f t="shared" si="53"/>
        <v>80.21194120250658</v>
      </c>
      <c r="J68" s="87">
        <f t="shared" si="53"/>
        <v>82.270248991241019</v>
      </c>
      <c r="K68" s="87">
        <f t="shared" si="53"/>
        <v>83.764374644831321</v>
      </c>
      <c r="L68" s="87">
        <f t="shared" si="53"/>
        <v>88.722632158590315</v>
      </c>
      <c r="M68" s="87">
        <f t="shared" si="53"/>
        <v>92.992936401254582</v>
      </c>
      <c r="N68" s="87">
        <f t="shared" si="53"/>
        <v>114.14210493519441</v>
      </c>
      <c r="O68" s="87">
        <f t="shared" si="53"/>
        <v>118.66151312472692</v>
      </c>
      <c r="P68" s="87">
        <f t="shared" si="53"/>
        <v>123.50804280522277</v>
      </c>
      <c r="Q68" s="87">
        <f t="shared" si="53"/>
        <v>130.71541067955073</v>
      </c>
      <c r="R68" s="87">
        <f t="shared" si="53"/>
        <v>138.06319021861617</v>
      </c>
      <c r="S68" s="87">
        <f t="shared" si="53"/>
        <v>146.00064107700936</v>
      </c>
      <c r="T68" s="87">
        <f t="shared" si="53"/>
        <v>146.60108036110699</v>
      </c>
      <c r="U68" s="87">
        <f t="shared" si="53"/>
        <v>148.73748826129778</v>
      </c>
      <c r="V68" s="87">
        <f t="shared" si="53"/>
        <v>109.25408019343139</v>
      </c>
      <c r="W68" s="87">
        <f t="shared" ref="W68" si="54">IF(W36=0,0,W36/W26)</f>
        <v>119.5541658394547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77.890602301933171</v>
      </c>
      <c r="C69" s="87">
        <f t="shared" si="48"/>
        <v>78.191127497621309</v>
      </c>
      <c r="D69" s="87">
        <f t="shared" ref="D69:V69" si="55">IF(D37=0,0,D37/D27)</f>
        <v>71.838291380625478</v>
      </c>
      <c r="E69" s="87">
        <f t="shared" si="55"/>
        <v>70.465095010669643</v>
      </c>
      <c r="F69" s="87">
        <f t="shared" si="55"/>
        <v>73.190133237306441</v>
      </c>
      <c r="G69" s="87">
        <f t="shared" si="55"/>
        <v>79.413082019221804</v>
      </c>
      <c r="H69" s="87">
        <f t="shared" si="55"/>
        <v>78.501176044870633</v>
      </c>
      <c r="I69" s="87">
        <f t="shared" si="55"/>
        <v>80.309374470249196</v>
      </c>
      <c r="J69" s="87">
        <f t="shared" si="55"/>
        <v>80.57596352374398</v>
      </c>
      <c r="K69" s="87">
        <f t="shared" si="55"/>
        <v>81.047770999530741</v>
      </c>
      <c r="L69" s="87">
        <f t="shared" si="55"/>
        <v>84.451008236296502</v>
      </c>
      <c r="M69" s="87">
        <f t="shared" si="55"/>
        <v>84.483021918792673</v>
      </c>
      <c r="N69" s="87">
        <f t="shared" si="55"/>
        <v>101.04054054054055</v>
      </c>
      <c r="O69" s="87">
        <f t="shared" si="55"/>
        <v>117.91076371926397</v>
      </c>
      <c r="P69" s="87">
        <f t="shared" si="55"/>
        <v>115.57428831405174</v>
      </c>
      <c r="Q69" s="87">
        <f t="shared" si="55"/>
        <v>120.74392023346303</v>
      </c>
      <c r="R69" s="87">
        <f t="shared" si="55"/>
        <v>130.39861419793436</v>
      </c>
      <c r="S69" s="87">
        <f t="shared" si="55"/>
        <v>140.5535615376094</v>
      </c>
      <c r="T69" s="87">
        <f t="shared" si="55"/>
        <v>143.8381128584644</v>
      </c>
      <c r="U69" s="87">
        <f t="shared" si="55"/>
        <v>149.19153241497392</v>
      </c>
      <c r="V69" s="87">
        <f t="shared" si="55"/>
        <v>115.65659500290529</v>
      </c>
      <c r="W69" s="87">
        <f t="shared" ref="W69" si="56">IF(W37=0,0,W37/W27)</f>
        <v>122.78973509933775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25.155541996905729</v>
      </c>
      <c r="C70" s="15">
        <f t="shared" si="48"/>
        <v>24.436816005964879</v>
      </c>
      <c r="D70" s="15">
        <f t="shared" ref="D70:V70" si="57">IF(D38=0,0,D38/D28)</f>
        <v>19.867376441222369</v>
      </c>
      <c r="E70" s="15">
        <f t="shared" si="57"/>
        <v>20.97323743347032</v>
      </c>
      <c r="F70" s="15">
        <f t="shared" si="57"/>
        <v>18.930688965612866</v>
      </c>
      <c r="G70" s="15">
        <f t="shared" si="57"/>
        <v>17.565821461705262</v>
      </c>
      <c r="H70" s="15">
        <f t="shared" si="57"/>
        <v>24.876024674569528</v>
      </c>
      <c r="I70" s="15">
        <f t="shared" si="57"/>
        <v>18.391276225168646</v>
      </c>
      <c r="J70" s="15">
        <f t="shared" si="57"/>
        <v>20.137236403040752</v>
      </c>
      <c r="K70" s="15">
        <f t="shared" si="57"/>
        <v>20.669207470788731</v>
      </c>
      <c r="L70" s="15">
        <f t="shared" si="57"/>
        <v>22.442214280208706</v>
      </c>
      <c r="M70" s="15">
        <f t="shared" si="57"/>
        <v>19.65261367388042</v>
      </c>
      <c r="N70" s="15">
        <f t="shared" si="57"/>
        <v>20.657810938242623</v>
      </c>
      <c r="O70" s="15">
        <f t="shared" si="57"/>
        <v>21.852575043167572</v>
      </c>
      <c r="P70" s="15">
        <f t="shared" si="57"/>
        <v>22.841559882692184</v>
      </c>
      <c r="Q70" s="15">
        <f t="shared" si="57"/>
        <v>23.029659280042338</v>
      </c>
      <c r="R70" s="15">
        <f t="shared" si="57"/>
        <v>28.421209248074188</v>
      </c>
      <c r="S70" s="15">
        <f t="shared" si="57"/>
        <v>28.223380058399822</v>
      </c>
      <c r="T70" s="15">
        <f t="shared" si="57"/>
        <v>29.387026976242911</v>
      </c>
      <c r="U70" s="15">
        <f t="shared" si="57"/>
        <v>31.673926468715152</v>
      </c>
      <c r="V70" s="15">
        <f t="shared" si="57"/>
        <v>24.229439373137978</v>
      </c>
      <c r="W70" s="15">
        <f t="shared" ref="W70" si="58">IF(W38=0,0,W38/W28)</f>
        <v>26.028226703169402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15.181021974099195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13.656624949191123</v>
      </c>
      <c r="K72" s="41">
        <f t="shared" si="61"/>
        <v>13.626760295117139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18.197753010022378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52.887918691003662</v>
      </c>
      <c r="E73" s="40">
        <f t="shared" si="63"/>
        <v>48.721001039602882</v>
      </c>
      <c r="F73" s="40">
        <f t="shared" si="63"/>
        <v>48.059427623595752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1127.3935507781468</v>
      </c>
      <c r="C75" s="62">
        <f t="shared" si="65"/>
        <v>1125.9980222999966</v>
      </c>
      <c r="D75" s="62">
        <f t="shared" ref="D75:V75" si="66">IF(D13=0,0,D13*1000000/D23)</f>
        <v>1112.3476564822813</v>
      </c>
      <c r="E75" s="62">
        <f t="shared" si="66"/>
        <v>1123.8211643918739</v>
      </c>
      <c r="F75" s="62">
        <f t="shared" si="66"/>
        <v>1121.5767476456144</v>
      </c>
      <c r="G75" s="62">
        <f t="shared" si="66"/>
        <v>1154.2126251700038</v>
      </c>
      <c r="H75" s="62">
        <f t="shared" si="66"/>
        <v>1171.4102590520274</v>
      </c>
      <c r="I75" s="62">
        <f t="shared" si="66"/>
        <v>1205.8291006540089</v>
      </c>
      <c r="J75" s="62">
        <f t="shared" si="66"/>
        <v>1201.4050365209382</v>
      </c>
      <c r="K75" s="62">
        <f t="shared" si="66"/>
        <v>1151.3314143419882</v>
      </c>
      <c r="L75" s="62">
        <f t="shared" si="66"/>
        <v>1162.3712848127359</v>
      </c>
      <c r="M75" s="62">
        <f t="shared" si="66"/>
        <v>1156.3446331831467</v>
      </c>
      <c r="N75" s="62">
        <f t="shared" si="66"/>
        <v>1164.817755936419</v>
      </c>
      <c r="O75" s="62">
        <f t="shared" si="66"/>
        <v>1178.2935397942831</v>
      </c>
      <c r="P75" s="62">
        <f t="shared" si="66"/>
        <v>1214.8848405721144</v>
      </c>
      <c r="Q75" s="62">
        <f t="shared" si="66"/>
        <v>1263.2215419085157</v>
      </c>
      <c r="R75" s="62">
        <f t="shared" si="66"/>
        <v>1298.1379041818006</v>
      </c>
      <c r="S75" s="62">
        <f t="shared" si="66"/>
        <v>1317.2851013646566</v>
      </c>
      <c r="T75" s="62">
        <f t="shared" si="66"/>
        <v>1396.1727319078732</v>
      </c>
      <c r="U75" s="62">
        <f t="shared" si="66"/>
        <v>1419.1838858544838</v>
      </c>
      <c r="V75" s="62">
        <f t="shared" si="66"/>
        <v>1336.2826397755844</v>
      </c>
      <c r="W75" s="62">
        <f t="shared" ref="W75" si="67">IF(W13=0,0,W13*1000000/W23)</f>
        <v>1376.1787007397288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1135.1640755271535</v>
      </c>
      <c r="C76" s="14">
        <f t="shared" si="65"/>
        <v>1135.1686539921952</v>
      </c>
      <c r="D76" s="14">
        <f t="shared" ref="D76:V76" si="68">IF(D14=0,0,D14*1000000/D24)</f>
        <v>1122.6916582952576</v>
      </c>
      <c r="E76" s="14">
        <f t="shared" si="68"/>
        <v>1132.478686942314</v>
      </c>
      <c r="F76" s="14">
        <f t="shared" si="68"/>
        <v>1129.2052909702775</v>
      </c>
      <c r="G76" s="14">
        <f t="shared" si="68"/>
        <v>1163.4298194171045</v>
      </c>
      <c r="H76" s="14">
        <f t="shared" si="68"/>
        <v>1179.5984710640441</v>
      </c>
      <c r="I76" s="14">
        <f t="shared" si="68"/>
        <v>1216.4624839057838</v>
      </c>
      <c r="J76" s="14">
        <f t="shared" si="68"/>
        <v>1209.8523954381221</v>
      </c>
      <c r="K76" s="14">
        <f t="shared" si="68"/>
        <v>1158.7797009213602</v>
      </c>
      <c r="L76" s="14">
        <f t="shared" si="68"/>
        <v>1171.2171596748308</v>
      </c>
      <c r="M76" s="14">
        <f t="shared" si="68"/>
        <v>1169.8960279005096</v>
      </c>
      <c r="N76" s="14">
        <f t="shared" si="68"/>
        <v>1181.4368152944701</v>
      </c>
      <c r="O76" s="14">
        <f t="shared" si="68"/>
        <v>1196.8951768477364</v>
      </c>
      <c r="P76" s="14">
        <f t="shared" si="68"/>
        <v>1232.1819073872744</v>
      </c>
      <c r="Q76" s="14">
        <f t="shared" si="68"/>
        <v>1281.2837650697129</v>
      </c>
      <c r="R76" s="14">
        <f t="shared" si="68"/>
        <v>1315.2456365943883</v>
      </c>
      <c r="S76" s="14">
        <f t="shared" si="68"/>
        <v>1335.4226013323698</v>
      </c>
      <c r="T76" s="14">
        <f t="shared" si="68"/>
        <v>1415.184897139065</v>
      </c>
      <c r="U76" s="14">
        <f t="shared" si="68"/>
        <v>1433.8462917168231</v>
      </c>
      <c r="V76" s="14">
        <f t="shared" si="68"/>
        <v>1380.1919813047678</v>
      </c>
      <c r="W76" s="14">
        <f t="shared" ref="W76" si="69">IF(W14=0,0,W14*1000000/W24)</f>
        <v>1426.4873141511587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965.83820485680792</v>
      </c>
      <c r="C78" s="39">
        <f t="shared" si="65"/>
        <v>965.83962273693714</v>
      </c>
      <c r="D78" s="39">
        <f t="shared" ref="D78:V78" si="72">IF(D16=0,0,D16*1000000/D26)</f>
        <v>958.37435551459896</v>
      </c>
      <c r="E78" s="39">
        <f t="shared" si="72"/>
        <v>952.60046602186264</v>
      </c>
      <c r="F78" s="39">
        <f t="shared" si="72"/>
        <v>974.72434344499743</v>
      </c>
      <c r="G78" s="39">
        <f t="shared" si="72"/>
        <v>1040.3029326388096</v>
      </c>
      <c r="H78" s="39">
        <f t="shared" si="72"/>
        <v>1031.8141306067496</v>
      </c>
      <c r="I78" s="39">
        <f t="shared" si="72"/>
        <v>1036.9297639798658</v>
      </c>
      <c r="J78" s="39">
        <f t="shared" si="72"/>
        <v>1061.3619620788093</v>
      </c>
      <c r="K78" s="39">
        <f t="shared" si="72"/>
        <v>1053.5734976058811</v>
      </c>
      <c r="L78" s="39">
        <f t="shared" si="72"/>
        <v>1065.6203088610962</v>
      </c>
      <c r="M78" s="39">
        <f t="shared" si="72"/>
        <v>1055.7869131804671</v>
      </c>
      <c r="N78" s="39">
        <f t="shared" si="72"/>
        <v>1096.755248273812</v>
      </c>
      <c r="O78" s="39">
        <f t="shared" si="72"/>
        <v>1096.3144517665021</v>
      </c>
      <c r="P78" s="39">
        <f t="shared" si="72"/>
        <v>1110.1487230139487</v>
      </c>
      <c r="Q78" s="39">
        <f t="shared" si="72"/>
        <v>1138.4560535908706</v>
      </c>
      <c r="R78" s="39">
        <f t="shared" si="72"/>
        <v>1166.3902567763907</v>
      </c>
      <c r="S78" s="39">
        <f t="shared" si="72"/>
        <v>1172.3604471607393</v>
      </c>
      <c r="T78" s="39">
        <f t="shared" si="72"/>
        <v>1188.3640628577512</v>
      </c>
      <c r="U78" s="39">
        <f t="shared" si="72"/>
        <v>1192.6799714109241</v>
      </c>
      <c r="V78" s="39">
        <f t="shared" si="72"/>
        <v>1183.8788282266294</v>
      </c>
      <c r="W78" s="39">
        <f t="shared" ref="W78" si="73">IF(W16=0,0,W16*1000000/W26)</f>
        <v>1191.8916766388288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1656.0648710970067</v>
      </c>
      <c r="C79" s="39">
        <f t="shared" si="65"/>
        <v>1656.0648710970067</v>
      </c>
      <c r="D79" s="39">
        <f t="shared" ref="D79:V79" si="74">IF(D17=0,0,D17*1000000/D27)</f>
        <v>1656.0648710970067</v>
      </c>
      <c r="E79" s="39">
        <f t="shared" si="74"/>
        <v>1656.0648710970067</v>
      </c>
      <c r="F79" s="39">
        <f t="shared" si="74"/>
        <v>1656.0648710970067</v>
      </c>
      <c r="G79" s="39">
        <f t="shared" si="74"/>
        <v>1669.8964191976002</v>
      </c>
      <c r="H79" s="39">
        <f t="shared" si="74"/>
        <v>1768.6101127798972</v>
      </c>
      <c r="I79" s="39">
        <f t="shared" si="74"/>
        <v>1869.691935360258</v>
      </c>
      <c r="J79" s="39">
        <f t="shared" si="74"/>
        <v>1729.0579334160914</v>
      </c>
      <c r="K79" s="39">
        <f t="shared" si="74"/>
        <v>1541.0371345352</v>
      </c>
      <c r="L79" s="39">
        <f t="shared" si="74"/>
        <v>1534.3031789453826</v>
      </c>
      <c r="M79" s="39">
        <f t="shared" si="74"/>
        <v>1558.812118593389</v>
      </c>
      <c r="N79" s="39">
        <f t="shared" si="74"/>
        <v>1652.3203175631888</v>
      </c>
      <c r="O79" s="39">
        <f t="shared" si="74"/>
        <v>1684.2064149753978</v>
      </c>
      <c r="P79" s="39">
        <f t="shared" si="74"/>
        <v>1703.5634369385216</v>
      </c>
      <c r="Q79" s="39">
        <f t="shared" si="74"/>
        <v>1834.845350147122</v>
      </c>
      <c r="R79" s="39">
        <f t="shared" si="74"/>
        <v>2006.0248968924195</v>
      </c>
      <c r="S79" s="39">
        <f t="shared" si="74"/>
        <v>2011.6780423120233</v>
      </c>
      <c r="T79" s="39">
        <f t="shared" si="74"/>
        <v>2188.5235787834213</v>
      </c>
      <c r="U79" s="39">
        <f t="shared" si="74"/>
        <v>2253.2937489691576</v>
      </c>
      <c r="V79" s="39">
        <f t="shared" si="74"/>
        <v>2229.3803997185983</v>
      </c>
      <c r="W79" s="39">
        <f t="shared" ref="W79" si="75">IF(W17=0,0,W17*1000000/W27)</f>
        <v>2264.9392248533377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829.95286628809868</v>
      </c>
      <c r="C80" s="15">
        <f t="shared" si="65"/>
        <v>819.05948715671684</v>
      </c>
      <c r="D80" s="15">
        <f t="shared" ref="D80:V80" si="76">IF(D18=0,0,D18*1000000/D28)</f>
        <v>816.56057039358893</v>
      </c>
      <c r="E80" s="15">
        <f t="shared" si="76"/>
        <v>823.91710239706299</v>
      </c>
      <c r="F80" s="15">
        <f t="shared" si="76"/>
        <v>792.8717392358576</v>
      </c>
      <c r="G80" s="15">
        <f t="shared" si="76"/>
        <v>808.48898058334123</v>
      </c>
      <c r="H80" s="15">
        <f t="shared" si="76"/>
        <v>897.75316251215247</v>
      </c>
      <c r="I80" s="15">
        <f t="shared" si="76"/>
        <v>804.78713066547073</v>
      </c>
      <c r="J80" s="15">
        <f t="shared" si="76"/>
        <v>824.67589327574342</v>
      </c>
      <c r="K80" s="15">
        <f t="shared" si="76"/>
        <v>804.7579363617665</v>
      </c>
      <c r="L80" s="15">
        <f t="shared" si="76"/>
        <v>800.1694060707307</v>
      </c>
      <c r="M80" s="15">
        <f t="shared" si="76"/>
        <v>683.70242069903134</v>
      </c>
      <c r="N80" s="15">
        <f t="shared" si="76"/>
        <v>680.7173407282105</v>
      </c>
      <c r="O80" s="15">
        <f t="shared" si="76"/>
        <v>679.27473531247756</v>
      </c>
      <c r="P80" s="15">
        <f t="shared" si="76"/>
        <v>669.75765229214812</v>
      </c>
      <c r="Q80" s="15">
        <f t="shared" si="76"/>
        <v>701.34487447819765</v>
      </c>
      <c r="R80" s="15">
        <f t="shared" si="76"/>
        <v>731.66582824850241</v>
      </c>
      <c r="S80" s="15">
        <f t="shared" si="76"/>
        <v>730.41825004165582</v>
      </c>
      <c r="T80" s="15">
        <f t="shared" si="76"/>
        <v>765.24560559958434</v>
      </c>
      <c r="U80" s="15">
        <f t="shared" si="76"/>
        <v>833.64096679507838</v>
      </c>
      <c r="V80" s="15">
        <f t="shared" si="76"/>
        <v>793.16378716326335</v>
      </c>
      <c r="W80" s="15">
        <f t="shared" ref="W80" si="77">IF(W18=0,0,W18*1000000/W28)</f>
        <v>854.78627053413436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748.77138069293937</v>
      </c>
      <c r="C82" s="41">
        <f t="shared" si="65"/>
        <v>748.88268378979899</v>
      </c>
      <c r="D82" s="41">
        <f t="shared" ref="D82:V82" si="80">IF(D20=0,0,D20*1000000/D30)</f>
        <v>789.02654632725614</v>
      </c>
      <c r="E82" s="41">
        <f t="shared" si="80"/>
        <v>790.01079199332526</v>
      </c>
      <c r="F82" s="41">
        <f t="shared" si="80"/>
        <v>765.15360343091584</v>
      </c>
      <c r="G82" s="41">
        <f t="shared" si="80"/>
        <v>783.74874816625208</v>
      </c>
      <c r="H82" s="41">
        <f t="shared" si="80"/>
        <v>717.85860437122665</v>
      </c>
      <c r="I82" s="41">
        <f t="shared" si="80"/>
        <v>704.73159477872821</v>
      </c>
      <c r="J82" s="41">
        <f t="shared" si="80"/>
        <v>702.51408949268114</v>
      </c>
      <c r="K82" s="41">
        <f t="shared" si="80"/>
        <v>720.88299253693697</v>
      </c>
      <c r="L82" s="41">
        <f t="shared" si="80"/>
        <v>694.81967470433824</v>
      </c>
      <c r="M82" s="41">
        <f t="shared" si="80"/>
        <v>654.21451755152361</v>
      </c>
      <c r="N82" s="41">
        <f t="shared" si="80"/>
        <v>673.88293879167543</v>
      </c>
      <c r="O82" s="41">
        <f t="shared" si="80"/>
        <v>674.86099169294084</v>
      </c>
      <c r="P82" s="41">
        <f t="shared" si="80"/>
        <v>670.20497513625162</v>
      </c>
      <c r="Q82" s="41">
        <f t="shared" si="80"/>
        <v>697.80189703045687</v>
      </c>
      <c r="R82" s="41">
        <f t="shared" si="80"/>
        <v>712.66364029236195</v>
      </c>
      <c r="S82" s="41">
        <f t="shared" si="80"/>
        <v>720.09816333115066</v>
      </c>
      <c r="T82" s="41">
        <f t="shared" si="80"/>
        <v>734.76094399874432</v>
      </c>
      <c r="U82" s="41">
        <f t="shared" si="80"/>
        <v>749.48401506378661</v>
      </c>
      <c r="V82" s="41">
        <f t="shared" si="80"/>
        <v>711.79411517080064</v>
      </c>
      <c r="W82" s="41">
        <f t="shared" ref="W82" si="81">IF(W20=0,0,W20*1000000/W30)</f>
        <v>765.80376366481653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1071.129529743718</v>
      </c>
      <c r="C83" s="40">
        <f t="shared" si="65"/>
        <v>1071.129529743718</v>
      </c>
      <c r="D83" s="40">
        <f t="shared" ref="D83:V83" si="82">IF(D21=0,0,D21*1000000/D31)</f>
        <v>1071.129529743718</v>
      </c>
      <c r="E83" s="40">
        <f t="shared" si="82"/>
        <v>1071.129529743718</v>
      </c>
      <c r="F83" s="40">
        <f t="shared" si="82"/>
        <v>1071.129529743718</v>
      </c>
      <c r="G83" s="40">
        <f t="shared" si="82"/>
        <v>1084.9610778443114</v>
      </c>
      <c r="H83" s="40">
        <f t="shared" si="82"/>
        <v>1232.8692404378701</v>
      </c>
      <c r="I83" s="40">
        <f t="shared" si="82"/>
        <v>1383.1455320294915</v>
      </c>
      <c r="J83" s="40">
        <f t="shared" si="82"/>
        <v>1291.7059990965868</v>
      </c>
      <c r="K83" s="40">
        <f t="shared" si="82"/>
        <v>1152.8796692269575</v>
      </c>
      <c r="L83" s="40">
        <f t="shared" si="82"/>
        <v>1195.3401826484019</v>
      </c>
      <c r="M83" s="40">
        <f t="shared" si="82"/>
        <v>934.54884004168252</v>
      </c>
      <c r="N83" s="40">
        <f t="shared" si="82"/>
        <v>742.75675675675677</v>
      </c>
      <c r="O83" s="40">
        <f t="shared" si="82"/>
        <v>710.43682881908637</v>
      </c>
      <c r="P83" s="40">
        <f t="shared" si="82"/>
        <v>665.58782543233065</v>
      </c>
      <c r="Q83" s="40">
        <f t="shared" si="82"/>
        <v>732.66371329105152</v>
      </c>
      <c r="R83" s="40">
        <f t="shared" si="82"/>
        <v>839.63723468646958</v>
      </c>
      <c r="S83" s="40">
        <f t="shared" si="82"/>
        <v>781.08435475619365</v>
      </c>
      <c r="T83" s="40">
        <f t="shared" si="82"/>
        <v>893.72386587771211</v>
      </c>
      <c r="U83" s="40">
        <f t="shared" si="82"/>
        <v>1132.3846153846155</v>
      </c>
      <c r="V83" s="40">
        <f t="shared" si="82"/>
        <v>1108.4712661340568</v>
      </c>
      <c r="W83" s="40">
        <f t="shared" ref="W83" si="83">IF(W21=0,0,W21*1000000/W31)</f>
        <v>1144.0300912687962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103768.48461810134</v>
      </c>
      <c r="C86" s="11">
        <f t="shared" si="84"/>
        <v>105138.24700752256</v>
      </c>
      <c r="D86" s="11">
        <f t="shared" ref="D86:V86" si="85">IF(D4=0,0,D4*1000000/D24)</f>
        <v>102589.43216943555</v>
      </c>
      <c r="E86" s="11">
        <f t="shared" si="85"/>
        <v>99235.956616329931</v>
      </c>
      <c r="F86" s="11">
        <f t="shared" si="85"/>
        <v>97239.837323930769</v>
      </c>
      <c r="G86" s="11">
        <f t="shared" si="85"/>
        <v>108120.65041858207</v>
      </c>
      <c r="H86" s="11">
        <f t="shared" si="85"/>
        <v>111048.5119867732</v>
      </c>
      <c r="I86" s="11">
        <f t="shared" si="85"/>
        <v>116941.20846953853</v>
      </c>
      <c r="J86" s="11">
        <f t="shared" si="85"/>
        <v>115449.25660452859</v>
      </c>
      <c r="K86" s="11">
        <f t="shared" si="85"/>
        <v>111495.84966437481</v>
      </c>
      <c r="L86" s="11">
        <f t="shared" si="85"/>
        <v>118297.54577438559</v>
      </c>
      <c r="M86" s="11">
        <f t="shared" si="85"/>
        <v>121034.16676957125</v>
      </c>
      <c r="N86" s="11">
        <f t="shared" si="85"/>
        <v>142085.66703831736</v>
      </c>
      <c r="O86" s="11">
        <f t="shared" si="85"/>
        <v>149638.39107796838</v>
      </c>
      <c r="P86" s="11">
        <f t="shared" si="85"/>
        <v>158907.2804560737</v>
      </c>
      <c r="Q86" s="11">
        <f t="shared" si="85"/>
        <v>174144.26328060636</v>
      </c>
      <c r="R86" s="11">
        <f t="shared" si="85"/>
        <v>190691.83797645904</v>
      </c>
      <c r="S86" s="11">
        <f t="shared" si="85"/>
        <v>203222.12388366458</v>
      </c>
      <c r="T86" s="11">
        <f t="shared" si="85"/>
        <v>217482.09461809119</v>
      </c>
      <c r="U86" s="11">
        <f t="shared" si="85"/>
        <v>225771.31131229008</v>
      </c>
      <c r="V86" s="11">
        <f t="shared" si="85"/>
        <v>166118.03061358552</v>
      </c>
      <c r="W86" s="11">
        <f t="shared" ref="W86" si="86">IF(W4=0,0,W4*1000000/W24)</f>
        <v>181315.81611783768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82184.353220731864</v>
      </c>
      <c r="C88" s="36">
        <f t="shared" si="84"/>
        <v>83785.365566987835</v>
      </c>
      <c r="D88" s="36">
        <f t="shared" ref="D88:V88" si="89">IF(D6=0,0,D6*1000000/D26)</f>
        <v>85843.799763732241</v>
      </c>
      <c r="E88" s="36">
        <f t="shared" si="89"/>
        <v>80440.423442420331</v>
      </c>
      <c r="F88" s="36">
        <f t="shared" si="89"/>
        <v>78867.473759423345</v>
      </c>
      <c r="G88" s="36">
        <f t="shared" si="89"/>
        <v>91875.394929894901</v>
      </c>
      <c r="H88" s="36">
        <f t="shared" si="89"/>
        <v>92956.249570857806</v>
      </c>
      <c r="I88" s="36">
        <f t="shared" si="89"/>
        <v>94639.664403469404</v>
      </c>
      <c r="J88" s="36">
        <f t="shared" si="89"/>
        <v>95903.00028127055</v>
      </c>
      <c r="K88" s="36">
        <f t="shared" si="89"/>
        <v>96834.384206192481</v>
      </c>
      <c r="L88" s="36">
        <f t="shared" si="89"/>
        <v>102988.79598663196</v>
      </c>
      <c r="M88" s="36">
        <f t="shared" si="89"/>
        <v>107210.13721031307</v>
      </c>
      <c r="N88" s="36">
        <f t="shared" si="89"/>
        <v>134360.57499943403</v>
      </c>
      <c r="O88" s="36">
        <f t="shared" si="89"/>
        <v>138687.28643866585</v>
      </c>
      <c r="P88" s="36">
        <f t="shared" si="89"/>
        <v>144907.29008681525</v>
      </c>
      <c r="Q88" s="36">
        <f t="shared" si="89"/>
        <v>153423.91836802405</v>
      </c>
      <c r="R88" s="36">
        <f t="shared" si="89"/>
        <v>167525.0392649319</v>
      </c>
      <c r="S88" s="36">
        <f t="shared" si="89"/>
        <v>176623.41211090167</v>
      </c>
      <c r="T88" s="36">
        <f t="shared" si="89"/>
        <v>179012.63323299514</v>
      </c>
      <c r="U88" s="36">
        <f t="shared" si="89"/>
        <v>181483.32886162348</v>
      </c>
      <c r="V88" s="36">
        <f t="shared" si="89"/>
        <v>137974.34444192363</v>
      </c>
      <c r="W88" s="36">
        <f t="shared" ref="W88" si="90">IF(W6=0,0,W6*1000000/W26)</f>
        <v>146986.22884080836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170168.20943311782</v>
      </c>
      <c r="C89" s="36">
        <f t="shared" si="84"/>
        <v>170824.76918395335</v>
      </c>
      <c r="D89" s="36">
        <f t="shared" ref="D89:V89" si="91">IF(D7=0,0,D7*1000000/D27)</f>
        <v>156945.67831929855</v>
      </c>
      <c r="E89" s="36">
        <f t="shared" si="91"/>
        <v>153945.64544537582</v>
      </c>
      <c r="F89" s="36">
        <f t="shared" si="91"/>
        <v>159899.05782067176</v>
      </c>
      <c r="G89" s="36">
        <f t="shared" si="91"/>
        <v>174943.41777024727</v>
      </c>
      <c r="H89" s="36">
        <f t="shared" si="91"/>
        <v>183157.32375246749</v>
      </c>
      <c r="I89" s="36">
        <f t="shared" si="91"/>
        <v>198085.33307745086</v>
      </c>
      <c r="J89" s="36">
        <f t="shared" si="91"/>
        <v>183793.89201424128</v>
      </c>
      <c r="K89" s="36">
        <f t="shared" si="91"/>
        <v>164766.98751027533</v>
      </c>
      <c r="L89" s="36">
        <f t="shared" si="91"/>
        <v>170935.41307450982</v>
      </c>
      <c r="M89" s="36">
        <f t="shared" si="91"/>
        <v>168150.36381482944</v>
      </c>
      <c r="N89" s="36">
        <f t="shared" si="91"/>
        <v>185042.10398911417</v>
      </c>
      <c r="O89" s="36">
        <f t="shared" si="91"/>
        <v>202696.23448021049</v>
      </c>
      <c r="P89" s="36">
        <f t="shared" si="91"/>
        <v>212985.49621233056</v>
      </c>
      <c r="Q89" s="36">
        <f t="shared" si="91"/>
        <v>254450.71680001885</v>
      </c>
      <c r="R89" s="36">
        <f t="shared" si="91"/>
        <v>298199.83733119367</v>
      </c>
      <c r="S89" s="36">
        <f t="shared" si="91"/>
        <v>313532.9660944682</v>
      </c>
      <c r="T89" s="36">
        <f t="shared" si="91"/>
        <v>348642.5439894278</v>
      </c>
      <c r="U89" s="36">
        <f t="shared" si="91"/>
        <v>376255.31985876488</v>
      </c>
      <c r="V89" s="36">
        <f t="shared" si="91"/>
        <v>287858.6881992548</v>
      </c>
      <c r="W89" s="36">
        <f t="shared" ref="W89" si="92">IF(W7=0,0,W7*1000000/W27)</f>
        <v>304010.80035227252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37196.260470143818</v>
      </c>
      <c r="C90" s="13">
        <f t="shared" si="84"/>
        <v>36353.92325327079</v>
      </c>
      <c r="D90" s="13">
        <f t="shared" ref="D90:V90" si="93">IF(D8=0,0,D8*1000000/D28)</f>
        <v>26003.114539330931</v>
      </c>
      <c r="E90" s="13">
        <f t="shared" si="93"/>
        <v>27024.581267986516</v>
      </c>
      <c r="F90" s="13">
        <f t="shared" si="93"/>
        <v>23001.571265086513</v>
      </c>
      <c r="G90" s="13">
        <f t="shared" si="93"/>
        <v>22612.280173908992</v>
      </c>
      <c r="H90" s="13">
        <f t="shared" si="93"/>
        <v>38591.60801878167</v>
      </c>
      <c r="I90" s="13">
        <f t="shared" si="93"/>
        <v>25072.438272287971</v>
      </c>
      <c r="J90" s="13">
        <f t="shared" si="93"/>
        <v>27748.170000214803</v>
      </c>
      <c r="K90" s="13">
        <f t="shared" si="93"/>
        <v>27173.268999997919</v>
      </c>
      <c r="L90" s="13">
        <f t="shared" si="93"/>
        <v>29104.346870447709</v>
      </c>
      <c r="M90" s="13">
        <f t="shared" si="93"/>
        <v>18928.420645224669</v>
      </c>
      <c r="N90" s="13">
        <f t="shared" si="93"/>
        <v>18115.025123734293</v>
      </c>
      <c r="O90" s="13">
        <f t="shared" si="93"/>
        <v>18269.370177631947</v>
      </c>
      <c r="P90" s="13">
        <f t="shared" si="93"/>
        <v>20067.165571895297</v>
      </c>
      <c r="Q90" s="13">
        <f t="shared" si="93"/>
        <v>21605.947302099794</v>
      </c>
      <c r="R90" s="13">
        <f t="shared" si="93"/>
        <v>27896.547236422437</v>
      </c>
      <c r="S90" s="13">
        <f t="shared" si="93"/>
        <v>26601.163053331875</v>
      </c>
      <c r="T90" s="13">
        <f t="shared" si="93"/>
        <v>30551.331561176015</v>
      </c>
      <c r="U90" s="13">
        <f t="shared" si="93"/>
        <v>39342.169578418376</v>
      </c>
      <c r="V90" s="13">
        <f t="shared" si="93"/>
        <v>26396.025168962333</v>
      </c>
      <c r="W90" s="13">
        <f t="shared" ref="W90" si="94">IF(W8=0,0,W8*1000000/W28)</f>
        <v>28030.53656929707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18759.128073362699</v>
      </c>
      <c r="C92" s="34">
        <f t="shared" si="84"/>
        <v>19652.341013741319</v>
      </c>
      <c r="D92" s="34">
        <f t="shared" ref="D92:V92" si="97">IF(D10=0,0,D10*1000000/D30)</f>
        <v>18974.156797397125</v>
      </c>
      <c r="E92" s="34">
        <f t="shared" si="97"/>
        <v>19389.891031616648</v>
      </c>
      <c r="F92" s="34">
        <f t="shared" si="97"/>
        <v>17297.37167167955</v>
      </c>
      <c r="G92" s="34">
        <f t="shared" si="97"/>
        <v>17793.741225833142</v>
      </c>
      <c r="H92" s="34">
        <f t="shared" si="97"/>
        <v>14221.975318637036</v>
      </c>
      <c r="I92" s="34">
        <f t="shared" si="97"/>
        <v>13380.442889460317</v>
      </c>
      <c r="J92" s="34">
        <f t="shared" si="97"/>
        <v>12828.871114922415</v>
      </c>
      <c r="K92" s="34">
        <f t="shared" si="97"/>
        <v>13158.36719192897</v>
      </c>
      <c r="L92" s="34">
        <f t="shared" si="97"/>
        <v>12881.016545380455</v>
      </c>
      <c r="M92" s="34">
        <f t="shared" si="97"/>
        <v>12809.270461244843</v>
      </c>
      <c r="N92" s="34">
        <f t="shared" si="97"/>
        <v>14261.534007394066</v>
      </c>
      <c r="O92" s="34">
        <f t="shared" si="97"/>
        <v>14184.000362976491</v>
      </c>
      <c r="P92" s="34">
        <f t="shared" si="97"/>
        <v>16441.101638470482</v>
      </c>
      <c r="Q92" s="34">
        <f t="shared" si="97"/>
        <v>16942.08193659376</v>
      </c>
      <c r="R92" s="34">
        <f t="shared" si="97"/>
        <v>19128.140169816914</v>
      </c>
      <c r="S92" s="34">
        <f t="shared" si="97"/>
        <v>17772.645231691418</v>
      </c>
      <c r="T92" s="34">
        <f t="shared" si="97"/>
        <v>18497.280904792216</v>
      </c>
      <c r="U92" s="34">
        <f t="shared" si="97"/>
        <v>19824.26221630886</v>
      </c>
      <c r="V92" s="34">
        <f t="shared" si="97"/>
        <v>15562.046504250238</v>
      </c>
      <c r="W92" s="34">
        <f t="shared" ref="W92" si="98">IF(W10=0,0,W10*1000000/W30)</f>
        <v>15302.401718508469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91969.907965581035</v>
      </c>
      <c r="C93" s="35">
        <f t="shared" si="84"/>
        <v>96344.808337858718</v>
      </c>
      <c r="D93" s="35">
        <f t="shared" ref="D93:V93" si="99">IF(D11=0,0,D11*1000000/D31)</f>
        <v>90990.14489019262</v>
      </c>
      <c r="E93" s="35">
        <f t="shared" si="99"/>
        <v>82689.449633160868</v>
      </c>
      <c r="F93" s="35">
        <f t="shared" si="99"/>
        <v>80265.089513463274</v>
      </c>
      <c r="G93" s="35">
        <f t="shared" si="99"/>
        <v>76459.452918656592</v>
      </c>
      <c r="H93" s="35">
        <f t="shared" si="99"/>
        <v>83988.510600821945</v>
      </c>
      <c r="I93" s="35">
        <f t="shared" si="99"/>
        <v>92656.542424427273</v>
      </c>
      <c r="J93" s="35">
        <f t="shared" si="99"/>
        <v>84785.324997896401</v>
      </c>
      <c r="K93" s="35">
        <f t="shared" si="99"/>
        <v>85341.914853876326</v>
      </c>
      <c r="L93" s="35">
        <f t="shared" si="99"/>
        <v>89958.664770285031</v>
      </c>
      <c r="M93" s="35">
        <f t="shared" si="99"/>
        <v>70982.542818404414</v>
      </c>
      <c r="N93" s="35">
        <f t="shared" si="99"/>
        <v>53095.165412373099</v>
      </c>
      <c r="O93" s="35">
        <f t="shared" si="99"/>
        <v>47113.065495560833</v>
      </c>
      <c r="P93" s="35">
        <f t="shared" si="99"/>
        <v>53868.3876295597</v>
      </c>
      <c r="Q93" s="35">
        <f t="shared" si="99"/>
        <v>62833.093052145465</v>
      </c>
      <c r="R93" s="35">
        <f t="shared" si="99"/>
        <v>77719.085850775882</v>
      </c>
      <c r="S93" s="35">
        <f t="shared" si="99"/>
        <v>69944.462482208663</v>
      </c>
      <c r="T93" s="35">
        <f t="shared" si="99"/>
        <v>81353.386637750664</v>
      </c>
      <c r="U93" s="35">
        <f t="shared" si="99"/>
        <v>108627.60278667852</v>
      </c>
      <c r="V93" s="35">
        <f t="shared" si="99"/>
        <v>68377.692494721719</v>
      </c>
      <c r="W93" s="35">
        <f t="shared" ref="W93" si="100">IF(W11=0,0,W11*1000000/W31)</f>
        <v>69404.223202726062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1212.9046562536469</v>
      </c>
      <c r="C95" s="62">
        <f t="shared" si="101"/>
        <v>1212.8036621555821</v>
      </c>
      <c r="D95" s="62">
        <f t="shared" ref="D95:V95" si="102">IF(D23=0,0,D23/D43)</f>
        <v>1214.3661909256755</v>
      </c>
      <c r="E95" s="62">
        <f t="shared" si="102"/>
        <v>1204.4065369472821</v>
      </c>
      <c r="F95" s="62">
        <f t="shared" si="102"/>
        <v>1222.7131909019085</v>
      </c>
      <c r="G95" s="62">
        <f t="shared" si="102"/>
        <v>1220.1354682212143</v>
      </c>
      <c r="H95" s="62">
        <f t="shared" si="102"/>
        <v>1181.6635028380565</v>
      </c>
      <c r="I95" s="62">
        <f t="shared" si="102"/>
        <v>1143.8613160339173</v>
      </c>
      <c r="J95" s="62">
        <f t="shared" si="102"/>
        <v>1156.8830205974357</v>
      </c>
      <c r="K95" s="62">
        <f t="shared" si="102"/>
        <v>1157.0162910027625</v>
      </c>
      <c r="L95" s="62">
        <f t="shared" si="102"/>
        <v>1177.5802274605869</v>
      </c>
      <c r="M95" s="62">
        <f t="shared" si="102"/>
        <v>1193.2294788327442</v>
      </c>
      <c r="N95" s="62">
        <f t="shared" si="102"/>
        <v>988.2243294257861</v>
      </c>
      <c r="O95" s="62">
        <f t="shared" si="102"/>
        <v>1011.5381488782049</v>
      </c>
      <c r="P95" s="62">
        <f t="shared" si="102"/>
        <v>1122.8518903432416</v>
      </c>
      <c r="Q95" s="62">
        <f t="shared" si="102"/>
        <v>1149.5955987069046</v>
      </c>
      <c r="R95" s="62">
        <f t="shared" si="102"/>
        <v>1144.7543513580767</v>
      </c>
      <c r="S95" s="62">
        <f t="shared" si="102"/>
        <v>1131.216973382818</v>
      </c>
      <c r="T95" s="62">
        <f t="shared" si="102"/>
        <v>1083.9346207726803</v>
      </c>
      <c r="U95" s="62">
        <f t="shared" si="102"/>
        <v>1072.8626371635703</v>
      </c>
      <c r="V95" s="62">
        <f t="shared" si="102"/>
        <v>381.31204891450489</v>
      </c>
      <c r="W95" s="62">
        <f t="shared" ref="W95" si="103">IF(W23=0,0,W23/W43)</f>
        <v>421.1193242226467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1216.1239417897455</v>
      </c>
      <c r="C96" s="11">
        <f t="shared" si="104"/>
        <v>1216.1196715256081</v>
      </c>
      <c r="D96" s="11">
        <f t="shared" ref="D96:V96" si="105">IF(D24=0,0,D24/D44)</f>
        <v>1221.5904723815563</v>
      </c>
      <c r="E96" s="11">
        <f t="shared" si="105"/>
        <v>1208.7752749526305</v>
      </c>
      <c r="F96" s="11">
        <f t="shared" si="105"/>
        <v>1226.7818162402837</v>
      </c>
      <c r="G96" s="11">
        <f t="shared" si="105"/>
        <v>1223.1888312075405</v>
      </c>
      <c r="H96" s="11">
        <f t="shared" si="105"/>
        <v>1191.4809419315184</v>
      </c>
      <c r="I96" s="11">
        <f t="shared" si="105"/>
        <v>1155.5371433977755</v>
      </c>
      <c r="J96" s="11">
        <f t="shared" si="105"/>
        <v>1173.8310949994761</v>
      </c>
      <c r="K96" s="11">
        <f t="shared" si="105"/>
        <v>1175.2454704696352</v>
      </c>
      <c r="L96" s="11">
        <f t="shared" si="105"/>
        <v>1193.1638622984863</v>
      </c>
      <c r="M96" s="11">
        <f t="shared" si="105"/>
        <v>1205.52353068811</v>
      </c>
      <c r="N96" s="11">
        <f t="shared" si="105"/>
        <v>993.31902947575338</v>
      </c>
      <c r="O96" s="11">
        <f t="shared" si="105"/>
        <v>1015.2899089999545</v>
      </c>
      <c r="P96" s="11">
        <f t="shared" si="105"/>
        <v>1133.4048202031727</v>
      </c>
      <c r="Q96" s="11">
        <f t="shared" si="105"/>
        <v>1159.0860297292706</v>
      </c>
      <c r="R96" s="11">
        <f t="shared" si="105"/>
        <v>1151.0277255455528</v>
      </c>
      <c r="S96" s="11">
        <f t="shared" si="105"/>
        <v>1134.3597498731879</v>
      </c>
      <c r="T96" s="11">
        <f t="shared" si="105"/>
        <v>1083.3248215729877</v>
      </c>
      <c r="U96" s="11">
        <f t="shared" si="105"/>
        <v>1073.75757134798</v>
      </c>
      <c r="V96" s="11">
        <f t="shared" si="105"/>
        <v>362.08193381722913</v>
      </c>
      <c r="W96" s="11">
        <f t="shared" ref="W96" si="106">IF(W24=0,0,W24/W44)</f>
        <v>397.70150751316851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1429.9053182657867</v>
      </c>
      <c r="C98" s="36">
        <f t="shared" si="104"/>
        <v>1429.9043968522144</v>
      </c>
      <c r="D98" s="36">
        <f t="shared" ref="D98:V98" si="109">IF(D26=0,0,D26/D46)</f>
        <v>1426.6151156271558</v>
      </c>
      <c r="E98" s="36">
        <f t="shared" si="109"/>
        <v>1430.4681874135376</v>
      </c>
      <c r="F98" s="36">
        <f t="shared" si="109"/>
        <v>1424.1865587741731</v>
      </c>
      <c r="G98" s="36">
        <f t="shared" si="109"/>
        <v>1383.747292757902</v>
      </c>
      <c r="H98" s="36">
        <f t="shared" si="109"/>
        <v>1359.6970167177153</v>
      </c>
      <c r="I98" s="36">
        <f t="shared" si="109"/>
        <v>1340.7596107506479</v>
      </c>
      <c r="J98" s="36">
        <f t="shared" si="109"/>
        <v>1346.8498284464815</v>
      </c>
      <c r="K98" s="36">
        <f t="shared" si="109"/>
        <v>1347.4603383349222</v>
      </c>
      <c r="L98" s="36">
        <f t="shared" si="109"/>
        <v>1340.6660223877414</v>
      </c>
      <c r="M98" s="36">
        <f t="shared" si="109"/>
        <v>1362.9490218267838</v>
      </c>
      <c r="N98" s="36">
        <f t="shared" si="109"/>
        <v>1219.098914645476</v>
      </c>
      <c r="O98" s="36">
        <f t="shared" si="109"/>
        <v>1207.8657574947033</v>
      </c>
      <c r="P98" s="36">
        <f t="shared" si="109"/>
        <v>1272.1203928046298</v>
      </c>
      <c r="Q98" s="36">
        <f t="shared" si="109"/>
        <v>1326.0183882626059</v>
      </c>
      <c r="R98" s="36">
        <f t="shared" si="109"/>
        <v>1311.6105178352971</v>
      </c>
      <c r="S98" s="36">
        <f t="shared" si="109"/>
        <v>1307.6790918072595</v>
      </c>
      <c r="T98" s="36">
        <f t="shared" si="109"/>
        <v>1299.7697257127195</v>
      </c>
      <c r="U98" s="36">
        <f t="shared" si="109"/>
        <v>1297.5567328581008</v>
      </c>
      <c r="V98" s="36">
        <f t="shared" si="109"/>
        <v>460.05461501361458</v>
      </c>
      <c r="W98" s="36">
        <f t="shared" ref="W98" si="110">IF(W26=0,0,W26/W46)</f>
        <v>486.19669269091338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833</v>
      </c>
      <c r="C99" s="36">
        <f t="shared" si="104"/>
        <v>833</v>
      </c>
      <c r="D99" s="36">
        <f t="shared" ref="D99:V99" si="111">IF(D27=0,0,D27/D47)</f>
        <v>833</v>
      </c>
      <c r="E99" s="36">
        <f t="shared" si="111"/>
        <v>833</v>
      </c>
      <c r="F99" s="36">
        <f t="shared" si="111"/>
        <v>833</v>
      </c>
      <c r="G99" s="36">
        <f t="shared" si="111"/>
        <v>828</v>
      </c>
      <c r="H99" s="36">
        <f t="shared" si="111"/>
        <v>798</v>
      </c>
      <c r="I99" s="36">
        <f t="shared" si="111"/>
        <v>769</v>
      </c>
      <c r="J99" s="36">
        <f t="shared" si="111"/>
        <v>810</v>
      </c>
      <c r="K99" s="36">
        <f t="shared" si="111"/>
        <v>802.55748458654978</v>
      </c>
      <c r="L99" s="36">
        <f t="shared" si="111"/>
        <v>865.67791125868962</v>
      </c>
      <c r="M99" s="36">
        <f t="shared" si="111"/>
        <v>865</v>
      </c>
      <c r="N99" s="36">
        <f t="shared" si="111"/>
        <v>489.35763970905532</v>
      </c>
      <c r="O99" s="36">
        <f t="shared" si="111"/>
        <v>572.81468440715264</v>
      </c>
      <c r="P99" s="36">
        <f t="shared" si="111"/>
        <v>797.49669259478605</v>
      </c>
      <c r="Q99" s="36">
        <f t="shared" si="111"/>
        <v>779</v>
      </c>
      <c r="R99" s="36">
        <f t="shared" si="111"/>
        <v>734</v>
      </c>
      <c r="S99" s="36">
        <f t="shared" si="111"/>
        <v>732</v>
      </c>
      <c r="T99" s="36">
        <f t="shared" si="111"/>
        <v>691</v>
      </c>
      <c r="U99" s="36">
        <f t="shared" si="111"/>
        <v>677</v>
      </c>
      <c r="V99" s="36">
        <f t="shared" si="111"/>
        <v>188.46731125557548</v>
      </c>
      <c r="W99" s="36">
        <f t="shared" ref="W99" si="112">IF(W27=0,0,W27/W47)</f>
        <v>240.95413872554343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1101.3104975150845</v>
      </c>
      <c r="C100" s="13">
        <f t="shared" si="104"/>
        <v>1111.3768135728715</v>
      </c>
      <c r="D100" s="13">
        <f t="shared" ref="D100:V100" si="113">IF(D28=0,0,D28/D48)</f>
        <v>1038.7132887905634</v>
      </c>
      <c r="E100" s="13">
        <f t="shared" si="113"/>
        <v>1070.3947167331405</v>
      </c>
      <c r="F100" s="13">
        <f t="shared" si="113"/>
        <v>1069.8299669511043</v>
      </c>
      <c r="G100" s="13">
        <f t="shared" si="113"/>
        <v>1115.674778815227</v>
      </c>
      <c r="H100" s="13">
        <f t="shared" si="113"/>
        <v>926.52044394218603</v>
      </c>
      <c r="I100" s="13">
        <f t="shared" si="113"/>
        <v>828.23369193621375</v>
      </c>
      <c r="J100" s="13">
        <f t="shared" si="113"/>
        <v>703.74002275837677</v>
      </c>
      <c r="K100" s="13">
        <f t="shared" si="113"/>
        <v>672.00620878570714</v>
      </c>
      <c r="L100" s="13">
        <f t="shared" si="113"/>
        <v>767.26110203127655</v>
      </c>
      <c r="M100" s="13">
        <f t="shared" si="113"/>
        <v>880.16597804083187</v>
      </c>
      <c r="N100" s="13">
        <f t="shared" si="113"/>
        <v>859.77195016087819</v>
      </c>
      <c r="O100" s="13">
        <f t="shared" si="113"/>
        <v>920.30693892730812</v>
      </c>
      <c r="P100" s="13">
        <f t="shared" si="113"/>
        <v>868.11554699228748</v>
      </c>
      <c r="Q100" s="13">
        <f t="shared" si="113"/>
        <v>916.22668861937916</v>
      </c>
      <c r="R100" s="13">
        <f t="shared" si="113"/>
        <v>969.74576491661139</v>
      </c>
      <c r="S100" s="13">
        <f t="shared" si="113"/>
        <v>1038.1520924645911</v>
      </c>
      <c r="T100" s="13">
        <f t="shared" si="113"/>
        <v>1104.5678970268987</v>
      </c>
      <c r="U100" s="13">
        <f t="shared" si="113"/>
        <v>1038.303516793537</v>
      </c>
      <c r="V100" s="13">
        <f t="shared" si="113"/>
        <v>1111.440143893891</v>
      </c>
      <c r="W100" s="13">
        <f t="shared" ref="W100" si="114">IF(W28=0,0,W28/W48)</f>
        <v>1080.5003707870803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1180.6692082818481</v>
      </c>
      <c r="C102" s="34">
        <f t="shared" si="104"/>
        <v>1180.6144374698213</v>
      </c>
      <c r="D102" s="34">
        <f t="shared" ref="D102:V102" si="117">IF(D30=0,0,D30/D50)</f>
        <v>1161.186142180665</v>
      </c>
      <c r="E102" s="34">
        <f t="shared" si="117"/>
        <v>1153.0703067048912</v>
      </c>
      <c r="F102" s="34">
        <f t="shared" si="117"/>
        <v>1151.0660771292671</v>
      </c>
      <c r="G102" s="34">
        <f t="shared" si="117"/>
        <v>1145.0018226854891</v>
      </c>
      <c r="H102" s="34">
        <f t="shared" si="117"/>
        <v>965.98117287307434</v>
      </c>
      <c r="I102" s="34">
        <f t="shared" si="117"/>
        <v>1115.3436197896319</v>
      </c>
      <c r="J102" s="34">
        <f t="shared" si="117"/>
        <v>885.87070604152291</v>
      </c>
      <c r="K102" s="34">
        <f t="shared" si="117"/>
        <v>865.12517793719621</v>
      </c>
      <c r="L102" s="34">
        <f t="shared" si="117"/>
        <v>974.23576899082775</v>
      </c>
      <c r="M102" s="34">
        <f t="shared" si="117"/>
        <v>1187.4092706015708</v>
      </c>
      <c r="N102" s="34">
        <f t="shared" si="117"/>
        <v>1171.1147035098411</v>
      </c>
      <c r="O102" s="34">
        <f t="shared" si="117"/>
        <v>1210.8942079460503</v>
      </c>
      <c r="P102" s="34">
        <f t="shared" si="117"/>
        <v>1181.2798655490597</v>
      </c>
      <c r="Q102" s="34">
        <f t="shared" si="117"/>
        <v>1189.9359208932551</v>
      </c>
      <c r="R102" s="34">
        <f t="shared" si="117"/>
        <v>1183.6348607968159</v>
      </c>
      <c r="S102" s="34">
        <f t="shared" si="117"/>
        <v>1190.8336971823803</v>
      </c>
      <c r="T102" s="34">
        <f t="shared" si="117"/>
        <v>1187.730690678472</v>
      </c>
      <c r="U102" s="34">
        <f t="shared" si="117"/>
        <v>1086.9332413753075</v>
      </c>
      <c r="V102" s="34">
        <f t="shared" si="117"/>
        <v>1181.400124426975</v>
      </c>
      <c r="W102" s="34">
        <f t="shared" ref="W102" si="118">IF(W30=0,0,W30/W50)</f>
        <v>1156.1463258723172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918</v>
      </c>
      <c r="C103" s="35">
        <f t="shared" si="104"/>
        <v>918</v>
      </c>
      <c r="D103" s="35">
        <f t="shared" ref="D103:V103" si="119">IF(D31=0,0,D31/D51)</f>
        <v>525.88944723618101</v>
      </c>
      <c r="E103" s="35">
        <f t="shared" si="119"/>
        <v>702.92571428571443</v>
      </c>
      <c r="F103" s="35">
        <f t="shared" si="119"/>
        <v>626.18543046357638</v>
      </c>
      <c r="G103" s="35">
        <f t="shared" si="119"/>
        <v>867.40157480315008</v>
      </c>
      <c r="H103" s="35">
        <f t="shared" si="119"/>
        <v>860.99999999999989</v>
      </c>
      <c r="I103" s="35">
        <f t="shared" si="119"/>
        <v>332.89478531954086</v>
      </c>
      <c r="J103" s="35">
        <f t="shared" si="119"/>
        <v>394.03149926144755</v>
      </c>
      <c r="K103" s="35">
        <f t="shared" si="119"/>
        <v>348.82253586302636</v>
      </c>
      <c r="L103" s="35">
        <f t="shared" si="119"/>
        <v>426.99124435119433</v>
      </c>
      <c r="M103" s="35">
        <f t="shared" si="119"/>
        <v>274.95464545608394</v>
      </c>
      <c r="N103" s="35">
        <f t="shared" si="119"/>
        <v>251.89074172892211</v>
      </c>
      <c r="O103" s="35">
        <f t="shared" si="119"/>
        <v>341.57572633552019</v>
      </c>
      <c r="P103" s="35">
        <f t="shared" si="119"/>
        <v>250.08741085578453</v>
      </c>
      <c r="Q103" s="35">
        <f t="shared" si="119"/>
        <v>302.05529300567116</v>
      </c>
      <c r="R103" s="35">
        <f t="shared" si="119"/>
        <v>478.46697586052767</v>
      </c>
      <c r="S103" s="35">
        <f t="shared" si="119"/>
        <v>637.11326725579192</v>
      </c>
      <c r="T103" s="35">
        <f t="shared" si="119"/>
        <v>852.88673076923112</v>
      </c>
      <c r="U103" s="35">
        <f t="shared" si="119"/>
        <v>896</v>
      </c>
      <c r="V103" s="35">
        <f t="shared" si="119"/>
        <v>903.99999999999989</v>
      </c>
      <c r="W103" s="35">
        <f t="shared" ref="W103" si="120">IF(W31=0,0,W31/W51)</f>
        <v>891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0.59770508964766922</v>
      </c>
      <c r="C108" s="43">
        <f t="shared" si="127"/>
        <v>0.60140605876734787</v>
      </c>
      <c r="D108" s="43">
        <f t="shared" ref="D108:V108" si="128">IF(D6=0,0,D6/D$4)</f>
        <v>0.63969755132078232</v>
      </c>
      <c r="E108" s="43">
        <f t="shared" si="128"/>
        <v>0.60332502362904172</v>
      </c>
      <c r="F108" s="43">
        <f t="shared" si="128"/>
        <v>0.62716868454871944</v>
      </c>
      <c r="G108" s="43">
        <f t="shared" si="128"/>
        <v>0.68356710142868748</v>
      </c>
      <c r="H108" s="43">
        <f t="shared" si="128"/>
        <v>0.66917927096673535</v>
      </c>
      <c r="I108" s="43">
        <f t="shared" si="128"/>
        <v>0.63481968059793714</v>
      </c>
      <c r="J108" s="43">
        <f t="shared" si="128"/>
        <v>0.64595403224158288</v>
      </c>
      <c r="K108" s="43">
        <f t="shared" si="128"/>
        <v>0.68105880020926746</v>
      </c>
      <c r="L108" s="43">
        <f t="shared" si="128"/>
        <v>0.67444213116888929</v>
      </c>
      <c r="M108" s="43">
        <f t="shared" si="128"/>
        <v>0.6848477474935889</v>
      </c>
      <c r="N108" s="43">
        <f t="shared" si="128"/>
        <v>0.8014937243002267</v>
      </c>
      <c r="O108" s="43">
        <f t="shared" si="128"/>
        <v>0.76824992160378536</v>
      </c>
      <c r="P108" s="43">
        <f t="shared" si="128"/>
        <v>0.7243703914492936</v>
      </c>
      <c r="Q108" s="43">
        <f t="shared" si="128"/>
        <v>0.70032197598926293</v>
      </c>
      <c r="R108" s="43">
        <f t="shared" si="128"/>
        <v>0.72276408876560816</v>
      </c>
      <c r="S108" s="43">
        <f t="shared" si="128"/>
        <v>0.70026388572265197</v>
      </c>
      <c r="T108" s="43">
        <f t="shared" si="128"/>
        <v>0.63644464422765401</v>
      </c>
      <c r="U108" s="43">
        <f t="shared" si="128"/>
        <v>0.62105752587685326</v>
      </c>
      <c r="V108" s="43">
        <f t="shared" si="128"/>
        <v>0.67462268072654363</v>
      </c>
      <c r="W108" s="43">
        <f t="shared" ref="W108" si="129">IF(W6=0,0,W6/W$4)</f>
        <v>0.63343222044231517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0.40229491035233084</v>
      </c>
      <c r="C109" s="43">
        <f t="shared" si="130"/>
        <v>0.39859394123265213</v>
      </c>
      <c r="D109" s="43">
        <f t="shared" ref="D109:V109" si="131">IF(D7=0,0,D7/D$4)</f>
        <v>0.36030244867921768</v>
      </c>
      <c r="E109" s="43">
        <f t="shared" si="131"/>
        <v>0.39667497637095828</v>
      </c>
      <c r="F109" s="43">
        <f t="shared" si="131"/>
        <v>0.37283131545128056</v>
      </c>
      <c r="G109" s="43">
        <f t="shared" si="131"/>
        <v>0.31643289857131257</v>
      </c>
      <c r="H109" s="43">
        <f t="shared" si="131"/>
        <v>0.33082072903326465</v>
      </c>
      <c r="I109" s="43">
        <f t="shared" si="131"/>
        <v>0.36518031940206291</v>
      </c>
      <c r="J109" s="43">
        <f t="shared" si="131"/>
        <v>0.35404596775841707</v>
      </c>
      <c r="K109" s="43">
        <f t="shared" si="131"/>
        <v>0.31894119979073254</v>
      </c>
      <c r="L109" s="43">
        <f t="shared" si="131"/>
        <v>0.32555786883111065</v>
      </c>
      <c r="M109" s="43">
        <f t="shared" si="131"/>
        <v>0.31515225250641099</v>
      </c>
      <c r="N109" s="43">
        <f t="shared" si="131"/>
        <v>0.19850627569977325</v>
      </c>
      <c r="O109" s="43">
        <f t="shared" si="131"/>
        <v>0.23175007839621459</v>
      </c>
      <c r="P109" s="43">
        <f t="shared" si="131"/>
        <v>0.27562960855070634</v>
      </c>
      <c r="Q109" s="43">
        <f t="shared" si="131"/>
        <v>0.29967802401073707</v>
      </c>
      <c r="R109" s="43">
        <f t="shared" si="131"/>
        <v>0.27723591123439167</v>
      </c>
      <c r="S109" s="43">
        <f t="shared" si="131"/>
        <v>0.29973611427734809</v>
      </c>
      <c r="T109" s="43">
        <f t="shared" si="131"/>
        <v>0.3635553557723461</v>
      </c>
      <c r="U109" s="43">
        <f t="shared" si="131"/>
        <v>0.3789424741231468</v>
      </c>
      <c r="V109" s="43">
        <f t="shared" si="131"/>
        <v>0.32537731927345642</v>
      </c>
      <c r="W109" s="43">
        <f t="shared" ref="W109" si="132">IF(W7=0,0,W7/W$4)</f>
        <v>0.36656777955768471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0.37732014914058581</v>
      </c>
      <c r="C112" s="44">
        <f t="shared" si="139"/>
        <v>0.42285898688729706</v>
      </c>
      <c r="D112" s="44">
        <f t="shared" ref="D112:V112" si="140">IF(D10=0,0,D10/D$8)</f>
        <v>0.65846831863474531</v>
      </c>
      <c r="E112" s="44">
        <f t="shared" si="140"/>
        <v>0.63095284025474574</v>
      </c>
      <c r="F112" s="44">
        <f t="shared" si="140"/>
        <v>0.68388438413979458</v>
      </c>
      <c r="G112" s="44">
        <f t="shared" si="140"/>
        <v>0.72227315633753786</v>
      </c>
      <c r="H112" s="44">
        <f t="shared" si="140"/>
        <v>0.2397983066558782</v>
      </c>
      <c r="I112" s="44">
        <f t="shared" si="140"/>
        <v>0.45496313217937845</v>
      </c>
      <c r="J112" s="44">
        <f t="shared" si="140"/>
        <v>0.36647318090859238</v>
      </c>
      <c r="K112" s="44">
        <f t="shared" si="140"/>
        <v>0.39022118571439601</v>
      </c>
      <c r="L112" s="44">
        <f t="shared" si="140"/>
        <v>0.34942600595915357</v>
      </c>
      <c r="M112" s="44">
        <f t="shared" si="140"/>
        <v>0.60553834514148219</v>
      </c>
      <c r="N112" s="44">
        <f t="shared" si="140"/>
        <v>0.70915446871769983</v>
      </c>
      <c r="O112" s="44">
        <f t="shared" si="140"/>
        <v>0.68005909991529778</v>
      </c>
      <c r="P112" s="44">
        <f t="shared" si="140"/>
        <v>0.73992712180505305</v>
      </c>
      <c r="Q112" s="44">
        <f t="shared" si="140"/>
        <v>0.70444827066366189</v>
      </c>
      <c r="R112" s="44">
        <f t="shared" si="140"/>
        <v>0.58306589131224207</v>
      </c>
      <c r="S112" s="44">
        <f t="shared" si="140"/>
        <v>0.55505682912671395</v>
      </c>
      <c r="T112" s="44">
        <f t="shared" si="140"/>
        <v>0.48934094775767523</v>
      </c>
      <c r="U112" s="44">
        <f t="shared" si="140"/>
        <v>0.39314373656192653</v>
      </c>
      <c r="V112" s="44">
        <f t="shared" si="140"/>
        <v>0.46862479322291095</v>
      </c>
      <c r="W112" s="44">
        <f t="shared" ref="W112" si="141">IF(W10=0,0,W10/W$8)</f>
        <v>0.41748465892419523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0.62267985085941413</v>
      </c>
      <c r="C113" s="45">
        <f t="shared" si="142"/>
        <v>0.57714101311270294</v>
      </c>
      <c r="D113" s="45">
        <f t="shared" ref="D113:V113" si="143">IF(D11=0,0,D11/D$8)</f>
        <v>0.34153168136525469</v>
      </c>
      <c r="E113" s="45">
        <f t="shared" si="143"/>
        <v>0.36904715974525426</v>
      </c>
      <c r="F113" s="45">
        <f t="shared" si="143"/>
        <v>0.31611561586020548</v>
      </c>
      <c r="G113" s="45">
        <f t="shared" si="143"/>
        <v>0.27772684366246209</v>
      </c>
      <c r="H113" s="45">
        <f t="shared" si="143"/>
        <v>0.7602016933441218</v>
      </c>
      <c r="I113" s="45">
        <f t="shared" si="143"/>
        <v>0.54503686782062166</v>
      </c>
      <c r="J113" s="45">
        <f t="shared" si="143"/>
        <v>0.63352681909140762</v>
      </c>
      <c r="K113" s="45">
        <f t="shared" si="143"/>
        <v>0.60977881428560399</v>
      </c>
      <c r="L113" s="45">
        <f t="shared" si="143"/>
        <v>0.65057399404084637</v>
      </c>
      <c r="M113" s="45">
        <f t="shared" si="143"/>
        <v>0.39446165485851781</v>
      </c>
      <c r="N113" s="45">
        <f t="shared" si="143"/>
        <v>0.29084553128230012</v>
      </c>
      <c r="O113" s="45">
        <f t="shared" si="143"/>
        <v>0.31994090008470222</v>
      </c>
      <c r="P113" s="45">
        <f t="shared" si="143"/>
        <v>0.26007287819494695</v>
      </c>
      <c r="Q113" s="45">
        <f t="shared" si="143"/>
        <v>0.295551729336338</v>
      </c>
      <c r="R113" s="45">
        <f t="shared" si="143"/>
        <v>0.41693410868775799</v>
      </c>
      <c r="S113" s="45">
        <f t="shared" si="143"/>
        <v>0.444943170873286</v>
      </c>
      <c r="T113" s="45">
        <f t="shared" si="143"/>
        <v>0.51065905224232488</v>
      </c>
      <c r="U113" s="45">
        <f t="shared" si="143"/>
        <v>0.60685626343807342</v>
      </c>
      <c r="V113" s="45">
        <f t="shared" si="143"/>
        <v>0.53137520677708905</v>
      </c>
      <c r="W113" s="45">
        <f t="shared" ref="W113" si="144">IF(W11=0,0,W11/W$8)</f>
        <v>0.58251534107580472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0.64210940155042007</v>
      </c>
      <c r="C118" s="43">
        <f t="shared" si="151"/>
        <v>0.64210342957799971</v>
      </c>
      <c r="D118" s="43">
        <f t="shared" ref="D118:V118" si="152">IF(D16=0,0,D16/D$14)</f>
        <v>0.65259398995663676</v>
      </c>
      <c r="E118" s="43">
        <f t="shared" si="152"/>
        <v>0.62607563589712978</v>
      </c>
      <c r="F118" s="43">
        <f t="shared" si="152"/>
        <v>0.66748201311186239</v>
      </c>
      <c r="G118" s="43">
        <f t="shared" si="152"/>
        <v>0.71930025711274248</v>
      </c>
      <c r="H118" s="43">
        <f t="shared" si="152"/>
        <v>0.69926839524085815</v>
      </c>
      <c r="I118" s="43">
        <f t="shared" si="152"/>
        <v>0.66864467315115617</v>
      </c>
      <c r="J118" s="43">
        <f t="shared" si="152"/>
        <v>0.68216854573748842</v>
      </c>
      <c r="K118" s="43">
        <f t="shared" si="152"/>
        <v>0.71298053608345291</v>
      </c>
      <c r="L118" s="43">
        <f t="shared" si="152"/>
        <v>0.70484805874845735</v>
      </c>
      <c r="M118" s="43">
        <f t="shared" si="152"/>
        <v>0.69774249301125246</v>
      </c>
      <c r="N118" s="43">
        <f t="shared" si="152"/>
        <v>0.78682430029517425</v>
      </c>
      <c r="O118" s="43">
        <f t="shared" si="152"/>
        <v>0.75925546390837151</v>
      </c>
      <c r="P118" s="43">
        <f t="shared" si="152"/>
        <v>0.71568281129637823</v>
      </c>
      <c r="Q118" s="43">
        <f t="shared" si="152"/>
        <v>0.7062928409585445</v>
      </c>
      <c r="R118" s="43">
        <f t="shared" si="152"/>
        <v>0.72960189933882991</v>
      </c>
      <c r="S118" s="43">
        <f t="shared" si="152"/>
        <v>0.70733782141072366</v>
      </c>
      <c r="T118" s="43">
        <f t="shared" si="152"/>
        <v>0.64928711896710101</v>
      </c>
      <c r="U118" s="43">
        <f t="shared" si="152"/>
        <v>0.64266578100488858</v>
      </c>
      <c r="V118" s="43">
        <f t="shared" si="152"/>
        <v>0.69670211121410597</v>
      </c>
      <c r="W118" s="43">
        <f t="shared" ref="W118" si="153">IF(W16=0,0,W16/W$14)</f>
        <v>0.65287203324156851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0.35789059844957999</v>
      </c>
      <c r="C119" s="43">
        <f t="shared" si="154"/>
        <v>0.35789657042200035</v>
      </c>
      <c r="D119" s="43">
        <f t="shared" ref="D119:V119" si="155">IF(D17=0,0,D17/D$14)</f>
        <v>0.34740601004336336</v>
      </c>
      <c r="E119" s="43">
        <f t="shared" si="155"/>
        <v>0.37392436410287028</v>
      </c>
      <c r="F119" s="43">
        <f t="shared" si="155"/>
        <v>0.33251798688813761</v>
      </c>
      <c r="G119" s="43">
        <f t="shared" si="155"/>
        <v>0.28069974288725746</v>
      </c>
      <c r="H119" s="43">
        <f t="shared" si="155"/>
        <v>0.30073160475914185</v>
      </c>
      <c r="I119" s="43">
        <f t="shared" si="155"/>
        <v>0.33135532684884389</v>
      </c>
      <c r="J119" s="43">
        <f t="shared" si="155"/>
        <v>0.31783145426251158</v>
      </c>
      <c r="K119" s="43">
        <f t="shared" si="155"/>
        <v>0.28701946391654715</v>
      </c>
      <c r="L119" s="43">
        <f t="shared" si="155"/>
        <v>0.29515194125154254</v>
      </c>
      <c r="M119" s="43">
        <f t="shared" si="155"/>
        <v>0.30225750698874759</v>
      </c>
      <c r="N119" s="43">
        <f t="shared" si="155"/>
        <v>0.21317569970482578</v>
      </c>
      <c r="O119" s="43">
        <f t="shared" si="155"/>
        <v>0.24074453609162846</v>
      </c>
      <c r="P119" s="43">
        <f t="shared" si="155"/>
        <v>0.28431718870362177</v>
      </c>
      <c r="Q119" s="43">
        <f t="shared" si="155"/>
        <v>0.2937071590414555</v>
      </c>
      <c r="R119" s="43">
        <f t="shared" si="155"/>
        <v>0.27039810066117004</v>
      </c>
      <c r="S119" s="43">
        <f t="shared" si="155"/>
        <v>0.29266217858927646</v>
      </c>
      <c r="T119" s="43">
        <f t="shared" si="155"/>
        <v>0.3507128810328991</v>
      </c>
      <c r="U119" s="43">
        <f t="shared" si="155"/>
        <v>0.35733421899511147</v>
      </c>
      <c r="V119" s="43">
        <f t="shared" si="155"/>
        <v>0.30329788878589398</v>
      </c>
      <c r="W119" s="43">
        <f t="shared" ref="W119" si="156">IF(W17=0,0,W17/W$14)</f>
        <v>0.34712796675843149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0.67498238104296293</v>
      </c>
      <c r="C122" s="44">
        <f t="shared" si="163"/>
        <v>0.71520559451695132</v>
      </c>
      <c r="D122" s="44">
        <f t="shared" ref="D122:V122" si="164">IF(D20=0,0,D20/D$18)</f>
        <v>0.87196886490117131</v>
      </c>
      <c r="E122" s="44">
        <f t="shared" si="164"/>
        <v>0.84319886063140292</v>
      </c>
      <c r="F122" s="44">
        <f t="shared" si="164"/>
        <v>0.87761848810771803</v>
      </c>
      <c r="G122" s="44">
        <f t="shared" si="164"/>
        <v>0.8897772902665726</v>
      </c>
      <c r="H122" s="44">
        <f t="shared" si="164"/>
        <v>0.52030863432409147</v>
      </c>
      <c r="I122" s="44">
        <f t="shared" si="164"/>
        <v>0.74652611803796931</v>
      </c>
      <c r="J122" s="44">
        <f t="shared" si="164"/>
        <v>0.67524261260254903</v>
      </c>
      <c r="K122" s="44">
        <f t="shared" si="164"/>
        <v>0.7218554538480888</v>
      </c>
      <c r="L122" s="44">
        <f t="shared" si="164"/>
        <v>0.68557205846522218</v>
      </c>
      <c r="M122" s="44">
        <f t="shared" si="164"/>
        <v>0.85621866781562062</v>
      </c>
      <c r="N122" s="44">
        <f t="shared" si="164"/>
        <v>0.89172550790982097</v>
      </c>
      <c r="O122" s="44">
        <f t="shared" si="164"/>
        <v>0.87024264633484427</v>
      </c>
      <c r="P122" s="44">
        <f t="shared" si="164"/>
        <v>0.90372028266909832</v>
      </c>
      <c r="Q122" s="44">
        <f t="shared" si="164"/>
        <v>0.89383253844637511</v>
      </c>
      <c r="R122" s="44">
        <f t="shared" si="164"/>
        <v>0.82826092750907643</v>
      </c>
      <c r="S122" s="44">
        <f t="shared" si="164"/>
        <v>0.81904184620420717</v>
      </c>
      <c r="T122" s="44">
        <f t="shared" si="164"/>
        <v>0.77603092692268882</v>
      </c>
      <c r="U122" s="44">
        <f t="shared" si="164"/>
        <v>0.70144877260824778</v>
      </c>
      <c r="V122" s="44">
        <f t="shared" si="164"/>
        <v>0.71332690052393333</v>
      </c>
      <c r="W122" s="44">
        <f t="shared" ref="W122" si="165">IF(W20=0,0,W20/W$18)</f>
        <v>0.68512890775599267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0.32501761895703712</v>
      </c>
      <c r="C123" s="45">
        <f t="shared" si="166"/>
        <v>0.28479440548304868</v>
      </c>
      <c r="D123" s="45">
        <f t="shared" ref="D123:V123" si="167">IF(D21=0,0,D21/D$18)</f>
        <v>0.12803113509882871</v>
      </c>
      <c r="E123" s="45">
        <f t="shared" si="167"/>
        <v>0.15680113936859699</v>
      </c>
      <c r="F123" s="45">
        <f t="shared" si="167"/>
        <v>0.12238151189228194</v>
      </c>
      <c r="G123" s="45">
        <f t="shared" si="167"/>
        <v>0.11022270973342739</v>
      </c>
      <c r="H123" s="45">
        <f t="shared" si="167"/>
        <v>0.47969136567590859</v>
      </c>
      <c r="I123" s="45">
        <f t="shared" si="167"/>
        <v>0.25347388196203074</v>
      </c>
      <c r="J123" s="45">
        <f t="shared" si="167"/>
        <v>0.32475738739745103</v>
      </c>
      <c r="K123" s="45">
        <f t="shared" si="167"/>
        <v>0.27814454615191125</v>
      </c>
      <c r="L123" s="45">
        <f t="shared" si="167"/>
        <v>0.31442794153477788</v>
      </c>
      <c r="M123" s="45">
        <f t="shared" si="167"/>
        <v>0.14378133218437944</v>
      </c>
      <c r="N123" s="45">
        <f t="shared" si="167"/>
        <v>0.10827449209017904</v>
      </c>
      <c r="O123" s="45">
        <f t="shared" si="167"/>
        <v>0.12975735366515564</v>
      </c>
      <c r="P123" s="45">
        <f t="shared" si="167"/>
        <v>9.6279717330901751E-2</v>
      </c>
      <c r="Q123" s="45">
        <f t="shared" si="167"/>
        <v>0.10616746155362489</v>
      </c>
      <c r="R123" s="45">
        <f t="shared" si="167"/>
        <v>0.17173907249092349</v>
      </c>
      <c r="S123" s="45">
        <f t="shared" si="167"/>
        <v>0.1809581537957928</v>
      </c>
      <c r="T123" s="45">
        <f t="shared" si="167"/>
        <v>0.22396907307731118</v>
      </c>
      <c r="U123" s="45">
        <f t="shared" si="167"/>
        <v>0.29855122739175227</v>
      </c>
      <c r="V123" s="45">
        <f t="shared" si="167"/>
        <v>0.28667309947606678</v>
      </c>
      <c r="W123" s="45">
        <f t="shared" ref="W123" si="168">IF(W21=0,0,W21/W$18)</f>
        <v>0.31487109224400739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240.17386070507303</v>
      </c>
      <c r="C3" s="79">
        <f t="shared" si="0"/>
        <v>225.41797076526228</v>
      </c>
      <c r="D3" s="79">
        <f t="shared" ref="D3" si="1">SUM(D4:D5)</f>
        <v>212.77824591573517</v>
      </c>
      <c r="E3" s="79">
        <f t="shared" ref="E3" si="2">SUM(E4:E5)</f>
        <v>208.5650042992261</v>
      </c>
      <c r="F3" s="79">
        <f t="shared" ref="F3" si="3">SUM(F4:F5)</f>
        <v>225.63774720550299</v>
      </c>
      <c r="G3" s="79">
        <f t="shared" ref="G3" si="4">SUM(G4:G5)</f>
        <v>260.57609630266558</v>
      </c>
      <c r="H3" s="79">
        <f t="shared" ref="H3" si="5">SUM(H4:H5)</f>
        <v>264.83233018056757</v>
      </c>
      <c r="I3" s="79">
        <f t="shared" ref="I3" si="6">SUM(I4:I5)</f>
        <v>242.76294067067928</v>
      </c>
      <c r="J3" s="79">
        <f t="shared" ref="J3" si="7">SUM(J4:J5)</f>
        <v>269.84806534823724</v>
      </c>
      <c r="K3" s="79">
        <f t="shared" ref="K3" si="8">SUM(K4:K5)</f>
        <v>230.72510748065343</v>
      </c>
      <c r="L3" s="79">
        <f t="shared" ref="L3" si="9">SUM(L4:L5)</f>
        <v>229.72201203783311</v>
      </c>
      <c r="M3" s="79">
        <f t="shared" ref="M3" si="10">SUM(M4:M5)</f>
        <v>232.72184006878763</v>
      </c>
      <c r="N3" s="79">
        <f t="shared" ref="N3" si="11">SUM(N4:N5)</f>
        <v>166.52338779019772</v>
      </c>
      <c r="O3" s="79">
        <f t="shared" ref="O3" si="12">SUM(O4:O5)</f>
        <v>162.5107480653482</v>
      </c>
      <c r="P3" s="79">
        <f t="shared" ref="P3" si="13">SUM(P4:P5)</f>
        <v>170.72226999140148</v>
      </c>
      <c r="Q3" s="79">
        <f t="shared" ref="Q3" si="14">SUM(Q4:Q5)</f>
        <v>174.71573516766983</v>
      </c>
      <c r="R3" s="79">
        <f t="shared" ref="R3" si="15">SUM(R4:R5)</f>
        <v>192.27282889079956</v>
      </c>
      <c r="S3" s="79">
        <f t="shared" ref="S3" si="16">SUM(S4:S5)</f>
        <v>223.5012897678418</v>
      </c>
      <c r="T3" s="79">
        <f t="shared" ref="T3" si="17">SUM(T4:T5)</f>
        <v>276.27239896818577</v>
      </c>
      <c r="U3" s="79">
        <f t="shared" ref="U3" si="18">SUM(U4:U5)</f>
        <v>279.3766122098022</v>
      </c>
      <c r="V3" s="79">
        <f t="shared" ref="V3:W3" si="19">SUM(V4:V5)</f>
        <v>101.4033533963886</v>
      </c>
      <c r="W3" s="79">
        <f t="shared" si="19"/>
        <v>123.1326741186586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240.17386070507303</v>
      </c>
      <c r="C5" s="96">
        <f t="shared" si="23"/>
        <v>225.41797076526228</v>
      </c>
      <c r="D5" s="96">
        <f t="shared" ref="D5:V5" si="24">SUM(D8:D9,D12:D13)</f>
        <v>212.77824591573517</v>
      </c>
      <c r="E5" s="96">
        <f t="shared" si="24"/>
        <v>208.5650042992261</v>
      </c>
      <c r="F5" s="96">
        <f t="shared" si="24"/>
        <v>225.63774720550299</v>
      </c>
      <c r="G5" s="96">
        <f t="shared" si="24"/>
        <v>260.57609630266558</v>
      </c>
      <c r="H5" s="96">
        <f t="shared" si="24"/>
        <v>264.83233018056757</v>
      </c>
      <c r="I5" s="96">
        <f t="shared" si="24"/>
        <v>242.76294067067928</v>
      </c>
      <c r="J5" s="96">
        <f t="shared" si="24"/>
        <v>269.84806534823724</v>
      </c>
      <c r="K5" s="96">
        <f t="shared" si="24"/>
        <v>230.72510748065343</v>
      </c>
      <c r="L5" s="96">
        <f t="shared" si="24"/>
        <v>229.72201203783311</v>
      </c>
      <c r="M5" s="96">
        <f t="shared" si="24"/>
        <v>232.72184006878763</v>
      </c>
      <c r="N5" s="96">
        <f t="shared" si="24"/>
        <v>166.52338779019772</v>
      </c>
      <c r="O5" s="96">
        <f t="shared" si="24"/>
        <v>162.5107480653482</v>
      </c>
      <c r="P5" s="96">
        <f t="shared" si="24"/>
        <v>170.72226999140148</v>
      </c>
      <c r="Q5" s="96">
        <f t="shared" si="24"/>
        <v>174.71573516766983</v>
      </c>
      <c r="R5" s="96">
        <f t="shared" si="24"/>
        <v>192.27282889079956</v>
      </c>
      <c r="S5" s="96">
        <f t="shared" si="24"/>
        <v>223.5012897678418</v>
      </c>
      <c r="T5" s="96">
        <f t="shared" si="24"/>
        <v>276.27239896818577</v>
      </c>
      <c r="U5" s="96">
        <f t="shared" si="24"/>
        <v>279.3766122098022</v>
      </c>
      <c r="V5" s="96">
        <f t="shared" si="24"/>
        <v>101.4033533963886</v>
      </c>
      <c r="W5" s="96">
        <f t="shared" ref="W5" si="25">SUM(W8:W9,W12:W13)</f>
        <v>123.1326741186586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235.57840655525791</v>
      </c>
      <c r="C6" s="21">
        <f t="shared" si="26"/>
        <v>220.5206626725352</v>
      </c>
      <c r="D6" s="21">
        <f t="shared" ref="D6:V6" si="27">SUM(D7:D9)</f>
        <v>207.16005559210168</v>
      </c>
      <c r="E6" s="21">
        <f t="shared" si="27"/>
        <v>204.02912532179647</v>
      </c>
      <c r="F6" s="21">
        <f t="shared" si="27"/>
        <v>221.78451662408855</v>
      </c>
      <c r="G6" s="21">
        <f t="shared" si="27"/>
        <v>255.78615940716514</v>
      </c>
      <c r="H6" s="21">
        <f t="shared" si="27"/>
        <v>259.0364688627908</v>
      </c>
      <c r="I6" s="21">
        <f t="shared" si="27"/>
        <v>238.3966985024789</v>
      </c>
      <c r="J6" s="21">
        <f t="shared" si="27"/>
        <v>265.62364079096443</v>
      </c>
      <c r="K6" s="21">
        <f t="shared" si="27"/>
        <v>227.05825906387236</v>
      </c>
      <c r="L6" s="21">
        <f t="shared" si="27"/>
        <v>225.57044918994006</v>
      </c>
      <c r="M6" s="21">
        <f t="shared" si="27"/>
        <v>228.45507506454754</v>
      </c>
      <c r="N6" s="21">
        <f t="shared" si="27"/>
        <v>163.0619442413921</v>
      </c>
      <c r="O6" s="21">
        <f t="shared" si="27"/>
        <v>158.81985269342263</v>
      </c>
      <c r="P6" s="21">
        <f t="shared" si="27"/>
        <v>167.47778914526171</v>
      </c>
      <c r="Q6" s="21">
        <f t="shared" si="27"/>
        <v>171.41085274422335</v>
      </c>
      <c r="R6" s="21">
        <f t="shared" si="27"/>
        <v>188.89216452371414</v>
      </c>
      <c r="S6" s="21">
        <f t="shared" si="27"/>
        <v>219.52287434214685</v>
      </c>
      <c r="T6" s="21">
        <f t="shared" si="27"/>
        <v>271.60124740332145</v>
      </c>
      <c r="U6" s="21">
        <f t="shared" si="27"/>
        <v>275.23920078596518</v>
      </c>
      <c r="V6" s="21">
        <f t="shared" si="27"/>
        <v>96.128662438875892</v>
      </c>
      <c r="W6" s="21">
        <f t="shared" ref="W6" si="28">SUM(W7:W9)</f>
        <v>115.61338150966844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147.00269124652399</v>
      </c>
      <c r="C8" s="96">
        <v>137.60523659670997</v>
      </c>
      <c r="D8" s="96">
        <v>131.4118319611255</v>
      </c>
      <c r="E8" s="96">
        <v>123.8331429878574</v>
      </c>
      <c r="F8" s="96">
        <v>144.27963933889393</v>
      </c>
      <c r="G8" s="96">
        <v>171.02185979470534</v>
      </c>
      <c r="H8" s="96">
        <v>172.71267436672588</v>
      </c>
      <c r="I8" s="96">
        <v>158.90566787730774</v>
      </c>
      <c r="J8" s="96">
        <v>177.93635152252736</v>
      </c>
      <c r="K8" s="96">
        <v>148.11457624679079</v>
      </c>
      <c r="L8" s="96">
        <v>146.30177751285254</v>
      </c>
      <c r="M8" s="96">
        <v>148.06081436918697</v>
      </c>
      <c r="N8" s="96">
        <v>105.95028974386533</v>
      </c>
      <c r="O8" s="96">
        <v>103.35622933149924</v>
      </c>
      <c r="P8" s="96">
        <v>110.14446474011993</v>
      </c>
      <c r="Q8" s="96">
        <v>113.8535466271528</v>
      </c>
      <c r="R8" s="96">
        <v>129.09162660787962</v>
      </c>
      <c r="S8" s="96">
        <v>151.82130097600992</v>
      </c>
      <c r="T8" s="96">
        <v>188.04428517060882</v>
      </c>
      <c r="U8" s="96">
        <v>190.75502765440643</v>
      </c>
      <c r="V8" s="96">
        <v>59.330288065127228</v>
      </c>
      <c r="W8" s="96">
        <v>73.901875767661096</v>
      </c>
      <c r="DA8" s="171" t="s">
        <v>281</v>
      </c>
    </row>
    <row r="9" spans="1:105" ht="11.45" customHeight="1" x14ac:dyDescent="0.25">
      <c r="A9" s="83" t="s">
        <v>174</v>
      </c>
      <c r="B9" s="96">
        <v>88.575715308733933</v>
      </c>
      <c r="C9" s="96">
        <v>82.915426075825224</v>
      </c>
      <c r="D9" s="96">
        <v>75.748223630976184</v>
      </c>
      <c r="E9" s="96">
        <v>80.195982333939071</v>
      </c>
      <c r="F9" s="96">
        <v>77.50487728519461</v>
      </c>
      <c r="G9" s="96">
        <v>84.764299612459808</v>
      </c>
      <c r="H9" s="96">
        <v>86.323794496064892</v>
      </c>
      <c r="I9" s="96">
        <v>79.491030625171149</v>
      </c>
      <c r="J9" s="96">
        <v>87.687289268437056</v>
      </c>
      <c r="K9" s="96">
        <v>78.943682817081566</v>
      </c>
      <c r="L9" s="96">
        <v>79.268671677087539</v>
      </c>
      <c r="M9" s="96">
        <v>80.394260695360586</v>
      </c>
      <c r="N9" s="96">
        <v>57.111654497526779</v>
      </c>
      <c r="O9" s="96">
        <v>55.463623361923389</v>
      </c>
      <c r="P9" s="96">
        <v>57.333324405141781</v>
      </c>
      <c r="Q9" s="96">
        <v>57.557306117070546</v>
      </c>
      <c r="R9" s="96">
        <v>59.800537915834539</v>
      </c>
      <c r="S9" s="96">
        <v>67.701573366136941</v>
      </c>
      <c r="T9" s="96">
        <v>83.55696223271265</v>
      </c>
      <c r="U9" s="96">
        <v>84.484173131558748</v>
      </c>
      <c r="V9" s="96">
        <v>36.798374373748658</v>
      </c>
      <c r="W9" s="96">
        <v>41.711505742007347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4.5954541498150885</v>
      </c>
      <c r="C10" s="22">
        <f t="shared" si="29"/>
        <v>4.8973080927270853</v>
      </c>
      <c r="D10" s="22">
        <f t="shared" ref="D10:V10" si="30">SUM(D11:D13)</f>
        <v>5.6181903236334909</v>
      </c>
      <c r="E10" s="22">
        <f t="shared" si="30"/>
        <v>4.5358789774296389</v>
      </c>
      <c r="F10" s="22">
        <f t="shared" si="30"/>
        <v>3.8532305814144139</v>
      </c>
      <c r="G10" s="22">
        <f t="shared" si="30"/>
        <v>4.7899368955004036</v>
      </c>
      <c r="H10" s="22">
        <f t="shared" si="30"/>
        <v>5.7958613177767493</v>
      </c>
      <c r="I10" s="22">
        <f t="shared" si="30"/>
        <v>4.3662421682004018</v>
      </c>
      <c r="J10" s="22">
        <f t="shared" si="30"/>
        <v>4.2244245572728101</v>
      </c>
      <c r="K10" s="22">
        <f t="shared" si="30"/>
        <v>3.6668484167810567</v>
      </c>
      <c r="L10" s="22">
        <f t="shared" si="30"/>
        <v>4.1515628478930537</v>
      </c>
      <c r="M10" s="22">
        <f t="shared" si="30"/>
        <v>4.2667650042400904</v>
      </c>
      <c r="N10" s="22">
        <f t="shared" si="30"/>
        <v>3.4614435488056206</v>
      </c>
      <c r="O10" s="22">
        <f t="shared" si="30"/>
        <v>3.6908953719255413</v>
      </c>
      <c r="P10" s="22">
        <f t="shared" si="30"/>
        <v>3.2444808461397789</v>
      </c>
      <c r="Q10" s="22">
        <f t="shared" si="30"/>
        <v>3.304882423446478</v>
      </c>
      <c r="R10" s="22">
        <f t="shared" si="30"/>
        <v>3.3806643670854259</v>
      </c>
      <c r="S10" s="22">
        <f t="shared" si="30"/>
        <v>3.9784154256949584</v>
      </c>
      <c r="T10" s="22">
        <f t="shared" si="30"/>
        <v>4.6711515648642763</v>
      </c>
      <c r="U10" s="22">
        <f t="shared" si="30"/>
        <v>4.1374114238370181</v>
      </c>
      <c r="V10" s="22">
        <f t="shared" si="30"/>
        <v>5.2746909575127017</v>
      </c>
      <c r="W10" s="22">
        <f t="shared" ref="W10" si="31">SUM(W11:W13)</f>
        <v>7.5192926089901553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3.3196694795452548</v>
      </c>
      <c r="C12" s="97">
        <v>3.7162439775632938</v>
      </c>
      <c r="D12" s="97">
        <v>5.0286013681740789</v>
      </c>
      <c r="E12" s="97">
        <v>3.9494111998352777</v>
      </c>
      <c r="F12" s="97">
        <v>3.4672580803224577</v>
      </c>
      <c r="G12" s="97">
        <v>4.2801989422944082</v>
      </c>
      <c r="H12" s="97">
        <v>3.2169285397036762</v>
      </c>
      <c r="I12" s="97">
        <v>3.483566108578378</v>
      </c>
      <c r="J12" s="97">
        <v>3.0259284860053972</v>
      </c>
      <c r="K12" s="97">
        <v>2.6008376354825122</v>
      </c>
      <c r="L12" s="97">
        <v>2.8017839799258963</v>
      </c>
      <c r="M12" s="97">
        <v>3.6207377296999281</v>
      </c>
      <c r="N12" s="97">
        <v>2.8394374995928597</v>
      </c>
      <c r="O12" s="97">
        <v>3.0137520222777896</v>
      </c>
      <c r="P12" s="97">
        <v>2.8853001772720628</v>
      </c>
      <c r="Q12" s="97">
        <v>2.9479684787279203</v>
      </c>
      <c r="R12" s="97">
        <v>2.828812767390108</v>
      </c>
      <c r="S12" s="97">
        <v>3.3644051047353951</v>
      </c>
      <c r="T12" s="97">
        <v>4.0029034767101557</v>
      </c>
      <c r="U12" s="97">
        <v>3.2049885565485496</v>
      </c>
      <c r="V12" s="97">
        <v>3.7927262910748327</v>
      </c>
      <c r="W12" s="97">
        <v>5.5444526444080919</v>
      </c>
      <c r="DA12" s="175" t="s">
        <v>285</v>
      </c>
    </row>
    <row r="13" spans="1:105" ht="11.45" customHeight="1" x14ac:dyDescent="0.25">
      <c r="A13" s="85" t="s">
        <v>174</v>
      </c>
      <c r="B13" s="98">
        <v>1.2757846702698332</v>
      </c>
      <c r="C13" s="98">
        <v>1.1810641151637915</v>
      </c>
      <c r="D13" s="98">
        <v>0.58958895545941226</v>
      </c>
      <c r="E13" s="98">
        <v>0.58646777759436108</v>
      </c>
      <c r="F13" s="98">
        <v>0.38597250109195613</v>
      </c>
      <c r="G13" s="98">
        <v>0.50973795320599491</v>
      </c>
      <c r="H13" s="98">
        <v>2.5789327780730731</v>
      </c>
      <c r="I13" s="98">
        <v>0.88267605962202367</v>
      </c>
      <c r="J13" s="98">
        <v>1.1984960712674131</v>
      </c>
      <c r="K13" s="98">
        <v>1.0660107812985447</v>
      </c>
      <c r="L13" s="98">
        <v>1.3497788679671578</v>
      </c>
      <c r="M13" s="98">
        <v>0.6460272745401624</v>
      </c>
      <c r="N13" s="98">
        <v>0.6220060492127607</v>
      </c>
      <c r="O13" s="98">
        <v>0.67714334964775147</v>
      </c>
      <c r="P13" s="98">
        <v>0.35918066886771594</v>
      </c>
      <c r="Q13" s="98">
        <v>0.35691394471855753</v>
      </c>
      <c r="R13" s="98">
        <v>0.55185159969531783</v>
      </c>
      <c r="S13" s="98">
        <v>0.61401032095956354</v>
      </c>
      <c r="T13" s="98">
        <v>0.66824808815412051</v>
      </c>
      <c r="U13" s="98">
        <v>0.93242286728846813</v>
      </c>
      <c r="V13" s="98">
        <v>1.4819646664378685</v>
      </c>
      <c r="W13" s="98">
        <v>1.9748399645820636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569.12434165908019</v>
      </c>
      <c r="C17" s="62">
        <f>IF(C3=0,0,C3/TrAvia_act!C13*100)</f>
        <v>567.16981992794092</v>
      </c>
      <c r="D17" s="62">
        <f>IF(D3=0,0,D3/TrAvia_act!D13*100)</f>
        <v>553.38195150040508</v>
      </c>
      <c r="E17" s="62">
        <f>IF(E3=0,0,E3/TrAvia_act!E13*100)</f>
        <v>468.68596485380618</v>
      </c>
      <c r="F17" s="62">
        <f>IF(F3=0,0,F3/TrAvia_act!F13*100)</f>
        <v>401.32269211220131</v>
      </c>
      <c r="G17" s="62">
        <f>IF(G3=0,0,G3/TrAvia_act!G13*100)</f>
        <v>401.2742631929803</v>
      </c>
      <c r="H17" s="62">
        <f>IF(H3=0,0,H3/TrAvia_act!H13*100)</f>
        <v>398.30851589222993</v>
      </c>
      <c r="I17" s="62">
        <f>IF(I3=0,0,I3/TrAvia_act!I13*100)</f>
        <v>358.38169309634554</v>
      </c>
      <c r="J17" s="62">
        <f>IF(J3=0,0,J3/TrAvia_act!J13*100)</f>
        <v>420.30389148858626</v>
      </c>
      <c r="K17" s="62">
        <f>IF(K3=0,0,K3/TrAvia_act!K13*100)</f>
        <v>397.37956878948557</v>
      </c>
      <c r="L17" s="62">
        <f>IF(L3=0,0,L3/TrAvia_act!L13*100)</f>
        <v>411.49374389211488</v>
      </c>
      <c r="M17" s="62">
        <f>IF(M3=0,0,M3/TrAvia_act!M13*100)</f>
        <v>398.68556050595515</v>
      </c>
      <c r="N17" s="62">
        <f>IF(N3=0,0,N3/TrAvia_act!N13*100)</f>
        <v>364.99411266020337</v>
      </c>
      <c r="O17" s="62">
        <f>IF(O3=0,0,O3/TrAvia_act!O13*100)</f>
        <v>370.43518193177954</v>
      </c>
      <c r="P17" s="62">
        <f>IF(P3=0,0,P3/TrAvia_act!P13*100)</f>
        <v>364.09336608960552</v>
      </c>
      <c r="Q17" s="62">
        <f>IF(Q3=0,0,Q3/TrAvia_act!Q13*100)</f>
        <v>334.18622905314737</v>
      </c>
      <c r="R17" s="62">
        <f>IF(R3=0,0,R3/TrAvia_act!R13*100)</f>
        <v>333.23058919249024</v>
      </c>
      <c r="S17" s="62">
        <f>IF(S3=0,0,S3/TrAvia_act!S13*100)</f>
        <v>354.21319909171831</v>
      </c>
      <c r="T17" s="62">
        <f>IF(T3=0,0,T3/TrAvia_act!T13*100)</f>
        <v>366.35324905864752</v>
      </c>
      <c r="U17" s="62">
        <f>IF(U3=0,0,U3/TrAvia_act!U13*100)</f>
        <v>339.86021532460768</v>
      </c>
      <c r="V17" s="62">
        <f>IF(V3=0,0,V3/TrAvia_act!V13*100)</f>
        <v>383.00438959510086</v>
      </c>
      <c r="W17" s="62">
        <f>IF(W3=0,0,W3/TrAvia_act!W13*100)</f>
        <v>421.94923377002056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568.89735794701267</v>
      </c>
      <c r="C18" s="14">
        <f>IF(C6=0,0,C6/TrAvia_act!C14*100)</f>
        <v>566.80905245538361</v>
      </c>
      <c r="D18" s="14">
        <f>IF(D6=0,0,D6/TrAvia_act!D14*100)</f>
        <v>552.47427325669776</v>
      </c>
      <c r="E18" s="14">
        <f>IF(E6=0,0,E6/TrAvia_act!E14*100)</f>
        <v>468.12232656257385</v>
      </c>
      <c r="F18" s="14">
        <f>IF(F6=0,0,F6/TrAvia_act!F14*100)</f>
        <v>400.89731740243559</v>
      </c>
      <c r="G18" s="14">
        <f>IF(G6=0,0,G6/TrAvia_act!G14*100)</f>
        <v>401.1957204650904</v>
      </c>
      <c r="H18" s="14">
        <f>IF(H6=0,0,H6/TrAvia_act!H14*100)</f>
        <v>398.4633838748432</v>
      </c>
      <c r="I18" s="14">
        <f>IF(I6=0,0,I6/TrAvia_act!I14*100)</f>
        <v>358.10942127343179</v>
      </c>
      <c r="J18" s="14">
        <f>IF(J6=0,0,J6/TrAvia_act!J14*100)</f>
        <v>420.04754807755785</v>
      </c>
      <c r="K18" s="14">
        <f>IF(K6=0,0,K6/TrAvia_act!K14*100)</f>
        <v>396.90090982605381</v>
      </c>
      <c r="L18" s="14">
        <f>IF(L6=0,0,L6/TrAvia_act!L14*100)</f>
        <v>410.79900564751597</v>
      </c>
      <c r="M18" s="14">
        <f>IF(M6=0,0,M6/TrAvia_act!M14*100)</f>
        <v>397.93389708220457</v>
      </c>
      <c r="N18" s="14">
        <f>IF(N6=0,0,N6/TrAvia_act!N14*100)</f>
        <v>364.47668115624327</v>
      </c>
      <c r="O18" s="14">
        <f>IF(O6=0,0,O6/TrAvia_act!O14*100)</f>
        <v>369.68073033820559</v>
      </c>
      <c r="P18" s="14">
        <f>IF(P6=0,0,P6/TrAvia_act!P14*100)</f>
        <v>363.33421125448206</v>
      </c>
      <c r="Q18" s="14">
        <f>IF(Q6=0,0,Q6/TrAvia_act!Q14*100)</f>
        <v>333.63398334464887</v>
      </c>
      <c r="R18" s="14">
        <f>IF(R6=0,0,R6/TrAvia_act!R14*100)</f>
        <v>332.87149017543823</v>
      </c>
      <c r="S18" s="14">
        <f>IF(S6=0,0,S6/TrAvia_act!S14*100)</f>
        <v>353.78911239968903</v>
      </c>
      <c r="T18" s="14">
        <f>IF(T6=0,0,T6/TrAvia_act!T14*100)</f>
        <v>366.02762856911511</v>
      </c>
      <c r="U18" s="14">
        <f>IF(U6=0,0,U6/TrAvia_act!U14*100)</f>
        <v>339.70172651371962</v>
      </c>
      <c r="V18" s="14">
        <f>IF(V6=0,0,V6/TrAvia_act!V14*100)</f>
        <v>379.95069403586035</v>
      </c>
      <c r="W18" s="14">
        <f>IF(W6=0,0,W6/TrAvia_act!W14*100)</f>
        <v>419.08891770797203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552.85939457675715</v>
      </c>
      <c r="C20" s="87">
        <f>IF(C8=0,0,C8/TrAvia_act!C16*100)</f>
        <v>550.82984187430236</v>
      </c>
      <c r="D20" s="87">
        <f>IF(D8=0,0,D8/TrAvia_act!D16*100)</f>
        <v>537.02863105773463</v>
      </c>
      <c r="E20" s="87">
        <f>IF(E8=0,0,E8/TrAvia_act!E16*100)</f>
        <v>453.81336259423131</v>
      </c>
      <c r="F20" s="87">
        <f>IF(F8=0,0,F8/TrAvia_act!F16*100)</f>
        <v>390.7215881369948</v>
      </c>
      <c r="G20" s="87">
        <f>IF(G8=0,0,G8/TrAvia_act!G16*100)</f>
        <v>372.92428010989391</v>
      </c>
      <c r="H20" s="87">
        <f>IF(H8=0,0,H8/TrAvia_act!H16*100)</f>
        <v>379.93369970015334</v>
      </c>
      <c r="I20" s="87">
        <f>IF(I8=0,0,I8/TrAvia_act!I16*100)</f>
        <v>356.99284259272741</v>
      </c>
      <c r="J20" s="87">
        <f>IF(J8=0,0,J8/TrAvia_act!J16*100)</f>
        <v>412.48173240867743</v>
      </c>
      <c r="K20" s="87">
        <f>IF(K8=0,0,K8/TrAvia_act!K16*100)</f>
        <v>363.13233074858766</v>
      </c>
      <c r="L20" s="87">
        <f>IF(L8=0,0,L8/TrAvia_act!L16*100)</f>
        <v>378.00824620896367</v>
      </c>
      <c r="M20" s="87">
        <f>IF(M8=0,0,M8/TrAvia_act!M16*100)</f>
        <v>369.61967941672503</v>
      </c>
      <c r="N20" s="87">
        <f>IF(N8=0,0,N8/TrAvia_act!N16*100)</f>
        <v>300.98268774356438</v>
      </c>
      <c r="O20" s="87">
        <f>IF(O8=0,0,O8/TrAvia_act!O16*100)</f>
        <v>316.8624351795039</v>
      </c>
      <c r="P20" s="87">
        <f>IF(P8=0,0,P8/TrAvia_act!P16*100)</f>
        <v>333.88058316748482</v>
      </c>
      <c r="Q20" s="87">
        <f>IF(Q8=0,0,Q8/TrAvia_act!Q16*100)</f>
        <v>313.75721739277219</v>
      </c>
      <c r="R20" s="87">
        <f>IF(R8=0,0,R8/TrAvia_act!R16*100)</f>
        <v>311.79904037643024</v>
      </c>
      <c r="S20" s="87">
        <f>IF(S8=0,0,S8/TrAvia_act!S16*100)</f>
        <v>345.91588926764217</v>
      </c>
      <c r="T20" s="87">
        <f>IF(T8=0,0,T8/TrAvia_act!T16*100)</f>
        <v>390.30620905911519</v>
      </c>
      <c r="U20" s="87">
        <f>IF(U8=0,0,U8/TrAvia_act!U16*100)</f>
        <v>366.33488986945969</v>
      </c>
      <c r="V20" s="87">
        <f>IF(V8=0,0,V8/TrAvia_act!V16*100)</f>
        <v>336.59190968731821</v>
      </c>
      <c r="W20" s="87">
        <f>IF(W8=0,0,W8/TrAvia_act!W16*100)</f>
        <v>410.32262950683014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597.67186922608778</v>
      </c>
      <c r="C21" s="87">
        <f>IF(C9=0,0,C9/TrAvia_act!C17*100)</f>
        <v>595.47740740486881</v>
      </c>
      <c r="D21" s="87">
        <f>IF(D9=0,0,D9/TrAvia_act!D17*100)</f>
        <v>581.48854756014373</v>
      </c>
      <c r="E21" s="87">
        <f>IF(E9=0,0,E9/TrAvia_act!E17*100)</f>
        <v>492.08036346932261</v>
      </c>
      <c r="F21" s="87">
        <f>IF(F9=0,0,F9/TrAvia_act!F17*100)</f>
        <v>421.32362973080484</v>
      </c>
      <c r="G21" s="87">
        <f>IF(G9=0,0,G9/TrAvia_act!G17*100)</f>
        <v>473.64200811490906</v>
      </c>
      <c r="H21" s="87">
        <f>IF(H9=0,0,H9/TrAvia_act!H17*100)</f>
        <v>441.54905332928172</v>
      </c>
      <c r="I21" s="87">
        <f>IF(I9=0,0,I9/TrAvia_act!I17*100)</f>
        <v>360.36257469066248</v>
      </c>
      <c r="J21" s="87">
        <f>IF(J9=0,0,J9/TrAvia_act!J17*100)</f>
        <v>436.28622239043818</v>
      </c>
      <c r="K21" s="87">
        <f>IF(K9=0,0,K9/TrAvia_act!K17*100)</f>
        <v>480.78490600140941</v>
      </c>
      <c r="L21" s="87">
        <f>IF(L9=0,0,L9/TrAvia_act!L17*100)</f>
        <v>489.10614141340869</v>
      </c>
      <c r="M21" s="87">
        <f>IF(M9=0,0,M9/TrAvia_act!M17*100)</f>
        <v>463.29549229416534</v>
      </c>
      <c r="N21" s="87">
        <f>IF(N9=0,0,N9/TrAvia_act!N17*100)</f>
        <v>598.83086415671073</v>
      </c>
      <c r="O21" s="87">
        <f>IF(O9=0,0,O9/TrAvia_act!O17*100)</f>
        <v>536.25804853871523</v>
      </c>
      <c r="P21" s="87">
        <f>IF(P9=0,0,P9/TrAvia_act!P17*100)</f>
        <v>437.47484076863293</v>
      </c>
      <c r="Q21" s="87">
        <f>IF(Q9=0,0,Q9/TrAvia_act!Q17*100)</f>
        <v>381.43267350608789</v>
      </c>
      <c r="R21" s="87">
        <f>IF(R9=0,0,R9/TrAvia_act!R17*100)</f>
        <v>389.73024532011232</v>
      </c>
      <c r="S21" s="87">
        <f>IF(S9=0,0,S9/TrAvia_act!S17*100)</f>
        <v>372.81797538617741</v>
      </c>
      <c r="T21" s="87">
        <f>IF(T9=0,0,T9/TrAvia_act!T17*100)</f>
        <v>321.07983671004064</v>
      </c>
      <c r="U21" s="87">
        <f>IF(U9=0,0,U9/TrAvia_act!U17*100)</f>
        <v>291.80196819563463</v>
      </c>
      <c r="V21" s="87">
        <f>IF(V9=0,0,V9/TrAvia_act!V17*100)</f>
        <v>479.54966162587613</v>
      </c>
      <c r="W21" s="87">
        <f>IF(W9=0,0,W9/TrAvia_act!W17*100)</f>
        <v>435.57639480555758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581.00799371283779</v>
      </c>
      <c r="C22" s="15">
        <f>IF(C10=0,0,C10/TrAvia_act!C18*100)</f>
        <v>583.90477240009261</v>
      </c>
      <c r="D22" s="15">
        <f>IF(D10=0,0,D10/TrAvia_act!D18*100)</f>
        <v>589.06768579912625</v>
      </c>
      <c r="E22" s="15">
        <f>IF(E10=0,0,E10/TrAvia_act!E18*100)</f>
        <v>495.52307358879153</v>
      </c>
      <c r="F22" s="15">
        <f>IF(F10=0,0,F10/TrAvia_act!F18*100)</f>
        <v>427.42664855900853</v>
      </c>
      <c r="G22" s="15">
        <f>IF(G10=0,0,G10/TrAvia_act!G18*100)</f>
        <v>405.51364380367812</v>
      </c>
      <c r="H22" s="15">
        <f>IF(H10=0,0,H10/TrAvia_act!H18*100)</f>
        <v>391.50777021489728</v>
      </c>
      <c r="I22" s="15">
        <f>IF(I10=0,0,I10/TrAvia_act!I18*100)</f>
        <v>373.90337409463956</v>
      </c>
      <c r="J22" s="15">
        <f>IF(J10=0,0,J10/TrAvia_act!J18*100)</f>
        <v>437.07568546174269</v>
      </c>
      <c r="K22" s="15">
        <f>IF(K10=0,0,K10/TrAvia_act!K18*100)</f>
        <v>429.44970119458236</v>
      </c>
      <c r="L22" s="15">
        <f>IF(L10=0,0,L10/TrAvia_act!L18*100)</f>
        <v>453.13143112207433</v>
      </c>
      <c r="M22" s="15">
        <f>IF(M10=0,0,M10/TrAvia_act!M18*100)</f>
        <v>443.54481769496681</v>
      </c>
      <c r="N22" s="15">
        <f>IF(N10=0,0,N10/TrAvia_act!N18*100)</f>
        <v>391.15337958751155</v>
      </c>
      <c r="O22" s="15">
        <f>IF(O10=0,0,O10/TrAvia_act!O18*100)</f>
        <v>406.09735310613513</v>
      </c>
      <c r="P22" s="15">
        <f>IF(P10=0,0,P10/TrAvia_act!P18*100)</f>
        <v>408.10960048273222</v>
      </c>
      <c r="Q22" s="15">
        <f>IF(Q10=0,0,Q10/TrAvia_act!Q18*100)</f>
        <v>365.57077425904481</v>
      </c>
      <c r="R22" s="15">
        <f>IF(R10=0,0,R10/TrAvia_act!R18*100)</f>
        <v>354.60501079506167</v>
      </c>
      <c r="S22" s="15">
        <f>IF(S10=0,0,S10/TrAvia_act!S18*100)</f>
        <v>379.30107572940079</v>
      </c>
      <c r="T22" s="15">
        <f>IF(T10=0,0,T10/TrAvia_act!T18*100)</f>
        <v>386.33675507838097</v>
      </c>
      <c r="U22" s="15">
        <f>IF(U10=0,0,U10/TrAvia_act!U18*100)</f>
        <v>350.74639887208809</v>
      </c>
      <c r="V22" s="15">
        <f>IF(V10=0,0,V10/TrAvia_act!V18*100)</f>
        <v>448.73086040779589</v>
      </c>
      <c r="W22" s="15">
        <f>IF(W10=0,0,W10/TrAvia_act!W18*100)</f>
        <v>471.41978786521878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621.8076763720768</v>
      </c>
      <c r="C24" s="101">
        <f>IF(C12=0,0,C12/TrAvia_act!C20*100)</f>
        <v>619.52368380157441</v>
      </c>
      <c r="D24" s="101">
        <f>IF(D12=0,0,D12/TrAvia_act!D20*100)</f>
        <v>604.66521211753411</v>
      </c>
      <c r="E24" s="101">
        <f>IF(E12=0,0,E12/TrAvia_act!E20*100)</f>
        <v>511.6874504293844</v>
      </c>
      <c r="F24" s="101">
        <f>IF(F12=0,0,F12/TrAvia_act!F20*100)</f>
        <v>438.2450327425114</v>
      </c>
      <c r="G24" s="101">
        <f>IF(G12=0,0,G12/TrAvia_act!G20*100)</f>
        <v>407.24739720704946</v>
      </c>
      <c r="H24" s="101">
        <f>IF(H12=0,0,H12/TrAvia_act!H20*100)</f>
        <v>417.64066770906413</v>
      </c>
      <c r="I24" s="101">
        <f>IF(I12=0,0,I12/TrAvia_act!I20*100)</f>
        <v>399.6047249100389</v>
      </c>
      <c r="J24" s="101">
        <f>IF(J12=0,0,J12/TrAvia_act!J20*100)</f>
        <v>463.64748358249807</v>
      </c>
      <c r="K24" s="101">
        <f>IF(K12=0,0,K12/TrAvia_act!K20*100)</f>
        <v>421.97074901605174</v>
      </c>
      <c r="L24" s="101">
        <f>IF(L12=0,0,L12/TrAvia_act!L20*100)</f>
        <v>446.06085214609976</v>
      </c>
      <c r="M24" s="101">
        <f>IF(M12=0,0,M12/TrAvia_act!M20*100)</f>
        <v>439.59339682914003</v>
      </c>
      <c r="N24" s="101">
        <f>IF(N12=0,0,N12/TrAvia_act!N20*100)</f>
        <v>359.82468793407645</v>
      </c>
      <c r="O24" s="101">
        <f>IF(O12=0,0,O12/TrAvia_act!O20*100)</f>
        <v>381.03562089296162</v>
      </c>
      <c r="P24" s="101">
        <f>IF(P12=0,0,P12/TrAvia_act!P20*100)</f>
        <v>401.59525208663223</v>
      </c>
      <c r="Q24" s="101">
        <f>IF(Q12=0,0,Q12/TrAvia_act!Q20*100)</f>
        <v>364.82293282453361</v>
      </c>
      <c r="R24" s="101">
        <f>IF(R12=0,0,R12/TrAvia_act!R20*100)</f>
        <v>358.24475539760255</v>
      </c>
      <c r="S24" s="101">
        <f>IF(S12=0,0,S12/TrAvia_act!S20*100)</f>
        <v>391.63016568131252</v>
      </c>
      <c r="T24" s="101">
        <f>IF(T12=0,0,T12/TrAvia_act!T20*100)</f>
        <v>426.61699984352975</v>
      </c>
      <c r="U24" s="101">
        <f>IF(U12=0,0,U12/TrAvia_act!U20*100)</f>
        <v>387.3423964155794</v>
      </c>
      <c r="V24" s="101">
        <f>IF(V12=0,0,V12/TrAvia_act!V20*100)</f>
        <v>452.32627770000323</v>
      </c>
      <c r="W24" s="101">
        <f>IF(W12=0,0,W12/TrAvia_act!W20*100)</f>
        <v>507.36114985265266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496.27699655797068</v>
      </c>
      <c r="C25" s="88">
        <f>IF(C13=0,0,C13/TrAvia_act!C21*100)</f>
        <v>494.45482459745006</v>
      </c>
      <c r="D25" s="88">
        <f>IF(D13=0,0,D13/TrAvia_act!D21*100)</f>
        <v>482.83917108175081</v>
      </c>
      <c r="E25" s="88">
        <f>IF(E13=0,0,E13/TrAvia_act!E21*100)</f>
        <v>408.5990614949468</v>
      </c>
      <c r="F25" s="88">
        <f>IF(F13=0,0,F13/TrAvia_act!F21*100)</f>
        <v>349.84618869958962</v>
      </c>
      <c r="G25" s="88">
        <f>IF(G13=0,0,G13/TrAvia_act!G21*100)</f>
        <v>391.51784920769046</v>
      </c>
      <c r="H25" s="88">
        <f>IF(H13=0,0,H13/TrAvia_act!H21*100)</f>
        <v>363.1621021894527</v>
      </c>
      <c r="I25" s="88">
        <f>IF(I13=0,0,I13/TrAvia_act!I21*100)</f>
        <v>298.20827878921403</v>
      </c>
      <c r="J25" s="88">
        <f>IF(J13=0,0,J13/TrAvia_act!J21*100)</f>
        <v>381.82702575181662</v>
      </c>
      <c r="K25" s="88">
        <f>IF(K13=0,0,K13/TrAvia_act!K21*100)</f>
        <v>448.85947389669684</v>
      </c>
      <c r="L25" s="88">
        <f>IF(L13=0,0,L13/TrAvia_act!L21*100)</f>
        <v>468.54797253833311</v>
      </c>
      <c r="M25" s="88">
        <f>IF(M13=0,0,M13/TrAvia_act!M21*100)</f>
        <v>467.07555188915597</v>
      </c>
      <c r="N25" s="88">
        <f>IF(N13=0,0,N13/TrAvia_act!N21*100)</f>
        <v>649.16976865116908</v>
      </c>
      <c r="O25" s="88">
        <f>IF(O13=0,0,O13/TrAvia_act!O21*100)</f>
        <v>574.17867988171315</v>
      </c>
      <c r="P25" s="88">
        <f>IF(P13=0,0,P13/TrAvia_act!P21*100)</f>
        <v>469.25590353735174</v>
      </c>
      <c r="Q25" s="88">
        <f>IF(Q13=0,0,Q13/TrAvia_act!Q21*100)</f>
        <v>371.86691243530578</v>
      </c>
      <c r="R25" s="88">
        <f>IF(R13=0,0,R13/TrAvia_act!R21*100)</f>
        <v>337.05129866262905</v>
      </c>
      <c r="S25" s="88">
        <f>IF(S13=0,0,S13/TrAvia_act!S21*100)</f>
        <v>323.49789480378826</v>
      </c>
      <c r="T25" s="88">
        <f>IF(T13=0,0,T13/TrAvia_act!T21*100)</f>
        <v>246.76964765466499</v>
      </c>
      <c r="U25" s="88">
        <f>IF(U13=0,0,U13/TrAvia_act!U21*100)</f>
        <v>264.76377611243475</v>
      </c>
      <c r="V25" s="88">
        <f>IF(V13=0,0,V13/TrAvia_act!V21*100)</f>
        <v>439.78440579511044</v>
      </c>
      <c r="W25" s="88">
        <f>IF(W13=0,0,W13/TrAvia_act!W21*100)</f>
        <v>393.21487579716916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62.233909050562453</v>
      </c>
      <c r="C28" s="14">
        <f>IF(C6=0,0,C6/TrAvia_act!C4*1000)</f>
        <v>61.197888252819453</v>
      </c>
      <c r="D28" s="14">
        <f>IF(D6=0,0,D6/TrAvia_act!D4*1000)</f>
        <v>60.460248671970199</v>
      </c>
      <c r="E28" s="14">
        <f>IF(E6=0,0,E6/TrAvia_act!E4*1000)</f>
        <v>53.42202320511786</v>
      </c>
      <c r="F28" s="14">
        <f>IF(F6=0,0,F6/TrAvia_act!F4*1000)</f>
        <v>46.55451761386405</v>
      </c>
      <c r="G28" s="14">
        <f>IF(G6=0,0,G6/TrAvia_act!G4*1000)</f>
        <v>43.17057498309272</v>
      </c>
      <c r="H28" s="14">
        <f>IF(H6=0,0,H6/TrAvia_act!H4*1000)</f>
        <v>42.326258135701494</v>
      </c>
      <c r="I28" s="14">
        <f>IF(I6=0,0,I6/TrAvia_act!I4*1000)</f>
        <v>37.251767945070952</v>
      </c>
      <c r="J28" s="14">
        <f>IF(J6=0,0,J6/TrAvia_act!J4*1000)</f>
        <v>44.018952324688144</v>
      </c>
      <c r="K28" s="14">
        <f>IF(K6=0,0,K6/TrAvia_act!K4*1000)</f>
        <v>41.25003028974669</v>
      </c>
      <c r="L28" s="14">
        <f>IF(L6=0,0,L6/TrAvia_act!L4*1000)</f>
        <v>40.6715829514619</v>
      </c>
      <c r="M28" s="14">
        <f>IF(M6=0,0,M6/TrAvia_act!M4*1000)</f>
        <v>38.463625436423563</v>
      </c>
      <c r="N28" s="14">
        <f>IF(N6=0,0,N6/TrAvia_act!N4*1000)</f>
        <v>30.306094795487368</v>
      </c>
      <c r="O28" s="14">
        <f>IF(O6=0,0,O6/TrAvia_act!O4*1000)</f>
        <v>29.569222171387853</v>
      </c>
      <c r="P28" s="14">
        <f>IF(P6=0,0,P6/TrAvia_act!P4*1000)</f>
        <v>28.173274387283559</v>
      </c>
      <c r="Q28" s="14">
        <f>IF(Q6=0,0,Q6/TrAvia_act!Q4*1000)</f>
        <v>24.547452685605862</v>
      </c>
      <c r="R28" s="14">
        <f>IF(R6=0,0,R6/TrAvia_act!R4*1000)</f>
        <v>22.958915265894309</v>
      </c>
      <c r="S28" s="14">
        <f>IF(S6=0,0,S6/TrAvia_act!S4*1000)</f>
        <v>23.248353465409291</v>
      </c>
      <c r="T28" s="14">
        <f>IF(T6=0,0,T6/TrAvia_act!T4*1000)</f>
        <v>23.817904310525694</v>
      </c>
      <c r="U28" s="14">
        <f>IF(U6=0,0,U6/TrAvia_act!U4*1000)</f>
        <v>21.574045790865039</v>
      </c>
      <c r="V28" s="14">
        <f>IF(V6=0,0,V6/TrAvia_act!V4*1000)</f>
        <v>31.568210823502785</v>
      </c>
      <c r="W28" s="14">
        <f>IF(W6=0,0,W6/TrAvia_act!W4*1000)</f>
        <v>32.971476918661779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64.972553079791922</v>
      </c>
      <c r="C30" s="87">
        <f>IF(C8=0,0,C8/TrAvia_act!C6*1000)</f>
        <v>63.497161236680299</v>
      </c>
      <c r="D30" s="87">
        <f>IF(D8=0,0,D8/TrAvia_act!D6*1000)</f>
        <v>59.95476313949073</v>
      </c>
      <c r="E30" s="87">
        <f>IF(E8=0,0,E8/TrAvia_act!E6*1000)</f>
        <v>53.741987199216801</v>
      </c>
      <c r="F30" s="87">
        <f>IF(F8=0,0,F8/TrAvia_act!F6*1000)</f>
        <v>48.289342274148126</v>
      </c>
      <c r="G30" s="87">
        <f>IF(G8=0,0,G8/TrAvia_act!G6*1000)</f>
        <v>42.226128393414385</v>
      </c>
      <c r="H30" s="87">
        <f>IF(H8=0,0,H8/TrAvia_act!H6*1000)</f>
        <v>42.172630872493798</v>
      </c>
      <c r="I30" s="87">
        <f>IF(I8=0,0,I8/TrAvia_act!I6*1000)</f>
        <v>39.114308608918513</v>
      </c>
      <c r="J30" s="87">
        <f>IF(J8=0,0,J8/TrAvia_act!J6*1000)</f>
        <v>45.649502053841303</v>
      </c>
      <c r="K30" s="87">
        <f>IF(K8=0,0,K8/TrAvia_act!K6*1000)</f>
        <v>39.509374994930674</v>
      </c>
      <c r="L30" s="87">
        <f>IF(L8=0,0,L8/TrAvia_act!L6*1000)</f>
        <v>39.112338407133407</v>
      </c>
      <c r="M30" s="87">
        <f>IF(M8=0,0,M8/TrAvia_act!M6*1000)</f>
        <v>36.399507596619223</v>
      </c>
      <c r="N30" s="87">
        <f>IF(N8=0,0,N8/TrAvia_act!N6*1000)</f>
        <v>24.5685419568726</v>
      </c>
      <c r="O30" s="87">
        <f>IF(O8=0,0,O8/TrAvia_act!O6*1000)</f>
        <v>25.047780213281854</v>
      </c>
      <c r="P30" s="87">
        <f>IF(P8=0,0,P8/TrAvia_act!P6*1000)</f>
        <v>25.578913443241664</v>
      </c>
      <c r="Q30" s="87">
        <f>IF(Q8=0,0,Q8/TrAvia_act!Q6*1000)</f>
        <v>23.281819894718197</v>
      </c>
      <c r="R30" s="87">
        <f>IF(R8=0,0,R8/TrAvia_act!R6*1000)</f>
        <v>21.708955530650982</v>
      </c>
      <c r="S30" s="87">
        <f>IF(S8=0,0,S8/TrAvia_act!S6*1000)</f>
        <v>22.960608776325802</v>
      </c>
      <c r="T30" s="87">
        <f>IF(T8=0,0,T8/TrAvia_act!T6*1000)</f>
        <v>25.910231249009176</v>
      </c>
      <c r="U30" s="87">
        <f>IF(U8=0,0,U8/TrAvia_act!U6*1000)</f>
        <v>24.074954361756944</v>
      </c>
      <c r="V30" s="87">
        <f>IF(V8=0,0,V8/TrAvia_act!V6*1000)</f>
        <v>28.881024022470793</v>
      </c>
      <c r="W30" s="87">
        <f>IF(W8=0,0,W8/TrAvia_act!W6*1000)</f>
        <v>33.272513398205454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58.16499981785541</v>
      </c>
      <c r="C31" s="87">
        <f>IF(C9=0,0,C9/TrAvia_act!C7*1000)</f>
        <v>57.72870179459661</v>
      </c>
      <c r="D31" s="87">
        <f>IF(D9=0,0,D9/TrAvia_act!D7*1000)</f>
        <v>61.357710952730557</v>
      </c>
      <c r="E31" s="87">
        <f>IF(E9=0,0,E9/TrAvia_act!E7*1000)</f>
        <v>52.935372178964755</v>
      </c>
      <c r="F31" s="87">
        <f>IF(F9=0,0,F9/TrAvia_act!F7*1000)</f>
        <v>43.636233513194881</v>
      </c>
      <c r="G31" s="87">
        <f>IF(G9=0,0,G9/TrAvia_act!G7*1000)</f>
        <v>45.210794633689936</v>
      </c>
      <c r="H31" s="87">
        <f>IF(H9=0,0,H9/TrAvia_act!H7*1000)</f>
        <v>42.637013088374367</v>
      </c>
      <c r="I31" s="87">
        <f>IF(I9=0,0,I9/TrAvia_act!I7*1000)</f>
        <v>34.013977170200135</v>
      </c>
      <c r="J31" s="87">
        <f>IF(J9=0,0,J9/TrAvia_act!J7*1000)</f>
        <v>41.044027404668718</v>
      </c>
      <c r="K31" s="87">
        <f>IF(K9=0,0,K9/TrAvia_act!K7*1000)</f>
        <v>44.966980647502723</v>
      </c>
      <c r="L31" s="87">
        <f>IF(L9=0,0,L9/TrAvia_act!L7*1000)</f>
        <v>43.901792736487629</v>
      </c>
      <c r="M31" s="87">
        <f>IF(M9=0,0,M9/TrAvia_act!M7*1000)</f>
        <v>42.949096956645647</v>
      </c>
      <c r="N31" s="87">
        <f>IF(N9=0,0,N9/TrAvia_act!N7*1000)</f>
        <v>53.472176456027753</v>
      </c>
      <c r="O31" s="87">
        <f>IF(O9=0,0,O9/TrAvia_act!O7*1000)</f>
        <v>44.557771275187157</v>
      </c>
      <c r="P31" s="87">
        <f>IF(P9=0,0,P9/TrAvia_act!P7*1000)</f>
        <v>34.991403478994194</v>
      </c>
      <c r="Q31" s="87">
        <f>IF(Q9=0,0,Q9/TrAvia_act!Q7*1000)</f>
        <v>27.505128544278428</v>
      </c>
      <c r="R31" s="87">
        <f>IF(R9=0,0,R9/TrAvia_act!R7*1000)</f>
        <v>26.217605689563982</v>
      </c>
      <c r="S31" s="87">
        <f>IF(S9=0,0,S9/TrAvia_act!S7*1000)</f>
        <v>23.92060216843749</v>
      </c>
      <c r="T31" s="87">
        <f>IF(T9=0,0,T9/TrAvia_act!T7*1000)</f>
        <v>20.155050077111735</v>
      </c>
      <c r="U31" s="87">
        <f>IF(U9=0,0,U9/TrAvia_act!U7*1000)</f>
        <v>17.475249283357172</v>
      </c>
      <c r="V31" s="87">
        <f>IF(V9=0,0,V9/TrAvia_act!V7*1000)</f>
        <v>37.139702921886027</v>
      </c>
      <c r="W31" s="87">
        <f>IF(W9=0,0,W9/TrAvia_act!W7*1000)</f>
        <v>32.451283338359744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129.63917437488655</v>
      </c>
      <c r="C32" s="15">
        <f>IF(C10=0,0,C10/TrAvia_act!C8*1000)</f>
        <v>131.55464407472189</v>
      </c>
      <c r="D32" s="15">
        <f>IF(D10=0,0,D10/TrAvia_act!D8*1000)</f>
        <v>184.98147396498086</v>
      </c>
      <c r="E32" s="15">
        <f>IF(E10=0,0,E10/TrAvia_act!E8*1000)</f>
        <v>151.07354704725907</v>
      </c>
      <c r="F32" s="15">
        <f>IF(F10=0,0,F10/TrAvia_act!F8*1000)</f>
        <v>147.3353738894933</v>
      </c>
      <c r="G32" s="15">
        <f>IF(G10=0,0,G10/TrAvia_act!G8*1000)</f>
        <v>144.98905460660393</v>
      </c>
      <c r="H32" s="15">
        <f>IF(H10=0,0,H10/TrAvia_act!H8*1000)</f>
        <v>91.07610615433515</v>
      </c>
      <c r="I32" s="15">
        <f>IF(I10=0,0,I10/TrAvia_act!I8*1000)</f>
        <v>120.01729561195305</v>
      </c>
      <c r="J32" s="15">
        <f>IF(J10=0,0,J10/TrAvia_act!J8*1000)</f>
        <v>129.8989379604061</v>
      </c>
      <c r="K32" s="15">
        <f>IF(K10=0,0,K10/TrAvia_act!K8*1000)</f>
        <v>127.18493873687257</v>
      </c>
      <c r="L32" s="15">
        <f>IF(L10=0,0,L10/TrAvia_act!L8*1000)</f>
        <v>124.57998446998063</v>
      </c>
      <c r="M32" s="15">
        <f>IF(M10=0,0,M10/TrAvia_act!M8*1000)</f>
        <v>160.2102316038</v>
      </c>
      <c r="N32" s="15">
        <f>IF(N10=0,0,N10/TrAvia_act!N8*1000)</f>
        <v>146.9856577901198</v>
      </c>
      <c r="O32" s="15">
        <f>IF(O10=0,0,O10/TrAvia_act!O8*1000)</f>
        <v>150.99134198944958</v>
      </c>
      <c r="P32" s="15">
        <f>IF(P10=0,0,P10/TrAvia_act!P8*1000)</f>
        <v>136.20983338076152</v>
      </c>
      <c r="Q32" s="15">
        <f>IF(Q10=0,0,Q10/TrAvia_act!Q8*1000)</f>
        <v>118.66695090971072</v>
      </c>
      <c r="R32" s="15">
        <f>IF(R10=0,0,R10/TrAvia_act!R8*1000)</f>
        <v>93.005190472350051</v>
      </c>
      <c r="S32" s="15">
        <f>IF(S10=0,0,S10/TrAvia_act!S8*1000)</f>
        <v>104.14899056020235</v>
      </c>
      <c r="T32" s="15">
        <f>IF(T10=0,0,T10/TrAvia_act!T8*1000)</f>
        <v>96.769105959699033</v>
      </c>
      <c r="U32" s="15">
        <f>IF(U10=0,0,U10/TrAvia_act!U8*1000)</f>
        <v>74.32141394053096</v>
      </c>
      <c r="V32" s="15">
        <f>IF(V10=0,0,V10/TrAvia_act!V8*1000)</f>
        <v>134.83737281648783</v>
      </c>
      <c r="W32" s="15">
        <f>IF(W10=0,0,W10/TrAvia_act!W8*1000)</f>
        <v>143.75863313536576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248.19479377813528</v>
      </c>
      <c r="C34" s="101">
        <f>IF(C12=0,0,C12/TrAvia_act!C10*1000)</f>
        <v>236.07902929847501</v>
      </c>
      <c r="D34" s="101">
        <f>IF(D12=0,0,D12/TrAvia_act!D10*1000)</f>
        <v>251.44564214141201</v>
      </c>
      <c r="E34" s="101">
        <f>IF(E12=0,0,E12/TrAvia_act!E10*1000)</f>
        <v>208.47905091762632</v>
      </c>
      <c r="F34" s="101">
        <f>IF(F12=0,0,F12/TrAvia_act!F10*1000)</f>
        <v>193.8587967891383</v>
      </c>
      <c r="G34" s="101">
        <f>IF(G12=0,0,G12/TrAvia_act!G10*1000)</f>
        <v>179.37747531789495</v>
      </c>
      <c r="H34" s="101">
        <f>IF(H12=0,0,H12/TrAvia_act!H10*1000)</f>
        <v>210.80541917227009</v>
      </c>
      <c r="I34" s="101">
        <f>IF(I12=0,0,I12/TrAvia_act!I10*1000)</f>
        <v>210.46693102273335</v>
      </c>
      <c r="J34" s="101">
        <f>IF(J12=0,0,J12/TrAvia_act!J10*1000)</f>
        <v>253.89520781423897</v>
      </c>
      <c r="K34" s="101">
        <f>IF(K12=0,0,K12/TrAvia_act!K10*1000)</f>
        <v>231.17726681189441</v>
      </c>
      <c r="L34" s="101">
        <f>IF(L12=0,0,L12/TrAvia_act!L10*1000)</f>
        <v>240.6113330377209</v>
      </c>
      <c r="M34" s="101">
        <f>IF(M12=0,0,M12/TrAvia_act!M10*1000)</f>
        <v>224.51581680278034</v>
      </c>
      <c r="N34" s="101">
        <f>IF(N12=0,0,N12/TrAvia_act!N10*1000)</f>
        <v>170.02358794579629</v>
      </c>
      <c r="O34" s="101">
        <f>IF(O12=0,0,O12/TrAvia_act!O10*1000)</f>
        <v>181.29305584154525</v>
      </c>
      <c r="P34" s="101">
        <f>IF(P12=0,0,P12/TrAvia_act!P10*1000)</f>
        <v>163.7062660751225</v>
      </c>
      <c r="Q34" s="101">
        <f>IF(Q12=0,0,Q12/TrAvia_act!Q10*1000)</f>
        <v>150.26142333505743</v>
      </c>
      <c r="R34" s="101">
        <f>IF(R12=0,0,R12/TrAvia_act!R10*1000)</f>
        <v>133.47247000006999</v>
      </c>
      <c r="S34" s="101">
        <f>IF(S12=0,0,S12/TrAvia_act!S10*1000)</f>
        <v>158.67765283994717</v>
      </c>
      <c r="T34" s="101">
        <f>IF(T12=0,0,T12/TrAvia_act!T10*1000)</f>
        <v>169.46356123603738</v>
      </c>
      <c r="U34" s="101">
        <f>IF(U12=0,0,U12/TrAvia_act!U10*1000)</f>
        <v>146.44022123110841</v>
      </c>
      <c r="V34" s="101">
        <f>IF(V12=0,0,V12/TrAvia_act!V10*1000)</f>
        <v>206.89000159204156</v>
      </c>
      <c r="W34" s="101">
        <f>IF(W12=0,0,W12/TrAvia_act!W10*1000)</f>
        <v>253.90725275792946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57.799008143479064</v>
      </c>
      <c r="C35" s="88">
        <f>IF(C13=0,0,C13/TrAvia_act!C11*1000)</f>
        <v>54.971842581626973</v>
      </c>
      <c r="D35" s="88">
        <f>IF(D13=0,0,D13/TrAvia_act!D11*1000)</f>
        <v>56.839484637240851</v>
      </c>
      <c r="E35" s="88">
        <f>IF(E13=0,0,E13/TrAvia_act!E11*1000)</f>
        <v>52.928459741167678</v>
      </c>
      <c r="F35" s="88">
        <f>IF(F13=0,0,F13/TrAvia_act!F11*1000)</f>
        <v>46.686621276559841</v>
      </c>
      <c r="G35" s="88">
        <f>IF(G13=0,0,G13/TrAvia_act!G11*1000)</f>
        <v>55.556456586679687</v>
      </c>
      <c r="H35" s="88">
        <f>IF(H13=0,0,H13/TrAvia_act!H11*1000)</f>
        <v>53.308646846959213</v>
      </c>
      <c r="I35" s="88">
        <f>IF(I13=0,0,I13/TrAvia_act!I11*1000)</f>
        <v>44.515523418966588</v>
      </c>
      <c r="J35" s="88">
        <f>IF(J13=0,0,J13/TrAvia_act!J11*1000)</f>
        <v>58.171418201565587</v>
      </c>
      <c r="K35" s="88">
        <f>IF(K13=0,0,K13/TrAvia_act!K11*1000)</f>
        <v>60.636202349273333</v>
      </c>
      <c r="L35" s="88">
        <f>IF(L13=0,0,L13/TrAvia_act!L11*1000)</f>
        <v>62.259063149024428</v>
      </c>
      <c r="M35" s="88">
        <f>IF(M13=0,0,M13/TrAvia_act!M11*1000)</f>
        <v>61.494685580165225</v>
      </c>
      <c r="N35" s="88">
        <f>IF(N13=0,0,N13/TrAvia_act!N11*1000)</f>
        <v>90.813396700617915</v>
      </c>
      <c r="O35" s="88">
        <f>IF(O13=0,0,O13/TrAvia_act!O11*1000)</f>
        <v>86.582708261496833</v>
      </c>
      <c r="P35" s="88">
        <f>IF(P13=0,0,P13/TrAvia_act!P11*1000)</f>
        <v>57.980390754320858</v>
      </c>
      <c r="Q35" s="88">
        <f>IF(Q13=0,0,Q13/TrAvia_act!Q11*1000)</f>
        <v>43.361448510710609</v>
      </c>
      <c r="R35" s="88">
        <f>IF(R13=0,0,R13/TrAvia_act!R11*1000)</f>
        <v>36.413297616488627</v>
      </c>
      <c r="S35" s="88">
        <f>IF(S13=0,0,S13/TrAvia_act!S11*1000)</f>
        <v>36.125682500180247</v>
      </c>
      <c r="T35" s="88">
        <f>IF(T13=0,0,T13/TrAvia_act!T11*1000)</f>
        <v>27.109372159913057</v>
      </c>
      <c r="U35" s="88">
        <f>IF(U13=0,0,U13/TrAvia_act!U11*1000)</f>
        <v>27.600206493521689</v>
      </c>
      <c r="V35" s="88">
        <f>IF(V13=0,0,V13/TrAvia_act!V11*1000)</f>
        <v>71.293481738265825</v>
      </c>
      <c r="W35" s="88">
        <f>IF(W13=0,0,W13/TrAvia_act!W11*1000)</f>
        <v>64.815890083878145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6416.2711237730555</v>
      </c>
      <c r="C37" s="62">
        <f>IF(C3=0,0,C3/TrAvia_act!C23*1000000)</f>
        <v>6386.3209554710675</v>
      </c>
      <c r="D37" s="62">
        <f>IF(D3=0,0,D3/TrAvia_act!D23*1000000)</f>
        <v>6155.5311689106711</v>
      </c>
      <c r="E37" s="62">
        <f>IF(E3=0,0,E3/TrAvia_act!E23*1000000)</f>
        <v>5267.1920675613328</v>
      </c>
      <c r="F37" s="62">
        <f>IF(F3=0,0,F3/TrAvia_act!F23*1000000)</f>
        <v>4501.1419977558498</v>
      </c>
      <c r="G37" s="62">
        <f>IF(G3=0,0,G3/TrAvia_act!G23*1000000)</f>
        <v>4631.558207331288</v>
      </c>
      <c r="H37" s="62">
        <f>IF(H3=0,0,H3/TrAvia_act!H23*1000000)</f>
        <v>4665.8268178394565</v>
      </c>
      <c r="I37" s="62">
        <f>IF(I3=0,0,I3/TrAvia_act!I23*1000000)</f>
        <v>4321.4707467722747</v>
      </c>
      <c r="J37" s="62">
        <f>IF(J3=0,0,J3/TrAvia_act!J23*1000000)</f>
        <v>5049.5521210373736</v>
      </c>
      <c r="K37" s="62">
        <f>IF(K3=0,0,K3/TrAvia_act!K23*1000000)</f>
        <v>4575.1558096500776</v>
      </c>
      <c r="L37" s="62">
        <f>IF(L3=0,0,L3/TrAvia_act!L23*1000000)</f>
        <v>4783.0851178028051</v>
      </c>
      <c r="M37" s="62">
        <f>IF(M3=0,0,M3/TrAvia_act!M23*1000000)</f>
        <v>4610.1790821867598</v>
      </c>
      <c r="N37" s="62">
        <f>IF(N3=0,0,N3/TrAvia_act!N23*1000000)</f>
        <v>4251.5162323886261</v>
      </c>
      <c r="O37" s="62">
        <f>IF(O3=0,0,O3/TrAvia_act!O23*1000000)</f>
        <v>4364.8138178273584</v>
      </c>
      <c r="P37" s="62">
        <f>IF(P3=0,0,P3/TrAvia_act!P23*1000000)</f>
        <v>4423.3151101513495</v>
      </c>
      <c r="Q37" s="62">
        <f>IF(Q3=0,0,Q3/TrAvia_act!Q23*1000000)</f>
        <v>4221.5124354910922</v>
      </c>
      <c r="R37" s="62">
        <f>IF(R3=0,0,R3/TrAvia_act!R23*1000000)</f>
        <v>4325.7925866360592</v>
      </c>
      <c r="S37" s="62">
        <f>IF(S3=0,0,S3/TrAvia_act!S23*1000000)</f>
        <v>4665.9976987023338</v>
      </c>
      <c r="T37" s="62">
        <f>IF(T3=0,0,T3/TrAvia_act!T23*1000000)</f>
        <v>5114.9241658153733</v>
      </c>
      <c r="U37" s="62">
        <f>IF(U3=0,0,U3/TrAvia_act!U23*1000000)</f>
        <v>4823.2414103171832</v>
      </c>
      <c r="V37" s="62">
        <f>IF(V3=0,0,V3/TrAvia_act!V23*1000000)</f>
        <v>5118.0211677377783</v>
      </c>
      <c r="W37" s="62">
        <f>IF(W3=0,0,W3/TrAvia_act!W23*1000000)</f>
        <v>5806.7754830775093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6457.9184340376078</v>
      </c>
      <c r="C38" s="14">
        <f>IF(C6=0,0,C6/TrAvia_act!C24*1000000)</f>
        <v>6434.2386914636945</v>
      </c>
      <c r="D38" s="14">
        <f>IF(D6=0,0,D6/TrAvia_act!D24*1000000)</f>
        <v>6202.5825800802932</v>
      </c>
      <c r="E38" s="14">
        <f>IF(E6=0,0,E6/TrAvia_act!E24*1000000)</f>
        <v>5301.3855771396475</v>
      </c>
      <c r="F38" s="14">
        <f>IF(F6=0,0,F6/TrAvia_act!F24*1000000)</f>
        <v>4526.9537194662098</v>
      </c>
      <c r="G38" s="14">
        <f>IF(G6=0,0,G6/TrAvia_act!G24*1000000)</f>
        <v>4667.630646116153</v>
      </c>
      <c r="H38" s="14">
        <f>IF(H6=0,0,H6/TrAvia_act!H24*1000000)</f>
        <v>4700.2679839377042</v>
      </c>
      <c r="I38" s="14">
        <f>IF(I6=0,0,I6/TrAvia_act!I24*1000000)</f>
        <v>4356.2667611234156</v>
      </c>
      <c r="J38" s="14">
        <f>IF(J6=0,0,J6/TrAvia_act!J24*1000000)</f>
        <v>5081.9553223954317</v>
      </c>
      <c r="K38" s="14">
        <f>IF(K6=0,0,K6/TrAvia_act!K24*1000000)</f>
        <v>4599.2071758365037</v>
      </c>
      <c r="L38" s="14">
        <f>IF(L6=0,0,L6/TrAvia_act!L24*1000000)</f>
        <v>4811.3484459172851</v>
      </c>
      <c r="M38" s="14">
        <f>IF(M6=0,0,M6/TrAvia_act!M24*1000000)</f>
        <v>4655.4128556344122</v>
      </c>
      <c r="N38" s="14">
        <f>IF(N6=0,0,N6/TrAvia_act!N24*1000000)</f>
        <v>4306.0616943433006</v>
      </c>
      <c r="O38" s="14">
        <f>IF(O6=0,0,O6/TrAvia_act!O24*1000000)</f>
        <v>4424.6908311534689</v>
      </c>
      <c r="P38" s="14">
        <f>IF(P6=0,0,P6/TrAvia_act!P24*1000000)</f>
        <v>4476.9384144259866</v>
      </c>
      <c r="Q38" s="14">
        <f>IF(Q6=0,0,Q6/TrAvia_act!Q24*1000000)</f>
        <v>4274.7980633503748</v>
      </c>
      <c r="R38" s="14">
        <f>IF(R6=0,0,R6/TrAvia_act!R24*1000000)</f>
        <v>4378.0777499991691</v>
      </c>
      <c r="S38" s="14">
        <f>IF(S6=0,0,S6/TrAvia_act!S24*1000000)</f>
        <v>4724.5797680386286</v>
      </c>
      <c r="T38" s="14">
        <f>IF(T6=0,0,T6/TrAvia_act!T24*1000000)</f>
        <v>5179.9677188663909</v>
      </c>
      <c r="U38" s="14">
        <f>IF(U6=0,0,U6/TrAvia_act!U24*1000000)</f>
        <v>4870.8006085149927</v>
      </c>
      <c r="V38" s="14">
        <f>IF(V6=0,0,V6/TrAvia_act!V24*1000000)</f>
        <v>5244.0490119947572</v>
      </c>
      <c r="W38" s="14">
        <f>IF(W6=0,0,W6/TrAvia_act!W24*1000000)</f>
        <v>5978.2502461176091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5339.7272519623684</v>
      </c>
      <c r="C40" s="87">
        <f>IF(C8=0,0,C8/TrAvia_act!C26*1000000)</f>
        <v>5320.1328666812287</v>
      </c>
      <c r="D40" s="87">
        <f>IF(D8=0,0,D8/TrAvia_act!D26*1000000)</f>
        <v>5146.744681828437</v>
      </c>
      <c r="E40" s="87">
        <f>IF(E8=0,0,E8/TrAvia_act!E26*1000000)</f>
        <v>4323.0282069421328</v>
      </c>
      <c r="F40" s="87">
        <f>IF(F8=0,0,F8/TrAvia_act!F26*1000000)</f>
        <v>3808.4584346661895</v>
      </c>
      <c r="G40" s="87">
        <f>IF(G8=0,0,G8/TrAvia_act!G26*1000000)</f>
        <v>3879.5422225053953</v>
      </c>
      <c r="H40" s="87">
        <f>IF(H8=0,0,H8/TrAvia_act!H26*1000000)</f>
        <v>3920.209600443196</v>
      </c>
      <c r="I40" s="87">
        <f>IF(I8=0,0,I8/TrAvia_act!I26*1000000)</f>
        <v>3701.765040121782</v>
      </c>
      <c r="J40" s="87">
        <f>IF(J8=0,0,J8/TrAvia_act!J26*1000000)</f>
        <v>4377.9242083094032</v>
      </c>
      <c r="K40" s="87">
        <f>IF(K8=0,0,K8/TrAvia_act!K26*1000000)</f>
        <v>3825.8659980056514</v>
      </c>
      <c r="L40" s="87">
        <f>IF(L8=0,0,L8/TrAvia_act!L26*1000000)</f>
        <v>4028.1326407723718</v>
      </c>
      <c r="M40" s="87">
        <f>IF(M8=0,0,M8/TrAvia_act!M26*1000000)</f>
        <v>3902.3962038213799</v>
      </c>
      <c r="N40" s="87">
        <f>IF(N8=0,0,N8/TrAvia_act!N26*1000000)</f>
        <v>3301.0434242231217</v>
      </c>
      <c r="O40" s="87">
        <f>IF(O8=0,0,O8/TrAvia_act!O26*1000000)</f>
        <v>3473.8086690921668</v>
      </c>
      <c r="P40" s="87">
        <f>IF(P8=0,0,P8/TrAvia_act!P26*1000000)</f>
        <v>3706.5710304253575</v>
      </c>
      <c r="Q40" s="87">
        <f>IF(Q8=0,0,Q8/TrAvia_act!Q26*1000000)</f>
        <v>3571.9880349862833</v>
      </c>
      <c r="R40" s="87">
        <f>IF(R8=0,0,R8/TrAvia_act!R26*1000000)</f>
        <v>3636.7936276729665</v>
      </c>
      <c r="S40" s="87">
        <f>IF(S8=0,0,S8/TrAvia_act!S26*1000000)</f>
        <v>4055.3810662181777</v>
      </c>
      <c r="T40" s="87">
        <f>IF(T8=0,0,T8/TrAvia_act!T26*1000000)</f>
        <v>4638.258723560969</v>
      </c>
      <c r="U40" s="87">
        <f>IF(U8=0,0,U8/TrAvia_act!U26*1000000)</f>
        <v>4369.2028597633116</v>
      </c>
      <c r="V40" s="87">
        <f>IF(V8=0,0,V8/TrAvia_act!V26*1000000)</f>
        <v>3984.8403563118568</v>
      </c>
      <c r="W40" s="87">
        <f>IF(W8=0,0,W8/TrAvia_act!W26*1000000)</f>
        <v>4890.601268457488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9897.8338706820796</v>
      </c>
      <c r="C41" s="87">
        <f>IF(C9=0,0,C9/TrAvia_act!C27*1000000)</f>
        <v>9861.4921593512408</v>
      </c>
      <c r="D41" s="87">
        <f>IF(D9=0,0,D9/TrAvia_act!D27*1000000)</f>
        <v>9629.8275655957514</v>
      </c>
      <c r="E41" s="87">
        <f>IF(E9=0,0,E9/TrAvia_act!E27*1000000)</f>
        <v>8149.17003698192</v>
      </c>
      <c r="F41" s="87">
        <f>IF(F9=0,0,F9/TrAvia_act!F27*1000000)</f>
        <v>6977.3926256026843</v>
      </c>
      <c r="G41" s="87">
        <f>IF(G9=0,0,G9/TrAvia_act!G27*1000000)</f>
        <v>7909.3309333264724</v>
      </c>
      <c r="H41" s="87">
        <f>IF(H9=0,0,H9/TrAvia_act!H27*1000000)</f>
        <v>7809.2812100655774</v>
      </c>
      <c r="I41" s="87">
        <f>IF(I9=0,0,I9/TrAvia_act!I27*1000000)</f>
        <v>6737.6699970479021</v>
      </c>
      <c r="J41" s="87">
        <f>IF(J9=0,0,J9/TrAvia_act!J27*1000000)</f>
        <v>7543.6415406432434</v>
      </c>
      <c r="K41" s="87">
        <f>IF(K9=0,0,K9/TrAvia_act!K27*1000000)</f>
        <v>7409.0739387218737</v>
      </c>
      <c r="L41" s="87">
        <f>IF(L9=0,0,L9/TrAvia_act!L27*1000000)</f>
        <v>7504.3710761230277</v>
      </c>
      <c r="M41" s="87">
        <f>IF(M9=0,0,M9/TrAvia_act!M27*1000000)</f>
        <v>7221.9062787783496</v>
      </c>
      <c r="N41" s="87">
        <f>IF(N9=0,0,N9/TrAvia_act!N27*1000000)</f>
        <v>9894.6040363005504</v>
      </c>
      <c r="O41" s="87">
        <f>IF(O9=0,0,O9/TrAvia_act!O27*1000000)</f>
        <v>9031.6924543109253</v>
      </c>
      <c r="P41" s="87">
        <f>IF(P9=0,0,P9/TrAvia_act!P27*1000000)</f>
        <v>7452.6614331394494</v>
      </c>
      <c r="Q41" s="87">
        <f>IF(Q9=0,0,Q9/TrAvia_act!Q27*1000000)</f>
        <v>6998.6996737683057</v>
      </c>
      <c r="R41" s="87">
        <f>IF(R9=0,0,R9/TrAvia_act!R27*1000000)</f>
        <v>7818.0857518413568</v>
      </c>
      <c r="S41" s="87">
        <f>IF(S9=0,0,S9/TrAvia_act!S27*1000000)</f>
        <v>7499.8973486359746</v>
      </c>
      <c r="T41" s="87">
        <f>IF(T9=0,0,T9/TrAvia_act!T27*1000000)</f>
        <v>7026.9079331185476</v>
      </c>
      <c r="U41" s="87">
        <f>IF(U9=0,0,U9/TrAvia_act!U27*1000000)</f>
        <v>6575.1555087212037</v>
      </c>
      <c r="V41" s="87">
        <f>IF(V9=0,0,V9/TrAvia_act!V27*1000000)</f>
        <v>10690.986163204143</v>
      </c>
      <c r="W41" s="87">
        <f>IF(W9=0,0,W9/TrAvia_act!W27*1000000)</f>
        <v>9865.5406201531096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4822.0924971826744</v>
      </c>
      <c r="C42" s="15">
        <f>IF(C10=0,0,C10/TrAvia_act!C28*1000000)</f>
        <v>4782.5274343037945</v>
      </c>
      <c r="D42" s="15">
        <f>IF(D10=0,0,D10/TrAvia_act!D28*1000000)</f>
        <v>4810.0944551656603</v>
      </c>
      <c r="E42" s="15">
        <f>IF(E10=0,0,E10/TrAvia_act!E28*1000000)</f>
        <v>4082.6993496216369</v>
      </c>
      <c r="F42" s="15">
        <f>IF(F10=0,0,F10/TrAvia_act!F28*1000000)</f>
        <v>3388.9451023873471</v>
      </c>
      <c r="G42" s="15">
        <f>IF(G10=0,0,G10/TrAvia_act!G28*1000000)</f>
        <v>3278.5331249147184</v>
      </c>
      <c r="H42" s="15">
        <f>IF(H10=0,0,H10/TrAvia_act!H28*1000000)</f>
        <v>3514.7733885850512</v>
      </c>
      <c r="I42" s="15">
        <f>IF(I10=0,0,I10/TrAvia_act!I28*1000000)</f>
        <v>3009.1262358376307</v>
      </c>
      <c r="J42" s="15">
        <f>IF(J10=0,0,J10/TrAvia_act!J28*1000000)</f>
        <v>3604.457813372705</v>
      </c>
      <c r="K42" s="15">
        <f>IF(K10=0,0,K10/TrAvia_act!K28*1000000)</f>
        <v>3456.0305530452938</v>
      </c>
      <c r="L42" s="15">
        <f>IF(L10=0,0,L10/TrAvia_act!L28*1000000)</f>
        <v>3625.8190811293043</v>
      </c>
      <c r="M42" s="15">
        <f>IF(M10=0,0,M10/TrAvia_act!M28*1000000)</f>
        <v>3032.5266554655941</v>
      </c>
      <c r="N42" s="15">
        <f>IF(N10=0,0,N10/TrAvia_act!N28*1000000)</f>
        <v>2662.6488836966309</v>
      </c>
      <c r="O42" s="15">
        <f>IF(O10=0,0,O10/TrAvia_act!O28*1000000)</f>
        <v>2758.5167204226768</v>
      </c>
      <c r="P42" s="15">
        <f>IF(P10=0,0,P10/TrAvia_act!P28*1000000)</f>
        <v>2733.3452789720122</v>
      </c>
      <c r="Q42" s="15">
        <f>IF(Q10=0,0,Q10/TrAvia_act!Q28*1000000)</f>
        <v>2563.911887856073</v>
      </c>
      <c r="R42" s="15">
        <f>IF(R10=0,0,R10/TrAvia_act!R28*1000000)</f>
        <v>2594.5236892443791</v>
      </c>
      <c r="S42" s="15">
        <f>IF(S10=0,0,S10/TrAvia_act!S28*1000000)</f>
        <v>2770.4842797318656</v>
      </c>
      <c r="T42" s="15">
        <f>IF(T10=0,0,T10/TrAvia_act!T28*1000000)</f>
        <v>2956.4250410533396</v>
      </c>
      <c r="U42" s="15">
        <f>IF(U10=0,0,U10/TrAvia_act!U28*1000000)</f>
        <v>2923.9656705561965</v>
      </c>
      <c r="V42" s="15">
        <f>IF(V10=0,0,V10/TrAvia_act!V28*1000000)</f>
        <v>3559.1706865807705</v>
      </c>
      <c r="W42" s="15">
        <f>IF(W10=0,0,W10/TrAvia_act!W28*1000000)</f>
        <v>4029.6316232530303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4655.9179236258833</v>
      </c>
      <c r="C44" s="101">
        <f>IF(C12=0,0,C12/TrAvia_act!C30*1000000)</f>
        <v>4639.5055899666595</v>
      </c>
      <c r="D44" s="101">
        <f>IF(D12=0,0,D12/TrAvia_act!D30*1000000)</f>
        <v>4770.9690400133577</v>
      </c>
      <c r="E44" s="101">
        <f>IF(E12=0,0,E12/TrAvia_act!E30*1000000)</f>
        <v>4042.3860796676331</v>
      </c>
      <c r="F44" s="101">
        <f>IF(F12=0,0,F12/TrAvia_act!F30*1000000)</f>
        <v>3353.2476598863227</v>
      </c>
      <c r="G44" s="101">
        <f>IF(G12=0,0,G12/TrAvia_act!G30*1000000)</f>
        <v>3191.7963775498943</v>
      </c>
      <c r="H44" s="101">
        <f>IF(H12=0,0,H12/TrAvia_act!H30*1000000)</f>
        <v>2998.0694685029603</v>
      </c>
      <c r="I44" s="101">
        <f>IF(I12=0,0,I12/TrAvia_act!I30*1000000)</f>
        <v>2816.1407506696669</v>
      </c>
      <c r="J44" s="101">
        <f>IF(J12=0,0,J12/TrAvia_act!J30*1000000)</f>
        <v>3257.1888977453145</v>
      </c>
      <c r="K44" s="101">
        <f>IF(K12=0,0,K12/TrAvia_act!K30*1000000)</f>
        <v>3041.9153631374411</v>
      </c>
      <c r="L44" s="101">
        <f>IF(L12=0,0,L12/TrAvia_act!L30*1000000)</f>
        <v>3099.31856186493</v>
      </c>
      <c r="M44" s="101">
        <f>IF(M12=0,0,M12/TrAvia_act!M30*1000000)</f>
        <v>2875.8838202541128</v>
      </c>
      <c r="N44" s="101">
        <f>IF(N12=0,0,N12/TrAvia_act!N30*1000000)</f>
        <v>2424.7971815481296</v>
      </c>
      <c r="O44" s="101">
        <f>IF(O12=0,0,O12/TrAvia_act!O30*1000000)</f>
        <v>2571.4607698615955</v>
      </c>
      <c r="P44" s="101">
        <f>IF(P12=0,0,P12/TrAvia_act!P30*1000000)</f>
        <v>2691.5113593955812</v>
      </c>
      <c r="Q44" s="101">
        <f>IF(Q12=0,0,Q12/TrAvia_act!Q30*1000000)</f>
        <v>2545.7413460517446</v>
      </c>
      <c r="R44" s="101">
        <f>IF(R12=0,0,R12/TrAvia_act!R30*1000000)</f>
        <v>2553.0801149730219</v>
      </c>
      <c r="S44" s="101">
        <f>IF(S12=0,0,S12/TrAvia_act!S30*1000000)</f>
        <v>2820.1216301218737</v>
      </c>
      <c r="T44" s="101">
        <f>IF(T12=0,0,T12/TrAvia_act!T30*1000000)</f>
        <v>3134.6150953094407</v>
      </c>
      <c r="U44" s="101">
        <f>IF(U12=0,0,U12/TrAvia_act!U30*1000000)</f>
        <v>2903.0693446997734</v>
      </c>
      <c r="V44" s="101">
        <f>IF(V12=0,0,V12/TrAvia_act!V30*1000000)</f>
        <v>3219.6318260397561</v>
      </c>
      <c r="W44" s="101">
        <f>IF(W12=0,0,W12/TrAvia_act!W30*1000000)</f>
        <v>3885.3907809447037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5315.7694594576387</v>
      </c>
      <c r="C45" s="88">
        <f>IF(C13=0,0,C13/TrAvia_act!C31*1000000)</f>
        <v>5296.2516375057912</v>
      </c>
      <c r="D45" s="88">
        <f>IF(D13=0,0,D13/TrAvia_act!D31*1000000)</f>
        <v>5171.8329426264236</v>
      </c>
      <c r="E45" s="88">
        <f>IF(E13=0,0,E13/TrAvia_act!E31*1000000)</f>
        <v>4376.6252059280678</v>
      </c>
      <c r="F45" s="88">
        <f>IF(F13=0,0,F13/TrAvia_act!F31*1000000)</f>
        <v>3747.3058358442345</v>
      </c>
      <c r="G45" s="88">
        <f>IF(G13=0,0,G13/TrAvia_act!G31*1000000)</f>
        <v>4247.8162767166241</v>
      </c>
      <c r="H45" s="88">
        <f>IF(H13=0,0,H13/TrAvia_act!H31*1000000)</f>
        <v>4477.3138508213078</v>
      </c>
      <c r="I45" s="88">
        <f>IF(I13=0,0,I13/TrAvia_act!I31*1000000)</f>
        <v>4124.6544842150643</v>
      </c>
      <c r="J45" s="88">
        <f>IF(J13=0,0,J13/TrAvia_act!J31*1000000)</f>
        <v>4932.0825978082848</v>
      </c>
      <c r="K45" s="88">
        <f>IF(K13=0,0,K13/TrAvia_act!K31*1000000)</f>
        <v>5174.8096179540998</v>
      </c>
      <c r="L45" s="88">
        <f>IF(L13=0,0,L13/TrAvia_act!L31*1000000)</f>
        <v>5600.7421907350954</v>
      </c>
      <c r="M45" s="88">
        <f>IF(M13=0,0,M13/TrAvia_act!M31*1000000)</f>
        <v>4365.0491522983948</v>
      </c>
      <c r="N45" s="88">
        <f>IF(N13=0,0,N13/TrAvia_act!N31*1000000)</f>
        <v>4821.7523194787645</v>
      </c>
      <c r="O45" s="88">
        <f>IF(O13=0,0,O13/TrAvia_act!O31*1000000)</f>
        <v>4079.1768051069362</v>
      </c>
      <c r="P45" s="88">
        <f>IF(P13=0,0,P13/TrAvia_act!P31*1000000)</f>
        <v>3123.3101640670952</v>
      </c>
      <c r="Q45" s="88">
        <f>IF(Q13=0,0,Q13/TrAvia_act!Q31*1000000)</f>
        <v>2724.5339291492942</v>
      </c>
      <c r="R45" s="88">
        <f>IF(R13=0,0,R13/TrAvia_act!R31*1000000)</f>
        <v>2830.0082035657324</v>
      </c>
      <c r="S45" s="88">
        <f>IF(S13=0,0,S13/TrAvia_act!S31*1000000)</f>
        <v>2526.7914442780393</v>
      </c>
      <c r="T45" s="88">
        <f>IF(T13=0,0,T13/TrAvia_act!T31*1000000)</f>
        <v>2205.4392348320807</v>
      </c>
      <c r="U45" s="88">
        <f>IF(U13=0,0,U13/TrAvia_act!U31*1000000)</f>
        <v>2998.1442678085791</v>
      </c>
      <c r="V45" s="88">
        <f>IF(V13=0,0,V13/TrAvia_act!V31*1000000)</f>
        <v>4874.8837711771994</v>
      </c>
      <c r="W45" s="88">
        <f>IF(W13=0,0,W13/TrAvia_act!W31*1000000)</f>
        <v>4498.4965024648372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0.98086613532245204</v>
      </c>
      <c r="C48" s="16">
        <f t="shared" si="35"/>
        <v>0.9782745445001505</v>
      </c>
      <c r="D48" s="16">
        <f t="shared" ref="D48:V48" si="36">IF(D6=0,0,D6/D$3)</f>
        <v>0.97359603046141097</v>
      </c>
      <c r="E48" s="16">
        <f t="shared" si="36"/>
        <v>0.9782519651718653</v>
      </c>
      <c r="F48" s="16">
        <f t="shared" si="36"/>
        <v>0.9829229345305196</v>
      </c>
      <c r="G48" s="16">
        <f t="shared" si="36"/>
        <v>0.98161789602551719</v>
      </c>
      <c r="H48" s="16">
        <f t="shared" si="36"/>
        <v>0.9781149782059273</v>
      </c>
      <c r="I48" s="16">
        <f t="shared" si="36"/>
        <v>0.9820143793112005</v>
      </c>
      <c r="J48" s="16">
        <f t="shared" si="36"/>
        <v>0.98434517382282793</v>
      </c>
      <c r="K48" s="16">
        <f t="shared" si="36"/>
        <v>0.98410728482556431</v>
      </c>
      <c r="L48" s="16">
        <f t="shared" si="36"/>
        <v>0.9819278840061294</v>
      </c>
      <c r="M48" s="16">
        <f t="shared" si="36"/>
        <v>0.98166581613922044</v>
      </c>
      <c r="N48" s="16">
        <f t="shared" si="36"/>
        <v>0.97921346908239293</v>
      </c>
      <c r="O48" s="16">
        <f t="shared" si="36"/>
        <v>0.97728829990714583</v>
      </c>
      <c r="P48" s="16">
        <f t="shared" si="36"/>
        <v>0.98099556170203706</v>
      </c>
      <c r="Q48" s="16">
        <f t="shared" si="36"/>
        <v>0.981084231364308</v>
      </c>
      <c r="R48" s="16">
        <f t="shared" si="36"/>
        <v>0.98241735773802208</v>
      </c>
      <c r="S48" s="16">
        <f t="shared" si="36"/>
        <v>0.98219958627609061</v>
      </c>
      <c r="T48" s="16">
        <f t="shared" si="36"/>
        <v>0.98309222498407367</v>
      </c>
      <c r="U48" s="16">
        <f t="shared" si="36"/>
        <v>0.98519055911262188</v>
      </c>
      <c r="V48" s="16">
        <f t="shared" si="36"/>
        <v>0.94798307175410867</v>
      </c>
      <c r="W48" s="16">
        <f t="shared" ref="W48" si="37">IF(W6=0,0,W6/W$3)</f>
        <v>0.93893340932607317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0.61206781959939971</v>
      </c>
      <c r="C50" s="103">
        <f t="shared" si="41"/>
        <v>0.61044483778094338</v>
      </c>
      <c r="D50" s="103">
        <f t="shared" ref="D50:V50" si="42">IF(D8=0,0,D8/D$3)</f>
        <v>0.61759994023621878</v>
      </c>
      <c r="E50" s="103">
        <f t="shared" si="42"/>
        <v>0.59373883650296022</v>
      </c>
      <c r="F50" s="103">
        <f t="shared" si="42"/>
        <v>0.63943041944789969</v>
      </c>
      <c r="G50" s="103">
        <f t="shared" si="42"/>
        <v>0.65632213476733958</v>
      </c>
      <c r="H50" s="103">
        <f t="shared" si="42"/>
        <v>0.65215857236526675</v>
      </c>
      <c r="I50" s="103">
        <f t="shared" si="42"/>
        <v>0.65457135853726389</v>
      </c>
      <c r="J50" s="103">
        <f t="shared" si="42"/>
        <v>0.65939457929002232</v>
      </c>
      <c r="K50" s="103">
        <f t="shared" si="42"/>
        <v>0.641952572323367</v>
      </c>
      <c r="L50" s="103">
        <f t="shared" si="42"/>
        <v>0.6368644267696818</v>
      </c>
      <c r="M50" s="103">
        <f t="shared" si="42"/>
        <v>0.63621366316725303</v>
      </c>
      <c r="N50" s="103">
        <f t="shared" si="42"/>
        <v>0.63624870446037141</v>
      </c>
      <c r="O50" s="103">
        <f t="shared" si="42"/>
        <v>0.63599626832028378</v>
      </c>
      <c r="P50" s="103">
        <f t="shared" si="42"/>
        <v>0.64516752703479996</v>
      </c>
      <c r="Q50" s="103">
        <f t="shared" si="42"/>
        <v>0.6516502163808584</v>
      </c>
      <c r="R50" s="103">
        <f t="shared" si="42"/>
        <v>0.67139817598042728</v>
      </c>
      <c r="S50" s="103">
        <f t="shared" si="42"/>
        <v>0.67928601724720128</v>
      </c>
      <c r="T50" s="103">
        <f t="shared" si="42"/>
        <v>0.68064810626364136</v>
      </c>
      <c r="U50" s="103">
        <f t="shared" si="42"/>
        <v>0.68278810508002008</v>
      </c>
      <c r="V50" s="103">
        <f t="shared" si="42"/>
        <v>0.58509197258204515</v>
      </c>
      <c r="W50" s="103">
        <f t="shared" ref="W50" si="43">IF(W8=0,0,W8/W$3)</f>
        <v>0.60018087235273132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0.36879831572305244</v>
      </c>
      <c r="C51" s="103">
        <f t="shared" si="44"/>
        <v>0.36782970671920712</v>
      </c>
      <c r="D51" s="103">
        <f t="shared" ref="D51:V51" si="45">IF(D9=0,0,D9/D$3)</f>
        <v>0.35599609022519219</v>
      </c>
      <c r="E51" s="103">
        <f t="shared" si="45"/>
        <v>0.38451312866890508</v>
      </c>
      <c r="F51" s="103">
        <f t="shared" si="45"/>
        <v>0.34349251508261991</v>
      </c>
      <c r="G51" s="103">
        <f t="shared" si="45"/>
        <v>0.32529576125817766</v>
      </c>
      <c r="H51" s="103">
        <f t="shared" si="45"/>
        <v>0.32595640584066055</v>
      </c>
      <c r="I51" s="103">
        <f t="shared" si="45"/>
        <v>0.3274430207739365</v>
      </c>
      <c r="J51" s="103">
        <f t="shared" si="45"/>
        <v>0.32495059453280556</v>
      </c>
      <c r="K51" s="103">
        <f t="shared" si="45"/>
        <v>0.34215471250219737</v>
      </c>
      <c r="L51" s="103">
        <f t="shared" si="45"/>
        <v>0.34506345723644766</v>
      </c>
      <c r="M51" s="103">
        <f t="shared" si="45"/>
        <v>0.34545215297196752</v>
      </c>
      <c r="N51" s="103">
        <f t="shared" si="45"/>
        <v>0.34296476462202158</v>
      </c>
      <c r="O51" s="103">
        <f t="shared" si="45"/>
        <v>0.341292031586862</v>
      </c>
      <c r="P51" s="103">
        <f t="shared" si="45"/>
        <v>0.33582803466723704</v>
      </c>
      <c r="Q51" s="103">
        <f t="shared" si="45"/>
        <v>0.32943401498344954</v>
      </c>
      <c r="R51" s="103">
        <f t="shared" si="45"/>
        <v>0.31101918175759496</v>
      </c>
      <c r="S51" s="103">
        <f t="shared" si="45"/>
        <v>0.30291356902888933</v>
      </c>
      <c r="T51" s="103">
        <f t="shared" si="45"/>
        <v>0.30244411872043242</v>
      </c>
      <c r="U51" s="103">
        <f t="shared" si="45"/>
        <v>0.30240245403260185</v>
      </c>
      <c r="V51" s="103">
        <f t="shared" si="45"/>
        <v>0.36289109917206352</v>
      </c>
      <c r="W51" s="103">
        <f t="shared" ref="W51" si="46">IF(W9=0,0,W9/W$3)</f>
        <v>0.33875253697334184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1.9133864677547827E-2</v>
      </c>
      <c r="C52" s="17">
        <f t="shared" si="47"/>
        <v>2.1725455499849517E-2</v>
      </c>
      <c r="D52" s="17">
        <f t="shared" ref="D52:V52" si="48">IF(D10=0,0,D10/D$3)</f>
        <v>2.6403969538589096E-2</v>
      </c>
      <c r="E52" s="17">
        <f t="shared" si="48"/>
        <v>2.174803482813473E-2</v>
      </c>
      <c r="F52" s="17">
        <f t="shared" si="48"/>
        <v>1.7077065469480273E-2</v>
      </c>
      <c r="G52" s="17">
        <f t="shared" si="48"/>
        <v>1.8382103974482655E-2</v>
      </c>
      <c r="H52" s="17">
        <f t="shared" si="48"/>
        <v>2.188502179407259E-2</v>
      </c>
      <c r="I52" s="17">
        <f t="shared" si="48"/>
        <v>1.7985620688799612E-2</v>
      </c>
      <c r="J52" s="17">
        <f t="shared" si="48"/>
        <v>1.565482617717202E-2</v>
      </c>
      <c r="K52" s="17">
        <f t="shared" si="48"/>
        <v>1.5892715174435561E-2</v>
      </c>
      <c r="L52" s="17">
        <f t="shared" si="48"/>
        <v>1.8072115993870579E-2</v>
      </c>
      <c r="M52" s="17">
        <f t="shared" si="48"/>
        <v>1.833418386077957E-2</v>
      </c>
      <c r="N52" s="17">
        <f t="shared" si="48"/>
        <v>2.0786530917607095E-2</v>
      </c>
      <c r="O52" s="17">
        <f t="shared" si="48"/>
        <v>2.2711700092853997E-2</v>
      </c>
      <c r="P52" s="17">
        <f t="shared" si="48"/>
        <v>1.9004438297963056E-2</v>
      </c>
      <c r="Q52" s="17">
        <f t="shared" si="48"/>
        <v>1.8915768635691995E-2</v>
      </c>
      <c r="R52" s="17">
        <f t="shared" si="48"/>
        <v>1.7582642261977942E-2</v>
      </c>
      <c r="S52" s="17">
        <f t="shared" si="48"/>
        <v>1.7800413723909472E-2</v>
      </c>
      <c r="T52" s="17">
        <f t="shared" si="48"/>
        <v>1.6907775015926163E-2</v>
      </c>
      <c r="U52" s="17">
        <f t="shared" si="48"/>
        <v>1.4809440887378091E-2</v>
      </c>
      <c r="V52" s="17">
        <f t="shared" si="48"/>
        <v>5.2016928245891283E-2</v>
      </c>
      <c r="W52" s="17">
        <f t="shared" ref="W52" si="49">IF(W10=0,0,W10/W$3)</f>
        <v>6.1066590673926884E-2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1.3821943278089362E-2</v>
      </c>
      <c r="C54" s="104">
        <f t="shared" si="53"/>
        <v>1.6486014690608598E-2</v>
      </c>
      <c r="D54" s="104">
        <f t="shared" ref="D54:V54" si="54">IF(D12=0,0,D12/D$3)</f>
        <v>2.363306148395224E-2</v>
      </c>
      <c r="E54" s="104">
        <f t="shared" si="54"/>
        <v>1.8936116406993657E-2</v>
      </c>
      <c r="F54" s="104">
        <f t="shared" si="54"/>
        <v>1.5366480667636696E-2</v>
      </c>
      <c r="G54" s="104">
        <f t="shared" si="54"/>
        <v>1.6425907836622327E-2</v>
      </c>
      <c r="H54" s="104">
        <f t="shared" si="54"/>
        <v>1.2147038609335631E-2</v>
      </c>
      <c r="I54" s="104">
        <f t="shared" si="54"/>
        <v>1.4349661850998991E-2</v>
      </c>
      <c r="J54" s="104">
        <f t="shared" si="54"/>
        <v>1.1213452585255541E-2</v>
      </c>
      <c r="K54" s="104">
        <f t="shared" si="54"/>
        <v>1.1272451723532495E-2</v>
      </c>
      <c r="L54" s="104">
        <f t="shared" si="54"/>
        <v>1.2196410588047907E-2</v>
      </c>
      <c r="M54" s="104">
        <f t="shared" si="54"/>
        <v>1.5558220614918286E-2</v>
      </c>
      <c r="N54" s="104">
        <f t="shared" si="54"/>
        <v>1.705128353003638E-2</v>
      </c>
      <c r="O54" s="104">
        <f t="shared" si="54"/>
        <v>1.8544939692640584E-2</v>
      </c>
      <c r="P54" s="104">
        <f t="shared" si="54"/>
        <v>1.6900549514819493E-2</v>
      </c>
      <c r="Q54" s="104">
        <f t="shared" si="54"/>
        <v>1.6872942073012695E-2</v>
      </c>
      <c r="R54" s="104">
        <f t="shared" si="54"/>
        <v>1.4712493614980404E-2</v>
      </c>
      <c r="S54" s="104">
        <f t="shared" si="54"/>
        <v>1.5053179819365312E-2</v>
      </c>
      <c r="T54" s="104">
        <f t="shared" si="54"/>
        <v>1.4488973533585275E-2</v>
      </c>
      <c r="U54" s="104">
        <f t="shared" si="54"/>
        <v>1.1471928631383481E-2</v>
      </c>
      <c r="V54" s="104">
        <f t="shared" si="54"/>
        <v>3.7402375405169865E-2</v>
      </c>
      <c r="W54" s="104">
        <f t="shared" ref="W54" si="55">IF(W12=0,0,W12/W$3)</f>
        <v>4.5028280950555E-2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5.3119213994584618E-3</v>
      </c>
      <c r="C55" s="105">
        <f t="shared" si="56"/>
        <v>5.2394408092409188E-3</v>
      </c>
      <c r="D55" s="105">
        <f t="shared" ref="D55:V55" si="57">IF(D13=0,0,D13/D$3)</f>
        <v>2.7709080546368557E-3</v>
      </c>
      <c r="E55" s="105">
        <f t="shared" si="57"/>
        <v>2.8119184211410735E-3</v>
      </c>
      <c r="F55" s="105">
        <f t="shared" si="57"/>
        <v>1.7105848018435755E-3</v>
      </c>
      <c r="G55" s="105">
        <f t="shared" si="57"/>
        <v>1.9561961378603263E-3</v>
      </c>
      <c r="H55" s="105">
        <f t="shared" si="57"/>
        <v>9.7379831847369588E-3</v>
      </c>
      <c r="I55" s="105">
        <f t="shared" si="57"/>
        <v>3.6359588378006191E-3</v>
      </c>
      <c r="J55" s="105">
        <f t="shared" si="57"/>
        <v>4.4413735919164787E-3</v>
      </c>
      <c r="K55" s="105">
        <f t="shared" si="57"/>
        <v>4.6202634509030661E-3</v>
      </c>
      <c r="L55" s="105">
        <f t="shared" si="57"/>
        <v>5.875705405822676E-3</v>
      </c>
      <c r="M55" s="105">
        <f t="shared" si="57"/>
        <v>2.7759632458612842E-3</v>
      </c>
      <c r="N55" s="105">
        <f t="shared" si="57"/>
        <v>3.7352473875707126E-3</v>
      </c>
      <c r="O55" s="105">
        <f t="shared" si="57"/>
        <v>4.1667604002134139E-3</v>
      </c>
      <c r="P55" s="105">
        <f t="shared" si="57"/>
        <v>2.1038887831435599E-3</v>
      </c>
      <c r="Q55" s="105">
        <f t="shared" si="57"/>
        <v>2.0428265626792983E-3</v>
      </c>
      <c r="R55" s="105">
        <f t="shared" si="57"/>
        <v>2.8701486469975396E-3</v>
      </c>
      <c r="S55" s="105">
        <f t="shared" si="57"/>
        <v>2.7472339045441592E-3</v>
      </c>
      <c r="T55" s="105">
        <f t="shared" si="57"/>
        <v>2.4188014823408864E-3</v>
      </c>
      <c r="U55" s="105">
        <f t="shared" si="57"/>
        <v>3.3375122559946096E-3</v>
      </c>
      <c r="V55" s="105">
        <f t="shared" si="57"/>
        <v>1.4614552840721415E-2</v>
      </c>
      <c r="W55" s="105">
        <f t="shared" ref="W55" si="58">IF(W13=0,0,W13/W$3)</f>
        <v>1.6038309723371884E-2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390.43103424168709</v>
      </c>
      <c r="C57" s="62">
        <v>390.41410602839636</v>
      </c>
      <c r="D57" s="62">
        <v>389.19732590919051</v>
      </c>
      <c r="E57" s="62">
        <v>392.99629335031443</v>
      </c>
      <c r="F57" s="62">
        <v>386.08301769123608</v>
      </c>
      <c r="G57" s="62">
        <v>374.04936772728018</v>
      </c>
      <c r="H57" s="62">
        <v>376.25076192603836</v>
      </c>
      <c r="I57" s="62">
        <v>377.98671020505441</v>
      </c>
      <c r="J57" s="62">
        <v>370.24934370975859</v>
      </c>
      <c r="K57" s="62">
        <v>363.61843443463056</v>
      </c>
      <c r="L57" s="62">
        <v>361.16704471999844</v>
      </c>
      <c r="M57" s="62">
        <v>354.5727197591072</v>
      </c>
      <c r="N57" s="62">
        <v>340.23806574123864</v>
      </c>
      <c r="O57" s="62">
        <v>345.90147099249532</v>
      </c>
      <c r="P57" s="62">
        <v>351.88473488559731</v>
      </c>
      <c r="Q57" s="62">
        <v>356.46932711588693</v>
      </c>
      <c r="R57" s="62">
        <v>359.79060873238723</v>
      </c>
      <c r="S57" s="62">
        <v>366.92985277451368</v>
      </c>
      <c r="T57" s="62">
        <v>383.98327448312574</v>
      </c>
      <c r="U57" s="62">
        <v>387.79868924466507</v>
      </c>
      <c r="V57" s="62">
        <v>379.82060600793892</v>
      </c>
      <c r="W57" s="62">
        <v>387.7434291696552</v>
      </c>
      <c r="DA57" s="172" t="s">
        <v>313</v>
      </c>
    </row>
    <row r="58" spans="1:105" ht="11.45" customHeight="1" x14ac:dyDescent="0.25">
      <c r="A58" s="10" t="s">
        <v>33</v>
      </c>
      <c r="B58" s="14">
        <v>390.2162200816698</v>
      </c>
      <c r="C58" s="14">
        <v>390.21671659488732</v>
      </c>
      <c r="D58" s="14">
        <v>389.29499936804268</v>
      </c>
      <c r="E58" s="14">
        <v>393.12394476428301</v>
      </c>
      <c r="F58" s="14">
        <v>386.04247994326329</v>
      </c>
      <c r="G58" s="14">
        <v>373.90952024306029</v>
      </c>
      <c r="H58" s="14">
        <v>375.55124873702999</v>
      </c>
      <c r="I58" s="14">
        <v>377.59044502012733</v>
      </c>
      <c r="J58" s="14">
        <v>369.67971230016633</v>
      </c>
      <c r="K58" s="14">
        <v>362.94555603102708</v>
      </c>
      <c r="L58" s="14">
        <v>360.24741754813937</v>
      </c>
      <c r="M58" s="14">
        <v>353.55311548247846</v>
      </c>
      <c r="N58" s="14">
        <v>338.90607546667746</v>
      </c>
      <c r="O58" s="14">
        <v>344.53764188956586</v>
      </c>
      <c r="P58" s="14">
        <v>350.87119627385823</v>
      </c>
      <c r="Q58" s="14">
        <v>355.69855144059028</v>
      </c>
      <c r="R58" s="14">
        <v>359.19404708171913</v>
      </c>
      <c r="S58" s="14">
        <v>366.43149242366206</v>
      </c>
      <c r="T58" s="14">
        <v>383.89501738906654</v>
      </c>
      <c r="U58" s="14">
        <v>387.41072791523038</v>
      </c>
      <c r="V58" s="14">
        <v>377.92422021949909</v>
      </c>
      <c r="W58" s="14">
        <v>386.32240145732391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343.83458847186864</v>
      </c>
      <c r="C60" s="87">
        <v>343.83415639523338</v>
      </c>
      <c r="D60" s="87">
        <v>344.50507111418773</v>
      </c>
      <c r="E60" s="87">
        <v>345.15997626342977</v>
      </c>
      <c r="F60" s="87">
        <v>342.50793120622797</v>
      </c>
      <c r="G60" s="87">
        <v>334.95277743248096</v>
      </c>
      <c r="H60" s="87">
        <v>335.99197146994379</v>
      </c>
      <c r="I60" s="87">
        <v>335.36524234868716</v>
      </c>
      <c r="J60" s="87">
        <v>333.38667037440791</v>
      </c>
      <c r="K60" s="87">
        <v>333.79030118649013</v>
      </c>
      <c r="L60" s="87">
        <v>332.64613813875957</v>
      </c>
      <c r="M60" s="87">
        <v>333.33032108676525</v>
      </c>
      <c r="N60" s="87">
        <v>329.08086175686589</v>
      </c>
      <c r="O60" s="87">
        <v>330.44217284842046</v>
      </c>
      <c r="P60" s="87">
        <v>330.28902326299743</v>
      </c>
      <c r="Q60" s="87">
        <v>328.76665971991639</v>
      </c>
      <c r="R60" s="87">
        <v>327.99040319715743</v>
      </c>
      <c r="S60" s="87">
        <v>328.7637121183372</v>
      </c>
      <c r="T60" s="87">
        <v>328.91283258988994</v>
      </c>
      <c r="U60" s="87">
        <v>327.04781158627685</v>
      </c>
      <c r="V60" s="87">
        <v>327.57274385538074</v>
      </c>
      <c r="W60" s="87">
        <v>327.39040331044157</v>
      </c>
      <c r="DA60" s="171" t="s">
        <v>316</v>
      </c>
    </row>
    <row r="61" spans="1:105" ht="11.45" customHeight="1" x14ac:dyDescent="0.25">
      <c r="A61" s="83" t="s">
        <v>174</v>
      </c>
      <c r="B61" s="87">
        <v>473.4318224051749</v>
      </c>
      <c r="C61" s="87">
        <v>473.4318224051749</v>
      </c>
      <c r="D61" s="87">
        <v>473.4318224051749</v>
      </c>
      <c r="E61" s="87">
        <v>473.43182240517484</v>
      </c>
      <c r="F61" s="87">
        <v>473.43182240517484</v>
      </c>
      <c r="G61" s="87">
        <v>473.7371682191382</v>
      </c>
      <c r="H61" s="87">
        <v>467.53543627727424</v>
      </c>
      <c r="I61" s="87">
        <v>462.79703308824639</v>
      </c>
      <c r="J61" s="87">
        <v>447.57625557443765</v>
      </c>
      <c r="K61" s="87">
        <v>435.36966603755843</v>
      </c>
      <c r="L61" s="87">
        <v>426.16163152274754</v>
      </c>
      <c r="M61" s="87">
        <v>400.23616768486494</v>
      </c>
      <c r="N61" s="87">
        <v>375.17060708626349</v>
      </c>
      <c r="O61" s="87">
        <v>388.99165966119972</v>
      </c>
      <c r="P61" s="87">
        <v>402.68061205405036</v>
      </c>
      <c r="Q61" s="87">
        <v>420.46306851216036</v>
      </c>
      <c r="R61" s="87">
        <v>443.38930506911356</v>
      </c>
      <c r="S61" s="87">
        <v>457.47108553739457</v>
      </c>
      <c r="T61" s="87">
        <v>485.68547417991726</v>
      </c>
      <c r="U61" s="87">
        <v>495.97346471489402</v>
      </c>
      <c r="V61" s="87">
        <v>493.58602065620533</v>
      </c>
      <c r="W61" s="87">
        <v>497.16064307880191</v>
      </c>
      <c r="DA61" s="171" t="s">
        <v>317</v>
      </c>
    </row>
    <row r="62" spans="1:105" ht="11.45" customHeight="1" x14ac:dyDescent="0.25">
      <c r="A62" s="12" t="s">
        <v>34</v>
      </c>
      <c r="B62" s="15">
        <v>401.67755369726927</v>
      </c>
      <c r="C62" s="15">
        <v>399.57042703722834</v>
      </c>
      <c r="D62" s="15">
        <v>385.35725468924153</v>
      </c>
      <c r="E62" s="15">
        <v>386.91829096803986</v>
      </c>
      <c r="F62" s="15">
        <v>388.57069639718384</v>
      </c>
      <c r="G62" s="15">
        <v>381.59770134116809</v>
      </c>
      <c r="H62" s="15">
        <v>406.96861087138279</v>
      </c>
      <c r="I62" s="15">
        <v>400.57700884611904</v>
      </c>
      <c r="J62" s="15">
        <v>407.51864821029324</v>
      </c>
      <c r="K62" s="15">
        <v>408.7012619688299</v>
      </c>
      <c r="L62" s="15">
        <v>416.28298061057325</v>
      </c>
      <c r="M62" s="15">
        <v>415.42268136570164</v>
      </c>
      <c r="N62" s="15">
        <v>407.57816558083209</v>
      </c>
      <c r="O62" s="15">
        <v>410.36830668546918</v>
      </c>
      <c r="P62" s="15">
        <v>410.65028709805284</v>
      </c>
      <c r="Q62" s="15">
        <v>400.27309716368882</v>
      </c>
      <c r="R62" s="15">
        <v>395.29936711881857</v>
      </c>
      <c r="S62" s="15">
        <v>396.4115678065308</v>
      </c>
      <c r="T62" s="15">
        <v>389.3996602055019</v>
      </c>
      <c r="U62" s="15">
        <v>414.44674230206914</v>
      </c>
      <c r="V62" s="15">
        <v>420.63762353816685</v>
      </c>
      <c r="W62" s="15">
        <v>412.32079292550367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384.76846950048991</v>
      </c>
      <c r="C64" s="101">
        <v>384.74818343063168</v>
      </c>
      <c r="D64" s="101">
        <v>377.80485918297518</v>
      </c>
      <c r="E64" s="101">
        <v>377.64348555389586</v>
      </c>
      <c r="F64" s="101">
        <v>381.84614354258849</v>
      </c>
      <c r="G64" s="101">
        <v>374.96911502897603</v>
      </c>
      <c r="H64" s="101">
        <v>388.26001923382478</v>
      </c>
      <c r="I64" s="101">
        <v>392.10522615930574</v>
      </c>
      <c r="J64" s="101">
        <v>394.1904757123674</v>
      </c>
      <c r="K64" s="101">
        <v>392.16303493281549</v>
      </c>
      <c r="L64" s="101">
        <v>399.16339192568466</v>
      </c>
      <c r="M64" s="101">
        <v>409.8958076209924</v>
      </c>
      <c r="N64" s="101">
        <v>402.19679409268161</v>
      </c>
      <c r="O64" s="101">
        <v>402.55403777215156</v>
      </c>
      <c r="P64" s="101">
        <v>403.26978504152913</v>
      </c>
      <c r="Q64" s="101">
        <v>393.71752660218078</v>
      </c>
      <c r="R64" s="101">
        <v>388.92040067097395</v>
      </c>
      <c r="S64" s="101">
        <v>386.54742538256698</v>
      </c>
      <c r="T64" s="101">
        <v>382.08198267415878</v>
      </c>
      <c r="U64" s="101">
        <v>378.02551510683998</v>
      </c>
      <c r="V64" s="101">
        <v>387.55695549259372</v>
      </c>
      <c r="W64" s="101">
        <v>372.63300192929188</v>
      </c>
      <c r="DA64" s="175" t="s">
        <v>320</v>
      </c>
    </row>
    <row r="65" spans="1:105" ht="11.45" customHeight="1" x14ac:dyDescent="0.25">
      <c r="A65" s="85" t="s">
        <v>174</v>
      </c>
      <c r="B65" s="88">
        <v>436.79360047966458</v>
      </c>
      <c r="C65" s="88">
        <v>436.79360047966458</v>
      </c>
      <c r="D65" s="88">
        <v>436.79360047966458</v>
      </c>
      <c r="E65" s="88">
        <v>436.79360047966458</v>
      </c>
      <c r="F65" s="88">
        <v>436.79360047966458</v>
      </c>
      <c r="G65" s="88">
        <v>435.10723291977388</v>
      </c>
      <c r="H65" s="88">
        <v>427.26132919319139</v>
      </c>
      <c r="I65" s="88">
        <v>425.5279307836912</v>
      </c>
      <c r="J65" s="88">
        <v>435.23087391465469</v>
      </c>
      <c r="K65" s="88">
        <v>451.62214446711488</v>
      </c>
      <c r="L65" s="88">
        <v>453.61017105518835</v>
      </c>
      <c r="M65" s="88">
        <v>448.33524659921665</v>
      </c>
      <c r="N65" s="88">
        <v>451.89798764497732</v>
      </c>
      <c r="O65" s="88">
        <v>462.77620393533255</v>
      </c>
      <c r="P65" s="88">
        <v>479.92665796480372</v>
      </c>
      <c r="Q65" s="88">
        <v>455.46498166586662</v>
      </c>
      <c r="R65" s="88">
        <v>426.06376213976171</v>
      </c>
      <c r="S65" s="88">
        <v>441.05805238142131</v>
      </c>
      <c r="T65" s="88">
        <v>414.75469695028204</v>
      </c>
      <c r="U65" s="88">
        <v>500.01874056907536</v>
      </c>
      <c r="V65" s="88">
        <v>502.95204525173892</v>
      </c>
      <c r="W65" s="88">
        <v>498.67757056011436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1.4576821301218008</v>
      </c>
      <c r="C67" s="59">
        <f t="shared" ref="C67:W67" si="60">IF(C3=0,0,C17/C57)</f>
        <v>1.4527390562232616</v>
      </c>
      <c r="D67" s="59">
        <f t="shared" si="60"/>
        <v>1.4218544544407352</v>
      </c>
      <c r="E67" s="59">
        <f t="shared" si="60"/>
        <v>1.1925964004856973</v>
      </c>
      <c r="F67" s="59">
        <f t="shared" si="60"/>
        <v>1.0394725323897902</v>
      </c>
      <c r="G67" s="59">
        <f t="shared" si="60"/>
        <v>1.0727842306782078</v>
      </c>
      <c r="H67" s="59">
        <f t="shared" si="60"/>
        <v>1.0586251409918144</v>
      </c>
      <c r="I67" s="59">
        <f t="shared" si="60"/>
        <v>0.94813305182588747</v>
      </c>
      <c r="J67" s="59">
        <f t="shared" si="60"/>
        <v>1.1351914557830136</v>
      </c>
      <c r="K67" s="59">
        <f t="shared" si="60"/>
        <v>1.0928476973598664</v>
      </c>
      <c r="L67" s="59">
        <f t="shared" si="60"/>
        <v>1.139344660338911</v>
      </c>
      <c r="M67" s="59">
        <f t="shared" si="60"/>
        <v>1.1244112654149414</v>
      </c>
      <c r="N67" s="59">
        <f t="shared" si="60"/>
        <v>1.0727609559648521</v>
      </c>
      <c r="O67" s="59">
        <f t="shared" si="60"/>
        <v>1.070926876572365</v>
      </c>
      <c r="P67" s="59">
        <f t="shared" si="60"/>
        <v>1.0346949725113179</v>
      </c>
      <c r="Q67" s="59">
        <f t="shared" si="60"/>
        <v>0.93748943775043114</v>
      </c>
      <c r="R67" s="59">
        <f t="shared" si="60"/>
        <v>0.92617923065453778</v>
      </c>
      <c r="S67" s="59">
        <f t="shared" si="60"/>
        <v>0.9653430932734437</v>
      </c>
      <c r="T67" s="59">
        <f t="shared" si="60"/>
        <v>0.95408647564608184</v>
      </c>
      <c r="U67" s="59">
        <f t="shared" si="60"/>
        <v>0.87638309450341478</v>
      </c>
      <c r="V67" s="59">
        <f t="shared" si="60"/>
        <v>1.0083823350729302</v>
      </c>
      <c r="W67" s="59">
        <f t="shared" si="60"/>
        <v>1.0882176254375642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1.4579028975985315</v>
      </c>
      <c r="C68" s="23">
        <f t="shared" ref="C68:W68" si="62">IF(C6=0,0,C18/C58)</f>
        <v>1.4525493869188331</v>
      </c>
      <c r="D68" s="23">
        <f t="shared" si="62"/>
        <v>1.4191661186338129</v>
      </c>
      <c r="E68" s="23">
        <f t="shared" si="62"/>
        <v>1.1907754101400765</v>
      </c>
      <c r="F68" s="23">
        <f t="shared" si="62"/>
        <v>1.0384798001021949</v>
      </c>
      <c r="G68" s="23">
        <f t="shared" si="62"/>
        <v>1.0729754091425452</v>
      </c>
      <c r="H68" s="23">
        <f t="shared" si="62"/>
        <v>1.0610093435046912</v>
      </c>
      <c r="I68" s="23">
        <f t="shared" si="62"/>
        <v>0.94840700022041846</v>
      </c>
      <c r="J68" s="23">
        <f t="shared" si="62"/>
        <v>1.1362472272660034</v>
      </c>
      <c r="K68" s="23">
        <f t="shared" si="62"/>
        <v>1.0935549512338538</v>
      </c>
      <c r="L68" s="23">
        <f t="shared" si="62"/>
        <v>1.1403246370048481</v>
      </c>
      <c r="M68" s="23">
        <f t="shared" si="62"/>
        <v>1.1255279041712349</v>
      </c>
      <c r="N68" s="23">
        <f t="shared" si="62"/>
        <v>1.0754504198673771</v>
      </c>
      <c r="O68" s="23">
        <f t="shared" si="62"/>
        <v>1.0729763178001281</v>
      </c>
      <c r="P68" s="23">
        <f t="shared" si="62"/>
        <v>1.0355201997569967</v>
      </c>
      <c r="Q68" s="23">
        <f t="shared" si="62"/>
        <v>0.93796834986653943</v>
      </c>
      <c r="R68" s="23">
        <f t="shared" si="62"/>
        <v>0.92671772508442396</v>
      </c>
      <c r="S68" s="23">
        <f t="shared" si="62"/>
        <v>0.96549865313062089</v>
      </c>
      <c r="T68" s="23">
        <f t="shared" si="62"/>
        <v>0.95345761728956402</v>
      </c>
      <c r="U68" s="23">
        <f t="shared" si="62"/>
        <v>0.8768516255131944</v>
      </c>
      <c r="V68" s="23">
        <f t="shared" si="62"/>
        <v>1.005362116815864</v>
      </c>
      <c r="W68" s="23">
        <f t="shared" si="62"/>
        <v>1.0848165059210726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1.6079225683311096</v>
      </c>
      <c r="C70" s="91">
        <f t="shared" ref="C70:W70" si="64">IF(C8=0,0,C20/C60)</f>
        <v>1.6020218806916025</v>
      </c>
      <c r="D70" s="91">
        <f t="shared" si="64"/>
        <v>1.5588410043454313</v>
      </c>
      <c r="E70" s="91">
        <f t="shared" si="64"/>
        <v>1.3147913831349789</v>
      </c>
      <c r="F70" s="91">
        <f t="shared" si="64"/>
        <v>1.1407665415541481</v>
      </c>
      <c r="G70" s="91">
        <f t="shared" si="64"/>
        <v>1.1133637492678119</v>
      </c>
      <c r="H70" s="91">
        <f t="shared" si="64"/>
        <v>1.130782078029922</v>
      </c>
      <c r="I70" s="91">
        <f t="shared" si="64"/>
        <v>1.0644896891895359</v>
      </c>
      <c r="J70" s="91">
        <f t="shared" si="64"/>
        <v>1.2372472239080292</v>
      </c>
      <c r="K70" s="91">
        <f t="shared" si="64"/>
        <v>1.0879055786156711</v>
      </c>
      <c r="L70" s="91">
        <f t="shared" si="64"/>
        <v>1.1363674573948663</v>
      </c>
      <c r="M70" s="91">
        <f t="shared" si="64"/>
        <v>1.1088690588112258</v>
      </c>
      <c r="N70" s="91">
        <f t="shared" si="64"/>
        <v>0.91461620143057354</v>
      </c>
      <c r="O70" s="91">
        <f t="shared" si="64"/>
        <v>0.95890434458816542</v>
      </c>
      <c r="P70" s="91">
        <f t="shared" si="64"/>
        <v>1.0108739911154345</v>
      </c>
      <c r="Q70" s="91">
        <f t="shared" si="64"/>
        <v>0.9543462152155846</v>
      </c>
      <c r="R70" s="91">
        <f t="shared" si="64"/>
        <v>0.95063464460271285</v>
      </c>
      <c r="S70" s="91">
        <f t="shared" si="64"/>
        <v>1.0521717468110687</v>
      </c>
      <c r="T70" s="91">
        <f t="shared" si="64"/>
        <v>1.1866554612229876</v>
      </c>
      <c r="U70" s="91">
        <f t="shared" si="64"/>
        <v>1.1201264062665</v>
      </c>
      <c r="V70" s="91">
        <f t="shared" si="64"/>
        <v>1.0275333219906699</v>
      </c>
      <c r="W70" s="91">
        <f t="shared" si="64"/>
        <v>1.2533129418511078</v>
      </c>
      <c r="DA70" s="171"/>
    </row>
    <row r="71" spans="1:105" ht="11.45" customHeight="1" x14ac:dyDescent="0.25">
      <c r="A71" s="83" t="s">
        <v>174</v>
      </c>
      <c r="B71" s="91">
        <f t="shared" si="61"/>
        <v>1.262424368074238</v>
      </c>
      <c r="C71" s="91">
        <f t="shared" ref="C71:W71" si="65">IF(C9=0,0,C21/C61)</f>
        <v>1.2577891456042518</v>
      </c>
      <c r="D71" s="91">
        <f t="shared" si="65"/>
        <v>1.2282413645242696</v>
      </c>
      <c r="E71" s="91">
        <f t="shared" si="65"/>
        <v>1.0393901300706987</v>
      </c>
      <c r="F71" s="91">
        <f t="shared" si="65"/>
        <v>0.88993517079260775</v>
      </c>
      <c r="G71" s="91">
        <f t="shared" si="65"/>
        <v>0.9997991289039303</v>
      </c>
      <c r="H71" s="91">
        <f t="shared" si="65"/>
        <v>0.94441836718322847</v>
      </c>
      <c r="I71" s="91">
        <f t="shared" si="65"/>
        <v>0.77866224052034572</v>
      </c>
      <c r="J71" s="91">
        <f t="shared" si="65"/>
        <v>0.97477517396558633</v>
      </c>
      <c r="K71" s="91">
        <f t="shared" si="65"/>
        <v>1.1043142035530171</v>
      </c>
      <c r="L71" s="91">
        <f t="shared" si="65"/>
        <v>1.1477010252324917</v>
      </c>
      <c r="M71" s="91">
        <f t="shared" si="65"/>
        <v>1.157555287854324</v>
      </c>
      <c r="N71" s="91">
        <f t="shared" si="65"/>
        <v>1.5961561296272357</v>
      </c>
      <c r="O71" s="91">
        <f t="shared" si="65"/>
        <v>1.3785849521960964</v>
      </c>
      <c r="P71" s="91">
        <f t="shared" si="65"/>
        <v>1.0864065159161729</v>
      </c>
      <c r="Q71" s="91">
        <f t="shared" si="65"/>
        <v>0.90717283412266292</v>
      </c>
      <c r="R71" s="91">
        <f t="shared" si="65"/>
        <v>0.87897980592780178</v>
      </c>
      <c r="S71" s="91">
        <f t="shared" si="65"/>
        <v>0.81495418436823275</v>
      </c>
      <c r="T71" s="91">
        <f t="shared" si="65"/>
        <v>0.66108593684459227</v>
      </c>
      <c r="U71" s="91">
        <f t="shared" si="65"/>
        <v>0.58834189519266811</v>
      </c>
      <c r="V71" s="91">
        <f t="shared" si="65"/>
        <v>0.97156248669346756</v>
      </c>
      <c r="W71" s="91">
        <f t="shared" si="65"/>
        <v>0.87612807021113503</v>
      </c>
      <c r="DA71" s="171"/>
    </row>
    <row r="72" spans="1:105" ht="11.45" customHeight="1" x14ac:dyDescent="0.25">
      <c r="A72" s="12" t="s">
        <v>34</v>
      </c>
      <c r="B72" s="24">
        <f t="shared" si="61"/>
        <v>1.4464537247971885</v>
      </c>
      <c r="C72" s="24">
        <f t="shared" ref="C72:W72" si="66">IF(C10=0,0,C22/C62)</f>
        <v>1.4613313020427552</v>
      </c>
      <c r="D72" s="24">
        <f t="shared" si="66"/>
        <v>1.5286274713425603</v>
      </c>
      <c r="E72" s="24">
        <f t="shared" si="66"/>
        <v>1.2806917769357216</v>
      </c>
      <c r="F72" s="24">
        <f t="shared" si="66"/>
        <v>1.0999971241323547</v>
      </c>
      <c r="G72" s="24">
        <f t="shared" si="66"/>
        <v>1.0626731827221567</v>
      </c>
      <c r="H72" s="24">
        <f t="shared" si="66"/>
        <v>0.96200974659106642</v>
      </c>
      <c r="I72" s="24">
        <f t="shared" si="66"/>
        <v>0.93341196783032021</v>
      </c>
      <c r="J72" s="24">
        <f t="shared" si="66"/>
        <v>1.0725292876320032</v>
      </c>
      <c r="K72" s="24">
        <f t="shared" si="66"/>
        <v>1.0507667608507039</v>
      </c>
      <c r="L72" s="24">
        <f t="shared" si="66"/>
        <v>1.0885177925301066</v>
      </c>
      <c r="M72" s="24">
        <f t="shared" si="66"/>
        <v>1.0676952356978047</v>
      </c>
      <c r="N72" s="24">
        <f t="shared" si="66"/>
        <v>0.95970150665476917</v>
      </c>
      <c r="O72" s="24">
        <f t="shared" si="66"/>
        <v>0.98959238930064952</v>
      </c>
      <c r="P72" s="24">
        <f t="shared" si="66"/>
        <v>0.99381301634226304</v>
      </c>
      <c r="Q72" s="24">
        <f t="shared" si="66"/>
        <v>0.91330338423805502</v>
      </c>
      <c r="R72" s="24">
        <f t="shared" si="66"/>
        <v>0.89705433474290119</v>
      </c>
      <c r="S72" s="24">
        <f t="shared" si="66"/>
        <v>0.95683654699632581</v>
      </c>
      <c r="T72" s="24">
        <f t="shared" si="66"/>
        <v>0.99213428916320956</v>
      </c>
      <c r="U72" s="24">
        <f t="shared" si="66"/>
        <v>0.8463002916221426</v>
      </c>
      <c r="V72" s="24">
        <f t="shared" si="66"/>
        <v>1.0667872660398863</v>
      </c>
      <c r="W72" s="24">
        <f t="shared" si="66"/>
        <v>1.1433325603600906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1.6160567345326229</v>
      </c>
      <c r="C74" s="93">
        <f t="shared" ref="C74:W74" si="68">IF(C12=0,0,C24/C64)</f>
        <v>1.610205611050719</v>
      </c>
      <c r="D74" s="93">
        <f t="shared" si="68"/>
        <v>1.6004696536332474</v>
      </c>
      <c r="E74" s="93">
        <f t="shared" si="68"/>
        <v>1.3549484368276181</v>
      </c>
      <c r="F74" s="93">
        <f t="shared" si="68"/>
        <v>1.1477005599079269</v>
      </c>
      <c r="G74" s="93">
        <f t="shared" si="68"/>
        <v>1.0860825088903099</v>
      </c>
      <c r="H74" s="93">
        <f t="shared" si="68"/>
        <v>1.0756726086121817</v>
      </c>
      <c r="I74" s="93">
        <f t="shared" si="68"/>
        <v>1.0191262402294179</v>
      </c>
      <c r="J74" s="93">
        <f t="shared" si="68"/>
        <v>1.1762016389275016</v>
      </c>
      <c r="K74" s="93">
        <f t="shared" si="68"/>
        <v>1.0760084746088903</v>
      </c>
      <c r="L74" s="93">
        <f t="shared" si="68"/>
        <v>1.1174893819650333</v>
      </c>
      <c r="M74" s="93">
        <f t="shared" si="68"/>
        <v>1.0724515563613848</v>
      </c>
      <c r="N74" s="93">
        <f t="shared" si="68"/>
        <v>0.8946483244497444</v>
      </c>
      <c r="O74" s="93">
        <f t="shared" si="68"/>
        <v>0.94654527129257238</v>
      </c>
      <c r="P74" s="93">
        <f t="shared" si="68"/>
        <v>0.9958476111600465</v>
      </c>
      <c r="Q74" s="93">
        <f t="shared" si="68"/>
        <v>0.92661085213297401</v>
      </c>
      <c r="R74" s="93">
        <f t="shared" si="68"/>
        <v>0.92112616046767126</v>
      </c>
      <c r="S74" s="93">
        <f t="shared" si="68"/>
        <v>1.0131490729597155</v>
      </c>
      <c r="T74" s="93">
        <f t="shared" si="68"/>
        <v>1.1165587993908381</v>
      </c>
      <c r="U74" s="93">
        <f t="shared" si="68"/>
        <v>1.0246461705266277</v>
      </c>
      <c r="V74" s="93">
        <f t="shared" si="68"/>
        <v>1.1671220740318962</v>
      </c>
      <c r="W74" s="93">
        <f t="shared" si="68"/>
        <v>1.3615572083680496</v>
      </c>
      <c r="DA74" s="175"/>
    </row>
    <row r="75" spans="1:105" ht="11.45" customHeight="1" x14ac:dyDescent="0.25">
      <c r="A75" s="85" t="s">
        <v>174</v>
      </c>
      <c r="B75" s="94">
        <f t="shared" si="61"/>
        <v>1.1361819312668144</v>
      </c>
      <c r="C75" s="94">
        <f t="shared" ref="C75:W75" si="69">IF(C13=0,0,C25/C65)</f>
        <v>1.1320102310438267</v>
      </c>
      <c r="D75" s="94">
        <f t="shared" si="69"/>
        <v>1.1054172280718428</v>
      </c>
      <c r="E75" s="94">
        <f t="shared" si="69"/>
        <v>0.93545111706362916</v>
      </c>
      <c r="F75" s="94">
        <f t="shared" si="69"/>
        <v>0.80094165371334713</v>
      </c>
      <c r="G75" s="94">
        <f t="shared" si="69"/>
        <v>0.8998192160135372</v>
      </c>
      <c r="H75" s="94">
        <f t="shared" si="69"/>
        <v>0.84997653046490562</v>
      </c>
      <c r="I75" s="94">
        <f t="shared" si="69"/>
        <v>0.70079601646831113</v>
      </c>
      <c r="J75" s="94">
        <f t="shared" si="69"/>
        <v>0.87729765656902792</v>
      </c>
      <c r="K75" s="94">
        <f t="shared" si="69"/>
        <v>0.99388278319771539</v>
      </c>
      <c r="L75" s="94">
        <f t="shared" si="69"/>
        <v>1.0329309227092427</v>
      </c>
      <c r="M75" s="94">
        <f t="shared" si="69"/>
        <v>1.0417997590688914</v>
      </c>
      <c r="N75" s="94">
        <f t="shared" si="69"/>
        <v>1.4365405166645122</v>
      </c>
      <c r="O75" s="94">
        <f t="shared" si="69"/>
        <v>1.2407264569764866</v>
      </c>
      <c r="P75" s="94">
        <f t="shared" si="69"/>
        <v>0.9777658643245557</v>
      </c>
      <c r="Q75" s="94">
        <f t="shared" si="69"/>
        <v>0.81645555071039655</v>
      </c>
      <c r="R75" s="94">
        <f t="shared" si="69"/>
        <v>0.79108182533502136</v>
      </c>
      <c r="S75" s="94">
        <f t="shared" si="69"/>
        <v>0.73345876593140957</v>
      </c>
      <c r="T75" s="94">
        <f t="shared" si="69"/>
        <v>0.59497734316013318</v>
      </c>
      <c r="U75" s="94">
        <f t="shared" si="69"/>
        <v>0.52950770567340133</v>
      </c>
      <c r="V75" s="94">
        <f t="shared" si="69"/>
        <v>0.87440623802412087</v>
      </c>
      <c r="W75" s="94">
        <f t="shared" si="69"/>
        <v>0.78851526319002163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722.66090400000019</v>
      </c>
      <c r="C3" s="79">
        <f t="shared" si="0"/>
        <v>678.4094520000001</v>
      </c>
      <c r="D3" s="79">
        <f t="shared" ref="D3" si="1">SUM(D4:D5)</f>
        <v>640.35997199999997</v>
      </c>
      <c r="E3" s="79">
        <f t="shared" ref="E3" si="2">SUM(E4:E5)</f>
        <v>627.67681200000004</v>
      </c>
      <c r="F3" s="79">
        <f t="shared" ref="F3" si="3">SUM(F4:F5)</f>
        <v>679.159584</v>
      </c>
      <c r="G3" s="79">
        <f t="shared" ref="G3" si="4">SUM(G4:G5)</f>
        <v>784.41462000000013</v>
      </c>
      <c r="H3" s="79">
        <f t="shared" ref="H3" si="5">SUM(H4:H5)</f>
        <v>797.22720000000015</v>
      </c>
      <c r="I3" s="79">
        <f t="shared" ref="I3" si="6">SUM(I4:I5)</f>
        <v>730.79151372000047</v>
      </c>
      <c r="J3" s="79">
        <f t="shared" ref="J3" si="7">SUM(J4:J5)</f>
        <v>812.32611372000008</v>
      </c>
      <c r="K3" s="79">
        <f t="shared" ref="K3" si="8">SUM(K4:K5)</f>
        <v>694.5539137200002</v>
      </c>
      <c r="L3" s="79">
        <f t="shared" ref="L3" si="9">SUM(L4:L5)</f>
        <v>691.53428628000017</v>
      </c>
      <c r="M3" s="79">
        <f t="shared" ref="M3" si="10">SUM(M4:M5)</f>
        <v>700.56469619999996</v>
      </c>
      <c r="N3" s="79">
        <f t="shared" ref="N3" si="11">SUM(N4:N5)</f>
        <v>501.28688627999986</v>
      </c>
      <c r="O3" s="79">
        <f t="shared" ref="O3" si="12">SUM(O4:O5)</f>
        <v>489.20759999999984</v>
      </c>
      <c r="P3" s="79">
        <f t="shared" ref="P3" si="13">SUM(P4:P5)</f>
        <v>513.92681999999991</v>
      </c>
      <c r="Q3" s="79">
        <f t="shared" ref="Q3" si="14">SUM(Q4:Q5)</f>
        <v>525.94838495999988</v>
      </c>
      <c r="R3" s="79">
        <f t="shared" ref="R3" si="15">SUM(R4:R5)</f>
        <v>578.80066571999987</v>
      </c>
      <c r="S3" s="79">
        <f t="shared" ref="S3" si="16">SUM(S4:S5)</f>
        <v>672.8079888000002</v>
      </c>
      <c r="T3" s="79">
        <f t="shared" ref="T3" si="17">SUM(T4:T5)</f>
        <v>831.66534431999992</v>
      </c>
      <c r="U3" s="79">
        <f t="shared" ref="U3" si="18">SUM(U4:U5)</f>
        <v>841.00998599999969</v>
      </c>
      <c r="V3" s="79">
        <f t="shared" ref="V3:W3" si="19">SUM(V4:V5)</f>
        <v>305.25544763999983</v>
      </c>
      <c r="W3" s="79">
        <f t="shared" si="19"/>
        <v>370.66742171999994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722.66090400000019</v>
      </c>
      <c r="C5" s="96">
        <f t="shared" si="23"/>
        <v>678.4094520000001</v>
      </c>
      <c r="D5" s="96">
        <f t="shared" ref="D5:V5" si="24">SUM(D8:D9,D12:D13)</f>
        <v>640.35997199999997</v>
      </c>
      <c r="E5" s="96">
        <f t="shared" si="24"/>
        <v>627.67681200000004</v>
      </c>
      <c r="F5" s="96">
        <f t="shared" si="24"/>
        <v>679.159584</v>
      </c>
      <c r="G5" s="96">
        <f t="shared" si="24"/>
        <v>784.41462000000013</v>
      </c>
      <c r="H5" s="96">
        <f t="shared" si="24"/>
        <v>797.22720000000015</v>
      </c>
      <c r="I5" s="96">
        <f t="shared" si="24"/>
        <v>730.79151372000047</v>
      </c>
      <c r="J5" s="96">
        <f t="shared" si="24"/>
        <v>812.32611372000008</v>
      </c>
      <c r="K5" s="96">
        <f t="shared" si="24"/>
        <v>694.5539137200002</v>
      </c>
      <c r="L5" s="96">
        <f t="shared" si="24"/>
        <v>691.53428628000017</v>
      </c>
      <c r="M5" s="96">
        <f t="shared" si="24"/>
        <v>700.56469619999996</v>
      </c>
      <c r="N5" s="96">
        <f t="shared" si="24"/>
        <v>501.28688627999986</v>
      </c>
      <c r="O5" s="96">
        <f t="shared" si="24"/>
        <v>489.20759999999984</v>
      </c>
      <c r="P5" s="96">
        <f t="shared" si="24"/>
        <v>513.92681999999991</v>
      </c>
      <c r="Q5" s="96">
        <f t="shared" si="24"/>
        <v>525.94838495999988</v>
      </c>
      <c r="R5" s="96">
        <f t="shared" si="24"/>
        <v>578.80066571999987</v>
      </c>
      <c r="S5" s="96">
        <f t="shared" si="24"/>
        <v>672.8079888000002</v>
      </c>
      <c r="T5" s="96">
        <f t="shared" si="24"/>
        <v>831.66534431999992</v>
      </c>
      <c r="U5" s="96">
        <f t="shared" si="24"/>
        <v>841.00998599999969</v>
      </c>
      <c r="V5" s="96">
        <f t="shared" si="24"/>
        <v>305.25544763999983</v>
      </c>
      <c r="W5" s="96">
        <f t="shared" ref="W5" si="25">SUM(W8:W9,W12:W13)</f>
        <v>370.66742171999994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708.83360805510983</v>
      </c>
      <c r="C6" s="21">
        <f t="shared" si="26"/>
        <v>663.67069763989684</v>
      </c>
      <c r="D6" s="21">
        <f t="shared" ref="D6:V6" si="27">SUM(D7:D9)</f>
        <v>623.45192680558011</v>
      </c>
      <c r="E6" s="21">
        <f t="shared" si="27"/>
        <v>614.02607483181146</v>
      </c>
      <c r="F6" s="21">
        <f t="shared" si="27"/>
        <v>667.56153131980705</v>
      </c>
      <c r="G6" s="21">
        <f t="shared" si="27"/>
        <v>769.99542889605573</v>
      </c>
      <c r="H6" s="21">
        <f t="shared" si="27"/>
        <v>779.77986535317268</v>
      </c>
      <c r="I6" s="21">
        <f t="shared" si="27"/>
        <v>717.64777475163874</v>
      </c>
      <c r="J6" s="21">
        <f t="shared" si="27"/>
        <v>799.60928961053582</v>
      </c>
      <c r="K6" s="21">
        <f t="shared" si="27"/>
        <v>683.51556619595874</v>
      </c>
      <c r="L6" s="21">
        <f t="shared" si="27"/>
        <v>679.03679844460953</v>
      </c>
      <c r="M6" s="21">
        <f t="shared" si="27"/>
        <v>687.72041425349801</v>
      </c>
      <c r="N6" s="21">
        <f t="shared" si="27"/>
        <v>490.86687091974966</v>
      </c>
      <c r="O6" s="21">
        <f t="shared" si="27"/>
        <v>478.09686370565498</v>
      </c>
      <c r="P6" s="21">
        <f t="shared" si="27"/>
        <v>504.1599294596416</v>
      </c>
      <c r="Q6" s="21">
        <f t="shared" si="27"/>
        <v>515.99966699578067</v>
      </c>
      <c r="R6" s="21">
        <f t="shared" si="27"/>
        <v>568.62382067365047</v>
      </c>
      <c r="S6" s="21">
        <f t="shared" si="27"/>
        <v>660.83172824260873</v>
      </c>
      <c r="T6" s="21">
        <f t="shared" si="27"/>
        <v>817.60373378969462</v>
      </c>
      <c r="U6" s="21">
        <f t="shared" si="27"/>
        <v>828.55509832663802</v>
      </c>
      <c r="V6" s="21">
        <f t="shared" si="27"/>
        <v>289.3769969234425</v>
      </c>
      <c r="W6" s="21">
        <f t="shared" ref="W6" si="28">SUM(W7:W9)</f>
        <v>348.03202600166486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442.31748382101131</v>
      </c>
      <c r="C8" s="96">
        <v>414.13154787519875</v>
      </c>
      <c r="D8" s="96">
        <v>395.48628043686659</v>
      </c>
      <c r="E8" s="96">
        <v>372.67610005676727</v>
      </c>
      <c r="F8" s="96">
        <v>434.27529766918116</v>
      </c>
      <c r="G8" s="96">
        <v>514.82867794111155</v>
      </c>
      <c r="H8" s="96">
        <v>519.91855260275918</v>
      </c>
      <c r="I8" s="96">
        <v>478.35519394320414</v>
      </c>
      <c r="J8" s="96">
        <v>535.64343600269831</v>
      </c>
      <c r="K8" s="96">
        <v>445.87067152981604</v>
      </c>
      <c r="L8" s="96">
        <v>440.41358682329337</v>
      </c>
      <c r="M8" s="96">
        <v>445.70883165505569</v>
      </c>
      <c r="N8" s="96">
        <v>318.94313195862344</v>
      </c>
      <c r="O8" s="96">
        <v>311.13420803392205</v>
      </c>
      <c r="P8" s="96">
        <v>331.56889553625871</v>
      </c>
      <c r="Q8" s="96">
        <v>342.73437886434692</v>
      </c>
      <c r="R8" s="96">
        <v>388.60571122066489</v>
      </c>
      <c r="S8" s="96">
        <v>457.02905908405171</v>
      </c>
      <c r="T8" s="96">
        <v>566.0714416565072</v>
      </c>
      <c r="U8" s="96">
        <v>574.23161469431398</v>
      </c>
      <c r="V8" s="96">
        <v>178.6025120011027</v>
      </c>
      <c r="W8" s="96">
        <v>222.46749652064727</v>
      </c>
      <c r="DA8" s="171" t="s">
        <v>328</v>
      </c>
    </row>
    <row r="9" spans="1:105" ht="11.45" customHeight="1" x14ac:dyDescent="0.25">
      <c r="A9" s="83" t="s">
        <v>174</v>
      </c>
      <c r="B9" s="96">
        <v>266.51612423409858</v>
      </c>
      <c r="C9" s="96">
        <v>249.53914976469807</v>
      </c>
      <c r="D9" s="96">
        <v>227.96564636871349</v>
      </c>
      <c r="E9" s="96">
        <v>241.34997477504416</v>
      </c>
      <c r="F9" s="96">
        <v>233.28623365062589</v>
      </c>
      <c r="G9" s="96">
        <v>255.16675095494423</v>
      </c>
      <c r="H9" s="96">
        <v>259.86131275041356</v>
      </c>
      <c r="I9" s="96">
        <v>239.29258080843454</v>
      </c>
      <c r="J9" s="96">
        <v>263.96585360783746</v>
      </c>
      <c r="K9" s="96">
        <v>237.64489466614268</v>
      </c>
      <c r="L9" s="96">
        <v>238.62321162131616</v>
      </c>
      <c r="M9" s="96">
        <v>242.01158259844235</v>
      </c>
      <c r="N9" s="96">
        <v>171.92373896112625</v>
      </c>
      <c r="O9" s="96">
        <v>166.96265567173293</v>
      </c>
      <c r="P9" s="96">
        <v>172.59103392338287</v>
      </c>
      <c r="Q9" s="96">
        <v>173.26528813143369</v>
      </c>
      <c r="R9" s="96">
        <v>180.01810945298561</v>
      </c>
      <c r="S9" s="96">
        <v>203.80266915855702</v>
      </c>
      <c r="T9" s="96">
        <v>251.53229213318738</v>
      </c>
      <c r="U9" s="96">
        <v>254.3234836323241</v>
      </c>
      <c r="V9" s="96">
        <v>110.77448492233982</v>
      </c>
      <c r="W9" s="96">
        <v>125.56452948101757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13.827295944890384</v>
      </c>
      <c r="C10" s="22">
        <f t="shared" si="29"/>
        <v>14.7387543601033</v>
      </c>
      <c r="D10" s="22">
        <f t="shared" ref="D10:V10" si="30">SUM(D11:D13)</f>
        <v>16.908045194419763</v>
      </c>
      <c r="E10" s="22">
        <f t="shared" si="30"/>
        <v>13.650737168188575</v>
      </c>
      <c r="F10" s="22">
        <f t="shared" si="30"/>
        <v>11.598052680192989</v>
      </c>
      <c r="G10" s="22">
        <f t="shared" si="30"/>
        <v>14.419191103944303</v>
      </c>
      <c r="H10" s="22">
        <f t="shared" si="30"/>
        <v>17.447334646827475</v>
      </c>
      <c r="I10" s="22">
        <f t="shared" si="30"/>
        <v>13.143738968361619</v>
      </c>
      <c r="J10" s="22">
        <f t="shared" si="30"/>
        <v>12.716824109464273</v>
      </c>
      <c r="K10" s="22">
        <f t="shared" si="30"/>
        <v>11.038347524041454</v>
      </c>
      <c r="L10" s="22">
        <f t="shared" si="30"/>
        <v>12.497487835390668</v>
      </c>
      <c r="M10" s="22">
        <f t="shared" si="30"/>
        <v>12.844281946501985</v>
      </c>
      <c r="N10" s="22">
        <f t="shared" si="30"/>
        <v>10.420015360250209</v>
      </c>
      <c r="O10" s="22">
        <f t="shared" si="30"/>
        <v>11.11073629434488</v>
      </c>
      <c r="P10" s="22">
        <f t="shared" si="30"/>
        <v>9.7668905403583643</v>
      </c>
      <c r="Q10" s="22">
        <f t="shared" si="30"/>
        <v>9.9487179642192238</v>
      </c>
      <c r="R10" s="22">
        <f t="shared" si="30"/>
        <v>10.176845046349438</v>
      </c>
      <c r="S10" s="22">
        <f t="shared" si="30"/>
        <v>11.97626055739145</v>
      </c>
      <c r="T10" s="22">
        <f t="shared" si="30"/>
        <v>14.061610530305327</v>
      </c>
      <c r="U10" s="22">
        <f t="shared" si="30"/>
        <v>12.454887673361673</v>
      </c>
      <c r="V10" s="22">
        <f t="shared" si="30"/>
        <v>15.878450716557293</v>
      </c>
      <c r="W10" s="22">
        <f t="shared" ref="W10" si="31">SUM(W11:W13)</f>
        <v>22.635395718335072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9.9885780243807858</v>
      </c>
      <c r="C12" s="97">
        <v>11.184268191919731</v>
      </c>
      <c r="D12" s="97">
        <v>15.133666590137933</v>
      </c>
      <c r="E12" s="97">
        <v>11.885761178002673</v>
      </c>
      <c r="F12" s="97">
        <v>10.436292617776184</v>
      </c>
      <c r="G12" s="97">
        <v>12.884722253819128</v>
      </c>
      <c r="H12" s="97">
        <v>9.6839495788125429</v>
      </c>
      <c r="I12" s="97">
        <v>10.486611105461693</v>
      </c>
      <c r="J12" s="97">
        <v>9.1089803599641233</v>
      </c>
      <c r="K12" s="97">
        <v>7.8293254617992556</v>
      </c>
      <c r="L12" s="97">
        <v>8.4342360911835446</v>
      </c>
      <c r="M12" s="97">
        <v>10.899540098502808</v>
      </c>
      <c r="N12" s="97">
        <v>8.5475848278493824</v>
      </c>
      <c r="O12" s="97">
        <v>9.0723254391814372</v>
      </c>
      <c r="P12" s="97">
        <v>8.6856456684037244</v>
      </c>
      <c r="Q12" s="97">
        <v>8.8742966328246595</v>
      </c>
      <c r="R12" s="97">
        <v>8.5156010987519046</v>
      </c>
      <c r="S12" s="97">
        <v>10.127899639311924</v>
      </c>
      <c r="T12" s="97">
        <v>12.049977162652567</v>
      </c>
      <c r="U12" s="97">
        <v>9.6480065376728188</v>
      </c>
      <c r="V12" s="97">
        <v>11.417278847104445</v>
      </c>
      <c r="W12" s="97">
        <v>16.690516804426011</v>
      </c>
      <c r="DA12" s="175" t="s">
        <v>332</v>
      </c>
    </row>
    <row r="13" spans="1:105" ht="11.45" customHeight="1" x14ac:dyDescent="0.25">
      <c r="A13" s="85" t="s">
        <v>174</v>
      </c>
      <c r="B13" s="98">
        <v>3.8387179205095987</v>
      </c>
      <c r="C13" s="98">
        <v>3.5544861681835687</v>
      </c>
      <c r="D13" s="98">
        <v>1.7743786042818313</v>
      </c>
      <c r="E13" s="98">
        <v>1.7649759901859026</v>
      </c>
      <c r="F13" s="98">
        <v>1.1617600624168054</v>
      </c>
      <c r="G13" s="98">
        <v>1.5344688501251762</v>
      </c>
      <c r="H13" s="98">
        <v>7.763385068014931</v>
      </c>
      <c r="I13" s="98">
        <v>2.6571278628999271</v>
      </c>
      <c r="J13" s="98">
        <v>3.6078437495001507</v>
      </c>
      <c r="K13" s="98">
        <v>3.2090220622421985</v>
      </c>
      <c r="L13" s="98">
        <v>4.0632517442071228</v>
      </c>
      <c r="M13" s="98">
        <v>1.9447418479991765</v>
      </c>
      <c r="N13" s="98">
        <v>1.8724305324008264</v>
      </c>
      <c r="O13" s="98">
        <v>2.0384108551634434</v>
      </c>
      <c r="P13" s="98">
        <v>1.0812448719546393</v>
      </c>
      <c r="Q13" s="98">
        <v>1.074421331394565</v>
      </c>
      <c r="R13" s="98">
        <v>1.6612439475975329</v>
      </c>
      <c r="S13" s="98">
        <v>1.8483609180795271</v>
      </c>
      <c r="T13" s="98">
        <v>2.0116333676527596</v>
      </c>
      <c r="U13" s="98">
        <v>2.8068811356888546</v>
      </c>
      <c r="V13" s="98">
        <v>4.4611718694528468</v>
      </c>
      <c r="W13" s="98">
        <v>5.9448789139090614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3.0089073884997339</v>
      </c>
      <c r="C19" s="98">
        <f>IF(C5=0,0,C5/TrAvia_ene!C5)</f>
        <v>3.009562412867508</v>
      </c>
      <c r="D19" s="98">
        <f>IF(D5=0,0,D5/TrAvia_ene!D5)</f>
        <v>3.0095180512654309</v>
      </c>
      <c r="E19" s="98">
        <f>IF(E5=0,0,E5/TrAvia_ene!E5)</f>
        <v>3.009502069194113</v>
      </c>
      <c r="F19" s="98">
        <f>IF(F5=0,0,F5/TrAvia_ene!F5)</f>
        <v>3.009955525665859</v>
      </c>
      <c r="G19" s="98">
        <f>IF(G5=0,0,G5/TrAvia_ene!G5)</f>
        <v>3.0103092</v>
      </c>
      <c r="H19" s="98">
        <f>IF(H5=0,0,H5/TrAvia_ene!H5)</f>
        <v>3.0103091999999996</v>
      </c>
      <c r="I19" s="98">
        <f>IF(I5=0,0,I5/TrAvia_ene!I5)</f>
        <v>3.0103092000000018</v>
      </c>
      <c r="J19" s="98">
        <f>IF(J5=0,0,J5/TrAvia_ene!J5)</f>
        <v>3.0103092000000014</v>
      </c>
      <c r="K19" s="98">
        <f>IF(K5=0,0,K5/TrAvia_ene!K5)</f>
        <v>3.0103092000000014</v>
      </c>
      <c r="L19" s="98">
        <f>IF(L5=0,0,L5/TrAvia_ene!L5)</f>
        <v>3.0103092000000018</v>
      </c>
      <c r="M19" s="98">
        <f>IF(M5=0,0,M5/TrAvia_ene!M5)</f>
        <v>3.0103091999999996</v>
      </c>
      <c r="N19" s="98">
        <f>IF(N5=0,0,N5/TrAvia_ene!N5)</f>
        <v>3.0103092</v>
      </c>
      <c r="O19" s="98">
        <f>IF(O5=0,0,O5/TrAvia_ene!O5)</f>
        <v>3.0103092</v>
      </c>
      <c r="P19" s="98">
        <f>IF(P5=0,0,P5/TrAvia_ene!P5)</f>
        <v>3.0103092000000009</v>
      </c>
      <c r="Q19" s="98">
        <f>IF(Q5=0,0,Q5/TrAvia_ene!Q5)</f>
        <v>3.0103091999999991</v>
      </c>
      <c r="R19" s="98">
        <f>IF(R5=0,0,R5/TrAvia_ene!R5)</f>
        <v>3.0103092000000009</v>
      </c>
      <c r="S19" s="98">
        <f>IF(S5=0,0,S5/TrAvia_ene!S5)</f>
        <v>3.0103092000000009</v>
      </c>
      <c r="T19" s="98">
        <f>IF(T5=0,0,T5/TrAvia_ene!T5)</f>
        <v>3.0103091999999991</v>
      </c>
      <c r="U19" s="98">
        <f>IF(U5=0,0,U5/TrAvia_ene!U5)</f>
        <v>3.0103091999999991</v>
      </c>
      <c r="V19" s="98">
        <f>IF(V5=0,0,V5/TrAvia_ene!V5)</f>
        <v>3.0103092</v>
      </c>
      <c r="W19" s="98">
        <f>IF(W5=0,0,W5/TrAvia_ene!W5)</f>
        <v>3.0103092000000005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17124.424365930532</v>
      </c>
      <c r="C21" s="54">
        <f>IF(C3=0,0,C3/TrAvia_act!C13*1000)</f>
        <v>17069.32971767964</v>
      </c>
      <c r="D21" s="54">
        <f>IF(D3=0,0,D3/TrAvia_act!D13*1000)</f>
        <v>16654.129722849608</v>
      </c>
      <c r="E21" s="54">
        <f>IF(E3=0,0,E3/TrAvia_act!E13*1000)</f>
        <v>14105.113810297689</v>
      </c>
      <c r="F21" s="54">
        <f>IF(F3=0,0,F3/TrAvia_act!F13*1000)</f>
        <v>12079.634546982184</v>
      </c>
      <c r="G21" s="54">
        <f>IF(G3=0,0,G3/TrAvia_act!G13*1000)</f>
        <v>12079.596062130498</v>
      </c>
      <c r="H21" s="54">
        <f>IF(H3=0,0,H3/TrAvia_act!H13*1000)</f>
        <v>11990.31789828726</v>
      </c>
      <c r="I21" s="54">
        <f>IF(I3=0,0,I3/TrAvia_act!I13*1000)</f>
        <v>10788.397078395061</v>
      </c>
      <c r="J21" s="54">
        <f>IF(J3=0,0,J3/TrAvia_act!J13*1000)</f>
        <v>12652.446713438932</v>
      </c>
      <c r="K21" s="54">
        <f>IF(K3=0,0,K3/TrAvia_act!K13*1000)</f>
        <v>11962.353718190219</v>
      </c>
      <c r="L21" s="54">
        <f>IF(L3=0,0,L3/TrAvia_act!L13*1000)</f>
        <v>12387.234029808778</v>
      </c>
      <c r="M21" s="54">
        <f>IF(M3=0,0,M3/TrAvia_act!M13*1000)</f>
        <v>12001.668106982335</v>
      </c>
      <c r="N21" s="54">
        <f>IF(N3=0,0,N3/TrAvia_act!N13*1000)</f>
        <v>10987.451352868467</v>
      </c>
      <c r="O21" s="54">
        <f>IF(O3=0,0,O3/TrAvia_act!O13*1000)</f>
        <v>11151.244361729097</v>
      </c>
      <c r="P21" s="54">
        <f>IF(P3=0,0,P3/TrAvia_act!P13*1000)</f>
        <v>10960.33609598508</v>
      </c>
      <c r="Q21" s="54">
        <f>IF(Q3=0,0,Q3/TrAvia_act!Q13*1000)</f>
        <v>10060.038798319965</v>
      </c>
      <c r="R21" s="54">
        <f>IF(R3=0,0,R3/TrAvia_act!R13*1000)</f>
        <v>10031.271083675741</v>
      </c>
      <c r="S21" s="54">
        <f>IF(S3=0,0,S3/TrAvia_act!S13*1000)</f>
        <v>10662.912519872314</v>
      </c>
      <c r="T21" s="54">
        <f>IF(T3=0,0,T3/TrAvia_act!T13*1000)</f>
        <v>11028.365560911378</v>
      </c>
      <c r="U21" s="54">
        <f>IF(U3=0,0,U3/TrAvia_act!U13*1000)</f>
        <v>10230.843329056474</v>
      </c>
      <c r="V21" s="54">
        <f>IF(V3=0,0,V3/TrAvia_act!V13*1000)</f>
        <v>11529.616376385164</v>
      </c>
      <c r="W21" s="54">
        <f>IF(W3=0,0,W3/TrAvia_act!W13*1000)</f>
        <v>12701.976603508438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17117.594636247446</v>
      </c>
      <c r="C22" s="11">
        <f>IF(C6=0,0,C6/TrAvia_act!C14*1000)</f>
        <v>17058.472195427701</v>
      </c>
      <c r="D22" s="11">
        <f>IF(D6=0,0,D6/TrAvia_act!D14*1000)</f>
        <v>16626.812982257816</v>
      </c>
      <c r="E22" s="11">
        <f>IF(E6=0,0,E6/TrAvia_act!E14*1000)</f>
        <v>14088.151104260281</v>
      </c>
      <c r="F22" s="11">
        <f>IF(F6=0,0,F6/TrAvia_act!F14*1000)</f>
        <v>12066.830957400811</v>
      </c>
      <c r="G22" s="11">
        <f>IF(G6=0,0,G6/TrAvia_act!G14*1000)</f>
        <v>12077.231683166898</v>
      </c>
      <c r="H22" s="11">
        <f>IF(H6=0,0,H6/TrAvia_act!H14*1000)</f>
        <v>11994.979903415722</v>
      </c>
      <c r="I22" s="11">
        <f>IF(I6=0,0,I6/TrAvia_act!I14*1000)</f>
        <v>10780.200854660878</v>
      </c>
      <c r="J22" s="11">
        <f>IF(J6=0,0,J6/TrAvia_act!J14*1000)</f>
        <v>12644.729984153153</v>
      </c>
      <c r="K22" s="11">
        <f>IF(K6=0,0,K6/TrAvia_act!K14*1000)</f>
        <v>11947.944603377409</v>
      </c>
      <c r="L22" s="11">
        <f>IF(L6=0,0,L6/TrAvia_act!L14*1000)</f>
        <v>12366.320260515702</v>
      </c>
      <c r="M22" s="11">
        <f>IF(M6=0,0,M6/TrAvia_act!M14*1000)</f>
        <v>11979.040713784136</v>
      </c>
      <c r="N22" s="11">
        <f>IF(N6=0,0,N6/TrAvia_act!N14*1000)</f>
        <v>10971.875064701058</v>
      </c>
      <c r="O22" s="11">
        <f>IF(O6=0,0,O6/TrAvia_act!O14*1000)</f>
        <v>11128.533035998194</v>
      </c>
      <c r="P22" s="11">
        <f>IF(P6=0,0,P6/TrAvia_act!P14*1000)</f>
        <v>10937.483188141112</v>
      </c>
      <c r="Q22" s="11">
        <f>IF(Q6=0,0,Q6/TrAvia_act!Q14*1000)</f>
        <v>10043.41449495043</v>
      </c>
      <c r="R22" s="11">
        <f>IF(R6=0,0,R6/TrAvia_act!R14*1000)</f>
        <v>10020.461092928315</v>
      </c>
      <c r="S22" s="11">
        <f>IF(S6=0,0,S6/TrAvia_act!S14*1000)</f>
        <v>10650.146199166182</v>
      </c>
      <c r="T22" s="11">
        <f>IF(T6=0,0,T6/TrAvia_act!T14*1000)</f>
        <v>11018.563377357897</v>
      </c>
      <c r="U22" s="11">
        <f>IF(U6=0,0,U6/TrAvia_act!U14*1000)</f>
        <v>10226.072325801339</v>
      </c>
      <c r="V22" s="11">
        <f>IF(V6=0,0,V6/TrAvia_act!V14*1000)</f>
        <v>11437.690698025355</v>
      </c>
      <c r="W22" s="11">
        <f>IF(W6=0,0,W6/TrAvia_act!W14*1000)</f>
        <v>12615.872245943512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16635.027171434947</v>
      </c>
      <c r="C24" s="84">
        <f>IF(C8=0,0,C8/TrAvia_act!C16*1000)</f>
        <v>16577.567879906532</v>
      </c>
      <c r="D24" s="84">
        <f>IF(D8=0,0,D8/TrAvia_act!D16*1000)</f>
        <v>16161.973592146151</v>
      </c>
      <c r="E24" s="84">
        <f>IF(E8=0,0,E8/TrAvia_act!E16*1000)</f>
        <v>13657.522537552772</v>
      </c>
      <c r="F24" s="84">
        <f>IF(F8=0,0,F8/TrAvia_act!F16*1000)</f>
        <v>11760.546032098879</v>
      </c>
      <c r="G24" s="84">
        <f>IF(G8=0,0,G8/TrAvia_act!G16*1000)</f>
        <v>11226.173913181905</v>
      </c>
      <c r="H24" s="84">
        <f>IF(H8=0,0,H8/TrAvia_act!H16*1000)</f>
        <v>11437.179115974091</v>
      </c>
      <c r="I24" s="84">
        <f>IF(I8=0,0,I8/TrAvia_act!I16*1000)</f>
        <v>10746.588383910395</v>
      </c>
      <c r="J24" s="84">
        <f>IF(J8=0,0,J8/TrAvia_act!J16*1000)</f>
        <v>12416.975539017803</v>
      </c>
      <c r="K24" s="84">
        <f>IF(K8=0,0,K8/TrAvia_act!K16*1000)</f>
        <v>10931.40596069917</v>
      </c>
      <c r="L24" s="84">
        <f>IF(L8=0,0,L8/TrAvia_act!L16*1000)</f>
        <v>11379.217012387091</v>
      </c>
      <c r="M24" s="84">
        <f>IF(M8=0,0,M8/TrAvia_act!M16*1000)</f>
        <v>11126.695214492178</v>
      </c>
      <c r="N24" s="84">
        <f>IF(N8=0,0,N8/TrAvia_act!N16*1000)</f>
        <v>9060.509539551791</v>
      </c>
      <c r="O24" s="84">
        <f>IF(O8=0,0,O8/TrAvia_act!O16*1000)</f>
        <v>9538.5390375526458</v>
      </c>
      <c r="P24" s="84">
        <f>IF(P8=0,0,P8/TrAvia_act!P16*1000)</f>
        <v>10050.837912104449</v>
      </c>
      <c r="Q24" s="84">
        <f>IF(Q8=0,0,Q8/TrAvia_act!Q16*1000)</f>
        <v>9445.062380838619</v>
      </c>
      <c r="R24" s="84">
        <f>IF(R8=0,0,R8/TrAvia_act!R16*1000)</f>
        <v>9386.1151979633978</v>
      </c>
      <c r="S24" s="84">
        <f>IF(S8=0,0,S8/TrAvia_act!S16*1000)</f>
        <v>10413.137838885646</v>
      </c>
      <c r="T24" s="84">
        <f>IF(T8=0,0,T8/TrAvia_act!T16*1000)</f>
        <v>11749.423719477778</v>
      </c>
      <c r="U24" s="84">
        <f>IF(U8=0,0,U8/TrAvia_act!U16*1000)</f>
        <v>11027.812892550211</v>
      </c>
      <c r="V24" s="84">
        <f>IF(V8=0,0,V8/TrAvia_act!V16*1000)</f>
        <v>10132.457223773032</v>
      </c>
      <c r="W24" s="84">
        <f>IF(W8=0,0,W8/TrAvia_act!W16*1000)</f>
        <v>12351.979865726023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17983.393032128228</v>
      </c>
      <c r="C25" s="84">
        <f>IF(C9=0,0,C9/TrAvia_act!C17*1000)</f>
        <v>17921.264230374851</v>
      </c>
      <c r="D25" s="84">
        <f>IF(D9=0,0,D9/TrAvia_act!D17*1000)</f>
        <v>17500.002804863696</v>
      </c>
      <c r="E25" s="84">
        <f>IF(E9=0,0,E9/TrAvia_act!E17*1000)</f>
        <v>14809.168720707175</v>
      </c>
      <c r="F25" s="84">
        <f>IF(F9=0,0,F9/TrAvia_act!F17*1000)</f>
        <v>12681.653874018328</v>
      </c>
      <c r="G25" s="84">
        <f>IF(G9=0,0,G9/TrAvia_act!G17*1000)</f>
        <v>14258.088945347858</v>
      </c>
      <c r="H25" s="84">
        <f>IF(H9=0,0,H9/TrAvia_act!H17*1000)</f>
        <v>13291.991774884274</v>
      </c>
      <c r="I25" s="84">
        <f>IF(I9=0,0,I9/TrAvia_act!I17*1000)</f>
        <v>10848.027739269888</v>
      </c>
      <c r="J25" s="84">
        <f>IF(J9=0,0,J9/TrAvia_act!J17*1000)</f>
        <v>13133.564290951826</v>
      </c>
      <c r="K25" s="84">
        <f>IF(K9=0,0,K9/TrAvia_act!K17*1000)</f>
        <v>14473.112257571787</v>
      </c>
      <c r="L25" s="84">
        <f>IF(L9=0,0,L9/TrAvia_act!L17*1000)</f>
        <v>14723.607172732858</v>
      </c>
      <c r="M25" s="84">
        <f>IF(M9=0,0,M9/TrAvia_act!M17*1000)</f>
        <v>13946.626827716549</v>
      </c>
      <c r="N25" s="84">
        <f>IF(N9=0,0,N9/TrAvia_act!N17*1000)</f>
        <v>18026.660596148969</v>
      </c>
      <c r="O25" s="84">
        <f>IF(O9=0,0,O9/TrAvia_act!O17*1000)</f>
        <v>16143.025370901412</v>
      </c>
      <c r="P25" s="84">
        <f>IF(P9=0,0,P9/TrAvia_act!P17*1000)</f>
        <v>13169.345379343511</v>
      </c>
      <c r="Q25" s="84">
        <f>IF(Q9=0,0,Q9/TrAvia_act!Q17*1000)</f>
        <v>11482.302862359722</v>
      </c>
      <c r="R25" s="84">
        <f>IF(R9=0,0,R9/TrAvia_act!R17*1000)</f>
        <v>11732.085430053916</v>
      </c>
      <c r="S25" s="84">
        <f>IF(S9=0,0,S9/TrAvia_act!S17*1000)</f>
        <v>11222.973812303837</v>
      </c>
      <c r="T25" s="84">
        <f>IF(T9=0,0,T9/TrAvia_act!T17*1000)</f>
        <v>9665.4958638273292</v>
      </c>
      <c r="U25" s="84">
        <f>IF(U9=0,0,U9/TrAvia_act!U17*1000)</f>
        <v>8784.141494374262</v>
      </c>
      <c r="V25" s="84">
        <f>IF(V9=0,0,V9/TrAvia_act!V17*1000)</f>
        <v>14435.927582492619</v>
      </c>
      <c r="W25" s="84">
        <f>IF(W9=0,0,W9/TrAvia_act!W17*1000)</f>
        <v>13112.196285860024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17481.99245059965</v>
      </c>
      <c r="C26" s="13">
        <f>IF(C10=0,0,C10/TrAvia_act!C18*1000)</f>
        <v>17572.97855709276</v>
      </c>
      <c r="D26" s="13">
        <f>IF(D10=0,0,D10/TrAvia_act!D18*1000)</f>
        <v>17728.098338296233</v>
      </c>
      <c r="E26" s="13">
        <f>IF(E10=0,0,E10/TrAvia_act!E18*1000)</f>
        <v>14912.777152988949</v>
      </c>
      <c r="F26" s="13">
        <f>IF(F10=0,0,F10/TrAvia_act!F18*1000)</f>
        <v>12865.352026470273</v>
      </c>
      <c r="G26" s="13">
        <f>IF(G10=0,0,G10/TrAvia_act!G18*1000)</f>
        <v>12207.214526677353</v>
      </c>
      <c r="H26" s="13">
        <f>IF(H10=0,0,H10/TrAvia_act!H18*1000)</f>
        <v>11785.594425493913</v>
      </c>
      <c r="I26" s="13">
        <f>IF(I10=0,0,I10/TrAvia_act!I18*1000)</f>
        <v>11255.647669481354</v>
      </c>
      <c r="J26" s="13">
        <f>IF(J10=0,0,J10/TrAvia_act!J18*1000)</f>
        <v>13157.329570417907</v>
      </c>
      <c r="K26" s="13">
        <f>IF(K10=0,0,K10/TrAvia_act!K18*1000)</f>
        <v>12927.763864433029</v>
      </c>
      <c r="L26" s="13">
        <f>IF(L10=0,0,L10/TrAvia_act!L18*1000)</f>
        <v>13640.657159159477</v>
      </c>
      <c r="M26" s="13">
        <f>IF(M10=0,0,M10/TrAvia_act!M18*1000)</f>
        <v>13352.070453194816</v>
      </c>
      <c r="N26" s="13">
        <f>IF(N10=0,0,N10/TrAvia_act!N18*1000)</f>
        <v>11774.926171833784</v>
      </c>
      <c r="O26" s="13">
        <f>IF(O10=0,0,O10/TrAvia_act!O18*1000)</f>
        <v>12224.785981510471</v>
      </c>
      <c r="P26" s="13">
        <f>IF(P10=0,0,P10/TrAvia_act!P18*1000)</f>
        <v>12285.360849414938</v>
      </c>
      <c r="Q26" s="13">
        <f>IF(Q10=0,0,Q10/TrAvia_act!Q18*1000)</f>
        <v>11004.810650031253</v>
      </c>
      <c r="R26" s="13">
        <f>IF(R10=0,0,R10/TrAvia_act!R18*1000)</f>
        <v>10674.707263624738</v>
      </c>
      <c r="S26" s="13">
        <f>IF(S10=0,0,S10/TrAvia_act!S18*1000)</f>
        <v>11418.135178381121</v>
      </c>
      <c r="T26" s="13">
        <f>IF(T10=0,0,T10/TrAvia_act!T18*1000)</f>
        <v>11629.930881105969</v>
      </c>
      <c r="U26" s="13">
        <f>IF(U10=0,0,U10/TrAvia_act!U18*1000)</f>
        <v>10558.551113915162</v>
      </c>
      <c r="V26" s="13">
        <f>IF(V10=0,0,V10/TrAvia_act!V18*1000)</f>
        <v>13508.186374095034</v>
      </c>
      <c r="W26" s="13">
        <f>IF(W10=0,0,W10/TrAvia_act!W18*1000)</f>
        <v>14191.193244727167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18709.617116617934</v>
      </c>
      <c r="C28" s="102">
        <f>IF(C12=0,0,C12/TrAvia_act!C20*1000)</f>
        <v>18644.951926504335</v>
      </c>
      <c r="D28" s="102">
        <f>IF(D12=0,0,D12/TrAvia_act!D20*1000)</f>
        <v>18197.508708399597</v>
      </c>
      <c r="E28" s="102">
        <f>IF(E12=0,0,E12/TrAvia_act!E20*1000)</f>
        <v>15399.244408478924</v>
      </c>
      <c r="F28" s="102">
        <f>IF(F12=0,0,F12/TrAvia_act!F20*1000)</f>
        <v>13190.980578989378</v>
      </c>
      <c r="G28" s="102">
        <f>IF(G12=0,0,G12/TrAvia_act!G20*1000)</f>
        <v>12259.405864884353</v>
      </c>
      <c r="H28" s="102">
        <f>IF(H12=0,0,H12/TrAvia_act!H20*1000)</f>
        <v>12572.275442987388</v>
      </c>
      <c r="I28" s="102">
        <f>IF(I12=0,0,I12/TrAvia_act!I20*1000)</f>
        <v>12029.337797601595</v>
      </c>
      <c r="J28" s="102">
        <f>IF(J12=0,0,J12/TrAvia_act!J20*1000)</f>
        <v>13957.222853852436</v>
      </c>
      <c r="K28" s="102">
        <f>IF(K12=0,0,K12/TrAvia_act!K20*1000)</f>
        <v>12702.62427893912</v>
      </c>
      <c r="L28" s="102">
        <f>IF(L12=0,0,L12/TrAvia_act!L20*1000)</f>
        <v>13427.810869752444</v>
      </c>
      <c r="M28" s="102">
        <f>IF(M12=0,0,M12/TrAvia_act!M20*1000)</f>
        <v>13233.120467340112</v>
      </c>
      <c r="N28" s="102">
        <f>IF(N12=0,0,N12/TrAvia_act!N20*1000)</f>
        <v>10831.835684750795</v>
      </c>
      <c r="O28" s="102">
        <f>IF(O12=0,0,O12/TrAvia_act!O20*1000)</f>
        <v>11470.350351017949</v>
      </c>
      <c r="P28" s="102">
        <f>IF(P12=0,0,P12/TrAvia_act!P20*1000)</f>
        <v>12089.258820327086</v>
      </c>
      <c r="Q28" s="102">
        <f>IF(Q12=0,0,Q12/TrAvia_act!Q20*1000)</f>
        <v>10982.29831052675</v>
      </c>
      <c r="R28" s="102">
        <f>IF(R12=0,0,R12/TrAvia_act!R20*1000)</f>
        <v>10784.274830251528</v>
      </c>
      <c r="S28" s="102">
        <f>IF(S12=0,0,S12/TrAvia_act!S20*1000)</f>
        <v>11789.278907479793</v>
      </c>
      <c r="T28" s="102">
        <f>IF(T12=0,0,T12/TrAvia_act!T20*1000)</f>
        <v>12842.490795053762</v>
      </c>
      <c r="U28" s="102">
        <f>IF(U12=0,0,U12/TrAvia_act!U20*1000)</f>
        <v>11660.203794798656</v>
      </c>
      <c r="V28" s="102">
        <f>IF(V12=0,0,V12/TrAvia_act!V20*1000)</f>
        <v>13616.419551620742</v>
      </c>
      <c r="W28" s="102">
        <f>IF(W12=0,0,W12/TrAvia_act!W20*1000)</f>
        <v>15273.139371240191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14932.515216857351</v>
      </c>
      <c r="C29" s="86">
        <f>IF(C13=0,0,C13/TrAvia_act!C21*1000)</f>
        <v>14880.926549694821</v>
      </c>
      <c r="D29" s="86">
        <f>IF(D13=0,0,D13/TrAvia_act!D21*1000)</f>
        <v>14531.132012285667</v>
      </c>
      <c r="E29" s="86">
        <f>IF(E13=0,0,E13/TrAvia_act!E21*1000)</f>
        <v>12296.797210398148</v>
      </c>
      <c r="F29" s="86">
        <f>IF(F13=0,0,F13/TrAvia_act!F21*1000)</f>
        <v>10530.214688094708</v>
      </c>
      <c r="G29" s="86">
        <f>IF(G13=0,0,G13/TrAvia_act!G21*1000)</f>
        <v>11785.897834341235</v>
      </c>
      <c r="H29" s="86">
        <f>IF(H13=0,0,H13/TrAvia_act!H21*1000)</f>
        <v>10932.302173122498</v>
      </c>
      <c r="I29" s="86">
        <f>IF(I13=0,0,I13/TrAvia_act!I21*1000)</f>
        <v>8976.9912515533615</v>
      </c>
      <c r="J29" s="86">
        <f>IF(J13=0,0,J13/TrAvia_act!J21*1000)</f>
        <v>11494.174084293309</v>
      </c>
      <c r="K29" s="86">
        <f>IF(K13=0,0,K13/TrAvia_act!K21*1000)</f>
        <v>13512.058037783871</v>
      </c>
      <c r="L29" s="86">
        <f>IF(L13=0,0,L13/TrAvia_act!L21*1000)</f>
        <v>14104.742723734922</v>
      </c>
      <c r="M29" s="86">
        <f>IF(M13=0,0,M13/TrAvia_act!M21*1000)</f>
        <v>14060.418309470037</v>
      </c>
      <c r="N29" s="86">
        <f>IF(N13=0,0,N13/TrAvia_act!N21*1000)</f>
        <v>19542.017269324861</v>
      </c>
      <c r="O29" s="86">
        <f>IF(O13=0,0,O13/TrAvia_act!O21*1000)</f>
        <v>17284.553624917768</v>
      </c>
      <c r="P29" s="86">
        <f>IF(P13=0,0,P13/TrAvia_act!P21*1000)</f>
        <v>14126.053635728031</v>
      </c>
      <c r="Q29" s="86">
        <f>IF(Q13=0,0,Q13/TrAvia_act!Q21*1000)</f>
        <v>11194.343876795951</v>
      </c>
      <c r="R29" s="86">
        <f>IF(R13=0,0,R13/TrAvia_act!R21*1000)</f>
        <v>10146.286252360604</v>
      </c>
      <c r="S29" s="86">
        <f>IF(S13=0,0,S13/TrAvia_act!S21*1000)</f>
        <v>9738.2868890847603</v>
      </c>
      <c r="T29" s="86">
        <f>IF(T13=0,0,T13/TrAvia_act!T21*1000)</f>
        <v>7428.5294061559625</v>
      </c>
      <c r="U29" s="86">
        <f>IF(U13=0,0,U13/TrAvia_act!U21*1000)</f>
        <v>7970.2083105800257</v>
      </c>
      <c r="V29" s="86">
        <f>IF(V13=0,0,V13/TrAvia_act!V21*1000)</f>
        <v>13238.870427815544</v>
      </c>
      <c r="W29" s="86">
        <f>IF(W13=0,0,W13/TrAvia_act!W21*1000)</f>
        <v>11836.983581890758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187.25606875745788</v>
      </c>
      <c r="C32" s="14">
        <f>IF(C6=0,0,C6/TrAvia_act!C4*1000)</f>
        <v>184.17886423255146</v>
      </c>
      <c r="D32" s="14">
        <f>IF(D6=0,0,D6/TrAvia_act!D4*1000)</f>
        <v>181.95620976229108</v>
      </c>
      <c r="E32" s="14">
        <f>IF(E6=0,0,E6/TrAvia_act!E4*1000)</f>
        <v>160.77368937633813</v>
      </c>
      <c r="F32" s="14">
        <f>IF(F6=0,0,F6/TrAvia_act!F4*1000)</f>
        <v>140.1270275365587</v>
      </c>
      <c r="G32" s="14">
        <f>IF(G6=0,0,G6/TrAvia_act!G4*1000)</f>
        <v>129.95677904089388</v>
      </c>
      <c r="H32" s="14">
        <f>IF(H6=0,0,H6/TrAvia_act!H4*1000)</f>
        <v>127.41512426747705</v>
      </c>
      <c r="I32" s="14">
        <f>IF(I6=0,0,I6/TrAvia_act!I4*1000)</f>
        <v>112.13933976131223</v>
      </c>
      <c r="J32" s="14">
        <f>IF(J6=0,0,J6/TrAvia_act!J4*1000)</f>
        <v>132.51065715737016</v>
      </c>
      <c r="K32" s="14">
        <f>IF(K6=0,0,K6/TrAvia_act!K4*1000)</f>
        <v>124.17534568150319</v>
      </c>
      <c r="L32" s="14">
        <f>IF(L6=0,0,L6/TrAvia_act!L4*1000)</f>
        <v>122.43404033734897</v>
      </c>
      <c r="M32" s="14">
        <f>IF(M6=0,0,M6/TrAvia_act!M4*1000)</f>
        <v>115.78740551661987</v>
      </c>
      <c r="N32" s="14">
        <f>IF(N6=0,0,N6/TrAvia_act!N4*1000)</f>
        <v>91.230715978927748</v>
      </c>
      <c r="O32" s="14">
        <f>IF(O6=0,0,O6/TrAvia_act!O4*1000)</f>
        <v>89.012501539372849</v>
      </c>
      <c r="P32" s="14">
        <f>IF(P6=0,0,P6/TrAvia_act!P4*1000)</f>
        <v>84.810267082164074</v>
      </c>
      <c r="Q32" s="14">
        <f>IF(Q6=0,0,Q6/TrAvia_act!Q4*1000)</f>
        <v>73.895422656044019</v>
      </c>
      <c r="R32" s="14">
        <f>IF(R6=0,0,R6/TrAvia_act!R4*1000)</f>
        <v>69.113433846942101</v>
      </c>
      <c r="S32" s="14">
        <f>IF(S6=0,0,S6/TrAvia_act!S4*1000)</f>
        <v>69.984732321773478</v>
      </c>
      <c r="T32" s="14">
        <f>IF(T6=0,0,T6/TrAvia_act!T4*1000)</f>
        <v>71.699256470695147</v>
      </c>
      <c r="U32" s="14">
        <f>IF(U6=0,0,U6/TrAvia_act!U4*1000)</f>
        <v>64.944548525462295</v>
      </c>
      <c r="V32" s="14">
        <f>IF(V6=0,0,V6/TrAvia_act!V4*1000)</f>
        <v>95.030075469530004</v>
      </c>
      <c r="W32" s="14">
        <f>IF(W6=0,0,W6/TrAvia_act!W4*1000)</f>
        <v>99.254340305835228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195.49639501147709</v>
      </c>
      <c r="C34" s="87">
        <f>IF(C8=0,0,C8/TrAvia_act!C6*1000)</f>
        <v>191.09866978170075</v>
      </c>
      <c r="D34" s="87">
        <f>IF(D8=0,0,D8/TrAvia_act!D6*1000)</f>
        <v>180.43494192764058</v>
      </c>
      <c r="E34" s="87">
        <f>IF(E8=0,0,E8/TrAvia_act!E6*1000)</f>
        <v>161.73662167864649</v>
      </c>
      <c r="F34" s="87">
        <f>IF(F8=0,0,F8/TrAvia_act!F6*1000)</f>
        <v>145.34877260884215</v>
      </c>
      <c r="G34" s="87">
        <f>IF(G8=0,0,G8/TrAvia_act!G6*1000)</f>
        <v>127.11370278307652</v>
      </c>
      <c r="H34" s="87">
        <f>IF(H8=0,0,H8/TrAvia_act!H6*1000)</f>
        <v>126.95265870367211</v>
      </c>
      <c r="I34" s="87">
        <f>IF(I8=0,0,I8/TrAvia_act!I6*1000)</f>
        <v>117.74616305706664</v>
      </c>
      <c r="J34" s="87">
        <f>IF(J8=0,0,J8/TrAvia_act!J6*1000)</f>
        <v>137.41911600809743</v>
      </c>
      <c r="K34" s="87">
        <f>IF(K8=0,0,K8/TrAvia_act!K6*1000)</f>
        <v>118.93543503348982</v>
      </c>
      <c r="L34" s="87">
        <f>IF(L8=0,0,L8/TrAvia_act!L6*1000)</f>
        <v>117.7402321405071</v>
      </c>
      <c r="M34" s="87">
        <f>IF(M8=0,0,M8/TrAvia_act!M6*1000)</f>
        <v>109.57377259357273</v>
      </c>
      <c r="N34" s="87">
        <f>IF(N8=0,0,N8/TrAvia_act!N6*1000)</f>
        <v>73.958907883359601</v>
      </c>
      <c r="O34" s="87">
        <f>IF(O8=0,0,O8/TrAvia_act!O6*1000)</f>
        <v>75.401563215620328</v>
      </c>
      <c r="P34" s="87">
        <f>IF(P8=0,0,P8/TrAvia_act!P6*1000)</f>
        <v>77.000438464194076</v>
      </c>
      <c r="Q34" s="87">
        <f>IF(Q8=0,0,Q8/TrAvia_act!Q6*1000)</f>
        <v>70.085476621813186</v>
      </c>
      <c r="R34" s="87">
        <f>IF(R8=0,0,R8/TrAvia_act!R6*1000)</f>
        <v>65.350668556309543</v>
      </c>
      <c r="S34" s="87">
        <f>IF(S8=0,0,S8/TrAvia_act!S6*1000)</f>
        <v>69.118531836974313</v>
      </c>
      <c r="T34" s="87">
        <f>IF(T8=0,0,T8/TrAvia_act!T6*1000)</f>
        <v>77.9978075030198</v>
      </c>
      <c r="U34" s="87">
        <f>IF(U8=0,0,U8/TrAvia_act!U6*1000)</f>
        <v>72.473056604777042</v>
      </c>
      <c r="V34" s="87">
        <f>IF(V8=0,0,V8/TrAvia_act!V6*1000)</f>
        <v>86.94081232026484</v>
      </c>
      <c r="W34" s="87">
        <f>IF(W8=0,0,W8/TrAvia_act!W6*1000)</f>
        <v>100.16055318974114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175.01309770403086</v>
      </c>
      <c r="C35" s="87">
        <f>IF(C9=0,0,C9/TrAvia_act!C7*1000)</f>
        <v>173.73813106465502</v>
      </c>
      <c r="D35" s="87">
        <f>IF(D9=0,0,D9/TrAvia_act!D7*1000)</f>
        <v>184.65713869656923</v>
      </c>
      <c r="E35" s="87">
        <f>IF(E9=0,0,E9/TrAvia_act!E7*1000)</f>
        <v>159.30911210615488</v>
      </c>
      <c r="F35" s="87">
        <f>IF(F9=0,0,F9/TrAvia_act!F7*1000)</f>
        <v>131.34312218228669</v>
      </c>
      <c r="G35" s="87">
        <f>IF(G9=0,0,G9/TrAvia_act!G7*1000)</f>
        <v>136.09847102510747</v>
      </c>
      <c r="H35" s="87">
        <f>IF(H9=0,0,H9/TrAvia_act!H7*1000)</f>
        <v>128.35059276045379</v>
      </c>
      <c r="I35" s="87">
        <f>IF(I9=0,0,I9/TrAvia_act!I7*1000)</f>
        <v>102.39258840404345</v>
      </c>
      <c r="J35" s="87">
        <f>IF(J9=0,0,J9/TrAvia_act!J7*1000)</f>
        <v>123.55521330132643</v>
      </c>
      <c r="K35" s="87">
        <f>IF(K9=0,0,K9/TrAvia_act!K7*1000)</f>
        <v>135.36451553939946</v>
      </c>
      <c r="L35" s="87">
        <f>IF(L9=0,0,L9/TrAvia_act!L7*1000)</f>
        <v>132.15797057114196</v>
      </c>
      <c r="M35" s="87">
        <f>IF(M9=0,0,M9/TrAvia_act!M7*1000)</f>
        <v>129.29006170028237</v>
      </c>
      <c r="N35" s="87">
        <f>IF(N9=0,0,N9/TrAvia_act!N7*1000)</f>
        <v>160.96778472960375</v>
      </c>
      <c r="O35" s="87">
        <f>IF(O9=0,0,O9/TrAvia_act!O7*1000)</f>
        <v>134.13266880119167</v>
      </c>
      <c r="P35" s="87">
        <f>IF(P9=0,0,P9/TrAvia_act!P7*1000)</f>
        <v>105.33494381372824</v>
      </c>
      <c r="Q35" s="87">
        <f>IF(Q9=0,0,Q9/TrAvia_act!Q7*1000)</f>
        <v>82.798941504023929</v>
      </c>
      <c r="R35" s="87">
        <f>IF(R9=0,0,R9/TrAvia_act!R7*1000)</f>
        <v>78.923099609266828</v>
      </c>
      <c r="S35" s="87">
        <f>IF(S9=0,0,S9/TrAvia_act!S7*1000)</f>
        <v>72.008408777187341</v>
      </c>
      <c r="T35" s="87">
        <f>IF(T9=0,0,T9/TrAvia_act!T7*1000)</f>
        <v>60.672932673590147</v>
      </c>
      <c r="U35" s="87">
        <f>IF(U9=0,0,U9/TrAvia_act!U7*1000)</f>
        <v>52.605903689983506</v>
      </c>
      <c r="V35" s="87">
        <f>IF(V9=0,0,V9/TrAvia_act!V7*1000)</f>
        <v>111.80198939102038</v>
      </c>
      <c r="W35" s="87">
        <f>IF(W9=0,0,W9/TrAvia_act!W7*1000)</f>
        <v>97.688396785271067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390.07226961560156</v>
      </c>
      <c r="C36" s="15">
        <f>IF(C10=0,0,C10/TrAvia_act!C8*1000)</f>
        <v>395.92191204544616</v>
      </c>
      <c r="D36" s="15">
        <f>IF(D10=0,0,D10/TrAvia_act!D8*1000)</f>
        <v>556.70508504729617</v>
      </c>
      <c r="E36" s="15">
        <f>IF(E10=0,0,E10/TrAvia_act!E8*1000)</f>
        <v>454.65615243922031</v>
      </c>
      <c r="F36" s="15">
        <f>IF(F10=0,0,F10/TrAvia_act!F8*1000)</f>
        <v>443.47292276472581</v>
      </c>
      <c r="G36" s="15">
        <f>IF(G10=0,0,G10/TrAvia_act!G8*1000)</f>
        <v>436.46188498156226</v>
      </c>
      <c r="H36" s="15">
        <f>IF(H10=0,0,H10/TrAvia_act!H8*1000)</f>
        <v>274.16724025657174</v>
      </c>
      <c r="I36" s="15">
        <f>IF(I10=0,0,I10/TrAvia_act!I8*1000)</f>
        <v>361.2891691397819</v>
      </c>
      <c r="J36" s="15">
        <f>IF(J10=0,0,J10/TrAvia_act!J8*1000)</f>
        <v>391.03596801243992</v>
      </c>
      <c r="K36" s="15">
        <f>IF(K10=0,0,K10/TrAvia_act!K8*1000)</f>
        <v>382.86599118104402</v>
      </c>
      <c r="L36" s="15">
        <f>IF(L10=0,0,L10/TrAvia_act!L8*1000)</f>
        <v>375.02427338584005</v>
      </c>
      <c r="M36" s="15">
        <f>IF(M10=0,0,M10/TrAvia_act!M8*1000)</f>
        <v>482.28233413104994</v>
      </c>
      <c r="N36" s="15">
        <f>IF(N10=0,0,N10/TrAvia_act!N8*1000)</f>
        <v>442.47227791364929</v>
      </c>
      <c r="O36" s="15">
        <f>IF(O10=0,0,O10/TrAvia_act!O8*1000)</f>
        <v>454.53062591118641</v>
      </c>
      <c r="P36" s="15">
        <f>IF(P10=0,0,P10/TrAvia_act!P8*1000)</f>
        <v>410.03371455657367</v>
      </c>
      <c r="Q36" s="15">
        <f>IF(Q10=0,0,Q10/TrAvia_act!Q8*1000)</f>
        <v>357.22421405945039</v>
      </c>
      <c r="R36" s="15">
        <f>IF(R10=0,0,R10/TrAvia_act!R8*1000)</f>
        <v>279.9743805266678</v>
      </c>
      <c r="S36" s="15">
        <f>IF(S10=0,0,S10/TrAvia_act!S8*1000)</f>
        <v>313.52066445409031</v>
      </c>
      <c r="T36" s="15">
        <f>IF(T10=0,0,T10/TrAvia_act!T8*1000)</f>
        <v>291.30492994625678</v>
      </c>
      <c r="U36" s="15">
        <f>IF(U10=0,0,U10/TrAvia_act!U8*1000)</f>
        <v>223.73043614218858</v>
      </c>
      <c r="V36" s="15">
        <f>IF(V10=0,0,V10/TrAvia_act!V8*1000)</f>
        <v>405.90218389330312</v>
      </c>
      <c r="W36" s="15">
        <f>IF(W10=0,0,W10/TrAvia_act!W8*1000)</f>
        <v>432.75793590681644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746.79514878619921</v>
      </c>
      <c r="C38" s="101">
        <f>IF(C12=0,0,C12/TrAvia_act!C10*1000)</f>
        <v>710.49457304293753</v>
      </c>
      <c r="D38" s="101">
        <f>IF(D12=0,0,D12/TrAvia_act!D10*1000)</f>
        <v>756.73019893660717</v>
      </c>
      <c r="E38" s="101">
        <f>IF(E12=0,0,E12/TrAvia_act!E10*1000)</f>
        <v>627.41813512022122</v>
      </c>
      <c r="F38" s="101">
        <f>IF(F12=0,0,F12/TrAvia_act!F10*1000)</f>
        <v>583.50635659440184</v>
      </c>
      <c r="G38" s="101">
        <f>IF(G12=0,0,G12/TrAvia_act!G10*1000)</f>
        <v>539.9816642222321</v>
      </c>
      <c r="H38" s="101">
        <f>IF(H12=0,0,H12/TrAvia_act!H10*1000)</f>
        <v>634.58949274414113</v>
      </c>
      <c r="I38" s="101">
        <f>IF(I12=0,0,I12/TrAvia_act!I10*1000)</f>
        <v>633.5705387534997</v>
      </c>
      <c r="J38" s="101">
        <f>IF(J12=0,0,J12/TrAvia_act!J10*1000)</f>
        <v>764.30307991911593</v>
      </c>
      <c r="K38" s="101">
        <f>IF(K12=0,0,K12/TrAvia_act!K10*1000)</f>
        <v>695.91505311470075</v>
      </c>
      <c r="L38" s="101">
        <f>IF(L12=0,0,L12/TrAvia_act!L10*1000)</f>
        <v>724.31450946771542</v>
      </c>
      <c r="M38" s="101">
        <f>IF(M12=0,0,M12/TrAvia_act!M10*1000)</f>
        <v>675.86202886692433</v>
      </c>
      <c r="N38" s="101">
        <f>IF(N12=0,0,N12/TrAvia_act!N10*1000)</f>
        <v>511.82357101023968</v>
      </c>
      <c r="O38" s="101">
        <f>IF(O12=0,0,O12/TrAvia_act!O10*1000)</f>
        <v>545.74815389591754</v>
      </c>
      <c r="P38" s="101">
        <f>IF(P12=0,0,P12/TrAvia_act!P10*1000)</f>
        <v>492.80647886358935</v>
      </c>
      <c r="Q38" s="101">
        <f>IF(Q12=0,0,Q12/TrAvia_act!Q10*1000)</f>
        <v>452.33334507061784</v>
      </c>
      <c r="R38" s="101">
        <f>IF(R12=0,0,R12/TrAvia_act!R10*1000)</f>
        <v>401.79340438793474</v>
      </c>
      <c r="S38" s="101">
        <f>IF(S12=0,0,S12/TrAvia_act!S10*1000)</f>
        <v>477.66879817849912</v>
      </c>
      <c r="T38" s="101">
        <f>IF(T12=0,0,T12/TrAvia_act!T10*1000)</f>
        <v>510.13771745360668</v>
      </c>
      <c r="U38" s="101">
        <f>IF(U12=0,0,U12/TrAvia_act!U10*1000)</f>
        <v>440.83034522204099</v>
      </c>
      <c r="V38" s="101">
        <f>IF(V12=0,0,V12/TrAvia_act!V10*1000)</f>
        <v>622.80287518053717</v>
      </c>
      <c r="W38" s="101">
        <f>IF(W12=0,0,W12/TrAvia_act!W10*1000)</f>
        <v>764.33933892392054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173.91186265087046</v>
      </c>
      <c r="C39" s="88">
        <f>IF(C13=0,0,C13/TrAvia_act!C11*1000)</f>
        <v>165.44119119973411</v>
      </c>
      <c r="D39" s="88">
        <f>IF(D13=0,0,D13/TrAvia_act!D11*1000)</f>
        <v>171.05945504040048</v>
      </c>
      <c r="E39" s="88">
        <f>IF(E13=0,0,E13/TrAvia_act!E11*1000)</f>
        <v>159.28830911030144</v>
      </c>
      <c r="F39" s="88">
        <f>IF(F13=0,0,F13/TrAvia_act!F11*1000)</f>
        <v>140.52465368605058</v>
      </c>
      <c r="G39" s="88">
        <f>IF(G13=0,0,G13/TrAvia_act!G11*1000)</f>
        <v>167.24211238228247</v>
      </c>
      <c r="H39" s="88">
        <f>IF(H13=0,0,H13/TrAvia_act!H11*1000)</f>
        <v>160.47551004295232</v>
      </c>
      <c r="I39" s="88">
        <f>IF(I13=0,0,I13/TrAvia_act!I11*1000)</f>
        <v>134.0054896909306</v>
      </c>
      <c r="J39" s="88">
        <f>IF(J13=0,0,J13/TrAvia_act!J11*1000)</f>
        <v>175.11395538922042</v>
      </c>
      <c r="K39" s="88">
        <f>IF(K13=0,0,K13/TrAvia_act!K11*1000)</f>
        <v>182.5337177850792</v>
      </c>
      <c r="L39" s="88">
        <f>IF(L13=0,0,L13/TrAvia_act!L11*1000)</f>
        <v>187.41903058088931</v>
      </c>
      <c r="M39" s="88">
        <f>IF(M13=0,0,M13/TrAvia_act!M11*1000)</f>
        <v>185.11801775307868</v>
      </c>
      <c r="N39" s="88">
        <f>IF(N13=0,0,N13/TrAvia_act!N11*1000)</f>
        <v>273.37640357111974</v>
      </c>
      <c r="O39" s="88">
        <f>IF(O13=0,0,O13/TrAvia_act!O11*1000)</f>
        <v>260.64072324049999</v>
      </c>
      <c r="P39" s="88">
        <f>IF(P13=0,0,P13/TrAvia_act!P11*1000)</f>
        <v>174.53890370732705</v>
      </c>
      <c r="Q39" s="88">
        <f>IF(Q13=0,0,Q13/TrAvia_act!Q11*1000)</f>
        <v>130.53136737711844</v>
      </c>
      <c r="R39" s="88">
        <f>IF(R13=0,0,R13/TrAvia_act!R11*1000)</f>
        <v>109.61528481725381</v>
      </c>
      <c r="S39" s="88">
        <f>IF(S13=0,0,S13/TrAvia_act!S11*1000)</f>
        <v>108.74947438657159</v>
      </c>
      <c r="T39" s="88">
        <f>IF(T13=0,0,T13/TrAvia_act!T11*1000)</f>
        <v>81.607592419210135</v>
      </c>
      <c r="U39" s="88">
        <f>IF(U13=0,0,U13/TrAvia_act!U11*1000)</f>
        <v>83.085155529348071</v>
      </c>
      <c r="V39" s="88">
        <f>IF(V13=0,0,V13/TrAvia_act!V11*1000)</f>
        <v>214.61542397673364</v>
      </c>
      <c r="W39" s="88">
        <f>IF(W13=0,0,W13/TrAvia_act!W11*1000)</f>
        <v>195.11587022568716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19305.965590938242</v>
      </c>
      <c r="C41" s="54">
        <f>IF(C3=0,0,C3/TrAvia_act!C23*1000000)</f>
        <v>19220.031504093833</v>
      </c>
      <c r="D41" s="54">
        <f>IF(D3=0,0,D3/TrAvia_act!D23*1000000)</f>
        <v>18525.182167963663</v>
      </c>
      <c r="E41" s="54">
        <f>IF(E3=0,0,E3/TrAvia_act!E23*1000000)</f>
        <v>15851.62542616865</v>
      </c>
      <c r="F41" s="54">
        <f>IF(F3=0,0,F3/TrAvia_act!F23*1000000)</f>
        <v>13548.237227951884</v>
      </c>
      <c r="G41" s="54">
        <f>IF(G3=0,0,G3/TrAvia_act!G23*1000000)</f>
        <v>13942.422281864881</v>
      </c>
      <c r="H41" s="54">
        <f>IF(H3=0,0,H3/TrAvia_act!H23*1000000)</f>
        <v>14045.58139534884</v>
      </c>
      <c r="I41" s="54">
        <f>IF(I3=0,0,I3/TrAvia_act!I23*1000000)</f>
        <v>13008.963146539456</v>
      </c>
      <c r="J41" s="54">
        <f>IF(J3=0,0,J3/TrAvia_act!J23*1000000)</f>
        <v>15200.713205838325</v>
      </c>
      <c r="K41" s="54">
        <f>IF(K3=0,0,K3/TrAvia_act!K23*1000000)</f>
        <v>13772.633625223087</v>
      </c>
      <c r="L41" s="54">
        <f>IF(L3=0,0,L3/TrAvia_act!L23*1000000)</f>
        <v>14398.565134504875</v>
      </c>
      <c r="M41" s="54">
        <f>IF(M3=0,0,M3/TrAvia_act!M23*1000000)</f>
        <v>13878.064504754357</v>
      </c>
      <c r="N41" s="54">
        <f>IF(N3=0,0,N3/TrAvia_act!N23*1000000)</f>
        <v>12798.378428308821</v>
      </c>
      <c r="O41" s="54">
        <f>IF(O3=0,0,O3/TrAvia_act!O23*1000000)</f>
        <v>13139.439192092819</v>
      </c>
      <c r="P41" s="54">
        <f>IF(P3=0,0,P3/TrAvia_act!P23*1000000)</f>
        <v>13315.546170587622</v>
      </c>
      <c r="Q41" s="54">
        <f>IF(Q3=0,0,Q3/TrAvia_act!Q23*1000000)</f>
        <v>12708.057722473237</v>
      </c>
      <c r="R41" s="54">
        <f>IF(R3=0,0,R3/TrAvia_act!R23*1000000)</f>
        <v>13021.97322084233</v>
      </c>
      <c r="S41" s="54">
        <f>IF(S3=0,0,S3/TrAvia_act!S23*1000000)</f>
        <v>14046.095799582468</v>
      </c>
      <c r="T41" s="54">
        <f>IF(T3=0,0,T3/TrAvia_act!T23*1000000)</f>
        <v>15397.503273656341</v>
      </c>
      <c r="U41" s="54">
        <f>IF(U3=0,0,U3/TrAvia_act!U23*1000000)</f>
        <v>14519.447991298788</v>
      </c>
      <c r="V41" s="54">
        <f>IF(V3=0,0,V3/TrAvia_act!V23*1000000)</f>
        <v>15406.826207035776</v>
      </c>
      <c r="W41" s="54">
        <f>IF(W3=0,0,W3/TrAvia_act!W23*1000000)</f>
        <v>17480.189659042673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19431.278490504395</v>
      </c>
      <c r="C42" s="11">
        <f>IF(C6=0,0,C6/TrAvia_act!C24*1000000)</f>
        <v>19364.242921246954</v>
      </c>
      <c r="D42" s="11">
        <f>IF(D6=0,0,D6/TrAvia_act!D24*1000000)</f>
        <v>18666.784239216147</v>
      </c>
      <c r="E42" s="11">
        <f>IF(E6=0,0,E6/TrAvia_act!E24*1000000)</f>
        <v>15954.530863997594</v>
      </c>
      <c r="F42" s="11">
        <f>IF(F6=0,0,F6/TrAvia_act!F24*1000000)</f>
        <v>13625.929362340934</v>
      </c>
      <c r="G42" s="11">
        <f>IF(G6=0,0,G6/TrAvia_act!G24*1000000)</f>
        <v>14051.011476205396</v>
      </c>
      <c r="H42" s="11">
        <f>IF(H6=0,0,H6/TrAvia_act!H24*1000000)</f>
        <v>14149.259954513122</v>
      </c>
      <c r="I42" s="11">
        <f>IF(I6=0,0,I6/TrAvia_act!I24*1000000)</f>
        <v>13113.709908664023</v>
      </c>
      <c r="J42" s="11">
        <f>IF(J6=0,0,J6/TrAvia_act!J24*1000000)</f>
        <v>15298.256860995942</v>
      </c>
      <c r="K42" s="11">
        <f>IF(K6=0,0,K6/TrAvia_act!K24*1000000)</f>
        <v>13845.035674126653</v>
      </c>
      <c r="L42" s="11">
        <f>IF(L6=0,0,L6/TrAvia_act!L24*1000000)</f>
        <v>14483.646491150514</v>
      </c>
      <c r="M42" s="11">
        <f>IF(M6=0,0,M6/TrAvia_act!M24*1000000)</f>
        <v>14014.232149114543</v>
      </c>
      <c r="N42" s="11">
        <f>IF(N6=0,0,N6/TrAvia_act!N24*1000000)</f>
        <v>12962.577134249226</v>
      </c>
      <c r="O42" s="11">
        <f>IF(O6=0,0,O6/TrAvia_act!O24*1000000)</f>
        <v>13319.687516176937</v>
      </c>
      <c r="P42" s="11">
        <f>IF(P6=0,0,P6/TrAvia_act!P24*1000000)</f>
        <v>13476.968896779961</v>
      </c>
      <c r="Q42" s="11">
        <f>IF(Q6=0,0,Q6/TrAvia_act!Q24*1000000)</f>
        <v>12868.463938245815</v>
      </c>
      <c r="R42" s="11">
        <f>IF(R6=0,0,R6/TrAvia_act!R24*1000000)</f>
        <v>13179.367729137801</v>
      </c>
      <c r="S42" s="11">
        <f>IF(S6=0,0,S6/TrAvia_act!S24*1000000)</f>
        <v>14222.445941860553</v>
      </c>
      <c r="T42" s="11">
        <f>IF(T6=0,0,T6/TrAvia_act!T24*1000000)</f>
        <v>15593.304479806508</v>
      </c>
      <c r="U42" s="11">
        <f>IF(U6=0,0,U6/TrAvia_act!U24*1000000)</f>
        <v>14662.615883178276</v>
      </c>
      <c r="V42" s="11">
        <f>IF(V6=0,0,V6/TrAvia_act!V24*1000000)</f>
        <v>15786.208986058728</v>
      </c>
      <c r="W42" s="11">
        <f>IF(W6=0,0,W6/TrAvia_act!W24*1000000)</f>
        <v>17996.381715790107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16066.744781002953</v>
      </c>
      <c r="C44" s="84">
        <f>IF(C8=0,0,C8/TrAvia_act!C26*1000000)</f>
        <v>16011.27190702489</v>
      </c>
      <c r="D44" s="84">
        <f>IF(D8=0,0,D8/TrAvia_act!D26*1000000)</f>
        <v>15489.221025217035</v>
      </c>
      <c r="E44" s="84">
        <f>IF(E8=0,0,E8/TrAvia_act!E26*1000000)</f>
        <v>13010.162333976865</v>
      </c>
      <c r="F44" s="84">
        <f>IF(F8=0,0,F8/TrAvia_act!F26*1000000)</f>
        <v>11463.29050969225</v>
      </c>
      <c r="G44" s="84">
        <f>IF(G8=0,0,G8/TrAvia_act!G26*1000000)</f>
        <v>11678.621644196437</v>
      </c>
      <c r="H44" s="84">
        <f>IF(H8=0,0,H8/TrAvia_act!H26*1000000)</f>
        <v>11801.043026142477</v>
      </c>
      <c r="I44" s="84">
        <f>IF(I8=0,0,I8/TrAvia_act!I26*1000000)</f>
        <v>11143.457356516974</v>
      </c>
      <c r="J44" s="84">
        <f>IF(J8=0,0,J8/TrAvia_act!J26*1000000)</f>
        <v>13178.905521176517</v>
      </c>
      <c r="K44" s="84">
        <f>IF(K8=0,0,K8/TrAvia_act!K26*1000000)</f>
        <v>11517.039611763601</v>
      </c>
      <c r="L44" s="84">
        <f>IF(L8=0,0,L8/TrAvia_act!L26*1000000)</f>
        <v>12125.924747337373</v>
      </c>
      <c r="M44" s="84">
        <f>IF(M8=0,0,M8/TrAvia_act!M26*1000000)</f>
        <v>11747.419194408572</v>
      </c>
      <c r="N44" s="84">
        <f>IF(N8=0,0,N8/TrAvia_act!N26*1000000)</f>
        <v>9937.1613895383671</v>
      </c>
      <c r="O44" s="84">
        <f>IF(O8=0,0,O8/TrAvia_act!O26*1000000)</f>
        <v>10457.238195607908</v>
      </c>
      <c r="P44" s="84">
        <f>IF(P8=0,0,P8/TrAvia_act!P26*1000000)</f>
        <v>11157.924873342938</v>
      </c>
      <c r="Q44" s="84">
        <f>IF(Q8=0,0,Q8/TrAvia_act!Q26*1000000)</f>
        <v>10752.788444009127</v>
      </c>
      <c r="R44" s="84">
        <f>IF(R8=0,0,R8/TrAvia_act!R26*1000000)</f>
        <v>10947.873315885308</v>
      </c>
      <c r="S44" s="84">
        <f>IF(S8=0,0,S8/TrAvia_act!S26*1000000)</f>
        <v>12207.950933142392</v>
      </c>
      <c r="T44" s="84">
        <f>IF(T8=0,0,T8/TrAvia_act!T26*1000000)</f>
        <v>13962.59290751584</v>
      </c>
      <c r="U44" s="84">
        <f>IF(U8=0,0,U8/TrAvia_act!U26*1000000)</f>
        <v>13152.651565411803</v>
      </c>
      <c r="V44" s="84">
        <f>IF(V8=0,0,V8/TrAvia_act!V26*1000000)</f>
        <v>11995.601585136859</v>
      </c>
      <c r="W44" s="84">
        <f>IF(W8=0,0,W8/TrAvia_act!W26*1000000)</f>
        <v>14722.221991969245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29781.665463638237</v>
      </c>
      <c r="C45" s="84">
        <f>IF(C9=0,0,C9/TrAvia_act!C27*1000000)</f>
        <v>29678.776137571131</v>
      </c>
      <c r="D45" s="84">
        <f>IF(D9=0,0,D9/TrAvia_act!D27*1000000)</f>
        <v>28981.139889233851</v>
      </c>
      <c r="E45" s="84">
        <f>IF(E9=0,0,E9/TrAvia_act!E27*1000000)</f>
        <v>24524.944088511755</v>
      </c>
      <c r="F45" s="84">
        <f>IF(F9=0,0,F9/TrAvia_act!F27*1000000)</f>
        <v>21001.641488173016</v>
      </c>
      <c r="G45" s="84">
        <f>IF(G9=0,0,G9/TrAvia_act!G27*1000000)</f>
        <v>23809.531674437272</v>
      </c>
      <c r="H45" s="84">
        <f>IF(H9=0,0,H9/TrAvia_act!H27*1000000)</f>
        <v>23508.351072047546</v>
      </c>
      <c r="I45" s="84">
        <f>IF(I9=0,0,I9/TrAvia_act!I27*1000000)</f>
        <v>20282.46997867728</v>
      </c>
      <c r="J45" s="84">
        <f>IF(J9=0,0,J9/TrAvia_act!J27*1000000)</f>
        <v>22708.693531300538</v>
      </c>
      <c r="K45" s="84">
        <f>IF(K9=0,0,K9/TrAvia_act!K27*1000000)</f>
        <v>22303.603441214706</v>
      </c>
      <c r="L45" s="84">
        <f>IF(L9=0,0,L9/TrAvia_act!L27*1000000)</f>
        <v>22590.477290667062</v>
      </c>
      <c r="M45" s="84">
        <f>IF(M9=0,0,M9/TrAvia_act!M27*1000000)</f>
        <v>21740.170912544228</v>
      </c>
      <c r="N45" s="84">
        <f>IF(N9=0,0,N9/TrAvia_act!N27*1000000)</f>
        <v>29785.817560832682</v>
      </c>
      <c r="O45" s="84">
        <f>IF(O9=0,0,O9/TrAvia_act!O27*1000000)</f>
        <v>27188.186886782762</v>
      </c>
      <c r="P45" s="84">
        <f>IF(P9=0,0,P9/TrAvia_act!P27*1000000)</f>
        <v>22434.815276664871</v>
      </c>
      <c r="Q45" s="84">
        <f>IF(Q9=0,0,Q9/TrAvia_act!Q27*1000000)</f>
        <v>21068.250015981725</v>
      </c>
      <c r="R45" s="84">
        <f>IF(R9=0,0,R9/TrAvia_act!R27*1000000)</f>
        <v>23534.855465156961</v>
      </c>
      <c r="S45" s="84">
        <f>IF(S9=0,0,S9/TrAvia_act!S27*1000000)</f>
        <v>22577.009987654485</v>
      </c>
      <c r="T45" s="84">
        <f>IF(T9=0,0,T9/TrAvia_act!T27*1000000)</f>
        <v>21153.165598619744</v>
      </c>
      <c r="U45" s="84">
        <f>IF(U9=0,0,U9/TrAvia_act!U27*1000000)</f>
        <v>19793.25111933412</v>
      </c>
      <c r="V45" s="84">
        <f>IF(V9=0,0,V9/TrAvia_act!V27*1000000)</f>
        <v>32183.174004166129</v>
      </c>
      <c r="W45" s="84">
        <f>IF(W9=0,0,W9/TrAvia_act!W27*1000000)</f>
        <v>29698.327691820617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14509.229742802083</v>
      </c>
      <c r="C46" s="13">
        <f>IF(C10=0,0,C10/TrAvia_act!C28*1000000)</f>
        <v>14393.314804788379</v>
      </c>
      <c r="D46" s="13">
        <f>IF(D10=0,0,D10/TrAvia_act!D28*1000000)</f>
        <v>14476.066091112811</v>
      </c>
      <c r="E46" s="13">
        <f>IF(E10=0,0,E10/TrAvia_act!E28*1000000)</f>
        <v>12286.892140583775</v>
      </c>
      <c r="F46" s="13">
        <f>IF(F10=0,0,F10/TrAvia_act!F28*1000000)</f>
        <v>10200.574037109049</v>
      </c>
      <c r="G46" s="13">
        <f>IF(G10=0,0,G10/TrAvia_act!G28*1000000)</f>
        <v>9869.3984284355265</v>
      </c>
      <c r="H46" s="13">
        <f>IF(H10=0,0,H10/TrAvia_act!H28*1000000)</f>
        <v>10580.554667572756</v>
      </c>
      <c r="I46" s="13">
        <f>IF(I10=0,0,I10/TrAvia_act!I28*1000000)</f>
        <v>9058.4003917033897</v>
      </c>
      <c r="J46" s="13">
        <f>IF(J10=0,0,J10/TrAvia_act!J28*1000000)</f>
        <v>10850.532516607742</v>
      </c>
      <c r="K46" s="13">
        <f>IF(K10=0,0,K10/TrAvia_act!K28*1000000)</f>
        <v>10403.72056931334</v>
      </c>
      <c r="L46" s="13">
        <f>IF(L10=0,0,L10/TrAvia_act!L28*1000000)</f>
        <v>10914.836537459099</v>
      </c>
      <c r="M46" s="13">
        <f>IF(M10=0,0,M10/TrAvia_act!M28*1000000)</f>
        <v>9128.8428901933075</v>
      </c>
      <c r="N46" s="13">
        <f>IF(N10=0,0,N10/TrAvia_act!N28*1000000)</f>
        <v>8015.3964309616995</v>
      </c>
      <c r="O46" s="13">
        <f>IF(O10=0,0,O10/TrAvia_act!O28*1000000)</f>
        <v>8303.9882618422125</v>
      </c>
      <c r="P46" s="13">
        <f>IF(P10=0,0,P10/TrAvia_act!P28*1000000)</f>
        <v>8228.21444006602</v>
      </c>
      <c r="Q46" s="13">
        <f>IF(Q10=0,0,Q10/TrAvia_act!Q28*1000000)</f>
        <v>7718.167544002501</v>
      </c>
      <c r="R46" s="13">
        <f>IF(R10=0,0,R10/TrAvia_act!R28*1000000)</f>
        <v>7810.3185313502981</v>
      </c>
      <c r="S46" s="13">
        <f>IF(S10=0,0,S10/TrAvia_act!S28*1000000)</f>
        <v>8340.0143157322073</v>
      </c>
      <c r="T46" s="13">
        <f>IF(T10=0,0,T10/TrAvia_act!T28*1000000)</f>
        <v>8899.7535001932447</v>
      </c>
      <c r="U46" s="13">
        <f>IF(U10=0,0,U10/TrAvia_act!U28*1000000)</f>
        <v>8802.0407585594858</v>
      </c>
      <c r="V46" s="13">
        <f>IF(V10=0,0,V10/TrAvia_act!V28*1000000)</f>
        <v>10714.204262184408</v>
      </c>
      <c r="W46" s="13">
        <f>IF(W10=0,0,W10/TrAvia_act!W28*1000000)</f>
        <v>12130.437148089535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14009.225840646262</v>
      </c>
      <c r="C48" s="102">
        <f>IF(C12=0,0,C12/TrAvia_act!C30*1000000)</f>
        <v>13962.88163785235</v>
      </c>
      <c r="D48" s="102">
        <f>IF(D12=0,0,D12/TrAvia_act!D30*1000000)</f>
        <v>14358.317447948702</v>
      </c>
      <c r="E48" s="102">
        <f>IF(E12=0,0,E12/TrAvia_act!E30*1000000)</f>
        <v>12165.569271241222</v>
      </c>
      <c r="F48" s="102">
        <f>IF(F12=0,0,F12/TrAvia_act!F30*1000000)</f>
        <v>10093.126322800952</v>
      </c>
      <c r="G48" s="102">
        <f>IF(G12=0,0,G12/TrAvia_act!G30*1000000)</f>
        <v>9608.2939998651218</v>
      </c>
      <c r="H48" s="102">
        <f>IF(H12=0,0,H12/TrAvia_act!H30*1000000)</f>
        <v>9025.1161032735708</v>
      </c>
      <c r="I48" s="102">
        <f>IF(I12=0,0,I12/TrAvia_act!I30*1000000)</f>
        <v>8477.4544102358068</v>
      </c>
      <c r="J48" s="102">
        <f>IF(J12=0,0,J12/TrAvia_act!J30*1000000)</f>
        <v>9805.1457050205845</v>
      </c>
      <c r="K48" s="102">
        <f>IF(K12=0,0,K12/TrAvia_act!K30*1000000)</f>
        <v>9157.105803273982</v>
      </c>
      <c r="L48" s="102">
        <f>IF(L12=0,0,L12/TrAvia_act!L30*1000000)</f>
        <v>9329.9071805127696</v>
      </c>
      <c r="M48" s="102">
        <f>IF(M12=0,0,M12/TrAvia_act!M30*1000000)</f>
        <v>8657.2995222421014</v>
      </c>
      <c r="N48" s="102">
        <f>IF(N12=0,0,N12/TrAvia_act!N30*1000000)</f>
        <v>7299.389263748405</v>
      </c>
      <c r="O48" s="102">
        <f>IF(O12=0,0,O12/TrAvia_act!O30*1000000)</f>
        <v>7740.8920129534445</v>
      </c>
      <c r="P48" s="102">
        <f>IF(P12=0,0,P12/TrAvia_act!P30*1000000)</f>
        <v>8102.2814070930272</v>
      </c>
      <c r="Q48" s="102">
        <f>IF(Q12=0,0,Q12/TrAvia_act!Q30*1000000)</f>
        <v>7663.4685948399474</v>
      </c>
      <c r="R48" s="102">
        <f>IF(R12=0,0,R12/TrAvia_act!R30*1000000)</f>
        <v>7685.5605584403474</v>
      </c>
      <c r="S48" s="102">
        <f>IF(S12=0,0,S12/TrAvia_act!S30*1000000)</f>
        <v>8489.4380882748737</v>
      </c>
      <c r="T48" s="102">
        <f>IF(T12=0,0,T12/TrAvia_act!T30*1000000)</f>
        <v>9436.1606598688868</v>
      </c>
      <c r="U48" s="102">
        <f>IF(U12=0,0,U12/TrAvia_act!U30*1000000)</f>
        <v>8739.1363565876982</v>
      </c>
      <c r="V48" s="102">
        <f>IF(V12=0,0,V12/TrAvia_act!V30*1000000)</f>
        <v>9692.0873065402757</v>
      </c>
      <c r="W48" s="102">
        <f>IF(W12=0,0,W12/TrAvia_act!W30*1000000)</f>
        <v>11696.227613473027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15994.658002123328</v>
      </c>
      <c r="C49" s="86">
        <f>IF(C13=0,0,C13/TrAvia_act!C31*1000000)</f>
        <v>15939.399857325419</v>
      </c>
      <c r="D49" s="86">
        <f>IF(D13=0,0,D13/TrAvia_act!D31*1000000)</f>
        <v>15564.724598963432</v>
      </c>
      <c r="E49" s="86">
        <f>IF(E13=0,0,E13/TrAvia_act!E31*1000000)</f>
        <v>13171.462613327632</v>
      </c>
      <c r="F49" s="86">
        <f>IF(F13=0,0,F13/TrAvia_act!F31*1000000)</f>
        <v>11279.223906959276</v>
      </c>
      <c r="G49" s="86">
        <f>IF(G13=0,0,G13/TrAvia_act!G31*1000000)</f>
        <v>12787.240417709801</v>
      </c>
      <c r="H49" s="86">
        <f>IF(H13=0,0,H13/TrAvia_act!H31*1000000)</f>
        <v>13478.09907641481</v>
      </c>
      <c r="I49" s="86">
        <f>IF(I13=0,0,I13/TrAvia_act!I31*1000000)</f>
        <v>12416.485340653864</v>
      </c>
      <c r="J49" s="86">
        <f>IF(J13=0,0,J13/TrAvia_act!J31*1000000)</f>
        <v>14847.093619342184</v>
      </c>
      <c r="K49" s="86">
        <f>IF(K13=0,0,K13/TrAvia_act!K31*1000000)</f>
        <v>15577.777001175722</v>
      </c>
      <c r="L49" s="86">
        <f>IF(L13=0,0,L13/TrAvia_act!L31*1000000)</f>
        <v>16859.965743598023</v>
      </c>
      <c r="M49" s="86">
        <f>IF(M13=0,0,M13/TrAvia_act!M31*1000000)</f>
        <v>13140.147621616057</v>
      </c>
      <c r="N49" s="86">
        <f>IF(N13=0,0,N13/TrAvia_act!N31*1000000)</f>
        <v>14514.965367448265</v>
      </c>
      <c r="O49" s="86">
        <f>IF(O13=0,0,O13/TrAvia_act!O31*1000000)</f>
        <v>12279.583464840021</v>
      </c>
      <c r="P49" s="86">
        <f>IF(P13=0,0,P13/TrAvia_act!P31*1000000)</f>
        <v>9402.1293213446897</v>
      </c>
      <c r="Q49" s="86">
        <f>IF(Q13=0,0,Q13/TrAvia_act!Q31*1000000)</f>
        <v>8201.6895526302669</v>
      </c>
      <c r="R49" s="86">
        <f>IF(R13=0,0,R13/TrAvia_act!R31*1000000)</f>
        <v>8519.1997312693984</v>
      </c>
      <c r="S49" s="86">
        <f>IF(S13=0,0,S13/TrAvia_act!S31*1000000)</f>
        <v>7606.423531191469</v>
      </c>
      <c r="T49" s="86">
        <f>IF(T13=0,0,T13/TrAvia_act!T31*1000000)</f>
        <v>6639.054018655972</v>
      </c>
      <c r="U49" s="86">
        <f>IF(U13=0,0,U13/TrAvia_act!U31*1000000)</f>
        <v>9025.3412723114288</v>
      </c>
      <c r="V49" s="86">
        <f>IF(V13=0,0,V13/TrAvia_act!V31*1000000)</f>
        <v>14674.907465305416</v>
      </c>
      <c r="W49" s="86">
        <f>IF(W13=0,0,W13/TrAvia_act!W31*1000000)</f>
        <v>13541.865407537725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0.98086613532245226</v>
      </c>
      <c r="C52" s="16">
        <f t="shared" si="35"/>
        <v>0.9782745445001505</v>
      </c>
      <c r="D52" s="16">
        <f t="shared" ref="D52:V52" si="36">IF(D6=0,0,D6/D$3)</f>
        <v>0.97359603046141074</v>
      </c>
      <c r="E52" s="16">
        <f t="shared" si="36"/>
        <v>0.9782519651718653</v>
      </c>
      <c r="F52" s="16">
        <f t="shared" si="36"/>
        <v>0.98292293453051982</v>
      </c>
      <c r="G52" s="16">
        <f t="shared" si="36"/>
        <v>0.98161789602551719</v>
      </c>
      <c r="H52" s="16">
        <f t="shared" si="36"/>
        <v>0.97811497820592741</v>
      </c>
      <c r="I52" s="16">
        <f t="shared" si="36"/>
        <v>0.98201437931120028</v>
      </c>
      <c r="J52" s="16">
        <f t="shared" si="36"/>
        <v>0.98434517382282805</v>
      </c>
      <c r="K52" s="16">
        <f t="shared" si="36"/>
        <v>0.98410728482556442</v>
      </c>
      <c r="L52" s="16">
        <f t="shared" si="36"/>
        <v>0.9819278840061294</v>
      </c>
      <c r="M52" s="16">
        <f t="shared" si="36"/>
        <v>0.98166581613922044</v>
      </c>
      <c r="N52" s="16">
        <f t="shared" si="36"/>
        <v>0.97921346908239293</v>
      </c>
      <c r="O52" s="16">
        <f t="shared" si="36"/>
        <v>0.97728829990714605</v>
      </c>
      <c r="P52" s="16">
        <f t="shared" si="36"/>
        <v>0.98099556170203706</v>
      </c>
      <c r="Q52" s="16">
        <f t="shared" si="36"/>
        <v>0.981084231364308</v>
      </c>
      <c r="R52" s="16">
        <f t="shared" si="36"/>
        <v>0.98241735773802208</v>
      </c>
      <c r="S52" s="16">
        <f t="shared" si="36"/>
        <v>0.9821995862760905</v>
      </c>
      <c r="T52" s="16">
        <f t="shared" si="36"/>
        <v>0.98309222498407389</v>
      </c>
      <c r="U52" s="16">
        <f t="shared" si="36"/>
        <v>0.98519055911262188</v>
      </c>
      <c r="V52" s="16">
        <f t="shared" si="36"/>
        <v>0.94798307175410856</v>
      </c>
      <c r="W52" s="16">
        <f t="shared" ref="W52" si="37">IF(W6=0,0,W6/W$3)</f>
        <v>0.93893340932607305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0.61206781959939982</v>
      </c>
      <c r="C54" s="103">
        <f t="shared" si="41"/>
        <v>0.61044483778094338</v>
      </c>
      <c r="D54" s="103">
        <f t="shared" ref="D54:V54" si="42">IF(D8=0,0,D8/D$3)</f>
        <v>0.61759994023621856</v>
      </c>
      <c r="E54" s="103">
        <f t="shared" si="42"/>
        <v>0.59373883650296011</v>
      </c>
      <c r="F54" s="103">
        <f t="shared" si="42"/>
        <v>0.6394304194478998</v>
      </c>
      <c r="G54" s="103">
        <f t="shared" si="42"/>
        <v>0.65632213476733958</v>
      </c>
      <c r="H54" s="103">
        <f t="shared" si="42"/>
        <v>0.65215857236526686</v>
      </c>
      <c r="I54" s="103">
        <f t="shared" si="42"/>
        <v>0.65457135853726378</v>
      </c>
      <c r="J54" s="103">
        <f t="shared" si="42"/>
        <v>0.65939457929002232</v>
      </c>
      <c r="K54" s="103">
        <f t="shared" si="42"/>
        <v>0.641952572323367</v>
      </c>
      <c r="L54" s="103">
        <f t="shared" si="42"/>
        <v>0.6368644267696818</v>
      </c>
      <c r="M54" s="103">
        <f t="shared" si="42"/>
        <v>0.63621366316725303</v>
      </c>
      <c r="N54" s="103">
        <f t="shared" si="42"/>
        <v>0.63624870446037141</v>
      </c>
      <c r="O54" s="103">
        <f t="shared" si="42"/>
        <v>0.635996268320284</v>
      </c>
      <c r="P54" s="103">
        <f t="shared" si="42"/>
        <v>0.64516752703479996</v>
      </c>
      <c r="Q54" s="103">
        <f t="shared" si="42"/>
        <v>0.6516502163808584</v>
      </c>
      <c r="R54" s="103">
        <f t="shared" si="42"/>
        <v>0.67139817598042717</v>
      </c>
      <c r="S54" s="103">
        <f t="shared" si="42"/>
        <v>0.67928601724720128</v>
      </c>
      <c r="T54" s="103">
        <f t="shared" si="42"/>
        <v>0.68064810626364136</v>
      </c>
      <c r="U54" s="103">
        <f t="shared" si="42"/>
        <v>0.68278810508002008</v>
      </c>
      <c r="V54" s="103">
        <f t="shared" si="42"/>
        <v>0.58509197258204515</v>
      </c>
      <c r="W54" s="103">
        <f t="shared" ref="W54" si="43">IF(W8=0,0,W8/W$3)</f>
        <v>0.60018087235273121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0.36879831572305249</v>
      </c>
      <c r="C55" s="103">
        <f t="shared" si="44"/>
        <v>0.36782970671920712</v>
      </c>
      <c r="D55" s="103">
        <f t="shared" ref="D55:V55" si="45">IF(D9=0,0,D9/D$3)</f>
        <v>0.35599609022519213</v>
      </c>
      <c r="E55" s="103">
        <f t="shared" si="45"/>
        <v>0.38451312866890508</v>
      </c>
      <c r="F55" s="103">
        <f t="shared" si="45"/>
        <v>0.34349251508261996</v>
      </c>
      <c r="G55" s="103">
        <f t="shared" si="45"/>
        <v>0.32529576125817772</v>
      </c>
      <c r="H55" s="103">
        <f t="shared" si="45"/>
        <v>0.3259564058406606</v>
      </c>
      <c r="I55" s="103">
        <f t="shared" si="45"/>
        <v>0.32744302077393639</v>
      </c>
      <c r="J55" s="103">
        <f t="shared" si="45"/>
        <v>0.32495059453280556</v>
      </c>
      <c r="K55" s="103">
        <f t="shared" si="45"/>
        <v>0.34215471250219737</v>
      </c>
      <c r="L55" s="103">
        <f t="shared" si="45"/>
        <v>0.3450634572364476</v>
      </c>
      <c r="M55" s="103">
        <f t="shared" si="45"/>
        <v>0.34545215297196752</v>
      </c>
      <c r="N55" s="103">
        <f t="shared" si="45"/>
        <v>0.34296476462202158</v>
      </c>
      <c r="O55" s="103">
        <f t="shared" si="45"/>
        <v>0.34129203158686205</v>
      </c>
      <c r="P55" s="103">
        <f t="shared" si="45"/>
        <v>0.33582803466723704</v>
      </c>
      <c r="Q55" s="103">
        <f t="shared" si="45"/>
        <v>0.32943401498344954</v>
      </c>
      <c r="R55" s="103">
        <f t="shared" si="45"/>
        <v>0.31101918175759496</v>
      </c>
      <c r="S55" s="103">
        <f t="shared" si="45"/>
        <v>0.30291356902888927</v>
      </c>
      <c r="T55" s="103">
        <f t="shared" si="45"/>
        <v>0.30244411872043242</v>
      </c>
      <c r="U55" s="103">
        <f t="shared" si="45"/>
        <v>0.30240245403260191</v>
      </c>
      <c r="V55" s="103">
        <f t="shared" si="45"/>
        <v>0.36289109917206352</v>
      </c>
      <c r="W55" s="103">
        <f t="shared" ref="W55" si="46">IF(W9=0,0,W9/W$3)</f>
        <v>0.33875253697334184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1.9133864677547827E-2</v>
      </c>
      <c r="C56" s="17">
        <f t="shared" si="47"/>
        <v>2.1725455499849517E-2</v>
      </c>
      <c r="D56" s="17">
        <f t="shared" ref="D56:V56" si="48">IF(D10=0,0,D10/D$3)</f>
        <v>2.6403969538589093E-2</v>
      </c>
      <c r="E56" s="17">
        <f t="shared" si="48"/>
        <v>2.174803482813473E-2</v>
      </c>
      <c r="F56" s="17">
        <f t="shared" si="48"/>
        <v>1.7077065469480276E-2</v>
      </c>
      <c r="G56" s="17">
        <f t="shared" si="48"/>
        <v>1.8382103974482655E-2</v>
      </c>
      <c r="H56" s="17">
        <f t="shared" si="48"/>
        <v>2.1885021794072593E-2</v>
      </c>
      <c r="I56" s="17">
        <f t="shared" si="48"/>
        <v>1.7985620688799601E-2</v>
      </c>
      <c r="J56" s="17">
        <f t="shared" si="48"/>
        <v>1.565482617717202E-2</v>
      </c>
      <c r="K56" s="17">
        <f t="shared" si="48"/>
        <v>1.5892715174435561E-2</v>
      </c>
      <c r="L56" s="17">
        <f t="shared" si="48"/>
        <v>1.8072115993870579E-2</v>
      </c>
      <c r="M56" s="17">
        <f t="shared" si="48"/>
        <v>1.8334183860779573E-2</v>
      </c>
      <c r="N56" s="17">
        <f t="shared" si="48"/>
        <v>2.0786530917607095E-2</v>
      </c>
      <c r="O56" s="17">
        <f t="shared" si="48"/>
        <v>2.2711700092854004E-2</v>
      </c>
      <c r="P56" s="17">
        <f t="shared" si="48"/>
        <v>1.9004438297963056E-2</v>
      </c>
      <c r="Q56" s="17">
        <f t="shared" si="48"/>
        <v>1.8915768635691992E-2</v>
      </c>
      <c r="R56" s="17">
        <f t="shared" si="48"/>
        <v>1.7582642261977945E-2</v>
      </c>
      <c r="S56" s="17">
        <f t="shared" si="48"/>
        <v>1.7800413723909468E-2</v>
      </c>
      <c r="T56" s="17">
        <f t="shared" si="48"/>
        <v>1.6907775015926167E-2</v>
      </c>
      <c r="U56" s="17">
        <f t="shared" si="48"/>
        <v>1.4809440887378093E-2</v>
      </c>
      <c r="V56" s="17">
        <f t="shared" si="48"/>
        <v>5.2016928245891277E-2</v>
      </c>
      <c r="W56" s="17">
        <f t="shared" ref="W56" si="49">IF(W10=0,0,W10/W$3)</f>
        <v>6.1066590673926884E-2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1.3821943278089364E-2</v>
      </c>
      <c r="C58" s="104">
        <f t="shared" si="53"/>
        <v>1.6486014690608598E-2</v>
      </c>
      <c r="D58" s="104">
        <f t="shared" ref="D58:V58" si="54">IF(D12=0,0,D12/D$3)</f>
        <v>2.363306148395224E-2</v>
      </c>
      <c r="E58" s="104">
        <f t="shared" si="54"/>
        <v>1.8936116406993653E-2</v>
      </c>
      <c r="F58" s="104">
        <f t="shared" si="54"/>
        <v>1.5366480667636701E-2</v>
      </c>
      <c r="G58" s="104">
        <f t="shared" si="54"/>
        <v>1.6425907836622327E-2</v>
      </c>
      <c r="H58" s="104">
        <f t="shared" si="54"/>
        <v>1.2147038609335633E-2</v>
      </c>
      <c r="I58" s="104">
        <f t="shared" si="54"/>
        <v>1.4349661850998986E-2</v>
      </c>
      <c r="J58" s="104">
        <f t="shared" si="54"/>
        <v>1.1213452585255542E-2</v>
      </c>
      <c r="K58" s="104">
        <f t="shared" si="54"/>
        <v>1.1272451723532494E-2</v>
      </c>
      <c r="L58" s="104">
        <f t="shared" si="54"/>
        <v>1.2196410588047903E-2</v>
      </c>
      <c r="M58" s="104">
        <f t="shared" si="54"/>
        <v>1.5558220614918289E-2</v>
      </c>
      <c r="N58" s="104">
        <f t="shared" si="54"/>
        <v>1.7051283530036383E-2</v>
      </c>
      <c r="O58" s="104">
        <f t="shared" si="54"/>
        <v>1.8544939692640587E-2</v>
      </c>
      <c r="P58" s="104">
        <f t="shared" si="54"/>
        <v>1.6900549514819493E-2</v>
      </c>
      <c r="Q58" s="104">
        <f t="shared" si="54"/>
        <v>1.6872942073012695E-2</v>
      </c>
      <c r="R58" s="104">
        <f t="shared" si="54"/>
        <v>1.4712493614980404E-2</v>
      </c>
      <c r="S58" s="104">
        <f t="shared" si="54"/>
        <v>1.5053179819365308E-2</v>
      </c>
      <c r="T58" s="104">
        <f t="shared" si="54"/>
        <v>1.4488973533585279E-2</v>
      </c>
      <c r="U58" s="104">
        <f t="shared" si="54"/>
        <v>1.1471928631383483E-2</v>
      </c>
      <c r="V58" s="104">
        <f t="shared" si="54"/>
        <v>3.7402375405169858E-2</v>
      </c>
      <c r="W58" s="104">
        <f t="shared" ref="W58" si="55">IF(W12=0,0,W12/W$3)</f>
        <v>4.5028280950555E-2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5.3119213994584627E-3</v>
      </c>
      <c r="C59" s="105">
        <f t="shared" si="56"/>
        <v>5.2394408092409188E-3</v>
      </c>
      <c r="D59" s="105">
        <f t="shared" ref="D59:V59" si="57">IF(D13=0,0,D13/D$3)</f>
        <v>2.7709080546368557E-3</v>
      </c>
      <c r="E59" s="105">
        <f t="shared" si="57"/>
        <v>2.8119184211410735E-3</v>
      </c>
      <c r="F59" s="105">
        <f t="shared" si="57"/>
        <v>1.7105848018435759E-3</v>
      </c>
      <c r="G59" s="105">
        <f t="shared" si="57"/>
        <v>1.9561961378603268E-3</v>
      </c>
      <c r="H59" s="105">
        <f t="shared" si="57"/>
        <v>9.7379831847369605E-3</v>
      </c>
      <c r="I59" s="105">
        <f t="shared" si="57"/>
        <v>3.6359588378006178E-3</v>
      </c>
      <c r="J59" s="105">
        <f t="shared" si="57"/>
        <v>4.4413735919164787E-3</v>
      </c>
      <c r="K59" s="105">
        <f t="shared" si="57"/>
        <v>4.6202634509030661E-3</v>
      </c>
      <c r="L59" s="105">
        <f t="shared" si="57"/>
        <v>5.875705405822676E-3</v>
      </c>
      <c r="M59" s="105">
        <f t="shared" si="57"/>
        <v>2.7759632458612842E-3</v>
      </c>
      <c r="N59" s="105">
        <f t="shared" si="57"/>
        <v>3.7352473875707126E-3</v>
      </c>
      <c r="O59" s="105">
        <f t="shared" si="57"/>
        <v>4.1667604002134147E-3</v>
      </c>
      <c r="P59" s="105">
        <f t="shared" si="57"/>
        <v>2.1038887831435599E-3</v>
      </c>
      <c r="Q59" s="105">
        <f t="shared" si="57"/>
        <v>2.0428265626792983E-3</v>
      </c>
      <c r="R59" s="105">
        <f t="shared" si="57"/>
        <v>2.8701486469975396E-3</v>
      </c>
      <c r="S59" s="105">
        <f t="shared" si="57"/>
        <v>2.7472339045441587E-3</v>
      </c>
      <c r="T59" s="105">
        <f t="shared" si="57"/>
        <v>2.4188014823408864E-3</v>
      </c>
      <c r="U59" s="105">
        <f t="shared" si="57"/>
        <v>3.3375122559946104E-3</v>
      </c>
      <c r="V59" s="105">
        <f t="shared" si="57"/>
        <v>1.4614552840721415E-2</v>
      </c>
      <c r="W59" s="105">
        <f t="shared" ref="W59" si="58">IF(W13=0,0,W13/W$3)</f>
        <v>1.6038309723371884E-2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3596670</v>
      </c>
      <c r="C4" s="11">
        <f t="shared" si="0"/>
        <v>3417184</v>
      </c>
      <c r="D4" s="11">
        <f t="shared" ref="D4" si="1">SUM(D5:D7)</f>
        <v>3333177</v>
      </c>
      <c r="E4" s="11">
        <f t="shared" ref="E4" si="2">SUM(E5:E7)</f>
        <v>3714604</v>
      </c>
      <c r="F4" s="11">
        <f t="shared" ref="F4" si="3">SUM(F5:F7)</f>
        <v>4713368</v>
      </c>
      <c r="G4" s="11">
        <f t="shared" ref="G4" si="4">SUM(G5:G7)</f>
        <v>5788396</v>
      </c>
      <c r="H4" s="11">
        <f t="shared" ref="H4" si="5">SUM(H5:H7)</f>
        <v>6056731</v>
      </c>
      <c r="I4" s="11">
        <f t="shared" ref="I4" si="6">SUM(I5:I7)</f>
        <v>6326950</v>
      </c>
      <c r="J4" s="11">
        <f t="shared" ref="J4" si="7">SUM(J5:J7)</f>
        <v>6215077</v>
      </c>
      <c r="K4" s="11">
        <f t="shared" ref="K4" si="8">SUM(K5:K7)</f>
        <v>5862746</v>
      </c>
      <c r="L4" s="11">
        <f t="shared" ref="L4" si="9">SUM(L5:L7)</f>
        <v>5745255</v>
      </c>
      <c r="M4" s="11">
        <f t="shared" ref="M4" si="10">SUM(M5:M7)</f>
        <v>6150396</v>
      </c>
      <c r="N4" s="11">
        <f t="shared" ref="N4" si="11">SUM(N5:N7)</f>
        <v>5590272</v>
      </c>
      <c r="O4" s="11">
        <f t="shared" ref="O4" si="12">SUM(O5:O7)</f>
        <v>5456137</v>
      </c>
      <c r="P4" s="11">
        <f t="shared" ref="P4" si="13">SUM(P5:P7)</f>
        <v>5666551</v>
      </c>
      <c r="Q4" s="11">
        <f t="shared" ref="Q4" si="14">SUM(Q5:Q7)</f>
        <v>6298239</v>
      </c>
      <c r="R4" s="11">
        <f t="shared" ref="R4" si="15">SUM(R5:R7)</f>
        <v>7172882</v>
      </c>
      <c r="S4" s="11">
        <f t="shared" ref="S4" si="16">SUM(S5:S7)</f>
        <v>7945632</v>
      </c>
      <c r="T4" s="11">
        <f t="shared" ref="T4" si="17">SUM(T5:T7)</f>
        <v>9150364</v>
      </c>
      <c r="U4" s="11">
        <f t="shared" ref="U4" si="18">SUM(U5:U7)</f>
        <v>10029999</v>
      </c>
      <c r="V4" s="11">
        <f t="shared" ref="V4:W4" si="19">SUM(V5:V7)</f>
        <v>3279279</v>
      </c>
      <c r="W4" s="11">
        <f t="shared" si="19"/>
        <v>3450410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2533561</v>
      </c>
      <c r="C6" s="84">
        <v>2415533</v>
      </c>
      <c r="D6" s="84">
        <v>2473677</v>
      </c>
      <c r="E6" s="84">
        <v>2660878</v>
      </c>
      <c r="F6" s="84">
        <v>3482468</v>
      </c>
      <c r="G6" s="84">
        <v>4504693</v>
      </c>
      <c r="H6" s="84">
        <v>4752857</v>
      </c>
      <c r="I6" s="84">
        <v>4917750</v>
      </c>
      <c r="J6" s="84">
        <v>4810148</v>
      </c>
      <c r="K6" s="84">
        <v>4617200</v>
      </c>
      <c r="L6" s="84">
        <v>4465601</v>
      </c>
      <c r="M6" s="84">
        <v>4807453</v>
      </c>
      <c r="N6" s="84">
        <v>4833448</v>
      </c>
      <c r="O6" s="84">
        <v>4522745</v>
      </c>
      <c r="P6" s="84">
        <v>4514833</v>
      </c>
      <c r="Q6" s="84">
        <v>5013830</v>
      </c>
      <c r="R6" s="84">
        <v>5918975</v>
      </c>
      <c r="S6" s="84">
        <v>6380369</v>
      </c>
      <c r="T6" s="84">
        <v>7005159</v>
      </c>
      <c r="U6" s="84">
        <v>7657524</v>
      </c>
      <c r="V6" s="84">
        <v>2633200</v>
      </c>
      <c r="W6" s="84">
        <v>2656503</v>
      </c>
      <c r="DA6" s="171" t="s">
        <v>363</v>
      </c>
    </row>
    <row r="7" spans="1:105" ht="11.45" customHeight="1" x14ac:dyDescent="0.25">
      <c r="A7" s="85" t="s">
        <v>174</v>
      </c>
      <c r="B7" s="86">
        <v>1063109</v>
      </c>
      <c r="C7" s="86">
        <v>1001651</v>
      </c>
      <c r="D7" s="86">
        <v>859500</v>
      </c>
      <c r="E7" s="86">
        <v>1053726</v>
      </c>
      <c r="F7" s="86">
        <v>1230900</v>
      </c>
      <c r="G7" s="86">
        <v>1283703</v>
      </c>
      <c r="H7" s="86">
        <v>1303874</v>
      </c>
      <c r="I7" s="86">
        <v>1409200</v>
      </c>
      <c r="J7" s="86">
        <v>1404929</v>
      </c>
      <c r="K7" s="86">
        <v>1245546</v>
      </c>
      <c r="L7" s="86">
        <v>1279654</v>
      </c>
      <c r="M7" s="86">
        <v>1342943</v>
      </c>
      <c r="N7" s="86">
        <v>756824</v>
      </c>
      <c r="O7" s="86">
        <v>933392</v>
      </c>
      <c r="P7" s="86">
        <v>1151718</v>
      </c>
      <c r="Q7" s="86">
        <v>1284409</v>
      </c>
      <c r="R7" s="86">
        <v>1253907</v>
      </c>
      <c r="S7" s="86">
        <v>1565263</v>
      </c>
      <c r="T7" s="86">
        <v>2145205</v>
      </c>
      <c r="U7" s="86">
        <v>2372475</v>
      </c>
      <c r="V7" s="86">
        <v>646079</v>
      </c>
      <c r="W7" s="86">
        <v>793907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98.595630362674413</v>
      </c>
      <c r="C12" s="14">
        <f>IF(C4=0,0,C4/TrAvia_act!C24)</f>
        <v>99.704840545035452</v>
      </c>
      <c r="D12" s="14">
        <f>IF(D4=0,0,D4/TrAvia_act!D24)</f>
        <v>99.798706548100242</v>
      </c>
      <c r="E12" s="14">
        <f>IF(E4=0,0,E4/TrAvia_act!E24)</f>
        <v>96.518318349529693</v>
      </c>
      <c r="F12" s="14">
        <f>IF(F4=0,0,F4/TrAvia_act!F24)</f>
        <v>96.206890920966686</v>
      </c>
      <c r="G12" s="14">
        <f>IF(G4=0,0,G4/TrAvia_act!G24)</f>
        <v>105.62766423357664</v>
      </c>
      <c r="H12" s="14">
        <f>IF(H4=0,0,H4/TrAvia_act!H24)</f>
        <v>109.90058246085174</v>
      </c>
      <c r="I12" s="14">
        <f>IF(I4=0,0,I4/TrAvia_act!I24)</f>
        <v>115.61352215623572</v>
      </c>
      <c r="J12" s="14">
        <f>IF(J4=0,0,J4/TrAvia_act!J24)</f>
        <v>118.90787862554527</v>
      </c>
      <c r="K12" s="14">
        <f>IF(K4=0,0,K4/TrAvia_act!K24)</f>
        <v>118.75359030970853</v>
      </c>
      <c r="L12" s="14">
        <f>IF(L4=0,0,L4/TrAvia_act!L24)</f>
        <v>122.54452573427469</v>
      </c>
      <c r="M12" s="14">
        <f>IF(M4=0,0,M4/TrAvia_act!M24)</f>
        <v>125.33156725694374</v>
      </c>
      <c r="N12" s="14">
        <f>IF(N4=0,0,N4/TrAvia_act!N24)</f>
        <v>147.62522446392734</v>
      </c>
      <c r="O12" s="14">
        <f>IF(O4=0,0,O4/TrAvia_act!O24)</f>
        <v>152.00693709255029</v>
      </c>
      <c r="P12" s="14">
        <f>IF(P4=0,0,P4/TrAvia_act!P24)</f>
        <v>151.47560747413723</v>
      </c>
      <c r="Q12" s="14">
        <f>IF(Q4=0,0,Q4/TrAvia_act!Q24)</f>
        <v>157.07115068083195</v>
      </c>
      <c r="R12" s="14">
        <f>IF(R4=0,0,R4/TrAvia_act!R24)</f>
        <v>166.25059682466102</v>
      </c>
      <c r="S12" s="14">
        <f>IF(S4=0,0,S4/TrAvia_act!S24)</f>
        <v>171.00619834710744</v>
      </c>
      <c r="T12" s="14">
        <f>IF(T4=0,0,T4/TrAvia_act!T24)</f>
        <v>174.51536246257129</v>
      </c>
      <c r="U12" s="14">
        <f>IF(U4=0,0,U4/TrAvia_act!U24)</f>
        <v>177.49697387980464</v>
      </c>
      <c r="V12" s="14">
        <f>IF(V4=0,0,V4/TrAvia_act!V24)</f>
        <v>178.89253177677159</v>
      </c>
      <c r="W12" s="14">
        <f>IF(W4=0,0,W4/TrAvia_act!W24)</f>
        <v>178.41718806556699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92.029095532146755</v>
      </c>
      <c r="C14" s="87">
        <f>IF(C6=0,0,C6/TrAvia_act!C26)</f>
        <v>93.390025130485213</v>
      </c>
      <c r="D14" s="87">
        <f>IF(D6=0,0,D6/TrAvia_act!D26)</f>
        <v>96.881565033486083</v>
      </c>
      <c r="E14" s="87">
        <f>IF(E6=0,0,E6/TrAvia_act!E26)</f>
        <v>92.891534299179611</v>
      </c>
      <c r="F14" s="87">
        <f>IF(F6=0,0,F6/TrAvia_act!F26)</f>
        <v>91.924506387921028</v>
      </c>
      <c r="G14" s="87">
        <f>IF(G6=0,0,G6/TrAvia_act!G26)</f>
        <v>102.18662522968037</v>
      </c>
      <c r="H14" s="87">
        <f>IF(H6=0,0,H6/TrAvia_act!H26)</f>
        <v>107.87972399391697</v>
      </c>
      <c r="I14" s="87">
        <f>IF(I6=0,0,I6/TrAvia_act!I26)</f>
        <v>114.56076595149905</v>
      </c>
      <c r="J14" s="87">
        <f>IF(J6=0,0,J6/TrAvia_act!J26)</f>
        <v>118.34829249089657</v>
      </c>
      <c r="K14" s="87">
        <f>IF(K6=0,0,K6/TrAvia_act!K26)</f>
        <v>119.26434881438239</v>
      </c>
      <c r="L14" s="87">
        <f>IF(L6=0,0,L6/TrAvia_act!L26)</f>
        <v>122.95156938325991</v>
      </c>
      <c r="M14" s="87">
        <f>IF(M6=0,0,M6/TrAvia_act!M26)</f>
        <v>126.70865290846314</v>
      </c>
      <c r="N14" s="87">
        <f>IF(N6=0,0,N6/TrAvia_act!N26)</f>
        <v>150.59346959122632</v>
      </c>
      <c r="O14" s="87">
        <f>IF(O6=0,0,O6/TrAvia_act!O26)</f>
        <v>152.00971330622122</v>
      </c>
      <c r="P14" s="87">
        <f>IF(P6=0,0,P6/TrAvia_act!P26)</f>
        <v>151.93272984250908</v>
      </c>
      <c r="Q14" s="87">
        <f>IF(Q6=0,0,Q6/TrAvia_act!Q26)</f>
        <v>157.30156240195771</v>
      </c>
      <c r="R14" s="87">
        <f>IF(R6=0,0,R6/TrAvia_act!R26)</f>
        <v>166.75047892720306</v>
      </c>
      <c r="S14" s="87">
        <f>IF(S6=0,0,S6/TrAvia_act!S26)</f>
        <v>170.42949488473968</v>
      </c>
      <c r="T14" s="87">
        <f>IF(T6=0,0,T6/TrAvia_act!T26)</f>
        <v>172.78770164274087</v>
      </c>
      <c r="U14" s="87">
        <f>IF(U6=0,0,U6/TrAvia_act!U26)</f>
        <v>175.39393939393941</v>
      </c>
      <c r="V14" s="87">
        <f>IF(V6=0,0,V6/TrAvia_act!V26)</f>
        <v>176.8553966015179</v>
      </c>
      <c r="W14" s="87">
        <f>IF(W6=0,0,W6/TrAvia_act!W26)</f>
        <v>175.79928528886242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118.79640183260699</v>
      </c>
      <c r="C15" s="88">
        <f>IF(C7=0,0,C7/TrAvia_act!C27)</f>
        <v>119.13070884871551</v>
      </c>
      <c r="D15" s="88">
        <f>IF(D7=0,0,D7/TrAvia_act!D27)</f>
        <v>109.26773455377574</v>
      </c>
      <c r="E15" s="88">
        <f>IF(E7=0,0,E7/TrAvia_act!E27)</f>
        <v>107.07509399451276</v>
      </c>
      <c r="F15" s="88">
        <f>IF(F7=0,0,F7/TrAvia_act!F27)</f>
        <v>110.81202736766295</v>
      </c>
      <c r="G15" s="88">
        <f>IF(G7=0,0,G7/TrAvia_act!G27)</f>
        <v>119.78193524307176</v>
      </c>
      <c r="H15" s="88">
        <f>IF(H7=0,0,H7/TrAvia_act!H27)</f>
        <v>117.95494843495567</v>
      </c>
      <c r="I15" s="88">
        <f>IF(I7=0,0,I7/TrAvia_act!I27)</f>
        <v>119.4439735548398</v>
      </c>
      <c r="J15" s="88">
        <f>IF(J7=0,0,J7/TrAvia_act!J27)</f>
        <v>120.8645044735031</v>
      </c>
      <c r="K15" s="88">
        <f>IF(K7=0,0,K7/TrAvia_act!K27)</f>
        <v>116.89779446269357</v>
      </c>
      <c r="L15" s="88">
        <f>IF(L7=0,0,L7/TrAvia_act!L27)</f>
        <v>121.14493988450251</v>
      </c>
      <c r="M15" s="88">
        <f>IF(M7=0,0,M7/TrAvia_act!M27)</f>
        <v>120.63807042759612</v>
      </c>
      <c r="N15" s="88">
        <f>IF(N7=0,0,N7/TrAvia_act!N27)</f>
        <v>131.11988911988911</v>
      </c>
      <c r="O15" s="88">
        <f>IF(O7=0,0,O7/TrAvia_act!O27)</f>
        <v>151.99348640286598</v>
      </c>
      <c r="P15" s="88">
        <f>IF(P7=0,0,P7/TrAvia_act!P27)</f>
        <v>149.70986611204992</v>
      </c>
      <c r="Q15" s="88">
        <f>IF(Q7=0,0,Q7/TrAvia_act!Q27)</f>
        <v>156.17813715953307</v>
      </c>
      <c r="R15" s="88">
        <f>IF(R7=0,0,R7/TrAvia_act!R27)</f>
        <v>163.93084063276245</v>
      </c>
      <c r="S15" s="88">
        <f>IF(S7=0,0,S7/TrAvia_act!S27)</f>
        <v>173.39791735903401</v>
      </c>
      <c r="T15" s="88">
        <f>IF(T7=0,0,T7/TrAvia_act!T27)</f>
        <v>180.40576906904383</v>
      </c>
      <c r="U15" s="88">
        <f>IF(U7=0,0,U7/TrAvia_act!U27)</f>
        <v>184.64277375671259</v>
      </c>
      <c r="V15" s="88">
        <f>IF(V7=0,0,V7/TrAvia_act!V27)</f>
        <v>187.70453224869263</v>
      </c>
      <c r="W15" s="88">
        <f>IF(W7=0,0,W7/TrAvia_act!W27)</f>
        <v>187.7736518448439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0.67840752696244033</v>
      </c>
      <c r="C18" s="25">
        <f>IF(TrAvia_act!C34=0,0,(TrAvia_act!C34/TrAvia_act!C24)/TrAvia_png!C12)</f>
        <v>0.67898509415940145</v>
      </c>
      <c r="D18" s="25">
        <f>IF(TrAvia_act!D34=0,0,(TrAvia_act!D34/TrAvia_act!D24)/TrAvia_png!D12)</f>
        <v>0.68016879991671608</v>
      </c>
      <c r="E18" s="25">
        <f>IF(TrAvia_act!E34=0,0,(TrAvia_act!E34/TrAvia_act!E24)/TrAvia_png!E12)</f>
        <v>0.67925517767169807</v>
      </c>
      <c r="F18" s="25">
        <f>IF(TrAvia_act!F34=0,0,(TrAvia_act!F34/TrAvia_act!F24)/TrAvia_png!F12)</f>
        <v>0.68406052741903467</v>
      </c>
      <c r="G18" s="25">
        <f>IF(TrAvia_act!G34=0,0,(TrAvia_act!G34/TrAvia_act!G24)/TrAvia_png!G12)</f>
        <v>0.69003157351362965</v>
      </c>
      <c r="H18" s="25">
        <f>IF(TrAvia_act!H34=0,0,(TrAvia_act!H34/TrAvia_act!H24)/TrAvia_png!H12)</f>
        <v>0.69087004194176693</v>
      </c>
      <c r="I18" s="25">
        <f>IF(TrAvia_act!I34=0,0,(TrAvia_act!I34/TrAvia_act!I24)/TrAvia_png!I12)</f>
        <v>0.69397545420779372</v>
      </c>
      <c r="J18" s="25">
        <f>IF(TrAvia_act!J34=0,0,(TrAvia_act!J34/TrAvia_act!J24)/TrAvia_png!J12)</f>
        <v>0.6887134302599951</v>
      </c>
      <c r="K18" s="25">
        <f>IF(TrAvia_act!K34=0,0,(TrAvia_act!K34/TrAvia_act!K24)/TrAvia_png!K12)</f>
        <v>0.70042570495122924</v>
      </c>
      <c r="L18" s="25">
        <f>IF(TrAvia_act!L34=0,0,(TrAvia_act!L34/TrAvia_act!L24)/TrAvia_png!L12)</f>
        <v>0.71614958779027216</v>
      </c>
      <c r="M18" s="25">
        <f>IF(TrAvia_act!M34=0,0,(TrAvia_act!M34/TrAvia_act!M24)/TrAvia_png!M12)</f>
        <v>0.72657272799995309</v>
      </c>
      <c r="N18" s="25">
        <f>IF(TrAvia_act!N34=0,0,(TrAvia_act!N34/TrAvia_act!N24)/TrAvia_png!N12)</f>
        <v>0.75966088948802479</v>
      </c>
      <c r="O18" s="25">
        <f>IF(TrAvia_act!O34=0,0,(TrAvia_act!O34/TrAvia_act!O24)/TrAvia_png!O12)</f>
        <v>0.77978723774714598</v>
      </c>
      <c r="P18" s="25">
        <f>IF(TrAvia_act!P34=0,0,(TrAvia_act!P34/TrAvia_act!P24)/TrAvia_png!P12)</f>
        <v>0.80459489378989091</v>
      </c>
      <c r="Q18" s="25">
        <f>IF(TrAvia_act!Q34=0,0,(TrAvia_act!Q34/TrAvia_act!Q24)/TrAvia_png!Q12)</f>
        <v>0.81918469591261955</v>
      </c>
      <c r="R18" s="25">
        <f>IF(TrAvia_act!R34=0,0,(TrAvia_act!R34/TrAvia_act!R24)/TrAvia_png!R12)</f>
        <v>0.82227896680859935</v>
      </c>
      <c r="S18" s="25">
        <f>IF(TrAvia_act!S34=0,0,(TrAvia_act!S34/TrAvia_act!S24)/TrAvia_png!S12)</f>
        <v>0.84758556651000205</v>
      </c>
      <c r="T18" s="25">
        <f>IF(TrAvia_act!T34=0,0,(TrAvia_act!T34/TrAvia_act!T24)/TrAvia_png!T12)</f>
        <v>0.83645634206464348</v>
      </c>
      <c r="U18" s="25">
        <f>IF(TrAvia_act!U34=0,0,(TrAvia_act!U34/TrAvia_act!U24)/TrAvia_png!U12)</f>
        <v>0.83855362298640301</v>
      </c>
      <c r="V18" s="25">
        <f>IF(TrAvia_act!V34=0,0,(TrAvia_act!V34/TrAvia_act!V24)/TrAvia_png!V12)</f>
        <v>0.6174448712659093</v>
      </c>
      <c r="W18" s="25">
        <f>IF(TrAvia_act!W34=0,0,(TrAvia_act!W34/TrAvia_act!W24)/TrAvia_png!W12)</f>
        <v>0.67404685240304774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0.68795067495907924</v>
      </c>
      <c r="C20" s="89">
        <f>IF(TrAvia_act!C36=0,0,(TrAvia_act!C36/TrAvia_act!C26)/TrAvia_png!C14)</f>
        <v>0.68837229712862547</v>
      </c>
      <c r="D20" s="89">
        <f>IF(TrAvia_act!D36=0,0,(TrAvia_act!D36/TrAvia_act!D26)/TrAvia_png!D14)</f>
        <v>0.68806194179757496</v>
      </c>
      <c r="E20" s="89">
        <f>IF(TrAvia_act!E36=0,0,(TrAvia_act!E36/TrAvia_act!E26)/TrAvia_png!E14)</f>
        <v>0.6876365620671071</v>
      </c>
      <c r="F20" s="89">
        <f>IF(TrAvia_act!F36=0,0,(TrAvia_act!F36/TrAvia_act!F26)/TrAvia_png!F14)</f>
        <v>0.69239200475065388</v>
      </c>
      <c r="G20" s="89">
        <f>IF(TrAvia_act!G36=0,0,(TrAvia_act!G36/TrAvia_act!G26)/TrAvia_png!G14)</f>
        <v>0.69774033435796845</v>
      </c>
      <c r="H20" s="89">
        <f>IF(TrAvia_act!H36=0,0,(TrAvia_act!H36/TrAvia_act!H26)/TrAvia_png!H14)</f>
        <v>0.69782490826044219</v>
      </c>
      <c r="I20" s="89">
        <f>IF(TrAvia_act!I36=0,0,(TrAvia_act!I36/TrAvia_act!I26)/TrAvia_png!I14)</f>
        <v>0.70016938640638504</v>
      </c>
      <c r="J20" s="89">
        <f>IF(TrAvia_act!J36=0,0,(TrAvia_act!J36/TrAvia_act!J26)/TrAvia_png!J14)</f>
        <v>0.6951536626315864</v>
      </c>
      <c r="K20" s="89">
        <f>IF(TrAvia_act!K36=0,0,(TrAvia_act!K36/TrAvia_act!K26)/TrAvia_png!K14)</f>
        <v>0.70234211210257302</v>
      </c>
      <c r="L20" s="89">
        <f>IF(TrAvia_act!L36=0,0,(TrAvia_act!L36/TrAvia_act!L26)/TrAvia_png!L14)</f>
        <v>0.72160634145325575</v>
      </c>
      <c r="M20" s="89">
        <f>IF(TrAvia_act!M36=0,0,(TrAvia_act!M36/TrAvia_act!M26)/TrAvia_png!M14)</f>
        <v>0.73391149117838494</v>
      </c>
      <c r="N20" s="89">
        <f>IF(TrAvia_act!N36=0,0,(TrAvia_act!N36/TrAvia_act!N26)/TrAvia_png!N14)</f>
        <v>0.75794857004771743</v>
      </c>
      <c r="O20" s="89">
        <f>IF(TrAvia_act!O36=0,0,(TrAvia_act!O36/TrAvia_act!O26)/TrAvia_png!O14)</f>
        <v>0.78061796541702</v>
      </c>
      <c r="P20" s="89">
        <f>IF(TrAvia_act!P36=0,0,(TrAvia_act!P36/TrAvia_act!P26)/TrAvia_png!P14)</f>
        <v>0.81291268137714068</v>
      </c>
      <c r="Q20" s="89">
        <f>IF(TrAvia_act!Q36=0,0,(TrAvia_act!Q36/TrAvia_act!Q26)/TrAvia_png!Q14)</f>
        <v>0.83098609246823285</v>
      </c>
      <c r="R20" s="89">
        <f>IF(TrAvia_act!R36=0,0,(TrAvia_act!R36/TrAvia_act!R26)/TrAvia_png!R14)</f>
        <v>0.82796278071794516</v>
      </c>
      <c r="S20" s="89">
        <f>IF(TrAvia_act!S36=0,0,(TrAvia_act!S36/TrAvia_act!S26)/TrAvia_png!S14)</f>
        <v>0.85666299237551935</v>
      </c>
      <c r="T20" s="89">
        <f>IF(TrAvia_act!T36=0,0,(TrAvia_act!T36/TrAvia_act!T26)/TrAvia_png!T14)</f>
        <v>0.84844626653013866</v>
      </c>
      <c r="U20" s="89">
        <f>IF(TrAvia_act!U36=0,0,(TrAvia_act!U36/TrAvia_act!U26)/TrAvia_png!U14)</f>
        <v>0.84801954260933421</v>
      </c>
      <c r="V20" s="89">
        <f>IF(TrAvia_act!V36=0,0,(TrAvia_act!V36/TrAvia_act!V26)/TrAvia_png!V14)</f>
        <v>0.61775938022178334</v>
      </c>
      <c r="W20" s="89">
        <f>IF(TrAvia_act!W36=0,0,(TrAvia_act!W36/TrAvia_act!W26)/TrAvia_png!W14)</f>
        <v>0.680060590934774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0.65566465903308124</v>
      </c>
      <c r="C21" s="90">
        <f>IF(TrAvia_act!C37=0,0,(TrAvia_act!C37/TrAvia_act!C27)/TrAvia_png!C15)</f>
        <v>0.65634737049131875</v>
      </c>
      <c r="D21" s="90">
        <f>IF(TrAvia_act!D37=0,0,(TrAvia_act!D37/TrAvia_act!D27)/TrAvia_png!D15)</f>
        <v>0.65745200698080286</v>
      </c>
      <c r="E21" s="90">
        <f>IF(TrAvia_act!E37=0,0,(TrAvia_act!E37/TrAvia_act!E27)/TrAvia_png!E15)</f>
        <v>0.65809043337641848</v>
      </c>
      <c r="F21" s="90">
        <f>IF(TrAvia_act!F37=0,0,(TrAvia_act!F37/TrAvia_act!F27)/TrAvia_png!F15)</f>
        <v>0.6604890730359898</v>
      </c>
      <c r="G21" s="90">
        <f>IF(TrAvia_act!G37=0,0,(TrAvia_act!G37/TrAvia_act!G27)/TrAvia_png!G15)</f>
        <v>0.66298045575962672</v>
      </c>
      <c r="H21" s="90">
        <f>IF(TrAvia_act!H37=0,0,(TrAvia_act!H37/TrAvia_act!H27)/TrAvia_png!H15)</f>
        <v>0.6655182939455806</v>
      </c>
      <c r="I21" s="90">
        <f>IF(TrAvia_act!I37=0,0,(TrAvia_act!I37/TrAvia_act!I27)/TrAvia_png!I15)</f>
        <v>0.67236020437127453</v>
      </c>
      <c r="J21" s="90">
        <f>IF(TrAvia_act!J37=0,0,(TrAvia_act!J37/TrAvia_act!J27)/TrAvia_png!J15)</f>
        <v>0.66666358228778821</v>
      </c>
      <c r="K21" s="90">
        <f>IF(TrAvia_act!K37=0,0,(TrAvia_act!K37/TrAvia_act!K27)/TrAvia_png!K15)</f>
        <v>0.69332164368076332</v>
      </c>
      <c r="L21" s="90">
        <f>IF(TrAvia_act!L37=0,0,(TrAvia_act!L37/TrAvia_act!L27)/TrAvia_png!L15)</f>
        <v>0.69710718678642813</v>
      </c>
      <c r="M21" s="90">
        <f>IF(TrAvia_act!M37=0,0,(TrAvia_act!M37/TrAvia_act!M27)/TrAvia_png!M15)</f>
        <v>0.70030150199971264</v>
      </c>
      <c r="N21" s="90">
        <f>IF(TrAvia_act!N37=0,0,(TrAvia_act!N37/TrAvia_act!N27)/TrAvia_png!N15)</f>
        <v>0.77059659841654082</v>
      </c>
      <c r="O21" s="90">
        <f>IF(TrAvia_act!O37=0,0,(TrAvia_act!O37/TrAvia_act!O27)/TrAvia_png!O15)</f>
        <v>0.77576195210586762</v>
      </c>
      <c r="P21" s="90">
        <f>IF(TrAvia_act!P37=0,0,(TrAvia_act!P37/TrAvia_act!P27)/TrAvia_png!P15)</f>
        <v>0.77198845550733775</v>
      </c>
      <c r="Q21" s="90">
        <f>IF(TrAvia_act!Q37=0,0,(TrAvia_act!Q37/TrAvia_act!Q27)/TrAvia_png!Q15)</f>
        <v>0.77311666299442006</v>
      </c>
      <c r="R21" s="90">
        <f>IF(TrAvia_act!R37=0,0,(TrAvia_act!R37/TrAvia_act!R27)/TrAvia_png!R15)</f>
        <v>0.79544894477820116</v>
      </c>
      <c r="S21" s="90">
        <f>IF(TrAvia_act!S37=0,0,(TrAvia_act!S37/TrAvia_act!S27)/TrAvia_png!S15)</f>
        <v>0.81058390826333981</v>
      </c>
      <c r="T21" s="90">
        <f>IF(TrAvia_act!T37=0,0,(TrAvia_act!T37/TrAvia_act!T27)/TrAvia_png!T15)</f>
        <v>0.79730328803074768</v>
      </c>
      <c r="U21" s="90">
        <f>IF(TrAvia_act!U37=0,0,(TrAvia_act!U37/TrAvia_act!U27)/TrAvia_png!U15)</f>
        <v>0.80800092730165751</v>
      </c>
      <c r="V21" s="90">
        <f>IF(TrAvia_act!V37=0,0,(TrAvia_act!V37/TrAvia_act!V27)/TrAvia_png!V15)</f>
        <v>0.61616303888533752</v>
      </c>
      <c r="W21" s="90">
        <f>IF(TrAvia_act!W37=0,0,(TrAvia_act!W37/TrAvia_act!W27)/TrAvia_png!W15)</f>
        <v>0.65392420018969477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5.7700057888405321E-2</v>
      </c>
      <c r="C24" s="23">
        <f>IF(TrAvia_ene!C6=0,0,TrAvia_ene!C6/(C12*TrAvia_act!C14))</f>
        <v>5.6848699557306134E-2</v>
      </c>
      <c r="D24" s="23">
        <f>IF(TrAvia_ene!D6=0,0,TrAvia_ene!D6/(D12*TrAvia_act!D14))</f>
        <v>5.5358861088086374E-2</v>
      </c>
      <c r="E24" s="23">
        <f>IF(TrAvia_ene!E6=0,0,TrAvia_ene!E6/(E12*TrAvia_act!E14))</f>
        <v>4.8500878855692868E-2</v>
      </c>
      <c r="F24" s="23">
        <f>IF(TrAvia_ene!F6=0,0,TrAvia_ene!F6/(F12*TrAvia_act!F14))</f>
        <v>4.1670332921554448E-2</v>
      </c>
      <c r="G24" s="23">
        <f>IF(TrAvia_ene!G6=0,0,TrAvia_ene!G6/(G12*TrAvia_act!G14))</f>
        <v>3.7982068748383759E-2</v>
      </c>
      <c r="H24" s="23">
        <f>IF(TrAvia_ene!H6=0,0,TrAvia_ene!H6/(H12*TrAvia_act!H14))</f>
        <v>3.6256712653618732E-2</v>
      </c>
      <c r="I24" s="23">
        <f>IF(TrAvia_ene!I6=0,0,TrAvia_ene!I6/(I12*TrAvia_act!I14))</f>
        <v>3.0974700415189869E-2</v>
      </c>
      <c r="J24" s="23">
        <f>IF(TrAvia_ene!J6=0,0,TrAvia_ene!J6/(J12*TrAvia_act!J14))</f>
        <v>3.5325459753624604E-2</v>
      </c>
      <c r="K24" s="23">
        <f>IF(TrAvia_ene!K6=0,0,TrAvia_ene!K6/(K12*TrAvia_act!K14))</f>
        <v>3.3422224017896136E-2</v>
      </c>
      <c r="L24" s="23">
        <f>IF(TrAvia_ene!L6=0,0,TrAvia_ene!L6/(L12*TrAvia_act!L14))</f>
        <v>3.3522428128555638E-2</v>
      </c>
      <c r="M24" s="23">
        <f>IF(TrAvia_ene!M6=0,0,TrAvia_ene!M6/(M12*TrAvia_act!M14))</f>
        <v>3.1750492377263226E-2</v>
      </c>
      <c r="N24" s="23">
        <f>IF(TrAvia_ene!N6=0,0,TrAvia_ene!N6/(N12*TrAvia_act!N14))</f>
        <v>2.4689322741406179E-2</v>
      </c>
      <c r="O24" s="23">
        <f>IF(TrAvia_ene!O6=0,0,TrAvia_ene!O6/(O12*TrAvia_act!O14))</f>
        <v>2.4319990745759405E-2</v>
      </c>
      <c r="P24" s="23">
        <f>IF(TrAvia_ene!P6=0,0,TrAvia_ene!P6/(P12*TrAvia_act!P14))</f>
        <v>2.3986318148056761E-2</v>
      </c>
      <c r="Q24" s="23">
        <f>IF(TrAvia_ene!Q6=0,0,TrAvia_ene!Q6/(Q12*TrAvia_act!Q14))</f>
        <v>2.1240946023410243E-2</v>
      </c>
      <c r="R24" s="23">
        <f>IF(TrAvia_ene!R6=0,0,TrAvia_ene!R6/(R12*TrAvia_act!R14))</f>
        <v>2.0022273395295342E-2</v>
      </c>
      <c r="S24" s="23">
        <f>IF(TrAvia_ene!S6=0,0,TrAvia_ene!S6/(S12*TrAvia_act!S14))</f>
        <v>2.0688671862149101E-2</v>
      </c>
      <c r="T24" s="23">
        <f>IF(TrAvia_ene!T6=0,0,TrAvia_ene!T6/(T12*TrAvia_act!T14))</f>
        <v>2.097394884920907E-2</v>
      </c>
      <c r="U24" s="23">
        <f>IF(TrAvia_ene!U6=0,0,TrAvia_ene!U6/(U12*TrAvia_act!U14))</f>
        <v>1.9138451720520873E-2</v>
      </c>
      <c r="V24" s="23">
        <f>IF(TrAvia_ene!V6=0,0,TrAvia_ene!V6/(V12*TrAvia_act!V14))</f>
        <v>2.1239047279512833E-2</v>
      </c>
      <c r="W24" s="23">
        <f>IF(TrAvia_ene!W6=0,0,TrAvia_ene!W6/(W12*TrAvia_act!W14))</f>
        <v>2.348926817263592E-2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6.0074413573220159E-2</v>
      </c>
      <c r="C26" s="93">
        <f>IF(TrAvia_ene!C8=0,0,TrAvia_ene!C8/(C14*TrAvia_act!C16))</f>
        <v>5.8981656885162936E-2</v>
      </c>
      <c r="D26" s="93">
        <f>IF(TrAvia_ene!D8=0,0,TrAvia_ene!D8/(D14*TrAvia_act!D16))</f>
        <v>5.5431457044703647E-2</v>
      </c>
      <c r="E26" s="93">
        <f>IF(TrAvia_ene!E8=0,0,TrAvia_ene!E8/(E14*TrAvia_act!E16))</f>
        <v>4.8854114211593899E-2</v>
      </c>
      <c r="F26" s="93">
        <f>IF(TrAvia_ene!F8=0,0,TrAvia_ene!F8/(F14*TrAvia_act!F16))</f>
        <v>4.2504616395561738E-2</v>
      </c>
      <c r="G26" s="93">
        <f>IF(TrAvia_ene!G8=0,0,TrAvia_ene!G8/(G14*TrAvia_act!G16))</f>
        <v>3.6494431563004297E-2</v>
      </c>
      <c r="H26" s="93">
        <f>IF(TrAvia_ene!H8=0,0,TrAvia_ene!H8/(H14*TrAvia_act!H16))</f>
        <v>3.5218267681290764E-2</v>
      </c>
      <c r="I26" s="93">
        <f>IF(TrAvia_ene!I8=0,0,TrAvia_ene!I8/(I14*TrAvia_act!I16))</f>
        <v>3.1161876374313478E-2</v>
      </c>
      <c r="J26" s="93">
        <f>IF(TrAvia_ene!J8=0,0,TrAvia_ene!J8/(J14*TrAvia_act!J16))</f>
        <v>3.4853205207029572E-2</v>
      </c>
      <c r="K26" s="93">
        <f>IF(TrAvia_ene!K8=0,0,TrAvia_ene!K8/(K14*TrAvia_act!K16))</f>
        <v>3.0447684857924335E-2</v>
      </c>
      <c r="L26" s="93">
        <f>IF(TrAvia_ene!L8=0,0,TrAvia_ene!L8/(L14*TrAvia_act!L16))</f>
        <v>3.0744483222548451E-2</v>
      </c>
      <c r="M26" s="93">
        <f>IF(TrAvia_ene!M8=0,0,TrAvia_ene!M8/(M14*TrAvia_act!M16))</f>
        <v>2.9170831741360686E-2</v>
      </c>
      <c r="N26" s="93">
        <f>IF(TrAvia_ene!N8=0,0,TrAvia_ene!N8/(N14*TrAvia_act!N16))</f>
        <v>1.99864368993262E-2</v>
      </c>
      <c r="O26" s="93">
        <f>IF(TrAvia_ene!O8=0,0,TrAvia_ene!O8/(O14*TrAvia_act!O16))</f>
        <v>2.0844880783452927E-2</v>
      </c>
      <c r="P26" s="93">
        <f>IF(TrAvia_ene!P8=0,0,TrAvia_ene!P8/(P14*TrAvia_act!P16))</f>
        <v>2.1975553490915341E-2</v>
      </c>
      <c r="Q26" s="93">
        <f>IF(TrAvia_ene!Q8=0,0,TrAvia_ene!Q8/(Q14*TrAvia_act!Q16))</f>
        <v>1.9946223839215176E-2</v>
      </c>
      <c r="R26" s="93">
        <f>IF(TrAvia_ene!R8=0,0,TrAvia_ene!R8/(R14*TrAvia_act!R16))</f>
        <v>1.8698539421439977E-2</v>
      </c>
      <c r="S26" s="93">
        <f>IF(TrAvia_ene!S8=0,0,TrAvia_ene!S8/(S14*TrAvia_act!S16))</f>
        <v>2.0296715043460214E-2</v>
      </c>
      <c r="T26" s="93">
        <f>IF(TrAvia_ene!T8=0,0,TrAvia_ene!T8/(T14*TrAvia_act!T16))</f>
        <v>2.2588772542742636E-2</v>
      </c>
      <c r="U26" s="93">
        <f>IF(TrAvia_ene!U8=0,0,TrAvia_ene!U8/(U14*TrAvia_act!U16))</f>
        <v>2.0886405262080458E-2</v>
      </c>
      <c r="V26" s="93">
        <f>IF(TrAvia_ene!V8=0,0,TrAvia_ene!V8/(V14*TrAvia_act!V16))</f>
        <v>1.9032040647632083E-2</v>
      </c>
      <c r="W26" s="93">
        <f>IF(TrAvia_ene!W8=0,0,TrAvia_ene!W8/(W14*TrAvia_act!W16))</f>
        <v>2.3340403735579107E-2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5.0310603688843381E-2</v>
      </c>
      <c r="C27" s="94">
        <f>IF(TrAvia_ene!C9=0,0,TrAvia_ene!C9/(C15*TrAvia_act!C17))</f>
        <v>4.998521482492542E-2</v>
      </c>
      <c r="D27" s="94">
        <f>IF(TrAvia_ene!D9=0,0,TrAvia_ene!D9/(D15*TrAvia_act!D17))</f>
        <v>5.3216857651053995E-2</v>
      </c>
      <c r="E27" s="94">
        <f>IF(TrAvia_ene!E9=0,0,TrAvia_ene!E9/(E15*TrAvia_act!E17))</f>
        <v>4.5956566098792319E-2</v>
      </c>
      <c r="F27" s="94">
        <f>IF(TrAvia_ene!F9=0,0,TrAvia_ene!F9/(F15*TrAvia_act!F17))</f>
        <v>3.8021471110973926E-2</v>
      </c>
      <c r="G27" s="94">
        <f>IF(TrAvia_ene!G9=0,0,TrAvia_ene!G9/(G15*TrAvia_act!G17))</f>
        <v>3.9542023357174369E-2</v>
      </c>
      <c r="H27" s="94">
        <f>IF(TrAvia_ene!H9=0,0,TrAvia_ene!H9/(H15*TrAvia_act!H17))</f>
        <v>3.7433703222104896E-2</v>
      </c>
      <c r="I27" s="94">
        <f>IF(TrAvia_ene!I9=0,0,TrAvia_ene!I9/(I15*TrAvia_act!I17))</f>
        <v>3.0170008914280701E-2</v>
      </c>
      <c r="J27" s="94">
        <f>IF(TrAvia_ene!J9=0,0,TrAvia_ene!J9/(J15*TrAvia_act!J17))</f>
        <v>3.6097134083405306E-2</v>
      </c>
      <c r="K27" s="94">
        <f>IF(TrAvia_ene!K9=0,0,TrAvia_ene!K9/(K15*TrAvia_act!K17))</f>
        <v>4.1128655011095673E-2</v>
      </c>
      <c r="L27" s="94">
        <f>IF(TrAvia_ene!L9=0,0,TrAvia_ene!L9/(L15*TrAvia_act!L17))</f>
        <v>4.0373633589625285E-2</v>
      </c>
      <c r="M27" s="94">
        <f>IF(TrAvia_ene!M9=0,0,TrAvia_ene!M9/(M15*TrAvia_act!M17))</f>
        <v>3.8403755187067866E-2</v>
      </c>
      <c r="N27" s="94">
        <f>IF(TrAvia_ene!N9=0,0,TrAvia_ene!N9/(N15*TrAvia_act!N17))</f>
        <v>4.5670482805943456E-2</v>
      </c>
      <c r="O27" s="94">
        <f>IF(TrAvia_ene!O9=0,0,TrAvia_ene!O9/(O15*TrAvia_act!O17))</f>
        <v>3.5281646683025455E-2</v>
      </c>
      <c r="P27" s="94">
        <f>IF(TrAvia_ene!P9=0,0,TrAvia_ene!P9/(P15*TrAvia_act!P17))</f>
        <v>2.9221510387378621E-2</v>
      </c>
      <c r="Q27" s="94">
        <f>IF(TrAvia_ene!Q9=0,0,TrAvia_ene!Q9/(Q15*TrAvia_act!Q17))</f>
        <v>2.4422923748697391E-2</v>
      </c>
      <c r="R27" s="94">
        <f>IF(TrAvia_ene!R9=0,0,TrAvia_ene!R9/(R15*TrAvia_act!R17))</f>
        <v>2.3774064954207443E-2</v>
      </c>
      <c r="S27" s="94">
        <f>IF(TrAvia_ene!S9=0,0,TrAvia_ene!S9/(S15*TrAvia_act!S17))</f>
        <v>2.1500718178421287E-2</v>
      </c>
      <c r="T27" s="94">
        <f>IF(TrAvia_ene!T9=0,0,TrAvia_ene!T9/(T15*TrAvia_act!T17))</f>
        <v>1.7797647955878779E-2</v>
      </c>
      <c r="U27" s="94">
        <f>IF(TrAvia_ene!U9=0,0,TrAvia_ene!U9/(U15*TrAvia_act!U17))</f>
        <v>1.5803595356518863E-2</v>
      </c>
      <c r="V27" s="94">
        <f>IF(TrAvia_ene!V9=0,0,TrAvia_ene!V9/(V15*TrAvia_act!V17))</f>
        <v>2.5548113083945858E-2</v>
      </c>
      <c r="W27" s="94">
        <f>IF(TrAvia_ene!W9=0,0,TrAvia_ene!W9/(W15*TrAvia_act!W17))</f>
        <v>2.3196885746540805E-2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891</v>
      </c>
      <c r="C3" s="54">
        <f t="shared" si="0"/>
        <v>1087</v>
      </c>
      <c r="D3" s="54">
        <f t="shared" si="0"/>
        <v>1407</v>
      </c>
      <c r="E3" s="54">
        <f t="shared" si="0"/>
        <v>1517</v>
      </c>
      <c r="F3" s="54">
        <f t="shared" si="0"/>
        <v>1904</v>
      </c>
      <c r="G3" s="54">
        <f t="shared" si="0"/>
        <v>2110</v>
      </c>
      <c r="H3" s="54">
        <f t="shared" si="0"/>
        <v>1913</v>
      </c>
      <c r="I3" s="54">
        <f t="shared" si="0"/>
        <v>2212</v>
      </c>
      <c r="J3" s="54">
        <f t="shared" si="0"/>
        <v>2250</v>
      </c>
      <c r="K3" s="54">
        <f t="shared" si="0"/>
        <v>1831</v>
      </c>
      <c r="L3" s="54">
        <f t="shared" si="0"/>
        <v>2393</v>
      </c>
      <c r="M3" s="54">
        <f t="shared" si="0"/>
        <v>1840</v>
      </c>
      <c r="N3" s="54">
        <f t="shared" si="0"/>
        <v>1982</v>
      </c>
      <c r="O3" s="54">
        <f t="shared" si="0"/>
        <v>1924</v>
      </c>
      <c r="P3" s="54">
        <f t="shared" si="0"/>
        <v>1811</v>
      </c>
      <c r="Q3" s="54">
        <f t="shared" si="0"/>
        <v>1824</v>
      </c>
      <c r="R3" s="54">
        <f t="shared" ref="R3:V3" si="1">SUM(R4:R5)</f>
        <v>1975</v>
      </c>
      <c r="S3" s="54">
        <f t="shared" si="1"/>
        <v>1992</v>
      </c>
      <c r="T3" s="54">
        <f t="shared" si="1"/>
        <v>1608</v>
      </c>
      <c r="U3" s="54">
        <f t="shared" si="1"/>
        <v>2120</v>
      </c>
      <c r="V3" s="54">
        <f t="shared" si="1"/>
        <v>1998</v>
      </c>
      <c r="W3" s="54">
        <f t="shared" ref="W3" si="2">SUM(W4:W5)</f>
        <v>1873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891</v>
      </c>
      <c r="C5" s="58">
        <v>1087</v>
      </c>
      <c r="D5" s="58">
        <v>1407</v>
      </c>
      <c r="E5" s="58">
        <v>1517</v>
      </c>
      <c r="F5" s="58">
        <v>1904</v>
      </c>
      <c r="G5" s="58">
        <v>2110</v>
      </c>
      <c r="H5" s="58">
        <v>1913</v>
      </c>
      <c r="I5" s="58">
        <v>2212</v>
      </c>
      <c r="J5" s="58">
        <v>2250</v>
      </c>
      <c r="K5" s="58">
        <v>1831</v>
      </c>
      <c r="L5" s="58">
        <v>2393</v>
      </c>
      <c r="M5" s="58">
        <v>1840</v>
      </c>
      <c r="N5" s="58">
        <v>1982</v>
      </c>
      <c r="O5" s="58">
        <v>1924</v>
      </c>
      <c r="P5" s="58">
        <v>1811</v>
      </c>
      <c r="Q5" s="58">
        <v>1824</v>
      </c>
      <c r="R5" s="58">
        <v>1975</v>
      </c>
      <c r="S5" s="58">
        <v>1992</v>
      </c>
      <c r="T5" s="58">
        <v>1608</v>
      </c>
      <c r="U5" s="58">
        <v>2120</v>
      </c>
      <c r="V5" s="58">
        <v>1998</v>
      </c>
      <c r="W5" s="58">
        <v>1873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1.6459999999999999</v>
      </c>
      <c r="C7" s="59">
        <f t="shared" si="3"/>
        <v>1.8180000000000001</v>
      </c>
      <c r="D7" s="59">
        <f t="shared" si="3"/>
        <v>2.9239999999999999</v>
      </c>
      <c r="E7" s="59">
        <f t="shared" si="3"/>
        <v>6.4420000000000002</v>
      </c>
      <c r="F7" s="59">
        <f t="shared" si="3"/>
        <v>3.4020000000000001</v>
      </c>
      <c r="G7" s="59">
        <f t="shared" si="3"/>
        <v>2.532</v>
      </c>
      <c r="H7" s="59">
        <f t="shared" si="3"/>
        <v>2.411</v>
      </c>
      <c r="I7" s="59">
        <f t="shared" si="3"/>
        <v>2.5630000000000002</v>
      </c>
      <c r="J7" s="59">
        <f t="shared" si="3"/>
        <v>2.5840000000000001</v>
      </c>
      <c r="K7" s="59">
        <f t="shared" si="3"/>
        <v>2.331</v>
      </c>
      <c r="L7" s="59">
        <f t="shared" si="3"/>
        <v>2.665</v>
      </c>
      <c r="M7" s="59">
        <f t="shared" si="3"/>
        <v>2.3370000000000002</v>
      </c>
      <c r="N7" s="59">
        <f t="shared" si="3"/>
        <v>2.4950000000000001</v>
      </c>
      <c r="O7" s="59">
        <f t="shared" si="3"/>
        <v>2.2440000000000002</v>
      </c>
      <c r="P7" s="59">
        <f t="shared" si="3"/>
        <v>2.3849999999999998</v>
      </c>
      <c r="Q7" s="59">
        <f t="shared" si="3"/>
        <v>2.3940000000000001</v>
      </c>
      <c r="R7" s="59">
        <f t="shared" ref="R7:V7" si="4">SUM(R8:R9)</f>
        <v>2.298</v>
      </c>
      <c r="S7" s="59">
        <f t="shared" si="4"/>
        <v>2.1389999999999998</v>
      </c>
      <c r="T7" s="59">
        <f t="shared" si="4"/>
        <v>2.0289999999999999</v>
      </c>
      <c r="U7" s="59">
        <f t="shared" si="4"/>
        <v>2.33</v>
      </c>
      <c r="V7" s="59">
        <f t="shared" si="4"/>
        <v>2.1120000000000001</v>
      </c>
      <c r="W7" s="59">
        <f t="shared" ref="W7" si="5">SUM(W8:W9)</f>
        <v>2.06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1.6459999999999999</v>
      </c>
      <c r="C9" s="61">
        <v>1.8180000000000001</v>
      </c>
      <c r="D9" s="61">
        <v>2.9239999999999999</v>
      </c>
      <c r="E9" s="61">
        <v>6.4420000000000002</v>
      </c>
      <c r="F9" s="61">
        <v>3.4020000000000001</v>
      </c>
      <c r="G9" s="61">
        <v>2.532</v>
      </c>
      <c r="H9" s="61">
        <v>2.411</v>
      </c>
      <c r="I9" s="61">
        <v>2.5630000000000002</v>
      </c>
      <c r="J9" s="61">
        <v>2.5840000000000001</v>
      </c>
      <c r="K9" s="61">
        <v>2.331</v>
      </c>
      <c r="L9" s="61">
        <v>2.665</v>
      </c>
      <c r="M9" s="61">
        <v>2.3370000000000002</v>
      </c>
      <c r="N9" s="61">
        <v>2.4950000000000001</v>
      </c>
      <c r="O9" s="61">
        <v>2.2440000000000002</v>
      </c>
      <c r="P9" s="61">
        <v>2.3849999999999998</v>
      </c>
      <c r="Q9" s="61">
        <v>2.3940000000000001</v>
      </c>
      <c r="R9" s="61">
        <v>2.298</v>
      </c>
      <c r="S9" s="61">
        <v>2.1389999999999998</v>
      </c>
      <c r="T9" s="61">
        <v>2.0289999999999999</v>
      </c>
      <c r="U9" s="61">
        <v>2.33</v>
      </c>
      <c r="V9" s="61">
        <v>2.1120000000000001</v>
      </c>
      <c r="W9" s="61">
        <v>2.06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541.31227217496962</v>
      </c>
      <c r="C13" s="62">
        <f t="shared" si="6"/>
        <v>597.90979097909792</v>
      </c>
      <c r="D13" s="62">
        <f t="shared" si="6"/>
        <v>481.19015047879617</v>
      </c>
      <c r="E13" s="62">
        <f t="shared" si="6"/>
        <v>235.48587395218877</v>
      </c>
      <c r="F13" s="62">
        <f t="shared" ref="F13:V13" si="7">IF(F3=0,0,F3/F7)</f>
        <v>559.67078189300412</v>
      </c>
      <c r="G13" s="62">
        <f t="shared" si="7"/>
        <v>833.33333333333337</v>
      </c>
      <c r="H13" s="62">
        <f t="shared" si="7"/>
        <v>793.4467026130236</v>
      </c>
      <c r="I13" s="62">
        <f t="shared" si="7"/>
        <v>863.05111197815052</v>
      </c>
      <c r="J13" s="62">
        <f t="shared" si="7"/>
        <v>870.74303405572755</v>
      </c>
      <c r="K13" s="62">
        <f t="shared" si="7"/>
        <v>785.4997854997855</v>
      </c>
      <c r="L13" s="62">
        <f t="shared" si="7"/>
        <v>897.93621013133202</v>
      </c>
      <c r="M13" s="62">
        <f t="shared" si="7"/>
        <v>787.33418913136495</v>
      </c>
      <c r="N13" s="62">
        <f t="shared" si="7"/>
        <v>794.38877755511021</v>
      </c>
      <c r="O13" s="62">
        <f t="shared" si="7"/>
        <v>857.39750445632785</v>
      </c>
      <c r="P13" s="62">
        <f t="shared" si="7"/>
        <v>759.32914046121596</v>
      </c>
      <c r="Q13" s="62">
        <f t="shared" si="7"/>
        <v>761.90476190476181</v>
      </c>
      <c r="R13" s="62">
        <f t="shared" si="7"/>
        <v>859.44299390774586</v>
      </c>
      <c r="S13" s="62">
        <f t="shared" si="7"/>
        <v>931.27629733520348</v>
      </c>
      <c r="T13" s="62">
        <f t="shared" si="7"/>
        <v>792.50862493839338</v>
      </c>
      <c r="U13" s="62">
        <f t="shared" si="7"/>
        <v>909.87124463519308</v>
      </c>
      <c r="V13" s="62">
        <f t="shared" si="7"/>
        <v>946.02272727272725</v>
      </c>
      <c r="W13" s="62">
        <f t="shared" ref="W13" si="8">IF(W3=0,0,W3/W7)</f>
        <v>909.22330097087377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541.31227217496962</v>
      </c>
      <c r="C15" s="64">
        <f t="shared" si="6"/>
        <v>597.90979097909792</v>
      </c>
      <c r="D15" s="64">
        <f t="shared" si="6"/>
        <v>481.19015047879617</v>
      </c>
      <c r="E15" s="64">
        <f t="shared" si="6"/>
        <v>235.48587395218877</v>
      </c>
      <c r="F15" s="64">
        <f t="shared" ref="F15:V15" si="11">IF(F5=0,0,F5/F9)</f>
        <v>559.67078189300412</v>
      </c>
      <c r="G15" s="64">
        <f t="shared" si="11"/>
        <v>833.33333333333337</v>
      </c>
      <c r="H15" s="64">
        <f t="shared" si="11"/>
        <v>793.4467026130236</v>
      </c>
      <c r="I15" s="64">
        <f t="shared" si="11"/>
        <v>863.05111197815052</v>
      </c>
      <c r="J15" s="64">
        <f t="shared" si="11"/>
        <v>870.74303405572755</v>
      </c>
      <c r="K15" s="64">
        <f t="shared" si="11"/>
        <v>785.4997854997855</v>
      </c>
      <c r="L15" s="64">
        <f t="shared" si="11"/>
        <v>897.93621013133202</v>
      </c>
      <c r="M15" s="64">
        <f t="shared" si="11"/>
        <v>787.33418913136495</v>
      </c>
      <c r="N15" s="64">
        <f t="shared" si="11"/>
        <v>794.38877755511021</v>
      </c>
      <c r="O15" s="64">
        <f t="shared" si="11"/>
        <v>857.39750445632785</v>
      </c>
      <c r="P15" s="64">
        <f t="shared" si="11"/>
        <v>759.32914046121596</v>
      </c>
      <c r="Q15" s="64">
        <f t="shared" si="11"/>
        <v>761.90476190476181</v>
      </c>
      <c r="R15" s="64">
        <f t="shared" si="11"/>
        <v>859.44299390774586</v>
      </c>
      <c r="S15" s="64">
        <f t="shared" si="11"/>
        <v>931.27629733520348</v>
      </c>
      <c r="T15" s="64">
        <f t="shared" si="11"/>
        <v>792.50862493839338</v>
      </c>
      <c r="U15" s="64">
        <f t="shared" si="11"/>
        <v>909.87124463519308</v>
      </c>
      <c r="V15" s="64">
        <f t="shared" si="11"/>
        <v>946.02272727272725</v>
      </c>
      <c r="W15" s="64">
        <f t="shared" ref="W15" si="12">IF(W5=0,0,W5/W9)</f>
        <v>909.22330097087377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" si="21">IF(W5=0,0,W5/W$3)</f>
        <v>1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" si="30">IF(W9=0,0,W9/W$7)</f>
        <v>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1.026999140154772</v>
      </c>
      <c r="C3" s="62">
        <f t="shared" ref="C3:V3" si="0">SUM(C4,C10)</f>
        <v>1.026999140154772</v>
      </c>
      <c r="D3" s="62">
        <f t="shared" si="0"/>
        <v>2.0540842648323299</v>
      </c>
      <c r="E3" s="62">
        <f t="shared" si="0"/>
        <v>9.2433361994840926</v>
      </c>
      <c r="F3" s="62">
        <f t="shared" si="0"/>
        <v>2.0540842648323299</v>
      </c>
      <c r="G3" s="62">
        <f t="shared" si="0"/>
        <v>1.026999140154772</v>
      </c>
      <c r="H3" s="62">
        <f t="shared" si="0"/>
        <v>1.026999140154772</v>
      </c>
      <c r="I3" s="62">
        <f t="shared" si="0"/>
        <v>1.0031814273430779</v>
      </c>
      <c r="J3" s="62">
        <f t="shared" si="0"/>
        <v>1.0031814273430779</v>
      </c>
      <c r="K3" s="62">
        <f t="shared" si="0"/>
        <v>1.0031814273430779</v>
      </c>
      <c r="L3" s="62">
        <f t="shared" si="0"/>
        <v>1.0031814273430779</v>
      </c>
      <c r="M3" s="62">
        <f t="shared" si="0"/>
        <v>1.0031814273430779</v>
      </c>
      <c r="N3" s="62">
        <f t="shared" si="0"/>
        <v>6.0189165950128984</v>
      </c>
      <c r="O3" s="62">
        <f t="shared" si="0"/>
        <v>5.0157351676698188</v>
      </c>
      <c r="P3" s="62">
        <f t="shared" si="0"/>
        <v>6.0189165950128984</v>
      </c>
      <c r="Q3" s="62">
        <f t="shared" si="0"/>
        <v>6.0189165950128984</v>
      </c>
      <c r="R3" s="62">
        <f t="shared" si="0"/>
        <v>5.1232158211521934</v>
      </c>
      <c r="S3" s="62">
        <f t="shared" si="0"/>
        <v>5.1232158211521934</v>
      </c>
      <c r="T3" s="62">
        <f t="shared" si="0"/>
        <v>5.1232158211521934</v>
      </c>
      <c r="U3" s="62">
        <f t="shared" si="0"/>
        <v>5.1232158211521934</v>
      </c>
      <c r="V3" s="62">
        <f t="shared" si="0"/>
        <v>4.0986242476354251</v>
      </c>
      <c r="W3" s="62">
        <f t="shared" ref="W3" si="1">SUM(W4,W10)</f>
        <v>3.0739466895958731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1.026999140154772</v>
      </c>
      <c r="C10" s="71">
        <f t="shared" ref="C10:V10" si="4">SUM(C11:C15)</f>
        <v>1.026999140154772</v>
      </c>
      <c r="D10" s="71">
        <f t="shared" si="4"/>
        <v>2.0540842648323299</v>
      </c>
      <c r="E10" s="71">
        <f t="shared" si="4"/>
        <v>9.2433361994840926</v>
      </c>
      <c r="F10" s="71">
        <f t="shared" si="4"/>
        <v>2.0540842648323299</v>
      </c>
      <c r="G10" s="71">
        <f t="shared" si="4"/>
        <v>1.026999140154772</v>
      </c>
      <c r="H10" s="71">
        <f t="shared" si="4"/>
        <v>1.026999140154772</v>
      </c>
      <c r="I10" s="71">
        <f t="shared" si="4"/>
        <v>1.0031814273430779</v>
      </c>
      <c r="J10" s="71">
        <f t="shared" si="4"/>
        <v>1.0031814273430779</v>
      </c>
      <c r="K10" s="71">
        <f t="shared" si="4"/>
        <v>1.0031814273430779</v>
      </c>
      <c r="L10" s="71">
        <f t="shared" si="4"/>
        <v>1.0031814273430779</v>
      </c>
      <c r="M10" s="71">
        <f t="shared" si="4"/>
        <v>1.0031814273430779</v>
      </c>
      <c r="N10" s="71">
        <f t="shared" si="4"/>
        <v>6.0189165950128984</v>
      </c>
      <c r="O10" s="71">
        <f t="shared" si="4"/>
        <v>5.0157351676698188</v>
      </c>
      <c r="P10" s="71">
        <f t="shared" si="4"/>
        <v>6.0189165950128984</v>
      </c>
      <c r="Q10" s="71">
        <f t="shared" si="4"/>
        <v>6.0189165950128984</v>
      </c>
      <c r="R10" s="71">
        <f t="shared" si="4"/>
        <v>5.1232158211521934</v>
      </c>
      <c r="S10" s="71">
        <f t="shared" si="4"/>
        <v>5.1232158211521934</v>
      </c>
      <c r="T10" s="71">
        <f t="shared" si="4"/>
        <v>5.1232158211521934</v>
      </c>
      <c r="U10" s="71">
        <f t="shared" si="4"/>
        <v>5.1232158211521934</v>
      </c>
      <c r="V10" s="71">
        <f t="shared" si="4"/>
        <v>4.0986242476354251</v>
      </c>
      <c r="W10" s="71">
        <f t="shared" ref="W10" si="5">SUM(W11:W15)</f>
        <v>3.0739466895958731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1.026999140154772</v>
      </c>
      <c r="C11" s="73">
        <v>1.026999140154772</v>
      </c>
      <c r="D11" s="73">
        <v>2.0540842648323299</v>
      </c>
      <c r="E11" s="73">
        <v>9.2433361994840926</v>
      </c>
      <c r="F11" s="73">
        <v>2.0540842648323299</v>
      </c>
      <c r="G11" s="73">
        <v>1.026999140154772</v>
      </c>
      <c r="H11" s="73">
        <v>1.026999140154772</v>
      </c>
      <c r="I11" s="73">
        <v>1.0031814273430779</v>
      </c>
      <c r="J11" s="73">
        <v>1.0031814273430779</v>
      </c>
      <c r="K11" s="73">
        <v>1.0031814273430779</v>
      </c>
      <c r="L11" s="73">
        <v>1.0031814273430779</v>
      </c>
      <c r="M11" s="73">
        <v>1.0031814273430779</v>
      </c>
      <c r="N11" s="73">
        <v>6.0189165950128984</v>
      </c>
      <c r="O11" s="73">
        <v>5.0157351676698188</v>
      </c>
      <c r="P11" s="73">
        <v>6.0189165950128984</v>
      </c>
      <c r="Q11" s="73">
        <v>6.0189165950128984</v>
      </c>
      <c r="R11" s="73">
        <v>5.1232158211521934</v>
      </c>
      <c r="S11" s="73">
        <v>5.1232158211521934</v>
      </c>
      <c r="T11" s="73">
        <v>5.1232158211521934</v>
      </c>
      <c r="U11" s="73">
        <v>5.1232158211521934</v>
      </c>
      <c r="V11" s="73">
        <v>4.0986242476354251</v>
      </c>
      <c r="W11" s="73">
        <v>3.0739466895958731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62.393629414020168</v>
      </c>
      <c r="C19" s="62">
        <f>IF(C3=0,0,C3/TrNavi_act!C7*100)</f>
        <v>56.490601768689331</v>
      </c>
      <c r="D19" s="62">
        <f>IF(D3=0,0,D3/TrNavi_act!D7*100)</f>
        <v>70.249119864306763</v>
      </c>
      <c r="E19" s="62">
        <f>IF(E3=0,0,E3/TrNavi_act!E7*100)</f>
        <v>143.48550449369904</v>
      </c>
      <c r="F19" s="62">
        <f>IF(F3=0,0,F3/TrNavi_act!F7*100)</f>
        <v>60.378726185547613</v>
      </c>
      <c r="G19" s="62">
        <f>IF(G3=0,0,G3/TrNavi_act!G7*100)</f>
        <v>40.56078752585988</v>
      </c>
      <c r="H19" s="62">
        <f>IF(H3=0,0,H3/TrNavi_act!H7*100)</f>
        <v>42.596397351919201</v>
      </c>
      <c r="I19" s="62">
        <f>IF(I3=0,0,I3/TrNavi_act!I7*100)</f>
        <v>39.140906256070146</v>
      </c>
      <c r="J19" s="62">
        <f>IF(J3=0,0,J3/TrNavi_act!J7*100)</f>
        <v>38.822810655691868</v>
      </c>
      <c r="K19" s="62">
        <f>IF(K3=0,0,K3/TrNavi_act!K7*100)</f>
        <v>43.036526269544311</v>
      </c>
      <c r="L19" s="62">
        <f>IF(L3=0,0,L3/TrNavi_act!L7*100)</f>
        <v>37.642830294299358</v>
      </c>
      <c r="M19" s="62">
        <f>IF(M3=0,0,M3/TrNavi_act!M7*100)</f>
        <v>42.926034546130843</v>
      </c>
      <c r="N19" s="62">
        <f>IF(N3=0,0,N3/TrNavi_act!N7*100)</f>
        <v>241.23914208468528</v>
      </c>
      <c r="O19" s="62">
        <f>IF(O3=0,0,O3/TrNavi_act!O7*100)</f>
        <v>223.51760996746071</v>
      </c>
      <c r="P19" s="62">
        <f>IF(P3=0,0,P3/TrNavi_act!P7*100)</f>
        <v>252.36547568188254</v>
      </c>
      <c r="Q19" s="62">
        <f>IF(Q3=0,0,Q3/TrNavi_act!Q7*100)</f>
        <v>251.41673329210099</v>
      </c>
      <c r="R19" s="62">
        <f>IF(R3=0,0,R3/TrNavi_act!R7*100)</f>
        <v>222.94237689957325</v>
      </c>
      <c r="S19" s="62">
        <f>IF(S3=0,0,S3/TrNavi_act!S7*100)</f>
        <v>239.51453114316007</v>
      </c>
      <c r="T19" s="62">
        <f>IF(T3=0,0,T3/TrNavi_act!T7*100)</f>
        <v>252.49954761716086</v>
      </c>
      <c r="U19" s="62">
        <f>IF(U3=0,0,U3/TrNavi_act!U7*100)</f>
        <v>219.88050734558772</v>
      </c>
      <c r="V19" s="62">
        <f>IF(V3=0,0,V3/TrNavi_act!V7*100)</f>
        <v>194.06364808879852</v>
      </c>
      <c r="W19" s="62">
        <f>IF(W3=0,0,W3/TrNavi_act!W7*100)</f>
        <v>149.2207130871783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62.393629414020168</v>
      </c>
      <c r="C21" s="64">
        <f>IF(C10=0,0,C10/TrNavi_act!C9*100)</f>
        <v>56.490601768689331</v>
      </c>
      <c r="D21" s="64">
        <f>IF(D10=0,0,D10/TrNavi_act!D9*100)</f>
        <v>70.249119864306763</v>
      </c>
      <c r="E21" s="64">
        <f>IF(E10=0,0,E10/TrNavi_act!E9*100)</f>
        <v>143.48550449369904</v>
      </c>
      <c r="F21" s="64">
        <f>IF(F10=0,0,F10/TrNavi_act!F9*100)</f>
        <v>60.378726185547613</v>
      </c>
      <c r="G21" s="64">
        <f>IF(G10=0,0,G10/TrNavi_act!G9*100)</f>
        <v>40.56078752585988</v>
      </c>
      <c r="H21" s="64">
        <f>IF(H10=0,0,H10/TrNavi_act!H9*100)</f>
        <v>42.596397351919201</v>
      </c>
      <c r="I21" s="64">
        <f>IF(I10=0,0,I10/TrNavi_act!I9*100)</f>
        <v>39.140906256070146</v>
      </c>
      <c r="J21" s="64">
        <f>IF(J10=0,0,J10/TrNavi_act!J9*100)</f>
        <v>38.822810655691868</v>
      </c>
      <c r="K21" s="64">
        <f>IF(K10=0,0,K10/TrNavi_act!K9*100)</f>
        <v>43.036526269544311</v>
      </c>
      <c r="L21" s="64">
        <f>IF(L10=0,0,L10/TrNavi_act!L9*100)</f>
        <v>37.642830294299358</v>
      </c>
      <c r="M21" s="64">
        <f>IF(M10=0,0,M10/TrNavi_act!M9*100)</f>
        <v>42.926034546130843</v>
      </c>
      <c r="N21" s="64">
        <f>IF(N10=0,0,N10/TrNavi_act!N9*100)</f>
        <v>241.23914208468528</v>
      </c>
      <c r="O21" s="64">
        <f>IF(O10=0,0,O10/TrNavi_act!O9*100)</f>
        <v>223.51760996746071</v>
      </c>
      <c r="P21" s="64">
        <f>IF(P10=0,0,P10/TrNavi_act!P9*100)</f>
        <v>252.36547568188254</v>
      </c>
      <c r="Q21" s="64">
        <f>IF(Q10=0,0,Q10/TrNavi_act!Q9*100)</f>
        <v>251.41673329210099</v>
      </c>
      <c r="R21" s="64">
        <f>IF(R10=0,0,R10/TrNavi_act!R9*100)</f>
        <v>222.94237689957325</v>
      </c>
      <c r="S21" s="64">
        <f>IF(S10=0,0,S10/TrNavi_act!S9*100)</f>
        <v>239.51453114316007</v>
      </c>
      <c r="T21" s="64">
        <f>IF(T10=0,0,T10/TrNavi_act!T9*100)</f>
        <v>252.49954761716086</v>
      </c>
      <c r="U21" s="64">
        <f>IF(U10=0,0,U10/TrNavi_act!U9*100)</f>
        <v>219.88050734558772</v>
      </c>
      <c r="V21" s="64">
        <f>IF(V10=0,0,V10/TrNavi_act!V9*100)</f>
        <v>194.06364808879852</v>
      </c>
      <c r="W21" s="64">
        <f>IF(W10=0,0,W10/TrNavi_act!W9*100)</f>
        <v>149.2207130871783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1.1526365209368934</v>
      </c>
      <c r="C23" s="62">
        <f>IF(C3=0,0,C3/TrNavi_act!C3*1000)</f>
        <v>0.94480141688571484</v>
      </c>
      <c r="D23" s="62">
        <f>IF(D3=0,0,D3/TrNavi_act!D3*1000)</f>
        <v>1.4599035286654798</v>
      </c>
      <c r="E23" s="62">
        <f>IF(E3=0,0,E3/TrNavi_act!E3*1000)</f>
        <v>6.0931682264232654</v>
      </c>
      <c r="F23" s="62">
        <f>IF(F3=0,0,F3/TrNavi_act!F3*1000)</f>
        <v>1.078825769344711</v>
      </c>
      <c r="G23" s="62">
        <f>IF(G3=0,0,G3/TrNavi_act!G3*1000)</f>
        <v>0.4867294503103185</v>
      </c>
      <c r="H23" s="62">
        <f>IF(H3=0,0,H3/TrNavi_act!H3*1000)</f>
        <v>0.53685266082319494</v>
      </c>
      <c r="I23" s="62">
        <f>IF(I3=0,0,I3/TrNavi_act!I3*1000)</f>
        <v>0.45351782429614734</v>
      </c>
      <c r="J23" s="62">
        <f>IF(J3=0,0,J3/TrNavi_act!J3*1000)</f>
        <v>0.44585841215247907</v>
      </c>
      <c r="K23" s="62">
        <f>IF(K3=0,0,K3/TrNavi_act!K3*1000)</f>
        <v>0.54788718041675477</v>
      </c>
      <c r="L23" s="62">
        <f>IF(L3=0,0,L3/TrNavi_act!L3*1000)</f>
        <v>0.41921497172715333</v>
      </c>
      <c r="M23" s="62">
        <f>IF(M3=0,0,M3/TrNavi_act!M3*1000)</f>
        <v>0.54520729746906405</v>
      </c>
      <c r="N23" s="62">
        <f>IF(N3=0,0,N3/TrNavi_act!N3*1000)</f>
        <v>3.0367894021255797</v>
      </c>
      <c r="O23" s="62">
        <f>IF(O3=0,0,O3/TrNavi_act!O3*1000)</f>
        <v>2.6069309603273489</v>
      </c>
      <c r="P23" s="62">
        <f>IF(P3=0,0,P3/TrNavi_act!P3*1000)</f>
        <v>3.3235320789690217</v>
      </c>
      <c r="Q23" s="62">
        <f>IF(Q3=0,0,Q3/TrNavi_act!Q3*1000)</f>
        <v>3.2998446244588258</v>
      </c>
      <c r="R23" s="62">
        <f>IF(R3=0,0,R3/TrNavi_act!R3*1000)</f>
        <v>2.5940333271656679</v>
      </c>
      <c r="S23" s="62">
        <f>IF(S3=0,0,S3/TrNavi_act!S3*1000)</f>
        <v>2.5718954925462816</v>
      </c>
      <c r="T23" s="62">
        <f>IF(T3=0,0,T3/TrNavi_act!T3*1000)</f>
        <v>3.1860794907662893</v>
      </c>
      <c r="U23" s="62">
        <f>IF(U3=0,0,U3/TrNavi_act!U3*1000)</f>
        <v>2.4166112363925438</v>
      </c>
      <c r="V23" s="62">
        <f>IF(V3=0,0,V3/TrNavi_act!V3*1000)</f>
        <v>2.0513634873050175</v>
      </c>
      <c r="W23" s="62">
        <f>IF(W3=0,0,W3/TrNavi_act!W3*1000)</f>
        <v>1.6411888358760667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1.1526365209368934</v>
      </c>
      <c r="C25" s="64">
        <f>IF(C10=0,0,C10/TrNavi_act!C5*1000)</f>
        <v>0.94480141688571484</v>
      </c>
      <c r="D25" s="64">
        <f>IF(D10=0,0,D10/TrNavi_act!D5*1000)</f>
        <v>1.4599035286654798</v>
      </c>
      <c r="E25" s="64">
        <f>IF(E10=0,0,E10/TrNavi_act!E5*1000)</f>
        <v>6.0931682264232654</v>
      </c>
      <c r="F25" s="64">
        <f>IF(F10=0,0,F10/TrNavi_act!F5*1000)</f>
        <v>1.078825769344711</v>
      </c>
      <c r="G25" s="64">
        <f>IF(G10=0,0,G10/TrNavi_act!G5*1000)</f>
        <v>0.4867294503103185</v>
      </c>
      <c r="H25" s="64">
        <f>IF(H10=0,0,H10/TrNavi_act!H5*1000)</f>
        <v>0.53685266082319494</v>
      </c>
      <c r="I25" s="64">
        <f>IF(I10=0,0,I10/TrNavi_act!I5*1000)</f>
        <v>0.45351782429614734</v>
      </c>
      <c r="J25" s="64">
        <f>IF(J10=0,0,J10/TrNavi_act!J5*1000)</f>
        <v>0.44585841215247907</v>
      </c>
      <c r="K25" s="64">
        <f>IF(K10=0,0,K10/TrNavi_act!K5*1000)</f>
        <v>0.54788718041675477</v>
      </c>
      <c r="L25" s="64">
        <f>IF(L10=0,0,L10/TrNavi_act!L5*1000)</f>
        <v>0.41921497172715333</v>
      </c>
      <c r="M25" s="64">
        <f>IF(M10=0,0,M10/TrNavi_act!M5*1000)</f>
        <v>0.54520729746906405</v>
      </c>
      <c r="N25" s="64">
        <f>IF(N10=0,0,N10/TrNavi_act!N5*1000)</f>
        <v>3.0367894021255797</v>
      </c>
      <c r="O25" s="64">
        <f>IF(O10=0,0,O10/TrNavi_act!O5*1000)</f>
        <v>2.6069309603273489</v>
      </c>
      <c r="P25" s="64">
        <f>IF(P10=0,0,P10/TrNavi_act!P5*1000)</f>
        <v>3.3235320789690217</v>
      </c>
      <c r="Q25" s="64">
        <f>IF(Q10=0,0,Q10/TrNavi_act!Q5*1000)</f>
        <v>3.2998446244588258</v>
      </c>
      <c r="R25" s="64">
        <f>IF(R10=0,0,R10/TrNavi_act!R5*1000)</f>
        <v>2.5940333271656679</v>
      </c>
      <c r="S25" s="64">
        <f>IF(S10=0,0,S10/TrNavi_act!S5*1000)</f>
        <v>2.5718954925462816</v>
      </c>
      <c r="T25" s="64">
        <f>IF(T10=0,0,T10/TrNavi_act!T5*1000)</f>
        <v>3.1860794907662893</v>
      </c>
      <c r="U25" s="64">
        <f>IF(U10=0,0,U10/TrNavi_act!U5*1000)</f>
        <v>2.4166112363925438</v>
      </c>
      <c r="V25" s="64">
        <f>IF(V10=0,0,V10/TrNavi_act!V5*1000)</f>
        <v>2.0513634873050175</v>
      </c>
      <c r="W25" s="64">
        <f>IF(W10=0,0,W10/TrNavi_act!W5*1000)</f>
        <v>1.6411888358760667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1</v>
      </c>
      <c r="C29" s="78">
        <f t="shared" si="10"/>
        <v>1</v>
      </c>
      <c r="D29" s="78">
        <f t="shared" si="10"/>
        <v>1</v>
      </c>
      <c r="E29" s="78">
        <f t="shared" si="10"/>
        <v>1</v>
      </c>
      <c r="F29" s="78">
        <f t="shared" si="10"/>
        <v>1</v>
      </c>
      <c r="G29" s="78">
        <f t="shared" si="10"/>
        <v>1</v>
      </c>
      <c r="H29" s="78">
        <f t="shared" si="10"/>
        <v>1</v>
      </c>
      <c r="I29" s="78">
        <f t="shared" si="10"/>
        <v>1</v>
      </c>
      <c r="J29" s="78">
        <f t="shared" si="10"/>
        <v>1</v>
      </c>
      <c r="K29" s="78">
        <f t="shared" si="10"/>
        <v>1</v>
      </c>
      <c r="L29" s="78">
        <f t="shared" si="10"/>
        <v>1</v>
      </c>
      <c r="M29" s="78">
        <f t="shared" si="10"/>
        <v>1</v>
      </c>
      <c r="N29" s="78">
        <f t="shared" si="10"/>
        <v>1</v>
      </c>
      <c r="O29" s="78">
        <f t="shared" si="10"/>
        <v>1</v>
      </c>
      <c r="P29" s="78">
        <f t="shared" si="10"/>
        <v>1</v>
      </c>
      <c r="Q29" s="78">
        <f t="shared" si="10"/>
        <v>1</v>
      </c>
      <c r="R29" s="78">
        <f t="shared" si="10"/>
        <v>1</v>
      </c>
      <c r="S29" s="78">
        <f t="shared" si="10"/>
        <v>1</v>
      </c>
      <c r="T29" s="78">
        <f t="shared" si="10"/>
        <v>1</v>
      </c>
      <c r="U29" s="78">
        <f t="shared" si="10"/>
        <v>1</v>
      </c>
      <c r="V29" s="78">
        <f t="shared" ref="V29:W29" si="11">IF(V10=0,0,V10/V$3)</f>
        <v>1</v>
      </c>
      <c r="W29" s="78">
        <f t="shared" si="11"/>
        <v>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3.1861814399999999</v>
      </c>
      <c r="C3" s="54">
        <f t="shared" ref="C3:V3" si="1">SUM(C4:C5)</f>
        <v>3.1861814399999999</v>
      </c>
      <c r="D3" s="54">
        <f t="shared" si="1"/>
        <v>6.3726296399999995</v>
      </c>
      <c r="E3" s="54">
        <f t="shared" si="1"/>
        <v>28.6767</v>
      </c>
      <c r="F3" s="54">
        <f t="shared" si="1"/>
        <v>6.3726296399999995</v>
      </c>
      <c r="G3" s="54">
        <f t="shared" si="1"/>
        <v>3.1861814399999999</v>
      </c>
      <c r="H3" s="54">
        <f t="shared" si="1"/>
        <v>3.1861814399999999</v>
      </c>
      <c r="I3" s="54">
        <f t="shared" si="1"/>
        <v>3.1122889199999992</v>
      </c>
      <c r="J3" s="54">
        <f t="shared" si="1"/>
        <v>3.1122889199999992</v>
      </c>
      <c r="K3" s="54">
        <f t="shared" si="1"/>
        <v>3.1122889199999992</v>
      </c>
      <c r="L3" s="54">
        <f t="shared" si="1"/>
        <v>3.1122889199999992</v>
      </c>
      <c r="M3" s="54">
        <f t="shared" si="1"/>
        <v>3.1122889199999992</v>
      </c>
      <c r="N3" s="54">
        <f t="shared" si="1"/>
        <v>18.673200000000005</v>
      </c>
      <c r="O3" s="54">
        <f t="shared" si="1"/>
        <v>15.560911079999999</v>
      </c>
      <c r="P3" s="54">
        <f t="shared" si="1"/>
        <v>18.673200000000005</v>
      </c>
      <c r="Q3" s="54">
        <f t="shared" si="1"/>
        <v>18.673200000000005</v>
      </c>
      <c r="R3" s="54">
        <f t="shared" si="1"/>
        <v>15.894361080000003</v>
      </c>
      <c r="S3" s="54">
        <f t="shared" si="1"/>
        <v>15.894361080000003</v>
      </c>
      <c r="T3" s="54">
        <f t="shared" si="1"/>
        <v>15.894361080000003</v>
      </c>
      <c r="U3" s="54">
        <f t="shared" si="1"/>
        <v>15.894361080000003</v>
      </c>
      <c r="V3" s="54">
        <f t="shared" si="1"/>
        <v>12.71564892</v>
      </c>
      <c r="W3" s="54">
        <f t="shared" ref="W3" si="2">SUM(W4:W5)</f>
        <v>9.5366700000000009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3.1861814399999999</v>
      </c>
      <c r="C5" s="58">
        <v>3.1861814399999999</v>
      </c>
      <c r="D5" s="58">
        <v>6.3726296399999995</v>
      </c>
      <c r="E5" s="58">
        <v>28.6767</v>
      </c>
      <c r="F5" s="58">
        <v>6.3726296399999995</v>
      </c>
      <c r="G5" s="58">
        <v>3.1861814399999999</v>
      </c>
      <c r="H5" s="58">
        <v>3.1861814399999999</v>
      </c>
      <c r="I5" s="58">
        <v>3.1122889199999992</v>
      </c>
      <c r="J5" s="58">
        <v>3.1122889199999992</v>
      </c>
      <c r="K5" s="58">
        <v>3.1122889199999992</v>
      </c>
      <c r="L5" s="58">
        <v>3.1122889199999992</v>
      </c>
      <c r="M5" s="58">
        <v>3.1122889199999992</v>
      </c>
      <c r="N5" s="58">
        <v>18.673200000000005</v>
      </c>
      <c r="O5" s="58">
        <v>15.560911079999999</v>
      </c>
      <c r="P5" s="58">
        <v>18.673200000000005</v>
      </c>
      <c r="Q5" s="58">
        <v>18.673200000000005</v>
      </c>
      <c r="R5" s="58">
        <v>15.894361080000003</v>
      </c>
      <c r="S5" s="58">
        <v>15.894361080000003</v>
      </c>
      <c r="T5" s="58">
        <v>15.894361080000003</v>
      </c>
      <c r="U5" s="58">
        <v>15.894361080000003</v>
      </c>
      <c r="V5" s="58">
        <v>12.71564892</v>
      </c>
      <c r="W5" s="58">
        <v>9.5366700000000009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3.1024188000000006</v>
      </c>
      <c r="O9" s="79">
        <f>IF(O3=0,0,O3/TrNavi_ene!O3)</f>
        <v>3.1024188000000001</v>
      </c>
      <c r="P9" s="79">
        <f>IF(P3=0,0,P3/TrNavi_ene!P3)</f>
        <v>3.1024188000000006</v>
      </c>
      <c r="Q9" s="79">
        <f>IF(Q3=0,0,Q3/TrNavi_ene!Q3)</f>
        <v>3.1024188000000006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3.1024187999999997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3.1024188000000006</v>
      </c>
      <c r="O11" s="81">
        <f>IF(O5=0,0,O5/TrNavi_ene!O10)</f>
        <v>3.1024188000000001</v>
      </c>
      <c r="P11" s="81">
        <f>IF(P5=0,0,P5/TrNavi_ene!P10)</f>
        <v>3.1024188000000006</v>
      </c>
      <c r="Q11" s="81">
        <f>IF(Q5=0,0,Q5/TrNavi_ene!Q10)</f>
        <v>3.1024188000000006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3.1024187999999997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1935.7116889428921</v>
      </c>
      <c r="C13" s="54">
        <f>IF(C3=0,0,C3/TrNavi_act!C7*1000)</f>
        <v>1752.5750495049504</v>
      </c>
      <c r="D13" s="54">
        <f>IF(D3=0,0,D3/TrNavi_act!D7*1000)</f>
        <v>2179.4219015047879</v>
      </c>
      <c r="E13" s="54">
        <f>IF(E3=0,0,E3/TrNavi_act!E7*1000)</f>
        <v>4451.521266687364</v>
      </c>
      <c r="F13" s="54">
        <f>IF(F3=0,0,F3/TrNavi_act!F7*1000)</f>
        <v>1873.200952380952</v>
      </c>
      <c r="G13" s="54">
        <f>IF(G3=0,0,G3/TrNavi_act!G7*1000)</f>
        <v>1258.3654976303317</v>
      </c>
      <c r="H13" s="54">
        <f>IF(H3=0,0,H3/TrNavi_act!H7*1000)</f>
        <v>1321.5186395686435</v>
      </c>
      <c r="I13" s="54">
        <f>IF(I3=0,0,I3/TrNavi_act!I7*1000)</f>
        <v>1214.3148341786964</v>
      </c>
      <c r="J13" s="54">
        <f>IF(J3=0,0,J3/TrNavi_act!J7*1000)</f>
        <v>1204.4461764705877</v>
      </c>
      <c r="K13" s="54">
        <f>IF(K3=0,0,K3/TrNavi_act!K7*1000)</f>
        <v>1335.1732818532817</v>
      </c>
      <c r="L13" s="54">
        <f>IF(L3=0,0,L3/TrNavi_act!L7*1000)</f>
        <v>1167.8382439024385</v>
      </c>
      <c r="M13" s="54">
        <f>IF(M3=0,0,M3/TrNavi_act!M7*1000)</f>
        <v>1331.7453658536581</v>
      </c>
      <c r="N13" s="54">
        <f>IF(N3=0,0,N3/TrNavi_act!N7*1000)</f>
        <v>7484.2484969939896</v>
      </c>
      <c r="O13" s="54">
        <f>IF(O3=0,0,O3/TrNavi_act!O7*1000)</f>
        <v>6934.4523529411754</v>
      </c>
      <c r="P13" s="54">
        <f>IF(P3=0,0,P3/TrNavi_act!P7*1000)</f>
        <v>7829.4339622641537</v>
      </c>
      <c r="Q13" s="54">
        <f>IF(Q3=0,0,Q3/TrNavi_act!Q7*1000)</f>
        <v>7800.0000000000018</v>
      </c>
      <c r="R13" s="54">
        <f>IF(R3=0,0,R3/TrNavi_act!R7*1000)</f>
        <v>6916.6062140992181</v>
      </c>
      <c r="S13" s="54">
        <f>IF(S3=0,0,S3/TrNavi_act!S7*1000)</f>
        <v>7430.7438429172526</v>
      </c>
      <c r="T13" s="54">
        <f>IF(T3=0,0,T3/TrNavi_act!T7*1000)</f>
        <v>7833.5934351897504</v>
      </c>
      <c r="U13" s="54">
        <f>IF(U3=0,0,U3/TrNavi_act!U7*1000)</f>
        <v>6821.614197424894</v>
      </c>
      <c r="V13" s="54">
        <f>IF(V3=0,0,V3/TrNavi_act!V7*1000)</f>
        <v>6020.6671022727269</v>
      </c>
      <c r="W13" s="54">
        <f>IF(W3=0,0,W3/TrNavi_act!W7*1000)</f>
        <v>4629.4514563106804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1935.7116889428921</v>
      </c>
      <c r="C15" s="58">
        <f>IF(C5=0,0,C5/TrNavi_act!C9*1000)</f>
        <v>1752.5750495049504</v>
      </c>
      <c r="D15" s="58">
        <f>IF(D5=0,0,D5/TrNavi_act!D9*1000)</f>
        <v>2179.4219015047879</v>
      </c>
      <c r="E15" s="58">
        <f>IF(E5=0,0,E5/TrNavi_act!E9*1000)</f>
        <v>4451.521266687364</v>
      </c>
      <c r="F15" s="58">
        <f>IF(F5=0,0,F5/TrNavi_act!F9*1000)</f>
        <v>1873.200952380952</v>
      </c>
      <c r="G15" s="58">
        <f>IF(G5=0,0,G5/TrNavi_act!G9*1000)</f>
        <v>1258.3654976303317</v>
      </c>
      <c r="H15" s="58">
        <f>IF(H5=0,0,H5/TrNavi_act!H9*1000)</f>
        <v>1321.5186395686435</v>
      </c>
      <c r="I15" s="58">
        <f>IF(I5=0,0,I5/TrNavi_act!I9*1000)</f>
        <v>1214.3148341786964</v>
      </c>
      <c r="J15" s="58">
        <f>IF(J5=0,0,J5/TrNavi_act!J9*1000)</f>
        <v>1204.4461764705877</v>
      </c>
      <c r="K15" s="58">
        <f>IF(K5=0,0,K5/TrNavi_act!K9*1000)</f>
        <v>1335.1732818532817</v>
      </c>
      <c r="L15" s="58">
        <f>IF(L5=0,0,L5/TrNavi_act!L9*1000)</f>
        <v>1167.8382439024385</v>
      </c>
      <c r="M15" s="58">
        <f>IF(M5=0,0,M5/TrNavi_act!M9*1000)</f>
        <v>1331.7453658536581</v>
      </c>
      <c r="N15" s="58">
        <f>IF(N5=0,0,N5/TrNavi_act!N9*1000)</f>
        <v>7484.2484969939896</v>
      </c>
      <c r="O15" s="58">
        <f>IF(O5=0,0,O5/TrNavi_act!O9*1000)</f>
        <v>6934.4523529411754</v>
      </c>
      <c r="P15" s="58">
        <f>IF(P5=0,0,P5/TrNavi_act!P9*1000)</f>
        <v>7829.4339622641537</v>
      </c>
      <c r="Q15" s="58">
        <f>IF(Q5=0,0,Q5/TrNavi_act!Q9*1000)</f>
        <v>7800.0000000000018</v>
      </c>
      <c r="R15" s="58">
        <f>IF(R5=0,0,R5/TrNavi_act!R9*1000)</f>
        <v>6916.6062140992181</v>
      </c>
      <c r="S15" s="58">
        <f>IF(S5=0,0,S5/TrNavi_act!S9*1000)</f>
        <v>7430.7438429172526</v>
      </c>
      <c r="T15" s="58">
        <f>IF(T5=0,0,T5/TrNavi_act!T9*1000)</f>
        <v>7833.5934351897504</v>
      </c>
      <c r="U15" s="58">
        <f>IF(U5=0,0,U5/TrNavi_act!U9*1000)</f>
        <v>6821.614197424894</v>
      </c>
      <c r="V15" s="58">
        <f>IF(V5=0,0,V5/TrNavi_act!V9*1000)</f>
        <v>6020.6671022727269</v>
      </c>
      <c r="W15" s="58">
        <f>IF(W5=0,0,W5/TrNavi_act!W9*1000)</f>
        <v>4629.4514563106804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3.5759612121212121</v>
      </c>
      <c r="C17" s="62">
        <f>IF(C3=0,0,C3/TrNavi_act!C3*1000)</f>
        <v>2.9311696780128793</v>
      </c>
      <c r="D17" s="62">
        <f>IF(D3=0,0,D3/TrNavi_act!D3*1000)</f>
        <v>4.529232153518123</v>
      </c>
      <c r="E17" s="62">
        <f>IF(E3=0,0,E3/TrNavi_act!E3*1000)</f>
        <v>18.903559657218192</v>
      </c>
      <c r="F17" s="62">
        <f>IF(F3=0,0,F3/TrNavi_act!F3*1000)</f>
        <v>3.3469693487394956</v>
      </c>
      <c r="G17" s="62">
        <f>IF(G3=0,0,G3/TrNavi_act!G3*1000)</f>
        <v>1.5100385971563981</v>
      </c>
      <c r="H17" s="62">
        <f>IF(H3=0,0,H3/TrNavi_act!H3*1000)</f>
        <v>1.6655417877679037</v>
      </c>
      <c r="I17" s="62">
        <f>IF(I3=0,0,I3/TrNavi_act!I3*1000)</f>
        <v>1.4070022242314644</v>
      </c>
      <c r="J17" s="62">
        <f>IF(J3=0,0,J3/TrNavi_act!J3*1000)</f>
        <v>1.3832395199999998</v>
      </c>
      <c r="K17" s="62">
        <f>IF(K3=0,0,K3/TrNavi_act!K3*1000)</f>
        <v>1.699775488803932</v>
      </c>
      <c r="L17" s="62">
        <f>IF(L3=0,0,L3/TrNavi_act!L3*1000)</f>
        <v>1.3005804095277891</v>
      </c>
      <c r="M17" s="62">
        <f>IF(M3=0,0,M3/TrNavi_act!M3*1000)</f>
        <v>1.691461369565217</v>
      </c>
      <c r="N17" s="62">
        <f>IF(N3=0,0,N3/TrNavi_act!N3*1000)</f>
        <v>9.42139253279516</v>
      </c>
      <c r="O17" s="62">
        <f>IF(O3=0,0,O3/TrNavi_act!O3*1000)</f>
        <v>8.087791621621621</v>
      </c>
      <c r="P17" s="62">
        <f>IF(P3=0,0,P3/TrNavi_act!P3*1000)</f>
        <v>10.310988404196578</v>
      </c>
      <c r="Q17" s="62">
        <f>IF(Q3=0,0,Q3/TrNavi_act!Q3*1000)</f>
        <v>10.237500000000004</v>
      </c>
      <c r="R17" s="62">
        <f>IF(R3=0,0,R3/TrNavi_act!R3*1000)</f>
        <v>8.0477777620253192</v>
      </c>
      <c r="S17" s="62">
        <f>IF(S3=0,0,S3/TrNavi_act!S3*1000)</f>
        <v>7.9790969277108452</v>
      </c>
      <c r="T17" s="62">
        <f>IF(T3=0,0,T3/TrNavi_act!T3*1000)</f>
        <v>9.8845529104477627</v>
      </c>
      <c r="U17" s="62">
        <f>IF(U3=0,0,U3/TrNavi_act!U3*1000)</f>
        <v>7.4973401320754727</v>
      </c>
      <c r="V17" s="62">
        <f>IF(V3=0,0,V3/TrNavi_act!V3*1000)</f>
        <v>6.3641886486486481</v>
      </c>
      <c r="W17" s="62">
        <f>IF(W3=0,0,W3/TrNavi_act!W3*1000)</f>
        <v>5.0916550987720237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3.5759612121212121</v>
      </c>
      <c r="C19" s="64">
        <f>IF(C5=0,0,C5/TrNavi_act!C5*1000)</f>
        <v>2.9311696780128793</v>
      </c>
      <c r="D19" s="64">
        <f>IF(D5=0,0,D5/TrNavi_act!D5*1000)</f>
        <v>4.529232153518123</v>
      </c>
      <c r="E19" s="64">
        <f>IF(E5=0,0,E5/TrNavi_act!E5*1000)</f>
        <v>18.903559657218192</v>
      </c>
      <c r="F19" s="64">
        <f>IF(F5=0,0,F5/TrNavi_act!F5*1000)</f>
        <v>3.3469693487394956</v>
      </c>
      <c r="G19" s="64">
        <f>IF(G5=0,0,G5/TrNavi_act!G5*1000)</f>
        <v>1.5100385971563981</v>
      </c>
      <c r="H19" s="64">
        <f>IF(H5=0,0,H5/TrNavi_act!H5*1000)</f>
        <v>1.6655417877679037</v>
      </c>
      <c r="I19" s="64">
        <f>IF(I5=0,0,I5/TrNavi_act!I5*1000)</f>
        <v>1.4070022242314644</v>
      </c>
      <c r="J19" s="64">
        <f>IF(J5=0,0,J5/TrNavi_act!J5*1000)</f>
        <v>1.3832395199999998</v>
      </c>
      <c r="K19" s="64">
        <f>IF(K5=0,0,K5/TrNavi_act!K5*1000)</f>
        <v>1.699775488803932</v>
      </c>
      <c r="L19" s="64">
        <f>IF(L5=0,0,L5/TrNavi_act!L5*1000)</f>
        <v>1.3005804095277891</v>
      </c>
      <c r="M19" s="64">
        <f>IF(M5=0,0,M5/TrNavi_act!M5*1000)</f>
        <v>1.691461369565217</v>
      </c>
      <c r="N19" s="64">
        <f>IF(N5=0,0,N5/TrNavi_act!N5*1000)</f>
        <v>9.42139253279516</v>
      </c>
      <c r="O19" s="64">
        <f>IF(O5=0,0,O5/TrNavi_act!O5*1000)</f>
        <v>8.087791621621621</v>
      </c>
      <c r="P19" s="64">
        <f>IF(P5=0,0,P5/TrNavi_act!P5*1000)</f>
        <v>10.310988404196578</v>
      </c>
      <c r="Q19" s="64">
        <f>IF(Q5=0,0,Q5/TrNavi_act!Q5*1000)</f>
        <v>10.237500000000004</v>
      </c>
      <c r="R19" s="64">
        <f>IF(R5=0,0,R5/TrNavi_act!R5*1000)</f>
        <v>8.0477777620253192</v>
      </c>
      <c r="S19" s="64">
        <f>IF(S5=0,0,S5/TrNavi_act!S5*1000)</f>
        <v>7.9790969277108452</v>
      </c>
      <c r="T19" s="64">
        <f>IF(T5=0,0,T5/TrNavi_act!T5*1000)</f>
        <v>9.8845529104477627</v>
      </c>
      <c r="U19" s="64">
        <f>IF(U5=0,0,U5/TrNavi_act!U5*1000)</f>
        <v>7.4973401320754727</v>
      </c>
      <c r="V19" s="64">
        <f>IF(V5=0,0,V5/TrNavi_act!V5*1000)</f>
        <v>6.3641886486486481</v>
      </c>
      <c r="W19" s="64">
        <f>IF(W5=0,0,W5/TrNavi_act!W5*1000)</f>
        <v>5.0916550987720237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1</v>
      </c>
      <c r="C23" s="78">
        <f t="shared" si="7"/>
        <v>1</v>
      </c>
      <c r="D23" s="78">
        <f t="shared" si="7"/>
        <v>1</v>
      </c>
      <c r="E23" s="78">
        <f t="shared" si="7"/>
        <v>1</v>
      </c>
      <c r="F23" s="78">
        <f t="shared" si="7"/>
        <v>1</v>
      </c>
      <c r="G23" s="78">
        <f t="shared" si="7"/>
        <v>1</v>
      </c>
      <c r="H23" s="78">
        <f t="shared" si="7"/>
        <v>1</v>
      </c>
      <c r="I23" s="78">
        <f t="shared" si="7"/>
        <v>1</v>
      </c>
      <c r="J23" s="78">
        <f t="shared" si="7"/>
        <v>1</v>
      </c>
      <c r="K23" s="78">
        <f t="shared" si="7"/>
        <v>1</v>
      </c>
      <c r="L23" s="78">
        <f t="shared" si="7"/>
        <v>1</v>
      </c>
      <c r="M23" s="78">
        <f t="shared" si="7"/>
        <v>1</v>
      </c>
      <c r="N23" s="78">
        <f t="shared" si="7"/>
        <v>1</v>
      </c>
      <c r="O23" s="78">
        <f t="shared" si="7"/>
        <v>1</v>
      </c>
      <c r="P23" s="78">
        <f t="shared" si="7"/>
        <v>1</v>
      </c>
      <c r="Q23" s="78">
        <f t="shared" si="7"/>
        <v>1</v>
      </c>
      <c r="R23" s="78">
        <f t="shared" si="7"/>
        <v>1</v>
      </c>
      <c r="S23" s="78">
        <f t="shared" si="7"/>
        <v>1</v>
      </c>
      <c r="T23" s="78">
        <f t="shared" si="7"/>
        <v>1</v>
      </c>
      <c r="U23" s="78">
        <f t="shared" si="7"/>
        <v>1</v>
      </c>
      <c r="V23" s="78">
        <f t="shared" ref="V23:W23" si="8">IF(V5=0,0,V5/V$3)</f>
        <v>1</v>
      </c>
      <c r="W23" s="78">
        <f t="shared" si="8"/>
        <v>1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W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si="1"/>
        <v>0</v>
      </c>
      <c r="DA3" s="172" t="s">
        <v>387</v>
      </c>
    </row>
    <row r="4" spans="1:105" ht="11.45" customHeight="1" x14ac:dyDescent="0.25">
      <c r="A4" s="55" t="s">
        <v>170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DA4" s="181" t="s">
        <v>388</v>
      </c>
    </row>
    <row r="5" spans="1:105" ht="11.45" customHeight="1" x14ac:dyDescent="0.25">
      <c r="A5" s="57" t="s">
        <v>171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</v>
      </c>
      <c r="C7" s="59">
        <f t="shared" si="2"/>
        <v>0</v>
      </c>
      <c r="D7" s="59">
        <f t="shared" si="2"/>
        <v>0</v>
      </c>
      <c r="E7" s="59">
        <f t="shared" si="2"/>
        <v>0</v>
      </c>
      <c r="F7" s="59">
        <f t="shared" si="2"/>
        <v>0</v>
      </c>
      <c r="G7" s="59">
        <f t="shared" si="2"/>
        <v>0</v>
      </c>
      <c r="H7" s="59">
        <f t="shared" si="2"/>
        <v>0</v>
      </c>
      <c r="I7" s="59">
        <f t="shared" si="2"/>
        <v>0</v>
      </c>
      <c r="J7" s="59">
        <f t="shared" si="2"/>
        <v>0</v>
      </c>
      <c r="K7" s="59">
        <f t="shared" si="2"/>
        <v>0</v>
      </c>
      <c r="L7" s="59">
        <f t="shared" si="2"/>
        <v>0</v>
      </c>
      <c r="M7" s="59">
        <f t="shared" si="2"/>
        <v>0</v>
      </c>
      <c r="N7" s="59">
        <f t="shared" si="2"/>
        <v>0</v>
      </c>
      <c r="O7" s="59">
        <f t="shared" si="2"/>
        <v>0</v>
      </c>
      <c r="P7" s="59">
        <f t="shared" si="2"/>
        <v>0</v>
      </c>
      <c r="Q7" s="59">
        <f t="shared" si="2"/>
        <v>0</v>
      </c>
      <c r="R7" s="59">
        <f t="shared" si="2"/>
        <v>0</v>
      </c>
      <c r="S7" s="59">
        <f t="shared" si="2"/>
        <v>0</v>
      </c>
      <c r="T7" s="59">
        <f t="shared" si="2"/>
        <v>0</v>
      </c>
      <c r="U7" s="59">
        <f t="shared" si="2"/>
        <v>0</v>
      </c>
      <c r="V7" s="59">
        <f t="shared" si="2"/>
        <v>0</v>
      </c>
      <c r="W7" s="59">
        <f t="shared" si="2"/>
        <v>0</v>
      </c>
      <c r="DA7" s="172" t="s">
        <v>961</v>
      </c>
    </row>
    <row r="8" spans="1:105" ht="11.45" customHeight="1" x14ac:dyDescent="0.25">
      <c r="A8" s="55" t="s">
        <v>170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DA8" s="181" t="s">
        <v>962</v>
      </c>
    </row>
    <row r="9" spans="1:105" ht="11.45" customHeight="1" x14ac:dyDescent="0.25">
      <c r="A9" s="57" t="s">
        <v>171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0</v>
      </c>
      <c r="C13" s="62">
        <f t="shared" si="3"/>
        <v>0</v>
      </c>
      <c r="D13" s="62">
        <f t="shared" si="3"/>
        <v>0</v>
      </c>
      <c r="E13" s="62">
        <f t="shared" si="3"/>
        <v>0</v>
      </c>
      <c r="F13" s="62">
        <f t="shared" si="3"/>
        <v>0</v>
      </c>
      <c r="G13" s="62">
        <f t="shared" si="3"/>
        <v>0</v>
      </c>
      <c r="H13" s="62">
        <f t="shared" si="3"/>
        <v>0</v>
      </c>
      <c r="I13" s="62">
        <f t="shared" si="3"/>
        <v>0</v>
      </c>
      <c r="J13" s="62">
        <f t="shared" si="3"/>
        <v>0</v>
      </c>
      <c r="K13" s="62">
        <f t="shared" si="3"/>
        <v>0</v>
      </c>
      <c r="L13" s="62">
        <f t="shared" si="3"/>
        <v>0</v>
      </c>
      <c r="M13" s="62">
        <f t="shared" si="3"/>
        <v>0</v>
      </c>
      <c r="N13" s="62">
        <f t="shared" si="3"/>
        <v>0</v>
      </c>
      <c r="O13" s="62">
        <f t="shared" si="3"/>
        <v>0</v>
      </c>
      <c r="P13" s="62">
        <f t="shared" si="3"/>
        <v>0</v>
      </c>
      <c r="Q13" s="62">
        <f t="shared" si="3"/>
        <v>0</v>
      </c>
      <c r="R13" s="62">
        <f t="shared" si="3"/>
        <v>0</v>
      </c>
      <c r="S13" s="62">
        <f t="shared" si="3"/>
        <v>0</v>
      </c>
      <c r="T13" s="62">
        <f t="shared" si="3"/>
        <v>0</v>
      </c>
      <c r="U13" s="62">
        <f t="shared" si="3"/>
        <v>0</v>
      </c>
      <c r="V13" s="62">
        <f t="shared" si="3"/>
        <v>0</v>
      </c>
      <c r="W13" s="62">
        <f t="shared" si="3"/>
        <v>0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0</v>
      </c>
      <c r="C14" s="63">
        <f t="shared" si="3"/>
        <v>0</v>
      </c>
      <c r="D14" s="63">
        <f t="shared" si="3"/>
        <v>0</v>
      </c>
      <c r="E14" s="63">
        <f t="shared" si="3"/>
        <v>0</v>
      </c>
      <c r="F14" s="63">
        <f t="shared" si="3"/>
        <v>0</v>
      </c>
      <c r="G14" s="63">
        <f t="shared" si="3"/>
        <v>0</v>
      </c>
      <c r="H14" s="63">
        <f t="shared" si="3"/>
        <v>0</v>
      </c>
      <c r="I14" s="63">
        <f t="shared" si="3"/>
        <v>0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0</v>
      </c>
      <c r="Q14" s="63">
        <f t="shared" si="3"/>
        <v>0</v>
      </c>
      <c r="R14" s="63">
        <f t="shared" si="3"/>
        <v>0</v>
      </c>
      <c r="S14" s="63">
        <f t="shared" si="3"/>
        <v>0</v>
      </c>
      <c r="T14" s="63">
        <f t="shared" si="3"/>
        <v>0</v>
      </c>
      <c r="U14" s="63">
        <f t="shared" si="3"/>
        <v>0</v>
      </c>
      <c r="V14" s="63">
        <f t="shared" si="3"/>
        <v>0</v>
      </c>
      <c r="W14" s="63">
        <f t="shared" si="3"/>
        <v>0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0</v>
      </c>
      <c r="C15" s="64">
        <f t="shared" si="3"/>
        <v>0</v>
      </c>
      <c r="D15" s="64">
        <f t="shared" si="3"/>
        <v>0</v>
      </c>
      <c r="E15" s="64">
        <f t="shared" si="3"/>
        <v>0</v>
      </c>
      <c r="F15" s="64">
        <f t="shared" si="3"/>
        <v>0</v>
      </c>
      <c r="G15" s="64">
        <f t="shared" si="3"/>
        <v>0</v>
      </c>
      <c r="H15" s="64">
        <f t="shared" si="3"/>
        <v>0</v>
      </c>
      <c r="I15" s="64">
        <f t="shared" si="3"/>
        <v>0</v>
      </c>
      <c r="J15" s="64">
        <f t="shared" si="3"/>
        <v>0</v>
      </c>
      <c r="K15" s="64">
        <f t="shared" si="3"/>
        <v>0</v>
      </c>
      <c r="L15" s="64">
        <f t="shared" si="3"/>
        <v>0</v>
      </c>
      <c r="M15" s="64">
        <f t="shared" si="3"/>
        <v>0</v>
      </c>
      <c r="N15" s="64">
        <f t="shared" si="3"/>
        <v>0</v>
      </c>
      <c r="O15" s="64">
        <f t="shared" si="3"/>
        <v>0</v>
      </c>
      <c r="P15" s="64">
        <f t="shared" si="3"/>
        <v>0</v>
      </c>
      <c r="Q15" s="64">
        <f t="shared" si="3"/>
        <v>0</v>
      </c>
      <c r="R15" s="64">
        <f t="shared" si="3"/>
        <v>0</v>
      </c>
      <c r="S15" s="64">
        <f t="shared" si="3"/>
        <v>0</v>
      </c>
      <c r="T15" s="64">
        <f t="shared" si="3"/>
        <v>0</v>
      </c>
      <c r="U15" s="64">
        <f t="shared" si="3"/>
        <v>0</v>
      </c>
      <c r="V15" s="64">
        <f t="shared" si="3"/>
        <v>0</v>
      </c>
      <c r="W15" s="64">
        <f t="shared" si="3"/>
        <v>0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0</v>
      </c>
      <c r="C17" s="65">
        <f t="shared" si="4"/>
        <v>0</v>
      </c>
      <c r="D17" s="65">
        <f t="shared" si="4"/>
        <v>0</v>
      </c>
      <c r="E17" s="65">
        <f t="shared" si="4"/>
        <v>0</v>
      </c>
      <c r="F17" s="65">
        <f t="shared" si="4"/>
        <v>0</v>
      </c>
      <c r="G17" s="65">
        <f t="shared" si="4"/>
        <v>0</v>
      </c>
      <c r="H17" s="65">
        <f t="shared" si="4"/>
        <v>0</v>
      </c>
      <c r="I17" s="65">
        <f t="shared" si="4"/>
        <v>0</v>
      </c>
      <c r="J17" s="65">
        <f t="shared" si="4"/>
        <v>0</v>
      </c>
      <c r="K17" s="65">
        <f t="shared" si="4"/>
        <v>0</v>
      </c>
      <c r="L17" s="65">
        <f t="shared" si="4"/>
        <v>0</v>
      </c>
      <c r="M17" s="65">
        <f t="shared" si="4"/>
        <v>0</v>
      </c>
      <c r="N17" s="65">
        <f t="shared" si="4"/>
        <v>0</v>
      </c>
      <c r="O17" s="65">
        <f t="shared" si="4"/>
        <v>0</v>
      </c>
      <c r="P17" s="65">
        <f t="shared" si="4"/>
        <v>0</v>
      </c>
      <c r="Q17" s="65">
        <f t="shared" si="4"/>
        <v>0</v>
      </c>
      <c r="R17" s="65">
        <f t="shared" si="4"/>
        <v>0</v>
      </c>
      <c r="S17" s="65">
        <f t="shared" si="4"/>
        <v>0</v>
      </c>
      <c r="T17" s="65">
        <f t="shared" si="4"/>
        <v>0</v>
      </c>
      <c r="U17" s="65">
        <f t="shared" si="4"/>
        <v>0</v>
      </c>
      <c r="V17" s="65">
        <f t="shared" si="4"/>
        <v>0</v>
      </c>
      <c r="W17" s="65">
        <f t="shared" si="4"/>
        <v>0</v>
      </c>
      <c r="DA17" s="172"/>
    </row>
    <row r="18" spans="1:105" ht="11.45" customHeight="1" x14ac:dyDescent="0.25">
      <c r="A18" s="55" t="s">
        <v>170</v>
      </c>
      <c r="B18" s="66">
        <f t="shared" si="4"/>
        <v>0</v>
      </c>
      <c r="C18" s="66">
        <f t="shared" si="4"/>
        <v>0</v>
      </c>
      <c r="D18" s="66">
        <f t="shared" si="4"/>
        <v>0</v>
      </c>
      <c r="E18" s="66">
        <f t="shared" si="4"/>
        <v>0</v>
      </c>
      <c r="F18" s="66">
        <f t="shared" si="4"/>
        <v>0</v>
      </c>
      <c r="G18" s="66">
        <f t="shared" si="4"/>
        <v>0</v>
      </c>
      <c r="H18" s="66">
        <f t="shared" si="4"/>
        <v>0</v>
      </c>
      <c r="I18" s="66">
        <f t="shared" si="4"/>
        <v>0</v>
      </c>
      <c r="J18" s="66">
        <f t="shared" si="4"/>
        <v>0</v>
      </c>
      <c r="K18" s="66">
        <f t="shared" si="4"/>
        <v>0</v>
      </c>
      <c r="L18" s="66">
        <f t="shared" si="4"/>
        <v>0</v>
      </c>
      <c r="M18" s="66">
        <f t="shared" si="4"/>
        <v>0</v>
      </c>
      <c r="N18" s="66">
        <f t="shared" si="4"/>
        <v>0</v>
      </c>
      <c r="O18" s="66">
        <f t="shared" si="4"/>
        <v>0</v>
      </c>
      <c r="P18" s="66">
        <f t="shared" si="4"/>
        <v>0</v>
      </c>
      <c r="Q18" s="66">
        <f t="shared" si="4"/>
        <v>0</v>
      </c>
      <c r="R18" s="66">
        <f t="shared" si="4"/>
        <v>0</v>
      </c>
      <c r="S18" s="66">
        <f t="shared" si="4"/>
        <v>0</v>
      </c>
      <c r="T18" s="66">
        <f t="shared" si="4"/>
        <v>0</v>
      </c>
      <c r="U18" s="66">
        <f t="shared" si="4"/>
        <v>0</v>
      </c>
      <c r="V18" s="66">
        <f t="shared" si="4"/>
        <v>0</v>
      </c>
      <c r="W18" s="66">
        <f t="shared" si="4"/>
        <v>0</v>
      </c>
      <c r="DA18" s="181"/>
    </row>
    <row r="19" spans="1:105" ht="11.45" customHeight="1" x14ac:dyDescent="0.25">
      <c r="A19" s="57" t="s">
        <v>171</v>
      </c>
      <c r="B19" s="67">
        <f t="shared" si="4"/>
        <v>0</v>
      </c>
      <c r="C19" s="67">
        <f t="shared" si="4"/>
        <v>0</v>
      </c>
      <c r="D19" s="67">
        <f t="shared" si="4"/>
        <v>0</v>
      </c>
      <c r="E19" s="67">
        <f t="shared" si="4"/>
        <v>0</v>
      </c>
      <c r="F19" s="67">
        <f t="shared" si="4"/>
        <v>0</v>
      </c>
      <c r="G19" s="67">
        <f t="shared" si="4"/>
        <v>0</v>
      </c>
      <c r="H19" s="67">
        <f t="shared" si="4"/>
        <v>0</v>
      </c>
      <c r="I19" s="67">
        <f t="shared" si="4"/>
        <v>0</v>
      </c>
      <c r="J19" s="67">
        <f t="shared" si="4"/>
        <v>0</v>
      </c>
      <c r="K19" s="67">
        <f t="shared" si="4"/>
        <v>0</v>
      </c>
      <c r="L19" s="67">
        <f t="shared" si="4"/>
        <v>0</v>
      </c>
      <c r="M19" s="67">
        <f t="shared" si="4"/>
        <v>0</v>
      </c>
      <c r="N19" s="67">
        <f t="shared" si="4"/>
        <v>0</v>
      </c>
      <c r="O19" s="67">
        <f t="shared" si="4"/>
        <v>0</v>
      </c>
      <c r="P19" s="67">
        <f t="shared" si="4"/>
        <v>0</v>
      </c>
      <c r="Q19" s="67">
        <f t="shared" si="4"/>
        <v>0</v>
      </c>
      <c r="R19" s="67">
        <f t="shared" si="4"/>
        <v>0</v>
      </c>
      <c r="S19" s="67">
        <f t="shared" si="4"/>
        <v>0</v>
      </c>
      <c r="T19" s="67">
        <f t="shared" si="4"/>
        <v>0</v>
      </c>
      <c r="U19" s="67">
        <f t="shared" si="4"/>
        <v>0</v>
      </c>
      <c r="V19" s="67">
        <f t="shared" si="4"/>
        <v>0</v>
      </c>
      <c r="W19" s="67">
        <f t="shared" si="4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0</v>
      </c>
      <c r="C21" s="65">
        <f t="shared" si="5"/>
        <v>0</v>
      </c>
      <c r="D21" s="65">
        <f t="shared" si="5"/>
        <v>0</v>
      </c>
      <c r="E21" s="65">
        <f t="shared" si="5"/>
        <v>0</v>
      </c>
      <c r="F21" s="65">
        <f t="shared" si="5"/>
        <v>0</v>
      </c>
      <c r="G21" s="65">
        <f t="shared" si="5"/>
        <v>0</v>
      </c>
      <c r="H21" s="65">
        <f t="shared" si="5"/>
        <v>0</v>
      </c>
      <c r="I21" s="65">
        <f t="shared" si="5"/>
        <v>0</v>
      </c>
      <c r="J21" s="65">
        <f t="shared" si="5"/>
        <v>0</v>
      </c>
      <c r="K21" s="65">
        <f t="shared" si="5"/>
        <v>0</v>
      </c>
      <c r="L21" s="65">
        <f t="shared" si="5"/>
        <v>0</v>
      </c>
      <c r="M21" s="65">
        <f t="shared" si="5"/>
        <v>0</v>
      </c>
      <c r="N21" s="65">
        <f t="shared" si="5"/>
        <v>0</v>
      </c>
      <c r="O21" s="65">
        <f t="shared" si="5"/>
        <v>0</v>
      </c>
      <c r="P21" s="65">
        <f t="shared" si="5"/>
        <v>0</v>
      </c>
      <c r="Q21" s="65">
        <f t="shared" si="5"/>
        <v>0</v>
      </c>
      <c r="R21" s="65">
        <f t="shared" si="5"/>
        <v>0</v>
      </c>
      <c r="S21" s="65">
        <f t="shared" si="5"/>
        <v>0</v>
      </c>
      <c r="T21" s="65">
        <f t="shared" si="5"/>
        <v>0</v>
      </c>
      <c r="U21" s="65">
        <f t="shared" si="5"/>
        <v>0</v>
      </c>
      <c r="V21" s="65">
        <f t="shared" si="5"/>
        <v>0</v>
      </c>
      <c r="W21" s="65">
        <f t="shared" si="5"/>
        <v>0</v>
      </c>
      <c r="DA21" s="172"/>
    </row>
    <row r="22" spans="1:105" ht="11.45" customHeight="1" x14ac:dyDescent="0.25">
      <c r="A22" s="55" t="s">
        <v>170</v>
      </c>
      <c r="B22" s="66">
        <f t="shared" si="5"/>
        <v>0</v>
      </c>
      <c r="C22" s="66">
        <f t="shared" si="5"/>
        <v>0</v>
      </c>
      <c r="D22" s="66">
        <f t="shared" si="5"/>
        <v>0</v>
      </c>
      <c r="E22" s="66">
        <f t="shared" si="5"/>
        <v>0</v>
      </c>
      <c r="F22" s="66">
        <f t="shared" si="5"/>
        <v>0</v>
      </c>
      <c r="G22" s="66">
        <f t="shared" si="5"/>
        <v>0</v>
      </c>
      <c r="H22" s="66">
        <f t="shared" si="5"/>
        <v>0</v>
      </c>
      <c r="I22" s="66">
        <f t="shared" si="5"/>
        <v>0</v>
      </c>
      <c r="J22" s="66">
        <f t="shared" si="5"/>
        <v>0</v>
      </c>
      <c r="K22" s="66">
        <f t="shared" si="5"/>
        <v>0</v>
      </c>
      <c r="L22" s="66">
        <f t="shared" si="5"/>
        <v>0</v>
      </c>
      <c r="M22" s="66">
        <f t="shared" si="5"/>
        <v>0</v>
      </c>
      <c r="N22" s="66">
        <f t="shared" si="5"/>
        <v>0</v>
      </c>
      <c r="O22" s="66">
        <f t="shared" si="5"/>
        <v>0</v>
      </c>
      <c r="P22" s="66">
        <f t="shared" si="5"/>
        <v>0</v>
      </c>
      <c r="Q22" s="66">
        <f t="shared" si="5"/>
        <v>0</v>
      </c>
      <c r="R22" s="66">
        <f t="shared" si="5"/>
        <v>0</v>
      </c>
      <c r="S22" s="66">
        <f t="shared" si="5"/>
        <v>0</v>
      </c>
      <c r="T22" s="66">
        <f t="shared" si="5"/>
        <v>0</v>
      </c>
      <c r="U22" s="66">
        <f t="shared" si="5"/>
        <v>0</v>
      </c>
      <c r="V22" s="66">
        <f t="shared" si="5"/>
        <v>0</v>
      </c>
      <c r="W22" s="66">
        <f t="shared" si="5"/>
        <v>0</v>
      </c>
      <c r="DA22" s="181"/>
    </row>
    <row r="23" spans="1:105" ht="11.45" customHeight="1" x14ac:dyDescent="0.25">
      <c r="A23" s="57" t="s">
        <v>171</v>
      </c>
      <c r="B23" s="67">
        <f t="shared" si="5"/>
        <v>0</v>
      </c>
      <c r="C23" s="67">
        <f t="shared" si="5"/>
        <v>0</v>
      </c>
      <c r="D23" s="67">
        <f t="shared" si="5"/>
        <v>0</v>
      </c>
      <c r="E23" s="67">
        <f t="shared" si="5"/>
        <v>0</v>
      </c>
      <c r="F23" s="67">
        <f t="shared" si="5"/>
        <v>0</v>
      </c>
      <c r="G23" s="67">
        <f t="shared" si="5"/>
        <v>0</v>
      </c>
      <c r="H23" s="67">
        <f t="shared" si="5"/>
        <v>0</v>
      </c>
      <c r="I23" s="67">
        <f t="shared" si="5"/>
        <v>0</v>
      </c>
      <c r="J23" s="67">
        <f t="shared" si="5"/>
        <v>0</v>
      </c>
      <c r="K23" s="67">
        <f t="shared" si="5"/>
        <v>0</v>
      </c>
      <c r="L23" s="67">
        <f t="shared" si="5"/>
        <v>0</v>
      </c>
      <c r="M23" s="67">
        <f t="shared" si="5"/>
        <v>0</v>
      </c>
      <c r="N23" s="67">
        <f t="shared" si="5"/>
        <v>0</v>
      </c>
      <c r="O23" s="67">
        <f t="shared" si="5"/>
        <v>0</v>
      </c>
      <c r="P23" s="67">
        <f t="shared" si="5"/>
        <v>0</v>
      </c>
      <c r="Q23" s="67">
        <f t="shared" si="5"/>
        <v>0</v>
      </c>
      <c r="R23" s="67">
        <f t="shared" si="5"/>
        <v>0</v>
      </c>
      <c r="S23" s="67">
        <f t="shared" si="5"/>
        <v>0</v>
      </c>
      <c r="T23" s="67">
        <f t="shared" si="5"/>
        <v>0</v>
      </c>
      <c r="U23" s="67">
        <f t="shared" si="5"/>
        <v>0</v>
      </c>
      <c r="V23" s="67">
        <f t="shared" si="5"/>
        <v>0</v>
      </c>
      <c r="W23" s="67">
        <f t="shared" si="5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si="0"/>
        <v>0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0</v>
      </c>
      <c r="C4" s="71">
        <f t="shared" ref="C4:W4" si="1">SUM(C5:C9)</f>
        <v>0</v>
      </c>
      <c r="D4" s="71">
        <f t="shared" si="1"/>
        <v>0</v>
      </c>
      <c r="E4" s="71">
        <f t="shared" si="1"/>
        <v>0</v>
      </c>
      <c r="F4" s="71">
        <f t="shared" si="1"/>
        <v>0</v>
      </c>
      <c r="G4" s="71">
        <f t="shared" si="1"/>
        <v>0</v>
      </c>
      <c r="H4" s="71">
        <f t="shared" si="1"/>
        <v>0</v>
      </c>
      <c r="I4" s="71">
        <f t="shared" si="1"/>
        <v>0</v>
      </c>
      <c r="J4" s="71">
        <f t="shared" si="1"/>
        <v>0</v>
      </c>
      <c r="K4" s="71">
        <f t="shared" si="1"/>
        <v>0</v>
      </c>
      <c r="L4" s="71">
        <f t="shared" si="1"/>
        <v>0</v>
      </c>
      <c r="M4" s="71">
        <f t="shared" si="1"/>
        <v>0</v>
      </c>
      <c r="N4" s="71">
        <f t="shared" si="1"/>
        <v>0</v>
      </c>
      <c r="O4" s="71">
        <f t="shared" si="1"/>
        <v>0</v>
      </c>
      <c r="P4" s="71">
        <f t="shared" si="1"/>
        <v>0</v>
      </c>
      <c r="Q4" s="71">
        <f t="shared" si="1"/>
        <v>0</v>
      </c>
      <c r="R4" s="71">
        <f t="shared" si="1"/>
        <v>0</v>
      </c>
      <c r="S4" s="71">
        <f t="shared" si="1"/>
        <v>0</v>
      </c>
      <c r="T4" s="71">
        <f t="shared" si="1"/>
        <v>0</v>
      </c>
      <c r="U4" s="71">
        <f t="shared" si="1"/>
        <v>0</v>
      </c>
      <c r="V4" s="71">
        <f t="shared" si="1"/>
        <v>0</v>
      </c>
      <c r="W4" s="71">
        <f t="shared" si="1"/>
        <v>0</v>
      </c>
      <c r="DA4" s="186" t="s">
        <v>969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0</v>
      </c>
      <c r="C10" s="71">
        <f t="shared" ref="C10:W10" si="2">SUM(C11:C15)</f>
        <v>0</v>
      </c>
      <c r="D10" s="71">
        <f t="shared" si="2"/>
        <v>0</v>
      </c>
      <c r="E10" s="71">
        <f t="shared" si="2"/>
        <v>0</v>
      </c>
      <c r="F10" s="71">
        <f t="shared" si="2"/>
        <v>0</v>
      </c>
      <c r="G10" s="71">
        <f t="shared" si="2"/>
        <v>0</v>
      </c>
      <c r="H10" s="71">
        <f t="shared" si="2"/>
        <v>0</v>
      </c>
      <c r="I10" s="71">
        <f t="shared" si="2"/>
        <v>0</v>
      </c>
      <c r="J10" s="71">
        <f t="shared" si="2"/>
        <v>0</v>
      </c>
      <c r="K10" s="71">
        <f t="shared" si="2"/>
        <v>0</v>
      </c>
      <c r="L10" s="71">
        <f t="shared" si="2"/>
        <v>0</v>
      </c>
      <c r="M10" s="71">
        <f t="shared" si="2"/>
        <v>0</v>
      </c>
      <c r="N10" s="71">
        <f t="shared" si="2"/>
        <v>0</v>
      </c>
      <c r="O10" s="71">
        <f t="shared" si="2"/>
        <v>0</v>
      </c>
      <c r="P10" s="71">
        <f t="shared" si="2"/>
        <v>0</v>
      </c>
      <c r="Q10" s="71">
        <f t="shared" si="2"/>
        <v>0</v>
      </c>
      <c r="R10" s="71">
        <f t="shared" si="2"/>
        <v>0</v>
      </c>
      <c r="S10" s="71">
        <f t="shared" si="2"/>
        <v>0</v>
      </c>
      <c r="T10" s="71">
        <f t="shared" si="2"/>
        <v>0</v>
      </c>
      <c r="U10" s="71">
        <f t="shared" si="2"/>
        <v>0</v>
      </c>
      <c r="V10" s="71">
        <f t="shared" si="2"/>
        <v>0</v>
      </c>
      <c r="W10" s="71">
        <f t="shared" si="2"/>
        <v>0</v>
      </c>
      <c r="DA10" s="186" t="s">
        <v>975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0</v>
      </c>
      <c r="J19" s="62">
        <f>IF(J3=0,0,J3/MBunk_act!J7*100)</f>
        <v>0</v>
      </c>
      <c r="K19" s="62">
        <f>IF(K3=0,0,K3/MBunk_act!K7*100)</f>
        <v>0</v>
      </c>
      <c r="L19" s="62">
        <f>IF(L3=0,0,L3/MBunk_act!L7*100)</f>
        <v>0</v>
      </c>
      <c r="M19" s="62">
        <f>IF(M3=0,0,M3/MBunk_act!M7*100)</f>
        <v>0</v>
      </c>
      <c r="N19" s="62">
        <f>IF(N3=0,0,N3/MBunk_act!N7*100)</f>
        <v>0</v>
      </c>
      <c r="O19" s="62">
        <f>IF(O3=0,0,O3/MBunk_act!O7*100)</f>
        <v>0</v>
      </c>
      <c r="P19" s="62">
        <f>IF(P3=0,0,P3/MBunk_act!P7*100)</f>
        <v>0</v>
      </c>
      <c r="Q19" s="62">
        <f>IF(Q3=0,0,Q3/MBunk_act!Q7*100)</f>
        <v>0</v>
      </c>
      <c r="R19" s="62">
        <f>IF(R3=0,0,R3/MBunk_act!R7*100)</f>
        <v>0</v>
      </c>
      <c r="S19" s="62">
        <f>IF(S3=0,0,S3/MBunk_act!S7*100)</f>
        <v>0</v>
      </c>
      <c r="T19" s="62">
        <f>IF(T3=0,0,T3/MBunk_act!T7*100)</f>
        <v>0</v>
      </c>
      <c r="U19" s="62">
        <f>IF(U3=0,0,U3/MBunk_act!U7*100)</f>
        <v>0</v>
      </c>
      <c r="V19" s="62">
        <f>IF(V3=0,0,V3/MBunk_act!V7*100)</f>
        <v>0</v>
      </c>
      <c r="W19" s="62">
        <f>IF(W3=0,0,W3/MBunk_act!W7*100)</f>
        <v>0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0</v>
      </c>
      <c r="J20" s="63">
        <f>IF(J4=0,0,J4/MBunk_act!J8*100)</f>
        <v>0</v>
      </c>
      <c r="K20" s="63">
        <f>IF(K4=0,0,K4/MBunk_act!K8*100)</f>
        <v>0</v>
      </c>
      <c r="L20" s="63">
        <f>IF(L4=0,0,L4/MBunk_act!L8*100)</f>
        <v>0</v>
      </c>
      <c r="M20" s="63">
        <f>IF(M4=0,0,M4/MBunk_act!M8*100)</f>
        <v>0</v>
      </c>
      <c r="N20" s="63">
        <f>IF(N4=0,0,N4/MBunk_act!N8*100)</f>
        <v>0</v>
      </c>
      <c r="O20" s="63">
        <f>IF(O4=0,0,O4/MBunk_act!O8*100)</f>
        <v>0</v>
      </c>
      <c r="P20" s="63">
        <f>IF(P4=0,0,P4/MBunk_act!P8*100)</f>
        <v>0</v>
      </c>
      <c r="Q20" s="63">
        <f>IF(Q4=0,0,Q4/MBunk_act!Q8*100)</f>
        <v>0</v>
      </c>
      <c r="R20" s="63">
        <f>IF(R4=0,0,R4/MBunk_act!R8*100)</f>
        <v>0</v>
      </c>
      <c r="S20" s="63">
        <f>IF(S4=0,0,S4/MBunk_act!S8*100)</f>
        <v>0</v>
      </c>
      <c r="T20" s="63">
        <f>IF(T4=0,0,T4/MBunk_act!T8*100)</f>
        <v>0</v>
      </c>
      <c r="U20" s="63">
        <f>IF(U4=0,0,U4/MBunk_act!U8*100)</f>
        <v>0</v>
      </c>
      <c r="V20" s="63">
        <f>IF(V4=0,0,V4/MBunk_act!V8*100)</f>
        <v>0</v>
      </c>
      <c r="W20" s="63">
        <f>IF(W4=0,0,W4/MBunk_act!W8*100)</f>
        <v>0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0</v>
      </c>
      <c r="J21" s="64">
        <f>IF(J10=0,0,J10/MBunk_act!J9*100)</f>
        <v>0</v>
      </c>
      <c r="K21" s="64">
        <f>IF(K10=0,0,K10/MBunk_act!K9*100)</f>
        <v>0</v>
      </c>
      <c r="L21" s="64">
        <f>IF(L10=0,0,L10/MBunk_act!L9*100)</f>
        <v>0</v>
      </c>
      <c r="M21" s="64">
        <f>IF(M10=0,0,M10/MBunk_act!M9*100)</f>
        <v>0</v>
      </c>
      <c r="N21" s="64">
        <f>IF(N10=0,0,N10/MBunk_act!N9*100)</f>
        <v>0</v>
      </c>
      <c r="O21" s="64">
        <f>IF(O10=0,0,O10/MBunk_act!O9*100)</f>
        <v>0</v>
      </c>
      <c r="P21" s="64">
        <f>IF(P10=0,0,P10/MBunk_act!P9*100)</f>
        <v>0</v>
      </c>
      <c r="Q21" s="64">
        <f>IF(Q10=0,0,Q10/MBunk_act!Q9*100)</f>
        <v>0</v>
      </c>
      <c r="R21" s="64">
        <f>IF(R10=0,0,R10/MBunk_act!R9*100)</f>
        <v>0</v>
      </c>
      <c r="S21" s="64">
        <f>IF(S10=0,0,S10/MBunk_act!S9*100)</f>
        <v>0</v>
      </c>
      <c r="T21" s="64">
        <f>IF(T10=0,0,T10/MBunk_act!T9*100)</f>
        <v>0</v>
      </c>
      <c r="U21" s="64">
        <f>IF(U10=0,0,U10/MBunk_act!U9*100)</f>
        <v>0</v>
      </c>
      <c r="V21" s="64">
        <f>IF(V10=0,0,V10/MBunk_act!V9*100)</f>
        <v>0</v>
      </c>
      <c r="W21" s="64">
        <f>IF(W10=0,0,W10/MBunk_act!W9*100)</f>
        <v>0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</v>
      </c>
      <c r="J23" s="62">
        <f>IF(J3=0,0,J3/MBunk_act!J3*1000)</f>
        <v>0</v>
      </c>
      <c r="K23" s="62">
        <f>IF(K3=0,0,K3/MBunk_act!K3*1000)</f>
        <v>0</v>
      </c>
      <c r="L23" s="62">
        <f>IF(L3=0,0,L3/MBunk_act!L3*1000)</f>
        <v>0</v>
      </c>
      <c r="M23" s="62">
        <f>IF(M3=0,0,M3/MBunk_act!M3*1000)</f>
        <v>0</v>
      </c>
      <c r="N23" s="62">
        <f>IF(N3=0,0,N3/MBunk_act!N3*1000)</f>
        <v>0</v>
      </c>
      <c r="O23" s="62">
        <f>IF(O3=0,0,O3/MBunk_act!O3*1000)</f>
        <v>0</v>
      </c>
      <c r="P23" s="62">
        <f>IF(P3=0,0,P3/MBunk_act!P3*1000)</f>
        <v>0</v>
      </c>
      <c r="Q23" s="62">
        <f>IF(Q3=0,0,Q3/MBunk_act!Q3*1000)</f>
        <v>0</v>
      </c>
      <c r="R23" s="62">
        <f>IF(R3=0,0,R3/MBunk_act!R3*1000)</f>
        <v>0</v>
      </c>
      <c r="S23" s="62">
        <f>IF(S3=0,0,S3/MBunk_act!S3*1000)</f>
        <v>0</v>
      </c>
      <c r="T23" s="62">
        <f>IF(T3=0,0,T3/MBunk_act!T3*1000)</f>
        <v>0</v>
      </c>
      <c r="U23" s="62">
        <f>IF(U3=0,0,U3/MBunk_act!U3*1000)</f>
        <v>0</v>
      </c>
      <c r="V23" s="62">
        <f>IF(V3=0,0,V3/MBunk_act!V3*1000)</f>
        <v>0</v>
      </c>
      <c r="W23" s="62">
        <f>IF(W3=0,0,W3/MBunk_act!W3*1000)</f>
        <v>0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0</v>
      </c>
      <c r="J24" s="63">
        <f>IF(J4=0,0,J4/MBunk_act!J4*1000)</f>
        <v>0</v>
      </c>
      <c r="K24" s="63">
        <f>IF(K4=0,0,K4/MBunk_act!K4*1000)</f>
        <v>0</v>
      </c>
      <c r="L24" s="63">
        <f>IF(L4=0,0,L4/MBunk_act!L4*1000)</f>
        <v>0</v>
      </c>
      <c r="M24" s="63">
        <f>IF(M4=0,0,M4/MBunk_act!M4*1000)</f>
        <v>0</v>
      </c>
      <c r="N24" s="63">
        <f>IF(N4=0,0,N4/MBunk_act!N4*1000)</f>
        <v>0</v>
      </c>
      <c r="O24" s="63">
        <f>IF(O4=0,0,O4/MBunk_act!O4*1000)</f>
        <v>0</v>
      </c>
      <c r="P24" s="63">
        <f>IF(P4=0,0,P4/MBunk_act!P4*1000)</f>
        <v>0</v>
      </c>
      <c r="Q24" s="63">
        <f>IF(Q4=0,0,Q4/MBunk_act!Q4*1000)</f>
        <v>0</v>
      </c>
      <c r="R24" s="63">
        <f>IF(R4=0,0,R4/MBunk_act!R4*1000)</f>
        <v>0</v>
      </c>
      <c r="S24" s="63">
        <f>IF(S4=0,0,S4/MBunk_act!S4*1000)</f>
        <v>0</v>
      </c>
      <c r="T24" s="63">
        <f>IF(T4=0,0,T4/MBunk_act!T4*1000)</f>
        <v>0</v>
      </c>
      <c r="U24" s="63">
        <f>IF(U4=0,0,U4/MBunk_act!U4*1000)</f>
        <v>0</v>
      </c>
      <c r="V24" s="63">
        <f>IF(V4=0,0,V4/MBunk_act!V4*1000)</f>
        <v>0</v>
      </c>
      <c r="W24" s="63">
        <f>IF(W4=0,0,W4/MBunk_act!W4*1000)</f>
        <v>0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</v>
      </c>
      <c r="J25" s="64">
        <f>IF(J10=0,0,J10/MBunk_act!J5*1000)</f>
        <v>0</v>
      </c>
      <c r="K25" s="64">
        <f>IF(K10=0,0,K10/MBunk_act!K5*1000)</f>
        <v>0</v>
      </c>
      <c r="L25" s="64">
        <f>IF(L10=0,0,L10/MBunk_act!L5*1000)</f>
        <v>0</v>
      </c>
      <c r="M25" s="64">
        <f>IF(M10=0,0,M10/MBunk_act!M5*1000)</f>
        <v>0</v>
      </c>
      <c r="N25" s="64">
        <f>IF(N10=0,0,N10/MBunk_act!N5*1000)</f>
        <v>0</v>
      </c>
      <c r="O25" s="64">
        <f>IF(O10=0,0,O10/MBunk_act!O5*1000)</f>
        <v>0</v>
      </c>
      <c r="P25" s="64">
        <f>IF(P10=0,0,P10/MBunk_act!P5*1000)</f>
        <v>0</v>
      </c>
      <c r="Q25" s="64">
        <f>IF(Q10=0,0,Q10/MBunk_act!Q5*1000)</f>
        <v>0</v>
      </c>
      <c r="R25" s="64">
        <f>IF(R10=0,0,R10/MBunk_act!R5*1000)</f>
        <v>0</v>
      </c>
      <c r="S25" s="64">
        <f>IF(S10=0,0,S10/MBunk_act!S5*1000)</f>
        <v>0</v>
      </c>
      <c r="T25" s="64">
        <f>IF(T10=0,0,T10/MBunk_act!T5*1000)</f>
        <v>0</v>
      </c>
      <c r="U25" s="64">
        <f>IF(U10=0,0,U10/MBunk_act!U5*1000)</f>
        <v>0</v>
      </c>
      <c r="V25" s="64">
        <f>IF(V10=0,0,V10/MBunk_act!V5*1000)</f>
        <v>0</v>
      </c>
      <c r="W25" s="64">
        <f>IF(W10=0,0,W10/MBunk_act!W5*1000)</f>
        <v>0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3">IF(C3=0,0,C3/C$3)</f>
        <v>0</v>
      </c>
      <c r="D27" s="76">
        <f t="shared" si="3"/>
        <v>0</v>
      </c>
      <c r="E27" s="76">
        <f t="shared" si="3"/>
        <v>0</v>
      </c>
      <c r="F27" s="76">
        <f t="shared" si="3"/>
        <v>0</v>
      </c>
      <c r="G27" s="76">
        <f t="shared" si="3"/>
        <v>0</v>
      </c>
      <c r="H27" s="76">
        <f t="shared" si="3"/>
        <v>0</v>
      </c>
      <c r="I27" s="76">
        <f t="shared" si="3"/>
        <v>0</v>
      </c>
      <c r="J27" s="76">
        <f t="shared" si="3"/>
        <v>0</v>
      </c>
      <c r="K27" s="76">
        <f t="shared" si="3"/>
        <v>0</v>
      </c>
      <c r="L27" s="76">
        <f t="shared" si="3"/>
        <v>0</v>
      </c>
      <c r="M27" s="76">
        <f t="shared" si="3"/>
        <v>0</v>
      </c>
      <c r="N27" s="76">
        <f t="shared" si="3"/>
        <v>0</v>
      </c>
      <c r="O27" s="76">
        <f t="shared" si="3"/>
        <v>0</v>
      </c>
      <c r="P27" s="76">
        <f t="shared" si="3"/>
        <v>0</v>
      </c>
      <c r="Q27" s="76">
        <f t="shared" si="3"/>
        <v>0</v>
      </c>
      <c r="R27" s="76">
        <f t="shared" si="3"/>
        <v>0</v>
      </c>
      <c r="S27" s="76">
        <f t="shared" si="3"/>
        <v>0</v>
      </c>
      <c r="T27" s="76">
        <f t="shared" si="3"/>
        <v>0</v>
      </c>
      <c r="U27" s="76">
        <f t="shared" si="3"/>
        <v>0</v>
      </c>
      <c r="V27" s="76">
        <f t="shared" si="3"/>
        <v>0</v>
      </c>
      <c r="W27" s="76">
        <f t="shared" si="3"/>
        <v>0</v>
      </c>
      <c r="DA27" s="183"/>
    </row>
    <row r="28" spans="1:105" ht="11.45" customHeight="1" x14ac:dyDescent="0.25">
      <c r="A28" s="55" t="s">
        <v>170</v>
      </c>
      <c r="B28" s="77">
        <f>IF(B4=0,0,B4/B$3)</f>
        <v>0</v>
      </c>
      <c r="C28" s="77">
        <f t="shared" si="3"/>
        <v>0</v>
      </c>
      <c r="D28" s="77">
        <f t="shared" si="3"/>
        <v>0</v>
      </c>
      <c r="E28" s="77">
        <f t="shared" si="3"/>
        <v>0</v>
      </c>
      <c r="F28" s="77">
        <f t="shared" si="3"/>
        <v>0</v>
      </c>
      <c r="G28" s="77">
        <f t="shared" si="3"/>
        <v>0</v>
      </c>
      <c r="H28" s="77">
        <f t="shared" si="3"/>
        <v>0</v>
      </c>
      <c r="I28" s="77">
        <f t="shared" si="3"/>
        <v>0</v>
      </c>
      <c r="J28" s="77">
        <f t="shared" si="3"/>
        <v>0</v>
      </c>
      <c r="K28" s="77">
        <f t="shared" si="3"/>
        <v>0</v>
      </c>
      <c r="L28" s="77">
        <f t="shared" si="3"/>
        <v>0</v>
      </c>
      <c r="M28" s="77">
        <f t="shared" si="3"/>
        <v>0</v>
      </c>
      <c r="N28" s="77">
        <f t="shared" si="3"/>
        <v>0</v>
      </c>
      <c r="O28" s="77">
        <f t="shared" si="3"/>
        <v>0</v>
      </c>
      <c r="P28" s="77">
        <f t="shared" si="3"/>
        <v>0</v>
      </c>
      <c r="Q28" s="77">
        <f t="shared" si="3"/>
        <v>0</v>
      </c>
      <c r="R28" s="77">
        <f t="shared" si="3"/>
        <v>0</v>
      </c>
      <c r="S28" s="77">
        <f t="shared" si="3"/>
        <v>0</v>
      </c>
      <c r="T28" s="77">
        <f t="shared" si="3"/>
        <v>0</v>
      </c>
      <c r="U28" s="77">
        <f t="shared" si="3"/>
        <v>0</v>
      </c>
      <c r="V28" s="77">
        <f t="shared" si="3"/>
        <v>0</v>
      </c>
      <c r="W28" s="77">
        <f t="shared" si="3"/>
        <v>0</v>
      </c>
      <c r="DA28" s="184"/>
    </row>
    <row r="29" spans="1:105" ht="11.45" customHeight="1" x14ac:dyDescent="0.25">
      <c r="A29" s="57" t="s">
        <v>171</v>
      </c>
      <c r="B29" s="78">
        <f>IF(B10=0,0,B10/B$3)</f>
        <v>0</v>
      </c>
      <c r="C29" s="78">
        <f t="shared" ref="C29:W29" si="4">IF(C10=0,0,C10/C$3)</f>
        <v>0</v>
      </c>
      <c r="D29" s="78">
        <f t="shared" si="4"/>
        <v>0</v>
      </c>
      <c r="E29" s="78">
        <f t="shared" si="4"/>
        <v>0</v>
      </c>
      <c r="F29" s="78">
        <f t="shared" si="4"/>
        <v>0</v>
      </c>
      <c r="G29" s="78">
        <f t="shared" si="4"/>
        <v>0</v>
      </c>
      <c r="H29" s="78">
        <f t="shared" si="4"/>
        <v>0</v>
      </c>
      <c r="I29" s="78">
        <f t="shared" si="4"/>
        <v>0</v>
      </c>
      <c r="J29" s="78">
        <f t="shared" si="4"/>
        <v>0</v>
      </c>
      <c r="K29" s="78">
        <f t="shared" si="4"/>
        <v>0</v>
      </c>
      <c r="L29" s="78">
        <f t="shared" si="4"/>
        <v>0</v>
      </c>
      <c r="M29" s="78">
        <f t="shared" si="4"/>
        <v>0</v>
      </c>
      <c r="N29" s="78">
        <f t="shared" si="4"/>
        <v>0</v>
      </c>
      <c r="O29" s="78">
        <f t="shared" si="4"/>
        <v>0</v>
      </c>
      <c r="P29" s="78">
        <f t="shared" si="4"/>
        <v>0</v>
      </c>
      <c r="Q29" s="78">
        <f t="shared" si="4"/>
        <v>0</v>
      </c>
      <c r="R29" s="78">
        <f t="shared" si="4"/>
        <v>0</v>
      </c>
      <c r="S29" s="78">
        <f t="shared" si="4"/>
        <v>0</v>
      </c>
      <c r="T29" s="78">
        <f t="shared" si="4"/>
        <v>0</v>
      </c>
      <c r="U29" s="78">
        <f t="shared" si="4"/>
        <v>0</v>
      </c>
      <c r="V29" s="78">
        <f t="shared" si="4"/>
        <v>0</v>
      </c>
      <c r="W29" s="78">
        <f t="shared" si="4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0</v>
      </c>
      <c r="J3" s="62">
        <f t="shared" si="1"/>
        <v>0</v>
      </c>
      <c r="K3" s="62">
        <f t="shared" si="1"/>
        <v>0</v>
      </c>
      <c r="L3" s="62">
        <f t="shared" si="1"/>
        <v>0</v>
      </c>
      <c r="M3" s="62">
        <f t="shared" si="1"/>
        <v>0</v>
      </c>
      <c r="N3" s="62">
        <f t="shared" si="1"/>
        <v>0</v>
      </c>
      <c r="O3" s="62">
        <f t="shared" si="1"/>
        <v>0</v>
      </c>
      <c r="P3" s="62">
        <f t="shared" si="1"/>
        <v>0</v>
      </c>
      <c r="Q3" s="62">
        <f t="shared" si="1"/>
        <v>0</v>
      </c>
      <c r="R3" s="62">
        <f t="shared" si="1"/>
        <v>0</v>
      </c>
      <c r="S3" s="62">
        <f t="shared" si="1"/>
        <v>0</v>
      </c>
      <c r="T3" s="62">
        <f t="shared" si="1"/>
        <v>0</v>
      </c>
      <c r="U3" s="62">
        <f t="shared" si="1"/>
        <v>0</v>
      </c>
      <c r="V3" s="62">
        <f t="shared" si="1"/>
        <v>0</v>
      </c>
      <c r="W3" s="62">
        <f t="shared" si="1"/>
        <v>0</v>
      </c>
      <c r="DA3" s="172" t="s">
        <v>985</v>
      </c>
    </row>
    <row r="4" spans="1:105" ht="11.45" customHeight="1" x14ac:dyDescent="0.25">
      <c r="A4" s="55" t="s">
        <v>170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DA4" s="181" t="s">
        <v>986</v>
      </c>
    </row>
    <row r="5" spans="1:105" ht="11.45" customHeight="1" x14ac:dyDescent="0.25">
      <c r="A5" s="57" t="s">
        <v>171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0</v>
      </c>
      <c r="J9" s="79">
        <f>IF(J3=0,0,J3/MBunk_ene!J3)</f>
        <v>0</v>
      </c>
      <c r="K9" s="79">
        <f>IF(K3=0,0,K3/MBunk_ene!K3)</f>
        <v>0</v>
      </c>
      <c r="L9" s="79">
        <f>IF(L3=0,0,L3/MBunk_ene!L3)</f>
        <v>0</v>
      </c>
      <c r="M9" s="79">
        <f>IF(M3=0,0,M3/MBunk_ene!M3)</f>
        <v>0</v>
      </c>
      <c r="N9" s="79">
        <f>IF(N3=0,0,N3/MBunk_ene!N3)</f>
        <v>0</v>
      </c>
      <c r="O9" s="79">
        <f>IF(O3=0,0,O3/MBunk_ene!O3)</f>
        <v>0</v>
      </c>
      <c r="P9" s="79">
        <f>IF(P3=0,0,P3/MBunk_ene!P3)</f>
        <v>0</v>
      </c>
      <c r="Q9" s="79">
        <f>IF(Q3=0,0,Q3/MBunk_ene!Q3)</f>
        <v>0</v>
      </c>
      <c r="R9" s="79">
        <f>IF(R3=0,0,R3/MBunk_ene!R3)</f>
        <v>0</v>
      </c>
      <c r="S9" s="79">
        <f>IF(S3=0,0,S3/MBunk_ene!S3)</f>
        <v>0</v>
      </c>
      <c r="T9" s="79">
        <f>IF(T3=0,0,T3/MBunk_ene!T3)</f>
        <v>0</v>
      </c>
      <c r="U9" s="79">
        <f>IF(U3=0,0,U3/MBunk_ene!U3)</f>
        <v>0</v>
      </c>
      <c r="V9" s="79">
        <f>IF(V3=0,0,V3/MBunk_ene!V3)</f>
        <v>0</v>
      </c>
      <c r="W9" s="79">
        <f>IF(W3=0,0,W3/MBunk_ene!W3)</f>
        <v>0</v>
      </c>
      <c r="DA9" s="172"/>
    </row>
    <row r="10" spans="1:105" ht="11.45" customHeight="1" x14ac:dyDescent="0.25">
      <c r="A10" s="55" t="s">
        <v>170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0</v>
      </c>
      <c r="J10" s="80">
        <f>IF(J4=0,0,J4/MBunk_ene!J4)</f>
        <v>0</v>
      </c>
      <c r="K10" s="80">
        <f>IF(K4=0,0,K4/MBunk_ene!K4)</f>
        <v>0</v>
      </c>
      <c r="L10" s="80">
        <f>IF(L4=0,0,L4/MBunk_ene!L4)</f>
        <v>0</v>
      </c>
      <c r="M10" s="80">
        <f>IF(M4=0,0,M4/MBunk_ene!M4)</f>
        <v>0</v>
      </c>
      <c r="N10" s="80">
        <f>IF(N4=0,0,N4/MBunk_ene!N4)</f>
        <v>0</v>
      </c>
      <c r="O10" s="80">
        <f>IF(O4=0,0,O4/MBunk_ene!O4)</f>
        <v>0</v>
      </c>
      <c r="P10" s="80">
        <f>IF(P4=0,0,P4/MBunk_ene!P4)</f>
        <v>0</v>
      </c>
      <c r="Q10" s="80">
        <f>IF(Q4=0,0,Q4/MBunk_ene!Q4)</f>
        <v>0</v>
      </c>
      <c r="R10" s="80">
        <f>IF(R4=0,0,R4/MBunk_ene!R4)</f>
        <v>0</v>
      </c>
      <c r="S10" s="80">
        <f>IF(S4=0,0,S4/MBunk_ene!S4)</f>
        <v>0</v>
      </c>
      <c r="T10" s="80">
        <f>IF(T4=0,0,T4/MBunk_ene!T4)</f>
        <v>0</v>
      </c>
      <c r="U10" s="80">
        <f>IF(U4=0,0,U4/MBunk_ene!U4)</f>
        <v>0</v>
      </c>
      <c r="V10" s="80">
        <f>IF(V4=0,0,V4/MBunk_ene!V4)</f>
        <v>0</v>
      </c>
      <c r="W10" s="80">
        <f>IF(W4=0,0,W4/MBunk_ene!W4)</f>
        <v>0</v>
      </c>
      <c r="DA10" s="181"/>
    </row>
    <row r="11" spans="1:105" ht="11.45" customHeight="1" x14ac:dyDescent="0.25">
      <c r="A11" s="57" t="s">
        <v>171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0</v>
      </c>
      <c r="J11" s="81">
        <f>IF(J5=0,0,J5/MBunk_ene!J10)</f>
        <v>0</v>
      </c>
      <c r="K11" s="81">
        <f>IF(K5=0,0,K5/MBunk_ene!K10)</f>
        <v>0</v>
      </c>
      <c r="L11" s="81">
        <f>IF(L5=0,0,L5/MBunk_ene!L10)</f>
        <v>0</v>
      </c>
      <c r="M11" s="81">
        <f>IF(M5=0,0,M5/MBunk_ene!M10)</f>
        <v>0</v>
      </c>
      <c r="N11" s="81">
        <f>IF(N5=0,0,N5/MBunk_ene!N10)</f>
        <v>0</v>
      </c>
      <c r="O11" s="81">
        <f>IF(O5=0,0,O5/MBunk_ene!O10)</f>
        <v>0</v>
      </c>
      <c r="P11" s="81">
        <f>IF(P5=0,0,P5/MBunk_ene!P10)</f>
        <v>0</v>
      </c>
      <c r="Q11" s="81">
        <f>IF(Q5=0,0,Q5/MBunk_ene!Q10)</f>
        <v>0</v>
      </c>
      <c r="R11" s="81">
        <f>IF(R5=0,0,R5/MBunk_ene!R10)</f>
        <v>0</v>
      </c>
      <c r="S11" s="81">
        <f>IF(S5=0,0,S5/MBunk_ene!S10)</f>
        <v>0</v>
      </c>
      <c r="T11" s="81">
        <f>IF(T5=0,0,T5/MBunk_ene!T10)</f>
        <v>0</v>
      </c>
      <c r="U11" s="81">
        <f>IF(U5=0,0,U5/MBunk_ene!U10)</f>
        <v>0</v>
      </c>
      <c r="V11" s="81">
        <f>IF(V5=0,0,V5/MBunk_ene!V10)</f>
        <v>0</v>
      </c>
      <c r="W11" s="81">
        <f>IF(W5=0,0,W5/MBunk_ene!W10)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0</v>
      </c>
      <c r="J13" s="62">
        <f>IF(J3=0,0,J3/MBunk_act!J7*100)</f>
        <v>0</v>
      </c>
      <c r="K13" s="62">
        <f>IF(K3=0,0,K3/MBunk_act!K7*100)</f>
        <v>0</v>
      </c>
      <c r="L13" s="62">
        <f>IF(L3=0,0,L3/MBunk_act!L7*100)</f>
        <v>0</v>
      </c>
      <c r="M13" s="62">
        <f>IF(M3=0,0,M3/MBunk_act!M7*100)</f>
        <v>0</v>
      </c>
      <c r="N13" s="62">
        <f>IF(N3=0,0,N3/MBunk_act!N7*100)</f>
        <v>0</v>
      </c>
      <c r="O13" s="62">
        <f>IF(O3=0,0,O3/MBunk_act!O7*100)</f>
        <v>0</v>
      </c>
      <c r="P13" s="62">
        <f>IF(P3=0,0,P3/MBunk_act!P7*100)</f>
        <v>0</v>
      </c>
      <c r="Q13" s="62">
        <f>IF(Q3=0,0,Q3/MBunk_act!Q7*100)</f>
        <v>0</v>
      </c>
      <c r="R13" s="62">
        <f>IF(R3=0,0,R3/MBunk_act!R7*100)</f>
        <v>0</v>
      </c>
      <c r="S13" s="62">
        <f>IF(S3=0,0,S3/MBunk_act!S7*100)</f>
        <v>0</v>
      </c>
      <c r="T13" s="62">
        <f>IF(T3=0,0,T3/MBunk_act!T7*100)</f>
        <v>0</v>
      </c>
      <c r="U13" s="62">
        <f>IF(U3=0,0,U3/MBunk_act!U7*100)</f>
        <v>0</v>
      </c>
      <c r="V13" s="62">
        <f>IF(V3=0,0,V3/MBunk_act!V7*100)</f>
        <v>0</v>
      </c>
      <c r="W13" s="62">
        <f>IF(W3=0,0,W3/MBunk_act!W7*100)</f>
        <v>0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0</v>
      </c>
      <c r="J14" s="63">
        <f>IF(J4=0,0,J4/MBunk_act!J8*100)</f>
        <v>0</v>
      </c>
      <c r="K14" s="63">
        <f>IF(K4=0,0,K4/MBunk_act!K8*100)</f>
        <v>0</v>
      </c>
      <c r="L14" s="63">
        <f>IF(L4=0,0,L4/MBunk_act!L8*100)</f>
        <v>0</v>
      </c>
      <c r="M14" s="63">
        <f>IF(M4=0,0,M4/MBunk_act!M8*100)</f>
        <v>0</v>
      </c>
      <c r="N14" s="63">
        <f>IF(N4=0,0,N4/MBunk_act!N8*100)</f>
        <v>0</v>
      </c>
      <c r="O14" s="63">
        <f>IF(O4=0,0,O4/MBunk_act!O8*100)</f>
        <v>0</v>
      </c>
      <c r="P14" s="63">
        <f>IF(P4=0,0,P4/MBunk_act!P8*100)</f>
        <v>0</v>
      </c>
      <c r="Q14" s="63">
        <f>IF(Q4=0,0,Q4/MBunk_act!Q8*100)</f>
        <v>0</v>
      </c>
      <c r="R14" s="63">
        <f>IF(R4=0,0,R4/MBunk_act!R8*100)</f>
        <v>0</v>
      </c>
      <c r="S14" s="63">
        <f>IF(S4=0,0,S4/MBunk_act!S8*100)</f>
        <v>0</v>
      </c>
      <c r="T14" s="63">
        <f>IF(T4=0,0,T4/MBunk_act!T8*100)</f>
        <v>0</v>
      </c>
      <c r="U14" s="63">
        <f>IF(U4=0,0,U4/MBunk_act!U8*100)</f>
        <v>0</v>
      </c>
      <c r="V14" s="63">
        <f>IF(V4=0,0,V4/MBunk_act!V8*100)</f>
        <v>0</v>
      </c>
      <c r="W14" s="63">
        <f>IF(W4=0,0,W4/MBunk_act!W8*100)</f>
        <v>0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0</v>
      </c>
      <c r="J15" s="64">
        <f>IF(J5=0,0,J5/MBunk_act!J9*100)</f>
        <v>0</v>
      </c>
      <c r="K15" s="64">
        <f>IF(K5=0,0,K5/MBunk_act!K9*100)</f>
        <v>0</v>
      </c>
      <c r="L15" s="64">
        <f>IF(L5=0,0,L5/MBunk_act!L9*100)</f>
        <v>0</v>
      </c>
      <c r="M15" s="64">
        <f>IF(M5=0,0,M5/MBunk_act!M9*100)</f>
        <v>0</v>
      </c>
      <c r="N15" s="64">
        <f>IF(N5=0,0,N5/MBunk_act!N9*100)</f>
        <v>0</v>
      </c>
      <c r="O15" s="64">
        <f>IF(O5=0,0,O5/MBunk_act!O9*100)</f>
        <v>0</v>
      </c>
      <c r="P15" s="64">
        <f>IF(P5=0,0,P5/MBunk_act!P9*100)</f>
        <v>0</v>
      </c>
      <c r="Q15" s="64">
        <f>IF(Q5=0,0,Q5/MBunk_act!Q9*100)</f>
        <v>0</v>
      </c>
      <c r="R15" s="64">
        <f>IF(R5=0,0,R5/MBunk_act!R9*100)</f>
        <v>0</v>
      </c>
      <c r="S15" s="64">
        <f>IF(S5=0,0,S5/MBunk_act!S9*100)</f>
        <v>0</v>
      </c>
      <c r="T15" s="64">
        <f>IF(T5=0,0,T5/MBunk_act!T9*100)</f>
        <v>0</v>
      </c>
      <c r="U15" s="64">
        <f>IF(U5=0,0,U5/MBunk_act!U9*100)</f>
        <v>0</v>
      </c>
      <c r="V15" s="64">
        <f>IF(V5=0,0,V5/MBunk_act!V9*100)</f>
        <v>0</v>
      </c>
      <c r="W15" s="64">
        <f>IF(W5=0,0,W5/MBunk_act!W9*100)</f>
        <v>0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0</v>
      </c>
      <c r="J17" s="62">
        <f>IF(J3=0,0,J3/MBunk_act!J3*1000)</f>
        <v>0</v>
      </c>
      <c r="K17" s="62">
        <f>IF(K3=0,0,K3/MBunk_act!K3*1000)</f>
        <v>0</v>
      </c>
      <c r="L17" s="62">
        <f>IF(L3=0,0,L3/MBunk_act!L3*1000)</f>
        <v>0</v>
      </c>
      <c r="M17" s="62">
        <f>IF(M3=0,0,M3/MBunk_act!M3*1000)</f>
        <v>0</v>
      </c>
      <c r="N17" s="62">
        <f>IF(N3=0,0,N3/MBunk_act!N3*1000)</f>
        <v>0</v>
      </c>
      <c r="O17" s="62">
        <f>IF(O3=0,0,O3/MBunk_act!O3*1000)</f>
        <v>0</v>
      </c>
      <c r="P17" s="62">
        <f>IF(P3=0,0,P3/MBunk_act!P3*1000)</f>
        <v>0</v>
      </c>
      <c r="Q17" s="62">
        <f>IF(Q3=0,0,Q3/MBunk_act!Q3*1000)</f>
        <v>0</v>
      </c>
      <c r="R17" s="62">
        <f>IF(R3=0,0,R3/MBunk_act!R3*1000)</f>
        <v>0</v>
      </c>
      <c r="S17" s="62">
        <f>IF(S3=0,0,S3/MBunk_act!S3*1000)</f>
        <v>0</v>
      </c>
      <c r="T17" s="62">
        <f>IF(T3=0,0,T3/MBunk_act!T3*1000)</f>
        <v>0</v>
      </c>
      <c r="U17" s="62">
        <f>IF(U3=0,0,U3/MBunk_act!U3*1000)</f>
        <v>0</v>
      </c>
      <c r="V17" s="62">
        <f>IF(V3=0,0,V3/MBunk_act!V3*1000)</f>
        <v>0</v>
      </c>
      <c r="W17" s="62">
        <f>IF(W3=0,0,W3/MBunk_act!W3*1000)</f>
        <v>0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0</v>
      </c>
      <c r="J18" s="63">
        <f>IF(J4=0,0,J4/MBunk_act!J4*1000)</f>
        <v>0</v>
      </c>
      <c r="K18" s="63">
        <f>IF(K4=0,0,K4/MBunk_act!K4*1000)</f>
        <v>0</v>
      </c>
      <c r="L18" s="63">
        <f>IF(L4=0,0,L4/MBunk_act!L4*1000)</f>
        <v>0</v>
      </c>
      <c r="M18" s="63">
        <f>IF(M4=0,0,M4/MBunk_act!M4*1000)</f>
        <v>0</v>
      </c>
      <c r="N18" s="63">
        <f>IF(N4=0,0,N4/MBunk_act!N4*1000)</f>
        <v>0</v>
      </c>
      <c r="O18" s="63">
        <f>IF(O4=0,0,O4/MBunk_act!O4*1000)</f>
        <v>0</v>
      </c>
      <c r="P18" s="63">
        <f>IF(P4=0,0,P4/MBunk_act!P4*1000)</f>
        <v>0</v>
      </c>
      <c r="Q18" s="63">
        <f>IF(Q4=0,0,Q4/MBunk_act!Q4*1000)</f>
        <v>0</v>
      </c>
      <c r="R18" s="63">
        <f>IF(R4=0,0,R4/MBunk_act!R4*1000)</f>
        <v>0</v>
      </c>
      <c r="S18" s="63">
        <f>IF(S4=0,0,S4/MBunk_act!S4*1000)</f>
        <v>0</v>
      </c>
      <c r="T18" s="63">
        <f>IF(T4=0,0,T4/MBunk_act!T4*1000)</f>
        <v>0</v>
      </c>
      <c r="U18" s="63">
        <f>IF(U4=0,0,U4/MBunk_act!U4*1000)</f>
        <v>0</v>
      </c>
      <c r="V18" s="63">
        <f>IF(V4=0,0,V4/MBunk_act!V4*1000)</f>
        <v>0</v>
      </c>
      <c r="W18" s="63">
        <f>IF(W4=0,0,W4/MBunk_act!W4*1000)</f>
        <v>0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</v>
      </c>
      <c r="J19" s="64">
        <f>IF(J5=0,0,J5/MBunk_act!J5*1000)</f>
        <v>0</v>
      </c>
      <c r="K19" s="64">
        <f>IF(K5=0,0,K5/MBunk_act!K5*1000)</f>
        <v>0</v>
      </c>
      <c r="L19" s="64">
        <f>IF(L5=0,0,L5/MBunk_act!L5*1000)</f>
        <v>0</v>
      </c>
      <c r="M19" s="64">
        <f>IF(M5=0,0,M5/MBunk_act!M5*1000)</f>
        <v>0</v>
      </c>
      <c r="N19" s="64">
        <f>IF(N5=0,0,N5/MBunk_act!N5*1000)</f>
        <v>0</v>
      </c>
      <c r="O19" s="64">
        <f>IF(O5=0,0,O5/MBunk_act!O5*1000)</f>
        <v>0</v>
      </c>
      <c r="P19" s="64">
        <f>IF(P5=0,0,P5/MBunk_act!P5*1000)</f>
        <v>0</v>
      </c>
      <c r="Q19" s="64">
        <f>IF(Q5=0,0,Q5/MBunk_act!Q5*1000)</f>
        <v>0</v>
      </c>
      <c r="R19" s="64">
        <f>IF(R5=0,0,R5/MBunk_act!R5*1000)</f>
        <v>0</v>
      </c>
      <c r="S19" s="64">
        <f>IF(S5=0,0,S5/MBunk_act!S5*1000)</f>
        <v>0</v>
      </c>
      <c r="T19" s="64">
        <f>IF(T5=0,0,T5/MBunk_act!T5*1000)</f>
        <v>0</v>
      </c>
      <c r="U19" s="64">
        <f>IF(U5=0,0,U5/MBunk_act!U5*1000)</f>
        <v>0</v>
      </c>
      <c r="V19" s="64">
        <f>IF(V5=0,0,V5/MBunk_act!V5*1000)</f>
        <v>0</v>
      </c>
      <c r="W19" s="64">
        <f>IF(W5=0,0,W5/MBunk_act!W5*1000)</f>
        <v>0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0</v>
      </c>
      <c r="C21" s="76">
        <f t="shared" si="2"/>
        <v>0</v>
      </c>
      <c r="D21" s="76">
        <f t="shared" si="2"/>
        <v>0</v>
      </c>
      <c r="E21" s="76">
        <f t="shared" si="2"/>
        <v>0</v>
      </c>
      <c r="F21" s="76">
        <f t="shared" si="2"/>
        <v>0</v>
      </c>
      <c r="G21" s="76">
        <f t="shared" si="2"/>
        <v>0</v>
      </c>
      <c r="H21" s="76">
        <f t="shared" si="2"/>
        <v>0</v>
      </c>
      <c r="I21" s="76">
        <f t="shared" si="2"/>
        <v>0</v>
      </c>
      <c r="J21" s="76">
        <f t="shared" si="2"/>
        <v>0</v>
      </c>
      <c r="K21" s="76">
        <f t="shared" si="2"/>
        <v>0</v>
      </c>
      <c r="L21" s="76">
        <f t="shared" si="2"/>
        <v>0</v>
      </c>
      <c r="M21" s="76">
        <f t="shared" si="2"/>
        <v>0</v>
      </c>
      <c r="N21" s="76">
        <f t="shared" si="2"/>
        <v>0</v>
      </c>
      <c r="O21" s="76">
        <f t="shared" si="2"/>
        <v>0</v>
      </c>
      <c r="P21" s="76">
        <f t="shared" si="2"/>
        <v>0</v>
      </c>
      <c r="Q21" s="76">
        <f t="shared" si="2"/>
        <v>0</v>
      </c>
      <c r="R21" s="76">
        <f t="shared" si="2"/>
        <v>0</v>
      </c>
      <c r="S21" s="76">
        <f t="shared" si="2"/>
        <v>0</v>
      </c>
      <c r="T21" s="76">
        <f t="shared" si="2"/>
        <v>0</v>
      </c>
      <c r="U21" s="76">
        <f t="shared" si="2"/>
        <v>0</v>
      </c>
      <c r="V21" s="76">
        <f t="shared" si="2"/>
        <v>0</v>
      </c>
      <c r="W21" s="76">
        <f t="shared" si="2"/>
        <v>0</v>
      </c>
      <c r="DA21" s="183"/>
    </row>
    <row r="22" spans="1:105" ht="11.45" customHeight="1" x14ac:dyDescent="0.25">
      <c r="A22" s="55" t="s">
        <v>170</v>
      </c>
      <c r="B22" s="77">
        <f t="shared" si="2"/>
        <v>0</v>
      </c>
      <c r="C22" s="77">
        <f t="shared" si="2"/>
        <v>0</v>
      </c>
      <c r="D22" s="77">
        <f t="shared" si="2"/>
        <v>0</v>
      </c>
      <c r="E22" s="77">
        <f t="shared" si="2"/>
        <v>0</v>
      </c>
      <c r="F22" s="77">
        <f t="shared" si="2"/>
        <v>0</v>
      </c>
      <c r="G22" s="77">
        <f t="shared" si="2"/>
        <v>0</v>
      </c>
      <c r="H22" s="77">
        <f t="shared" si="2"/>
        <v>0</v>
      </c>
      <c r="I22" s="77">
        <f t="shared" si="2"/>
        <v>0</v>
      </c>
      <c r="J22" s="77">
        <f t="shared" si="2"/>
        <v>0</v>
      </c>
      <c r="K22" s="77">
        <f t="shared" si="2"/>
        <v>0</v>
      </c>
      <c r="L22" s="77">
        <f t="shared" si="2"/>
        <v>0</v>
      </c>
      <c r="M22" s="77">
        <f t="shared" si="2"/>
        <v>0</v>
      </c>
      <c r="N22" s="77">
        <f t="shared" si="2"/>
        <v>0</v>
      </c>
      <c r="O22" s="77">
        <f t="shared" si="2"/>
        <v>0</v>
      </c>
      <c r="P22" s="77">
        <f t="shared" si="2"/>
        <v>0</v>
      </c>
      <c r="Q22" s="77">
        <f t="shared" si="2"/>
        <v>0</v>
      </c>
      <c r="R22" s="77">
        <f t="shared" si="2"/>
        <v>0</v>
      </c>
      <c r="S22" s="77">
        <f t="shared" si="2"/>
        <v>0</v>
      </c>
      <c r="T22" s="77">
        <f t="shared" si="2"/>
        <v>0</v>
      </c>
      <c r="U22" s="77">
        <f t="shared" si="2"/>
        <v>0</v>
      </c>
      <c r="V22" s="77">
        <f t="shared" si="2"/>
        <v>0</v>
      </c>
      <c r="W22" s="77">
        <f t="shared" si="2"/>
        <v>0</v>
      </c>
      <c r="DA22" s="184"/>
    </row>
    <row r="23" spans="1:105" ht="11.45" customHeight="1" x14ac:dyDescent="0.25">
      <c r="A23" s="57" t="s">
        <v>171</v>
      </c>
      <c r="B23" s="78">
        <f t="shared" si="2"/>
        <v>0</v>
      </c>
      <c r="C23" s="78">
        <f t="shared" si="2"/>
        <v>0</v>
      </c>
      <c r="D23" s="78">
        <f t="shared" si="2"/>
        <v>0</v>
      </c>
      <c r="E23" s="78">
        <f t="shared" si="2"/>
        <v>0</v>
      </c>
      <c r="F23" s="78">
        <f t="shared" si="2"/>
        <v>0</v>
      </c>
      <c r="G23" s="78">
        <f t="shared" si="2"/>
        <v>0</v>
      </c>
      <c r="H23" s="78">
        <f t="shared" si="2"/>
        <v>0</v>
      </c>
      <c r="I23" s="78">
        <f t="shared" si="2"/>
        <v>0</v>
      </c>
      <c r="J23" s="78">
        <f t="shared" si="2"/>
        <v>0</v>
      </c>
      <c r="K23" s="78">
        <f t="shared" si="2"/>
        <v>0</v>
      </c>
      <c r="L23" s="78">
        <f t="shared" si="2"/>
        <v>0</v>
      </c>
      <c r="M23" s="78">
        <f t="shared" si="2"/>
        <v>0</v>
      </c>
      <c r="N23" s="78">
        <f t="shared" si="2"/>
        <v>0</v>
      </c>
      <c r="O23" s="78">
        <f t="shared" si="2"/>
        <v>0</v>
      </c>
      <c r="P23" s="78">
        <f t="shared" si="2"/>
        <v>0</v>
      </c>
      <c r="Q23" s="78">
        <f t="shared" si="2"/>
        <v>0</v>
      </c>
      <c r="R23" s="78">
        <f t="shared" si="2"/>
        <v>0</v>
      </c>
      <c r="S23" s="78">
        <f t="shared" si="2"/>
        <v>0</v>
      </c>
      <c r="T23" s="78">
        <f t="shared" si="2"/>
        <v>0</v>
      </c>
      <c r="U23" s="78">
        <f t="shared" si="2"/>
        <v>0</v>
      </c>
      <c r="V23" s="78">
        <f t="shared" si="2"/>
        <v>0</v>
      </c>
      <c r="W23" s="78">
        <f t="shared" si="2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2024-05-20T16:51:29Z</dcterms:created>
  <dcterms:modified xsi:type="dcterms:W3CDTF">2024-05-20T16:51:29Z</dcterms:modified>
</cp:coreProperties>
</file>