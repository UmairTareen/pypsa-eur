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4" i="1"/>
  <c r="B25" i="1"/>
  <c r="C242" i="3" l="1"/>
  <c r="E3" i="20"/>
  <c r="E22" i="20" s="1"/>
  <c r="C18" i="20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R21" i="18"/>
  <c r="R23" i="18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M24" i="19"/>
  <c r="S10" i="20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M23" i="18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I19" i="18"/>
  <c r="E22" i="18"/>
  <c r="M22" i="18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T22" i="18" l="1"/>
  <c r="U29" i="3"/>
  <c r="U121" i="3" s="1"/>
  <c r="T20" i="19"/>
  <c r="T23" i="18"/>
  <c r="U24" i="19"/>
  <c r="F19" i="18"/>
  <c r="F18" i="18"/>
  <c r="K23" i="18"/>
  <c r="G25" i="19"/>
  <c r="T24" i="19"/>
  <c r="F24" i="19"/>
  <c r="F20" i="19"/>
  <c r="R21" i="19"/>
  <c r="G24" i="19"/>
  <c r="U18" i="18"/>
  <c r="G23" i="20"/>
  <c r="L23" i="18"/>
  <c r="E13" i="18"/>
  <c r="S23" i="18"/>
  <c r="W3" i="19"/>
  <c r="W28" i="19" s="1"/>
  <c r="L20" i="19"/>
  <c r="R242" i="3"/>
  <c r="M23" i="20"/>
  <c r="W17" i="20"/>
  <c r="P24" i="19"/>
  <c r="Q10" i="20"/>
  <c r="L10" i="20"/>
  <c r="L21" i="20"/>
  <c r="E21" i="20"/>
  <c r="E13" i="20"/>
  <c r="F89" i="3"/>
  <c r="F181" i="3" s="1"/>
  <c r="M22" i="20"/>
  <c r="J21" i="19"/>
  <c r="O11" i="20"/>
  <c r="W10" i="20"/>
  <c r="Q11" i="20"/>
  <c r="W24" i="19"/>
  <c r="K20" i="19"/>
  <c r="N24" i="19"/>
  <c r="Q25" i="19"/>
  <c r="J11" i="20"/>
  <c r="H25" i="19"/>
  <c r="H3" i="19"/>
  <c r="H29" i="19" s="1"/>
  <c r="H20" i="19"/>
  <c r="O21" i="19"/>
  <c r="Q24" i="19"/>
  <c r="R25" i="19"/>
  <c r="N20" i="19"/>
  <c r="Q21" i="19"/>
  <c r="U19" i="18"/>
  <c r="N23" i="18"/>
  <c r="S22" i="18"/>
  <c r="R212" i="3"/>
  <c r="I22" i="18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U122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19" i="19" l="1"/>
  <c r="M19" i="19"/>
  <c r="N123" i="3"/>
  <c r="W27" i="19"/>
  <c r="M29" i="19"/>
  <c r="M9" i="20"/>
  <c r="N29" i="19"/>
  <c r="M23" i="19"/>
  <c r="W23" i="19"/>
  <c r="W9" i="20"/>
  <c r="F182" i="3"/>
  <c r="N122" i="3"/>
  <c r="G28" i="19"/>
  <c r="P9" i="20"/>
  <c r="U182" i="3"/>
  <c r="F183" i="3"/>
  <c r="K183" i="3"/>
  <c r="Q9" i="20"/>
  <c r="F151" i="3"/>
  <c r="H28" i="19"/>
  <c r="H27" i="19"/>
  <c r="E28" i="19"/>
  <c r="F153" i="3"/>
  <c r="H9" i="20"/>
  <c r="Q23" i="19"/>
  <c r="D123" i="3"/>
  <c r="Q241" i="3"/>
  <c r="Q123" i="3"/>
  <c r="P27" i="19"/>
  <c r="E23" i="19"/>
  <c r="F241" i="3"/>
  <c r="E27" i="19"/>
  <c r="T241" i="3"/>
  <c r="N9" i="20"/>
  <c r="T123" i="3"/>
  <c r="L121" i="3"/>
  <c r="P121" i="3"/>
  <c r="P122" i="3"/>
  <c r="N19" i="19"/>
  <c r="G27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I15" i="17" l="1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I100" i="4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R60" i="7" s="1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75" i="7" l="1"/>
  <c r="N84" i="4"/>
  <c r="Q75" i="7"/>
  <c r="R75" i="7"/>
  <c r="R59" i="7" s="1"/>
  <c r="I60" i="7"/>
  <c r="W52" i="12"/>
  <c r="V75" i="7"/>
  <c r="V59" i="7" s="1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0" i="4" s="1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93" i="6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6" i="7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8" i="5" s="1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219" i="7" s="1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77" i="6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99" i="6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73" i="4"/>
  <c r="U73" i="4"/>
  <c r="J127" i="4"/>
  <c r="J46" i="7" s="1"/>
  <c r="J47" i="7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64" i="6"/>
  <c r="Q70" i="5"/>
  <c r="V46" i="4"/>
  <c r="N71" i="6"/>
  <c r="N265" i="4"/>
  <c r="N77" i="5"/>
  <c r="T184" i="4"/>
  <c r="O77" i="6"/>
  <c r="O83" i="5"/>
  <c r="H58" i="4"/>
  <c r="I58" i="4"/>
  <c r="I4" i="7" s="1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S112" i="4" l="1"/>
  <c r="S105" i="5"/>
  <c r="M203" i="4"/>
  <c r="R111" i="5"/>
  <c r="D206" i="4"/>
  <c r="J18" i="6"/>
  <c r="Q117" i="5"/>
  <c r="B219" i="7"/>
  <c r="R218" i="4"/>
  <c r="G112" i="4"/>
  <c r="Q125" i="7"/>
  <c r="I199" i="4"/>
  <c r="R47" i="7"/>
  <c r="B190" i="4"/>
  <c r="M64" i="6"/>
  <c r="M206" i="7" s="1"/>
  <c r="T118" i="6"/>
  <c r="O271" i="4"/>
  <c r="Q206" i="7"/>
  <c r="T206" i="7"/>
  <c r="R177" i="4"/>
  <c r="B77" i="5"/>
  <c r="B207" i="4"/>
  <c r="M200" i="4"/>
  <c r="T177" i="4"/>
  <c r="B59" i="7"/>
  <c r="B71" i="6"/>
  <c r="B213" i="7" s="1"/>
  <c r="O206" i="7"/>
  <c r="O125" i="7"/>
  <c r="B73" i="4"/>
  <c r="B19" i="7" s="1"/>
  <c r="D99" i="5"/>
  <c r="R13" i="7"/>
  <c r="R58" i="4"/>
  <c r="B184" i="4"/>
  <c r="I59" i="7"/>
  <c r="B63" i="5"/>
  <c r="U132" i="7"/>
  <c r="U59" i="7"/>
  <c r="U118" i="7"/>
  <c r="B132" i="7"/>
  <c r="U125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150" i="4" s="1"/>
  <c r="H206" i="7"/>
  <c r="J18" i="5"/>
  <c r="J61" i="5" s="1"/>
  <c r="F77" i="5"/>
  <c r="F132" i="7" s="1"/>
  <c r="S6" i="4"/>
  <c r="S4" i="4" s="1"/>
  <c r="S223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1" i="6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204" i="4"/>
  <c r="J91" i="6"/>
  <c r="T31" i="7"/>
  <c r="P20" i="4"/>
  <c r="P157" i="4" s="1"/>
  <c r="P215" i="4"/>
  <c r="P102" i="6"/>
  <c r="P108" i="5"/>
  <c r="S143" i="4"/>
  <c r="S197" i="4"/>
  <c r="O4" i="7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73" i="4"/>
  <c r="E269" i="4"/>
  <c r="E270" i="4"/>
  <c r="E264" i="4"/>
  <c r="C258" i="4"/>
  <c r="F111" i="4"/>
  <c r="F30" i="7" s="1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204" i="4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204" i="4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B17" i="5" l="1"/>
  <c r="B144" i="5" s="1"/>
  <c r="I90" i="5"/>
  <c r="E272" i="4"/>
  <c r="O57" i="4"/>
  <c r="O3" i="7" s="1"/>
  <c r="O4" i="4"/>
  <c r="O232" i="4" s="1"/>
  <c r="M76" i="5"/>
  <c r="E267" i="4"/>
  <c r="R97" i="5"/>
  <c r="S90" i="5"/>
  <c r="H251" i="4"/>
  <c r="S84" i="6"/>
  <c r="J97" i="5"/>
  <c r="E76" i="5"/>
  <c r="I211" i="4"/>
  <c r="E266" i="4"/>
  <c r="E30" i="4"/>
  <c r="E268" i="4"/>
  <c r="H61" i="5"/>
  <c r="B204" i="4"/>
  <c r="E90" i="5"/>
  <c r="K217" i="4"/>
  <c r="H19" i="4"/>
  <c r="H242" i="4" s="1"/>
  <c r="E84" i="6"/>
  <c r="K163" i="4"/>
  <c r="S231" i="4"/>
  <c r="K90" i="5"/>
  <c r="B143" i="4"/>
  <c r="S97" i="5"/>
  <c r="K97" i="5"/>
  <c r="J183" i="4"/>
  <c r="H57" i="4"/>
  <c r="H3" i="7" s="1"/>
  <c r="E4" i="4"/>
  <c r="E227" i="4" s="1"/>
  <c r="S156" i="4"/>
  <c r="N91" i="6"/>
  <c r="B90" i="5"/>
  <c r="K110" i="5"/>
  <c r="N204" i="4"/>
  <c r="B84" i="6"/>
  <c r="S244" i="4"/>
  <c r="N57" i="4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03" i="5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47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4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2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22" i="4"/>
  <c r="N230" i="4"/>
  <c r="N226" i="4"/>
  <c r="N225" i="4"/>
  <c r="N223" i="4"/>
  <c r="N235" i="4"/>
  <c r="N233" i="4"/>
  <c r="N229" i="4"/>
  <c r="N227" i="4"/>
  <c r="N236" i="4"/>
  <c r="N228" i="4"/>
  <c r="B210" i="4"/>
  <c r="B97" i="6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88" i="5"/>
  <c r="E222" i="4"/>
  <c r="E236" i="4"/>
  <c r="E230" i="4"/>
  <c r="E228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54" i="6" l="1"/>
  <c r="B156" i="4"/>
  <c r="D167" i="4"/>
  <c r="J144" i="5"/>
  <c r="V147" i="5"/>
  <c r="G88" i="5"/>
  <c r="N232" i="4"/>
  <c r="N234" i="4"/>
  <c r="J159" i="5"/>
  <c r="J155" i="5"/>
  <c r="H145" i="6"/>
  <c r="S142" i="5"/>
  <c r="E226" i="4"/>
  <c r="E82" i="6"/>
  <c r="H138" i="6"/>
  <c r="J142" i="5"/>
  <c r="H136" i="6"/>
  <c r="J146" i="5"/>
  <c r="H159" i="6"/>
  <c r="H141" i="6"/>
  <c r="E195" i="4"/>
  <c r="H151" i="6"/>
  <c r="J141" i="5"/>
  <c r="H139" i="6"/>
  <c r="H135" i="6"/>
  <c r="E233" i="4"/>
  <c r="E141" i="4"/>
  <c r="J153" i="5"/>
  <c r="H140" i="6"/>
  <c r="H137" i="6"/>
  <c r="H152" i="6"/>
  <c r="H160" i="6"/>
  <c r="H153" i="6"/>
  <c r="H158" i="6"/>
  <c r="J161" i="5"/>
  <c r="H155" i="6"/>
  <c r="S155" i="5"/>
  <c r="S149" i="5"/>
  <c r="S154" i="5"/>
  <c r="S143" i="5"/>
  <c r="S141" i="5"/>
  <c r="S163" i="5"/>
  <c r="S153" i="5"/>
  <c r="S151" i="5"/>
  <c r="S145" i="5"/>
  <c r="S160" i="5"/>
  <c r="S159" i="5"/>
  <c r="S158" i="5"/>
  <c r="S166" i="5"/>
  <c r="S150" i="5"/>
  <c r="S164" i="5"/>
  <c r="S152" i="5"/>
  <c r="S144" i="5"/>
  <c r="S161" i="5"/>
  <c r="S148" i="5"/>
  <c r="S157" i="5"/>
  <c r="S165" i="5"/>
  <c r="S146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60" i="7"/>
  <c r="L111" i="6"/>
  <c r="L131" i="6"/>
  <c r="L18" i="5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17" i="5"/>
  <c r="L144" i="5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K25" i="8" l="1"/>
  <c r="O14" i="8"/>
  <c r="O26" i="10" s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N80" i="8"/>
  <c r="K80" i="8"/>
  <c r="O79" i="8"/>
  <c r="S77" i="8"/>
  <c r="N77" i="8"/>
  <c r="K77" i="8"/>
  <c r="P76" i="8"/>
  <c r="O76" i="8"/>
  <c r="T75" i="8"/>
  <c r="S75" i="8"/>
  <c r="N75" i="8"/>
  <c r="L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15" i="1"/>
  <c r="B8" i="1"/>
  <c r="B7" i="1"/>
  <c r="B18" i="1"/>
  <c r="B4" i="1"/>
  <c r="B13" i="1"/>
  <c r="B20" i="1"/>
  <c r="B9" i="1"/>
  <c r="B11" i="1"/>
  <c r="B12" i="1"/>
  <c r="B21" i="1"/>
  <c r="B17" i="1"/>
  <c r="B6" i="1"/>
  <c r="B22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34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2" i="3" l="1"/>
  <c r="I199" i="3"/>
  <c r="I141" i="3"/>
  <c r="I144" i="3"/>
  <c r="I146" i="3"/>
  <c r="I150" i="3"/>
  <c r="I14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B53" i="12"/>
  <c r="B17" i="12"/>
  <c r="B67" i="12" s="1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<sst xmlns="http://schemas.openxmlformats.org/spreadsheetml/2006/main" count="2655" uniqueCount="1167">
  <si>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</si>
  <si>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</si>
  <si>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</si>
  <si>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</si>
  <si>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</si>
  <si>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</si>
  <si>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</si>
  <si>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</si>
  <si>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</si>
  <si>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</si>
  <si>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</si>
  <si>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</si>
  <si>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</si>
  <si>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</si>
  <si>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</si>
  <si>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</si>
  <si>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</si>
  <si>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</si>
  <si>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</si>
  <si>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</si>
  <si>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</si>
  <si>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</si>
  <si>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</si>
  <si>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</si>
  <si>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</si>
  <si>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</si>
  <si>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</si>
  <si>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</si>
  <si>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</si>
  <si>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</si>
  <si>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</si>
  <si>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</si>
  <si>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</si>
  <si>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</si>
  <si>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</si>
  <si>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</si>
  <si>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</si>
  <si>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</si>
  <si>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</si>
  <si>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</si>
  <si>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</si>
  <si>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</si>
  <si>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</si>
  <si>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</si>
  <si>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</si>
  <si>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</si>
  <si>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</si>
  <si>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</si>
  <si>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</si>
  <si>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</si>
  <si>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</si>
  <si>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</si>
  <si>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</si>
  <si>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</si>
  <si>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</si>
  <si>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</si>
  <si>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</si>
  <si>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</si>
  <si>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</si>
  <si>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</si>
  <si>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</si>
  <si>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</si>
  <si>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</si>
  <si>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</si>
  <si>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</si>
  <si>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</si>
  <si>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</si>
  <si>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</si>
  <si>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</si>
  <si>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</si>
  <si>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</si>
  <si>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</si>
  <si>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</si>
  <si>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</si>
  <si>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</si>
  <si>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</si>
  <si>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</si>
  <si>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</si>
  <si>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</si>
  <si>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</si>
  <si>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</si>
  <si>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</si>
  <si>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</si>
  <si>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</si>
  <si>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</si>
  <si>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</si>
  <si>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</si>
  <si>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</si>
  <si>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</si>
  <si>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</si>
  <si>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</si>
  <si>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</si>
  <si>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</si>
  <si>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</si>
  <si>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</si>
  <si>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</si>
  <si>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</si>
  <si>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</si>
  <si>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</si>
  <si>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</si>
  <si>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</si>
  <si>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</si>
  <si>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</si>
  <si>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</si>
  <si>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</si>
  <si>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</si>
  <si>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</si>
  <si>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</si>
  <si>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</si>
  <si>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</si>
  <si>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</si>
  <si>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</si>
  <si>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</si>
  <si>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</si>
  <si>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</si>
  <si>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</si>
  <si>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</si>
  <si>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</si>
  <si>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</si>
  <si>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</si>
  <si>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</si>
  <si>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</si>
  <si>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</si>
  <si>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</si>
  <si>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</si>
  <si>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</si>
  <si>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</si>
  <si>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</si>
  <si>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</si>
  <si>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</si>
  <si>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</si>
  <si>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</si>
  <si>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</si>
  <si>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</si>
  <si>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</si>
  <si>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</si>
  <si>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</si>
  <si>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</si>
  <si>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</si>
  <si>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</si>
  <si>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</si>
  <si>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</si>
  <si>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</si>
  <si>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</si>
  <si>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</si>
  <si>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</si>
  <si>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</si>
  <si>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</si>
  <si>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</si>
  <si>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</si>
  <si>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</si>
  <si>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</si>
  <si>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</si>
  <si>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</si>
  <si>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</si>
  <si>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</si>
  <si>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</si>
  <si>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</si>
  <si>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</si>
  <si>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</si>
  <si>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</si>
  <si>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</si>
  <si>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</si>
  <si>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</si>
  <si>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</si>
  <si>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</si>
  <si>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</si>
  <si>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</si>
  <si>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</si>
  <si>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</si>
  <si>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</si>
  <si>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</si>
  <si>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</si>
  <si>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</si>
  <si>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</si>
  <si>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</si>
  <si>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</si>
  <si>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</si>
  <si>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</si>
  <si>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</si>
  <si>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</si>
  <si>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</si>
  <si>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</si>
  <si>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</si>
  <si>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</si>
  <si>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</si>
  <si>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PT</t>
  </si>
  <si>
    <t>Portugal</t>
  </si>
  <si>
    <t>Aviation - PT - Portugal</t>
  </si>
  <si>
    <t>Activity.Mpkm.PT.Tr.Avia.Passenger</t>
  </si>
  <si>
    <t>Activity.Mpkm.PT.Tr.Avia.Passenger.Domestic</t>
  </si>
  <si>
    <t>Activity.Mpkm.PT.Tr.Avia.Passenger.IntraEEAwUK</t>
  </si>
  <si>
    <t>Activity.Mpkm.PT.Tr.Avia.Passenger.ExtraEEAwUK</t>
  </si>
  <si>
    <t>Activity.Mtkm.PT.Tr.Avia.Freight</t>
  </si>
  <si>
    <t>Activity.Mtkm.PT.Tr.Avia.Freight.Domestic</t>
  </si>
  <si>
    <t>Activity.Mtkm.PT.Tr.Avia.Freight.IntraEEAwUK</t>
  </si>
  <si>
    <t>Activity.Mtkm.PT.Tr.Avia.Freight.ExtraEEAwUK</t>
  </si>
  <si>
    <t>VehicleKm.Mkm.PT.Tr.Avia</t>
  </si>
  <si>
    <t>VehicleKm.Mkm.PT.Tr.Avia.Passenger</t>
  </si>
  <si>
    <t>VehicleKm.Mkm.PT.Tr.Avia.Passenger.Domestic</t>
  </si>
  <si>
    <t>VehicleKm.Mkm.PT.Tr.Avia.Passenger.IntraEEAwUK</t>
  </si>
  <si>
    <t>VehicleKm.Mkm.PT.Tr.Avia.Passenger.ExtraEEAwUK</t>
  </si>
  <si>
    <t>VehicleKm.Mkm.PT.Tr.Avia.Freight</t>
  </si>
  <si>
    <t>VehicleKm.Mkm.PT.Tr.Avia.Freight.Domestic</t>
  </si>
  <si>
    <t>VehicleKm.Mkm.PT.Tr.Avia.Freight.IntraEEAwUK</t>
  </si>
  <si>
    <t>VehicleKm.Mkm.PT.Tr.Avia.Freight.ExtraEEAwUK</t>
  </si>
  <si>
    <t>Flights.number.PT.Tr.Avia</t>
  </si>
  <si>
    <t>Flights.number.PT.Tr.Avia.Passenger</t>
  </si>
  <si>
    <t>Flights.number.PT.Tr.Avia.Passenger.Domestic</t>
  </si>
  <si>
    <t>Flights.number.PT.Tr.Avia.Passenger.IntraEEAwUK</t>
  </si>
  <si>
    <t>Flights.number.PT.Tr.Avia.Passenger.ExtraEEAwUK</t>
  </si>
  <si>
    <t>Flights.number.PT.Tr.Avia.Freight</t>
  </si>
  <si>
    <t>Flights.number.PT.Tr.Avia.Freight.Domestic</t>
  </si>
  <si>
    <t>Flights.number.PT.Tr.Avia.Freight.IntraEEAwUK</t>
  </si>
  <si>
    <t>Flights.number.PT.Tr.Avia.Freight.ExtraEEAwUK</t>
  </si>
  <si>
    <t>VolCarried.passenger.PT.Tr.Avia.Passenger</t>
  </si>
  <si>
    <t>VolCarried.passenger.PT.Tr.Avia.Passenger.Domestic</t>
  </si>
  <si>
    <t>VolCarried.passenger.PT.Tr.Avia.Passenger.IntraEEAwUK</t>
  </si>
  <si>
    <t>VolCarried.passenger.PT.Tr.Avia.Passenger.ExtraEEAwUK</t>
  </si>
  <si>
    <t>VolCarried.t.PT.Tr.Avia.Freight</t>
  </si>
  <si>
    <t>VolCarried.t.PT.Tr.Avia.Freight.Domestic</t>
  </si>
  <si>
    <t>VolCarried.t.PT.Tr.Avia.Freight.IntraEEAwUK</t>
  </si>
  <si>
    <t>VolCarried.t.PT.Tr.Avia.Freight.ExtraEEAwUK</t>
  </si>
  <si>
    <t>Stock.number.PT.Tr.Avia</t>
  </si>
  <si>
    <t>Stock.number.PT.Tr.Avia.Passenger</t>
  </si>
  <si>
    <t>Stock.number.PT.Tr.Avia.Passenger.Domestic</t>
  </si>
  <si>
    <t>Stock.number.PT.Tr.Avia.Passenger.IntraEEAwUK</t>
  </si>
  <si>
    <t>Stock.number.PT.Tr.Avia.Passenger.ExtraEEAwUK</t>
  </si>
  <si>
    <t>Stock.number.PT.Tr.Avia.Freight</t>
  </si>
  <si>
    <t>Stock.number.PT.Tr.Avia.Freight.Domestic</t>
  </si>
  <si>
    <t>Stock.number.PT.Tr.Avia.Freight.IntraEEAwUK</t>
  </si>
  <si>
    <t>Stock.number.PT.Tr.Avia.Freight.ExtraEEAwUK</t>
  </si>
  <si>
    <t>StockNew.number.PT.Tr.Avia</t>
  </si>
  <si>
    <t>StockNew.number.PT.Tr.Avia.Passenger</t>
  </si>
  <si>
    <t>StockNew.number.PT.Tr.Avia.Passenger.Domestic</t>
  </si>
  <si>
    <t>StockNew.number.PT.Tr.Avia.Passenger.IntraEEAwUK</t>
  </si>
  <si>
    <t>StockNew.number.PT.Tr.Avia.Passenger.ExtraEEAwUK</t>
  </si>
  <si>
    <t>StockNew.number.PT.Tr.Avia.Freight</t>
  </si>
  <si>
    <t>StockNew.number.PT.Tr.Avia.Freight.Domestic</t>
  </si>
  <si>
    <t>StockNew.number.PT.Tr.Avia.Freight.IntraEEAwUK</t>
  </si>
  <si>
    <t>StockNew.number.PT.Tr.Avia.Freight.ExtraEEAwUK</t>
  </si>
  <si>
    <t>Load.passenger_per_movement.PT.Tr.Avia.Passenger</t>
  </si>
  <si>
    <t>Load.passenger_per_movement.PT.Tr.Avia.Passenger.Domestic</t>
  </si>
  <si>
    <t>Load.passenger_per_movement.PT.Tr.Avia.Passenger.IntraEEAwUK</t>
  </si>
  <si>
    <t>Load.passenger_per_movement.PT.Tr.Avia.Passenger.ExtraEEAwUK</t>
  </si>
  <si>
    <t>Load.t_per_movement.PT.Tr.Avia.Freight</t>
  </si>
  <si>
    <t>Load.t_per_movement.PT.Tr.Avia.Freight.Domestic</t>
  </si>
  <si>
    <t>Load.t_per_movement.PT.Tr.Avia.Freight.IntraEEAwUK</t>
  </si>
  <si>
    <t>Load.t_per_movement.PT.Tr.Avia.Freight.ExtraEEAwUK</t>
  </si>
  <si>
    <t>VehicleKm_per_flight.km.PT.Tr.Avia</t>
  </si>
  <si>
    <t>VehicleKm_per_flight.km.PT.Tr.Avia.Passenger</t>
  </si>
  <si>
    <t>VehicleKm_per_flight.km.PT.Tr.Avia.Passenger.Domestic</t>
  </si>
  <si>
    <t>VehicleKm_per_flight.km.PT.Tr.Avia.Passenger.IntraEEAwUK</t>
  </si>
  <si>
    <t>VehicleKm_per_flight.km.PT.Tr.Avia.Passenger.ExtraEEAwUK</t>
  </si>
  <si>
    <t>VehicleKm_per_flight.km.PT.Tr.Avia.Freight</t>
  </si>
  <si>
    <t>VehicleKm_per_flight.km.PT.Tr.Avia.Freight.Domestic</t>
  </si>
  <si>
    <t>VehicleKm_per_flight.km.PT.Tr.Avia.Freight.IntraEEAwUK</t>
  </si>
  <si>
    <t>VehicleKm_per_flight.km.PT.Tr.Avia.Freight.ExtraEEAwUK</t>
  </si>
  <si>
    <t>Activity_per_flight.pkm.PT.Tr.Avia.Passenger</t>
  </si>
  <si>
    <t>Activity_per_flight.pkm.PT.Tr.Avia.Passenger.Domestic</t>
  </si>
  <si>
    <t>Activity_per_flight.pkm.PT.Tr.Avia.Passenger.IntraEEAwUK</t>
  </si>
  <si>
    <t>Activity_per_flight.pkm.PT.Tr.Avia.Passenger.ExtraEEAwUK</t>
  </si>
  <si>
    <t>Activity_per_flight.tkm.PT.Tr.Avia.Freight</t>
  </si>
  <si>
    <t>Activity_per_flight.tkm.PT.Tr.Avia.Freight.Domestic</t>
  </si>
  <si>
    <t>Activity_per_flight.tkm.PT.Tr.Avia.Freight.IntraEEAwUK</t>
  </si>
  <si>
    <t>Activity_per_flight.tkm.PT.Tr.Avia.Freight.ExtraEEAwUK</t>
  </si>
  <si>
    <t>Flights_per_vehicle.number.PT.Tr.Avia</t>
  </si>
  <si>
    <t>Flights_per_vehicle.number.PT.Tr.Avia.Passenger</t>
  </si>
  <si>
    <t>Flights_per_vehicle.number.PT.Tr.Avia.Passenger.Domestic</t>
  </si>
  <si>
    <t>Flights_per_vehicle.number.PT.Tr.Avia.Passenger.IntraEEAwUK</t>
  </si>
  <si>
    <t>Flights_per_vehicle.number.PT.Tr.Avia.Passenger.ExtraEEAwUK</t>
  </si>
  <si>
    <t>Flights_per_vehicle.number.PT.Tr.Avia.Freight</t>
  </si>
  <si>
    <t>Flights_per_vehicle.number.PT.Tr.Avia.Freight.Domestic</t>
  </si>
  <si>
    <t>Flights_per_vehicle.number.PT.Tr.Avia.Freight.IntraEEAwUK</t>
  </si>
  <si>
    <t>Flights_per_vehicle.number.PT.Tr.Avia.Freight.ExtraEEAwUK</t>
  </si>
  <si>
    <t>Aviation / energy consumption - PT - Portugal</t>
  </si>
  <si>
    <t>FEC.ktoe.PT.Tr.Avia</t>
  </si>
  <si>
    <t>FEC.ktoe.PT.Tr.Avia.Domestic</t>
  </si>
  <si>
    <t>FEC.ktoe.PT.Tr.Avia.International</t>
  </si>
  <si>
    <t>FEC.ktoe.PT.Tr.Avia.Passenger</t>
  </si>
  <si>
    <t>FEC.ktoe.PT.Tr.Avia.Passenger.Domestic</t>
  </si>
  <si>
    <t>FEC.ktoe.PT.Tr.Avia.Passenger.IntraEEAwUK</t>
  </si>
  <si>
    <t>FEC.ktoe.PT.Tr.Avia.Passenger.ExtraEEAwUK</t>
  </si>
  <si>
    <t>FEC.ktoe.PT.Tr.Avia.Freight</t>
  </si>
  <si>
    <t>FEC.ktoe.PT.Tr.Avia.Freight.Domestic</t>
  </si>
  <si>
    <t>FEC.ktoe.PT.Tr.Avia.Freight.IntraEEAwUK</t>
  </si>
  <si>
    <t>FEC.ktoe.PT.Tr.Avia.Freight.ExtraEEAwUK</t>
  </si>
  <si>
    <t>Eff.kgoe_per_100km.PT.Tr.Avia</t>
  </si>
  <si>
    <t>Eff.kgoe_per_100km.PT.Tr.Avia.Passenger</t>
  </si>
  <si>
    <t>Eff.kgoe_per_100km.PT.Tr.Avia.Passenger.Domestic</t>
  </si>
  <si>
    <t>Eff.kgoe_per_100km.PT.Tr.Avia.Passenger.IntraEEAwUK</t>
  </si>
  <si>
    <t>Eff.kgoe_per_100km.PT.Tr.Avia.Passenger.ExtraEEAwUK</t>
  </si>
  <si>
    <t>Eff.kgoe_per_100km.PT.Tr.Avia.Freight</t>
  </si>
  <si>
    <t>Eff.kgoe_per_100km.PT.Tr.Avia.Freight.Domestic</t>
  </si>
  <si>
    <t>Eff.kgoe_per_100km.PT.Tr.Avia.Freight.IntraEEAwUK</t>
  </si>
  <si>
    <t>Eff.kgoe_per_100km.PT.Tr.Avia.Freight.ExtraEEAwUK</t>
  </si>
  <si>
    <t>Eff.kgoe_per_kpkm.PT.Tr.Avia.Passenger</t>
  </si>
  <si>
    <t>Eff.kgoe_per_kpkm.PT.Tr.Avia.Passenger.Domestic</t>
  </si>
  <si>
    <t>Eff.kgoe_per_kpkm.PT.Tr.Avia.Passenger.IntraEEAwUK</t>
  </si>
  <si>
    <t>Eff.kgoe_per_kpkm.PT.Tr.Avia.Passenger.ExtraEEAwUK</t>
  </si>
  <si>
    <t>Eff.kgoe_per_ktkm.PT.Tr.Avia.Freight</t>
  </si>
  <si>
    <t>Eff.kgoe_per_ktkm.PT.Tr.Avia.Freight.Domestic</t>
  </si>
  <si>
    <t>Eff.kgoe_per_ktkm.PT.Tr.Avia.Freight.IntraEEAwUK</t>
  </si>
  <si>
    <t>Eff.kgoe_per_ktkm.PT.Tr.Avia.Freight.ExtraEEAwUK</t>
  </si>
  <si>
    <t>FEC_per_flight.kgoe.PT.Tr.Avia</t>
  </si>
  <si>
    <t>FEC_per_flight.kgoe.PT.Tr.Avia.Passenger</t>
  </si>
  <si>
    <t>FEC_per_flight.kgoe.PT.Tr.Avia.Passenger.Domestic</t>
  </si>
  <si>
    <t>FEC_per_flight.kgoe.PT.Tr.Avia.Passenger.IntraEEAwUK</t>
  </si>
  <si>
    <t>FEC_per_flight.kgoe.PT.Tr.Avia.Passenger.ExtraEEAwUK</t>
  </si>
  <si>
    <t>FEC_per_flight.kgoe.PT.Tr.Avia.Freight</t>
  </si>
  <si>
    <t>FEC_per_flight.kgoe.PT.Tr.Avia.Freight.Domestic</t>
  </si>
  <si>
    <t>FEC_per_flight.kgoe.PT.Tr.Avia.Freight.IntraEEAwUK</t>
  </si>
  <si>
    <t>FEC_per_flight.kgoe.PT.Tr.Avia.Freight.ExtraEEAwUK</t>
  </si>
  <si>
    <t>Eff_theor.kgoe_per_100km.PT.Tr.Avia</t>
  </si>
  <si>
    <t>Eff_theor.kgoe_per_100km.PT.Tr.Avia.Passenger</t>
  </si>
  <si>
    <t>Eff_theor.kgoe_per_100km.PT.Tr.Avia.Passenger.Domestic</t>
  </si>
  <si>
    <t>Eff_theor.kgoe_per_100km.PT.Tr.Avia.Passenger.IntraEEAwUK</t>
  </si>
  <si>
    <t>Eff_theor.kgoe_per_100km.PT.Tr.Avia.Passenger.ExtraEEAwUK</t>
  </si>
  <si>
    <t>Eff_theor.kgoe_per_100km.PT.Tr.Avia.Freight</t>
  </si>
  <si>
    <t>Eff_theor.kgoe_per_100km.PT.Tr.Avia.Freight.Domestic</t>
  </si>
  <si>
    <t>Eff_theor.kgoe_per_100km.PT.Tr.Avia.Freight.IntraEEAwUK</t>
  </si>
  <si>
    <t>Eff_theor.kgoe_per_100km.PT.Tr.Avia.Freight.ExtraEEAwUK</t>
  </si>
  <si>
    <t>Aviation / CO2 emissions - PT - Portugal</t>
  </si>
  <si>
    <t>EMI.ktCO2.PT.Tr.Avia</t>
  </si>
  <si>
    <t>EMI.ktCO2.PT.Tr.Avia.Domestic</t>
  </si>
  <si>
    <t>EMI.ktCO2.PT.Tr.Avia.International</t>
  </si>
  <si>
    <t>EMI.ktCO2.PT.Tr.Avia.Passenger</t>
  </si>
  <si>
    <t>EMI.ktCO2.PT.Tr.Avia.Passenger.Domestic</t>
  </si>
  <si>
    <t>EMI.ktCO2.PT.Tr.Avia.Passenger.IntraEEAwUK</t>
  </si>
  <si>
    <t>EMI.ktCO2.PT.Tr.Avia.Passenger.ExtraEEAwUK</t>
  </si>
  <si>
    <t>EMI.ktCO2.PT.Tr.Avia.Freight</t>
  </si>
  <si>
    <t>EMI.ktCO2.PT.Tr.Avia.Freight.Domestic</t>
  </si>
  <si>
    <t>EMI.ktCO2.PT.Tr.Avia.Freight.IntraEEAwUK</t>
  </si>
  <si>
    <t>EMI.ktCO2.PT.Tr.Avia.Freight.ExtraEEAwUK</t>
  </si>
  <si>
    <t>EMIint.gCO2_per_km.PT.Tr.Avia</t>
  </si>
  <si>
    <t>EMIint.gCO2_per_km.PT.Tr.Avia.Passenger</t>
  </si>
  <si>
    <t>EMIint.gCO2_per_km.PT.Tr.Avia.Passenger.Domestic</t>
  </si>
  <si>
    <t>EMIint.gCO2_per_km.PT.Tr.Avia.Passenger.IntraEEAwUK</t>
  </si>
  <si>
    <t>EMIint.gCO2_per_km.PT.Tr.Avia.Passenger.ExtraEEAwUK</t>
  </si>
  <si>
    <t>EMIint.gCO2_per_km.PT.Tr.Avia.Freight</t>
  </si>
  <si>
    <t>EMIint.gCO2_per_km.PT.Tr.Avia.Freight.Domestic</t>
  </si>
  <si>
    <t>EMIint.gCO2_per_km.PT.Tr.Avia.Freight.IntraEEAwUK</t>
  </si>
  <si>
    <t>EMIint.gCO2_per_km.PT.Tr.Avia.Freight.ExtraEEAwUK</t>
  </si>
  <si>
    <t>EMIint.gCO2_per_pkm.PT.Tr.Avia.Passenger</t>
  </si>
  <si>
    <t>EMIint.gCO2_per_pkm.PT.Tr.Avia.Passenger.Domestic</t>
  </si>
  <si>
    <t>EMIint.gCO2_per_pkm.PT.Tr.Avia.Passenger.IntraEEAwUK</t>
  </si>
  <si>
    <t>EMIint.gCO2_per_pkm.PT.Tr.Avia.Passenger.ExtraEEAwUK</t>
  </si>
  <si>
    <t>EMIint.gCO2_per_tkm.PT.Tr.Avia.Freight</t>
  </si>
  <si>
    <t>EMIint.gCO2_per_tkm.PT.Tr.Avia.Freight.Domestic</t>
  </si>
  <si>
    <t>EMIint.gCO2_per_tkm.PT.Tr.Avia.Freight.IntraEEAwUK</t>
  </si>
  <si>
    <t>EMIint.gCO2_per_tkm.PT.Tr.Avia.Freight.ExtraEEAwUK</t>
  </si>
  <si>
    <t>EMI_per_flight.kgCO2.PT.Tr.Avia</t>
  </si>
  <si>
    <t>EMI_per_flight.kgCO2.PT.Tr.Avia.Passenger</t>
  </si>
  <si>
    <t>EMI_per_flight.kgCO2.PT.Tr.Avia.Passenger.Domestic</t>
  </si>
  <si>
    <t>EMI_per_flight.kgCO2.PT.Tr.Avia.Passenger.IntraEEAwUK</t>
  </si>
  <si>
    <t>EMI_per_flight.kgCO2.PT.Tr.Avia.Passenger.ExtraEEAwUK</t>
  </si>
  <si>
    <t>EMI_per_flight.kgCO2.PT.Tr.Avia.Freight</t>
  </si>
  <si>
    <t>EMI_per_flight.kgCO2.PT.Tr.Avia.Freight.Domestic</t>
  </si>
  <si>
    <t>EMI_per_flight.kgCO2.PT.Tr.Avia.Freight.IntraEEAwUK</t>
  </si>
  <si>
    <t>EMI_per_flight.kgCO2.PT.Tr.Avia.Freight.ExtraEEAwUK</t>
  </si>
  <si>
    <t>Aviation / passenger transport specific data - PT - Portugal</t>
  </si>
  <si>
    <t>TrCap.seats.PT.Tr.Avia.Passenger</t>
  </si>
  <si>
    <t>TrCap.seats.PT.Tr.Avia.Passenger.Domestic</t>
  </si>
  <si>
    <t>TrCap.seats.PT.Tr.Avia.Passenger.IntraEEAwUK</t>
  </si>
  <si>
    <t>TrCap.seats.PT.Tr.Avia.Passenger.ExtraEEAwUK</t>
  </si>
  <si>
    <t>TrCap_per_flight.seats.PT.Tr.Avia.Passenger</t>
  </si>
  <si>
    <t>TrCap_per_flight.seats.PT.Tr.Avia.Passenger.Domestic</t>
  </si>
  <si>
    <t>TrCap_per_flight.seats.PT.Tr.Avia.Passenger.IntraEEAwUK</t>
  </si>
  <si>
    <t>TrCap_per_flight.seats.PT.Tr.Avia.Passenger.ExtraEEAwUK</t>
  </si>
  <si>
    <t>Transport overview - PT - Portugal</t>
  </si>
  <si>
    <t>Activity.Mpkm.PT.Tr</t>
  </si>
  <si>
    <t>Activity.Mpkm.PT.Tr.Road.Passenger</t>
  </si>
  <si>
    <t>Activity.Mpkm.PT.Tr.Road.Passenger.P2W</t>
  </si>
  <si>
    <t>Activity.Mpkm.PT.Tr.Road.Passenger.Car</t>
  </si>
  <si>
    <t>Activity.Mpkm.PT.Tr.Road.Passenger.Bus</t>
  </si>
  <si>
    <t>Activity.Mpkm.PT.Tr.Rail.Passenger</t>
  </si>
  <si>
    <t>Activity.Mpkm.PT.Tr.Rail.Passenger.MTU</t>
  </si>
  <si>
    <t>Activity.Mpkm.PT.Tr.Rail.Passenger.CPT</t>
  </si>
  <si>
    <t>Activity.Mpkm.PT.Tr.Rail.Passenger.HST</t>
  </si>
  <si>
    <t>Activity.Mtkm.PT.Tr</t>
  </si>
  <si>
    <t>Activity.Mtkm.PT.Tr.Road.Freight</t>
  </si>
  <si>
    <t>Activity.Mtkm.PT.Tr.Road.Freight.LCV</t>
  </si>
  <si>
    <t>Activity.Mtkm.PT.Tr.Road.Freight.HGV</t>
  </si>
  <si>
    <t>Activity.Mtkm.PT.Tr.Rail.Freight</t>
  </si>
  <si>
    <t>Activity.Mtkm.PT.Tr.DNavi.Freight</t>
  </si>
  <si>
    <t>Activity.Mtkm.PT.Tr.DNavi.Freight.DCS</t>
  </si>
  <si>
    <t>Activity.Mtkm.PT.Tr.DNavi.Freight.IWW</t>
  </si>
  <si>
    <t>Activity.Mtkm.PT.MBunk.Freight</t>
  </si>
  <si>
    <t>Activity.Mtkm.PT.MBunk.Freight.IntraEEA</t>
  </si>
  <si>
    <t>Activity.Mtkm.PT.MBunk.Freight.ExtraEEA</t>
  </si>
  <si>
    <t>FEC.ktoe.PT.Tr.Road.Passenger</t>
  </si>
  <si>
    <t>FEC.ktoe.PT.Tr.Road.Passenger.P2W</t>
  </si>
  <si>
    <t>FEC.ktoe.PT.Tr.Road.Passenger.Car</t>
  </si>
  <si>
    <t>FEC.ktoe.PT.Tr.Road.Passenger.Bus</t>
  </si>
  <si>
    <t>FEC.ktoe.PT.Tr.Rail.Passenger</t>
  </si>
  <si>
    <t>FEC.ktoe.PT.Tr.Rail.Passenger.MTU</t>
  </si>
  <si>
    <t>FEC.ktoe.PT.Tr.Rail.Passenger.CPT</t>
  </si>
  <si>
    <t>FEC.ktoe.PT.Tr.Rail.Passenger.HST</t>
  </si>
  <si>
    <t>FEC.ktoe.PT.Tr.Road.Freight</t>
  </si>
  <si>
    <t>FEC.ktoe.PT.Tr.Road.Freight.LCV</t>
  </si>
  <si>
    <t>FEC.ktoe.PT.Tr.Road.Freight.HGV</t>
  </si>
  <si>
    <t>FEC.ktoe.PT.Tr.Rail.Freight</t>
  </si>
  <si>
    <t>EMI.ktCO2.PT.Tr.Road.Passenger</t>
  </si>
  <si>
    <t>EMI.ktCO2.PT.Tr.Road.Passenger.P2W</t>
  </si>
  <si>
    <t>EMI.ktCO2.PT.Tr.Road.Passenger.Car</t>
  </si>
  <si>
    <t>EMI.ktCO2.PT.Tr.Road.Passenger.Bus</t>
  </si>
  <si>
    <t>EMI.ktCO2.PT.Tr.Rail.Passenger</t>
  </si>
  <si>
    <t>EMI.ktCO2.PT.Tr.Rail.Passenger.MTU</t>
  </si>
  <si>
    <t>EMI.ktCO2.PT.Tr.Rail.Passenger.CPT</t>
  </si>
  <si>
    <t>EMI.ktCO2.PT.Tr.Rail.Passenger.HST</t>
  </si>
  <si>
    <t>EMI.ktCO2.PT.Tr.Road.Freight</t>
  </si>
  <si>
    <t>EMI.ktCO2.PT.Tr.Road.Freight.LCV</t>
  </si>
  <si>
    <t>EMI.ktCO2.PT.Tr.Road.Freight.HGV</t>
  </si>
  <si>
    <t>EMI.ktCO2.PT.Tr.Rail.Freight</t>
  </si>
  <si>
    <t>Eff.kgoe_per_kpkm.PT.Tr</t>
  </si>
  <si>
    <t>Eff.kgoe_per_kpkm.PT.Tr.Road.Passenger</t>
  </si>
  <si>
    <t>Eff.kgoe_per_kpkm.PT.Tr.Road.Passenger.P2W</t>
  </si>
  <si>
    <t>Eff.kgoe_per_kpkm.PT.Tr.Road.Passenger.Car</t>
  </si>
  <si>
    <t>Eff.kgoe_per_kpkm.PT.Tr.Road.Passenger.Bus</t>
  </si>
  <si>
    <t>Eff.kgoe_per_kpkm.PT.Tr.Rail.Passenger</t>
  </si>
  <si>
    <t>Eff.kgoe_per_kpkm.PT.Tr.Rail.Passenger.MTU</t>
  </si>
  <si>
    <t>Eff.kgoe_per_kpkm.PT.Tr.Rail.Passenger.CPT</t>
  </si>
  <si>
    <t>Eff.kgoe_per_kpkm.PT.Tr.Rail.Passenger.HST</t>
  </si>
  <si>
    <t>Eff.kgoe_per_ktkm.PT.Tr</t>
  </si>
  <si>
    <t>Eff.kgoe_per_ktkm.PT.Tr.Road.Freight</t>
  </si>
  <si>
    <t>Eff.kgoe_per_ktkm.PT.Tr.Road.Freight.LCV</t>
  </si>
  <si>
    <t>Eff.kgoe_per_ktkm.PT.Tr.Road.Freight.HGV</t>
  </si>
  <si>
    <t>Eff.kgoe_per_ktkm.PT.Tr.Rail.Freight</t>
  </si>
  <si>
    <t>Eff.kgoe_per_ktkm.PT.Tr.DNavi.Freight</t>
  </si>
  <si>
    <t>Eff.kgoe_per_ktkm.PT.Tr.DNavi.Freight.DCS</t>
  </si>
  <si>
    <t>Eff.kgoe_per_ktkm.PT.Tr.DNavi.Freight.IWW</t>
  </si>
  <si>
    <t>Eff.kgoe_per_ktkm.PT.MBunk.Freight</t>
  </si>
  <si>
    <t>Eff.kgoe_per_ktkm.PT.MBunk.Freight.IntraEEA</t>
  </si>
  <si>
    <t>Eff.kgoe_per_ktkm.PT.MBunk.Freight.ExtraEEA</t>
  </si>
  <si>
    <t>EMIint.gCO2_per_pkm.PT.Tr</t>
  </si>
  <si>
    <t>EMIint.gCO2_per_pkm.PT.Tr.Road.Passenger</t>
  </si>
  <si>
    <t>EMIint.gCO2_per_pkm.PT.Tr.Road.Passenger.P2W</t>
  </si>
  <si>
    <t>EMIint.gCO2_per_pkm.PT.Tr.Road.Passenger.Car</t>
  </si>
  <si>
    <t>EMIint.gCO2_per_pkm.PT.Tr.Road.Passenger.Bus</t>
  </si>
  <si>
    <t>EMIint.gCO2_per_pkm.PT.Tr.Rail.Passenger</t>
  </si>
  <si>
    <t>EMIint.gCO2_per_pkm.PT.Tr.Rail.Passenger.MTU</t>
  </si>
  <si>
    <t>EMIint.gCO2_per_pkm.PT.Tr.Rail.Passenger.CPT</t>
  </si>
  <si>
    <t>EMIint.gCO2_per_pkm.PT.Tr.Rail.Passenger.HST</t>
  </si>
  <si>
    <t>EMIint.gCO2_per_tkm.PT.Tr</t>
  </si>
  <si>
    <t>EMIint.gCO2_per_tkm.PT.Tr.Road.Freight</t>
  </si>
  <si>
    <t>EMIint.gCO2_per_tkm.PT.Tr.Road.Freight.LCV</t>
  </si>
  <si>
    <t>EMIint.gCO2_per_tkm.PT.Tr.Road.Freight.HGV</t>
  </si>
  <si>
    <t>EMIint.gCO2_per_tkm.PT.Tr.Rail.Freight</t>
  </si>
  <si>
    <t>EMIint.gCO2_per_tkm.PT.Tr.DNavi.Freight</t>
  </si>
  <si>
    <t>EMIint.gCO2_per_tkm.PT.Tr.DNavi.Freight.DCS</t>
  </si>
  <si>
    <t>EMIint.gCO2_per_tkm.PT.Tr.DNavi.Freight.IWW</t>
  </si>
  <si>
    <t>EMIint.gCO2_per_tkm.PT.MBunk.Freight</t>
  </si>
  <si>
    <t>EMIint.gCO2_per_tkm.PT.MBunk.Freight.IntraEEA</t>
  </si>
  <si>
    <t>EMIint.gCO2_per_tkm.PT.MBunk.Freight.ExtraEEA</t>
  </si>
  <si>
    <t>Road transport - PT - Portugal</t>
  </si>
  <si>
    <t>Activity.Mpkm.PT.Tr.Road.Passenger.Car.ICE.Gasoline</t>
  </si>
  <si>
    <t>Activity.Mpkm.PT.Tr.Road.Passenger.Car.ICE.Diesel</t>
  </si>
  <si>
    <t>Activity.Mpkm.PT.Tr.Road.Passenger.Car.ICE.LPG</t>
  </si>
  <si>
    <t>Activity.Mpkm.PT.Tr.Road.Passenger.Car.ICE.NGas</t>
  </si>
  <si>
    <t>Activity.Mpkm.PT.Tr.Road.Passenger.Car.PHEV</t>
  </si>
  <si>
    <t>Activity.Mpkm.PT.Tr.Road.Passenger.Car.BEV</t>
  </si>
  <si>
    <t>Activity.Mpkm.PT.Tr.Road.Passenger.Bus.ICE.Gasoline</t>
  </si>
  <si>
    <t>Activity.Mpkm.PT.Tr.Road.Passenger.Bus.ICE.Diesel</t>
  </si>
  <si>
    <t>Activity.Mpkm.PT.Tr.Road.Passenger.Bus.ICE.LPG</t>
  </si>
  <si>
    <t>Activity.Mpkm.PT.Tr.Road.Passenger.Bus.ICE.NGas</t>
  </si>
  <si>
    <t>Activity.Mpkm.PT.Tr.Road.Passenger.Bus.ICE.BEV</t>
  </si>
  <si>
    <t>Activity.Mtkm.PT.Tr.Road.Freight.LCV.ICE.Gasoline</t>
  </si>
  <si>
    <t>Activity.Mtkm.PT.Tr.Road.Freight.LCV.ICE.Diesel</t>
  </si>
  <si>
    <t>Activity.Mtkm.PT.Tr.Road.Freight.LCV.ICE.LPG</t>
  </si>
  <si>
    <t>Activity.Mtkm.PT.Tr.Road.Freight.LCV.ICE.NGas</t>
  </si>
  <si>
    <t>Activity.Mtkm.PT.Tr.Road.Freight.LCV.ICE.BEV</t>
  </si>
  <si>
    <t>Activity.Mtkm.PT.Tr.Road.Freight.HGV.Domestic</t>
  </si>
  <si>
    <t>Activity.Mtkm.PT.Tr.Road.Freight.HGV.International</t>
  </si>
  <si>
    <t>VehicleKm.Mkm.PT.Tr.Road</t>
  </si>
  <si>
    <t>VehicleKm.Mkm.PT.Tr.Road.Passenger</t>
  </si>
  <si>
    <t>VehicleKm.Mkm.PT.Tr.Road.Passenger.P2W</t>
  </si>
  <si>
    <t>VehicleKm.Mkm.PT.Tr.Road.Passenger.Car</t>
  </si>
  <si>
    <t>VehicleKm.Mkm.PT.Tr.Road.Passenger.Car.ICE.Gasoline</t>
  </si>
  <si>
    <t>VehicleKm.Mkm.PT.Tr.Road.Passenger.Car.ICE.Diesel</t>
  </si>
  <si>
    <t>VehicleKm.Mkm.PT.Tr.Road.Passenger.Car.ICE.LPG</t>
  </si>
  <si>
    <t>VehicleKm.Mkm.PT.Tr.Road.Passenger.Car.ICE.NGas</t>
  </si>
  <si>
    <t>VehicleKm.Mkm.PT.Tr.Road.Passenger.Car.PHEV</t>
  </si>
  <si>
    <t>VehicleKm.Mkm.PT.Tr.Road.Passenger.Car.BEV</t>
  </si>
  <si>
    <t>VehicleKm.Mkm.PT.Tr.Road.Passenger.Bus</t>
  </si>
  <si>
    <t>VehicleKm.Mkm.PT.Tr.Road.Passenger.Bus.ICE.Gasoline</t>
  </si>
  <si>
    <t>VehicleKm.Mkm.PT.Tr.Road.Passenger.Bus.ICE.Diesel</t>
  </si>
  <si>
    <t>VehicleKm.Mkm.PT.Tr.Road.Passenger.Bus.ICE.LPG</t>
  </si>
  <si>
    <t>VehicleKm.Mkm.PT.Tr.Road.Passenger.Bus.ICE.NGas</t>
  </si>
  <si>
    <t>VehicleKm.Mkm.PT.Tr.Road.Passenger.Bus.ICE.BEV</t>
  </si>
  <si>
    <t>VehicleKm.Mkm.PT.Tr.Road.Freight</t>
  </si>
  <si>
    <t>VehicleKm.Mkm.PT.Tr.Road.Freight.LCV</t>
  </si>
  <si>
    <t>VehicleKm.Mkm.PT.Tr.Road.Freight.LCV.ICE.Gasoline</t>
  </si>
  <si>
    <t>VehicleKm.Mkm.PT.Tr.Road.Freight.LCV.ICE.Diesel</t>
  </si>
  <si>
    <t>VehicleKm.Mkm.PT.Tr.Road.Freight.LCV.ICE.LPG</t>
  </si>
  <si>
    <t>VehicleKm.Mkm.PT.Tr.Road.Freight.LCV.ICE.NGas</t>
  </si>
  <si>
    <t>VehicleKm.Mkm.PT.Tr.Road.Freight.LCV.ICE.BEV</t>
  </si>
  <si>
    <t>VehicleKm.Mkm.PT.Tr.Road.Freight.HGV</t>
  </si>
  <si>
    <t>VehicleKm.Mkm.PT.Tr.Road.Freight.HGV.Domestic</t>
  </si>
  <si>
    <t>VehicleKm.Mkm.PT.Tr.Road.Freight.HGV.International</t>
  </si>
  <si>
    <t>Stock.number.PT.Tr.Road</t>
  </si>
  <si>
    <t>Stock.number.PT.Tr.Road.Passenger</t>
  </si>
  <si>
    <t>Stock.number.PT.Tr.Road.Passenger.P2W</t>
  </si>
  <si>
    <t>Stock.number.PT.Tr.Road.Passenger.Car</t>
  </si>
  <si>
    <t>Stock.number.PT.Tr.Road.Passenger.Car.ICE.Gasoline</t>
  </si>
  <si>
    <t>Stock.number.PT.Tr.Road.Passenger.Car.ICE.Diesel</t>
  </si>
  <si>
    <t>Stock.number.PT.Tr.Road.Passenger.Car.ICE.LPG</t>
  </si>
  <si>
    <t>Stock.number.PT.Tr.Road.Passenger.Car.ICE.NGas</t>
  </si>
  <si>
    <t>Stock.number.PT.Tr.Road.Passenger.Car.PHEV</t>
  </si>
  <si>
    <t>Stock.number.PT.Tr.Road.Passenger.Car.BEV</t>
  </si>
  <si>
    <t>Stock.number.PT.Tr.Road.Passenger.Bus</t>
  </si>
  <si>
    <t>Stock.number.PT.Tr.Road.Passenger.Bus.ICE.Gasoline</t>
  </si>
  <si>
    <t>Stock.number.PT.Tr.Road.Passenger.Bus.ICE.Diesel</t>
  </si>
  <si>
    <t>Stock.number.PT.Tr.Road.Passenger.Bus.ICE.LPG</t>
  </si>
  <si>
    <t>Stock.number.PT.Tr.Road.Passenger.Bus.ICE.NGas</t>
  </si>
  <si>
    <t>Stock.number.PT.Tr.Road.Passenger.Bus.ICE.BEV</t>
  </si>
  <si>
    <t>Stock.number.PT.Tr.Road.Freight</t>
  </si>
  <si>
    <t>Stock.number.PT.Tr.Road.Freight.LCV</t>
  </si>
  <si>
    <t>Stock.number.PT.Tr.Road.Freight.LCV.ICE.Gasoline</t>
  </si>
  <si>
    <t>Stock.number.PT.Tr.Road.Freight.LCV.ICE.Diesel</t>
  </si>
  <si>
    <t>Stock.number.PT.Tr.Road.Freight.LCV.ICE.LPG</t>
  </si>
  <si>
    <t>Stock.number.PT.Tr.Road.Freight.LCV.ICE.NGas</t>
  </si>
  <si>
    <t>Stock.number.PT.Tr.Road.Freight.LCV.ICE.BEV</t>
  </si>
  <si>
    <t>Stock.number.PT.Tr.Road.Freight.HGV</t>
  </si>
  <si>
    <t>Stock.number.PT.Tr.Road.Freight.HGV.Domestic</t>
  </si>
  <si>
    <t>Stock.number.PT.Tr.Road.Freight.HGV.International</t>
  </si>
  <si>
    <t>StockNew.number.PT.Tr.Road</t>
  </si>
  <si>
    <t>StockNew.number.PT.Tr.Road.Passenger</t>
  </si>
  <si>
    <t>StockNew.number.PT.Tr.Road.Passenger.P2W</t>
  </si>
  <si>
    <t>StockNew.number.PT.Tr.Road.Passenger.Car</t>
  </si>
  <si>
    <t>StockNew.number.PT.Tr.Road.Passenger.Car.ICE.Gasoline</t>
  </si>
  <si>
    <t>StockNew.number.PT.Tr.Road.Passenger.Car.ICE.Diesel</t>
  </si>
  <si>
    <t>StockNew.number.PT.Tr.Road.Passenger.Car.ICE.LPG</t>
  </si>
  <si>
    <t>StockNew.number.PT.Tr.Road.Passenger.Car.ICE.NGas</t>
  </si>
  <si>
    <t>StockNew.number.PT.Tr.Road.Passenger.Car.PHEV</t>
  </si>
  <si>
    <t>StockNew.number.PT.Tr.Road.Passenger.Car.BEV</t>
  </si>
  <si>
    <t>StockNew.number.PT.Tr.Road.Passenger.Bus</t>
  </si>
  <si>
    <t>StockNew.number.PT.Tr.Road.Passenger.Bus.ICE.Gasoline</t>
  </si>
  <si>
    <t>StockNew.number.PT.Tr.Road.Passenger.Bus.ICE.Diesel</t>
  </si>
  <si>
    <t>StockNew.number.PT.Tr.Road.Passenger.Bus.ICE.LPG</t>
  </si>
  <si>
    <t>StockNew.number.PT.Tr.Road.Passenger.Bus.ICE.NGas</t>
  </si>
  <si>
    <t>StockNew.number.PT.Tr.Road.Passenger.Bus.ICE.BEV</t>
  </si>
  <si>
    <t>StockNew.number.PT.Tr.Road.Freight</t>
  </si>
  <si>
    <t>StockNew.number.PT.Tr.Road.Freight.LCV</t>
  </si>
  <si>
    <t>StockNew.number.PT.Tr.Road.Freight.LCV.ICE.Gasoline</t>
  </si>
  <si>
    <t>StockNew.number.PT.Tr.Road.Freight.LCV.ICE.Diesel</t>
  </si>
  <si>
    <t>StockNew.number.PT.Tr.Road.Freight.LCV.ICE.LPG</t>
  </si>
  <si>
    <t>StockNew.number.PT.Tr.Road.Freight.LCV.ICE.NGas</t>
  </si>
  <si>
    <t>StockNew.number.PT.Tr.Road.Freight.LCV.ICE.BEV</t>
  </si>
  <si>
    <t>StockNew.number.PT.Tr.Road.Freight.HGV</t>
  </si>
  <si>
    <t>StockNew.number.PT.Tr.Road.Freight.HGV.Domestic</t>
  </si>
  <si>
    <t>StockNew.number.PT.Tr.Road.Freight.HGV.International</t>
  </si>
  <si>
    <t>Load.passenger_per_movement.PT.Tr.Road.Passenger</t>
  </si>
  <si>
    <t>Load.passenger_per_movement.PT.Tr.Road.Passenger.P2W</t>
  </si>
  <si>
    <t>Load.passenger_per_movement.PT.Tr.Road.Passenger.Car</t>
  </si>
  <si>
    <t>Load.passenger_per_movement.PT.Tr.Road.Passenger.Car.ICE.Gasoline</t>
  </si>
  <si>
    <t>Load.passenger_per_movement.PT.Tr.Road.Passenger.Car.ICE.Diesel</t>
  </si>
  <si>
    <t>Load.passenger_per_movement.PT.Tr.Road.Passenger.Car.ICE.LPG</t>
  </si>
  <si>
    <t>Load.passenger_per_movement.PT.Tr.Road.Passenger.Car.ICE.NGas</t>
  </si>
  <si>
    <t>Load.passenger_per_movement.PT.Tr.Road.Passenger.Car.PHEV</t>
  </si>
  <si>
    <t>Load.passenger_per_movement.PT.Tr.Road.Passenger.Car.BEV</t>
  </si>
  <si>
    <t>Load.passenger_per_movement.PT.Tr.Road.Passenger.Bus</t>
  </si>
  <si>
    <t>Load.passenger_per_movement.PT.Tr.Road.Passenger.Bus.ICE.Gasoline</t>
  </si>
  <si>
    <t>Load.passenger_per_movement.PT.Tr.Road.Passenger.Bus.ICE.Diesel</t>
  </si>
  <si>
    <t>Load.passenger_per_movement.PT.Tr.Road.Passenger.Bus.ICE.LPG</t>
  </si>
  <si>
    <t>Load.passenger_per_movement.PT.Tr.Road.Passenger.Bus.ICE.NGas</t>
  </si>
  <si>
    <t>Load.passenger_per_movement.PT.Tr.Road.Passenger.Bus.ICE.BEV</t>
  </si>
  <si>
    <t>Load.t_per_movement.PT.Tr.Road.Freight</t>
  </si>
  <si>
    <t>Load.t_per_movement.PT.Tr.Road.Freight.LCV</t>
  </si>
  <si>
    <t>Load.t_per_movement.PT.Tr.Road.Freight.LCV.ICE.Gasoline</t>
  </si>
  <si>
    <t>Load.t_per_movement.PT.Tr.Road.Freight.LCV.ICE.Diesel</t>
  </si>
  <si>
    <t>Load.t_per_movement.PT.Tr.Road.Freight.LCV.ICE.LPG</t>
  </si>
  <si>
    <t>Load.t_per_movement.PT.Tr.Road.Freight.LCV.ICE.NGas</t>
  </si>
  <si>
    <t>Load.t_per_movement.PT.Tr.Road.Freight.LCV.ICE.BEV</t>
  </si>
  <si>
    <t>Load.t_per_movement.PT.Tr.Road.Freight.HGV</t>
  </si>
  <si>
    <t>Load.t_per_movement.PT.Tr.Road.Freight.HGV.Domestic</t>
  </si>
  <si>
    <t>Load.t_per_movement.PT.Tr.Road.Freight.HGV.International</t>
  </si>
  <si>
    <t>VehicleKm_per_vehicle.km.PT.Tr.Road</t>
  </si>
  <si>
    <t>VehicleKm_per_vehicle.km.PT.Tr.Road.Passenger</t>
  </si>
  <si>
    <t>VehicleKm_per_vehicle.km.PT.Tr.Road.Passenger.P2W</t>
  </si>
  <si>
    <t>VehicleKm_per_vehicle.km.PT.Tr.Road.Passenger.Car</t>
  </si>
  <si>
    <t>VehicleKm_per_vehicle.km.PT.Tr.Road.Passenger.Car.ICE.Gasoline</t>
  </si>
  <si>
    <t>VehicleKm_per_vehicle.km.PT.Tr.Road.Passenger.Car.ICE.Diesel</t>
  </si>
  <si>
    <t>VehicleKm_per_vehicle.km.PT.Tr.Road.Passenger.Car.ICE.LPG</t>
  </si>
  <si>
    <t>VehicleKm_per_vehicle.km.PT.Tr.Road.Passenger.Car.ICE.NGas</t>
  </si>
  <si>
    <t>VehicleKm_per_vehicle.km.PT.Tr.Road.Passenger.Car.PHEV</t>
  </si>
  <si>
    <t>VehicleKm_per_vehicle.km.PT.Tr.Road.Passenger.Car.BEV</t>
  </si>
  <si>
    <t>VehicleKm_per_vehicle.km.PT.Tr.Road.Passenger.Bus</t>
  </si>
  <si>
    <t>VehicleKm_per_vehicle.km.PT.Tr.Road.Passenger.Bus.ICE.Gasoline</t>
  </si>
  <si>
    <t>VehicleKm_per_vehicle.km.PT.Tr.Road.Passenger.Bus.ICE.Diesel</t>
  </si>
  <si>
    <t>VehicleKm_per_vehicle.km.PT.Tr.Road.Passenger.Bus.ICE.LPG</t>
  </si>
  <si>
    <t>VehicleKm_per_vehicle.km.PT.Tr.Road.Passenger.Bus.ICE.NGas</t>
  </si>
  <si>
    <t>VehicleKm_per_vehicle.km.PT.Tr.Road.Passenger.Bus.ICE.BEV</t>
  </si>
  <si>
    <t>VehicleKm_per_vehicle.km.PT.Tr.Road.Freight</t>
  </si>
  <si>
    <t>VehicleKm_per_vehicle.km.PT.Tr.Road.Freight.LCV</t>
  </si>
  <si>
    <t>VehicleKm_per_vehicle.km.PT.Tr.Road.Freight.LCV.ICE.Gasoline</t>
  </si>
  <si>
    <t>VehicleKm_per_vehicle.km.PT.Tr.Road.Freight.LCV.ICE.Diesel</t>
  </si>
  <si>
    <t>VehicleKm_per_vehicle.km.PT.Tr.Road.Freight.LCV.ICE.LPG</t>
  </si>
  <si>
    <t>VehicleKm_per_vehicle.km.PT.Tr.Road.Freight.LCV.ICE.NGas</t>
  </si>
  <si>
    <t>VehicleKm_per_vehicle.km.PT.Tr.Road.Freight.LCV.ICE.BEV</t>
  </si>
  <si>
    <t>VehicleKm_per_vehicle.km.PT.Tr.Road.Freight.HGV</t>
  </si>
  <si>
    <t>VehicleKm_per_vehicle.km.PT.Tr.Road.Freight.HGV.Domestic</t>
  </si>
  <si>
    <t>VehicleKm_per_vehicle.km.PT.Tr.Road.Freight.HGV.International</t>
  </si>
  <si>
    <t>Activity_per_vehicle.pkm.PT.Tr.Road.Passenger</t>
  </si>
  <si>
    <t>Activity_per_vehicle.pkm.PT.Tr.Road.Passenger.P2W</t>
  </si>
  <si>
    <t>Activity_per_vehicle.pkm.PT.Tr.Road.Passenger.Car</t>
  </si>
  <si>
    <t>Activity_per_vehicle.pkm.PT.Tr.Road.Passenger.Car.ICE.Gasoline</t>
  </si>
  <si>
    <t>Activity_per_vehicle.pkm.PT.Tr.Road.Passenger.Car.ICE.Diesel</t>
  </si>
  <si>
    <t>Activity_per_vehicle.pkm.PT.Tr.Road.Passenger.Car.ICE.LPG</t>
  </si>
  <si>
    <t>Activity_per_vehicle.pkm.PT.Tr.Road.Passenger.Car.ICE.NGas</t>
  </si>
  <si>
    <t>Activity_per_vehicle.pkm.PT.Tr.Road.Passenger.Car.PHEV</t>
  </si>
  <si>
    <t>Activity_per_vehicle.pkm.PT.Tr.Road.Passenger.Car.BEV</t>
  </si>
  <si>
    <t>Activity_per_vehicle.pkm.PT.Tr.Road.Passenger.Bus</t>
  </si>
  <si>
    <t>Activity_per_vehicle.pkm.PT.Tr.Road.Passenger.Bus.ICE.Gasoline</t>
  </si>
  <si>
    <t>Activity_per_vehicle.pkm.PT.Tr.Road.Passenger.Bus.ICE.Diesel</t>
  </si>
  <si>
    <t>Activity_per_vehicle.pkm.PT.Tr.Road.Passenger.Bus.ICE.LPG</t>
  </si>
  <si>
    <t>Activity_per_vehicle.pkm.PT.Tr.Road.Passenger.Bus.ICE.NGas</t>
  </si>
  <si>
    <t>Activity_per_vehicle.pkm.PT.Tr.Road.Passenger.Bus.ICE.BEV</t>
  </si>
  <si>
    <t>Activity_per_vehicle.tkm.PT.Tr.Road.Freight</t>
  </si>
  <si>
    <t>Activity_per_vehicle.tkm.PT.Tr.Road.Freight.LCV</t>
  </si>
  <si>
    <t>Activity_per_vehicle.tkm.PT.Tr.Road.Freight.LCV.ICE.Gasoline</t>
  </si>
  <si>
    <t>Activity_per_vehicle.tkm.PT.Tr.Road.Freight.LCV.ICE.Diesel</t>
  </si>
  <si>
    <t>Activity_per_vehicle.tkm.PT.Tr.Road.Freight.LCV.ICE.LPG</t>
  </si>
  <si>
    <t>Activity_per_vehicle.tkm.PT.Tr.Road.Freight.LCV.ICE.NGas</t>
  </si>
  <si>
    <t>Activity_per_vehicle.tkm.PT.Tr.Road.Freight.LCV.ICE.BEV</t>
  </si>
  <si>
    <t>Activity_per_vehicle.tkm.PT.Tr.Road.Freight.HGV</t>
  </si>
  <si>
    <t>Activity_per_vehicle.tkm.PT.Tr.Road.Freight.HGV.Domestic</t>
  </si>
  <si>
    <t>Activity_per_vehicle.tkm.PT.Tr.Road.Freight.HGV.International</t>
  </si>
  <si>
    <t>Road transport / energy consumption - PT - Portugal</t>
  </si>
  <si>
    <t>FEC.ktoe.PT.ES.Tr.Road</t>
  </si>
  <si>
    <t>FEC.ktoe.PT.ES.Tr.Road.LPG</t>
  </si>
  <si>
    <t>FEC.ktoe.PT.ES.Tr.Road.Gasoline</t>
  </si>
  <si>
    <t>FEC.ktoe.PT.ES.Tr.Road.Diesel</t>
  </si>
  <si>
    <t>FEC.ktoe.PT.ES.Tr.Road.NG</t>
  </si>
  <si>
    <t>FEC.ktoe.PT.ES.Tr.Road.Biogas</t>
  </si>
  <si>
    <t>FEC.ktoe.PT.ES.Tr.Road.Biogasoline</t>
  </si>
  <si>
    <t>FEC.ktoe.PT.ES.Tr.Road.Biodiesel</t>
  </si>
  <si>
    <t>FEC.ktoe.PT.ES.Tr.Road.OthLiqBio</t>
  </si>
  <si>
    <t>FEC.ktoe.PT.ES.Tr.Road.Elec</t>
  </si>
  <si>
    <t>FEC.ktoe.PT.Tr.Road</t>
  </si>
  <si>
    <t>FEC.ktoe.PT.Tr.Road.Passenger.P2W.Biogasoline</t>
  </si>
  <si>
    <t>FEC.ktoe.PT.Tr.Road.Passenger.Car.ICE.Gasoline</t>
  </si>
  <si>
    <t>FEC.ktoe.PT.Tr.Road.Passenger.Car.ICE.Gasoline.Biogasoline</t>
  </si>
  <si>
    <t>FEC.ktoe.PT.Tr.Road.Passenger.Car.ICE.Diesel</t>
  </si>
  <si>
    <t>FEC.ktoe.PT.Tr.Road.Passenger.Car.ICE.Diesel.BioDiesel_OthLiqBio</t>
  </si>
  <si>
    <t>FEC.ktoe.PT.Tr.Road.Passenger.Car.ICE.LPG</t>
  </si>
  <si>
    <t>FEC.ktoe.PT.Tr.Road.Passenger.Car.ICE.NGas</t>
  </si>
  <si>
    <t>FEC.ktoe.PT.Tr.Road.Passenger.Car.ICE.NGas.Biogas</t>
  </si>
  <si>
    <t>FEC.ktoe.PT.Tr.Road.Passenger.Car.PHEV</t>
  </si>
  <si>
    <t>FEC.ktoe.PT.Tr.Road.Passenger.Car.PHEV.Biogasoline</t>
  </si>
  <si>
    <t>FEC.ktoe.PT.Tr.Road.Passenger.Car.PHEV.Elec</t>
  </si>
  <si>
    <t>FEC.ktoe.PT.Tr.Road.Passenger.Car.BEV</t>
  </si>
  <si>
    <t>FEC.ktoe.PT.Tr.Road.Passenger.Bus.ICE.Gasoline</t>
  </si>
  <si>
    <t>FEC.ktoe.PT.Tr.Road.Passenger.Bus.ICE.Gasoline.Biogasoline</t>
  </si>
  <si>
    <t>FEC.ktoe.PT.Tr.Road.Passenger.Bus.ICE.Diesel</t>
  </si>
  <si>
    <t>FEC.ktoe.PT.Tr.Road.Passenger.Bus.ICE.Diesel.BioDiesel_OthLiqBio</t>
  </si>
  <si>
    <t>FEC.ktoe.PT.Tr.Road.Passenger.Bus.ICE.LPG</t>
  </si>
  <si>
    <t>FEC.ktoe.PT.Tr.Road.Passenger.Bus.ICE.NGas</t>
  </si>
  <si>
    <t>FEC.ktoe.PT.Tr.Road.Passenger.Bus.ICE.NGas.Biogas</t>
  </si>
  <si>
    <t>FEC.ktoe.PT.Tr.Road.Passenger.Bus.ICE.BEV</t>
  </si>
  <si>
    <t>FEC.ktoe.PT.Tr.Road.Freight.LCV.ICE.Gasoline</t>
  </si>
  <si>
    <t>FEC.ktoe.PT.Tr.Road.Freight.LCV.ICE.Gasoline.Biogasoline</t>
  </si>
  <si>
    <t>FEC.ktoe.PT.Tr.Road.Freight.LCV.ICE.Diesel</t>
  </si>
  <si>
    <t>FEC.ktoe.PT.Tr.Road.Freight.LCV.ICE.Diesel.BioDiesel_OthLiqBio</t>
  </si>
  <si>
    <t>FEC.ktoe.PT.Tr.Road.Freight.LCV.ICE.LPG</t>
  </si>
  <si>
    <t>FEC.ktoe.PT.Tr.Road.Freight.LCV.ICE.NGas</t>
  </si>
  <si>
    <t>FEC.ktoe.PT.Tr.Road.Freight.LCV.ICE.NGas.Biogas</t>
  </si>
  <si>
    <t>FEC.ktoe.PT.Tr.Road.Freight.LCV.ICE.BEV</t>
  </si>
  <si>
    <t>FEC.ktoe.PT.Tr.Road.Freight.HGV.Domestic</t>
  </si>
  <si>
    <t>FEC.ktoe.PT.Tr.Road.Freight.HGV.Domestic.BioDiesel_OthLiqBio</t>
  </si>
  <si>
    <t>FEC.ktoe.PT.Tr.Road.Freight.HGV.International</t>
  </si>
  <si>
    <t>FEC.ktoe.PT.Tr.Road.Freight.HGV.International.BioDiesel_OthLiqBio</t>
  </si>
  <si>
    <t>Eff.kgoe_per_100km.PT.Tr.Road</t>
  </si>
  <si>
    <t>Eff.kgoe_per_100km.PT.Tr.Road.Passenger</t>
  </si>
  <si>
    <t>Eff.kgoe_per_100km.PT.Tr.Road.Passenger.P2W</t>
  </si>
  <si>
    <t>Eff.kgoe_per_100km.PT.Tr.Road.Passenger.Car</t>
  </si>
  <si>
    <t>Eff.kgoe_per_100km.PT.Tr.Road.Passenger.Car.ICE.Gasoline</t>
  </si>
  <si>
    <t>Eff.kgoe_per_100km.PT.Tr.Road.Passenger.Car.ICE.Diesel</t>
  </si>
  <si>
    <t>Eff.kgoe_per_100km.PT.Tr.Road.Passenger.Car.ICE.LPG</t>
  </si>
  <si>
    <t>Eff.kgoe_per_100km.PT.Tr.Road.Passenger.Car.ICE.NGas</t>
  </si>
  <si>
    <t>Eff.kgoe_per_100km.PT.Tr.Road.Passenger.Car.PHEV</t>
  </si>
  <si>
    <t>Eff.kgoe_per_100km.PT.Tr.Road.Passenger.Car.BEV</t>
  </si>
  <si>
    <t>Eff.kgoe_per_100km.PT.Tr.Road.Passenger.Bus</t>
  </si>
  <si>
    <t>Eff.kgoe_per_100km.PT.Tr.Road.Passenger.Bus.ICE.Gasoline</t>
  </si>
  <si>
    <t>Eff.kgoe_per_100km.PT.Tr.Road.Passenger.Bus.ICE.Diesel</t>
  </si>
  <si>
    <t>Eff.kgoe_per_100km.PT.Tr.Road.Passenger.Bus.ICE.LPG</t>
  </si>
  <si>
    <t>Eff.kgoe_per_100km.PT.Tr.Road.Passenger.Bus.ICE.NGas</t>
  </si>
  <si>
    <t>Eff.kgoe_per_100km.PT.Tr.Road.Passenger.Bus.ICE.BEV</t>
  </si>
  <si>
    <t>Eff.kgoe_per_100km.PT.Tr.Road.Freight</t>
  </si>
  <si>
    <t>Eff.kgoe_per_100km.PT.Tr.Road.Freight.LCV</t>
  </si>
  <si>
    <t>Eff.kgoe_per_100km.PT.Tr.Road.Freight.LCV.ICE.Gasoline</t>
  </si>
  <si>
    <t>Eff.kgoe_per_100km.PT.Tr.Road.Freight.LCV.ICE.Diesel</t>
  </si>
  <si>
    <t>Eff.kgoe_per_100km.PT.Tr.Road.Freight.LCV.ICE.LPG</t>
  </si>
  <si>
    <t>Eff.kgoe_per_100km.PT.Tr.Road.Freight.LCV.ICE.NGas</t>
  </si>
  <si>
    <t>Eff.kgoe_per_100km.PT.Tr.Road.Freight.LCV.ICE.BEV</t>
  </si>
  <si>
    <t>Eff.kgoe_per_100km.PT.Tr.Road.Freight.HGV</t>
  </si>
  <si>
    <t>Eff.kgoe_per_100km.PT.Tr.Road.Freight.HGV.Domestic</t>
  </si>
  <si>
    <t>Eff.kgoe_per_100km.PT.Tr.Road.Freight.HGV.International</t>
  </si>
  <si>
    <t>Eff.kgoe_per_kpkm.PT.Tr.Road.Passenger.Car.ICE.Gasoline</t>
  </si>
  <si>
    <t>Eff.kgoe_per_kpkm.PT.Tr.Road.Passenger.Car.ICE.Diesel</t>
  </si>
  <si>
    <t>Eff.kgoe_per_kpkm.PT.Tr.Road.Passenger.Car.ICE.LPG</t>
  </si>
  <si>
    <t>Eff.kgoe_per_kpkm.PT.Tr.Road.Passenger.Car.ICE.NGas</t>
  </si>
  <si>
    <t>Eff.kgoe_per_kpkm.PT.Tr.Road.Passenger.Car.PHEV</t>
  </si>
  <si>
    <t>Eff.kgoe_per_kpkm.PT.Tr.Road.Passenger.Car.BEV</t>
  </si>
  <si>
    <t>Eff.kgoe_per_kpkm.PT.Tr.Road.Passenger.Bus.ICE.Gasoline</t>
  </si>
  <si>
    <t>Eff.kgoe_per_kpkm.PT.Tr.Road.Passenger.Bus.ICE.Diesel</t>
  </si>
  <si>
    <t>Eff.kgoe_per_kpkm.PT.Tr.Road.Passenger.Bus.ICE.LPG</t>
  </si>
  <si>
    <t>Eff.kgoe_per_kpkm.PT.Tr.Road.Passenger.Bus.ICE.NGas</t>
  </si>
  <si>
    <t>Eff.kgoe_per_kpkm.PT.Tr.Road.Passenger.Bus.ICE.BEV</t>
  </si>
  <si>
    <t>Eff.kgoe_per_ktkm.PT.Tr.Road.Freight.LCV.ICE.Gasoline</t>
  </si>
  <si>
    <t>Eff.kgoe_per_ktkm.PT.Tr.Road.Freight.LCV.ICE.Diesel</t>
  </si>
  <si>
    <t>Eff.kgoe_per_ktkm.PT.Tr.Road.Freight.LCV.ICE.LPG</t>
  </si>
  <si>
    <t>Eff.kgoe_per_ktkm.PT.Tr.Road.Freight.LCV.ICE.NGas</t>
  </si>
  <si>
    <t>Eff.kgoe_per_ktkm.PT.Tr.Road.Freight.LCV.ICE.BEV</t>
  </si>
  <si>
    <t>Eff.kgoe_per_ktkm.PT.Tr.Road.Freight.HGV.Domestic</t>
  </si>
  <si>
    <t>Eff.kgoe_per_ktkm.PT.Tr.Road.Freight.HGV.International</t>
  </si>
  <si>
    <t>FEC_per_vehicle.kgoe.PT.Tr.Road.Passenger.P2W</t>
  </si>
  <si>
    <t>FEC_per_vehicle.kgoe.PT.Tr.Road.Passenger.Car</t>
  </si>
  <si>
    <t>FEC_per_vehicle.kgoe.PT.Tr.Road.Passenger.Car.ICE.Gasoline</t>
  </si>
  <si>
    <t>FEC_per_vehicle.kgoe.PT.Tr.Road.Passenger.Car.ICE.Diesel</t>
  </si>
  <si>
    <t>FEC_per_vehicle.kgoe.PT.Tr.Road.Passenger.Car.ICE.LPG</t>
  </si>
  <si>
    <t>FEC_per_vehicle.kgoe.PT.Tr.Road.Passenger.Car.ICE.NGas</t>
  </si>
  <si>
    <t>FEC_per_vehicle.kgoe.PT.Tr.Road.Passenger.Car.PHEV</t>
  </si>
  <si>
    <t>FEC_per_vehicle.kgoe.PT.Tr.Road.Passenger.Car.BEV</t>
  </si>
  <si>
    <t>FEC_per_vehicle.kgoe.PT.Tr.Road.Passenger.Bus</t>
  </si>
  <si>
    <t>FEC_per_vehicle.kgoe.PT.Tr.Road.Passenger.Bus.ICE.Gasoline</t>
  </si>
  <si>
    <t>FEC_per_vehicle.kgoe.PT.Tr.Road.Passenger.Bus.ICE.Diesel</t>
  </si>
  <si>
    <t>FEC_per_vehicle.kgoe.PT.Tr.Road.Passenger.Bus.ICE.LPG</t>
  </si>
  <si>
    <t>FEC_per_vehicle.kgoe.PT.Tr.Road.Passenger.Bus.ICE.NGas</t>
  </si>
  <si>
    <t>FEC_per_vehicle.kgoe.PT.Tr.Road.Passenger.Bus.ICE.BEV</t>
  </si>
  <si>
    <t>FEC_per_vehicle.kgoe.PT.Tr.Road.Freight.LCV</t>
  </si>
  <si>
    <t>FEC_per_vehicle.kgoe.PT.Tr.Road.Freight.LCV.ICE.Gasoline</t>
  </si>
  <si>
    <t>FEC_per_vehicle.kgoe.PT.Tr.Road.Freight.LCV.ICE.Diesel</t>
  </si>
  <si>
    <t>FEC_per_vehicle.kgoe.PT.Tr.Road.Freight.LCV.ICE.LPG</t>
  </si>
  <si>
    <t>FEC_per_vehicle.kgoe.PT.Tr.Road.Freight.LCV.ICE.NGas</t>
  </si>
  <si>
    <t>FEC_per_vehicle.kgoe.PT.Tr.Road.Freight.LCV.ICE.BEV</t>
  </si>
  <si>
    <t>FEC_per_vehicle.kgoe.PT.Tr.Road.Freight.HGV</t>
  </si>
  <si>
    <t>FEC_per_vehicle.kgoe.PT.Tr.Road.Freight.HGV.Domestic</t>
  </si>
  <si>
    <t>FEC_per_vehicle.kgoe.PT.Tr.Road.Freight.HGV.International</t>
  </si>
  <si>
    <t>Road transport / CO2 emissions - PT - Portugal</t>
  </si>
  <si>
    <t>EMI.ktCO2.PT.ES.Tr.Road</t>
  </si>
  <si>
    <t>EMI.ktCO2.PT.ES.Tr.Road.LPG</t>
  </si>
  <si>
    <t>EMI.ktCO2.PT.ES.Tr.Road.Gasoline</t>
  </si>
  <si>
    <t>EMI.ktCO2.PT.ES.Tr.Road.Diesel</t>
  </si>
  <si>
    <t>EMI.ktCO2.PT.ES.Tr.Road.NG</t>
  </si>
  <si>
    <t>EMI.ktCO2.PT.ES.Tr.Road.Biogas</t>
  </si>
  <si>
    <t>EMI.ktCO2.PT.ES.Tr.Road.Biogasoline</t>
  </si>
  <si>
    <t>EMI.ktCO2.PT.ES.Tr.Road.Biodiesel</t>
  </si>
  <si>
    <t>EMI.ktCO2.PT.ES.Tr.Road.OthLiqBio</t>
  </si>
  <si>
    <t>EMI.ktCO2.PT.ES.Tr.Road.Elec</t>
  </si>
  <si>
    <t>EMI.ktCO2.PT.Tr.Road</t>
  </si>
  <si>
    <t>EMI.ktCO2.PT.Tr.Road.Passenger.Car.ICE.Gasoline</t>
  </si>
  <si>
    <t>EMI.ktCO2.PT.Tr.Road.Passenger.Car.ICE.Diesel</t>
  </si>
  <si>
    <t>EMI.ktCO2.PT.Tr.Road.Passenger.Car.ICE.LPG</t>
  </si>
  <si>
    <t>EMI.ktCO2.PT.Tr.Road.Passenger.Car.ICE.NGas</t>
  </si>
  <si>
    <t>EMI.ktCO2.PT.Tr.Road.Passenger.Car.PHEV</t>
  </si>
  <si>
    <t>EMI.ktCO2.PT.Tr.Road.Passenger.Car.BEV</t>
  </si>
  <si>
    <t>EMI.ktCO2.PT.Tr.Road.Passenger.Bus.ICE.Gasoline</t>
  </si>
  <si>
    <t>EMI.ktCO2.PT.Tr.Road.Passenger.Bus.ICE.Diesel</t>
  </si>
  <si>
    <t>EMI.ktCO2.PT.Tr.Road.Passenger.Bus.ICE.LPG</t>
  </si>
  <si>
    <t>EMI.ktCO2.PT.Tr.Road.Passenger.Bus.ICE.NGas</t>
  </si>
  <si>
    <t>EMI.ktCO2.PT.Tr.Road.Passenger.Bus.ICE.BEV</t>
  </si>
  <si>
    <t>EMI.ktCO2.PT.Tr.Road.Freight.LCV.ICE.Gasoline</t>
  </si>
  <si>
    <t>EMI.ktCO2.PT.Tr.Road.Freight.LCV.ICE.Diesel</t>
  </si>
  <si>
    <t>EMI.ktCO2.PT.Tr.Road.Freight.LCV.ICE.LPG</t>
  </si>
  <si>
    <t>EMI.ktCO2.PT.Tr.Road.Freight.LCV.ICE.NGas</t>
  </si>
  <si>
    <t>EMI.ktCO2.PT.Tr.Road.Freight.LCV.ICE.BEV</t>
  </si>
  <si>
    <t>EMI.ktCO2.PT.Tr.Road.Freight.HGV.Domestic</t>
  </si>
  <si>
    <t>EMI.ktCO2.PT.Tr.Road.Freight.HGV.International</t>
  </si>
  <si>
    <t>EMIint.gCO2_per_km.PT.Tr.Road</t>
  </si>
  <si>
    <t>EMIint.gCO2_per_km.PT.Tr.Road.Passenger</t>
  </si>
  <si>
    <t>EMIint.gCO2_per_km.PT.Tr.Road.Passenger.P2W</t>
  </si>
  <si>
    <t>EMIint.gCO2_per_km.PT.Tr.Road.Passenger.Car</t>
  </si>
  <si>
    <t>EMIint.gCO2_per_km.PT.Tr.Road.Passenger.Car.ICE.Gasoline</t>
  </si>
  <si>
    <t>EMIint.gCO2_per_km.PT.Tr.Road.Passenger.Car.ICE.Diesel</t>
  </si>
  <si>
    <t>EMIint.gCO2_per_km.PT.Tr.Road.Passenger.Car.ICE.LPG</t>
  </si>
  <si>
    <t>EMIint.gCO2_per_km.PT.Tr.Road.Passenger.Car.ICE.NGas</t>
  </si>
  <si>
    <t>EMIint.gCO2_per_km.PT.Tr.Road.Passenger.Car.PHEV</t>
  </si>
  <si>
    <t>EMIint.gCO2_per_km.PT.Tr.Road.Passenger.Car.BEV</t>
  </si>
  <si>
    <t>EMIint.gCO2_per_km.PT.Tr.Road.Passenger.Bus</t>
  </si>
  <si>
    <t>EMIint.gCO2_per_km.PT.Tr.Road.Passenger.Bus.ICE.Gasoline</t>
  </si>
  <si>
    <t>EMIint.gCO2_per_km.PT.Tr.Road.Passenger.Bus.ICE.Diesel</t>
  </si>
  <si>
    <t>EMIint.gCO2_per_km.PT.Tr.Road.Passenger.Bus.ICE.LPG</t>
  </si>
  <si>
    <t>EMIint.gCO2_per_km.PT.Tr.Road.Passenger.Bus.ICE.NGas</t>
  </si>
  <si>
    <t>EMIint.gCO2_per_km.PT.Tr.Road.Passenger.Bus.ICE.BEV</t>
  </si>
  <si>
    <t>EMIint.gCO2_per_km.PT.Tr.Road.Freight</t>
  </si>
  <si>
    <t>EMIint.gCO2_per_km.PT.Tr.Road.Freight.LCV</t>
  </si>
  <si>
    <t>EMIint.gCO2_per_km.PT.Tr.Road.Freight.LCV.ICE.Gasoline</t>
  </si>
  <si>
    <t>EMIint.gCO2_per_km.PT.Tr.Road.Freight.LCV.ICE.Diesel</t>
  </si>
  <si>
    <t>EMIint.gCO2_per_km.PT.Tr.Road.Freight.LCV.ICE.LPG</t>
  </si>
  <si>
    <t>EMIint.gCO2_per_km.PT.Tr.Road.Freight.LCV.ICE.NGas</t>
  </si>
  <si>
    <t>EMIint.gCO2_per_km.PT.Tr.Road.Freight.LCV.ICE.BEV</t>
  </si>
  <si>
    <t>EMIint.gCO2_per_km.PT.Tr.Road.Freight.HGV</t>
  </si>
  <si>
    <t>EMIint.gCO2_per_km.PT.Tr.Road.Freight.HGV.Domestic</t>
  </si>
  <si>
    <t>EMIint.gCO2_per_km.PT.Tr.Road.Freight.HGV.International</t>
  </si>
  <si>
    <t>EMIint.gCO2_per_pkm.PT.Tr.Road.Passenger.Car.ICE.Gasoline</t>
  </si>
  <si>
    <t>EMIint.gCO2_per_pkm.PT.Tr.Road.Passenger.Car.ICE.Diesel</t>
  </si>
  <si>
    <t>EMIint.gCO2_per_pkm.PT.Tr.Road.Passenger.Car.ICE.LPG</t>
  </si>
  <si>
    <t>EMIint.gCO2_per_pkm.PT.Tr.Road.Passenger.Car.ICE.NGas</t>
  </si>
  <si>
    <t>EMIint.gCO2_per_pkm.PT.Tr.Road.Passenger.Car.PHEV</t>
  </si>
  <si>
    <t>EMIint.gCO2_per_pkm.PT.Tr.Road.Passenger.Car.BEV</t>
  </si>
  <si>
    <t>EMIint.gCO2_per_pkm.PT.Tr.Road.Passenger.Bus.ICE.Gasoline</t>
  </si>
  <si>
    <t>EMIint.gCO2_per_pkm.PT.Tr.Road.Passenger.Bus.ICE.Diesel</t>
  </si>
  <si>
    <t>EMIint.gCO2_per_pkm.PT.Tr.Road.Passenger.Bus.ICE.LPG</t>
  </si>
  <si>
    <t>EMIint.gCO2_per_pkm.PT.Tr.Road.Passenger.Bus.ICE.NGas</t>
  </si>
  <si>
    <t>EMIint.gCO2_per_pkm.PT.Tr.Road.Passenger.Bus.ICE.BEV</t>
  </si>
  <si>
    <t>EMIint.gCO2_per_tkm.PT.Tr.Road.Freight.LCV.ICE.Gasoline</t>
  </si>
  <si>
    <t>EMIint.gCO2_per_tkm.PT.Tr.Road.Freight.LCV.ICE.Diesel</t>
  </si>
  <si>
    <t>EMIint.gCO2_per_tkm.PT.Tr.Road.Freight.LCV.ICE.LPG</t>
  </si>
  <si>
    <t>EMIint.gCO2_per_tkm.PT.Tr.Road.Freight.LCV.ICE.NGas</t>
  </si>
  <si>
    <t>EMIint.gCO2_per_tkm.PT.Tr.Road.Freight.LCV.ICE.BEV</t>
  </si>
  <si>
    <t>EMIint.gCO2_per_tkm.PT.Tr.Road.Freight.HGV.Domestic</t>
  </si>
  <si>
    <t>EMIint.gCO2_per_tkm.PT.Tr.Road.Freight.HGV.International</t>
  </si>
  <si>
    <t>EMI_per_vehicle.kgCO2.PT.Tr.Road.Passenger.P2W</t>
  </si>
  <si>
    <t>EMI_per_vehicle.kgCO2.PT.Tr.Road.Passenger.Car</t>
  </si>
  <si>
    <t>EMI_per_vehicle.kgCO2.PT.Tr.Road.Passenger.Car.ICE.Gasoline</t>
  </si>
  <si>
    <t>EMI_per_vehicle.kgCO2.PT.Tr.Road.Passenger.Car.ICE.Diesel</t>
  </si>
  <si>
    <t>EMI_per_vehicle.kgCO2.PT.Tr.Road.Passenger.Car.ICE.LPG</t>
  </si>
  <si>
    <t>EMI_per_vehicle.kgCO2.PT.Tr.Road.Passenger.Car.ICE.NGas</t>
  </si>
  <si>
    <t>EMI_per_vehicle.kgCO2.PT.Tr.Road.Passenger.Car.PHEV</t>
  </si>
  <si>
    <t>EMI_per_vehicle.kgCO2.PT.Tr.Road.Passenger.Car.BEV</t>
  </si>
  <si>
    <t>EMI_per_vehicle.kgCO2.PT.Tr.Road.Passenger.Bus</t>
  </si>
  <si>
    <t>EMI_per_vehicle.kgCO2.PT.Tr.Road.Passenger.Bus.ICE.Gasoline</t>
  </si>
  <si>
    <t>EMI_per_vehicle.kgCO2.PT.Tr.Road.Passenger.Bus.ICE.Diesel</t>
  </si>
  <si>
    <t>EMI_per_vehicle.kgCO2.PT.Tr.Road.Passenger.Bus.ICE.LPG</t>
  </si>
  <si>
    <t>EMI_per_vehicle.kgCO2.PT.Tr.Road.Passenger.Bus.ICE.NGas</t>
  </si>
  <si>
    <t>EMI_per_vehicle.kgCO2.PT.Tr.Road.Passenger.Bus.ICE.BEV</t>
  </si>
  <si>
    <t>EMI_per_vehicle.kgCO2.PT.Tr.Road.Freight.LCV</t>
  </si>
  <si>
    <t>EMI_per_vehicle.kgCO2.PT.Tr.Road.Freight.LCV.ICE.Gasoline</t>
  </si>
  <si>
    <t>EMI_per_vehicle.kgCO2.PT.Tr.Road.Freight.LCV.ICE.Diesel</t>
  </si>
  <si>
    <t>EMI_per_vehicle.kgCO2.PT.Tr.Road.Freight.LCV.ICE.LPG</t>
  </si>
  <si>
    <t>EMI_per_vehicle.kgCO2.PT.Tr.Road.Freight.LCV.ICE.NGas</t>
  </si>
  <si>
    <t>EMI_per_vehicle.kgCO2.PT.Tr.Road.Freight.LCV.ICE.BEV</t>
  </si>
  <si>
    <t>EMI_per_vehicle.kgCO2.PT.Tr.Road.Freight.HGV</t>
  </si>
  <si>
    <t>EMI_per_vehicle.kgCO2.PT.Tr.Road.Freight.HGV.Domestic</t>
  </si>
  <si>
    <t>EMI_per_vehicle.kgCO2.PT.Tr.Road.Freight.HGV.International</t>
  </si>
  <si>
    <t>Road transport / technologies - PT - Portugal</t>
  </si>
  <si>
    <t>StockVin.number.PT.Tr.Road</t>
  </si>
  <si>
    <t>StockVin.number.PT.Tr.Road.Passenger</t>
  </si>
  <si>
    <t>StockVin.number.PT.Tr.Road.Passenger.P2W</t>
  </si>
  <si>
    <t>StockVin.number.PT.Tr.Road.Passenger.Car</t>
  </si>
  <si>
    <t>StockVin.number.PT.Tr.Road.Passenger.Car.ICE.Gasoline</t>
  </si>
  <si>
    <t>StockVin.number.PT.Tr.Road.Passenger.Car.ICE.Diesel</t>
  </si>
  <si>
    <t>StockVin.number.PT.Tr.Road.Passenger.Car.ICE.LPG</t>
  </si>
  <si>
    <t>StockVin.number.PT.Tr.Road.Passenger.Car.ICE.NGas</t>
  </si>
  <si>
    <t>StockVin.number.PT.Tr.Road.Passenger.Car.PHEV</t>
  </si>
  <si>
    <t>StockVin.number.PT.Tr.Road.Passenger.Car.BEV</t>
  </si>
  <si>
    <t>StockVin.number.PT.Tr.Road.Passenger.Bus</t>
  </si>
  <si>
    <t>StockVin.number.PT.Tr.Road.Passenger.Bus.ICE.Gasoline</t>
  </si>
  <si>
    <t>StockVin.number.PT.Tr.Road.Passenger.Bus.ICE.Diesel</t>
  </si>
  <si>
    <t>StockVin.number.PT.Tr.Road.Passenger.Bus.ICE.LPG</t>
  </si>
  <si>
    <t>StockVin.number.PT.Tr.Road.Passenger.Bus.ICE.NGas</t>
  </si>
  <si>
    <t>StockVin.number.PT.Tr.Road.Passenger.Bus.ICE.BEV</t>
  </si>
  <si>
    <t>StockVin.number.PT.Tr.Road.Freight</t>
  </si>
  <si>
    <t>StockVin.number.PT.Tr.Road.Freight.LCV</t>
  </si>
  <si>
    <t>StockVin.number.PT.Tr.Road.Freight.LCV.ICE.Gasoline</t>
  </si>
  <si>
    <t>StockVin.number.PT.Tr.Road.Freight.LCV.ICE.Diesel</t>
  </si>
  <si>
    <t>StockVin.number.PT.Tr.Road.Freight.LCV.ICE.LPG</t>
  </si>
  <si>
    <t>StockVin.number.PT.Tr.Road.Freight.LCV.ICE.NGas</t>
  </si>
  <si>
    <t>StockVin.number.PT.Tr.Road.Freight.LCV.ICE.BEV</t>
  </si>
  <si>
    <t>StockVin.number.PT.Tr.Road.Freight.HGV</t>
  </si>
  <si>
    <t>StockVin.number.PT.Tr.Road.Freight.HGV.Domestic</t>
  </si>
  <si>
    <t>StockVin.number.PT.Tr.Road.Freight.HGV.International</t>
  </si>
  <si>
    <t>Eff_test_stock.kgoe_per_100km.PT.Tr.Road.Passenger.P2W</t>
  </si>
  <si>
    <t>Eff_test_stock.kgoe_per_100km.PT.Tr.Road.Passenger.Car</t>
  </si>
  <si>
    <t>Eff_test_stock.kgoe_per_100km.PT.Tr.Road.Passenger.Car.ICE.Gasoline</t>
  </si>
  <si>
    <t>Eff_test_stock.kgoe_per_100km.PT.Tr.Road.Passenger.Car.ICE.Diesel</t>
  </si>
  <si>
    <t>Eff_test_stock.kgoe_per_100km.PT.Tr.Road.Passenger.Car.ICE.LPG</t>
  </si>
  <si>
    <t>Eff_test_stock.kgoe_per_100km.PT.Tr.Road.Passenger.Car.ICE.NGas</t>
  </si>
  <si>
    <t>Eff_test_stock.kgoe_per_100km.PT.Tr.Road.Passenger.Car.PHEV</t>
  </si>
  <si>
    <t>Eff_test_stock.kgoe_per_100km.PT.Tr.Road.Passenger.Car.BEV</t>
  </si>
  <si>
    <t>Eff_test_stock.kgoe_per_100km.PT.Tr.Road.Passenger.Bus</t>
  </si>
  <si>
    <t>Eff_test_stock.kgoe_per_100km.PT.Tr.Road.Passenger.Bus.ICE.Gasoline</t>
  </si>
  <si>
    <t>Eff_test_stock.kgoe_per_100km.PT.Tr.Road.Passenger.Bus.ICE.Diesel</t>
  </si>
  <si>
    <t>Eff_test_stock.kgoe_per_100km.PT.Tr.Road.Passenger.Bus.ICE.LPG</t>
  </si>
  <si>
    <t>Eff_test_stock.kgoe_per_100km.PT.Tr.Road.Passenger.Bus.ICE.NGas</t>
  </si>
  <si>
    <t>Eff_test_stock.kgoe_per_100km.PT.Tr.Road.Passenger.Bus.ICE.BEV</t>
  </si>
  <si>
    <t>Eff_test_stock.kgoe_per_100km.PT.Tr.Road.Freight.LCV</t>
  </si>
  <si>
    <t>Eff_test_stock.kgoe_per_100km.PT.Tr.Road.Freight.LCV.ICE.Gasoline</t>
  </si>
  <si>
    <t>Eff_test_stock.kgoe_per_100km.PT.Tr.Road.Freight.LCV.ICE.Diesel</t>
  </si>
  <si>
    <t>Eff_test_stock.kgoe_per_100km.PT.Tr.Road.Freight.LCV.ICE.LPG</t>
  </si>
  <si>
    <t>Eff_test_stock.kgoe_per_100km.PT.Tr.Road.Freight.LCV.ICE.NGas</t>
  </si>
  <si>
    <t>Eff_test_stock.kgoe_per_100km.PT.Tr.Road.Freight.LCV.ICE.BEV</t>
  </si>
  <si>
    <t>Eff_test_stock.kgoe_per_100km.PT.Tr.Road.Freight.HGV</t>
  </si>
  <si>
    <t>Eff_test_stock.kgoe_per_100km.PT.Tr.Road.Freight.HGV.Domestic</t>
  </si>
  <si>
    <t>Eff_test_stock.kgoe_per_100km.PT.Tr.Road.Freight.HGV.International</t>
  </si>
  <si>
    <t>Eff_test_new.kgoe_per_100km.PT.Tr.Road.Passenger.P2W</t>
  </si>
  <si>
    <t>Eff_test_new.kgoe_per_100km.PT.Tr.Road.Passenger.Car</t>
  </si>
  <si>
    <t>Eff_test_new.kgoe_per_100km.PT.Tr.Road.Passenger.Car.ICE.Gasoline</t>
  </si>
  <si>
    <t>Eff_test_new.kgoe_per_100km.PT.Tr.Road.Passenger.Car.ICE.Diesel</t>
  </si>
  <si>
    <t>Eff_test_new.kgoe_per_100km.PT.Tr.Road.Passenger.Car.ICE.LPG</t>
  </si>
  <si>
    <t>Eff_test_new.kgoe_per_100km.PT.Tr.Road.Passenger.Car.ICE.NGas</t>
  </si>
  <si>
    <t>Eff_test_new.kgoe_per_100km.PT.Tr.Road.Passenger.Car.PHEV</t>
  </si>
  <si>
    <t>Eff_test_new.kgoe_per_100km.PT.Tr.Road.Passenger.Car.BEV</t>
  </si>
  <si>
    <t>Eff_test_new.kgoe_per_100km.PT.Tr.Road.Passenger.Bus</t>
  </si>
  <si>
    <t>Eff_test_new.kgoe_per_100km.PT.Tr.Road.Passenger.Bus.ICE.Gasoline</t>
  </si>
  <si>
    <t>Eff_test_new.kgoe_per_100km.PT.Tr.Road.Passenger.Bus.ICE.Diesel</t>
  </si>
  <si>
    <t>Eff_test_new.kgoe_per_100km.PT.Tr.Road.Passenger.Bus.ICE.LPG</t>
  </si>
  <si>
    <t>Eff_test_new.kgoe_per_100km.PT.Tr.Road.Passenger.Bus.ICE.NGas</t>
  </si>
  <si>
    <t>Eff_test_new.kgoe_per_100km.PT.Tr.Road.Passenger.Bus.ICE.BEV</t>
  </si>
  <si>
    <t>Eff_test_new.kgoe_per_100km.PT.Tr.Road.Freight.LCV</t>
  </si>
  <si>
    <t>Eff_test_new.kgoe_per_100km.PT.Tr.Road.Freight.LCV.ICE.Gasoline</t>
  </si>
  <si>
    <t>Eff_test_new.kgoe_per_100km.PT.Tr.Road.Freight.LCV.ICE.Diesel</t>
  </si>
  <si>
    <t>Eff_test_new.kgoe_per_100km.PT.Tr.Road.Freight.LCV.ICE.LPG</t>
  </si>
  <si>
    <t>Eff_test_new.kgoe_per_100km.PT.Tr.Road.Freight.LCV.ICE.NGas</t>
  </si>
  <si>
    <t>Eff_test_new.kgoe_per_100km.PT.Tr.Road.Freight.LCV.ICE.BEV</t>
  </si>
  <si>
    <t>Eff_test_new.kgoe_per_100km.PT.Tr.Road.Freight.HGV</t>
  </si>
  <si>
    <t>Eff_test_new.kgoe_per_100km.PT.Tr.Road.Freight.HGV.Domestic</t>
  </si>
  <si>
    <t>Eff_test_new.kgoe_per_100km.PT.Tr.Road.Freight.HGV.International</t>
  </si>
  <si>
    <t>EMIint_test_stock.gCO2_per_km.PT.Tr.Road.Passenger.P2W</t>
  </si>
  <si>
    <t>EMIint_test_stock.gCO2_per_km.PT.Tr.Road.Passenger.Car</t>
  </si>
  <si>
    <t>EMIint_test_stock.gCO2_per_km.PT.Tr.Road.Passenger.Car.ICE.Gasoline</t>
  </si>
  <si>
    <t>EMIint_test_stock.gCO2_per_km.PT.Tr.Road.Passenger.Car.ICE.Diesel</t>
  </si>
  <si>
    <t>EMIint_test_stock.gCO2_per_km.PT.Tr.Road.Passenger.Car.ICE.LPG</t>
  </si>
  <si>
    <t>EMIint_test_stock.gCO2_per_km.PT.Tr.Road.Passenger.Car.ICE.NGas</t>
  </si>
  <si>
    <t>EMIint_test_stock.gCO2_per_km.PT.Tr.Road.Passenger.Car.PHEV</t>
  </si>
  <si>
    <t>EMIint_test_stock.gCO2_per_km.PT.Tr.Road.Passenger.Car.BEV</t>
  </si>
  <si>
    <t>EMIint_test_stock.gCO2_per_km.PT.Tr.Road.Passenger.Bus</t>
  </si>
  <si>
    <t>EMIint_test_stock.gCO2_per_km.PT.Tr.Road.Passenger.Bus.ICE.Gasoline</t>
  </si>
  <si>
    <t>EMIint_test_stock.gCO2_per_km.PT.Tr.Road.Passenger.Bus.ICE.Diesel</t>
  </si>
  <si>
    <t>EMIint_test_stock.gCO2_per_km.PT.Tr.Road.Passenger.Bus.ICE.LPG</t>
  </si>
  <si>
    <t>EMIint_test_stock.gCO2_per_km.PT.Tr.Road.Passenger.Bus.ICE.NGas</t>
  </si>
  <si>
    <t>EMIint_test_stock.gCO2_per_km.PT.Tr.Road.Passenger.Bus.ICE.BEV</t>
  </si>
  <si>
    <t>EMIint_test_stock.gCO2_per_km.PT.Tr.Road.Freight.LCV</t>
  </si>
  <si>
    <t>EMIint_test_stock.gCO2_per_km.PT.Tr.Road.Freight.LCV.ICE.Gasoline</t>
  </si>
  <si>
    <t>EMIint_test_stock.gCO2_per_km.PT.Tr.Road.Freight.LCV.ICE.Diesel</t>
  </si>
  <si>
    <t>EMIint_test_stock.gCO2_per_km.PT.Tr.Road.Freight.LCV.ICE.LPG</t>
  </si>
  <si>
    <t>EMIint_test_stock.gCO2_per_km.PT.Tr.Road.Freight.LCV.ICE.NGas</t>
  </si>
  <si>
    <t>EMIint_test_stock.gCO2_per_km.PT.Tr.Road.Freight.LCV.ICE.BEV</t>
  </si>
  <si>
    <t>EMIint_test_stock.gCO2_per_km.PT.Tr.Road.Freight.HGV</t>
  </si>
  <si>
    <t>EMIint_test_stock.gCO2_per_km.PT.Tr.Road.Freight.HGV.Domestic</t>
  </si>
  <si>
    <t>EMIint_test_stock.gCO2_per_km.PT.Tr.Road.Freight.HGV.International</t>
  </si>
  <si>
    <t>EMIint_test_new.gCO2_per_km.PT.Tr.Road.Passenger.P2W</t>
  </si>
  <si>
    <t>EMIint_test_new.gCO2_per_km.PT.Tr.Road.Passenger.Car</t>
  </si>
  <si>
    <t>EMIint_test_new.gCO2_per_km.PT.Tr.Road.Passenger.Car.ICE.Gasoline</t>
  </si>
  <si>
    <t>EMIint_test_new.gCO2_per_km.PT.Tr.Road.Passenger.Car.ICE.Diesel</t>
  </si>
  <si>
    <t>EMIint_test_new.gCO2_per_km.PT.Tr.Road.Passenger.Car.ICE.LPG</t>
  </si>
  <si>
    <t>EMIint_test_new.gCO2_per_km.PT.Tr.Road.Passenger.Car.ICE.NGas</t>
  </si>
  <si>
    <t>EMIint_test_new.gCO2_per_km.PT.Tr.Road.Passenger.Car.PHEV</t>
  </si>
  <si>
    <t>EMIint_test_new.gCO2_per_km.PT.Tr.Road.Passenger.Car.BEV</t>
  </si>
  <si>
    <t>EMIint_test_new.gCO2_per_km.PT.Tr.Road.Passenger.Bus</t>
  </si>
  <si>
    <t>EMIint_test_new.gCO2_per_km.PT.Tr.Road.Passenger.Bus.ICE.Gasoline</t>
  </si>
  <si>
    <t>EMIint_test_new.gCO2_per_km.PT.Tr.Road.Passenger.Bus.ICE.Diesel</t>
  </si>
  <si>
    <t>EMIint_test_new.gCO2_per_km.PT.Tr.Road.Passenger.Bus.ICE.LPG</t>
  </si>
  <si>
    <t>EMIint_test_new.gCO2_per_km.PT.Tr.Road.Passenger.Bus.ICE.NGas</t>
  </si>
  <si>
    <t>EMIint_test_new.gCO2_per_km.PT.Tr.Road.Passenger.Bus.ICE.BEV</t>
  </si>
  <si>
    <t>EMIint_test_new.gCO2_per_km.PT.Tr.Road.Freight.LCV</t>
  </si>
  <si>
    <t>EMIint_test_new.gCO2_per_km.PT.Tr.Road.Freight.LCV.ICE.Gasoline</t>
  </si>
  <si>
    <t>EMIint_test_new.gCO2_per_km.PT.Tr.Road.Freight.LCV.ICE.Diesel</t>
  </si>
  <si>
    <t>EMIint_test_new.gCO2_per_km.PT.Tr.Road.Freight.LCV.ICE.LPG</t>
  </si>
  <si>
    <t>EMIint_test_new.gCO2_per_km.PT.Tr.Road.Freight.LCV.ICE.NGas</t>
  </si>
  <si>
    <t>EMIint_test_new.gCO2_per_km.PT.Tr.Road.Freight.LCV.ICE.BEV</t>
  </si>
  <si>
    <t>EMIint_test_new.gCO2_per_km.PT.Tr.Road.Freight.HGV</t>
  </si>
  <si>
    <t>EMIint_test_new.gCO2_per_km.PT.Tr.Road.Freight.HGV.Domestic</t>
  </si>
  <si>
    <t>EMIint_test_new.gCO2_per_km.PT.Tr.Road.Freight.HGV.International</t>
  </si>
  <si>
    <t>FEC.ktoe.PT.MBunk</t>
  </si>
  <si>
    <t>FEC.ktoe.PT.MBunk.IntraEEA</t>
  </si>
  <si>
    <t>FEC.ktoe.PT.MBunk.ExtraEEA</t>
  </si>
  <si>
    <t>EMI.ktCO2.PT.MBunk</t>
  </si>
  <si>
    <t>EMI.ktCO2.PT.MBunk.IntraEEA</t>
  </si>
  <si>
    <t>EMI.ktCO2.PT.MBunk.ExtraEEA</t>
  </si>
  <si>
    <t>International maritime bunkers - PT - Portugal</t>
  </si>
  <si>
    <t>VehicleKm.Mkm.PT.MBunk.Freight</t>
  </si>
  <si>
    <t>VehicleKm.Mkm.PT.MBunk.Freight.IntraEEA</t>
  </si>
  <si>
    <t>VehicleKm.Mkm.PT.MBunk.Freight.ExtraEEA</t>
  </si>
  <si>
    <t>Load.t_per_movement.PT.MBunk.Freight</t>
  </si>
  <si>
    <t>Load.t_per_movement.PT.MBunk.Freight.IntraEEA</t>
  </si>
  <si>
    <t>Load.t_per_movement.PT.MBunk.Freight.ExtraEEA</t>
  </si>
  <si>
    <t>International maritime bunkers / energy consumption - PT - Portugal</t>
  </si>
  <si>
    <t>FEC.ktoe.PT.ES.MBunk</t>
  </si>
  <si>
    <t>FEC.ktoe.PT.ES.MBunk.IntraEEA</t>
  </si>
  <si>
    <t>FEC.ktoe.PT.ES.MBunk.IntraEEA.Diesel</t>
  </si>
  <si>
    <t>FEC.ktoe.PT.ES.MBunk.IntraEEA.RFO_Other</t>
  </si>
  <si>
    <t>FEC.ktoe.PT.ES.MBunk.IntraEEA.LiqBio</t>
  </si>
  <si>
    <t>FEC.ktoe.PT.ES.MBunk.IntraEEA.NG</t>
  </si>
  <si>
    <t>FEC.ktoe.PT.ES.MBunk.IntraEEA.Biogas</t>
  </si>
  <si>
    <t>FEC.ktoe.PT.ES.MBunk.ExtraEEA</t>
  </si>
  <si>
    <t>FEC.ktoe.PT.ES.MBunk.ExtraEEA.Diesel</t>
  </si>
  <si>
    <t>FEC.ktoe.PT.ES.MBunk.ExtraEEA.RFO_Other</t>
  </si>
  <si>
    <t>FEC.ktoe.PT.ES.MBunk.ExtraEEA.LiqBio</t>
  </si>
  <si>
    <t>FEC.ktoe.PT.ES.MBunk.ExtraEEA.NG</t>
  </si>
  <si>
    <t>FEC.ktoe.PT.ES.MBunk.ExtraEEA.Biogas</t>
  </si>
  <si>
    <t>Eff.kgoe_per_100km.PT.MBunk.Freight</t>
  </si>
  <si>
    <t>Eff.kgoe_per_100km.PT.MBunk.Freight.IntraEEA</t>
  </si>
  <si>
    <t>Eff.kgoe_per_100km.PT.MBunk.Freight.ExtraEEA</t>
  </si>
  <si>
    <t>International maritime bunkers / CO2 emissions - PT - Portugal</t>
  </si>
  <si>
    <t>EMI.ktCO2.PT.ES.MBunk</t>
  </si>
  <si>
    <t>EMI.ktCO2.PT.ES.MBunk.IntraEEA</t>
  </si>
  <si>
    <t>EMI.ktCO2.PT.ES.MBunk.ExtraEEA</t>
  </si>
  <si>
    <t>EMIint.gCO2_per_km.PT.MBunk.Freight</t>
  </si>
  <si>
    <t>EMIint.gCO2_per_km.PT.MBunk.Freight.IntraEEA</t>
  </si>
  <si>
    <t>EMIint.gCO2_per_km.PT.MBunk.Freight.ExtraEEA</t>
  </si>
  <si>
    <t>FEC.ktoe.PT.Tr.DNavi</t>
  </si>
  <si>
    <t>FEC.ktoe.PT.Tr.Dnavi.DCS</t>
  </si>
  <si>
    <t>FEC.ktoe.PT.Tr.Dnavi.IWW</t>
  </si>
  <si>
    <t>EMI.ktCO2.PT.Tr.DNavi</t>
  </si>
  <si>
    <t>EMI.ktCO2.PT.Tr.Dnavi.DCS</t>
  </si>
  <si>
    <t>EMI.ktCO2.PT.Tr.Dnavi.IWW</t>
  </si>
  <si>
    <t>Domestic navigation - PT - Portugal</t>
  </si>
  <si>
    <t>VehicleKm.Mkm.PT.Tr.DNavi.Freight</t>
  </si>
  <si>
    <t>VehicleKm.Mkm.PT.Tr.DNavi.Freight.DCS</t>
  </si>
  <si>
    <t>VehicleKm.Mkm.PT.Tr.DNavi.Freight.IWW</t>
  </si>
  <si>
    <t>Load.t_per_movement.PT.Tr.DNavi.Freight</t>
  </si>
  <si>
    <t>Load.t_per_movement.PT.Tr.DNavi.Freight.DCS</t>
  </si>
  <si>
    <t>Load.t_per_movement.PT.Tr.DNavi.Freight.IWW</t>
  </si>
  <si>
    <t>Domestic navigation / energy consumption - PT - Portugal</t>
  </si>
  <si>
    <t>FEC.ktoe.PT.ES.Tr.DNavi</t>
  </si>
  <si>
    <t>FEC.ktoe.PT.ES.Tr.DNavi.DCS</t>
  </si>
  <si>
    <t>FEC.ktoe.PT.ES.Tr.DNavi.DCS.Diesel</t>
  </si>
  <si>
    <t>FEC.ktoe.PT.ES.Tr.DNavi.DCS.RFO_Other</t>
  </si>
  <si>
    <t>FEC.ktoe.PT.ES.Tr.DNavi.DCS.LiqBio</t>
  </si>
  <si>
    <t>FEC.ktoe.PT.ES.Tr.DNavi.DCS.NG</t>
  </si>
  <si>
    <t>FEC.ktoe.PT.ES.Tr.DNavi.DCS.Biogas</t>
  </si>
  <si>
    <t>FEC.ktoe.PT.ES.Tr.DNavi.IWW</t>
  </si>
  <si>
    <t>FEC.ktoe.PT.ES.Tr.DNavi.IWW.Diesel</t>
  </si>
  <si>
    <t>FEC.ktoe.PT.ES.Tr.DNavi.IWW.RFO_Other</t>
  </si>
  <si>
    <t>FEC.ktoe.PT.ES.Tr.DNavi.IWW.LiqBio</t>
  </si>
  <si>
    <t>FEC.ktoe.PT.ES.Tr.DNavi.IWW.NG</t>
  </si>
  <si>
    <t>FEC.ktoe.PT.ES.Tr.DNavi.IWW.Biogas</t>
  </si>
  <si>
    <t>Eff.kgoe_per_100km.PT.Tr.DNavi.Freight</t>
  </si>
  <si>
    <t>Eff.kgoe_per_100km.PT.Tr.DNavi.Freight.DCS</t>
  </si>
  <si>
    <t>Eff.kgoe_per_100km.PT.Tr.DNavi.Freight.IWW</t>
  </si>
  <si>
    <t>Domestic navigation / CO2 emissions - PT - Portugal</t>
  </si>
  <si>
    <t>EMI.ktCO2.PT.ES.Tr.DNavi</t>
  </si>
  <si>
    <t>EMI.ktCO2.PT.ES.Tr.DNavi.DCS</t>
  </si>
  <si>
    <t>EMI.ktCO2.PT.ES.Tr.DNavi.IWW</t>
  </si>
  <si>
    <t>EMIint.gCO2_per_km.PT.Tr.DNavi.Freight</t>
  </si>
  <si>
    <t>EMIint.gCO2_per_km.PT.Tr.DNavi.Freight.DCS</t>
  </si>
  <si>
    <t>EMIint.gCO2_per_km.PT.Tr.DNavi.Freight.IWW</t>
  </si>
  <si>
    <t>Rail, metro and tram - PT - Portugal</t>
  </si>
  <si>
    <t>Activity.Mpkm.PT.Tr.Rail.Passenger.CPT.Diesel</t>
  </si>
  <si>
    <t>Activity.Mpkm.PT.Tr.Rail.Passenger.CPT.Elc</t>
  </si>
  <si>
    <t>Activity.Mtkm.PT.Tr.Rail.Freight.Diesel</t>
  </si>
  <si>
    <t>Activity.Mtkm.PT.Tr.Rail.Freight.Elc</t>
  </si>
  <si>
    <t>VehicleKm.Mkm.PT.Tr.Rail</t>
  </si>
  <si>
    <t>VehicleKm.Mkm.PT.Tr.Rail.Passenger</t>
  </si>
  <si>
    <t>VehicleKm.Mkm.PT.Tr.Rail.Passenger.MTU</t>
  </si>
  <si>
    <t>VehicleKm.Mkm.PT.Tr.Rail.Passenger.CPT</t>
  </si>
  <si>
    <t>VehicleKm.Mkm.PT.Tr.Rail.Passenger.CPT.Diesel</t>
  </si>
  <si>
    <t>VehicleKm.Mkm.PT.Tr.Rail.Passenger.CPT.Elc</t>
  </si>
  <si>
    <t>VehicleKm.Mkm.PT.Tr.Rail.Passenger.HST</t>
  </si>
  <si>
    <t>VehicleKm.Mkm.PT.Tr.Rail.Freight</t>
  </si>
  <si>
    <t>VehicleKm.Mkm.PT.Tr.Rail.Freight.Diesel</t>
  </si>
  <si>
    <t>VehicleKm.Mkm.PT.Tr.Rail.Freight.Elc</t>
  </si>
  <si>
    <t>Stock.number.PT.Tr.Rail</t>
  </si>
  <si>
    <t>Stock.number.PT.Tr.Rail.Passenger</t>
  </si>
  <si>
    <t>Stock.number.PT.Tr.Rail.Passenger.MTU</t>
  </si>
  <si>
    <t>Stock.number.PT.Tr.Rail.Passenger.CPT</t>
  </si>
  <si>
    <t>Stock.number.PT.Tr.Rail.Passenger.CPT.Diesel</t>
  </si>
  <si>
    <t>Stock.number.PT.Tr.Rail.Passenger.CPT.Elc</t>
  </si>
  <si>
    <t>Stock.number.PT.Tr.Rail.Passenger.HST</t>
  </si>
  <si>
    <t>Stock.number.PT.Tr.Rail.Freight</t>
  </si>
  <si>
    <t>Stock.number.PT.Tr.Rail.Freight.Diesel</t>
  </si>
  <si>
    <t>Stock.number.PT.Tr.Rail.Freight.Elc</t>
  </si>
  <si>
    <t>StockNew.number.PT.Tr.Rail</t>
  </si>
  <si>
    <t>StockNew.number.PT.Tr.Rail.Passenger</t>
  </si>
  <si>
    <t>StockNew.number.PT.Tr.Rail.Passenger.MTU</t>
  </si>
  <si>
    <t>StockNew.number.PT.Tr.Rail.Passenger.CPT</t>
  </si>
  <si>
    <t>StockNew.number.PT.Tr.Rail.Passenger.CPT.Diesel</t>
  </si>
  <si>
    <t>StockNew.number.PT.Tr.Rail.Passenger.CPT.Elc</t>
  </si>
  <si>
    <t>StockNew.number.PT.Tr.Rail.Passenger.HST</t>
  </si>
  <si>
    <t>StockNew.number.PT.Tr.Rail.Freight</t>
  </si>
  <si>
    <t>StockNew.number.PT.Tr.Rail.Freight.Diesel</t>
  </si>
  <si>
    <t>StockNew.number.PT.Tr.Rail.Freight.Elc</t>
  </si>
  <si>
    <t>Load.passenger_per_movement.PT.Tr.Rail.Passenger</t>
  </si>
  <si>
    <t>Load.passenger_per_movement.PT.Tr.Rail.Passenger.MTU</t>
  </si>
  <si>
    <t>Load.passenger_per_movement.PT.Tr.Rail.Passenger.CPT</t>
  </si>
  <si>
    <t>Load.passenger_per_movement.PT.Tr.Rail.Passenger.CPT.Diesel</t>
  </si>
  <si>
    <t>Load.passenger_per_movement.PT.Tr.Rail.Passenger.CPT.Elc</t>
  </si>
  <si>
    <t>Load.passenger_per_movement.PT.Tr.Rail.Passenger.HST</t>
  </si>
  <si>
    <t>Load.t_per_movement.PT.Tr.Rail.Freight</t>
  </si>
  <si>
    <t>Load.t_per_movement.PT.Tr.Rail.Freight.Diesel</t>
  </si>
  <si>
    <t>Load.t_per_movement.PT.Tr.Rail.Freight.Elc</t>
  </si>
  <si>
    <t>TrCap.seats.PT.Tr.Rail.Passenger</t>
  </si>
  <si>
    <t>TrCap.seats.PT.Tr.Rail.Passenger.MTU</t>
  </si>
  <si>
    <t>TrCap.seats.PT.Tr.Rail.Passenger.CPT</t>
  </si>
  <si>
    <t>TrCap.seats.PT.Tr.Rail.Passenger.CPT.Diesel</t>
  </si>
  <si>
    <t>TrCap.seats.PT.Tr.Rail.Passenger.CPT.Elc</t>
  </si>
  <si>
    <t>TrCap.seats.PT.Tr.Rail.Passenger.HST</t>
  </si>
  <si>
    <t>TrCap.t.PT.Tr.Rail.Freight</t>
  </si>
  <si>
    <t>TrCap.t.PT.Tr.Rail.Freight.Diesel</t>
  </si>
  <si>
    <t>TrCap.t.PT.Tr.Rail.Freight.Elc</t>
  </si>
  <si>
    <t>VehicleKm_per_vehicle.km.PT.Tr.Rail</t>
  </si>
  <si>
    <t>VehicleKm_per_vehicle.km.PT.Tr.Rail.Passenger</t>
  </si>
  <si>
    <t>VehicleKm_per_vehicle.km.PT.Tr.Rail.Passenger.MTU</t>
  </si>
  <si>
    <t>VehicleKm_per_vehicle.km.PT.Tr.Rail.Passenger.CPT</t>
  </si>
  <si>
    <t>VehicleKm_per_vehicle.km.PT.Tr.Rail.Passenger.CPT.Diesel</t>
  </si>
  <si>
    <t>VehicleKm_per_vehicle.km.PT.Tr.Rail.Passenger.CPT.Elc</t>
  </si>
  <si>
    <t>VehicleKm_per_vehicle.km.PT.Tr.Rail.Passenger.HST</t>
  </si>
  <si>
    <t>VehicleKm_per_vehicle.km.PT.Tr.Rail.Freight</t>
  </si>
  <si>
    <t>VehicleKm_per_vehicle.km.PT.Tr.Rail.Freight.Diesel</t>
  </si>
  <si>
    <t>VehicleKm_per_vehicle.km.PT.Tr.Rail.Freight.Elc</t>
  </si>
  <si>
    <t>Activity_per_vehicle.pkm.PT.Tr.Rail.Passenger</t>
  </si>
  <si>
    <t>Activity_per_vehicle.pkm.PT.Tr.Rail.Passenger.MTU</t>
  </si>
  <si>
    <t>Activity_per_vehicle.pkm.PT.Tr.Rail.Passenger.CPT</t>
  </si>
  <si>
    <t>Activity_per_vehicle.pkm.PT.Tr.Rail.Passenger.CPT.Diesel</t>
  </si>
  <si>
    <t>Activity_per_vehicle.pkm.PT.Tr.Rail.Passenger.CPT.Elc</t>
  </si>
  <si>
    <t>Activity_per_vehicle.pkm.PT.Tr.Rail.Passenger.HST</t>
  </si>
  <si>
    <t>Activity_per_vehicle.tkm.PT.Tr.Rail.Freight</t>
  </si>
  <si>
    <t>Activity_per_vehicle.tkm.PT.Tr.Rail.Freight.Diesel</t>
  </si>
  <si>
    <t>Activity_per_vehicle.tkm.PT.Tr.Rail.Freight.Elc</t>
  </si>
  <si>
    <t>Rail, metro and tram / energy consumption - PT - Portugal</t>
  </si>
  <si>
    <t>FEC.ktoe.PT.ES.Tr.Rail</t>
  </si>
  <si>
    <t>FEC.ktoe.PT.ES.Tr.Rail.Diesel</t>
  </si>
  <si>
    <t>FEC.ktoe.PT.ES.Tr.Rail.LiqBio</t>
  </si>
  <si>
    <t>FEC.ktoe.PT.ES.Tr.Rail.Elec</t>
  </si>
  <si>
    <t>FEC.ktoe.PT.Tr.Rail</t>
  </si>
  <si>
    <t>FEC.ktoe.PT.Tr.Rail.Passenger.CPT.Diesel</t>
  </si>
  <si>
    <t>FEC.ktoe.PT.Tr.Rail.Passenger.CPT.Elc</t>
  </si>
  <si>
    <t>FEC.ktoe.PT.Tr.Rail.Freight.Diesel</t>
  </si>
  <si>
    <t>FEC.ktoe.PT.Tr.Rail.Freight.Elc</t>
  </si>
  <si>
    <t>Eff.kgoe_per_100km.PT.Tr.Rail</t>
  </si>
  <si>
    <t>Eff.kgoe_per_100km.PT.Tr.Rail.Passenger</t>
  </si>
  <si>
    <t>Eff.kgoe_per_100km.PT.Tr.Rail.Passenger.MTU</t>
  </si>
  <si>
    <t>Eff.kgoe_per_100km.PT.Tr.Rail.Passenger.CPT</t>
  </si>
  <si>
    <t>Eff.kgoe_per_100km.PT.Tr.Rail.Passenger.CPT.Diesel</t>
  </si>
  <si>
    <t>Eff.kgoe_per_100km.PT.Tr.Rail.Passenger.CPT.Elc</t>
  </si>
  <si>
    <t>Eff.kgoe_per_100km.PT.Tr.Rail.Passenger.HST</t>
  </si>
  <si>
    <t>Eff.kgoe_per_100km.PT.Tr.Rail.Freight</t>
  </si>
  <si>
    <t>Eff.kgoe_per_100km.PT.Tr.Rail.Freight.Diesel</t>
  </si>
  <si>
    <t>Eff.kgoe_per_100km.PT.Tr.Rail.Freight.Elc</t>
  </si>
  <si>
    <t>Eff.kgoe_per_kpkm.PT.Tr.Rail.Passenger.CPT.Diesel</t>
  </si>
  <si>
    <t>Eff.kgoe_per_kpkm.PT.Tr.Rail.Passenger.CPT.Elc</t>
  </si>
  <si>
    <t>Eff.kgoe_per_ktkm.PT.Tr.Rail.Freight.Diesel</t>
  </si>
  <si>
    <t>Eff.kgoe_per_ktkm.PT.Tr.Rail.Freight.Elc</t>
  </si>
  <si>
    <t>FEC_per_vehicle.kgoe.PT.Tr.Rail</t>
  </si>
  <si>
    <t>FEC_per_vehicle.kgoe.PT.Tr.Rail.Passenger</t>
  </si>
  <si>
    <t>FEC_per_vehicle.kgoe.PT.Tr.Rail.Passenger.MTU</t>
  </si>
  <si>
    <t>FEC_per_vehicle.kgoe.PT.Tr.Rail.Passenger.CPT</t>
  </si>
  <si>
    <t>FEC_per_vehicle.kgoe.PT.Tr.Rail.Passenger.CPT.Diesel</t>
  </si>
  <si>
    <t>FEC_per_vehicle.kgoe.PT.Tr.Rail.Passenger.CPT.Elc</t>
  </si>
  <si>
    <t>FEC_per_vehicle.kgoe.PT.Tr.Rail.Passenger.HST</t>
  </si>
  <si>
    <t>FEC_per_vehicle.kgoe.PT.Tr.Rail.Freight</t>
  </si>
  <si>
    <t>FEC_per_vehicle.kgoe.PT.Tr.Rail.Freight.Diesel</t>
  </si>
  <si>
    <t>FEC_per_vehicle.kgoe.PT.Tr.Rail.Freight.Elc</t>
  </si>
  <si>
    <t>Rail, metro and tram / CO2 emissions - PT - Portugal</t>
  </si>
  <si>
    <t>EMI.ktCO2.PT.ES.Tr.Rail</t>
  </si>
  <si>
    <t>EMI.ktCO2.PT.ES.Tr.Rail.Diesel</t>
  </si>
  <si>
    <t>EMI.ktCO2.PT.ES.Tr.Rail.Elec</t>
  </si>
  <si>
    <t>EMI.ktCO2.PT.Tr.Rail</t>
  </si>
  <si>
    <t>EMI.ktCO2.PT.Tr.Rail.Passenger.CPT.Diesel</t>
  </si>
  <si>
    <t>EMI.ktCO2.PT.Tr.Rail.Passenger.CPT.Elc</t>
  </si>
  <si>
    <t>EMI.ktCO2.PT.Tr.Rail.Freight.Diesel</t>
  </si>
  <si>
    <t>EMI.ktCO2.PT.Tr.Rail.Freight.Elc</t>
  </si>
  <si>
    <t>EMIint.gCO2_per_km.PT.Tr.Rail</t>
  </si>
  <si>
    <t>EMIint.gCO2_per_km.PT.Tr.Rail.Passenger</t>
  </si>
  <si>
    <t>EMIint.gCO2_per_km.PT.Tr.Rail.Passenger.MTU</t>
  </si>
  <si>
    <t>EMIint.gCO2_per_km.PT.Tr.Rail.Passenger.CPT</t>
  </si>
  <si>
    <t>EMIint.gCO2_per_km.PT.Tr.Rail.Passenger.CPT.Diesel</t>
  </si>
  <si>
    <t>EMIint.gCO2_per_km.PT.Tr.Rail.Passenger.CPT.Elc</t>
  </si>
  <si>
    <t>EMIint.gCO2_per_km.PT.Tr.Rail.Passenger.HST</t>
  </si>
  <si>
    <t>EMIint.gCO2_per_km.PT.Tr.Rail.Freight</t>
  </si>
  <si>
    <t>EMIint.gCO2_per_km.PT.Tr.Rail.Freight.Diesel</t>
  </si>
  <si>
    <t>EMIint.gCO2_per_km.PT.Tr.Rail.Freight.Elc</t>
  </si>
  <si>
    <t>EMIint.gCO2_per_pkm.PT.Tr.Rail.Passenger.CPT.Diesel</t>
  </si>
  <si>
    <t>EMIint.gCO2_per_pkm.PT.Tr.Rail.Passenger.CPT.Elc</t>
  </si>
  <si>
    <t>EMIint.gCO2_per_tkm.PT.Tr.Rail.Freight.Diesel</t>
  </si>
  <si>
    <t>EMIint.gCO2_per_tkm.PT.Tr.Rail.Freight.Elc</t>
  </si>
  <si>
    <t>EMI_per_vehicle.tCO2.PT.Tr.Rail</t>
  </si>
  <si>
    <t>EMI_per_vehicle.tCO2.PT.Tr.Rail.Passenger</t>
  </si>
  <si>
    <t>EMI_per_vehicle.tCO2.PT.Tr.Rail.Passenger.MTU</t>
  </si>
  <si>
    <t>EMI_per_vehicle.tCO2.PT.Tr.Rail.Passenger.CPT</t>
  </si>
  <si>
    <t>EMI_per_vehicle.tCO2.PT.Tr.Rail.Passenger.CPT.Diesel</t>
  </si>
  <si>
    <t>EMI_per_vehicle.tCO2.PT.Tr.Rail.Passenger.CPT.Elc</t>
  </si>
  <si>
    <t>EMI_per_vehicle.tCO2.PT.Tr.Rail.Passenger.HST</t>
  </si>
  <si>
    <t>EMI_per_vehicle.tCO2.PT.Tr.Rail.Freight</t>
  </si>
  <si>
    <t>EMI_per_vehicle.tCO2.PT.Tr.Rail.Freight.Diesel</t>
  </si>
  <si>
    <t>EMI_per_vehicle.tCO2.PT.Tr.Rail.Freight.Elc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</si>
</sst>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45432.788263888891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109578.08902472371</v>
      </c>
      <c r="C4" s="28">
        <f t="shared" si="0"/>
        <v>110755.29162787338</v>
      </c>
      <c r="D4" s="28">
        <f t="shared" si="0"/>
        <v>114443.98678963369</v>
      </c>
      <c r="E4" s="28">
        <f t="shared" si="0"/>
        <v>119216.98275026571</v>
      </c>
      <c r="F4" s="28">
        <f t="shared" si="0"/>
        <v>121965.5882385749</v>
      </c>
      <c r="G4" s="28">
        <f t="shared" si="0"/>
        <v>121284.85739254263</v>
      </c>
      <c r="H4" s="28">
        <f t="shared" si="0"/>
        <v>123589.98973779919</v>
      </c>
      <c r="I4" s="28">
        <f t="shared" si="0"/>
        <v>126960.4383580015</v>
      </c>
      <c r="J4" s="28">
        <f t="shared" si="0"/>
        <v>128535.45618178643</v>
      </c>
      <c r="K4" s="28">
        <f t="shared" si="0"/>
        <v>126245.2570843666</v>
      </c>
      <c r="L4" s="28">
        <f t="shared" si="0"/>
        <v>125931.22729902031</v>
      </c>
      <c r="M4" s="28">
        <f t="shared" si="0"/>
        <v>127318.51082336585</v>
      </c>
      <c r="N4" s="28">
        <f t="shared" si="0"/>
        <v>126741.43530364191</v>
      </c>
      <c r="O4" s="28">
        <f t="shared" si="0"/>
        <v>127960.31094751423</v>
      </c>
      <c r="P4" s="28">
        <f t="shared" si="0"/>
        <v>131778.11596198182</v>
      </c>
      <c r="Q4" s="28">
        <f t="shared" si="0"/>
        <v>135166.71568423044</v>
      </c>
      <c r="R4" s="28">
        <f t="shared" ref="R4:V4" si="1">R5+R9+R13</f>
        <v>146346.70183411232</v>
      </c>
      <c r="S4" s="28">
        <f t="shared" si="1"/>
        <v>156642.46075065751</v>
      </c>
      <c r="T4" s="28">
        <f t="shared" si="1"/>
        <v>165375.91215925768</v>
      </c>
      <c r="U4" s="28">
        <f t="shared" si="1"/>
        <v>174528.67257376539</v>
      </c>
      <c r="V4" s="28">
        <f t="shared" si="1"/>
        <v>113071.08410180252</v>
      </c>
      <c r="W4" s="28">
        <f t="shared" ref="W4" si="2">W5+W9+W13</f>
        <v>126157.74702027102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84395.429471431475</v>
      </c>
      <c r="C5" s="137">
        <f t="shared" si="3"/>
        <v>86058.873650865411</v>
      </c>
      <c r="D5" s="137">
        <f t="shared" si="3"/>
        <v>89466.327588645989</v>
      </c>
      <c r="E5" s="137">
        <f t="shared" si="3"/>
        <v>93970.45502645032</v>
      </c>
      <c r="F5" s="137">
        <f t="shared" si="3"/>
        <v>95880.881228197424</v>
      </c>
      <c r="G5" s="137">
        <f t="shared" si="3"/>
        <v>93552.616720398859</v>
      </c>
      <c r="H5" s="137">
        <f t="shared" si="3"/>
        <v>94353.625054534976</v>
      </c>
      <c r="I5" s="137">
        <f t="shared" si="3"/>
        <v>95018.578042178662</v>
      </c>
      <c r="J5" s="137">
        <f t="shared" si="3"/>
        <v>95477.858770322506</v>
      </c>
      <c r="K5" s="137">
        <f t="shared" si="3"/>
        <v>94054.932873486963</v>
      </c>
      <c r="L5" s="137">
        <f t="shared" si="3"/>
        <v>91765.075429244083</v>
      </c>
      <c r="M5" s="137">
        <f t="shared" si="3"/>
        <v>90984.023141529091</v>
      </c>
      <c r="N5" s="137">
        <f t="shared" si="3"/>
        <v>89935.105173080825</v>
      </c>
      <c r="O5" s="137">
        <f t="shared" si="3"/>
        <v>89810.696076485008</v>
      </c>
      <c r="P5" s="137">
        <f t="shared" si="3"/>
        <v>90887.560810949057</v>
      </c>
      <c r="Q5" s="137">
        <f t="shared" si="3"/>
        <v>91768.426005264133</v>
      </c>
      <c r="R5" s="137">
        <f t="shared" ref="R5:V5" si="4">R6+R7+R8</f>
        <v>97724.837678328826</v>
      </c>
      <c r="S5" s="137">
        <f t="shared" si="4"/>
        <v>100283.3782809617</v>
      </c>
      <c r="T5" s="137">
        <f t="shared" si="4"/>
        <v>103934.48013096393</v>
      </c>
      <c r="U5" s="137">
        <f t="shared" si="4"/>
        <v>106613.04326978141</v>
      </c>
      <c r="V5" s="137">
        <f t="shared" si="4"/>
        <v>90716.12879135806</v>
      </c>
      <c r="W5" s="137">
        <f t="shared" ref="W5" si="5">W6+W7+W8</f>
        <v>98093.717882192868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1574.4294714314808</v>
      </c>
      <c r="C6" s="102">
        <f>TrRoad_act!C$5</f>
        <v>1699.8736508654094</v>
      </c>
      <c r="D6" s="102">
        <f>TrRoad_act!D$5</f>
        <v>1830.3275886459926</v>
      </c>
      <c r="E6" s="102">
        <f>TrRoad_act!E$5</f>
        <v>1933.4550264503382</v>
      </c>
      <c r="F6" s="102">
        <f>TrRoad_act!F$5</f>
        <v>2071.8812281974292</v>
      </c>
      <c r="G6" s="102">
        <f>TrRoad_act!G$5</f>
        <v>2176.353553752986</v>
      </c>
      <c r="H6" s="102">
        <f>TrRoad_act!H$5</f>
        <v>2289.2817887439332</v>
      </c>
      <c r="I6" s="102">
        <f>TrRoad_act!I$5</f>
        <v>2169.8401388656794</v>
      </c>
      <c r="J6" s="102">
        <f>TrRoad_act!J$5</f>
        <v>2195.2290177453697</v>
      </c>
      <c r="K6" s="102">
        <f>TrRoad_act!K$5</f>
        <v>2054.5728892767702</v>
      </c>
      <c r="L6" s="102">
        <f>TrRoad_act!L$5</f>
        <v>1987.5200866212613</v>
      </c>
      <c r="M6" s="102">
        <f>TrRoad_act!M$5</f>
        <v>1943.9386126090665</v>
      </c>
      <c r="N6" s="102">
        <f>TrRoad_act!N$5</f>
        <v>1954.3317502796581</v>
      </c>
      <c r="O6" s="102">
        <f>TrRoad_act!O$5</f>
        <v>1921.758805152037</v>
      </c>
      <c r="P6" s="102">
        <f>TrRoad_act!P$5</f>
        <v>1894.668120834144</v>
      </c>
      <c r="Q6" s="102">
        <f>TrRoad_act!Q$5</f>
        <v>1837.568490635319</v>
      </c>
      <c r="R6" s="102">
        <f>TrRoad_act!R$5</f>
        <v>1959.8436771027909</v>
      </c>
      <c r="S6" s="102">
        <f>TrRoad_act!S$5</f>
        <v>1870.0709776183232</v>
      </c>
      <c r="T6" s="102">
        <f>TrRoad_act!T$5</f>
        <v>1793.0925957470808</v>
      </c>
      <c r="U6" s="102">
        <f>TrRoad_act!U$5</f>
        <v>1921.0536118664033</v>
      </c>
      <c r="V6" s="102">
        <f>TrRoad_act!V$5</f>
        <v>1731.627416587992</v>
      </c>
      <c r="W6" s="102">
        <f>TrRoad_act!W$5</f>
        <v>1814.9608668245551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71000</v>
      </c>
      <c r="C7" s="102">
        <f>TrRoad_act!C$6</f>
        <v>73200</v>
      </c>
      <c r="D7" s="102">
        <f>TrRoad_act!D$6</f>
        <v>77700</v>
      </c>
      <c r="E7" s="102">
        <f>TrRoad_act!E$6</f>
        <v>81499.999999999985</v>
      </c>
      <c r="F7" s="102">
        <f>TrRoad_act!F$6</f>
        <v>83000</v>
      </c>
      <c r="G7" s="102">
        <f>TrRoad_act!G$6</f>
        <v>85000</v>
      </c>
      <c r="H7" s="102">
        <f>TrRoad_act!H$6</f>
        <v>86000</v>
      </c>
      <c r="I7" s="102">
        <f>TrRoad_act!I$6</f>
        <v>86600.000000000015</v>
      </c>
      <c r="J7" s="102">
        <f>TrRoad_act!J$6</f>
        <v>87000.000000000015</v>
      </c>
      <c r="K7" s="102">
        <f>TrRoad_act!K$6</f>
        <v>86000</v>
      </c>
      <c r="L7" s="102">
        <f>TrRoad_act!L$6</f>
        <v>83700</v>
      </c>
      <c r="M7" s="102">
        <f>TrRoad_act!M$6</f>
        <v>83190.084528920022</v>
      </c>
      <c r="N7" s="102">
        <f>TrRoad_act!N$6</f>
        <v>82130.773422801169</v>
      </c>
      <c r="O7" s="102">
        <f>TrRoad_act!O$6</f>
        <v>81865.937271332965</v>
      </c>
      <c r="P7" s="102">
        <f>TrRoad_act!P$6</f>
        <v>83335.89269011491</v>
      </c>
      <c r="Q7" s="102">
        <f>TrRoad_act!Q$6</f>
        <v>84467.85751462882</v>
      </c>
      <c r="R7" s="102">
        <f>TrRoad_act!R$6</f>
        <v>90461.994001226034</v>
      </c>
      <c r="S7" s="102">
        <f>TrRoad_act!S$6</f>
        <v>92191.507303343373</v>
      </c>
      <c r="T7" s="102">
        <f>TrRoad_act!T$6</f>
        <v>95460.477535216851</v>
      </c>
      <c r="U7" s="102">
        <f>TrRoad_act!U$6</f>
        <v>98038.049657915006</v>
      </c>
      <c r="V7" s="102">
        <f>TrRoad_act!V$6</f>
        <v>85184.631374770077</v>
      </c>
      <c r="W7" s="102">
        <f>TrRoad_act!W$6</f>
        <v>90605.457015368316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11821</v>
      </c>
      <c r="C8" s="102">
        <f>TrRoad_act!C$13</f>
        <v>11159</v>
      </c>
      <c r="D8" s="102">
        <f>TrRoad_act!D$13</f>
        <v>9936</v>
      </c>
      <c r="E8" s="102">
        <f>TrRoad_act!E$13</f>
        <v>10537</v>
      </c>
      <c r="F8" s="102">
        <f>TrRoad_act!F$13</f>
        <v>10809</v>
      </c>
      <c r="G8" s="102">
        <f>TrRoad_act!G$13</f>
        <v>6376.2631666458828</v>
      </c>
      <c r="H8" s="102">
        <f>TrRoad_act!H$13</f>
        <v>6064.3432657910444</v>
      </c>
      <c r="I8" s="102">
        <f>TrRoad_act!I$13</f>
        <v>6248.7379033129673</v>
      </c>
      <c r="J8" s="102">
        <f>TrRoad_act!J$13</f>
        <v>6282.6297525771188</v>
      </c>
      <c r="K8" s="102">
        <f>TrRoad_act!K$13</f>
        <v>6000.3599842101912</v>
      </c>
      <c r="L8" s="102">
        <f>TrRoad_act!L$13</f>
        <v>6077.5553426228325</v>
      </c>
      <c r="M8" s="102">
        <f>TrRoad_act!M$13</f>
        <v>5849.9999999999991</v>
      </c>
      <c r="N8" s="102">
        <f>TrRoad_act!N$13</f>
        <v>5850</v>
      </c>
      <c r="O8" s="102">
        <f>TrRoad_act!O$13</f>
        <v>6023.0000000000009</v>
      </c>
      <c r="P8" s="102">
        <f>TrRoad_act!P$13</f>
        <v>5656.9999999999991</v>
      </c>
      <c r="Q8" s="102">
        <f>TrRoad_act!Q$13</f>
        <v>5462.9999999999991</v>
      </c>
      <c r="R8" s="102">
        <f>TrRoad_act!R$13</f>
        <v>5302.9999999999991</v>
      </c>
      <c r="S8" s="102">
        <f>TrRoad_act!S$13</f>
        <v>6221.8</v>
      </c>
      <c r="T8" s="102">
        <f>TrRoad_act!T$13</f>
        <v>6680.9099999999989</v>
      </c>
      <c r="U8" s="102">
        <f>TrRoad_act!U$13</f>
        <v>6653.94</v>
      </c>
      <c r="V8" s="102">
        <f>TrRoad_act!V$13</f>
        <v>3799.87</v>
      </c>
      <c r="W8" s="102">
        <f>TrRoad_act!W$13</f>
        <v>5673.2999999999993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4562</v>
      </c>
      <c r="C9" s="110">
        <f t="shared" si="6"/>
        <v>4537</v>
      </c>
      <c r="D9" s="110">
        <f t="shared" si="6"/>
        <v>4475</v>
      </c>
      <c r="E9" s="110">
        <f t="shared" si="6"/>
        <v>4523</v>
      </c>
      <c r="F9" s="110">
        <f t="shared" si="6"/>
        <v>4599</v>
      </c>
      <c r="G9" s="110">
        <f t="shared" si="6"/>
        <v>4656.7160000000003</v>
      </c>
      <c r="H9" s="110">
        <f t="shared" si="6"/>
        <v>4863.8</v>
      </c>
      <c r="I9" s="110">
        <f t="shared" si="6"/>
        <v>5036.8900000000003</v>
      </c>
      <c r="J9" s="110">
        <f t="shared" si="6"/>
        <v>5307.7610000000004</v>
      </c>
      <c r="K9" s="110">
        <f t="shared" si="6"/>
        <v>5303.1840000000002</v>
      </c>
      <c r="L9" s="110">
        <f t="shared" si="6"/>
        <v>5244.2330000000002</v>
      </c>
      <c r="M9" s="110">
        <f t="shared" si="6"/>
        <v>5385</v>
      </c>
      <c r="N9" s="110">
        <f t="shared" si="6"/>
        <v>4831.0689999999995</v>
      </c>
      <c r="O9" s="110">
        <f t="shared" si="6"/>
        <v>4590.2960000000003</v>
      </c>
      <c r="P9" s="110">
        <f t="shared" si="6"/>
        <v>4818.5609999999997</v>
      </c>
      <c r="Q9" s="110">
        <f t="shared" si="6"/>
        <v>4965.652</v>
      </c>
      <c r="R9" s="110">
        <f t="shared" ref="R9:V9" si="7">R10+R11+R12</f>
        <v>5327.2989999999991</v>
      </c>
      <c r="S9" s="110">
        <f t="shared" si="7"/>
        <v>5637.0770000000002</v>
      </c>
      <c r="T9" s="110">
        <f t="shared" si="7"/>
        <v>5746</v>
      </c>
      <c r="U9" s="110">
        <f t="shared" si="7"/>
        <v>6346.6639999999998</v>
      </c>
      <c r="V9" s="110">
        <f t="shared" si="7"/>
        <v>3228.5</v>
      </c>
      <c r="W9" s="110">
        <f t="shared" ref="W9" si="8">W10+W11+W12</f>
        <v>3561.654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530</v>
      </c>
      <c r="C10" s="102">
        <f>TrRail_act!C$5</f>
        <v>545</v>
      </c>
      <c r="D10" s="102">
        <f>TrRail_act!D$5</f>
        <v>550</v>
      </c>
      <c r="E10" s="102">
        <f>TrRail_act!E$5</f>
        <v>770</v>
      </c>
      <c r="F10" s="102">
        <f>TrRail_act!F$5</f>
        <v>847</v>
      </c>
      <c r="G10" s="102">
        <f>TrRail_act!G$5</f>
        <v>847.71600000000001</v>
      </c>
      <c r="H10" s="102">
        <f>TrRail_act!H$5</f>
        <v>987.8</v>
      </c>
      <c r="I10" s="102">
        <f>TrRail_act!I$5</f>
        <v>1049.8900000000001</v>
      </c>
      <c r="J10" s="102">
        <f>TrRail_act!J$5</f>
        <v>1094.7610000000002</v>
      </c>
      <c r="K10" s="102">
        <f>TrRail_act!K$5</f>
        <v>1090.184</v>
      </c>
      <c r="L10" s="102">
        <f>TrRail_act!L$5</f>
        <v>1133.2329999999999</v>
      </c>
      <c r="M10" s="102">
        <f>TrRail_act!M$5</f>
        <v>1148</v>
      </c>
      <c r="N10" s="102">
        <f>TrRail_act!N$5</f>
        <v>1028.069</v>
      </c>
      <c r="O10" s="102">
        <f>TrRail_act!O$5</f>
        <v>941.29599999999994</v>
      </c>
      <c r="P10" s="102">
        <f>TrRail_act!P$5</f>
        <v>966.56100000000004</v>
      </c>
      <c r="Q10" s="102">
        <f>TrRail_act!Q$5</f>
        <v>1008.6520000000002</v>
      </c>
      <c r="R10" s="102">
        <f>TrRail_act!R$5</f>
        <v>1061.299</v>
      </c>
      <c r="S10" s="102">
        <f>TrRail_act!S$5</f>
        <v>1121.077</v>
      </c>
      <c r="T10" s="102">
        <f>TrRail_act!T$5</f>
        <v>1176</v>
      </c>
      <c r="U10" s="102">
        <f>TrRail_act!U$5</f>
        <v>1291.664</v>
      </c>
      <c r="V10" s="102">
        <f>TrRail_act!V$5</f>
        <v>665.5</v>
      </c>
      <c r="W10" s="102">
        <f>TrRail_act!W$5</f>
        <v>649.654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4032</v>
      </c>
      <c r="C11" s="102">
        <f>TrRail_act!C$6</f>
        <v>3992</v>
      </c>
      <c r="D11" s="102">
        <f>TrRail_act!D$6</f>
        <v>3925</v>
      </c>
      <c r="E11" s="102">
        <f>TrRail_act!E$6</f>
        <v>3753</v>
      </c>
      <c r="F11" s="102">
        <f>TrRail_act!F$6</f>
        <v>3316</v>
      </c>
      <c r="G11" s="102">
        <f>TrRail_act!G$6</f>
        <v>3319</v>
      </c>
      <c r="H11" s="102">
        <f>TrRail_act!H$6</f>
        <v>3368</v>
      </c>
      <c r="I11" s="102">
        <f>TrRail_act!I$6</f>
        <v>3481</v>
      </c>
      <c r="J11" s="102">
        <f>TrRail_act!J$6</f>
        <v>3688</v>
      </c>
      <c r="K11" s="102">
        <f>TrRail_act!K$6</f>
        <v>3684</v>
      </c>
      <c r="L11" s="102">
        <f>TrRail_act!L$6</f>
        <v>3591.7406019999999</v>
      </c>
      <c r="M11" s="102">
        <f>TrRail_act!M$6</f>
        <v>3771</v>
      </c>
      <c r="N11" s="102">
        <f>TrRail_act!N$6</f>
        <v>3341</v>
      </c>
      <c r="O11" s="102">
        <f>TrRail_act!O$6</f>
        <v>3184</v>
      </c>
      <c r="P11" s="102">
        <f>TrRail_act!P$6</f>
        <v>3314</v>
      </c>
      <c r="Q11" s="102">
        <f>TrRail_act!Q$6</f>
        <v>3388</v>
      </c>
      <c r="R11" s="102">
        <f>TrRail_act!R$6</f>
        <v>3651.8899999999994</v>
      </c>
      <c r="S11" s="102">
        <f>TrRail_act!S$6</f>
        <v>3863</v>
      </c>
      <c r="T11" s="102">
        <f>TrRail_act!T$6</f>
        <v>3909</v>
      </c>
      <c r="U11" s="102">
        <f>TrRail_act!U$6</f>
        <v>4359</v>
      </c>
      <c r="V11" s="102">
        <f>TrRail_act!V$6</f>
        <v>2340</v>
      </c>
      <c r="W11" s="102">
        <f>TrRail_act!W$6</f>
        <v>2642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436</v>
      </c>
      <c r="G12" s="102">
        <f>TrRail_act!G$9</f>
        <v>490</v>
      </c>
      <c r="H12" s="102">
        <f>TrRail_act!H$9</f>
        <v>508</v>
      </c>
      <c r="I12" s="102">
        <f>TrRail_act!I$9</f>
        <v>506</v>
      </c>
      <c r="J12" s="102">
        <f>TrRail_act!J$9</f>
        <v>525</v>
      </c>
      <c r="K12" s="102">
        <f>TrRail_act!K$9</f>
        <v>529</v>
      </c>
      <c r="L12" s="102">
        <f>TrRail_act!L$9</f>
        <v>519.25939800000003</v>
      </c>
      <c r="M12" s="102">
        <f>TrRail_act!M$9</f>
        <v>466</v>
      </c>
      <c r="N12" s="102">
        <f>TrRail_act!N$9</f>
        <v>462</v>
      </c>
      <c r="O12" s="102">
        <f>TrRail_act!O$9</f>
        <v>465</v>
      </c>
      <c r="P12" s="102">
        <f>TrRail_act!P$9</f>
        <v>538</v>
      </c>
      <c r="Q12" s="102">
        <f>TrRail_act!Q$9</f>
        <v>569</v>
      </c>
      <c r="R12" s="102">
        <f>TrRail_act!R$9</f>
        <v>614.11</v>
      </c>
      <c r="S12" s="102">
        <f>TrRail_act!S$9</f>
        <v>653</v>
      </c>
      <c r="T12" s="102">
        <f>TrRail_act!T$9</f>
        <v>661</v>
      </c>
      <c r="U12" s="102">
        <f>TrRail_act!U$9</f>
        <v>696</v>
      </c>
      <c r="V12" s="102">
        <f>TrRail_act!V$9</f>
        <v>223</v>
      </c>
      <c r="W12" s="102">
        <f>TrRail_act!W$9</f>
        <v>270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20620.659553292237</v>
      </c>
      <c r="C13" s="110">
        <f t="shared" ref="C13:V13" si="10">C14+C15+C16</f>
        <v>20159.417977007972</v>
      </c>
      <c r="D13" s="110">
        <f t="shared" si="10"/>
        <v>20502.659200987706</v>
      </c>
      <c r="E13" s="110">
        <f t="shared" si="10"/>
        <v>20723.527723815394</v>
      </c>
      <c r="F13" s="110">
        <f t="shared" si="10"/>
        <v>21485.707010377475</v>
      </c>
      <c r="G13" s="110">
        <f t="shared" si="10"/>
        <v>23075.524672143769</v>
      </c>
      <c r="H13" s="110">
        <f t="shared" si="10"/>
        <v>24372.564683264212</v>
      </c>
      <c r="I13" s="110">
        <f t="shared" si="10"/>
        <v>26904.970315822837</v>
      </c>
      <c r="J13" s="110">
        <f t="shared" si="10"/>
        <v>27749.836411463919</v>
      </c>
      <c r="K13" s="110">
        <f t="shared" si="10"/>
        <v>26887.140210879639</v>
      </c>
      <c r="L13" s="110">
        <f t="shared" si="10"/>
        <v>28921.918869776222</v>
      </c>
      <c r="M13" s="110">
        <f t="shared" si="10"/>
        <v>30949.48768183677</v>
      </c>
      <c r="N13" s="110">
        <f t="shared" si="10"/>
        <v>31975.261130561074</v>
      </c>
      <c r="O13" s="110">
        <f t="shared" si="10"/>
        <v>33559.318871029209</v>
      </c>
      <c r="P13" s="110">
        <f t="shared" si="10"/>
        <v>36071.994151032748</v>
      </c>
      <c r="Q13" s="110">
        <f t="shared" si="10"/>
        <v>38432.637678966305</v>
      </c>
      <c r="R13" s="110">
        <f t="shared" si="10"/>
        <v>43294.565155783494</v>
      </c>
      <c r="S13" s="110">
        <f t="shared" si="10"/>
        <v>50722.00546969581</v>
      </c>
      <c r="T13" s="110">
        <f t="shared" si="10"/>
        <v>55695.432028293762</v>
      </c>
      <c r="U13" s="110">
        <f t="shared" si="10"/>
        <v>61568.965303983969</v>
      </c>
      <c r="V13" s="110">
        <f t="shared" si="10"/>
        <v>19126.455310444464</v>
      </c>
      <c r="W13" s="110">
        <f t="shared" ref="W13" si="11">W14+W15+W16</f>
        <v>24502.375138078169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2294.2930642270881</v>
      </c>
      <c r="C14" s="102">
        <f>TrAvia_act!C$5</f>
        <v>2361.6355087898551</v>
      </c>
      <c r="D14" s="102">
        <f>TrAvia_act!D$5</f>
        <v>2400.6222978771762</v>
      </c>
      <c r="E14" s="102">
        <f>TrAvia_act!E$5</f>
        <v>2343.0842914313739</v>
      </c>
      <c r="F14" s="102">
        <f>TrAvia_act!F$5</f>
        <v>2461.1048743589754</v>
      </c>
      <c r="G14" s="102">
        <f>TrAvia_act!G$5</f>
        <v>2521.9397876835278</v>
      </c>
      <c r="H14" s="102">
        <f>TrAvia_act!H$5</f>
        <v>2076.159717734688</v>
      </c>
      <c r="I14" s="102">
        <f>TrAvia_act!I$5</f>
        <v>2082.8061526086499</v>
      </c>
      <c r="J14" s="102">
        <f>TrAvia_act!J$5</f>
        <v>2186.7911242093332</v>
      </c>
      <c r="K14" s="102">
        <f>TrAvia_act!K$5</f>
        <v>2389.4551115456479</v>
      </c>
      <c r="L14" s="102">
        <f>TrAvia_act!L$5</f>
        <v>2421.8079873141478</v>
      </c>
      <c r="M14" s="102">
        <f>TrAvia_act!M$5</f>
        <v>2222.6347126151591</v>
      </c>
      <c r="N14" s="102">
        <f>TrAvia_act!N$5</f>
        <v>2232.2132962710539</v>
      </c>
      <c r="O14" s="102">
        <f>TrAvia_act!O$5</f>
        <v>2322.1691698620984</v>
      </c>
      <c r="P14" s="102">
        <f>TrAvia_act!P$5</f>
        <v>2319.0282931864631</v>
      </c>
      <c r="Q14" s="102">
        <f>TrAvia_act!Q$5</f>
        <v>2909.3717059229434</v>
      </c>
      <c r="R14" s="102">
        <f>TrAvia_act!R$5</f>
        <v>3606.0848769095664</v>
      </c>
      <c r="S14" s="102">
        <f>TrAvia_act!S$5</f>
        <v>4181.8080341853456</v>
      </c>
      <c r="T14" s="102">
        <f>TrAvia_act!T$5</f>
        <v>4353.2570955315778</v>
      </c>
      <c r="U14" s="102">
        <f>TrAvia_act!U$5</f>
        <v>4407.6003878604406</v>
      </c>
      <c r="V14" s="102">
        <f>TrAvia_act!V$5</f>
        <v>1521.7169811556703</v>
      </c>
      <c r="W14" s="102">
        <f>TrAvia_act!W$5</f>
        <v>2832.1988234023538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12562.718137919519</v>
      </c>
      <c r="C15" s="102">
        <f>TrAvia_act!C$6</f>
        <v>12156.534885301679</v>
      </c>
      <c r="D15" s="102">
        <f>TrAvia_act!D$6</f>
        <v>12182.361992573868</v>
      </c>
      <c r="E15" s="102">
        <f>TrAvia_act!E$6</f>
        <v>12144.541664921086</v>
      </c>
      <c r="F15" s="102">
        <f>TrAvia_act!F$6</f>
        <v>12450.983814886782</v>
      </c>
      <c r="G15" s="102">
        <f>TrAvia_act!G$6</f>
        <v>13090.818762911749</v>
      </c>
      <c r="H15" s="102">
        <f>TrAvia_act!H$6</f>
        <v>14221.382819646329</v>
      </c>
      <c r="I15" s="102">
        <f>TrAvia_act!I$6</f>
        <v>15413.055638673261</v>
      </c>
      <c r="J15" s="102">
        <f>TrAvia_act!J$6</f>
        <v>15231.146650979808</v>
      </c>
      <c r="K15" s="102">
        <f>TrAvia_act!K$6</f>
        <v>14394.444198424868</v>
      </c>
      <c r="L15" s="102">
        <f>TrAvia_act!L$6</f>
        <v>15150.473064615355</v>
      </c>
      <c r="M15" s="102">
        <f>TrAvia_act!M$6</f>
        <v>16484.222970965187</v>
      </c>
      <c r="N15" s="102">
        <f>TrAvia_act!N$6</f>
        <v>16873.951997594875</v>
      </c>
      <c r="O15" s="102">
        <f>TrAvia_act!O$6</f>
        <v>18188.119977839888</v>
      </c>
      <c r="P15" s="102">
        <f>TrAvia_act!P$6</f>
        <v>19934.737766865805</v>
      </c>
      <c r="Q15" s="102">
        <f>TrAvia_act!Q$6</f>
        <v>21621.280518697185</v>
      </c>
      <c r="R15" s="102">
        <f>TrAvia_act!R$6</f>
        <v>24851.015860091455</v>
      </c>
      <c r="S15" s="102">
        <f>TrAvia_act!S$6</f>
        <v>28778.496034904631</v>
      </c>
      <c r="T15" s="102">
        <f>TrAvia_act!T$6</f>
        <v>30359.717089552058</v>
      </c>
      <c r="U15" s="102">
        <f>TrAvia_act!U$6</f>
        <v>32142.96323720675</v>
      </c>
      <c r="V15" s="102">
        <f>TrAvia_act!V$6</f>
        <v>10222.939387079621</v>
      </c>
      <c r="W15" s="102">
        <f>TrAvia_act!W$6</f>
        <v>13089.763119347981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5763.648351145629</v>
      </c>
      <c r="C16" s="102">
        <f>TrAvia_act!C$7</f>
        <v>5641.2475829164378</v>
      </c>
      <c r="D16" s="102">
        <f>TrAvia_act!D$7</f>
        <v>5919.6749105366607</v>
      </c>
      <c r="E16" s="102">
        <f>TrAvia_act!E$7</f>
        <v>6235.9017674629349</v>
      </c>
      <c r="F16" s="102">
        <f>TrAvia_act!F$7</f>
        <v>6573.6183211317193</v>
      </c>
      <c r="G16" s="102">
        <f>TrAvia_act!G$7</f>
        <v>7462.7661215484904</v>
      </c>
      <c r="H16" s="102">
        <f>TrAvia_act!H$7</f>
        <v>8075.0221458831938</v>
      </c>
      <c r="I16" s="102">
        <f>TrAvia_act!I$7</f>
        <v>9409.1085245409249</v>
      </c>
      <c r="J16" s="102">
        <f>TrAvia_act!J$7</f>
        <v>10331.89863627478</v>
      </c>
      <c r="K16" s="102">
        <f>TrAvia_act!K$7</f>
        <v>10103.240900909126</v>
      </c>
      <c r="L16" s="102">
        <f>TrAvia_act!L$7</f>
        <v>11349.637817846718</v>
      </c>
      <c r="M16" s="102">
        <f>TrAvia_act!M$7</f>
        <v>12242.629998256425</v>
      </c>
      <c r="N16" s="102">
        <f>TrAvia_act!N$7</f>
        <v>12869.095836695145</v>
      </c>
      <c r="O16" s="102">
        <f>TrAvia_act!O$7</f>
        <v>13049.029723327219</v>
      </c>
      <c r="P16" s="102">
        <f>TrAvia_act!P$7</f>
        <v>13818.228090980478</v>
      </c>
      <c r="Q16" s="102">
        <f>TrAvia_act!Q$7</f>
        <v>13901.985454346173</v>
      </c>
      <c r="R16" s="102">
        <f>TrAvia_act!R$7</f>
        <v>14837.464418782474</v>
      </c>
      <c r="S16" s="102">
        <f>TrAvia_act!S$7</f>
        <v>17761.701400605831</v>
      </c>
      <c r="T16" s="102">
        <f>TrAvia_act!T$7</f>
        <v>20982.457843210126</v>
      </c>
      <c r="U16" s="102">
        <f>TrAvia_act!U$7</f>
        <v>25018.40167891678</v>
      </c>
      <c r="V16" s="102">
        <f>TrAvia_act!V$7</f>
        <v>7381.7989422091723</v>
      </c>
      <c r="W16" s="102">
        <f>TrAvia_act!W$7</f>
        <v>8580.4131953278338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23921.07495633401</v>
      </c>
      <c r="C17" s="28">
        <f t="shared" si="12"/>
        <v>26428.054491298179</v>
      </c>
      <c r="D17" s="28">
        <f t="shared" si="12"/>
        <v>25337.105685744453</v>
      </c>
      <c r="E17" s="28">
        <f t="shared" si="12"/>
        <v>24499.293778790452</v>
      </c>
      <c r="F17" s="28">
        <f t="shared" si="12"/>
        <v>28707.124623259813</v>
      </c>
      <c r="G17" s="28">
        <f t="shared" si="12"/>
        <v>29080.171156961344</v>
      </c>
      <c r="H17" s="28">
        <f t="shared" si="12"/>
        <v>29729.52403509981</v>
      </c>
      <c r="I17" s="28">
        <f t="shared" si="12"/>
        <v>31350.359733740373</v>
      </c>
      <c r="J17" s="28">
        <f t="shared" si="12"/>
        <v>29184.641009840816</v>
      </c>
      <c r="K17" s="28">
        <f t="shared" si="12"/>
        <v>26035.803315213292</v>
      </c>
      <c r="L17" s="28">
        <f t="shared" si="12"/>
        <v>24227.725459410743</v>
      </c>
      <c r="M17" s="28">
        <f t="shared" si="12"/>
        <v>24121.107927539837</v>
      </c>
      <c r="N17" s="28">
        <f t="shared" si="12"/>
        <v>21317.017667694581</v>
      </c>
      <c r="O17" s="28">
        <f t="shared" si="12"/>
        <v>20412.401226272097</v>
      </c>
      <c r="P17" s="28">
        <f t="shared" si="12"/>
        <v>21598.6194787885</v>
      </c>
      <c r="Q17" s="28">
        <f t="shared" si="12"/>
        <v>21477.29859066775</v>
      </c>
      <c r="R17" s="28">
        <f t="shared" ref="R17:V17" si="13">R18+R21+R22+R26</f>
        <v>21765.147662804196</v>
      </c>
      <c r="S17" s="28">
        <f t="shared" si="13"/>
        <v>22206.707002038536</v>
      </c>
      <c r="T17" s="28">
        <f t="shared" si="13"/>
        <v>22211.239518652306</v>
      </c>
      <c r="U17" s="28">
        <f t="shared" si="13"/>
        <v>21985.189370908822</v>
      </c>
      <c r="V17" s="28">
        <f t="shared" si="13"/>
        <v>18644.136197207474</v>
      </c>
      <c r="W17" s="28">
        <f t="shared" ref="W17" si="14">W18+W21+W22+W26</f>
        <v>20140.433359369494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21259.73555025737</v>
      </c>
      <c r="C18" s="137">
        <f t="shared" si="15"/>
        <v>23807.702636935945</v>
      </c>
      <c r="D18" s="137">
        <f t="shared" si="15"/>
        <v>22669.939051658173</v>
      </c>
      <c r="E18" s="137">
        <f t="shared" si="15"/>
        <v>21964.606232663013</v>
      </c>
      <c r="F18" s="137">
        <f t="shared" si="15"/>
        <v>25955.620775051921</v>
      </c>
      <c r="G18" s="137">
        <f t="shared" si="15"/>
        <v>26117.556363496933</v>
      </c>
      <c r="H18" s="137">
        <f t="shared" si="15"/>
        <v>26723.031501891899</v>
      </c>
      <c r="I18" s="137">
        <f t="shared" si="15"/>
        <v>28107.175060506241</v>
      </c>
      <c r="J18" s="137">
        <f t="shared" si="15"/>
        <v>25932.361288017499</v>
      </c>
      <c r="K18" s="137">
        <f t="shared" si="15"/>
        <v>23221.076788775103</v>
      </c>
      <c r="L18" s="137">
        <f t="shared" si="15"/>
        <v>21230.304973930113</v>
      </c>
      <c r="M18" s="137">
        <f t="shared" si="15"/>
        <v>21123.994619929614</v>
      </c>
      <c r="N18" s="137">
        <f t="shared" si="15"/>
        <v>18260.219017977503</v>
      </c>
      <c r="O18" s="137">
        <f t="shared" si="15"/>
        <v>17492.561756704126</v>
      </c>
      <c r="P18" s="137">
        <f t="shared" si="15"/>
        <v>18536.625098697627</v>
      </c>
      <c r="Q18" s="137">
        <f t="shared" si="15"/>
        <v>18211.723991106624</v>
      </c>
      <c r="R18" s="137">
        <f t="shared" ref="R18:V18" si="16">R19+R20</f>
        <v>18326.134495602128</v>
      </c>
      <c r="S18" s="137">
        <f t="shared" si="16"/>
        <v>18769.607078012858</v>
      </c>
      <c r="T18" s="137">
        <f t="shared" si="16"/>
        <v>18742.863678863079</v>
      </c>
      <c r="U18" s="137">
        <f t="shared" si="16"/>
        <v>18788.855176537872</v>
      </c>
      <c r="V18" s="137">
        <f t="shared" si="16"/>
        <v>15809.833129584884</v>
      </c>
      <c r="W18" s="137">
        <f t="shared" ref="W18" si="17">W19+W20</f>
        <v>17663.192121089938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2407.97028169445</v>
      </c>
      <c r="C19" s="102">
        <f>TrRoad_act!C$20</f>
        <v>2494.9957295966146</v>
      </c>
      <c r="D19" s="102">
        <f>TrRoad_act!D$20</f>
        <v>2500.0754743704492</v>
      </c>
      <c r="E19" s="102">
        <f>TrRoad_act!E$20</f>
        <v>2427.300555084656</v>
      </c>
      <c r="F19" s="102">
        <f>TrRoad_act!F$20</f>
        <v>2324.2990668028215</v>
      </c>
      <c r="G19" s="102">
        <f>TrRoad_act!G$20</f>
        <v>2256.4499149494181</v>
      </c>
      <c r="H19" s="102">
        <f>TrRoad_act!H$20</f>
        <v>2288.3254828886024</v>
      </c>
      <c r="I19" s="102">
        <f>TrRoad_act!I$20</f>
        <v>2229.8484311884686</v>
      </c>
      <c r="J19" s="102">
        <f>TrRoad_act!J$20</f>
        <v>2256.5622265838374</v>
      </c>
      <c r="K19" s="102">
        <f>TrRoad_act!K$20</f>
        <v>2299.6416666533373</v>
      </c>
      <c r="L19" s="102">
        <f>TrRoad_act!L$20</f>
        <v>2280.909642085272</v>
      </c>
      <c r="M19" s="102">
        <f>TrRoad_act!M$20</f>
        <v>2067.5041731708193</v>
      </c>
      <c r="N19" s="102">
        <f>TrRoad_act!N$20</f>
        <v>1800.6995956496421</v>
      </c>
      <c r="O19" s="102">
        <f>TrRoad_act!O$20</f>
        <v>1732.8988052144709</v>
      </c>
      <c r="P19" s="102">
        <f>TrRoad_act!P$20</f>
        <v>1886.9643381130168</v>
      </c>
      <c r="Q19" s="102">
        <f>TrRoad_act!Q$20</f>
        <v>1888.3979367466791</v>
      </c>
      <c r="R19" s="102">
        <f>TrRoad_act!R$20</f>
        <v>1944.1839766661014</v>
      </c>
      <c r="S19" s="102">
        <f>TrRoad_act!S$20</f>
        <v>2025.0483429893266</v>
      </c>
      <c r="T19" s="102">
        <f>TrRoad_act!T$20</f>
        <v>2084.8636788630783</v>
      </c>
      <c r="U19" s="102">
        <f>TrRoad_act!U$20</f>
        <v>2176.855176537872</v>
      </c>
      <c r="V19" s="102">
        <f>TrRoad_act!V$20</f>
        <v>1880.8331295848832</v>
      </c>
      <c r="W19" s="102">
        <f>TrRoad_act!W$20</f>
        <v>2045.1921210899391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18851.765268562922</v>
      </c>
      <c r="C20" s="102">
        <f>TrRoad_act!C$26</f>
        <v>21312.706907339329</v>
      </c>
      <c r="D20" s="102">
        <f>TrRoad_act!D$26</f>
        <v>20169.863577287724</v>
      </c>
      <c r="E20" s="102">
        <f>TrRoad_act!E$26</f>
        <v>19537.305677578355</v>
      </c>
      <c r="F20" s="102">
        <f>TrRoad_act!F$26</f>
        <v>23631.321708249099</v>
      </c>
      <c r="G20" s="102">
        <f>TrRoad_act!G$26</f>
        <v>23861.106448547514</v>
      </c>
      <c r="H20" s="102">
        <f>TrRoad_act!H$26</f>
        <v>24434.706019003297</v>
      </c>
      <c r="I20" s="102">
        <f>TrRoad_act!I$26</f>
        <v>25877.326629317773</v>
      </c>
      <c r="J20" s="102">
        <f>TrRoad_act!J$26</f>
        <v>23675.799061433663</v>
      </c>
      <c r="K20" s="102">
        <f>TrRoad_act!K$26</f>
        <v>20921.435122121766</v>
      </c>
      <c r="L20" s="102">
        <f>TrRoad_act!L$26</f>
        <v>18949.39533184484</v>
      </c>
      <c r="M20" s="102">
        <f>TrRoad_act!M$26</f>
        <v>19056.490446758795</v>
      </c>
      <c r="N20" s="102">
        <f>TrRoad_act!N$26</f>
        <v>16459.51942232786</v>
      </c>
      <c r="O20" s="102">
        <f>TrRoad_act!O$26</f>
        <v>15759.662951489654</v>
      </c>
      <c r="P20" s="102">
        <f>TrRoad_act!P$26</f>
        <v>16649.660760584611</v>
      </c>
      <c r="Q20" s="102">
        <f>TrRoad_act!Q$26</f>
        <v>16323.326054359946</v>
      </c>
      <c r="R20" s="102">
        <f>TrRoad_act!R$26</f>
        <v>16381.950518936026</v>
      </c>
      <c r="S20" s="102">
        <f>TrRoad_act!S$26</f>
        <v>16744.558735023529</v>
      </c>
      <c r="T20" s="102">
        <f>TrRoad_act!T$26</f>
        <v>16658</v>
      </c>
      <c r="U20" s="102">
        <f>TrRoad_act!U$26</f>
        <v>16612</v>
      </c>
      <c r="V20" s="102">
        <f>TrRoad_act!V$26</f>
        <v>13929</v>
      </c>
      <c r="W20" s="102">
        <f>TrRoad_act!W$26</f>
        <v>15618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2183</v>
      </c>
      <c r="C21" s="110">
        <f>TrRail_act!C$10</f>
        <v>2138</v>
      </c>
      <c r="D21" s="110">
        <f>TrRail_act!D$10</f>
        <v>2193</v>
      </c>
      <c r="E21" s="110">
        <f>TrRail_act!E$10</f>
        <v>2073</v>
      </c>
      <c r="F21" s="110">
        <f>TrRail_act!F$10</f>
        <v>2282</v>
      </c>
      <c r="G21" s="110">
        <f>TrRail_act!G$10</f>
        <v>2422</v>
      </c>
      <c r="H21" s="110">
        <f>TrRail_act!H$10</f>
        <v>2430</v>
      </c>
      <c r="I21" s="110">
        <f>TrRail_act!I$10</f>
        <v>2586</v>
      </c>
      <c r="J21" s="110">
        <f>TrRail_act!J$10</f>
        <v>2549</v>
      </c>
      <c r="K21" s="110">
        <f>TrRail_act!K$10</f>
        <v>2174</v>
      </c>
      <c r="L21" s="110">
        <f>TrRail_act!L$10</f>
        <v>2313</v>
      </c>
      <c r="M21" s="110">
        <f>TrRail_act!M$10</f>
        <v>2322</v>
      </c>
      <c r="N21" s="110">
        <f>TrRail_act!N$10</f>
        <v>2421</v>
      </c>
      <c r="O21" s="110">
        <f>TrRail_act!O$10</f>
        <v>2290</v>
      </c>
      <c r="P21" s="110">
        <f>TrRail_act!P$10</f>
        <v>2434</v>
      </c>
      <c r="Q21" s="110">
        <f>TrRail_act!Q$10</f>
        <v>2688</v>
      </c>
      <c r="R21" s="110">
        <f>TrRail_act!R$10</f>
        <v>2774</v>
      </c>
      <c r="S21" s="110">
        <f>TrRail_act!S$10</f>
        <v>2751</v>
      </c>
      <c r="T21" s="110">
        <f>TrRail_act!T$10</f>
        <v>2765</v>
      </c>
      <c r="U21" s="110">
        <f>TrRail_act!U$10</f>
        <v>2478</v>
      </c>
      <c r="V21" s="110">
        <f>TrRail_act!V$10</f>
        <v>2302</v>
      </c>
      <c r="W21" s="110">
        <f>TrRail_act!W$10</f>
        <v>1881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174.31540607663754</v>
      </c>
      <c r="C22" s="110">
        <f t="shared" ref="C22:V22" si="19">C23+C24+C25</f>
        <v>171.04885436223381</v>
      </c>
      <c r="D22" s="110">
        <f t="shared" si="19"/>
        <v>164.36363408627977</v>
      </c>
      <c r="E22" s="110">
        <f t="shared" si="19"/>
        <v>143.99554612744049</v>
      </c>
      <c r="F22" s="110">
        <f t="shared" si="19"/>
        <v>146.14484820789096</v>
      </c>
      <c r="G22" s="110">
        <f t="shared" si="19"/>
        <v>165.02879346441148</v>
      </c>
      <c r="H22" s="110">
        <f t="shared" si="19"/>
        <v>200.18453320791031</v>
      </c>
      <c r="I22" s="110">
        <f t="shared" si="19"/>
        <v>224.70567323413468</v>
      </c>
      <c r="J22" s="110">
        <f t="shared" si="19"/>
        <v>251.24372182331575</v>
      </c>
      <c r="K22" s="110">
        <f t="shared" si="19"/>
        <v>238.63852643818797</v>
      </c>
      <c r="L22" s="110">
        <f t="shared" si="19"/>
        <v>294.83348548063037</v>
      </c>
      <c r="M22" s="110">
        <f t="shared" si="19"/>
        <v>279.52630761022294</v>
      </c>
      <c r="N22" s="110">
        <f t="shared" si="19"/>
        <v>311.93964971707885</v>
      </c>
      <c r="O22" s="110">
        <f t="shared" si="19"/>
        <v>292.42346956797121</v>
      </c>
      <c r="P22" s="110">
        <f t="shared" si="19"/>
        <v>305.35738009087351</v>
      </c>
      <c r="Q22" s="110">
        <f t="shared" si="19"/>
        <v>274.38359956112703</v>
      </c>
      <c r="R22" s="110">
        <f t="shared" si="19"/>
        <v>256.98016720206931</v>
      </c>
      <c r="S22" s="110">
        <f t="shared" si="19"/>
        <v>337.29392402567987</v>
      </c>
      <c r="T22" s="110">
        <f t="shared" si="19"/>
        <v>349.3478397892294</v>
      </c>
      <c r="U22" s="110">
        <f t="shared" si="19"/>
        <v>363.3611943709472</v>
      </c>
      <c r="V22" s="110">
        <f t="shared" si="19"/>
        <v>218.27806762258834</v>
      </c>
      <c r="W22" s="110">
        <f t="shared" ref="W22" si="20">W23+W24+W25</f>
        <v>271.27123827955558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4.372597578092658</v>
      </c>
      <c r="C23" s="102">
        <f>TrAvia_act!C$9</f>
        <v>3.9708942413801731</v>
      </c>
      <c r="D23" s="102">
        <f>TrAvia_act!D$9</f>
        <v>4.0225695030326722</v>
      </c>
      <c r="E23" s="102">
        <f>TrAvia_act!E$9</f>
        <v>4.1419842953642059</v>
      </c>
      <c r="F23" s="102">
        <f>TrAvia_act!F$9</f>
        <v>3.9960576194158022</v>
      </c>
      <c r="G23" s="102">
        <f>TrAvia_act!G$9</f>
        <v>4.6294665229823826</v>
      </c>
      <c r="H23" s="102">
        <f>TrAvia_act!H$9</f>
        <v>6.3896189296563621</v>
      </c>
      <c r="I23" s="102">
        <f>TrAvia_act!I$9</f>
        <v>7.9667580712220332</v>
      </c>
      <c r="J23" s="102">
        <f>TrAvia_act!J$9</f>
        <v>9.7017235814585625</v>
      </c>
      <c r="K23" s="102">
        <f>TrAvia_act!K$9</f>
        <v>11.014074900629769</v>
      </c>
      <c r="L23" s="102">
        <f>TrAvia_act!L$9</f>
        <v>12.203635473695792</v>
      </c>
      <c r="M23" s="102">
        <f>TrAvia_act!M$9</f>
        <v>7.9713815306462479</v>
      </c>
      <c r="N23" s="102">
        <f>TrAvia_act!N$9</f>
        <v>6.4444572696819806</v>
      </c>
      <c r="O23" s="102">
        <f>TrAvia_act!O$9</f>
        <v>5.7579717393750913</v>
      </c>
      <c r="P23" s="102">
        <f>TrAvia_act!P$9</f>
        <v>5.284672012312468</v>
      </c>
      <c r="Q23" s="102">
        <f>TrAvia_act!Q$9</f>
        <v>5.0707542434348643</v>
      </c>
      <c r="R23" s="102">
        <f>TrAvia_act!R$9</f>
        <v>4.7637165404530819</v>
      </c>
      <c r="S23" s="102">
        <f>TrAvia_act!S$9</f>
        <v>5.1101629721060355</v>
      </c>
      <c r="T23" s="102">
        <f>TrAvia_act!T$9</f>
        <v>5.0364371407509836</v>
      </c>
      <c r="U23" s="102">
        <f>TrAvia_act!U$9</f>
        <v>6.2002219811322998</v>
      </c>
      <c r="V23" s="102">
        <f>TrAvia_act!V$9</f>
        <v>4.8888531300547085</v>
      </c>
      <c r="W23" s="102">
        <f>TrAvia_act!W$9</f>
        <v>6.6703154563852287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65.044144857564476</v>
      </c>
      <c r="C24" s="102">
        <f>TrAvia_act!C$10</f>
        <v>60.94168302785409</v>
      </c>
      <c r="D24" s="102">
        <f>TrAvia_act!D$10</f>
        <v>57.825519144447902</v>
      </c>
      <c r="E24" s="102">
        <f>TrAvia_act!E$10</f>
        <v>51.750860978285139</v>
      </c>
      <c r="F24" s="102">
        <f>TrAvia_act!F$10</f>
        <v>49.483916920076489</v>
      </c>
      <c r="G24" s="102">
        <f>TrAvia_act!G$10</f>
        <v>48.990791843779924</v>
      </c>
      <c r="H24" s="102">
        <f>TrAvia_act!H$10</f>
        <v>54.099758849776279</v>
      </c>
      <c r="I24" s="102">
        <f>TrAvia_act!I$10</f>
        <v>52.70620256481962</v>
      </c>
      <c r="J24" s="102">
        <f>TrAvia_act!J$10</f>
        <v>49.600555154006116</v>
      </c>
      <c r="K24" s="102">
        <f>TrAvia_act!K$10</f>
        <v>44.940252147026143</v>
      </c>
      <c r="L24" s="102">
        <f>TrAvia_act!L$10</f>
        <v>46.985429587354886</v>
      </c>
      <c r="M24" s="102">
        <f>TrAvia_act!M$10</f>
        <v>39.186722938718013</v>
      </c>
      <c r="N24" s="102">
        <f>TrAvia_act!N$10</f>
        <v>38.409633984382978</v>
      </c>
      <c r="O24" s="102">
        <f>TrAvia_act!O$10</f>
        <v>33.938172417075947</v>
      </c>
      <c r="P24" s="102">
        <f>TrAvia_act!P$10</f>
        <v>36.19902752873471</v>
      </c>
      <c r="Q24" s="102">
        <f>TrAvia_act!Q$10</f>
        <v>36.685250222126491</v>
      </c>
      <c r="R24" s="102">
        <f>TrAvia_act!R$10</f>
        <v>36.402349245930395</v>
      </c>
      <c r="S24" s="102">
        <f>TrAvia_act!S$10</f>
        <v>39.020941292604547</v>
      </c>
      <c r="T24" s="102">
        <f>TrAvia_act!T$10</f>
        <v>42.127910726887563</v>
      </c>
      <c r="U24" s="102">
        <f>TrAvia_act!U$10</f>
        <v>43.120425860387392</v>
      </c>
      <c r="V24" s="102">
        <f>TrAvia_act!V$10</f>
        <v>36.087488604940447</v>
      </c>
      <c r="W24" s="102">
        <f>TrAvia_act!W$10</f>
        <v>40.195839634203864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104.89866364098043</v>
      </c>
      <c r="C25" s="102">
        <f>TrAvia_act!C$11</f>
        <v>106.13627709299955</v>
      </c>
      <c r="D25" s="102">
        <f>TrAvia_act!D$11</f>
        <v>102.51554543879921</v>
      </c>
      <c r="E25" s="102">
        <f>TrAvia_act!E$11</f>
        <v>88.102700853791148</v>
      </c>
      <c r="F25" s="102">
        <f>TrAvia_act!F$11</f>
        <v>92.664873668398684</v>
      </c>
      <c r="G25" s="102">
        <f>TrAvia_act!G$11</f>
        <v>111.40853509764916</v>
      </c>
      <c r="H25" s="102">
        <f>TrAvia_act!H$11</f>
        <v>139.69515542847768</v>
      </c>
      <c r="I25" s="102">
        <f>TrAvia_act!I$11</f>
        <v>164.03271259809301</v>
      </c>
      <c r="J25" s="102">
        <f>TrAvia_act!J$11</f>
        <v>191.94144308785107</v>
      </c>
      <c r="K25" s="102">
        <f>TrAvia_act!K$11</f>
        <v>182.68419939053206</v>
      </c>
      <c r="L25" s="102">
        <f>TrAvia_act!L$11</f>
        <v>235.64442041957969</v>
      </c>
      <c r="M25" s="102">
        <f>TrAvia_act!M$11</f>
        <v>232.36820314085867</v>
      </c>
      <c r="N25" s="102">
        <f>TrAvia_act!N$11</f>
        <v>267.08555846301391</v>
      </c>
      <c r="O25" s="102">
        <f>TrAvia_act!O$11</f>
        <v>252.72732541152016</v>
      </c>
      <c r="P25" s="102">
        <f>TrAvia_act!P$11</f>
        <v>263.8736805498263</v>
      </c>
      <c r="Q25" s="102">
        <f>TrAvia_act!Q$11</f>
        <v>232.62759509556568</v>
      </c>
      <c r="R25" s="102">
        <f>TrAvia_act!R$11</f>
        <v>215.81410141568585</v>
      </c>
      <c r="S25" s="102">
        <f>TrAvia_act!S$11</f>
        <v>293.16281976096928</v>
      </c>
      <c r="T25" s="102">
        <f>TrAvia_act!T$11</f>
        <v>302.18349192159087</v>
      </c>
      <c r="U25" s="102">
        <f>TrAvia_act!U$11</f>
        <v>314.0405465294275</v>
      </c>
      <c r="V25" s="102">
        <f>TrAvia_act!V$11</f>
        <v>177.30172588759319</v>
      </c>
      <c r="W25" s="102">
        <f>TrAvia_act!W$11</f>
        <v>224.40508318896647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304.024</v>
      </c>
      <c r="C26" s="110">
        <f t="shared" si="21"/>
        <v>311.303</v>
      </c>
      <c r="D26" s="110">
        <f t="shared" si="21"/>
        <v>309.803</v>
      </c>
      <c r="E26" s="110">
        <f t="shared" si="21"/>
        <v>317.69200000000001</v>
      </c>
      <c r="F26" s="110">
        <f t="shared" si="21"/>
        <v>323.35899999999998</v>
      </c>
      <c r="G26" s="110">
        <f t="shared" si="21"/>
        <v>375.58600000000001</v>
      </c>
      <c r="H26" s="110">
        <f t="shared" si="21"/>
        <v>376.30799999999999</v>
      </c>
      <c r="I26" s="110">
        <f t="shared" si="21"/>
        <v>432.47899999999998</v>
      </c>
      <c r="J26" s="110">
        <f t="shared" si="21"/>
        <v>452.036</v>
      </c>
      <c r="K26" s="110">
        <f t="shared" si="21"/>
        <v>402.08800000000002</v>
      </c>
      <c r="L26" s="110">
        <f t="shared" si="21"/>
        <v>389.58699999999999</v>
      </c>
      <c r="M26" s="110">
        <f t="shared" si="21"/>
        <v>395.58699999999999</v>
      </c>
      <c r="N26" s="110">
        <f t="shared" si="21"/>
        <v>323.85899999999998</v>
      </c>
      <c r="O26" s="110">
        <f t="shared" si="21"/>
        <v>337.416</v>
      </c>
      <c r="P26" s="110">
        <f t="shared" si="21"/>
        <v>322.637</v>
      </c>
      <c r="Q26" s="110">
        <f t="shared" si="21"/>
        <v>303.19099999999997</v>
      </c>
      <c r="R26" s="110">
        <f t="shared" ref="R26:V26" si="22">R27+R28</f>
        <v>408.03300000000002</v>
      </c>
      <c r="S26" s="110">
        <f t="shared" si="22"/>
        <v>348.80599999999998</v>
      </c>
      <c r="T26" s="110">
        <f t="shared" si="22"/>
        <v>354.02800000000002</v>
      </c>
      <c r="U26" s="110">
        <f t="shared" si="22"/>
        <v>354.97300000000001</v>
      </c>
      <c r="V26" s="110">
        <f t="shared" si="22"/>
        <v>314.02499999999998</v>
      </c>
      <c r="W26" s="110">
        <f t="shared" ref="W26" si="23">W27+W28</f>
        <v>324.97000000000003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304.024</v>
      </c>
      <c r="C27" s="102">
        <f>TrNavi_act!C4</f>
        <v>311.303</v>
      </c>
      <c r="D27" s="102">
        <f>TrNavi_act!D4</f>
        <v>309.803</v>
      </c>
      <c r="E27" s="102">
        <f>TrNavi_act!E4</f>
        <v>317.69200000000001</v>
      </c>
      <c r="F27" s="102">
        <f>TrNavi_act!F4</f>
        <v>323.35899999999998</v>
      </c>
      <c r="G27" s="102">
        <f>TrNavi_act!G4</f>
        <v>375.58600000000001</v>
      </c>
      <c r="H27" s="102">
        <f>TrNavi_act!H4</f>
        <v>376.30799999999999</v>
      </c>
      <c r="I27" s="102">
        <f>TrNavi_act!I4</f>
        <v>432.47899999999998</v>
      </c>
      <c r="J27" s="102">
        <f>TrNavi_act!J4</f>
        <v>452.036</v>
      </c>
      <c r="K27" s="102">
        <f>TrNavi_act!K4</f>
        <v>402.08800000000002</v>
      </c>
      <c r="L27" s="102">
        <f>TrNavi_act!L4</f>
        <v>389.58699999999999</v>
      </c>
      <c r="M27" s="102">
        <f>TrNavi_act!M4</f>
        <v>395.58699999999999</v>
      </c>
      <c r="N27" s="102">
        <f>TrNavi_act!N4</f>
        <v>323.85899999999998</v>
      </c>
      <c r="O27" s="102">
        <f>TrNavi_act!O4</f>
        <v>337.416</v>
      </c>
      <c r="P27" s="102">
        <f>TrNavi_act!P4</f>
        <v>322.637</v>
      </c>
      <c r="Q27" s="102">
        <f>TrNavi_act!Q4</f>
        <v>303.19099999999997</v>
      </c>
      <c r="R27" s="102">
        <f>TrNavi_act!R4</f>
        <v>408.03300000000002</v>
      </c>
      <c r="S27" s="102">
        <f>TrNavi_act!S4</f>
        <v>348.80599999999998</v>
      </c>
      <c r="T27" s="102">
        <f>TrNavi_act!T4</f>
        <v>354.02800000000002</v>
      </c>
      <c r="U27" s="102">
        <f>TrNavi_act!U4</f>
        <v>354.97300000000001</v>
      </c>
      <c r="V27" s="102">
        <f>TrNavi_act!V4</f>
        <v>314.02499999999998</v>
      </c>
      <c r="W27" s="102">
        <f>TrNavi_act!W4</f>
        <v>324.97000000000003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123879.61343699999</v>
      </c>
      <c r="C29" s="28">
        <f t="shared" si="24"/>
        <v>122719.23788</v>
      </c>
      <c r="D29" s="28">
        <f t="shared" si="24"/>
        <v>123424.57705600001</v>
      </c>
      <c r="E29" s="28">
        <f t="shared" si="24"/>
        <v>119241.910385</v>
      </c>
      <c r="F29" s="28">
        <f t="shared" si="24"/>
        <v>118082.84119600001</v>
      </c>
      <c r="G29" s="28">
        <f t="shared" si="24"/>
        <v>124464.95624</v>
      </c>
      <c r="H29" s="28">
        <f t="shared" si="24"/>
        <v>133496.04364399999</v>
      </c>
      <c r="I29" s="28">
        <f t="shared" si="24"/>
        <v>132891.77451000002</v>
      </c>
      <c r="J29" s="28">
        <f t="shared" si="24"/>
        <v>131840.454245</v>
      </c>
      <c r="K29" s="28">
        <f t="shared" si="24"/>
        <v>111302.224961</v>
      </c>
      <c r="L29" s="28">
        <f t="shared" si="24"/>
        <v>126150.84386000001</v>
      </c>
      <c r="M29" s="28">
        <f t="shared" si="24"/>
        <v>141613.73754300002</v>
      </c>
      <c r="N29" s="28">
        <f t="shared" si="24"/>
        <v>141215.69161899999</v>
      </c>
      <c r="O29" s="28">
        <f t="shared" si="24"/>
        <v>170574.26906699999</v>
      </c>
      <c r="P29" s="28">
        <f t="shared" si="24"/>
        <v>174334.98317299999</v>
      </c>
      <c r="Q29" s="28">
        <f t="shared" si="24"/>
        <v>188012.22816699999</v>
      </c>
      <c r="R29" s="28">
        <f t="shared" si="24"/>
        <v>192831.02832300001</v>
      </c>
      <c r="S29" s="28">
        <f t="shared" si="24"/>
        <v>204748.39295400001</v>
      </c>
      <c r="T29" s="28">
        <f t="shared" si="24"/>
        <v>195628.70917599997</v>
      </c>
      <c r="U29" s="28">
        <f t="shared" si="24"/>
        <v>180603.82022200001</v>
      </c>
      <c r="V29" s="28">
        <f t="shared" si="24"/>
        <v>166882.61333299999</v>
      </c>
      <c r="W29" s="28">
        <f t="shared" si="24"/>
        <v>178140.19741000002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20938.128197999999</v>
      </c>
      <c r="C30" s="102">
        <f>MBunk_act!C$4</f>
        <v>20180.537816</v>
      </c>
      <c r="D30" s="102">
        <f>MBunk_act!D$4</f>
        <v>19969.948437999999</v>
      </c>
      <c r="E30" s="102">
        <f>MBunk_act!E$4</f>
        <v>17596.194653999999</v>
      </c>
      <c r="F30" s="102">
        <f>MBunk_act!F$4</f>
        <v>19154.378618000002</v>
      </c>
      <c r="G30" s="102">
        <f>MBunk_act!G$4</f>
        <v>20644.359805</v>
      </c>
      <c r="H30" s="102">
        <f>MBunk_act!H$4</f>
        <v>20160.730477000001</v>
      </c>
      <c r="I30" s="102">
        <f>MBunk_act!I$4</f>
        <v>18775.961467000001</v>
      </c>
      <c r="J30" s="102">
        <f>MBunk_act!J$4</f>
        <v>17950.230006999998</v>
      </c>
      <c r="K30" s="102">
        <f>MBunk_act!K$4</f>
        <v>16792.273561000002</v>
      </c>
      <c r="L30" s="102">
        <f>MBunk_act!L$4</f>
        <v>18341.617492000001</v>
      </c>
      <c r="M30" s="102">
        <f>MBunk_act!M$4</f>
        <v>18628.171537000002</v>
      </c>
      <c r="N30" s="102">
        <f>MBunk_act!N$4</f>
        <v>18124.081183000002</v>
      </c>
      <c r="O30" s="102">
        <f>MBunk_act!O$4</f>
        <v>21462.559781</v>
      </c>
      <c r="P30" s="102">
        <f>MBunk_act!P$4</f>
        <v>22758.530397999999</v>
      </c>
      <c r="Q30" s="102">
        <f>MBunk_act!Q$4</f>
        <v>23080.802442</v>
      </c>
      <c r="R30" s="102">
        <f>MBunk_act!R$4</f>
        <v>23638.999646</v>
      </c>
      <c r="S30" s="102">
        <f>MBunk_act!S$4</f>
        <v>25246.792842999999</v>
      </c>
      <c r="T30" s="102">
        <f>MBunk_act!T$4</f>
        <v>26534.774093</v>
      </c>
      <c r="U30" s="102">
        <f>MBunk_act!U$4</f>
        <v>28528.245319999998</v>
      </c>
      <c r="V30" s="102">
        <f>MBunk_act!V$4</f>
        <v>25962.027889000001</v>
      </c>
      <c r="W30" s="102">
        <f>MBunk_act!W$4</f>
        <v>26541.884238999999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102941.485239</v>
      </c>
      <c r="C31" s="86">
        <f>MBunk_act!C$5</f>
        <v>102538.700064</v>
      </c>
      <c r="D31" s="86">
        <f>MBunk_act!D$5</f>
        <v>103454.628618</v>
      </c>
      <c r="E31" s="86">
        <f>MBunk_act!E$5</f>
        <v>101645.715731</v>
      </c>
      <c r="F31" s="86">
        <f>MBunk_act!F$5</f>
        <v>98928.462578000006</v>
      </c>
      <c r="G31" s="86">
        <f>MBunk_act!G$5</f>
        <v>103820.596435</v>
      </c>
      <c r="H31" s="86">
        <f>MBunk_act!H$5</f>
        <v>113335.313167</v>
      </c>
      <c r="I31" s="86">
        <f>MBunk_act!I$5</f>
        <v>114115.813043</v>
      </c>
      <c r="J31" s="86">
        <f>MBunk_act!J$5</f>
        <v>113890.224238</v>
      </c>
      <c r="K31" s="86">
        <f>MBunk_act!K$5</f>
        <v>94509.951400000005</v>
      </c>
      <c r="L31" s="86">
        <f>MBunk_act!L$5</f>
        <v>107809.226368</v>
      </c>
      <c r="M31" s="86">
        <f>MBunk_act!M$5</f>
        <v>122985.56600600001</v>
      </c>
      <c r="N31" s="86">
        <f>MBunk_act!N$5</f>
        <v>123091.610436</v>
      </c>
      <c r="O31" s="86">
        <f>MBunk_act!O$5</f>
        <v>149111.709286</v>
      </c>
      <c r="P31" s="86">
        <f>MBunk_act!P$5</f>
        <v>151576.45277499998</v>
      </c>
      <c r="Q31" s="86">
        <f>MBunk_act!Q$5</f>
        <v>164931.42572500001</v>
      </c>
      <c r="R31" s="86">
        <f>MBunk_act!R$5</f>
        <v>169192.02867699999</v>
      </c>
      <c r="S31" s="86">
        <f>MBunk_act!S$5</f>
        <v>179501.60011100001</v>
      </c>
      <c r="T31" s="86">
        <f>MBunk_act!T$5</f>
        <v>169093.93508299999</v>
      </c>
      <c r="U31" s="86">
        <f>MBunk_act!U$5</f>
        <v>152075.57490200002</v>
      </c>
      <c r="V31" s="86">
        <f>MBunk_act!V$5</f>
        <v>140920.585444</v>
      </c>
      <c r="W31" s="86">
        <f>MBunk_act!W$5</f>
        <v>151598.31317100002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4177.7712029443319</v>
      </c>
      <c r="C34" s="28">
        <f t="shared" si="25"/>
        <v>4161.1752198654858</v>
      </c>
      <c r="D34" s="28">
        <f t="shared" si="25"/>
        <v>4351.0118526894521</v>
      </c>
      <c r="E34" s="28">
        <f t="shared" si="25"/>
        <v>4650.1496324631753</v>
      </c>
      <c r="F34" s="28">
        <f t="shared" si="25"/>
        <v>4828.9678024969371</v>
      </c>
      <c r="G34" s="28">
        <f t="shared" si="25"/>
        <v>4663.04323825131</v>
      </c>
      <c r="H34" s="28">
        <f t="shared" si="25"/>
        <v>4720.0486552043558</v>
      </c>
      <c r="I34" s="28">
        <f t="shared" si="25"/>
        <v>4764.5836108016783</v>
      </c>
      <c r="J34" s="28">
        <f t="shared" si="25"/>
        <v>4840.2932627799019</v>
      </c>
      <c r="K34" s="28">
        <f t="shared" si="25"/>
        <v>4818.322865350784</v>
      </c>
      <c r="L34" s="28">
        <f t="shared" si="25"/>
        <v>4929.295531093745</v>
      </c>
      <c r="M34" s="28">
        <f t="shared" si="25"/>
        <v>4722.427724591661</v>
      </c>
      <c r="N34" s="28">
        <f t="shared" si="25"/>
        <v>4535.2352074721939</v>
      </c>
      <c r="O34" s="28">
        <f t="shared" si="25"/>
        <v>4537.9088287556378</v>
      </c>
      <c r="P34" s="28">
        <f t="shared" si="25"/>
        <v>4643.3320321101182</v>
      </c>
      <c r="Q34" s="28">
        <f t="shared" si="25"/>
        <v>4774.9078009173409</v>
      </c>
      <c r="R34" s="28">
        <f t="shared" ref="R34:V34" si="26">R35+R39+R43</f>
        <v>4993.95068199261</v>
      </c>
      <c r="S34" s="28">
        <f t="shared" si="26"/>
        <v>5225.4369061062871</v>
      </c>
      <c r="T34" s="28">
        <f t="shared" si="26"/>
        <v>5369.4345090924689</v>
      </c>
      <c r="U34" s="28">
        <f t="shared" si="26"/>
        <v>5589.0766558892556</v>
      </c>
      <c r="V34" s="28">
        <f t="shared" si="26"/>
        <v>3961.3074271319701</v>
      </c>
      <c r="W34" s="28">
        <f t="shared" ref="W34" si="27">W35+W39+W43</f>
        <v>4417.8862410765505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3336.4783077875841</v>
      </c>
      <c r="C35" s="137">
        <f t="shared" si="28"/>
        <v>3353.6177916003016</v>
      </c>
      <c r="D35" s="137">
        <f t="shared" si="28"/>
        <v>3557.3056099740761</v>
      </c>
      <c r="E35" s="137">
        <f t="shared" si="28"/>
        <v>3817.497837211994</v>
      </c>
      <c r="F35" s="137">
        <f t="shared" si="28"/>
        <v>3932.6909148076243</v>
      </c>
      <c r="G35" s="137">
        <f t="shared" si="28"/>
        <v>3737.4888873110872</v>
      </c>
      <c r="H35" s="137">
        <f t="shared" si="28"/>
        <v>3755.3535662374034</v>
      </c>
      <c r="I35" s="137">
        <f t="shared" si="28"/>
        <v>3758.6136752013103</v>
      </c>
      <c r="J35" s="137">
        <f t="shared" si="28"/>
        <v>3816.7653514951076</v>
      </c>
      <c r="K35" s="137">
        <f t="shared" si="28"/>
        <v>3860.081344911976</v>
      </c>
      <c r="L35" s="137">
        <f t="shared" si="28"/>
        <v>3898.0615409659363</v>
      </c>
      <c r="M35" s="137">
        <f t="shared" si="28"/>
        <v>3672.2938123801573</v>
      </c>
      <c r="N35" s="137">
        <f t="shared" si="28"/>
        <v>3479.7250878487225</v>
      </c>
      <c r="O35" s="137">
        <f t="shared" si="28"/>
        <v>3475.9646471946276</v>
      </c>
      <c r="P35" s="137">
        <f t="shared" si="28"/>
        <v>3549.470243542446</v>
      </c>
      <c r="Q35" s="137">
        <f t="shared" si="28"/>
        <v>3594.0439439427432</v>
      </c>
      <c r="R35" s="137">
        <f t="shared" ref="R35:V35" si="29">R36+R37+R38</f>
        <v>3683.5336454413891</v>
      </c>
      <c r="S35" s="137">
        <f t="shared" si="29"/>
        <v>3754.5222732330967</v>
      </c>
      <c r="T35" s="137">
        <f t="shared" si="29"/>
        <v>3803.7894846455056</v>
      </c>
      <c r="U35" s="137">
        <f t="shared" si="29"/>
        <v>3938.3215919619752</v>
      </c>
      <c r="V35" s="137">
        <f t="shared" si="29"/>
        <v>3331.1861348769203</v>
      </c>
      <c r="W35" s="137">
        <f t="shared" ref="W35" si="30">W36+W37+W38</f>
        <v>3618.9250865663594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55.557233670197313</v>
      </c>
      <c r="C36" s="102">
        <f>TrRoad_ene!C$19</f>
        <v>56.48474179580888</v>
      </c>
      <c r="D36" s="102">
        <f>TrRoad_ene!D$19</f>
        <v>60.547262763173379</v>
      </c>
      <c r="E36" s="102">
        <f>TrRoad_ene!E$19</f>
        <v>63.174550450716239</v>
      </c>
      <c r="F36" s="102">
        <f>TrRoad_ene!F$19</f>
        <v>67.161396632652114</v>
      </c>
      <c r="G36" s="102">
        <f>TrRoad_ene!G$19</f>
        <v>70.056273708567574</v>
      </c>
      <c r="H36" s="102">
        <f>TrRoad_ene!H$19</f>
        <v>72.974075675983045</v>
      </c>
      <c r="I36" s="102">
        <f>TrRoad_ene!I$19</f>
        <v>68.396599322368544</v>
      </c>
      <c r="J36" s="102">
        <f>TrRoad_ene!J$19</f>
        <v>68.691499761535383</v>
      </c>
      <c r="K36" s="102">
        <f>TrRoad_ene!K$19</f>
        <v>63.598938904233393</v>
      </c>
      <c r="L36" s="102">
        <f>TrRoad_ene!L$19</f>
        <v>60.23093204385971</v>
      </c>
      <c r="M36" s="102">
        <f>TrRoad_ene!M$19</f>
        <v>57.879143133007865</v>
      </c>
      <c r="N36" s="102">
        <f>TrRoad_ene!N$19</f>
        <v>57.565038024332672</v>
      </c>
      <c r="O36" s="102">
        <f>TrRoad_ene!O$19</f>
        <v>55.806759466516233</v>
      </c>
      <c r="P36" s="102">
        <f>TrRoad_ene!P$19</f>
        <v>53.952894335319378</v>
      </c>
      <c r="Q36" s="102">
        <f>TrRoad_ene!Q$19</f>
        <v>51.871165772287412</v>
      </c>
      <c r="R36" s="102">
        <f>TrRoad_ene!R$19</f>
        <v>55.85903924221725</v>
      </c>
      <c r="S36" s="102">
        <f>TrRoad_ene!S$19</f>
        <v>53.755071607726499</v>
      </c>
      <c r="T36" s="102">
        <f>TrRoad_ene!T$19</f>
        <v>50.932118955409798</v>
      </c>
      <c r="U36" s="102">
        <f>TrRoad_ene!U$19</f>
        <v>54.198733481517579</v>
      </c>
      <c r="V36" s="102">
        <f>TrRoad_ene!V$19</f>
        <v>47.510315009070688</v>
      </c>
      <c r="W36" s="102">
        <f>TrRoad_ene!W$19</f>
        <v>45.643904486238512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2958.1789792672553</v>
      </c>
      <c r="C37" s="102">
        <f>TrRoad_ene!C$21</f>
        <v>2974.3557417951938</v>
      </c>
      <c r="D37" s="102">
        <f>TrRoad_ene!D$21</f>
        <v>3173.337471721883</v>
      </c>
      <c r="E37" s="102">
        <f>TrRoad_ene!E$21</f>
        <v>3436.597407228629</v>
      </c>
      <c r="F37" s="102">
        <f>TrRoad_ene!F$21</f>
        <v>3554.7244415080108</v>
      </c>
      <c r="G37" s="102">
        <f>TrRoad_ene!G$21</f>
        <v>3472.6220500534814</v>
      </c>
      <c r="H37" s="102">
        <f>TrRoad_ene!H$21</f>
        <v>3487.8620165647758</v>
      </c>
      <c r="I37" s="102">
        <f>TrRoad_ene!I$21</f>
        <v>3491.5099338152822</v>
      </c>
      <c r="J37" s="102">
        <f>TrRoad_ene!J$21</f>
        <v>3542.2033311347186</v>
      </c>
      <c r="K37" s="102">
        <f>TrRoad_ene!K$21</f>
        <v>3586.3570213884968</v>
      </c>
      <c r="L37" s="102">
        <f>TrRoad_ene!L$21</f>
        <v>3621.2583157052172</v>
      </c>
      <c r="M37" s="102">
        <f>TrRoad_ene!M$21</f>
        <v>3398.101590171224</v>
      </c>
      <c r="N37" s="102">
        <f>TrRoad_ene!N$21</f>
        <v>3247.3398063050236</v>
      </c>
      <c r="O37" s="102">
        <f>TrRoad_ene!O$21</f>
        <v>3252.0390708487139</v>
      </c>
      <c r="P37" s="102">
        <f>TrRoad_ene!P$21</f>
        <v>3289.8741226868165</v>
      </c>
      <c r="Q37" s="102">
        <f>TrRoad_ene!Q$21</f>
        <v>3333.2635421839182</v>
      </c>
      <c r="R37" s="102">
        <f>TrRoad_ene!R$21</f>
        <v>3406.7697108790326</v>
      </c>
      <c r="S37" s="102">
        <f>TrRoad_ene!S$21</f>
        <v>3471.0364473263498</v>
      </c>
      <c r="T37" s="102">
        <f>TrRoad_ene!T$21</f>
        <v>3508.6850770707806</v>
      </c>
      <c r="U37" s="102">
        <f>TrRoad_ene!U$21</f>
        <v>3657.1754762442661</v>
      </c>
      <c r="V37" s="102">
        <f>TrRoad_ene!V$21</f>
        <v>3108.6037629711905</v>
      </c>
      <c r="W37" s="102">
        <f>TrRoad_ene!W$21</f>
        <v>3352.2980014201476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322.74209485013165</v>
      </c>
      <c r="C38" s="102">
        <f>TrRoad_ene!C$33</f>
        <v>322.77730800929868</v>
      </c>
      <c r="D38" s="102">
        <f>TrRoad_ene!D$33</f>
        <v>323.42087548901952</v>
      </c>
      <c r="E38" s="102">
        <f>TrRoad_ene!E$33</f>
        <v>317.725879532649</v>
      </c>
      <c r="F38" s="102">
        <f>TrRoad_ene!F$33</f>
        <v>310.80507666696133</v>
      </c>
      <c r="G38" s="102">
        <f>TrRoad_ene!G$33</f>
        <v>194.81056354903822</v>
      </c>
      <c r="H38" s="102">
        <f>TrRoad_ene!H$33</f>
        <v>194.51747399664487</v>
      </c>
      <c r="I38" s="102">
        <f>TrRoad_ene!I$33</f>
        <v>198.70714206365918</v>
      </c>
      <c r="J38" s="102">
        <f>TrRoad_ene!J$33</f>
        <v>205.8705205988536</v>
      </c>
      <c r="K38" s="102">
        <f>TrRoad_ene!K$33</f>
        <v>210.12538461924572</v>
      </c>
      <c r="L38" s="102">
        <f>TrRoad_ene!L$33</f>
        <v>216.57229321685915</v>
      </c>
      <c r="M38" s="102">
        <f>TrRoad_ene!M$33</f>
        <v>216.31307907592571</v>
      </c>
      <c r="N38" s="102">
        <f>TrRoad_ene!N$33</f>
        <v>174.82024351936616</v>
      </c>
      <c r="O38" s="102">
        <f>TrRoad_ene!O$33</f>
        <v>168.1188168793972</v>
      </c>
      <c r="P38" s="102">
        <f>TrRoad_ene!P$33</f>
        <v>205.64322652031035</v>
      </c>
      <c r="Q38" s="102">
        <f>TrRoad_ene!Q$33</f>
        <v>208.90923598653757</v>
      </c>
      <c r="R38" s="102">
        <f>TrRoad_ene!R$33</f>
        <v>220.9048953201393</v>
      </c>
      <c r="S38" s="102">
        <f>TrRoad_ene!S$33</f>
        <v>229.73075429902036</v>
      </c>
      <c r="T38" s="102">
        <f>TrRoad_ene!T$33</f>
        <v>244.17228861931525</v>
      </c>
      <c r="U38" s="102">
        <f>TrRoad_ene!U$33</f>
        <v>226.94738223619143</v>
      </c>
      <c r="V38" s="102">
        <f>TrRoad_ene!V$33</f>
        <v>175.07205689665918</v>
      </c>
      <c r="W38" s="102">
        <f>TrRoad_ene!W$33</f>
        <v>220.98318065997327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73.969615702222285</v>
      </c>
      <c r="C39" s="110">
        <f t="shared" si="31"/>
        <v>61.079667660283839</v>
      </c>
      <c r="D39" s="110">
        <f t="shared" si="31"/>
        <v>59.04095442789972</v>
      </c>
      <c r="E39" s="110">
        <f t="shared" si="31"/>
        <v>57.475851738445783</v>
      </c>
      <c r="F39" s="110">
        <f t="shared" si="31"/>
        <v>56.173322739184307</v>
      </c>
      <c r="G39" s="110">
        <f t="shared" si="31"/>
        <v>54.606429915708731</v>
      </c>
      <c r="H39" s="110">
        <f t="shared" si="31"/>
        <v>56.764897933719531</v>
      </c>
      <c r="I39" s="110">
        <f t="shared" si="31"/>
        <v>55.550917079095719</v>
      </c>
      <c r="J39" s="110">
        <f t="shared" si="31"/>
        <v>55.599048828597113</v>
      </c>
      <c r="K39" s="110">
        <f t="shared" si="31"/>
        <v>50.880138166968699</v>
      </c>
      <c r="L39" s="110">
        <f t="shared" si="31"/>
        <v>48.150264152844578</v>
      </c>
      <c r="M39" s="110">
        <f t="shared" si="31"/>
        <v>39.884526821197554</v>
      </c>
      <c r="N39" s="110">
        <f t="shared" si="31"/>
        <v>36.779973983518381</v>
      </c>
      <c r="O39" s="110">
        <f t="shared" si="31"/>
        <v>28.874258234439051</v>
      </c>
      <c r="P39" s="110">
        <f t="shared" si="31"/>
        <v>28.848259346441786</v>
      </c>
      <c r="Q39" s="110">
        <f t="shared" si="31"/>
        <v>28.847323910784649</v>
      </c>
      <c r="R39" s="110">
        <f t="shared" ref="R39:V39" si="32">R40+R41+R42</f>
        <v>38.705551536933022</v>
      </c>
      <c r="S39" s="110">
        <f t="shared" si="32"/>
        <v>43.359119576257122</v>
      </c>
      <c r="T39" s="110">
        <f t="shared" si="32"/>
        <v>43.546232372895219</v>
      </c>
      <c r="U39" s="110">
        <f t="shared" si="32"/>
        <v>43.829928257782761</v>
      </c>
      <c r="V39" s="110">
        <f t="shared" si="32"/>
        <v>36.58887504376353</v>
      </c>
      <c r="W39" s="110">
        <f t="shared" ref="W39" si="33">W40+W41+W42</f>
        <v>38.656653460917056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2.672965645635824</v>
      </c>
      <c r="C40" s="102">
        <f>TrRail_ene!C$12</f>
        <v>2.7169924796445253</v>
      </c>
      <c r="D40" s="102">
        <f>TrRail_ene!D$12</f>
        <v>2.7260122793438901</v>
      </c>
      <c r="E40" s="102">
        <f>TrRail_ene!E$12</f>
        <v>3.7820635733366323</v>
      </c>
      <c r="F40" s="102">
        <f>TrRail_ene!F$12</f>
        <v>4.0020139831417367</v>
      </c>
      <c r="G40" s="102">
        <f>TrRail_ene!G$12</f>
        <v>4.096738985119349</v>
      </c>
      <c r="H40" s="102">
        <f>TrRail_ene!H$12</f>
        <v>4.8937157974613257</v>
      </c>
      <c r="I40" s="102">
        <f>TrRail_ene!I$12</f>
        <v>5.0151762709158838</v>
      </c>
      <c r="J40" s="102">
        <f>TrRail_ene!J$12</f>
        <v>5.1860909232480479</v>
      </c>
      <c r="K40" s="102">
        <f>TrRail_ene!K$12</f>
        <v>5.0544575808178509</v>
      </c>
      <c r="L40" s="102">
        <f>TrRail_ene!L$12</f>
        <v>5.2106863586056225</v>
      </c>
      <c r="M40" s="102">
        <f>TrRail_ene!M$12</f>
        <v>5.128190219995294</v>
      </c>
      <c r="N40" s="102">
        <f>TrRail_ene!N$12</f>
        <v>4.6227479158631706</v>
      </c>
      <c r="O40" s="102">
        <f>TrRail_ene!O$12</f>
        <v>4.2772042659931913</v>
      </c>
      <c r="P40" s="102">
        <f>TrRail_ene!P$12</f>
        <v>4.2964510349929181</v>
      </c>
      <c r="Q40" s="102">
        <f>TrRail_ene!Q$12</f>
        <v>4.4592059792544632</v>
      </c>
      <c r="R40" s="102">
        <f>TrRail_ene!R$12</f>
        <v>4.6011799831621598</v>
      </c>
      <c r="S40" s="102">
        <f>TrRail_ene!S$12</f>
        <v>4.7805232732640386</v>
      </c>
      <c r="T40" s="102">
        <f>TrRail_ene!T$12</f>
        <v>4.9669218668442072</v>
      </c>
      <c r="U40" s="102">
        <f>TrRail_ene!U$12</f>
        <v>5.3372223331197066</v>
      </c>
      <c r="V40" s="102">
        <f>TrRail_ene!V$12</f>
        <v>4.8216364017391227</v>
      </c>
      <c r="W40" s="102">
        <f>TrRail_ene!W$12</f>
        <v>4.4168073450984675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71.296650056586458</v>
      </c>
      <c r="C41" s="102">
        <f>TrRail_ene!C$13</f>
        <v>58.362675180639314</v>
      </c>
      <c r="D41" s="102">
        <f>TrRail_ene!D$13</f>
        <v>56.314942148555829</v>
      </c>
      <c r="E41" s="102">
        <f>TrRail_ene!E$13</f>
        <v>53.693788165109154</v>
      </c>
      <c r="F41" s="102">
        <f>TrRail_ene!F$13</f>
        <v>46.72135435576773</v>
      </c>
      <c r="G41" s="102">
        <f>TrRail_ene!G$13</f>
        <v>44.465031921253214</v>
      </c>
      <c r="H41" s="102">
        <f>TrRail_ene!H$13</f>
        <v>45.550278116834093</v>
      </c>
      <c r="I41" s="102">
        <f>TrRail_ene!I$13</f>
        <v>43.986190617936828</v>
      </c>
      <c r="J41" s="102">
        <f>TrRail_ene!J$13</f>
        <v>43.832413507051839</v>
      </c>
      <c r="K41" s="102">
        <f>TrRail_ene!K$13</f>
        <v>39.308635830545356</v>
      </c>
      <c r="L41" s="102">
        <f>TrRail_ene!L$13</f>
        <v>36.436027776963208</v>
      </c>
      <c r="M41" s="102">
        <f>TrRail_ene!M$13</f>
        <v>28.33295907664975</v>
      </c>
      <c r="N41" s="102">
        <f>TrRail_ene!N$13</f>
        <v>25.83769103680708</v>
      </c>
      <c r="O41" s="102">
        <f>TrRail_ene!O$13</f>
        <v>18.369613545635815</v>
      </c>
      <c r="P41" s="102">
        <f>TrRail_ene!P$13</f>
        <v>18.3964321441292</v>
      </c>
      <c r="Q41" s="102">
        <f>TrRail_ene!Q$13</f>
        <v>18.330350838322293</v>
      </c>
      <c r="R41" s="102">
        <f>TrRail_ene!R$13</f>
        <v>27.901842738308808</v>
      </c>
      <c r="S41" s="102">
        <f>TrRail_ene!S$13</f>
        <v>32.415505820399794</v>
      </c>
      <c r="T41" s="102">
        <f>TrRail_ene!T$13</f>
        <v>32.630083535759738</v>
      </c>
      <c r="U41" s="102">
        <f>TrRail_ene!U$13</f>
        <v>32.469067873682285</v>
      </c>
      <c r="V41" s="102">
        <f>TrRail_ene!V$13</f>
        <v>28.278221390485839</v>
      </c>
      <c r="W41" s="102">
        <f>TrRail_ene!W$13</f>
        <v>29.98103452849945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5.4499544002748408</v>
      </c>
      <c r="G42" s="102">
        <f>TrRail_ene!G$16</f>
        <v>6.0446590093361632</v>
      </c>
      <c r="H42" s="102">
        <f>TrRail_ene!H$16</f>
        <v>6.3209040194241135</v>
      </c>
      <c r="I42" s="102">
        <f>TrRail_ene!I$16</f>
        <v>6.5495501902430053</v>
      </c>
      <c r="J42" s="102">
        <f>TrRail_ene!J$16</f>
        <v>6.5805443982972305</v>
      </c>
      <c r="K42" s="102">
        <f>TrRail_ene!K$16</f>
        <v>6.5170447556054905</v>
      </c>
      <c r="L42" s="102">
        <f>TrRail_ene!L$16</f>
        <v>6.5035500172757486</v>
      </c>
      <c r="M42" s="102">
        <f>TrRail_ene!M$16</f>
        <v>6.4233775245525031</v>
      </c>
      <c r="N42" s="102">
        <f>TrRail_ene!N$16</f>
        <v>6.3195350308481322</v>
      </c>
      <c r="O42" s="102">
        <f>TrRail_ene!O$16</f>
        <v>6.2274404228100453</v>
      </c>
      <c r="P42" s="102">
        <f>TrRail_ene!P$16</f>
        <v>6.1553761673196679</v>
      </c>
      <c r="Q42" s="102">
        <f>TrRail_ene!Q$16</f>
        <v>6.0577670932078922</v>
      </c>
      <c r="R42" s="102">
        <f>TrRail_ene!R$16</f>
        <v>6.2025288154620526</v>
      </c>
      <c r="S42" s="102">
        <f>TrRail_ene!S$16</f>
        <v>6.1630904825932884</v>
      </c>
      <c r="T42" s="102">
        <f>TrRail_ene!T$16</f>
        <v>5.9492269702912717</v>
      </c>
      <c r="U42" s="102">
        <f>TrRail_ene!U$16</f>
        <v>6.0236380509807708</v>
      </c>
      <c r="V42" s="102">
        <f>TrRail_ene!V$16</f>
        <v>3.4890172515385678</v>
      </c>
      <c r="W42" s="102">
        <f>TrRail_ene!W$16</f>
        <v>4.2588115873191406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767.32327945452585</v>
      </c>
      <c r="C43" s="110">
        <f t="shared" si="34"/>
        <v>746.47776060489991</v>
      </c>
      <c r="D43" s="110">
        <f t="shared" si="34"/>
        <v>734.6652882874763</v>
      </c>
      <c r="E43" s="110">
        <f t="shared" si="34"/>
        <v>775.17594351273601</v>
      </c>
      <c r="F43" s="110">
        <f t="shared" si="34"/>
        <v>840.10356495012888</v>
      </c>
      <c r="G43" s="110">
        <f t="shared" si="34"/>
        <v>870.94792102451379</v>
      </c>
      <c r="H43" s="110">
        <f t="shared" si="34"/>
        <v>907.93019103323263</v>
      </c>
      <c r="I43" s="110">
        <f t="shared" si="34"/>
        <v>950.41901852127205</v>
      </c>
      <c r="J43" s="110">
        <f t="shared" si="34"/>
        <v>967.92886245619752</v>
      </c>
      <c r="K43" s="110">
        <f t="shared" si="34"/>
        <v>907.3613822718396</v>
      </c>
      <c r="L43" s="110">
        <f t="shared" si="34"/>
        <v>983.08372597496464</v>
      </c>
      <c r="M43" s="110">
        <f t="shared" si="34"/>
        <v>1010.2493853903063</v>
      </c>
      <c r="N43" s="110">
        <f t="shared" si="34"/>
        <v>1018.7301456399532</v>
      </c>
      <c r="O43" s="110">
        <f t="shared" si="34"/>
        <v>1033.0699233265716</v>
      </c>
      <c r="P43" s="110">
        <f t="shared" si="34"/>
        <v>1065.0135292212306</v>
      </c>
      <c r="Q43" s="110">
        <f t="shared" si="34"/>
        <v>1152.0165330638124</v>
      </c>
      <c r="R43" s="110">
        <f t="shared" ref="R43:V43" si="35">R44+R45+R46</f>
        <v>1271.711485014288</v>
      </c>
      <c r="S43" s="110">
        <f t="shared" si="35"/>
        <v>1427.5555132969332</v>
      </c>
      <c r="T43" s="110">
        <f t="shared" si="35"/>
        <v>1522.0987920740681</v>
      </c>
      <c r="U43" s="110">
        <f t="shared" si="35"/>
        <v>1606.9251356694976</v>
      </c>
      <c r="V43" s="110">
        <f t="shared" si="35"/>
        <v>593.53241721128643</v>
      </c>
      <c r="W43" s="110">
        <f t="shared" ref="W43" si="36">W44+W45+W46</f>
        <v>760.30450104927445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109.37195198873628</v>
      </c>
      <c r="C44" s="102">
        <f>TrAvia_ene!C$7</f>
        <v>113.02199114090575</v>
      </c>
      <c r="D44" s="102">
        <f>TrAvia_ene!D$7</f>
        <v>120.54953398744678</v>
      </c>
      <c r="E44" s="102">
        <f>TrAvia_ene!E$7</f>
        <v>112.40548157634504</v>
      </c>
      <c r="F44" s="102">
        <f>TrAvia_ene!F$7</f>
        <v>127.21188071157218</v>
      </c>
      <c r="G44" s="102">
        <f>TrAvia_ene!G$7</f>
        <v>132.14221081100487</v>
      </c>
      <c r="H44" s="102">
        <f>TrAvia_ene!H$7</f>
        <v>128.5804153602547</v>
      </c>
      <c r="I44" s="102">
        <f>TrAvia_ene!I$7</f>
        <v>127.70390336443678</v>
      </c>
      <c r="J44" s="102">
        <f>TrAvia_ene!J$7</f>
        <v>117.74917548520159</v>
      </c>
      <c r="K44" s="102">
        <f>TrAvia_ene!K$7</f>
        <v>109.54436494081719</v>
      </c>
      <c r="L44" s="102">
        <f>TrAvia_ene!L$7</f>
        <v>130.62412169067119</v>
      </c>
      <c r="M44" s="102">
        <f>TrAvia_ene!M$7</f>
        <v>117.52356764848616</v>
      </c>
      <c r="N44" s="102">
        <f>TrAvia_ene!N$7</f>
        <v>117.74620131736022</v>
      </c>
      <c r="O44" s="102">
        <f>TrAvia_ene!O$7</f>
        <v>120.14724834086864</v>
      </c>
      <c r="P44" s="102">
        <f>TrAvia_ene!P$7</f>
        <v>116.69848227570832</v>
      </c>
      <c r="Q44" s="102">
        <f>TrAvia_ene!Q$7</f>
        <v>123.11846170528901</v>
      </c>
      <c r="R44" s="102">
        <f>TrAvia_ene!R$7</f>
        <v>138.29499218637366</v>
      </c>
      <c r="S44" s="102">
        <f>TrAvia_ene!S$7</f>
        <v>166.52832509599247</v>
      </c>
      <c r="T44" s="102">
        <f>TrAvia_ene!T$7</f>
        <v>176.94371437815846</v>
      </c>
      <c r="U44" s="102">
        <f>TrAvia_ene!U$7</f>
        <v>164.47275369265452</v>
      </c>
      <c r="V44" s="102">
        <f>TrAvia_ene!V$7</f>
        <v>85.173198539291718</v>
      </c>
      <c r="W44" s="102">
        <f>TrAvia_ene!W$7</f>
        <v>112.39995680684753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384.97342104650198</v>
      </c>
      <c r="C45" s="102">
        <f>TrAvia_ene!C$8</f>
        <v>370.64615249756827</v>
      </c>
      <c r="D45" s="102">
        <f>TrAvia_ene!D$8</f>
        <v>359.33219132624242</v>
      </c>
      <c r="E45" s="102">
        <f>TrAvia_ene!E$8</f>
        <v>383.7087615455942</v>
      </c>
      <c r="F45" s="102">
        <f>TrAvia_ene!F$8</f>
        <v>426.61068384542034</v>
      </c>
      <c r="G45" s="102">
        <f>TrAvia_ene!G$8</f>
        <v>444.9529170231574</v>
      </c>
      <c r="H45" s="102">
        <f>TrAvia_ene!H$8</f>
        <v>475.8205840483331</v>
      </c>
      <c r="I45" s="102">
        <f>TrAvia_ene!I$8</f>
        <v>513.03704581420789</v>
      </c>
      <c r="J45" s="102">
        <f>TrAvia_ene!J$8</f>
        <v>526.0204080013873</v>
      </c>
      <c r="K45" s="102">
        <f>TrAvia_ene!K$8</f>
        <v>479.46674360430058</v>
      </c>
      <c r="L45" s="102">
        <f>TrAvia_ene!L$8</f>
        <v>510.40369823085462</v>
      </c>
      <c r="M45" s="102">
        <f>TrAvia_ene!M$8</f>
        <v>538.18251203037994</v>
      </c>
      <c r="N45" s="102">
        <f>TrAvia_ene!N$8</f>
        <v>534.06039085238251</v>
      </c>
      <c r="O45" s="102">
        <f>TrAvia_ene!O$8</f>
        <v>544.74849460765859</v>
      </c>
      <c r="P45" s="102">
        <f>TrAvia_ene!P$8</f>
        <v>574.43920630580021</v>
      </c>
      <c r="Q45" s="102">
        <f>TrAvia_ene!Q$8</f>
        <v>627.56508878241334</v>
      </c>
      <c r="R45" s="102">
        <f>TrAvia_ene!R$8</f>
        <v>712.51410165461118</v>
      </c>
      <c r="S45" s="102">
        <f>TrAvia_ene!S$8</f>
        <v>809.47390854010928</v>
      </c>
      <c r="T45" s="102">
        <f>TrAvia_ene!T$8</f>
        <v>854.68539390387991</v>
      </c>
      <c r="U45" s="102">
        <f>TrAvia_ene!U$8</f>
        <v>913.16704890734127</v>
      </c>
      <c r="V45" s="102">
        <f>TrAvia_ene!V$8</f>
        <v>271.90406211292384</v>
      </c>
      <c r="W45" s="102">
        <f>TrAvia_ene!W$8</f>
        <v>374.39665972242324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272.97790641928765</v>
      </c>
      <c r="C46" s="102">
        <f>TrAvia_ene!C$9</f>
        <v>262.80961696642584</v>
      </c>
      <c r="D46" s="102">
        <f>TrAvia_ene!D$9</f>
        <v>254.7835629737871</v>
      </c>
      <c r="E46" s="102">
        <f>TrAvia_ene!E$9</f>
        <v>279.06170039079683</v>
      </c>
      <c r="F46" s="102">
        <f>TrAvia_ene!F$9</f>
        <v>286.28100039313631</v>
      </c>
      <c r="G46" s="102">
        <f>TrAvia_ene!G$9</f>
        <v>293.85279319035158</v>
      </c>
      <c r="H46" s="102">
        <f>TrAvia_ene!H$9</f>
        <v>303.52919162464485</v>
      </c>
      <c r="I46" s="102">
        <f>TrAvia_ene!I$9</f>
        <v>309.6780693426274</v>
      </c>
      <c r="J46" s="102">
        <f>TrAvia_ene!J$9</f>
        <v>324.15927896960869</v>
      </c>
      <c r="K46" s="102">
        <f>TrAvia_ene!K$9</f>
        <v>318.35027372672187</v>
      </c>
      <c r="L46" s="102">
        <f>TrAvia_ene!L$9</f>
        <v>342.05590605343883</v>
      </c>
      <c r="M46" s="102">
        <f>TrAvia_ene!M$9</f>
        <v>354.54330571144027</v>
      </c>
      <c r="N46" s="102">
        <f>TrAvia_ene!N$9</f>
        <v>366.92355347021038</v>
      </c>
      <c r="O46" s="102">
        <f>TrAvia_ene!O$9</f>
        <v>368.17418037804435</v>
      </c>
      <c r="P46" s="102">
        <f>TrAvia_ene!P$9</f>
        <v>373.87584063972196</v>
      </c>
      <c r="Q46" s="102">
        <f>TrAvia_ene!Q$9</f>
        <v>401.33298257610988</v>
      </c>
      <c r="R46" s="102">
        <f>TrAvia_ene!R$9</f>
        <v>420.90239117330322</v>
      </c>
      <c r="S46" s="102">
        <f>TrAvia_ene!S$9</f>
        <v>451.55327966083149</v>
      </c>
      <c r="T46" s="102">
        <f>TrAvia_ene!T$9</f>
        <v>490.46968379202951</v>
      </c>
      <c r="U46" s="102">
        <f>TrAvia_ene!U$9</f>
        <v>529.28533306950192</v>
      </c>
      <c r="V46" s="102">
        <f>TrAvia_ene!V$9</f>
        <v>236.45515655907082</v>
      </c>
      <c r="W46" s="102">
        <f>TrAvia_ene!W$9</f>
        <v>273.50788452000376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2458.458461716029</v>
      </c>
      <c r="C47" s="28">
        <f t="shared" si="37"/>
        <v>2520.7590019745835</v>
      </c>
      <c r="D47" s="28">
        <f t="shared" si="37"/>
        <v>2530.4461008789053</v>
      </c>
      <c r="E47" s="28">
        <f t="shared" si="37"/>
        <v>2587.301098405268</v>
      </c>
      <c r="F47" s="28">
        <f t="shared" si="37"/>
        <v>2609.3239429888736</v>
      </c>
      <c r="G47" s="28">
        <f t="shared" si="37"/>
        <v>2525.1604590831698</v>
      </c>
      <c r="H47" s="28">
        <f t="shared" si="37"/>
        <v>2525.5970025772426</v>
      </c>
      <c r="I47" s="28">
        <f t="shared" si="37"/>
        <v>2581.5258474958282</v>
      </c>
      <c r="J47" s="28">
        <f t="shared" si="37"/>
        <v>2553.8423113294321</v>
      </c>
      <c r="K47" s="28">
        <f t="shared" si="37"/>
        <v>2507.8195753428913</v>
      </c>
      <c r="L47" s="28">
        <f t="shared" si="37"/>
        <v>2414.7819797483107</v>
      </c>
      <c r="M47" s="28">
        <f t="shared" si="37"/>
        <v>2193.9743063524497</v>
      </c>
      <c r="N47" s="28">
        <f t="shared" si="37"/>
        <v>1918.4752847927675</v>
      </c>
      <c r="O47" s="28">
        <f t="shared" si="37"/>
        <v>1830.6872108971122</v>
      </c>
      <c r="P47" s="28">
        <f t="shared" si="37"/>
        <v>1787.0827724361291</v>
      </c>
      <c r="Q47" s="28">
        <f t="shared" si="37"/>
        <v>1826.6327388795994</v>
      </c>
      <c r="R47" s="28">
        <f t="shared" ref="R47:V47" si="38">R48+R51+R52+R56</f>
        <v>1846.5037537439744</v>
      </c>
      <c r="S47" s="28">
        <f t="shared" si="38"/>
        <v>1845.3992565460151</v>
      </c>
      <c r="T47" s="28">
        <f t="shared" si="38"/>
        <v>1846.4844826832104</v>
      </c>
      <c r="U47" s="28">
        <f t="shared" si="38"/>
        <v>1859.5001496994651</v>
      </c>
      <c r="V47" s="28">
        <f t="shared" si="38"/>
        <v>1574.5312841168575</v>
      </c>
      <c r="W47" s="28">
        <f t="shared" ref="W47" si="39">W48+W51+W52+W56</f>
        <v>1731.2617685764321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2379.3154153422529</v>
      </c>
      <c r="C48" s="137">
        <f t="shared" si="40"/>
        <v>2438.6971697066629</v>
      </c>
      <c r="D48" s="137">
        <f t="shared" si="40"/>
        <v>2408.5418534825017</v>
      </c>
      <c r="E48" s="137">
        <f t="shared" si="40"/>
        <v>2492.9808386263553</v>
      </c>
      <c r="F48" s="137">
        <f t="shared" si="40"/>
        <v>2552.411922681626</v>
      </c>
      <c r="G48" s="137">
        <f t="shared" si="40"/>
        <v>2475.2318349589041</v>
      </c>
      <c r="H48" s="137">
        <f t="shared" si="40"/>
        <v>2468.4601053017186</v>
      </c>
      <c r="I48" s="137">
        <f t="shared" si="40"/>
        <v>2417.2989645235393</v>
      </c>
      <c r="J48" s="137">
        <f t="shared" si="40"/>
        <v>2375.4930085127653</v>
      </c>
      <c r="K48" s="137">
        <f t="shared" si="40"/>
        <v>2273.6993588943392</v>
      </c>
      <c r="L48" s="137">
        <f t="shared" si="40"/>
        <v>2251.3803722836865</v>
      </c>
      <c r="M48" s="137">
        <f t="shared" si="40"/>
        <v>2042.8423544194998</v>
      </c>
      <c r="N48" s="137">
        <f t="shared" si="40"/>
        <v>1766.9967543732469</v>
      </c>
      <c r="O48" s="137">
        <f t="shared" si="40"/>
        <v>1678.5968266799628</v>
      </c>
      <c r="P48" s="137">
        <f t="shared" si="40"/>
        <v>1673.4113709780058</v>
      </c>
      <c r="Q48" s="137">
        <f t="shared" si="40"/>
        <v>1700.937954409656</v>
      </c>
      <c r="R48" s="137">
        <f t="shared" ref="R48:V48" si="41">R49+R50</f>
        <v>1710.8859665634664</v>
      </c>
      <c r="S48" s="137">
        <f t="shared" si="41"/>
        <v>1717.7832789290944</v>
      </c>
      <c r="T48" s="137">
        <f t="shared" si="41"/>
        <v>1715.5913300020561</v>
      </c>
      <c r="U48" s="137">
        <f t="shared" si="41"/>
        <v>1746.8465291899445</v>
      </c>
      <c r="V48" s="137">
        <f t="shared" si="41"/>
        <v>1487.3603149789583</v>
      </c>
      <c r="W48" s="137">
        <f t="shared" ref="W48" si="42">W49+W50</f>
        <v>1629.041237789977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1776.8881114194107</v>
      </c>
      <c r="C49" s="102">
        <f>TrRoad_ene!C$43</f>
        <v>1716.8453645919315</v>
      </c>
      <c r="D49" s="102">
        <f>TrRoad_ene!D$43</f>
        <v>1713.2583684907936</v>
      </c>
      <c r="E49" s="102">
        <f>TrRoad_ene!E$43</f>
        <v>1677.8749233385067</v>
      </c>
      <c r="F49" s="102">
        <f>TrRoad_ene!F$43</f>
        <v>1565.106465698201</v>
      </c>
      <c r="G49" s="102">
        <f>TrRoad_ene!G$43</f>
        <v>1459.0823158234459</v>
      </c>
      <c r="H49" s="102">
        <f>TrRoad_ene!H$43</f>
        <v>1435.5691233274472</v>
      </c>
      <c r="I49" s="102">
        <f>TrRoad_ene!I$43</f>
        <v>1343.7681027040617</v>
      </c>
      <c r="J49" s="102">
        <f>TrRoad_ene!J$43</f>
        <v>1324.38526186679</v>
      </c>
      <c r="K49" s="102">
        <f>TrRoad_ene!K$43</f>
        <v>1317.3422673798345</v>
      </c>
      <c r="L49" s="102">
        <f>TrRoad_ene!L$43</f>
        <v>1272.5193702205922</v>
      </c>
      <c r="M49" s="102">
        <f>TrRoad_ene!M$43</f>
        <v>1108.1262257191711</v>
      </c>
      <c r="N49" s="102">
        <f>TrRoad_ene!N$43</f>
        <v>935.4962214231083</v>
      </c>
      <c r="O49" s="102">
        <f>TrRoad_ene!O$43</f>
        <v>887.87455552203357</v>
      </c>
      <c r="P49" s="102">
        <f>TrRoad_ene!P$43</f>
        <v>943.25053429955847</v>
      </c>
      <c r="Q49" s="102">
        <f>TrRoad_ene!Q$43</f>
        <v>937.42705682909718</v>
      </c>
      <c r="R49" s="102">
        <f>TrRoad_ene!R$43</f>
        <v>956.3731136120781</v>
      </c>
      <c r="S49" s="102">
        <f>TrRoad_ene!S$43</f>
        <v>979.37354633704172</v>
      </c>
      <c r="T49" s="102">
        <f>TrRoad_ene!T$43</f>
        <v>990.57791077357365</v>
      </c>
      <c r="U49" s="102">
        <f>TrRoad_ene!U$43</f>
        <v>1003.4109303242295</v>
      </c>
      <c r="V49" s="102">
        <f>TrRoad_ene!V$43</f>
        <v>845.76334980667116</v>
      </c>
      <c r="W49" s="102">
        <f>TrRoad_ene!W$43</f>
        <v>938.64425593880037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602.42730392284216</v>
      </c>
      <c r="C50" s="102">
        <f>TrRoad_ene!C$52</f>
        <v>721.85180511473129</v>
      </c>
      <c r="D50" s="102">
        <f>TrRoad_ene!D$52</f>
        <v>695.28348499170795</v>
      </c>
      <c r="E50" s="102">
        <f>TrRoad_ene!E$52</f>
        <v>815.10591528784857</v>
      </c>
      <c r="F50" s="102">
        <f>TrRoad_ene!F$52</f>
        <v>987.30545698342507</v>
      </c>
      <c r="G50" s="102">
        <f>TrRoad_ene!G$52</f>
        <v>1016.1495191354581</v>
      </c>
      <c r="H50" s="102">
        <f>TrRoad_ene!H$52</f>
        <v>1032.8909819742712</v>
      </c>
      <c r="I50" s="102">
        <f>TrRoad_ene!I$52</f>
        <v>1073.5308618194779</v>
      </c>
      <c r="J50" s="102">
        <f>TrRoad_ene!J$52</f>
        <v>1051.1077466459753</v>
      </c>
      <c r="K50" s="102">
        <f>TrRoad_ene!K$52</f>
        <v>956.35709151450453</v>
      </c>
      <c r="L50" s="102">
        <f>TrRoad_ene!L$52</f>
        <v>978.86100206309425</v>
      </c>
      <c r="M50" s="102">
        <f>TrRoad_ene!M$52</f>
        <v>934.7161287003288</v>
      </c>
      <c r="N50" s="102">
        <f>TrRoad_ene!N$52</f>
        <v>831.50053295013856</v>
      </c>
      <c r="O50" s="102">
        <f>TrRoad_ene!O$52</f>
        <v>790.72227115792907</v>
      </c>
      <c r="P50" s="102">
        <f>TrRoad_ene!P$52</f>
        <v>730.16083667844737</v>
      </c>
      <c r="Q50" s="102">
        <f>TrRoad_ene!Q$52</f>
        <v>763.51089758055866</v>
      </c>
      <c r="R50" s="102">
        <f>TrRoad_ene!R$52</f>
        <v>754.51285295138814</v>
      </c>
      <c r="S50" s="102">
        <f>TrRoad_ene!S$52</f>
        <v>738.40973259205271</v>
      </c>
      <c r="T50" s="102">
        <f>TrRoad_ene!T$52</f>
        <v>725.01341922848246</v>
      </c>
      <c r="U50" s="102">
        <f>TrRoad_ene!U$52</f>
        <v>743.43559886571495</v>
      </c>
      <c r="V50" s="102">
        <f>TrRoad_ene!V$52</f>
        <v>641.59696517228713</v>
      </c>
      <c r="W50" s="102">
        <f>TrRoad_ene!W$52</f>
        <v>690.39698185117652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14.940272517898105</v>
      </c>
      <c r="C51" s="110">
        <f>TrRail_ene!C$17</f>
        <v>13.169429502226906</v>
      </c>
      <c r="D51" s="110">
        <f>TrRail_ene!D$17</f>
        <v>12.520868443983334</v>
      </c>
      <c r="E51" s="110">
        <f>TrRail_ene!E$17</f>
        <v>10.974965114520675</v>
      </c>
      <c r="F51" s="110">
        <f>TrRail_ene!F$17</f>
        <v>11.666316125819993</v>
      </c>
      <c r="G51" s="110">
        <f>TrRail_ene!G$17</f>
        <v>11.851265699080614</v>
      </c>
      <c r="H51" s="110">
        <f>TrRail_ene!H$17</f>
        <v>11.564164834982105</v>
      </c>
      <c r="I51" s="110">
        <f>TrRail_ene!I$17</f>
        <v>11.918300461746922</v>
      </c>
      <c r="J51" s="110">
        <f>TrRail_ene!J$17</f>
        <v>11.187021678711581</v>
      </c>
      <c r="K51" s="110">
        <f>TrRail_ene!K$17</f>
        <v>9.1370587375884824</v>
      </c>
      <c r="L51" s="110">
        <f>TrRail_ene!L$17</f>
        <v>9.1249723045930811</v>
      </c>
      <c r="M51" s="110">
        <f>TrRail_ene!M$17</f>
        <v>8.113925457392309</v>
      </c>
      <c r="N51" s="110">
        <f>TrRail_ene!N$17</f>
        <v>7.7934567989407677</v>
      </c>
      <c r="O51" s="110">
        <f>TrRail_ene!O$17</f>
        <v>6.5035577586821827</v>
      </c>
      <c r="P51" s="110">
        <f>TrRail_ene!P$17</f>
        <v>6.7875102150371438</v>
      </c>
      <c r="Q51" s="110">
        <f>TrRail_ene!Q$17</f>
        <v>7.2183682646237752</v>
      </c>
      <c r="R51" s="110">
        <f>TrRail_ene!R$17</f>
        <v>7.0236832008141841</v>
      </c>
      <c r="S51" s="110">
        <f>TrRail_ene!S$17</f>
        <v>7.7815511030206022</v>
      </c>
      <c r="T51" s="110">
        <f>TrRail_ene!T$17</f>
        <v>7.4913428635622061</v>
      </c>
      <c r="U51" s="110">
        <f>TrRail_ene!U$17</f>
        <v>7.157603986413279</v>
      </c>
      <c r="V51" s="110">
        <f>TrRail_ene!V$17</f>
        <v>7.8646933139320803</v>
      </c>
      <c r="W51" s="110">
        <f>TrRail_ene!W$17</f>
        <v>8.7289871237777028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19.701226134467984</v>
      </c>
      <c r="C52" s="110">
        <f t="shared" si="43"/>
        <v>18.181396746776748</v>
      </c>
      <c r="D52" s="110">
        <f t="shared" si="43"/>
        <v>18.285614550012777</v>
      </c>
      <c r="E52" s="110">
        <f t="shared" si="43"/>
        <v>17.180462334211292</v>
      </c>
      <c r="F52" s="110">
        <f t="shared" si="43"/>
        <v>19.372703321582144</v>
      </c>
      <c r="G52" s="110">
        <f t="shared" si="43"/>
        <v>20.483721279871357</v>
      </c>
      <c r="H52" s="110">
        <f t="shared" si="43"/>
        <v>25.03197577674166</v>
      </c>
      <c r="I52" s="110">
        <f t="shared" si="43"/>
        <v>26.341256629200551</v>
      </c>
      <c r="J52" s="110">
        <f t="shared" si="43"/>
        <v>29.372083373553082</v>
      </c>
      <c r="K52" s="110">
        <f t="shared" si="43"/>
        <v>27.290380410877312</v>
      </c>
      <c r="L52" s="110">
        <f t="shared" si="43"/>
        <v>31.700882795456913</v>
      </c>
      <c r="M52" s="110">
        <f t="shared" si="43"/>
        <v>26.079075486735782</v>
      </c>
      <c r="N52" s="110">
        <f t="shared" si="43"/>
        <v>25.790748599083908</v>
      </c>
      <c r="O52" s="110">
        <f t="shared" si="43"/>
        <v>23.799208229748384</v>
      </c>
      <c r="P52" s="110">
        <f t="shared" si="43"/>
        <v>20.588792360884682</v>
      </c>
      <c r="Q52" s="110">
        <f t="shared" si="43"/>
        <v>19.856983703169966</v>
      </c>
      <c r="R52" s="110">
        <f t="shared" si="43"/>
        <v>17.244232956477777</v>
      </c>
      <c r="S52" s="110">
        <f t="shared" si="43"/>
        <v>21.431073117511403</v>
      </c>
      <c r="T52" s="110">
        <f t="shared" si="43"/>
        <v>20.721586257832833</v>
      </c>
      <c r="U52" s="110">
        <f t="shared" si="43"/>
        <v>17.679679463777955</v>
      </c>
      <c r="V52" s="110">
        <f t="shared" si="43"/>
        <v>16.555458971000782</v>
      </c>
      <c r="W52" s="110">
        <f t="shared" ref="W52" si="44">W53+W54+W55</f>
        <v>20.024733688472864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5.628821871968726</v>
      </c>
      <c r="C53" s="102">
        <f>TrAvia_ene!C$11</f>
        <v>5.173795617477766</v>
      </c>
      <c r="D53" s="102">
        <f>TrAvia_ene!D$11</f>
        <v>5.1082476118653659</v>
      </c>
      <c r="E53" s="102">
        <f>TrAvia_ene!E$11</f>
        <v>4.7321796446352167</v>
      </c>
      <c r="F53" s="102">
        <f>TrAvia_ene!F$11</f>
        <v>4.859916364954052</v>
      </c>
      <c r="G53" s="102">
        <f>TrAvia_ene!G$11</f>
        <v>5.2595948639736516</v>
      </c>
      <c r="H53" s="102">
        <f>TrAvia_ene!H$11</f>
        <v>5.6213903147238087</v>
      </c>
      <c r="I53" s="102">
        <f>TrAvia_ene!I$11</f>
        <v>5.8586933681513242</v>
      </c>
      <c r="J53" s="102">
        <f>TrAvia_ene!J$11</f>
        <v>5.5429999232249054</v>
      </c>
      <c r="K53" s="102">
        <f>TrAvia_ene!K$11</f>
        <v>5.5315593928027162</v>
      </c>
      <c r="L53" s="102">
        <f>TrAvia_ene!L$11</f>
        <v>6.0435481287613504</v>
      </c>
      <c r="M53" s="102">
        <f>TrAvia_ene!M$11</f>
        <v>3.7146094796307421</v>
      </c>
      <c r="N53" s="102">
        <f>TrAvia_ene!N$11</f>
        <v>3.4680721134222203</v>
      </c>
      <c r="O53" s="102">
        <f>TrAvia_ene!O$11</f>
        <v>3.144927067557862</v>
      </c>
      <c r="P53" s="102">
        <f>TrAvia_ene!P$11</f>
        <v>2.4617068902418331</v>
      </c>
      <c r="Q53" s="102">
        <f>TrAvia_ene!Q$11</f>
        <v>2.2039802551581449</v>
      </c>
      <c r="R53" s="102">
        <f>TrAvia_ene!R$11</f>
        <v>1.4059536433770001</v>
      </c>
      <c r="S53" s="102">
        <f>TrAvia_ene!S$11</f>
        <v>1.9552518601554265</v>
      </c>
      <c r="T53" s="102">
        <f>TrAvia_ene!T$11</f>
        <v>1.9997937903711613</v>
      </c>
      <c r="U53" s="102">
        <f>TrAvia_ene!U$11</f>
        <v>1.9752256710600073</v>
      </c>
      <c r="V53" s="102">
        <f>TrAvia_ene!V$11</f>
        <v>1.8209545131588298</v>
      </c>
      <c r="W53" s="102">
        <f>TrAvia_ene!W$11</f>
        <v>2.0906708801688261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8.6629969328379897</v>
      </c>
      <c r="C54" s="102">
        <f>TrAvia_ene!C$12</f>
        <v>7.7837109011283525</v>
      </c>
      <c r="D54" s="102">
        <f>TrAvia_ene!D$12</f>
        <v>7.8448384466974828</v>
      </c>
      <c r="E54" s="102">
        <f>TrAvia_ene!E$12</f>
        <v>7.1916755460928048</v>
      </c>
      <c r="F54" s="102">
        <f>TrAvia_ene!F$12</f>
        <v>8.356839720329452</v>
      </c>
      <c r="G54" s="102">
        <f>TrAvia_ene!G$12</f>
        <v>8.2361643845458765</v>
      </c>
      <c r="H54" s="102">
        <f>TrAvia_ene!H$12</f>
        <v>10.12702442824113</v>
      </c>
      <c r="I54" s="102">
        <f>TrAvia_ene!I$12</f>
        <v>9.9869928710291198</v>
      </c>
      <c r="J54" s="102">
        <f>TrAvia_ene!J$12</f>
        <v>9.9551750312432219</v>
      </c>
      <c r="K54" s="102">
        <f>TrAvia_ene!K$12</f>
        <v>8.7543719338171861</v>
      </c>
      <c r="L54" s="102">
        <f>TrAvia_ene!L$12</f>
        <v>9.2380186694607644</v>
      </c>
      <c r="M54" s="102">
        <f>TrAvia_ene!M$12</f>
        <v>7.4678452394259303</v>
      </c>
      <c r="N54" s="102">
        <f>TrAvia_ene!N$12</f>
        <v>6.6605295806861156</v>
      </c>
      <c r="O54" s="102">
        <f>TrAvia_ene!O$12</f>
        <v>5.6482779542686785</v>
      </c>
      <c r="P54" s="102">
        <f>TrAvia_ene!P$12</f>
        <v>5.2206801384292429</v>
      </c>
      <c r="Q54" s="102">
        <f>TrAvia_ene!Q$12</f>
        <v>5.5370080812231119</v>
      </c>
      <c r="R54" s="102">
        <f>TrAvia_ene!R$12</f>
        <v>5.2813078741353632</v>
      </c>
      <c r="S54" s="102">
        <f>TrAvia_ene!S$12</f>
        <v>6.218421710887041</v>
      </c>
      <c r="T54" s="102">
        <f>TrAvia_ene!T$12</f>
        <v>6.4698929058254002</v>
      </c>
      <c r="U54" s="102">
        <f>TrAvia_ene!U$12</f>
        <v>6.6296933938928424</v>
      </c>
      <c r="V54" s="102">
        <f>TrAvia_ene!V$12</f>
        <v>5.1265489471654222</v>
      </c>
      <c r="W54" s="102">
        <f>TrAvia_ene!W$12</f>
        <v>6.2886424589216761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5.4094073296612679</v>
      </c>
      <c r="C55" s="102">
        <f>TrAvia_ene!C$13</f>
        <v>5.2238902281706281</v>
      </c>
      <c r="D55" s="102">
        <f>TrAvia_ene!D$13</f>
        <v>5.3325284914499269</v>
      </c>
      <c r="E55" s="102">
        <f>TrAvia_ene!E$13</f>
        <v>5.2566071434832695</v>
      </c>
      <c r="F55" s="102">
        <f>TrAvia_ene!F$13</f>
        <v>6.1559472362986414</v>
      </c>
      <c r="G55" s="102">
        <f>TrAvia_ene!G$13</f>
        <v>6.98796203135183</v>
      </c>
      <c r="H55" s="102">
        <f>TrAvia_ene!H$13</f>
        <v>9.2835610337767189</v>
      </c>
      <c r="I55" s="102">
        <f>TrAvia_ene!I$13</f>
        <v>10.495570390020104</v>
      </c>
      <c r="J55" s="102">
        <f>TrAvia_ene!J$13</f>
        <v>13.873908419084954</v>
      </c>
      <c r="K55" s="102">
        <f>TrAvia_ene!K$13</f>
        <v>13.004449084257411</v>
      </c>
      <c r="L55" s="102">
        <f>TrAvia_ene!L$13</f>
        <v>16.419315997234797</v>
      </c>
      <c r="M55" s="102">
        <f>TrAvia_ene!M$13</f>
        <v>14.896620767679108</v>
      </c>
      <c r="N55" s="102">
        <f>TrAvia_ene!N$13</f>
        <v>15.662146904975572</v>
      </c>
      <c r="O55" s="102">
        <f>TrAvia_ene!O$13</f>
        <v>15.006003207921843</v>
      </c>
      <c r="P55" s="102">
        <f>TrAvia_ene!P$13</f>
        <v>12.906405332213605</v>
      </c>
      <c r="Q55" s="102">
        <f>TrAvia_ene!Q$13</f>
        <v>12.115995366788711</v>
      </c>
      <c r="R55" s="102">
        <f>TrAvia_ene!R$13</f>
        <v>10.556971438965414</v>
      </c>
      <c r="S55" s="102">
        <f>TrAvia_ene!S$13</f>
        <v>13.257399546468937</v>
      </c>
      <c r="T55" s="102">
        <f>TrAvia_ene!T$13</f>
        <v>12.25189956163627</v>
      </c>
      <c r="U55" s="102">
        <f>TrAvia_ene!U$13</f>
        <v>9.0747603988251058</v>
      </c>
      <c r="V55" s="102">
        <f>TrAvia_ene!V$13</f>
        <v>9.6079555106765309</v>
      </c>
      <c r="W55" s="102">
        <f>TrAvia_ene!W$13</f>
        <v>11.645420349382364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44.501547721410141</v>
      </c>
      <c r="C56" s="110">
        <f t="shared" si="45"/>
        <v>50.711006018916592</v>
      </c>
      <c r="D56" s="110">
        <f t="shared" si="45"/>
        <v>91.097764402407563</v>
      </c>
      <c r="E56" s="110">
        <f t="shared" si="45"/>
        <v>66.164832330180559</v>
      </c>
      <c r="F56" s="110">
        <f t="shared" si="45"/>
        <v>25.873000859845231</v>
      </c>
      <c r="G56" s="110">
        <f t="shared" si="45"/>
        <v>17.593637145313838</v>
      </c>
      <c r="H56" s="110">
        <f t="shared" si="45"/>
        <v>20.540756663800519</v>
      </c>
      <c r="I56" s="110">
        <f t="shared" si="45"/>
        <v>125.96732588134134</v>
      </c>
      <c r="J56" s="110">
        <f t="shared" si="45"/>
        <v>137.79019776440239</v>
      </c>
      <c r="K56" s="110">
        <f t="shared" si="45"/>
        <v>197.69277730008602</v>
      </c>
      <c r="L56" s="110">
        <f t="shared" si="45"/>
        <v>122.57575236457436</v>
      </c>
      <c r="M56" s="110">
        <f t="shared" si="45"/>
        <v>116.938950988822</v>
      </c>
      <c r="N56" s="110">
        <f t="shared" si="45"/>
        <v>117.89432502149612</v>
      </c>
      <c r="O56" s="110">
        <f t="shared" si="45"/>
        <v>121.78761822871884</v>
      </c>
      <c r="P56" s="110">
        <f t="shared" si="45"/>
        <v>86.295098882201202</v>
      </c>
      <c r="Q56" s="110">
        <f t="shared" si="45"/>
        <v>98.619432502149607</v>
      </c>
      <c r="R56" s="110">
        <f t="shared" ref="R56:V56" si="46">R57+R58</f>
        <v>111.3498710232158</v>
      </c>
      <c r="S56" s="110">
        <f t="shared" si="46"/>
        <v>98.403353396388638</v>
      </c>
      <c r="T56" s="110">
        <f t="shared" si="46"/>
        <v>102.68022355975924</v>
      </c>
      <c r="U56" s="110">
        <f t="shared" si="46"/>
        <v>87.816337059329328</v>
      </c>
      <c r="V56" s="110">
        <f t="shared" si="46"/>
        <v>62.750816852966452</v>
      </c>
      <c r="W56" s="110">
        <f t="shared" ref="W56" si="47">W57+W58</f>
        <v>73.466809974204651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44.501547721410141</v>
      </c>
      <c r="C57" s="102">
        <f>TrNavi_ene!C4</f>
        <v>50.711006018916592</v>
      </c>
      <c r="D57" s="102">
        <f>TrNavi_ene!D4</f>
        <v>91.097764402407563</v>
      </c>
      <c r="E57" s="102">
        <f>TrNavi_ene!E4</f>
        <v>66.164832330180559</v>
      </c>
      <c r="F57" s="102">
        <f>TrNavi_ene!F4</f>
        <v>25.873000859845231</v>
      </c>
      <c r="G57" s="102">
        <f>TrNavi_ene!G4</f>
        <v>17.593637145313838</v>
      </c>
      <c r="H57" s="102">
        <f>TrNavi_ene!H4</f>
        <v>20.540756663800519</v>
      </c>
      <c r="I57" s="102">
        <f>TrNavi_ene!I4</f>
        <v>125.96732588134134</v>
      </c>
      <c r="J57" s="102">
        <f>TrNavi_ene!J4</f>
        <v>137.79019776440239</v>
      </c>
      <c r="K57" s="102">
        <f>TrNavi_ene!K4</f>
        <v>197.69277730008602</v>
      </c>
      <c r="L57" s="102">
        <f>TrNavi_ene!L4</f>
        <v>122.57575236457436</v>
      </c>
      <c r="M57" s="102">
        <f>TrNavi_ene!M4</f>
        <v>116.938950988822</v>
      </c>
      <c r="N57" s="102">
        <f>TrNavi_ene!N4</f>
        <v>117.89432502149612</v>
      </c>
      <c r="O57" s="102">
        <f>TrNavi_ene!O4</f>
        <v>121.78761822871884</v>
      </c>
      <c r="P57" s="102">
        <f>TrNavi_ene!P4</f>
        <v>86.295098882201202</v>
      </c>
      <c r="Q57" s="102">
        <f>TrNavi_ene!Q4</f>
        <v>98.619432502149607</v>
      </c>
      <c r="R57" s="102">
        <f>TrNavi_ene!R4</f>
        <v>111.3498710232158</v>
      </c>
      <c r="S57" s="102">
        <f>TrNavi_ene!S4</f>
        <v>98.403353396388638</v>
      </c>
      <c r="T57" s="102">
        <f>TrNavi_ene!T4</f>
        <v>102.68022355975924</v>
      </c>
      <c r="U57" s="102">
        <f>TrNavi_ene!U4</f>
        <v>87.816337059329328</v>
      </c>
      <c r="V57" s="102">
        <f>TrNavi_ene!V4</f>
        <v>62.750816852966452</v>
      </c>
      <c r="W57" s="102">
        <f>TrNavi_ene!W4</f>
        <v>73.466809974204651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666.64402407566649</v>
      </c>
      <c r="C59" s="28">
        <f t="shared" ref="C59:W59" si="48">C60+C61</f>
        <v>476.77196904557172</v>
      </c>
      <c r="D59" s="28">
        <f t="shared" si="48"/>
        <v>483.63688736027507</v>
      </c>
      <c r="E59" s="28">
        <f t="shared" si="48"/>
        <v>580.7053310404126</v>
      </c>
      <c r="F59" s="28">
        <f t="shared" si="48"/>
        <v>655.94196044711941</v>
      </c>
      <c r="G59" s="28">
        <f t="shared" si="48"/>
        <v>577.51332760103196</v>
      </c>
      <c r="H59" s="28">
        <f t="shared" si="48"/>
        <v>632.04978503869302</v>
      </c>
      <c r="I59" s="28">
        <f t="shared" si="48"/>
        <v>493.69441100601887</v>
      </c>
      <c r="J59" s="28">
        <f t="shared" si="48"/>
        <v>526.5357695614789</v>
      </c>
      <c r="K59" s="28">
        <f t="shared" si="48"/>
        <v>474.06139294926902</v>
      </c>
      <c r="L59" s="28">
        <f t="shared" si="48"/>
        <v>458.39303525365426</v>
      </c>
      <c r="M59" s="28">
        <f t="shared" si="48"/>
        <v>558.92338779019769</v>
      </c>
      <c r="N59" s="28">
        <f t="shared" si="48"/>
        <v>603.49191745485791</v>
      </c>
      <c r="O59" s="28">
        <f t="shared" si="48"/>
        <v>643.42699914015475</v>
      </c>
      <c r="P59" s="28">
        <f t="shared" si="48"/>
        <v>605.09217540842656</v>
      </c>
      <c r="Q59" s="28">
        <f t="shared" si="48"/>
        <v>641.27730008598451</v>
      </c>
      <c r="R59" s="28">
        <f t="shared" si="48"/>
        <v>762.94539982803099</v>
      </c>
      <c r="S59" s="28">
        <f t="shared" si="48"/>
        <v>776.82424763542554</v>
      </c>
      <c r="T59" s="28">
        <f t="shared" si="48"/>
        <v>808.40825451418755</v>
      </c>
      <c r="U59" s="28">
        <f t="shared" si="48"/>
        <v>952.30128976784181</v>
      </c>
      <c r="V59" s="28">
        <f t="shared" si="48"/>
        <v>686.58968185726565</v>
      </c>
      <c r="W59" s="28">
        <f t="shared" si="48"/>
        <v>659.35984522785918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230.94805086167395</v>
      </c>
      <c r="C60" s="102">
        <f>MBunk_ene!C$4</f>
        <v>164.76638735770538</v>
      </c>
      <c r="D60" s="102">
        <f>MBunk_ene!D$4</f>
        <v>163.6492780823279</v>
      </c>
      <c r="E60" s="102">
        <f>MBunk_ene!E$4</f>
        <v>186.02863247246796</v>
      </c>
      <c r="F60" s="102">
        <f>MBunk_ene!F$4</f>
        <v>222.99997761799011</v>
      </c>
      <c r="G60" s="102">
        <f>MBunk_ene!G$4</f>
        <v>198.98119585942001</v>
      </c>
      <c r="H60" s="102">
        <f>MBunk_ene!H$4</f>
        <v>207.21942966034112</v>
      </c>
      <c r="I60" s="102">
        <f>MBunk_ene!I$4</f>
        <v>156.98260249249191</v>
      </c>
      <c r="J60" s="102">
        <f>MBunk_ene!J$4</f>
        <v>164.97694641293759</v>
      </c>
      <c r="K60" s="102">
        <f>MBunk_ene!K$4</f>
        <v>157.9474011341585</v>
      </c>
      <c r="L60" s="102">
        <f>MBunk_ene!L$4</f>
        <v>150.13369167140655</v>
      </c>
      <c r="M60" s="102">
        <f>MBunk_ene!M$4</f>
        <v>174.3600159747111</v>
      </c>
      <c r="N60" s="102">
        <f>MBunk_ene!N$4</f>
        <v>186.31913585791318</v>
      </c>
      <c r="O60" s="102">
        <f>MBunk_ene!O$4</f>
        <v>197.03280834919482</v>
      </c>
      <c r="P60" s="102">
        <f>MBunk_ene!P$4</f>
        <v>188.44027579925262</v>
      </c>
      <c r="Q60" s="102">
        <f>MBunk_ene!Q$4</f>
        <v>192.69621056787793</v>
      </c>
      <c r="R60" s="102">
        <f>MBunk_ene!R$4</f>
        <v>227.77059168796853</v>
      </c>
      <c r="S60" s="102">
        <f>MBunk_ene!S$4</f>
        <v>233.38790344627279</v>
      </c>
      <c r="T60" s="102">
        <f>MBunk_ene!T$4</f>
        <v>257.16401595938044</v>
      </c>
      <c r="U60" s="102">
        <f>MBunk_ene!U$4</f>
        <v>330.1325871116174</v>
      </c>
      <c r="V60" s="102">
        <f>MBunk_ene!V$4</f>
        <v>210.34333087950975</v>
      </c>
      <c r="W60" s="102">
        <f>MBunk_ene!W$4</f>
        <v>201.39834894600841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435.69597321399249</v>
      </c>
      <c r="C61" s="86">
        <f>MBunk_ene!C$10</f>
        <v>312.00558168786637</v>
      </c>
      <c r="D61" s="86">
        <f>MBunk_ene!D$10</f>
        <v>319.98760927794717</v>
      </c>
      <c r="E61" s="86">
        <f>MBunk_ene!E$10</f>
        <v>394.67669856794458</v>
      </c>
      <c r="F61" s="86">
        <f>MBunk_ene!F$10</f>
        <v>432.9419828291293</v>
      </c>
      <c r="G61" s="86">
        <f>MBunk_ene!G$10</f>
        <v>378.53213174161192</v>
      </c>
      <c r="H61" s="86">
        <f>MBunk_ene!H$10</f>
        <v>424.8303553783519</v>
      </c>
      <c r="I61" s="86">
        <f>MBunk_ene!I$10</f>
        <v>336.71180851352699</v>
      </c>
      <c r="J61" s="86">
        <f>MBunk_ene!J$10</f>
        <v>361.55882314854125</v>
      </c>
      <c r="K61" s="86">
        <f>MBunk_ene!K$10</f>
        <v>316.11399181511052</v>
      </c>
      <c r="L61" s="86">
        <f>MBunk_ene!L$10</f>
        <v>308.25934358224771</v>
      </c>
      <c r="M61" s="86">
        <f>MBunk_ene!M$10</f>
        <v>384.56337181548656</v>
      </c>
      <c r="N61" s="86">
        <f>MBunk_ene!N$10</f>
        <v>417.17278159694479</v>
      </c>
      <c r="O61" s="86">
        <f>MBunk_ene!O$10</f>
        <v>446.3941907909599</v>
      </c>
      <c r="P61" s="86">
        <f>MBunk_ene!P$10</f>
        <v>416.65189960917388</v>
      </c>
      <c r="Q61" s="86">
        <f>MBunk_ene!Q$10</f>
        <v>448.58108951810658</v>
      </c>
      <c r="R61" s="86">
        <f>MBunk_ene!R$10</f>
        <v>535.17480814006251</v>
      </c>
      <c r="S61" s="86">
        <f>MBunk_ene!S$10</f>
        <v>543.43634418915281</v>
      </c>
      <c r="T61" s="86">
        <f>MBunk_ene!T$10</f>
        <v>551.24423855480711</v>
      </c>
      <c r="U61" s="86">
        <f>MBunk_ene!U$10</f>
        <v>622.16870265622447</v>
      </c>
      <c r="V61" s="86">
        <f>MBunk_ene!V$10</f>
        <v>476.24635097775587</v>
      </c>
      <c r="W61" s="86">
        <f>MBunk_ene!W$10</f>
        <v>457.96149628185077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12344.14994644453</v>
      </c>
      <c r="C64" s="28">
        <f t="shared" si="49"/>
        <v>12322.508201428889</v>
      </c>
      <c r="D64" s="28">
        <f t="shared" si="49"/>
        <v>12883.128540402053</v>
      </c>
      <c r="E64" s="28">
        <f t="shared" si="49"/>
        <v>13811.959884897995</v>
      </c>
      <c r="F64" s="28">
        <f t="shared" si="49"/>
        <v>14371.336027744364</v>
      </c>
      <c r="G64" s="28">
        <f t="shared" si="49"/>
        <v>13874.517167219001</v>
      </c>
      <c r="H64" s="28">
        <f t="shared" si="49"/>
        <v>13970.596473371228</v>
      </c>
      <c r="I64" s="28">
        <f t="shared" si="49"/>
        <v>14052.917714479427</v>
      </c>
      <c r="J64" s="28">
        <f t="shared" si="49"/>
        <v>14290.987220687028</v>
      </c>
      <c r="K64" s="28">
        <f t="shared" si="49"/>
        <v>14100.721511623369</v>
      </c>
      <c r="L64" s="28">
        <f t="shared" si="49"/>
        <v>14281.37631208598</v>
      </c>
      <c r="M64" s="28">
        <f t="shared" si="49"/>
        <v>13701.963513201397</v>
      </c>
      <c r="N64" s="28">
        <f t="shared" si="49"/>
        <v>13151.744488990502</v>
      </c>
      <c r="O64" s="28">
        <f t="shared" si="49"/>
        <v>13192.292670410088</v>
      </c>
      <c r="P64" s="28">
        <f t="shared" si="49"/>
        <v>13510.38518398656</v>
      </c>
      <c r="Q64" s="28">
        <f t="shared" si="49"/>
        <v>13771.267342520414</v>
      </c>
      <c r="R64" s="28">
        <f t="shared" ref="R64:V64" si="50">R65+R69+R73</f>
        <v>14512.365306956208</v>
      </c>
      <c r="S64" s="28">
        <f t="shared" si="50"/>
        <v>15257.950589547829</v>
      </c>
      <c r="T64" s="28">
        <f t="shared" si="50"/>
        <v>15644.663901050888</v>
      </c>
      <c r="U64" s="28">
        <f t="shared" si="50"/>
        <v>16270.162909517781</v>
      </c>
      <c r="V64" s="28">
        <f t="shared" si="50"/>
        <v>11422.21817141602</v>
      </c>
      <c r="W64" s="28">
        <f t="shared" ref="W64" si="51">W65+W69+W73</f>
        <v>12584.554483038257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9888.8149371402233</v>
      </c>
      <c r="C65" s="137">
        <f t="shared" si="52"/>
        <v>9966.3430149716733</v>
      </c>
      <c r="D65" s="137">
        <f t="shared" si="52"/>
        <v>10581.419474955181</v>
      </c>
      <c r="E65" s="137">
        <f t="shared" si="52"/>
        <v>11400.217152726431</v>
      </c>
      <c r="F65" s="137">
        <f t="shared" si="52"/>
        <v>11773.423157851812</v>
      </c>
      <c r="G65" s="137">
        <f t="shared" si="52"/>
        <v>11190.671238900271</v>
      </c>
      <c r="H65" s="137">
        <f t="shared" si="52"/>
        <v>11177.782415220621</v>
      </c>
      <c r="I65" s="137">
        <f t="shared" si="52"/>
        <v>11134.22258177243</v>
      </c>
      <c r="J65" s="137">
        <f t="shared" si="52"/>
        <v>11319.864270570719</v>
      </c>
      <c r="K65" s="137">
        <f t="shared" si="52"/>
        <v>11323.1195559557</v>
      </c>
      <c r="L65" s="137">
        <f t="shared" si="52"/>
        <v>11282.092174264237</v>
      </c>
      <c r="M65" s="137">
        <f t="shared" si="52"/>
        <v>10626.827552957819</v>
      </c>
      <c r="N65" s="137">
        <f t="shared" si="52"/>
        <v>10058.97234943808</v>
      </c>
      <c r="O65" s="137">
        <f t="shared" si="52"/>
        <v>10059.8815255543</v>
      </c>
      <c r="P65" s="137">
        <f t="shared" si="52"/>
        <v>10281.999343792337</v>
      </c>
      <c r="Q65" s="137">
        <f t="shared" si="52"/>
        <v>10281.755555338821</v>
      </c>
      <c r="R65" s="137">
        <f t="shared" ref="R65:V65" si="53">R66+R67+R68</f>
        <v>10662.897584976425</v>
      </c>
      <c r="S65" s="137">
        <f t="shared" si="53"/>
        <v>10940.816407623141</v>
      </c>
      <c r="T65" s="137">
        <f t="shared" si="53"/>
        <v>11041.861437944504</v>
      </c>
      <c r="U65" s="137">
        <f t="shared" si="53"/>
        <v>11412.748816221723</v>
      </c>
      <c r="V65" s="137">
        <f t="shared" si="53"/>
        <v>9620.2144413691676</v>
      </c>
      <c r="W65" s="137">
        <f t="shared" ref="W65" si="54">W66+W67+W68</f>
        <v>10283.248860955453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161.1966689697548</v>
      </c>
      <c r="C66" s="102">
        <f>TrRoad_emi!C$19</f>
        <v>163.88778964682999</v>
      </c>
      <c r="D66" s="102">
        <f>TrRoad_emi!D$19</f>
        <v>175.67500085764004</v>
      </c>
      <c r="E66" s="102">
        <f>TrRoad_emi!E$19</f>
        <v>183.29795102415173</v>
      </c>
      <c r="F66" s="102">
        <f>TrRoad_emi!F$19</f>
        <v>194.86559544716042</v>
      </c>
      <c r="G66" s="102">
        <f>TrRoad_emi!G$19</f>
        <v>203.26494348678031</v>
      </c>
      <c r="H66" s="102">
        <f>TrRoad_emi!H$19</f>
        <v>211.73080700786264</v>
      </c>
      <c r="I66" s="102">
        <f>TrRoad_emi!I$19</f>
        <v>198.44947725572459</v>
      </c>
      <c r="J66" s="102">
        <f>TrRoad_emi!J$19</f>
        <v>199.30511684270627</v>
      </c>
      <c r="K66" s="102">
        <f>TrRoad_emi!K$19</f>
        <v>184.52929392114137</v>
      </c>
      <c r="L66" s="102">
        <f>TrRoad_emi!L$19</f>
        <v>174.75718233289365</v>
      </c>
      <c r="M66" s="102">
        <f>TrRoad_emi!M$19</f>
        <v>167.93357875320919</v>
      </c>
      <c r="N66" s="102">
        <f>TrRoad_emi!N$19</f>
        <v>166.84021022972252</v>
      </c>
      <c r="O66" s="102">
        <f>TrRoad_emi!O$19</f>
        <v>161.64914034898422</v>
      </c>
      <c r="P66" s="102">
        <f>TrRoad_emi!P$19</f>
        <v>156.27757403371265</v>
      </c>
      <c r="Q66" s="102">
        <f>TrRoad_emi!Q$19</f>
        <v>147.64342074018282</v>
      </c>
      <c r="R66" s="102">
        <f>TrRoad_emi!R$19</f>
        <v>158.39213782974909</v>
      </c>
      <c r="S66" s="102">
        <f>TrRoad_emi!S$19</f>
        <v>155.54333918511233</v>
      </c>
      <c r="T66" s="102">
        <f>TrRoad_emi!T$19</f>
        <v>147.0063493982893</v>
      </c>
      <c r="U66" s="102">
        <f>TrRoad_emi!U$19</f>
        <v>156.10074836913461</v>
      </c>
      <c r="V66" s="102">
        <f>TrRoad_emi!V$19</f>
        <v>136.89002583012964</v>
      </c>
      <c r="W66" s="102">
        <f>TrRoad_emi!W$19</f>
        <v>130.19615660080967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8727.1795255560373</v>
      </c>
      <c r="C67" s="102">
        <f>TrRoad_emi!C$20</f>
        <v>8804.4668367434042</v>
      </c>
      <c r="D67" s="102">
        <f>TrRoad_emi!D$20</f>
        <v>9407.5738696679473</v>
      </c>
      <c r="E67" s="102">
        <f>TrRoad_emi!E$20</f>
        <v>10237.988259793654</v>
      </c>
      <c r="F67" s="102">
        <f>TrRoad_emi!F$20</f>
        <v>10621.389449417631</v>
      </c>
      <c r="G67" s="102">
        <f>TrRoad_emi!G$20</f>
        <v>10391.397740620361</v>
      </c>
      <c r="H67" s="102">
        <f>TrRoad_emi!H$20</f>
        <v>10379.715059467178</v>
      </c>
      <c r="I67" s="102">
        <f>TrRoad_emi!I$20</f>
        <v>10343.808732730062</v>
      </c>
      <c r="J67" s="102">
        <f>TrRoad_emi!J$20</f>
        <v>10507.370608496563</v>
      </c>
      <c r="K67" s="102">
        <f>TrRoad_emi!K$20</f>
        <v>10523.633488797615</v>
      </c>
      <c r="L67" s="102">
        <f>TrRoad_emi!L$20</f>
        <v>10487.322546997953</v>
      </c>
      <c r="M67" s="102">
        <f>TrRoad_emi!M$20</f>
        <v>9839.7827492900997</v>
      </c>
      <c r="N67" s="102">
        <f>TrRoad_emi!N$20</f>
        <v>9393.4563961919157</v>
      </c>
      <c r="O67" s="102">
        <f>TrRoad_emi!O$20</f>
        <v>9418.1617473519855</v>
      </c>
      <c r="P67" s="102">
        <f>TrRoad_emi!P$20</f>
        <v>9535.9227097644998</v>
      </c>
      <c r="Q67" s="102">
        <f>TrRoad_emi!Q$20</f>
        <v>9541.6896197646165</v>
      </c>
      <c r="R67" s="102">
        <f>TrRoad_emi!R$20</f>
        <v>9866.3153600449677</v>
      </c>
      <c r="S67" s="102">
        <f>TrRoad_emi!S$20</f>
        <v>10121.358589245569</v>
      </c>
      <c r="T67" s="102">
        <f>TrRoad_emi!T$20</f>
        <v>10193.48347988619</v>
      </c>
      <c r="U67" s="102">
        <f>TrRoad_emi!U$20</f>
        <v>10606.994846295245</v>
      </c>
      <c r="V67" s="102">
        <f>TrRoad_emi!V$20</f>
        <v>8988.2490777331514</v>
      </c>
      <c r="W67" s="102">
        <f>TrRoad_emi!W$20</f>
        <v>9536.3532516998293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1000.4387426144317</v>
      </c>
      <c r="C68" s="102">
        <f>TrRoad_emi!C$27</f>
        <v>997.98838858143893</v>
      </c>
      <c r="D68" s="102">
        <f>TrRoad_emi!D$27</f>
        <v>998.17060442959337</v>
      </c>
      <c r="E68" s="102">
        <f>TrRoad_emi!E$27</f>
        <v>978.93094190862553</v>
      </c>
      <c r="F68" s="102">
        <f>TrRoad_emi!F$27</f>
        <v>957.16811298702214</v>
      </c>
      <c r="G68" s="102">
        <f>TrRoad_emi!G$27</f>
        <v>596.008554793131</v>
      </c>
      <c r="H68" s="102">
        <f>TrRoad_emi!H$27</f>
        <v>586.33654874557931</v>
      </c>
      <c r="I68" s="102">
        <f>TrRoad_emi!I$27</f>
        <v>591.96437178664394</v>
      </c>
      <c r="J68" s="102">
        <f>TrRoad_emi!J$27</f>
        <v>613.1885452314491</v>
      </c>
      <c r="K68" s="102">
        <f>TrRoad_emi!K$27</f>
        <v>614.95677323694372</v>
      </c>
      <c r="L68" s="102">
        <f>TrRoad_emi!L$27</f>
        <v>620.01244493338913</v>
      </c>
      <c r="M68" s="102">
        <f>TrRoad_emi!M$27</f>
        <v>619.11122491450988</v>
      </c>
      <c r="N68" s="102">
        <f>TrRoad_emi!N$27</f>
        <v>498.67574301644129</v>
      </c>
      <c r="O68" s="102">
        <f>TrRoad_emi!O$27</f>
        <v>480.0706378533302</v>
      </c>
      <c r="P68" s="102">
        <f>TrRoad_emi!P$27</f>
        <v>589.79905999412472</v>
      </c>
      <c r="Q68" s="102">
        <f>TrRoad_emi!Q$27</f>
        <v>592.42251483402151</v>
      </c>
      <c r="R68" s="102">
        <f>TrRoad_emi!R$27</f>
        <v>638.19008710170692</v>
      </c>
      <c r="S68" s="102">
        <f>TrRoad_emi!S$27</f>
        <v>663.91447919246002</v>
      </c>
      <c r="T68" s="102">
        <f>TrRoad_emi!T$27</f>
        <v>701.37160866002546</v>
      </c>
      <c r="U68" s="102">
        <f>TrRoad_emi!U$27</f>
        <v>649.65322155734361</v>
      </c>
      <c r="V68" s="102">
        <f>TrRoad_emi!V$27</f>
        <v>495.07533780588801</v>
      </c>
      <c r="W68" s="102">
        <f>TrRoad_emi!W$27</f>
        <v>616.6994526548134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145.69483461530496</v>
      </c>
      <c r="C69" s="110">
        <f t="shared" si="55"/>
        <v>109.27777514840645</v>
      </c>
      <c r="D69" s="110">
        <f t="shared" si="55"/>
        <v>90.300885097630484</v>
      </c>
      <c r="E69" s="110">
        <f t="shared" si="55"/>
        <v>78.384996392561661</v>
      </c>
      <c r="F69" s="110">
        <f t="shared" si="55"/>
        <v>69.105355690328906</v>
      </c>
      <c r="G69" s="110">
        <f t="shared" si="55"/>
        <v>62.268971836055613</v>
      </c>
      <c r="H69" s="110">
        <f t="shared" si="55"/>
        <v>59.826560910223336</v>
      </c>
      <c r="I69" s="110">
        <f t="shared" si="55"/>
        <v>57.799880300263972</v>
      </c>
      <c r="J69" s="110">
        <f t="shared" si="55"/>
        <v>57.5174705968616</v>
      </c>
      <c r="K69" s="110">
        <f t="shared" si="55"/>
        <v>46.322798895996321</v>
      </c>
      <c r="L69" s="110">
        <f t="shared" si="55"/>
        <v>40.137864761776548</v>
      </c>
      <c r="M69" s="110">
        <f t="shared" si="55"/>
        <v>34.135015330830406</v>
      </c>
      <c r="N69" s="110">
        <f t="shared" si="55"/>
        <v>26.160616451752585</v>
      </c>
      <c r="O69" s="110">
        <f t="shared" si="55"/>
        <v>22.714182535672624</v>
      </c>
      <c r="P69" s="110">
        <f t="shared" si="55"/>
        <v>22.447686490541891</v>
      </c>
      <c r="Q69" s="110">
        <f t="shared" si="55"/>
        <v>21.667947424741598</v>
      </c>
      <c r="R69" s="110">
        <f t="shared" ref="R69:V69" si="56">R70+R71+R72</f>
        <v>21.305696038516071</v>
      </c>
      <c r="S69" s="110">
        <f t="shared" si="56"/>
        <v>19.850750699499926</v>
      </c>
      <c r="T69" s="110">
        <f t="shared" si="56"/>
        <v>20.880931512935266</v>
      </c>
      <c r="U69" s="110">
        <f t="shared" si="56"/>
        <v>20.16558870059843</v>
      </c>
      <c r="V69" s="110">
        <f t="shared" si="56"/>
        <v>15.375784333879224</v>
      </c>
      <c r="W69" s="110">
        <f t="shared" ref="W69" si="57">W70+W71+W72</f>
        <v>12.651490985521038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145.69483461530496</v>
      </c>
      <c r="C71" s="102">
        <f>TrRail_emi!C$11</f>
        <v>109.27777514840645</v>
      </c>
      <c r="D71" s="102">
        <f>TrRail_emi!D$11</f>
        <v>90.300885097630484</v>
      </c>
      <c r="E71" s="102">
        <f>TrRail_emi!E$11</f>
        <v>78.384996392561661</v>
      </c>
      <c r="F71" s="102">
        <f>TrRail_emi!F$11</f>
        <v>69.105355690328906</v>
      </c>
      <c r="G71" s="102">
        <f>TrRail_emi!G$11</f>
        <v>62.268971836055613</v>
      </c>
      <c r="H71" s="102">
        <f>TrRail_emi!H$11</f>
        <v>59.826560910223336</v>
      </c>
      <c r="I71" s="102">
        <f>TrRail_emi!I$11</f>
        <v>57.799880300263972</v>
      </c>
      <c r="J71" s="102">
        <f>TrRail_emi!J$11</f>
        <v>57.5174705968616</v>
      </c>
      <c r="K71" s="102">
        <f>TrRail_emi!K$11</f>
        <v>46.322798895996321</v>
      </c>
      <c r="L71" s="102">
        <f>TrRail_emi!L$11</f>
        <v>40.137864761776548</v>
      </c>
      <c r="M71" s="102">
        <f>TrRail_emi!M$11</f>
        <v>34.135015330830406</v>
      </c>
      <c r="N71" s="102">
        <f>TrRail_emi!N$11</f>
        <v>26.160616451752585</v>
      </c>
      <c r="O71" s="102">
        <f>TrRail_emi!O$11</f>
        <v>22.714182535672624</v>
      </c>
      <c r="P71" s="102">
        <f>TrRail_emi!P$11</f>
        <v>22.447686490541891</v>
      </c>
      <c r="Q71" s="102">
        <f>TrRail_emi!Q$11</f>
        <v>21.667947424741598</v>
      </c>
      <c r="R71" s="102">
        <f>TrRail_emi!R$11</f>
        <v>21.305696038516071</v>
      </c>
      <c r="S71" s="102">
        <f>TrRail_emi!S$11</f>
        <v>19.850750699499926</v>
      </c>
      <c r="T71" s="102">
        <f>TrRail_emi!T$11</f>
        <v>20.880931512935266</v>
      </c>
      <c r="U71" s="102">
        <f>TrRail_emi!U$11</f>
        <v>20.16558870059843</v>
      </c>
      <c r="V71" s="102">
        <f>TrRail_emi!V$11</f>
        <v>15.375784333879224</v>
      </c>
      <c r="W71" s="102">
        <f>TrRail_emi!W$11</f>
        <v>12.651490985521038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2309.6401746890015</v>
      </c>
      <c r="C73" s="110">
        <f t="shared" si="58"/>
        <v>2246.8874113088091</v>
      </c>
      <c r="D73" s="110">
        <f t="shared" si="58"/>
        <v>2211.4081803492404</v>
      </c>
      <c r="E73" s="110">
        <f t="shared" si="58"/>
        <v>2333.3577357790018</v>
      </c>
      <c r="F73" s="110">
        <f t="shared" si="58"/>
        <v>2528.8075142022244</v>
      </c>
      <c r="G73" s="110">
        <f t="shared" si="58"/>
        <v>2621.5769564826742</v>
      </c>
      <c r="H73" s="110">
        <f t="shared" si="58"/>
        <v>2732.9874972403823</v>
      </c>
      <c r="I73" s="110">
        <f t="shared" si="58"/>
        <v>2860.8952524067308</v>
      </c>
      <c r="J73" s="110">
        <f t="shared" si="58"/>
        <v>2913.6054795194459</v>
      </c>
      <c r="K73" s="110">
        <f t="shared" si="58"/>
        <v>2731.2791567716722</v>
      </c>
      <c r="L73" s="110">
        <f t="shared" si="58"/>
        <v>2959.146273059966</v>
      </c>
      <c r="M73" s="110">
        <f t="shared" si="58"/>
        <v>3041.0009449127483</v>
      </c>
      <c r="N73" s="110">
        <f t="shared" si="58"/>
        <v>3066.6115231006688</v>
      </c>
      <c r="O73" s="110">
        <f t="shared" si="58"/>
        <v>3109.6969623201162</v>
      </c>
      <c r="P73" s="110">
        <f t="shared" si="58"/>
        <v>3205.9381537036807</v>
      </c>
      <c r="Q73" s="110">
        <f t="shared" si="58"/>
        <v>3467.843839756852</v>
      </c>
      <c r="R73" s="110">
        <f t="shared" ref="R73:V73" si="59">R74+R75+R76</f>
        <v>3828.1620259412662</v>
      </c>
      <c r="S73" s="110">
        <f t="shared" si="59"/>
        <v>4297.2834312251889</v>
      </c>
      <c r="T73" s="110">
        <f t="shared" si="59"/>
        <v>4581.9215315934489</v>
      </c>
      <c r="U73" s="110">
        <f t="shared" si="59"/>
        <v>4837.2485045954609</v>
      </c>
      <c r="V73" s="110">
        <f t="shared" si="59"/>
        <v>1786.6279457129726</v>
      </c>
      <c r="W73" s="110">
        <f t="shared" ref="W73" si="60">W74+W75+W76</f>
        <v>2288.654131097283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329.00324046652173</v>
      </c>
      <c r="C74" s="102">
        <f>TrAvia_emi!C$7</f>
        <v>339.98968069826776</v>
      </c>
      <c r="D74" s="102">
        <f>TrAvia_emi!D$7</f>
        <v>362.72987531492129</v>
      </c>
      <c r="E74" s="102">
        <f>TrAvia_emi!E$7</f>
        <v>338.21371672363341</v>
      </c>
      <c r="F74" s="102">
        <f>TrAvia_emi!F$7</f>
        <v>382.78311853540157</v>
      </c>
      <c r="G74" s="102">
        <f>TrAvia_emi!G$7</f>
        <v>397.54333001441375</v>
      </c>
      <c r="H74" s="102">
        <f>TrAvia_emi!H$7</f>
        <v>386.90369751408082</v>
      </c>
      <c r="I74" s="102">
        <f>TrAvia_emi!I$7</f>
        <v>384.26837227104897</v>
      </c>
      <c r="J74" s="102">
        <f>TrAvia_emi!J$7</f>
        <v>354.30174617753613</v>
      </c>
      <c r="K74" s="102">
        <f>TrAvia_emi!K$7</f>
        <v>329.60324958353561</v>
      </c>
      <c r="L74" s="102">
        <f>TrAvia_emi!L$7</f>
        <v>392.97928365459848</v>
      </c>
      <c r="M74" s="102">
        <f>TrAvia_emi!M$7</f>
        <v>353.62020268702366</v>
      </c>
      <c r="N74" s="102">
        <f>TrAvia_emi!N$7</f>
        <v>354.37126645407955</v>
      </c>
      <c r="O74" s="102">
        <f>TrAvia_emi!O$7</f>
        <v>361.51743492204514</v>
      </c>
      <c r="P74" s="102">
        <f>TrAvia_emi!P$7</f>
        <v>351.21664338514296</v>
      </c>
      <c r="Q74" s="102">
        <f>TrAvia_emi!Q$7</f>
        <v>370.54250968403306</v>
      </c>
      <c r="R74" s="102">
        <f>TrAvia_emi!R$7</f>
        <v>416.22793014966101</v>
      </c>
      <c r="S74" s="102">
        <f>TrAvia_emi!S$7</f>
        <v>501.20168513376501</v>
      </c>
      <c r="T74" s="102">
        <f>TrAvia_emi!T$7</f>
        <v>532.58882577873737</v>
      </c>
      <c r="U74" s="102">
        <f>TrAvia_emi!U$7</f>
        <v>495.02082856865616</v>
      </c>
      <c r="V74" s="102">
        <f>TrAvia_emi!V$7</f>
        <v>256.30951283985524</v>
      </c>
      <c r="W74" s="102">
        <f>TrAvia_emi!W$7</f>
        <v>338.26112084249752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1158.8890311317589</v>
      </c>
      <c r="C75" s="102">
        <f>TrAvia_emi!C$8</f>
        <v>1115.7595228080331</v>
      </c>
      <c r="D75" s="102">
        <f>TrAvia_emi!D$8</f>
        <v>1081.7010014055481</v>
      </c>
      <c r="E75" s="102">
        <f>TrAvia_emi!E$8</f>
        <v>1155.0820150013089</v>
      </c>
      <c r="F75" s="102">
        <f>TrAvia_emi!F$8</f>
        <v>1284.2300663981607</v>
      </c>
      <c r="G75" s="102">
        <f>TrAvia_emi!G$8</f>
        <v>1339.4458596816476</v>
      </c>
      <c r="H75" s="102">
        <f>TrAvia_emi!H$8</f>
        <v>1432.3670817100701</v>
      </c>
      <c r="I75" s="102">
        <f>TrAvia_emi!I$8</f>
        <v>1544.4001389553323</v>
      </c>
      <c r="J75" s="102">
        <f>TrAvia_emi!J$8</f>
        <v>1583.4840735943301</v>
      </c>
      <c r="K75" s="102">
        <f>TrAvia_emi!K$8</f>
        <v>1443.3431493660671</v>
      </c>
      <c r="L75" s="102">
        <f>TrAvia_emi!L$8</f>
        <v>1536.4729484983652</v>
      </c>
      <c r="M75" s="102">
        <f>TrAvia_emi!M$8</f>
        <v>1620.0957672441634</v>
      </c>
      <c r="N75" s="102">
        <f>TrAvia_emi!N$8</f>
        <v>1607.6869079385228</v>
      </c>
      <c r="O75" s="102">
        <f>TrAvia_emi!O$8</f>
        <v>1639.8614050035849</v>
      </c>
      <c r="P75" s="102">
        <f>TrAvia_emi!P$8</f>
        <v>1729.2396275830486</v>
      </c>
      <c r="Q75" s="102">
        <f>TrAvia_emi!Q$8</f>
        <v>1889.1649603605156</v>
      </c>
      <c r="R75" s="102">
        <f>TrAvia_emi!R$8</f>
        <v>2144.8877553406114</v>
      </c>
      <c r="S75" s="102">
        <f>TrAvia_emi!S$8</f>
        <v>2436.7667540382499</v>
      </c>
      <c r="T75" s="102">
        <f>TrAvia_emi!T$8</f>
        <v>2572.8673043744743</v>
      </c>
      <c r="U75" s="102">
        <f>TrAvia_emi!U$8</f>
        <v>2748.915168462619</v>
      </c>
      <c r="V75" s="102">
        <f>TrAvia_emi!V$8</f>
        <v>818.51529969590604</v>
      </c>
      <c r="W75" s="102">
        <f>TrAvia_emi!W$8</f>
        <v>1127.0497092116802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821.7479030907208</v>
      </c>
      <c r="C76" s="102">
        <f>TrAvia_emi!C$9</f>
        <v>791.13820780250808</v>
      </c>
      <c r="D76" s="102">
        <f>TrAvia_emi!D$9</f>
        <v>766.97730362877098</v>
      </c>
      <c r="E76" s="102">
        <f>TrAvia_emi!E$9</f>
        <v>840.06200405405946</v>
      </c>
      <c r="F76" s="102">
        <f>TrAvia_emi!F$9</f>
        <v>861.79432926866207</v>
      </c>
      <c r="G76" s="102">
        <f>TrAvia_emi!G$9</f>
        <v>884.58776678661275</v>
      </c>
      <c r="H76" s="102">
        <f>TrAvia_emi!H$9</f>
        <v>913.71671801623131</v>
      </c>
      <c r="I76" s="102">
        <f>TrAvia_emi!I$9</f>
        <v>932.22674118034956</v>
      </c>
      <c r="J76" s="102">
        <f>TrAvia_emi!J$9</f>
        <v>975.81965974757964</v>
      </c>
      <c r="K76" s="102">
        <f>TrAvia_emi!K$9</f>
        <v>958.3327578220692</v>
      </c>
      <c r="L76" s="102">
        <f>TrAvia_emi!L$9</f>
        <v>1029.6940409070025</v>
      </c>
      <c r="M76" s="102">
        <f>TrAvia_emi!M$9</f>
        <v>1067.2849749815612</v>
      </c>
      <c r="N76" s="102">
        <f>TrAvia_emi!N$9</f>
        <v>1104.5533487080663</v>
      </c>
      <c r="O76" s="102">
        <f>TrAvia_emi!O$9</f>
        <v>1108.3181223944862</v>
      </c>
      <c r="P76" s="102">
        <f>TrAvia_emi!P$9</f>
        <v>1125.4818827354891</v>
      </c>
      <c r="Q76" s="102">
        <f>TrAvia_emi!Q$9</f>
        <v>1208.1363697123033</v>
      </c>
      <c r="R76" s="102">
        <f>TrAvia_emi!R$9</f>
        <v>1267.0463404509937</v>
      </c>
      <c r="S76" s="102">
        <f>TrAvia_emi!S$9</f>
        <v>1359.3149920531744</v>
      </c>
      <c r="T76" s="102">
        <f>TrAvia_emi!T$9</f>
        <v>1476.4654014402377</v>
      </c>
      <c r="U76" s="102">
        <f>TrAvia_emi!U$9</f>
        <v>1593.3125075641858</v>
      </c>
      <c r="V76" s="102">
        <f>TrAvia_emi!V$9</f>
        <v>711.80313317721118</v>
      </c>
      <c r="W76" s="102">
        <f>TrAvia_emi!W$9</f>
        <v>823.34330104310504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7607.6567651554706</v>
      </c>
      <c r="C77" s="28">
        <f t="shared" si="61"/>
        <v>7798.6522928111117</v>
      </c>
      <c r="D77" s="28">
        <f t="shared" si="61"/>
        <v>7826.8985032379469</v>
      </c>
      <c r="E77" s="28">
        <f t="shared" si="61"/>
        <v>8004.2350662620083</v>
      </c>
      <c r="F77" s="28">
        <f t="shared" si="61"/>
        <v>8070.3775681756324</v>
      </c>
      <c r="G77" s="28">
        <f t="shared" si="61"/>
        <v>7809.4088710209999</v>
      </c>
      <c r="H77" s="28">
        <f t="shared" si="61"/>
        <v>7686.2753027887729</v>
      </c>
      <c r="I77" s="28">
        <f t="shared" si="61"/>
        <v>7793.719405480575</v>
      </c>
      <c r="J77" s="28">
        <f t="shared" si="61"/>
        <v>7710.6757056729748</v>
      </c>
      <c r="K77" s="28">
        <f t="shared" si="61"/>
        <v>7451.8923536566299</v>
      </c>
      <c r="L77" s="28">
        <f t="shared" si="61"/>
        <v>7017.8848539140172</v>
      </c>
      <c r="M77" s="28">
        <f t="shared" si="61"/>
        <v>6372.3620930786055</v>
      </c>
      <c r="N77" s="28">
        <f t="shared" si="61"/>
        <v>5571.1219620495021</v>
      </c>
      <c r="O77" s="28">
        <f t="shared" si="61"/>
        <v>5332.7871799899121</v>
      </c>
      <c r="P77" s="28">
        <f t="shared" si="61"/>
        <v>5200.0427144534369</v>
      </c>
      <c r="Q77" s="28">
        <f t="shared" si="61"/>
        <v>5263.1840826395892</v>
      </c>
      <c r="R77" s="28">
        <f t="shared" ref="R77:V77" si="62">R78+R81+R82+R86+R92</f>
        <v>5415.538879923798</v>
      </c>
      <c r="S77" s="28">
        <f t="shared" si="62"/>
        <v>5419.0092218121681</v>
      </c>
      <c r="T77" s="28">
        <f t="shared" si="62"/>
        <v>5404.6614790291142</v>
      </c>
      <c r="U77" s="28">
        <f t="shared" si="62"/>
        <v>5442.3921712022156</v>
      </c>
      <c r="V77" s="28">
        <f t="shared" si="62"/>
        <v>4589.1492085839791</v>
      </c>
      <c r="W77" s="28">
        <f t="shared" ref="W77" si="63">W78+W81+W82+W86+W92</f>
        <v>4964.6510635617451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7376.1926299397765</v>
      </c>
      <c r="C78" s="137">
        <f t="shared" si="64"/>
        <v>7561.0310019483268</v>
      </c>
      <c r="D78" s="137">
        <f t="shared" si="64"/>
        <v>7467.5480634448177</v>
      </c>
      <c r="E78" s="137">
        <f t="shared" si="64"/>
        <v>7729.1815213135715</v>
      </c>
      <c r="F78" s="137">
        <f t="shared" si="64"/>
        <v>7914.2121459881855</v>
      </c>
      <c r="G78" s="137">
        <f t="shared" si="64"/>
        <v>7675.1735681397295</v>
      </c>
      <c r="H78" s="137">
        <f t="shared" si="64"/>
        <v>7530.5576891393785</v>
      </c>
      <c r="I78" s="137">
        <f t="shared" si="64"/>
        <v>7292.9446050675697</v>
      </c>
      <c r="J78" s="137">
        <f t="shared" si="64"/>
        <v>7166.0778983092814</v>
      </c>
      <c r="K78" s="137">
        <f t="shared" si="64"/>
        <v>6732.2932806042982</v>
      </c>
      <c r="L78" s="137">
        <f t="shared" si="64"/>
        <v>6520.6502612957602</v>
      </c>
      <c r="M78" s="137">
        <f t="shared" si="64"/>
        <v>5914.9899320821842</v>
      </c>
      <c r="N78" s="137">
        <f t="shared" si="64"/>
        <v>5113.1034664019235</v>
      </c>
      <c r="O78" s="137">
        <f t="shared" si="64"/>
        <v>4868.0310899657015</v>
      </c>
      <c r="P78" s="137">
        <f t="shared" si="64"/>
        <v>4859.4145956076591</v>
      </c>
      <c r="Q78" s="137">
        <f t="shared" si="64"/>
        <v>4888.7491837811813</v>
      </c>
      <c r="R78" s="137">
        <f t="shared" ref="R78:V78" si="65">R79+R80</f>
        <v>5009.2613246635774</v>
      </c>
      <c r="S78" s="137">
        <f t="shared" si="65"/>
        <v>5036.0008410568589</v>
      </c>
      <c r="T78" s="137">
        <f t="shared" si="65"/>
        <v>5012.6627139754964</v>
      </c>
      <c r="U78" s="137">
        <f t="shared" si="65"/>
        <v>5102.6040557782762</v>
      </c>
      <c r="V78" s="137">
        <f t="shared" si="65"/>
        <v>4329.670256750831</v>
      </c>
      <c r="W78" s="137">
        <f t="shared" ref="W78" si="66">W79+W80</f>
        <v>4663.1712433245484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5507.2108366162374</v>
      </c>
      <c r="C79" s="102">
        <f>TrRoad_emi!C$34</f>
        <v>5321.5443909464484</v>
      </c>
      <c r="D79" s="102">
        <f>TrRoad_emi!D$34</f>
        <v>5310.487508277025</v>
      </c>
      <c r="E79" s="102">
        <f>TrRoad_emi!E$34</f>
        <v>5200.3816057333424</v>
      </c>
      <c r="F79" s="102">
        <f>TrRoad_emi!F$34</f>
        <v>4851.1771349002165</v>
      </c>
      <c r="G79" s="102">
        <f>TrRoad_emi!G$34</f>
        <v>4522.6521963629239</v>
      </c>
      <c r="H79" s="102">
        <f>TrRoad_emi!H$34</f>
        <v>4378.2560136221891</v>
      </c>
      <c r="I79" s="102">
        <f>TrRoad_emi!I$34</f>
        <v>4053.1618065440816</v>
      </c>
      <c r="J79" s="102">
        <f>TrRoad_emi!J$34</f>
        <v>3994.3080227298283</v>
      </c>
      <c r="K79" s="102">
        <f>TrRoad_emi!K$34</f>
        <v>3900.0735732976545</v>
      </c>
      <c r="L79" s="102">
        <f>TrRoad_emi!L$34</f>
        <v>3685.5050855979343</v>
      </c>
      <c r="M79" s="102">
        <f>TrRoad_emi!M$34</f>
        <v>3208.4777360874359</v>
      </c>
      <c r="N79" s="102">
        <f>TrRoad_emi!N$34</f>
        <v>2706.9551662444346</v>
      </c>
      <c r="O79" s="102">
        <f>TrRoad_emi!O$34</f>
        <v>2574.7872691210719</v>
      </c>
      <c r="P79" s="102">
        <f>TrRoad_emi!P$34</f>
        <v>2738.9880629630434</v>
      </c>
      <c r="Q79" s="102">
        <f>TrRoad_emi!Q$34</f>
        <v>2694.1020505346282</v>
      </c>
      <c r="R79" s="102">
        <f>TrRoad_emi!R$34</f>
        <v>2799.7191249697835</v>
      </c>
      <c r="S79" s="102">
        <f>TrRoad_emi!S$34</f>
        <v>2870.9136490257479</v>
      </c>
      <c r="T79" s="102">
        <f>TrRoad_emi!T$34</f>
        <v>2893.9348041964249</v>
      </c>
      <c r="U79" s="102">
        <f>TrRoad_emi!U$34</f>
        <v>2930.5151052992414</v>
      </c>
      <c r="V79" s="102">
        <f>TrRoad_emi!V$34</f>
        <v>2461.5479314884656</v>
      </c>
      <c r="W79" s="102">
        <f>TrRoad_emi!W$34</f>
        <v>2686.3994842289494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1868.9817933235393</v>
      </c>
      <c r="C80" s="102">
        <f>TrRoad_emi!C$40</f>
        <v>2239.4866110018784</v>
      </c>
      <c r="D80" s="102">
        <f>TrRoad_emi!D$40</f>
        <v>2157.0605551677922</v>
      </c>
      <c r="E80" s="102">
        <f>TrRoad_emi!E$40</f>
        <v>2528.799915580229</v>
      </c>
      <c r="F80" s="102">
        <f>TrRoad_emi!F$40</f>
        <v>3063.035011087969</v>
      </c>
      <c r="G80" s="102">
        <f>TrRoad_emi!G$40</f>
        <v>3152.5213717768052</v>
      </c>
      <c r="H80" s="102">
        <f>TrRoad_emi!H$40</f>
        <v>3152.3016755171893</v>
      </c>
      <c r="I80" s="102">
        <f>TrRoad_emi!I$40</f>
        <v>3239.7827985234881</v>
      </c>
      <c r="J80" s="102">
        <f>TrRoad_emi!J$40</f>
        <v>3171.7698755794531</v>
      </c>
      <c r="K80" s="102">
        <f>TrRoad_emi!K$40</f>
        <v>2832.2197073066436</v>
      </c>
      <c r="L80" s="102">
        <f>TrRoad_emi!L$40</f>
        <v>2835.1451756978258</v>
      </c>
      <c r="M80" s="102">
        <f>TrRoad_emi!M$40</f>
        <v>2706.5121959947483</v>
      </c>
      <c r="N80" s="102">
        <f>TrRoad_emi!N$40</f>
        <v>2406.1483001574888</v>
      </c>
      <c r="O80" s="102">
        <f>TrRoad_emi!O$40</f>
        <v>2293.2438208446301</v>
      </c>
      <c r="P80" s="102">
        <f>TrRoad_emi!P$40</f>
        <v>2120.4265326446157</v>
      </c>
      <c r="Q80" s="102">
        <f>TrRoad_emi!Q$40</f>
        <v>2194.6471332465535</v>
      </c>
      <c r="R80" s="102">
        <f>TrRoad_emi!R$40</f>
        <v>2209.5421996937939</v>
      </c>
      <c r="S80" s="102">
        <f>TrRoad_emi!S$40</f>
        <v>2165.087192031111</v>
      </c>
      <c r="T80" s="102">
        <f>TrRoad_emi!T$40</f>
        <v>2118.7279097790715</v>
      </c>
      <c r="U80" s="102">
        <f>TrRoad_emi!U$40</f>
        <v>2172.0889504790343</v>
      </c>
      <c r="V80" s="102">
        <f>TrRoad_emi!V$40</f>
        <v>1868.1223252623656</v>
      </c>
      <c r="W80" s="102">
        <f>TrRoad_emi!W$40</f>
        <v>1976.771759095599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34.107274104695094</v>
      </c>
      <c r="C81" s="110">
        <f>TrRail_emi!C$15</f>
        <v>25.573939771593555</v>
      </c>
      <c r="D81" s="110">
        <f>TrRail_emi!D$15</f>
        <v>22.075499542369528</v>
      </c>
      <c r="E81" s="110">
        <f>TrRail_emi!E$15</f>
        <v>17.937504687438331</v>
      </c>
      <c r="F81" s="110">
        <f>TrRail_emi!F$15</f>
        <v>17.584975309671119</v>
      </c>
      <c r="G81" s="110">
        <f>TrRail_emi!G$15</f>
        <v>17.999912443944403</v>
      </c>
      <c r="H81" s="110">
        <f>TrRail_emi!H$15</f>
        <v>16.644728009776649</v>
      </c>
      <c r="I81" s="110">
        <f>TrRail_emi!I$15</f>
        <v>18.671408619736017</v>
      </c>
      <c r="J81" s="110">
        <f>TrRail_emi!J$15</f>
        <v>15.767370123138406</v>
      </c>
      <c r="K81" s="110">
        <f>TrRail_emi!K$15</f>
        <v>11.030601104003681</v>
      </c>
      <c r="L81" s="110">
        <f>TrRail_emi!L$15</f>
        <v>10.842905598223462</v>
      </c>
      <c r="M81" s="110">
        <f>TrRail_emi!M$15</f>
        <v>10.473125389169619</v>
      </c>
      <c r="N81" s="110">
        <f>TrRail_emi!N$15</f>
        <v>8.8887131882474097</v>
      </c>
      <c r="O81" s="110">
        <f>TrRail_emi!O$15</f>
        <v>9.1486989043273663</v>
      </c>
      <c r="P81" s="110">
        <f>TrRail_emi!P$15</f>
        <v>9.4151949494580975</v>
      </c>
      <c r="Q81" s="110">
        <f>TrRail_emi!Q$15</f>
        <v>10.19493401525839</v>
      </c>
      <c r="R81" s="110">
        <f>TrRail_emi!R$15</f>
        <v>7.3710039614839307</v>
      </c>
      <c r="S81" s="110">
        <f>TrRail_emi!S$15</f>
        <v>11.416455660500066</v>
      </c>
      <c r="T81" s="110">
        <f>TrRail_emi!T$15</f>
        <v>9.5833272470647319</v>
      </c>
      <c r="U81" s="110">
        <f>TrRail_emi!U$15</f>
        <v>10.897546259401569</v>
      </c>
      <c r="V81" s="110">
        <f>TrRail_emi!V$15</f>
        <v>12.144244306120777</v>
      </c>
      <c r="W81" s="110">
        <f>TrRail_emi!W$15</f>
        <v>14.607379614478964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59.294422830998897</v>
      </c>
      <c r="C82" s="110">
        <f t="shared" si="67"/>
        <v>54.720572651191475</v>
      </c>
      <c r="D82" s="110">
        <f t="shared" si="67"/>
        <v>55.038510370759823</v>
      </c>
      <c r="E82" s="110">
        <f t="shared" si="67"/>
        <v>51.711703180998335</v>
      </c>
      <c r="F82" s="110">
        <f t="shared" si="67"/>
        <v>58.311562597776089</v>
      </c>
      <c r="G82" s="110">
        <f t="shared" si="67"/>
        <v>61.65255979732629</v>
      </c>
      <c r="H82" s="110">
        <f t="shared" si="67"/>
        <v>75.346855999617816</v>
      </c>
      <c r="I82" s="110">
        <f t="shared" si="67"/>
        <v>79.28799311326955</v>
      </c>
      <c r="J82" s="110">
        <f t="shared" si="67"/>
        <v>88.411535920554613</v>
      </c>
      <c r="K82" s="110">
        <f t="shared" si="67"/>
        <v>82.144446268327613</v>
      </c>
      <c r="L82" s="110">
        <f t="shared" si="67"/>
        <v>95.418368460034316</v>
      </c>
      <c r="M82" s="110">
        <f t="shared" si="67"/>
        <v>78.500958127251849</v>
      </c>
      <c r="N82" s="110">
        <f t="shared" si="67"/>
        <v>77.635735939331511</v>
      </c>
      <c r="O82" s="110">
        <f t="shared" si="67"/>
        <v>71.638710639883783</v>
      </c>
      <c r="P82" s="110">
        <f t="shared" si="67"/>
        <v>61.976904016319658</v>
      </c>
      <c r="Q82" s="110">
        <f t="shared" si="67"/>
        <v>59.774190523148846</v>
      </c>
      <c r="R82" s="110">
        <f t="shared" si="67"/>
        <v>51.909631778736099</v>
      </c>
      <c r="S82" s="110">
        <f t="shared" si="67"/>
        <v>64.512981694809383</v>
      </c>
      <c r="T82" s="110">
        <f t="shared" si="67"/>
        <v>62.377630566553158</v>
      </c>
      <c r="U82" s="110">
        <f t="shared" si="67"/>
        <v>53.220184684537699</v>
      </c>
      <c r="V82" s="110">
        <f t="shared" si="67"/>
        <v>49.835165847027412</v>
      </c>
      <c r="W82" s="110">
        <f t="shared" ref="W82" si="68">W83+W84+W85</f>
        <v>60.278826462718087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16.932134813478164</v>
      </c>
      <c r="C83" s="102">
        <f>TrAvia_emi!C$11</f>
        <v>15.56367130173235</v>
      </c>
      <c r="D83" s="102">
        <f>TrAvia_emi!D$11</f>
        <v>15.370561445078826</v>
      </c>
      <c r="E83" s="102">
        <f>TrAvia_emi!E$11</f>
        <v>14.23852327636672</v>
      </c>
      <c r="F83" s="102">
        <f>TrAvia_emi!F$11</f>
        <v>14.623586504598528</v>
      </c>
      <c r="G83" s="102">
        <f>TrAvia_emi!G$11</f>
        <v>15.823231985586398</v>
      </c>
      <c r="H83" s="102">
        <f>TrAvia_emi!H$11</f>
        <v>16.914992005919242</v>
      </c>
      <c r="I83" s="102">
        <f>TrAvia_emi!I$11</f>
        <v>17.629144488951056</v>
      </c>
      <c r="J83" s="102">
        <f>TrAvia_emi!J$11</f>
        <v>16.678626782463965</v>
      </c>
      <c r="K83" s="102">
        <f>TrAvia_emi!K$11</f>
        <v>16.643667176464287</v>
      </c>
      <c r="L83" s="102">
        <f>TrAvia_emi!L$11</f>
        <v>18.181857865401746</v>
      </c>
      <c r="M83" s="102">
        <f>TrAvia_emi!M$11</f>
        <v>11.177000352976288</v>
      </c>
      <c r="N83" s="102">
        <f>TrAvia_emi!N$11</f>
        <v>10.437577545920455</v>
      </c>
      <c r="O83" s="102">
        <f>TrAvia_emi!O$11</f>
        <v>9.4629380379549666</v>
      </c>
      <c r="P83" s="102">
        <f>TrAvia_emi!P$11</f>
        <v>7.4087718548571617</v>
      </c>
      <c r="Q83" s="102">
        <f>TrAvia_emi!Q$11</f>
        <v>6.6331918359671285</v>
      </c>
      <c r="R83" s="102">
        <f>TrAvia_emi!R$11</f>
        <v>4.231513850339141</v>
      </c>
      <c r="S83" s="102">
        <f>TrAvia_emi!S$11</f>
        <v>5.8847377862350916</v>
      </c>
      <c r="T83" s="102">
        <f>TrAvia_emi!T$11</f>
        <v>6.0192464612625809</v>
      </c>
      <c r="U83" s="102">
        <f>TrAvia_emi!U$11</f>
        <v>5.9449229513439645</v>
      </c>
      <c r="V83" s="102">
        <f>TrAvia_emi!V$11</f>
        <v>5.4797515201447631</v>
      </c>
      <c r="W83" s="102">
        <f>TrAvia_emi!W$11</f>
        <v>6.2917521975025794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26.078299366493987</v>
      </c>
      <c r="C84" s="102">
        <f>TrAvia_emi!C$12</f>
        <v>23.431376535806979</v>
      </c>
      <c r="D84" s="102">
        <f>TrAvia_emi!D$12</f>
        <v>23.615389348607152</v>
      </c>
      <c r="E84" s="102">
        <f>TrAvia_emi!E$12</f>
        <v>21.649167059818204</v>
      </c>
      <c r="F84" s="102">
        <f>TrAvia_emi!F$12</f>
        <v>25.15667149303318</v>
      </c>
      <c r="G84" s="102">
        <f>TrAvia_emi!G$12</f>
        <v>24.79340141951079</v>
      </c>
      <c r="H84" s="102">
        <f>TrAvia_emi!H$12</f>
        <v>30.485474804959011</v>
      </c>
      <c r="I84" s="102">
        <f>TrAvia_emi!I$12</f>
        <v>30.063936519993383</v>
      </c>
      <c r="J84" s="102">
        <f>TrAvia_emi!J$12</f>
        <v>29.96815498416176</v>
      </c>
      <c r="K84" s="102">
        <f>TrAvia_emi!K$12</f>
        <v>26.353366372591669</v>
      </c>
      <c r="L84" s="102">
        <f>TrAvia_emi!L$12</f>
        <v>27.809292590449495</v>
      </c>
      <c r="M84" s="102">
        <f>TrAvia_emi!M$12</f>
        <v>22.480523228420079</v>
      </c>
      <c r="N84" s="102">
        <f>TrAvia_emi!N$12</f>
        <v>20.050253473611555</v>
      </c>
      <c r="O84" s="102">
        <f>TrAvia_emi!O$12</f>
        <v>17.00306308989218</v>
      </c>
      <c r="P84" s="102">
        <f>TrAvia_emi!P$12</f>
        <v>15.715861450970824</v>
      </c>
      <c r="Q84" s="102">
        <f>TrAvia_emi!Q$12</f>
        <v>16.668106367380283</v>
      </c>
      <c r="R84" s="102">
        <f>TrAvia_emi!R$12</f>
        <v>15.89836968154213</v>
      </c>
      <c r="S84" s="102">
        <f>TrAvia_emi!S$12</f>
        <v>18.719372085763005</v>
      </c>
      <c r="T84" s="102">
        <f>TrAvia_emi!T$12</f>
        <v>19.476378137420937</v>
      </c>
      <c r="U84" s="102">
        <f>TrAvia_emi!U$12</f>
        <v>19.957427016814847</v>
      </c>
      <c r="V84" s="102">
        <f>TrAvia_emi!V$12</f>
        <v>15.432497459902383</v>
      </c>
      <c r="W84" s="102">
        <f>TrAvia_emi!W$12</f>
        <v>18.930758249602547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16.28398865102675</v>
      </c>
      <c r="C85" s="102">
        <f>TrAvia_emi!C$13</f>
        <v>15.725524813652145</v>
      </c>
      <c r="D85" s="102">
        <f>TrAvia_emi!D$13</f>
        <v>16.052559577073843</v>
      </c>
      <c r="E85" s="102">
        <f>TrAvia_emi!E$13</f>
        <v>15.82401284481341</v>
      </c>
      <c r="F85" s="102">
        <f>TrAvia_emi!F$13</f>
        <v>18.531304600144381</v>
      </c>
      <c r="G85" s="102">
        <f>TrAvia_emi!G$13</f>
        <v>21.035926392229104</v>
      </c>
      <c r="H85" s="102">
        <f>TrAvia_emi!H$13</f>
        <v>27.946389188739566</v>
      </c>
      <c r="I85" s="102">
        <f>TrAvia_emi!I$13</f>
        <v>31.594912104325115</v>
      </c>
      <c r="J85" s="102">
        <f>TrAvia_emi!J$13</f>
        <v>41.764754153928891</v>
      </c>
      <c r="K85" s="102">
        <f>TrAvia_emi!K$13</f>
        <v>39.147412719271664</v>
      </c>
      <c r="L85" s="102">
        <f>TrAvia_emi!L$13</f>
        <v>49.427218004183082</v>
      </c>
      <c r="M85" s="102">
        <f>TrAvia_emi!M$13</f>
        <v>44.84343454585548</v>
      </c>
      <c r="N85" s="102">
        <f>TrAvia_emi!N$13</f>
        <v>47.147904919799494</v>
      </c>
      <c r="O85" s="102">
        <f>TrAvia_emi!O$13</f>
        <v>45.17270951203664</v>
      </c>
      <c r="P85" s="102">
        <f>TrAvia_emi!P$13</f>
        <v>38.852270710491673</v>
      </c>
      <c r="Q85" s="102">
        <f>TrAvia_emi!Q$13</f>
        <v>36.472892319801431</v>
      </c>
      <c r="R85" s="102">
        <f>TrAvia_emi!R$13</f>
        <v>31.779748246854826</v>
      </c>
      <c r="S85" s="102">
        <f>TrAvia_emi!S$13</f>
        <v>39.908871822811285</v>
      </c>
      <c r="T85" s="102">
        <f>TrAvia_emi!T$13</f>
        <v>36.882005967869638</v>
      </c>
      <c r="U85" s="102">
        <f>TrAvia_emi!U$13</f>
        <v>27.317834716378883</v>
      </c>
      <c r="V85" s="102">
        <f>TrAvia_emi!V$13</f>
        <v>28.922916866980263</v>
      </c>
      <c r="W85" s="102">
        <f>TrAvia_emi!W$13</f>
        <v>35.056316015612957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138.06243827999998</v>
      </c>
      <c r="C86" s="110">
        <f t="shared" si="69"/>
        <v>157.32677844</v>
      </c>
      <c r="D86" s="110">
        <f t="shared" si="69"/>
        <v>282.23642987999995</v>
      </c>
      <c r="E86" s="110">
        <f t="shared" si="69"/>
        <v>205.40433707999998</v>
      </c>
      <c r="F86" s="110">
        <f t="shared" si="69"/>
        <v>80.268884280000009</v>
      </c>
      <c r="G86" s="110">
        <f t="shared" si="69"/>
        <v>54.58283063999999</v>
      </c>
      <c r="H86" s="110">
        <f t="shared" si="69"/>
        <v>63.726029640000014</v>
      </c>
      <c r="I86" s="110">
        <f t="shared" si="69"/>
        <v>402.81539868000004</v>
      </c>
      <c r="J86" s="110">
        <f t="shared" si="69"/>
        <v>440.41890132000003</v>
      </c>
      <c r="K86" s="110">
        <f t="shared" si="69"/>
        <v>626.42402568000023</v>
      </c>
      <c r="L86" s="110">
        <f t="shared" si="69"/>
        <v>390.97331856</v>
      </c>
      <c r="M86" s="110">
        <f t="shared" si="69"/>
        <v>368.39807747999998</v>
      </c>
      <c r="N86" s="110">
        <f t="shared" si="69"/>
        <v>371.49404651999998</v>
      </c>
      <c r="O86" s="110">
        <f t="shared" si="69"/>
        <v>383.96868048000005</v>
      </c>
      <c r="P86" s="110">
        <f t="shared" si="69"/>
        <v>269.23601988000001</v>
      </c>
      <c r="Q86" s="110">
        <f t="shared" si="69"/>
        <v>304.46577432000004</v>
      </c>
      <c r="R86" s="110">
        <f t="shared" ref="R86:V86" si="70">R87+R88</f>
        <v>346.99691952000001</v>
      </c>
      <c r="S86" s="110">
        <f t="shared" si="70"/>
        <v>307.07894340000001</v>
      </c>
      <c r="T86" s="110">
        <f t="shared" si="70"/>
        <v>320.03780724000001</v>
      </c>
      <c r="U86" s="110">
        <f t="shared" si="70"/>
        <v>275.67038448000005</v>
      </c>
      <c r="V86" s="110">
        <f t="shared" si="70"/>
        <v>197.49954167999999</v>
      </c>
      <c r="W86" s="110">
        <f t="shared" ref="W86" si="71">W87+W88</f>
        <v>226.59361416000002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138.06243827999998</v>
      </c>
      <c r="C87" s="102">
        <f>TrNavi_emi!C$4</f>
        <v>157.32677844</v>
      </c>
      <c r="D87" s="102">
        <f>TrNavi_emi!D$4</f>
        <v>282.23642987999995</v>
      </c>
      <c r="E87" s="102">
        <f>TrNavi_emi!E$4</f>
        <v>205.40433707999998</v>
      </c>
      <c r="F87" s="102">
        <f>TrNavi_emi!F$4</f>
        <v>80.268884280000009</v>
      </c>
      <c r="G87" s="102">
        <f>TrNavi_emi!G$4</f>
        <v>54.58283063999999</v>
      </c>
      <c r="H87" s="102">
        <f>TrNavi_emi!H$4</f>
        <v>63.726029640000014</v>
      </c>
      <c r="I87" s="102">
        <f>TrNavi_emi!I$4</f>
        <v>402.81539868000004</v>
      </c>
      <c r="J87" s="102">
        <f>TrNavi_emi!J$4</f>
        <v>440.41890132000003</v>
      </c>
      <c r="K87" s="102">
        <f>TrNavi_emi!K$4</f>
        <v>626.42402568000023</v>
      </c>
      <c r="L87" s="102">
        <f>TrNavi_emi!L$4</f>
        <v>390.97331856</v>
      </c>
      <c r="M87" s="102">
        <f>TrNavi_emi!M$4</f>
        <v>368.39807747999998</v>
      </c>
      <c r="N87" s="102">
        <f>TrNavi_emi!N$4</f>
        <v>371.49404651999998</v>
      </c>
      <c r="O87" s="102">
        <f>TrNavi_emi!O$4</f>
        <v>383.96868048000005</v>
      </c>
      <c r="P87" s="102">
        <f>TrNavi_emi!P$4</f>
        <v>269.23601988000001</v>
      </c>
      <c r="Q87" s="102">
        <f>TrNavi_emi!Q$4</f>
        <v>304.46577432000004</v>
      </c>
      <c r="R87" s="102">
        <f>TrNavi_emi!R$4</f>
        <v>346.99691952000001</v>
      </c>
      <c r="S87" s="102">
        <f>TrNavi_emi!S$4</f>
        <v>307.07894340000001</v>
      </c>
      <c r="T87" s="102">
        <f>TrNavi_emi!T$4</f>
        <v>320.03780724000001</v>
      </c>
      <c r="U87" s="102">
        <f>TrNavi_emi!U$4</f>
        <v>275.67038448000005</v>
      </c>
      <c r="V87" s="102">
        <f>TrNavi_emi!V$4</f>
        <v>197.49954167999999</v>
      </c>
      <c r="W87" s="102">
        <f>TrNavi_emi!W$4</f>
        <v>226.59361416000002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2131.002677160001</v>
      </c>
      <c r="C89" s="28">
        <f t="shared" si="72"/>
        <v>1523.1419161199997</v>
      </c>
      <c r="D89" s="28">
        <f t="shared" si="72"/>
        <v>1549.1059703999999</v>
      </c>
      <c r="E89" s="28">
        <f t="shared" si="72"/>
        <v>1860.5185736399994</v>
      </c>
      <c r="F89" s="28">
        <f t="shared" si="72"/>
        <v>2104.9010935199999</v>
      </c>
      <c r="G89" s="28">
        <f t="shared" si="72"/>
        <v>1852.0334845200007</v>
      </c>
      <c r="H89" s="28">
        <f t="shared" si="72"/>
        <v>2029.0534149600003</v>
      </c>
      <c r="I89" s="28">
        <f t="shared" si="72"/>
        <v>1592.7628168800004</v>
      </c>
      <c r="J89" s="28">
        <f t="shared" si="72"/>
        <v>1698.4784743200005</v>
      </c>
      <c r="K89" s="28">
        <f t="shared" si="72"/>
        <v>1530.1033768800003</v>
      </c>
      <c r="L89" s="28">
        <f t="shared" si="72"/>
        <v>1478.1935667600001</v>
      </c>
      <c r="M89" s="28">
        <f t="shared" si="72"/>
        <v>1803.5448303600001</v>
      </c>
      <c r="N89" s="28">
        <f t="shared" si="72"/>
        <v>1948.7126664</v>
      </c>
      <c r="O89" s="28">
        <f t="shared" si="72"/>
        <v>2076.5344215599998</v>
      </c>
      <c r="P89" s="28">
        <f t="shared" si="72"/>
        <v>1952.6213354400004</v>
      </c>
      <c r="Q89" s="28">
        <f t="shared" si="72"/>
        <v>2062.4731455600004</v>
      </c>
      <c r="R89" s="28">
        <f t="shared" si="72"/>
        <v>2454.1945455600007</v>
      </c>
      <c r="S89" s="28">
        <f t="shared" si="72"/>
        <v>2498.7341782800004</v>
      </c>
      <c r="T89" s="28">
        <f t="shared" si="72"/>
        <v>2600.2311102000003</v>
      </c>
      <c r="U89" s="28">
        <f t="shared" si="72"/>
        <v>3064.1766001200003</v>
      </c>
      <c r="V89" s="28">
        <f t="shared" si="72"/>
        <v>2205.01993356</v>
      </c>
      <c r="W89" s="28">
        <f t="shared" si="72"/>
        <v>2116.6001164800005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726.85206753731006</v>
      </c>
      <c r="C90" s="102">
        <f>MBunk_emi!C$4</f>
        <v>517.80925210341945</v>
      </c>
      <c r="D90" s="102">
        <f>MBunk_emi!D$4</f>
        <v>517.11007803522614</v>
      </c>
      <c r="E90" s="102">
        <f>MBunk_emi!E$4</f>
        <v>587.66407684742853</v>
      </c>
      <c r="F90" s="102">
        <f>MBunk_emi!F$4</f>
        <v>707.46198251203293</v>
      </c>
      <c r="G90" s="102">
        <f>MBunk_emi!G$4</f>
        <v>630.56167998418164</v>
      </c>
      <c r="H90" s="102">
        <f>MBunk_emi!H$4</f>
        <v>657.76459978439379</v>
      </c>
      <c r="I90" s="102">
        <f>MBunk_emi!I$4</f>
        <v>503.67318124006079</v>
      </c>
      <c r="J90" s="102">
        <f>MBunk_emi!J$4</f>
        <v>529.07654589157733</v>
      </c>
      <c r="K90" s="102">
        <f>MBunk_emi!K$4</f>
        <v>507.42713278377744</v>
      </c>
      <c r="L90" s="102">
        <f>MBunk_emi!L$4</f>
        <v>481.34991917127655</v>
      </c>
      <c r="M90" s="102">
        <f>MBunk_emi!M$4</f>
        <v>559.68976389849854</v>
      </c>
      <c r="N90" s="102">
        <f>MBunk_emi!N$4</f>
        <v>598.94901901443086</v>
      </c>
      <c r="O90" s="102">
        <f>MBunk_emi!O$4</f>
        <v>632.64693031962133</v>
      </c>
      <c r="P90" s="102">
        <f>MBunk_emi!P$4</f>
        <v>604.91518239283482</v>
      </c>
      <c r="Q90" s="102">
        <f>MBunk_emi!Q$4</f>
        <v>613.7750096159906</v>
      </c>
      <c r="R90" s="102">
        <f>MBunk_emi!R$4</f>
        <v>725.69904087108853</v>
      </c>
      <c r="S90" s="102">
        <f>MBunk_emi!S$4</f>
        <v>743.58928520479492</v>
      </c>
      <c r="T90" s="102">
        <f>MBunk_emi!T$4</f>
        <v>819.6730962074696</v>
      </c>
      <c r="U90" s="102">
        <f>MBunk_emi!U$4</f>
        <v>1053.878578651229</v>
      </c>
      <c r="V90" s="102">
        <f>MBunk_emi!V$4</f>
        <v>667.85771346147419</v>
      </c>
      <c r="W90" s="102">
        <f>MBunk_emi!W$4</f>
        <v>638.81183170433303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1404.1506096226908</v>
      </c>
      <c r="C91" s="86">
        <f>MBunk_emi!C$5</f>
        <v>1005.3326640165801</v>
      </c>
      <c r="D91" s="86">
        <f>MBunk_emi!D$5</f>
        <v>1031.9958923647739</v>
      </c>
      <c r="E91" s="86">
        <f>MBunk_emi!E$5</f>
        <v>1272.8544967925709</v>
      </c>
      <c r="F91" s="86">
        <f>MBunk_emi!F$5</f>
        <v>1397.4391110079669</v>
      </c>
      <c r="G91" s="86">
        <f>MBunk_emi!G$5</f>
        <v>1221.471804535819</v>
      </c>
      <c r="H91" s="86">
        <f>MBunk_emi!H$5</f>
        <v>1371.2888151756065</v>
      </c>
      <c r="I91" s="86">
        <f>MBunk_emi!I$5</f>
        <v>1089.0896356399396</v>
      </c>
      <c r="J91" s="86">
        <f>MBunk_emi!J$5</f>
        <v>1169.4019284284232</v>
      </c>
      <c r="K91" s="86">
        <f>MBunk_emi!K$5</f>
        <v>1022.6762440962227</v>
      </c>
      <c r="L91" s="86">
        <f>MBunk_emi!L$5</f>
        <v>996.84364758872357</v>
      </c>
      <c r="M91" s="86">
        <f>MBunk_emi!M$5</f>
        <v>1243.8550664615016</v>
      </c>
      <c r="N91" s="86">
        <f>MBunk_emi!N$5</f>
        <v>1349.7636473855691</v>
      </c>
      <c r="O91" s="86">
        <f>MBunk_emi!O$5</f>
        <v>1443.8874912403787</v>
      </c>
      <c r="P91" s="86">
        <f>MBunk_emi!P$5</f>
        <v>1347.7061530471656</v>
      </c>
      <c r="Q91" s="86">
        <f>MBunk_emi!Q$5</f>
        <v>1448.6981359440099</v>
      </c>
      <c r="R91" s="86">
        <f>MBunk_emi!R$5</f>
        <v>1728.4955046889124</v>
      </c>
      <c r="S91" s="86">
        <f>MBunk_emi!S$5</f>
        <v>1755.1448930752056</v>
      </c>
      <c r="T91" s="86">
        <f>MBunk_emi!T$5</f>
        <v>1780.5580139925305</v>
      </c>
      <c r="U91" s="86">
        <f>MBunk_emi!U$5</f>
        <v>2010.2980214687716</v>
      </c>
      <c r="V91" s="86">
        <f>MBunk_emi!V$5</f>
        <v>1537.1622200985257</v>
      </c>
      <c r="W91" s="86">
        <f>MBunk_emi!W$5</f>
        <v>1477.7882847756675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0.77018526443173907</v>
      </c>
      <c r="C97" s="139">
        <f t="shared" si="76"/>
        <v>0.77701816668060031</v>
      </c>
      <c r="D97" s="139">
        <f t="shared" si="76"/>
        <v>0.78174773614885829</v>
      </c>
      <c r="E97" s="139">
        <f t="shared" si="76"/>
        <v>0.78823044216190652</v>
      </c>
      <c r="F97" s="139">
        <f t="shared" si="76"/>
        <v>0.78613060136803825</v>
      </c>
      <c r="G97" s="139">
        <f t="shared" si="76"/>
        <v>0.77134622352411708</v>
      </c>
      <c r="H97" s="139">
        <f t="shared" si="76"/>
        <v>0.7634406739146895</v>
      </c>
      <c r="I97" s="139">
        <f t="shared" si="76"/>
        <v>0.74841091658998871</v>
      </c>
      <c r="J97" s="139">
        <f t="shared" si="76"/>
        <v>0.7428133964475071</v>
      </c>
      <c r="K97" s="139">
        <f t="shared" si="76"/>
        <v>0.7450175558724742</v>
      </c>
      <c r="L97" s="139">
        <f t="shared" si="76"/>
        <v>0.72869198051528861</v>
      </c>
      <c r="M97" s="139">
        <f t="shared" si="76"/>
        <v>0.71461739972559779</v>
      </c>
      <c r="N97" s="139">
        <f t="shared" si="76"/>
        <v>0.70959512930888002</v>
      </c>
      <c r="O97" s="139">
        <f t="shared" si="76"/>
        <v>0.70186369047917418</v>
      </c>
      <c r="P97" s="139">
        <f t="shared" si="76"/>
        <v>0.68970147393191028</v>
      </c>
      <c r="Q97" s="139">
        <f t="shared" si="76"/>
        <v>0.67892768971060025</v>
      </c>
      <c r="R97" s="139">
        <f t="shared" ref="R97:V97" si="77">IF(R5=0,0,R5/R$4)</f>
        <v>0.66776248766509538</v>
      </c>
      <c r="S97" s="139">
        <f t="shared" si="77"/>
        <v>0.64020558538461769</v>
      </c>
      <c r="T97" s="139">
        <f t="shared" si="77"/>
        <v>0.62847411557055899</v>
      </c>
      <c r="U97" s="139">
        <f t="shared" si="77"/>
        <v>0.61086262616660247</v>
      </c>
      <c r="V97" s="139">
        <f t="shared" si="77"/>
        <v>0.80229290726250235</v>
      </c>
      <c r="W97" s="139">
        <f t="shared" ref="W97" si="78">IF(W5=0,0,W5/W$4)</f>
        <v>0.77754811098862742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1.4368104841436392E-2</v>
      </c>
      <c r="C98" s="140">
        <f t="shared" si="79"/>
        <v>1.5348012956137696E-2</v>
      </c>
      <c r="D98" s="140">
        <f t="shared" si="79"/>
        <v>1.5993217642884347E-2</v>
      </c>
      <c r="E98" s="140">
        <f t="shared" si="79"/>
        <v>1.6217949673332333E-2</v>
      </c>
      <c r="F98" s="140">
        <f t="shared" si="79"/>
        <v>1.6987424552445531E-2</v>
      </c>
      <c r="G98" s="140">
        <f t="shared" si="79"/>
        <v>1.7944149010367737E-2</v>
      </c>
      <c r="H98" s="140">
        <f t="shared" si="79"/>
        <v>1.8523197498444093E-2</v>
      </c>
      <c r="I98" s="140">
        <f t="shared" si="79"/>
        <v>1.7090679324430109E-2</v>
      </c>
      <c r="J98" s="140">
        <f t="shared" si="79"/>
        <v>1.707878186265336E-2</v>
      </c>
      <c r="K98" s="140">
        <f t="shared" si="79"/>
        <v>1.6274456060584912E-2</v>
      </c>
      <c r="L98" s="140">
        <f t="shared" si="79"/>
        <v>1.5782583313525153E-2</v>
      </c>
      <c r="M98" s="140">
        <f t="shared" si="79"/>
        <v>1.5268310947384324E-2</v>
      </c>
      <c r="N98" s="140">
        <f t="shared" si="79"/>
        <v>1.5419832871527379E-2</v>
      </c>
      <c r="O98" s="140">
        <f t="shared" si="79"/>
        <v>1.5018397430593062E-2</v>
      </c>
      <c r="P98" s="140">
        <f t="shared" si="79"/>
        <v>1.4377714440694831E-2</v>
      </c>
      <c r="Q98" s="140">
        <f t="shared" si="79"/>
        <v>1.3594829772502221E-2</v>
      </c>
      <c r="R98" s="140">
        <f t="shared" ref="R98:V98" si="80">IF(R6=0,0,R6/R$4)</f>
        <v>1.3391785756294823E-2</v>
      </c>
      <c r="S98" s="140">
        <f t="shared" si="80"/>
        <v>1.1938467824475068E-2</v>
      </c>
      <c r="T98" s="140">
        <f t="shared" si="80"/>
        <v>1.084252580883923E-2</v>
      </c>
      <c r="U98" s="140">
        <f t="shared" si="80"/>
        <v>1.1007094613949239E-2</v>
      </c>
      <c r="V98" s="140">
        <f t="shared" si="80"/>
        <v>1.5314502645335362E-2</v>
      </c>
      <c r="W98" s="140">
        <f t="shared" ref="W98" si="81">IF(W6=0,0,W6/W$4)</f>
        <v>1.4386440069613222E-2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0.64793975357592271</v>
      </c>
      <c r="C99" s="140">
        <f t="shared" si="82"/>
        <v>0.66091650271613778</v>
      </c>
      <c r="D99" s="140">
        <f t="shared" si="82"/>
        <v>0.67893475384447233</v>
      </c>
      <c r="E99" s="140">
        <f t="shared" si="82"/>
        <v>0.68362743394307501</v>
      </c>
      <c r="F99" s="140">
        <f t="shared" si="82"/>
        <v>0.68051981873481437</v>
      </c>
      <c r="G99" s="140">
        <f t="shared" si="82"/>
        <v>0.7008294508266153</v>
      </c>
      <c r="H99" s="140">
        <f t="shared" si="82"/>
        <v>0.69584923651545105</v>
      </c>
      <c r="I99" s="140">
        <f t="shared" si="82"/>
        <v>0.6821022447623124</v>
      </c>
      <c r="J99" s="140">
        <f t="shared" si="82"/>
        <v>0.67685604100518981</v>
      </c>
      <c r="K99" s="140">
        <f t="shared" si="82"/>
        <v>0.68121371040916268</v>
      </c>
      <c r="L99" s="140">
        <f t="shared" si="82"/>
        <v>0.66464848945890609</v>
      </c>
      <c r="M99" s="140">
        <f t="shared" si="82"/>
        <v>0.65340133175397419</v>
      </c>
      <c r="N99" s="140">
        <f t="shared" si="82"/>
        <v>0.64801833138496223</v>
      </c>
      <c r="O99" s="140">
        <f t="shared" si="82"/>
        <v>0.63977601074220669</v>
      </c>
      <c r="P99" s="140">
        <f t="shared" si="82"/>
        <v>0.63239553913608415</v>
      </c>
      <c r="Q99" s="140">
        <f t="shared" si="82"/>
        <v>0.62491610517457796</v>
      </c>
      <c r="R99" s="140">
        <f t="shared" ref="R99:V99" si="83">IF(R7=0,0,R7/R$4)</f>
        <v>0.61813483233648125</v>
      </c>
      <c r="S99" s="140">
        <f t="shared" si="83"/>
        <v>0.58854736360464377</v>
      </c>
      <c r="T99" s="140">
        <f t="shared" si="83"/>
        <v>0.57723326383402207</v>
      </c>
      <c r="U99" s="140">
        <f t="shared" si="83"/>
        <v>0.56173033469029998</v>
      </c>
      <c r="V99" s="140">
        <f t="shared" si="83"/>
        <v>0.75337237677914959</v>
      </c>
      <c r="W99" s="140">
        <f t="shared" ref="W99" si="84">IF(W7=0,0,W7/W$4)</f>
        <v>0.71819178096775804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0.10787740601438003</v>
      </c>
      <c r="C100" s="140">
        <f t="shared" si="85"/>
        <v>0.10075365100832488</v>
      </c>
      <c r="D100" s="140">
        <f t="shared" si="85"/>
        <v>8.6819764661501639E-2</v>
      </c>
      <c r="E100" s="140">
        <f t="shared" si="85"/>
        <v>8.8385058545499176E-2</v>
      </c>
      <c r="F100" s="140">
        <f t="shared" si="85"/>
        <v>8.8623358080778425E-2</v>
      </c>
      <c r="G100" s="140">
        <f t="shared" si="85"/>
        <v>5.2572623687134223E-2</v>
      </c>
      <c r="H100" s="140">
        <f t="shared" si="85"/>
        <v>4.9068239900794369E-2</v>
      </c>
      <c r="I100" s="140">
        <f t="shared" si="85"/>
        <v>4.921799250324619E-2</v>
      </c>
      <c r="J100" s="140">
        <f t="shared" si="85"/>
        <v>4.8878573579663943E-2</v>
      </c>
      <c r="K100" s="140">
        <f t="shared" si="85"/>
        <v>4.7529389402726614E-2</v>
      </c>
      <c r="L100" s="140">
        <f t="shared" si="85"/>
        <v>4.8260907742857469E-2</v>
      </c>
      <c r="M100" s="140">
        <f t="shared" si="85"/>
        <v>4.5947757024239325E-2</v>
      </c>
      <c r="N100" s="140">
        <f t="shared" si="85"/>
        <v>4.6156965052390413E-2</v>
      </c>
      <c r="O100" s="140">
        <f t="shared" si="85"/>
        <v>4.7069282306374423E-2</v>
      </c>
      <c r="P100" s="140">
        <f t="shared" si="85"/>
        <v>4.2928220355131289E-2</v>
      </c>
      <c r="Q100" s="140">
        <f t="shared" si="85"/>
        <v>4.0416754763520184E-2</v>
      </c>
      <c r="R100" s="140">
        <f t="shared" ref="R100:V100" si="86">IF(R8=0,0,R8/R$4)</f>
        <v>3.6235869572319321E-2</v>
      </c>
      <c r="S100" s="140">
        <f t="shared" si="86"/>
        <v>3.9719753955498836E-2</v>
      </c>
      <c r="T100" s="140">
        <f t="shared" si="86"/>
        <v>4.0398325927697709E-2</v>
      </c>
      <c r="U100" s="140">
        <f t="shared" si="86"/>
        <v>3.8125196862353258E-2</v>
      </c>
      <c r="V100" s="140">
        <f t="shared" si="86"/>
        <v>3.3606027838017555E-2</v>
      </c>
      <c r="W100" s="140">
        <f t="shared" ref="W100" si="87">IF(W8=0,0,W8/W$4)</f>
        <v>4.4969889951256135E-2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4.1632410645258584E-2</v>
      </c>
      <c r="C101" s="124">
        <f t="shared" si="88"/>
        <v>4.0964182688840396E-2</v>
      </c>
      <c r="D101" s="124">
        <f t="shared" si="88"/>
        <v>3.9102098113951274E-2</v>
      </c>
      <c r="E101" s="124">
        <f t="shared" si="88"/>
        <v>3.7939225567172129E-2</v>
      </c>
      <c r="F101" s="124">
        <f t="shared" si="88"/>
        <v>3.7707357185077242E-2</v>
      </c>
      <c r="G101" s="124">
        <f t="shared" si="88"/>
        <v>3.8394867258064853E-2</v>
      </c>
      <c r="H101" s="124">
        <f t="shared" si="88"/>
        <v>3.9354319960044779E-2</v>
      </c>
      <c r="I101" s="124">
        <f t="shared" si="88"/>
        <v>3.9672909649201428E-2</v>
      </c>
      <c r="J101" s="124">
        <f t="shared" si="88"/>
        <v>4.1294139046686745E-2</v>
      </c>
      <c r="K101" s="124">
        <f t="shared" si="88"/>
        <v>4.2006995925843081E-2</v>
      </c>
      <c r="L101" s="124">
        <f t="shared" si="88"/>
        <v>4.1643626545048357E-2</v>
      </c>
      <c r="M101" s="124">
        <f t="shared" si="88"/>
        <v>4.2295499414620311E-2</v>
      </c>
      <c r="N101" s="124">
        <f t="shared" si="88"/>
        <v>3.8117518461313962E-2</v>
      </c>
      <c r="O101" s="124">
        <f t="shared" si="88"/>
        <v>3.5872810608305043E-2</v>
      </c>
      <c r="P101" s="124">
        <f t="shared" si="88"/>
        <v>3.6565714760940747E-2</v>
      </c>
      <c r="Q101" s="124">
        <f t="shared" si="88"/>
        <v>3.6737239451763423E-2</v>
      </c>
      <c r="R101" s="124">
        <f t="shared" ref="R101:V101" si="89">IF(R9=0,0,R9/R$4)</f>
        <v>3.6401906795539722E-2</v>
      </c>
      <c r="S101" s="124">
        <f t="shared" si="89"/>
        <v>3.5986902740075467E-2</v>
      </c>
      <c r="T101" s="124">
        <f t="shared" si="89"/>
        <v>3.4745084244594091E-2</v>
      </c>
      <c r="U101" s="124">
        <f t="shared" si="89"/>
        <v>3.6364592169332813E-2</v>
      </c>
      <c r="V101" s="124">
        <f t="shared" si="89"/>
        <v>2.8552834932521292E-2</v>
      </c>
      <c r="W101" s="124">
        <f t="shared" ref="W101" si="90">IF(W9=0,0,W9/W$4)</f>
        <v>2.8231750202607164E-2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4.8367333717639297E-3</v>
      </c>
      <c r="C102" s="140">
        <f t="shared" si="91"/>
        <v>4.920758114484905E-3</v>
      </c>
      <c r="D102" s="140">
        <f t="shared" si="91"/>
        <v>4.8058444609325587E-3</v>
      </c>
      <c r="E102" s="140">
        <f t="shared" si="91"/>
        <v>6.4588113390940836E-3</v>
      </c>
      <c r="F102" s="140">
        <f t="shared" si="91"/>
        <v>6.9445817646793711E-3</v>
      </c>
      <c r="G102" s="140">
        <f t="shared" si="91"/>
        <v>6.9894628086698231E-3</v>
      </c>
      <c r="H102" s="140">
        <f t="shared" si="91"/>
        <v>7.992556695697239E-3</v>
      </c>
      <c r="I102" s="140">
        <f t="shared" si="91"/>
        <v>8.2694263943822646E-3</v>
      </c>
      <c r="J102" s="140">
        <f t="shared" si="91"/>
        <v>8.5171907621480764E-3</v>
      </c>
      <c r="K102" s="140">
        <f t="shared" si="91"/>
        <v>8.6354452054500288E-3</v>
      </c>
      <c r="L102" s="140">
        <f t="shared" si="91"/>
        <v>8.9988243925326703E-3</v>
      </c>
      <c r="M102" s="140">
        <f t="shared" si="91"/>
        <v>9.0167564211669667E-3</v>
      </c>
      <c r="N102" s="140">
        <f t="shared" si="91"/>
        <v>8.1115461375121291E-3</v>
      </c>
      <c r="O102" s="140">
        <f t="shared" si="91"/>
        <v>7.3561559285839299E-3</v>
      </c>
      <c r="P102" s="140">
        <f t="shared" si="91"/>
        <v>7.3347611091879195E-3</v>
      </c>
      <c r="Q102" s="140">
        <f t="shared" si="91"/>
        <v>7.462280894331718E-3</v>
      </c>
      <c r="R102" s="140">
        <f t="shared" ref="R102:V102" si="92">IF(R10=0,0,R10/R$4)</f>
        <v>7.2519502434910295E-3</v>
      </c>
      <c r="S102" s="140">
        <f t="shared" si="92"/>
        <v>7.1569164237308769E-3</v>
      </c>
      <c r="T102" s="140">
        <f t="shared" si="92"/>
        <v>7.111071888555978E-3</v>
      </c>
      <c r="U102" s="140">
        <f t="shared" si="92"/>
        <v>7.4008699026463509E-3</v>
      </c>
      <c r="V102" s="140">
        <f t="shared" si="92"/>
        <v>5.8856780695657179E-3</v>
      </c>
      <c r="W102" s="140">
        <f t="shared" ref="W102" si="93">IF(W10=0,0,W10/W$4)</f>
        <v>5.1495371100406034E-3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3.6795677273494649E-2</v>
      </c>
      <c r="C103" s="140">
        <f t="shared" si="94"/>
        <v>3.6043424574355491E-2</v>
      </c>
      <c r="D103" s="140">
        <f t="shared" si="94"/>
        <v>3.4296253653018714E-2</v>
      </c>
      <c r="E103" s="140">
        <f t="shared" si="94"/>
        <v>3.1480414228078048E-2</v>
      </c>
      <c r="F103" s="140">
        <f t="shared" si="94"/>
        <v>2.7187996613549936E-2</v>
      </c>
      <c r="G103" s="140">
        <f t="shared" si="94"/>
        <v>2.736532879168866E-2</v>
      </c>
      <c r="H103" s="140">
        <f t="shared" si="94"/>
        <v>2.7251398006791154E-2</v>
      </c>
      <c r="I103" s="140">
        <f t="shared" si="94"/>
        <v>2.7417989769256457E-2</v>
      </c>
      <c r="J103" s="140">
        <f t="shared" si="94"/>
        <v>2.8692472175024592E-2</v>
      </c>
      <c r="K103" s="140">
        <f t="shared" si="94"/>
        <v>2.9181294292411106E-2</v>
      </c>
      <c r="L103" s="140">
        <f t="shared" si="94"/>
        <v>2.8521445228763702E-2</v>
      </c>
      <c r="M103" s="140">
        <f t="shared" si="94"/>
        <v>2.9618631066394278E-2</v>
      </c>
      <c r="N103" s="140">
        <f t="shared" si="94"/>
        <v>2.6360755596587414E-2</v>
      </c>
      <c r="O103" s="140">
        <f t="shared" si="94"/>
        <v>2.4882715401543441E-2</v>
      </c>
      <c r="P103" s="140">
        <f t="shared" si="94"/>
        <v>2.5148333437671047E-2</v>
      </c>
      <c r="Q103" s="140">
        <f t="shared" si="94"/>
        <v>2.5065342328172507E-2</v>
      </c>
      <c r="R103" s="140">
        <f t="shared" ref="R103:V103" si="95">IF(R11=0,0,R11/R$4)</f>
        <v>2.4953688427768662E-2</v>
      </c>
      <c r="S103" s="140">
        <f t="shared" si="95"/>
        <v>2.4661257116926294E-2</v>
      </c>
      <c r="T103" s="140">
        <f t="shared" si="95"/>
        <v>2.3637057833643976E-2</v>
      </c>
      <c r="U103" s="140">
        <f t="shared" si="95"/>
        <v>2.4975838844804411E-2</v>
      </c>
      <c r="V103" s="140">
        <f t="shared" si="95"/>
        <v>2.0694946179990653E-2</v>
      </c>
      <c r="W103" s="140">
        <f t="shared" ref="W103" si="96">IF(W11=0,0,W11/W$4)</f>
        <v>2.0942035367637658E-2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3.5747788068479407E-3</v>
      </c>
      <c r="G104" s="140">
        <f t="shared" si="97"/>
        <v>4.04007565770637E-3</v>
      </c>
      <c r="H104" s="140">
        <f t="shared" si="97"/>
        <v>4.1103652575563854E-3</v>
      </c>
      <c r="I104" s="140">
        <f t="shared" si="97"/>
        <v>3.9854934855627026E-3</v>
      </c>
      <c r="J104" s="140">
        <f t="shared" si="97"/>
        <v>4.0844761095140758E-3</v>
      </c>
      <c r="K104" s="140">
        <f t="shared" si="97"/>
        <v>4.1902564279819423E-3</v>
      </c>
      <c r="L104" s="140">
        <f t="shared" si="97"/>
        <v>4.1233569237519828E-3</v>
      </c>
      <c r="M104" s="140">
        <f t="shared" si="97"/>
        <v>3.6601119270590647E-3</v>
      </c>
      <c r="N104" s="140">
        <f t="shared" si="97"/>
        <v>3.6452167272144225E-3</v>
      </c>
      <c r="O104" s="140">
        <f t="shared" si="97"/>
        <v>3.6339392781776698E-3</v>
      </c>
      <c r="P104" s="140">
        <f t="shared" si="97"/>
        <v>4.0826202140817813E-3</v>
      </c>
      <c r="Q104" s="140">
        <f t="shared" si="97"/>
        <v>4.2096162292591961E-3</v>
      </c>
      <c r="R104" s="140">
        <f t="shared" ref="R104:V104" si="98">IF(R12=0,0,R12/R$4)</f>
        <v>4.1962681242800346E-3</v>
      </c>
      <c r="S104" s="140">
        <f t="shared" si="98"/>
        <v>4.1687291994182939E-3</v>
      </c>
      <c r="T104" s="140">
        <f t="shared" si="98"/>
        <v>3.9969545223941336E-3</v>
      </c>
      <c r="U104" s="140">
        <f t="shared" si="98"/>
        <v>3.987883421882053E-3</v>
      </c>
      <c r="V104" s="140">
        <f t="shared" si="98"/>
        <v>1.972210682964921E-3</v>
      </c>
      <c r="W104" s="140">
        <f t="shared" ref="W104" si="99">IF(W12=0,0,W12/W$4)</f>
        <v>2.1401777249289052E-3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0.18818232492300235</v>
      </c>
      <c r="C105" s="124">
        <f t="shared" si="100"/>
        <v>0.18201765063055936</v>
      </c>
      <c r="D105" s="124">
        <f t="shared" si="100"/>
        <v>0.17915016573719042</v>
      </c>
      <c r="E105" s="124">
        <f t="shared" si="100"/>
        <v>0.1738303322709214</v>
      </c>
      <c r="F105" s="124">
        <f t="shared" si="100"/>
        <v>0.17616204144688447</v>
      </c>
      <c r="G105" s="124">
        <f t="shared" si="100"/>
        <v>0.19025890921781799</v>
      </c>
      <c r="H105" s="124">
        <f t="shared" si="100"/>
        <v>0.19720500612526567</v>
      </c>
      <c r="I105" s="124">
        <f t="shared" si="100"/>
        <v>0.21191617376080987</v>
      </c>
      <c r="J105" s="124">
        <f t="shared" si="100"/>
        <v>0.21589246450580607</v>
      </c>
      <c r="K105" s="124">
        <f t="shared" si="100"/>
        <v>0.21297544820168274</v>
      </c>
      <c r="L105" s="124">
        <f t="shared" si="100"/>
        <v>0.22966439293966306</v>
      </c>
      <c r="M105" s="124">
        <f t="shared" si="100"/>
        <v>0.24308710085978191</v>
      </c>
      <c r="N105" s="124">
        <f t="shared" si="100"/>
        <v>0.25228735222980597</v>
      </c>
      <c r="O105" s="124">
        <f t="shared" si="100"/>
        <v>0.26226349891252071</v>
      </c>
      <c r="P105" s="124">
        <f t="shared" si="100"/>
        <v>0.27373281130714883</v>
      </c>
      <c r="Q105" s="124">
        <f t="shared" si="100"/>
        <v>0.28433507083763626</v>
      </c>
      <c r="R105" s="124">
        <f t="shared" ref="R105:V105" si="101">IF(R13=0,0,R13/R$4)</f>
        <v>0.29583560553936483</v>
      </c>
      <c r="S105" s="124">
        <f t="shared" si="101"/>
        <v>0.32380751187530682</v>
      </c>
      <c r="T105" s="124">
        <f t="shared" si="101"/>
        <v>0.33678080018484696</v>
      </c>
      <c r="U105" s="124">
        <f t="shared" si="101"/>
        <v>0.35277278166406467</v>
      </c>
      <c r="V105" s="124">
        <f t="shared" si="101"/>
        <v>0.16915425780497634</v>
      </c>
      <c r="W105" s="124">
        <f t="shared" ref="W105" si="102">IF(W13=0,0,W13/W$4)</f>
        <v>0.19422013880876557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2.0937516657271098E-2</v>
      </c>
      <c r="C106" s="140">
        <f t="shared" si="103"/>
        <v>2.1323003840978655E-2</v>
      </c>
      <c r="D106" s="140">
        <f t="shared" si="103"/>
        <v>2.0976395223716759E-2</v>
      </c>
      <c r="E106" s="140">
        <f t="shared" si="103"/>
        <v>1.9653947259675564E-2</v>
      </c>
      <c r="F106" s="140">
        <f t="shared" si="103"/>
        <v>2.017868244561612E-2</v>
      </c>
      <c r="G106" s="140">
        <f t="shared" si="103"/>
        <v>2.0793525604941618E-2</v>
      </c>
      <c r="H106" s="140">
        <f t="shared" si="103"/>
        <v>1.6798769238021129E-2</v>
      </c>
      <c r="I106" s="140">
        <f t="shared" si="103"/>
        <v>1.640515880022073E-2</v>
      </c>
      <c r="J106" s="140">
        <f t="shared" si="103"/>
        <v>1.7013135434915141E-2</v>
      </c>
      <c r="K106" s="140">
        <f t="shared" si="103"/>
        <v>1.8927088167350586E-2</v>
      </c>
      <c r="L106" s="140">
        <f t="shared" si="103"/>
        <v>1.9231194988385446E-2</v>
      </c>
      <c r="M106" s="140">
        <f t="shared" si="103"/>
        <v>1.7457278586133565E-2</v>
      </c>
      <c r="N106" s="140">
        <f t="shared" si="103"/>
        <v>1.7612340359908416E-2</v>
      </c>
      <c r="O106" s="140">
        <f t="shared" si="103"/>
        <v>1.8147573670828199E-2</v>
      </c>
      <c r="P106" s="140">
        <f t="shared" si="103"/>
        <v>1.7597977298867334E-2</v>
      </c>
      <c r="Q106" s="140">
        <f t="shared" si="103"/>
        <v>2.1524320474869484E-2</v>
      </c>
      <c r="R106" s="140">
        <f t="shared" ref="R106:V106" si="104">IF(R14=0,0,R14/R$4)</f>
        <v>2.4640697957082455E-2</v>
      </c>
      <c r="S106" s="140">
        <f t="shared" si="104"/>
        <v>2.6696516475452473E-2</v>
      </c>
      <c r="T106" s="140">
        <f t="shared" si="104"/>
        <v>2.6323404894295448E-2</v>
      </c>
      <c r="U106" s="140">
        <f t="shared" si="104"/>
        <v>2.525430534055971E-2</v>
      </c>
      <c r="V106" s="140">
        <f t="shared" si="104"/>
        <v>1.3458055994100191E-2</v>
      </c>
      <c r="W106" s="140">
        <f t="shared" ref="W106" si="105">IF(W14=0,0,W14/W$4)</f>
        <v>2.2449662349687302E-2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0.11464626048630067</v>
      </c>
      <c r="C107" s="140">
        <f t="shared" si="106"/>
        <v>0.10976030767131571</v>
      </c>
      <c r="D107" s="140">
        <f t="shared" si="106"/>
        <v>0.10644824891470263</v>
      </c>
      <c r="E107" s="140">
        <f t="shared" si="106"/>
        <v>0.10186922521232838</v>
      </c>
      <c r="F107" s="140">
        <f t="shared" si="106"/>
        <v>0.10208603914188989</v>
      </c>
      <c r="G107" s="140">
        <f t="shared" si="106"/>
        <v>0.10793448617037874</v>
      </c>
      <c r="H107" s="140">
        <f t="shared" si="106"/>
        <v>0.11506905089819594</v>
      </c>
      <c r="I107" s="140">
        <f t="shared" si="106"/>
        <v>0.12140046015918529</v>
      </c>
      <c r="J107" s="140">
        <f t="shared" si="106"/>
        <v>0.11849762784082353</v>
      </c>
      <c r="K107" s="140">
        <f t="shared" si="106"/>
        <v>0.11401968304286801</v>
      </c>
      <c r="L107" s="140">
        <f t="shared" si="106"/>
        <v>0.12030751537615816</v>
      </c>
      <c r="M107" s="140">
        <f t="shared" si="106"/>
        <v>0.12947231996637487</v>
      </c>
      <c r="N107" s="140">
        <f t="shared" si="106"/>
        <v>0.13313682267499147</v>
      </c>
      <c r="O107" s="140">
        <f t="shared" si="106"/>
        <v>0.14213876039501147</v>
      </c>
      <c r="P107" s="140">
        <f t="shared" si="106"/>
        <v>0.15127502485023389</v>
      </c>
      <c r="Q107" s="140">
        <f t="shared" si="106"/>
        <v>0.15996009379415355</v>
      </c>
      <c r="R107" s="140">
        <f t="shared" ref="R107:V107" si="107">IF(R15=0,0,R15/R$4)</f>
        <v>0.16980919657663832</v>
      </c>
      <c r="S107" s="140">
        <f t="shared" si="107"/>
        <v>0.18372091383774966</v>
      </c>
      <c r="T107" s="140">
        <f t="shared" si="107"/>
        <v>0.18358004314628074</v>
      </c>
      <c r="U107" s="140">
        <f t="shared" si="107"/>
        <v>0.18417010089629468</v>
      </c>
      <c r="V107" s="140">
        <f t="shared" si="107"/>
        <v>9.0411615562786068E-2</v>
      </c>
      <c r="W107" s="140">
        <f t="shared" ref="W107" si="108">IF(W15=0,0,W15/W$4)</f>
        <v>0.10375710908379426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5.2598547779430592E-2</v>
      </c>
      <c r="C108" s="140">
        <f t="shared" si="109"/>
        <v>5.093433911826499E-2</v>
      </c>
      <c r="D108" s="140">
        <f t="shared" si="109"/>
        <v>5.1725521598771002E-2</v>
      </c>
      <c r="E108" s="140">
        <f t="shared" si="109"/>
        <v>5.2307159798917459E-2</v>
      </c>
      <c r="F108" s="140">
        <f t="shared" si="109"/>
        <v>5.3897319859378463E-2</v>
      </c>
      <c r="G108" s="140">
        <f t="shared" si="109"/>
        <v>6.1530897442497623E-2</v>
      </c>
      <c r="H108" s="140">
        <f t="shared" si="109"/>
        <v>6.5337185989048599E-2</v>
      </c>
      <c r="I108" s="140">
        <f t="shared" si="109"/>
        <v>7.4110554801403841E-2</v>
      </c>
      <c r="J108" s="140">
        <f t="shared" si="109"/>
        <v>8.0381701230067423E-2</v>
      </c>
      <c r="K108" s="140">
        <f t="shared" si="109"/>
        <v>8.0028676991464154E-2</v>
      </c>
      <c r="L108" s="140">
        <f t="shared" si="109"/>
        <v>9.0125682575119423E-2</v>
      </c>
      <c r="M108" s="140">
        <f t="shared" si="109"/>
        <v>9.6157502307273476E-2</v>
      </c>
      <c r="N108" s="140">
        <f t="shared" si="109"/>
        <v>0.10153818919490612</v>
      </c>
      <c r="O108" s="140">
        <f t="shared" si="109"/>
        <v>0.10197716484668101</v>
      </c>
      <c r="P108" s="140">
        <f t="shared" si="109"/>
        <v>0.10485980915804759</v>
      </c>
      <c r="Q108" s="140">
        <f t="shared" si="109"/>
        <v>0.10285065656861324</v>
      </c>
      <c r="R108" s="140">
        <f t="shared" ref="R108:V108" si="110">IF(R16=0,0,R16/R$4)</f>
        <v>0.10138571100564409</v>
      </c>
      <c r="S108" s="140">
        <f t="shared" si="110"/>
        <v>0.11339008156210464</v>
      </c>
      <c r="T108" s="140">
        <f t="shared" si="110"/>
        <v>0.12687735214427076</v>
      </c>
      <c r="U108" s="140">
        <f t="shared" si="110"/>
        <v>0.1433483754272103</v>
      </c>
      <c r="V108" s="140">
        <f t="shared" si="110"/>
        <v>6.5284586248090068E-2</v>
      </c>
      <c r="W108" s="140">
        <f t="shared" ref="W108" si="111">IF(W16=0,0,W16/W$4)</f>
        <v>6.8013367375284003E-2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0.88874499114547734</v>
      </c>
      <c r="C110" s="139">
        <f t="shared" si="115"/>
        <v>0.9008496120959254</v>
      </c>
      <c r="D110" s="139">
        <f t="shared" si="115"/>
        <v>0.89473278174835413</v>
      </c>
      <c r="E110" s="139">
        <f t="shared" si="115"/>
        <v>0.89654038320395291</v>
      </c>
      <c r="F110" s="139">
        <f t="shared" si="115"/>
        <v>0.90415257939213811</v>
      </c>
      <c r="G110" s="139">
        <f t="shared" si="115"/>
        <v>0.89812251181488645</v>
      </c>
      <c r="H110" s="139">
        <f t="shared" si="115"/>
        <v>0.898871824195425</v>
      </c>
      <c r="I110" s="139">
        <f t="shared" si="115"/>
        <v>0.89655032029046533</v>
      </c>
      <c r="J110" s="139">
        <f t="shared" si="115"/>
        <v>0.88856194185405002</v>
      </c>
      <c r="K110" s="139">
        <f t="shared" si="115"/>
        <v>0.89189016016289069</v>
      </c>
      <c r="L110" s="139">
        <f t="shared" si="115"/>
        <v>0.8762813913133416</v>
      </c>
      <c r="M110" s="139">
        <f t="shared" si="115"/>
        <v>0.8757472784163316</v>
      </c>
      <c r="N110" s="139">
        <f t="shared" si="115"/>
        <v>0.85660289364259512</v>
      </c>
      <c r="O110" s="139">
        <f t="shared" si="115"/>
        <v>0.85695757019463514</v>
      </c>
      <c r="P110" s="139">
        <f t="shared" si="115"/>
        <v>0.85823194009700543</v>
      </c>
      <c r="Q110" s="139">
        <f t="shared" si="115"/>
        <v>0.84795226523599798</v>
      </c>
      <c r="R110" s="139">
        <f t="shared" ref="R110:V110" si="116">IF(R18=0,0,R18/R$17)</f>
        <v>0.84199449411137184</v>
      </c>
      <c r="S110" s="139">
        <f t="shared" si="116"/>
        <v>0.8452224400623578</v>
      </c>
      <c r="T110" s="139">
        <f t="shared" si="116"/>
        <v>0.84384591247703244</v>
      </c>
      <c r="U110" s="139">
        <f t="shared" si="116"/>
        <v>0.85461420684415879</v>
      </c>
      <c r="V110" s="139">
        <f t="shared" si="116"/>
        <v>0.84797884773835153</v>
      </c>
      <c r="W110" s="139">
        <f t="shared" ref="W110" si="117">IF(W18=0,0,W18/W$17)</f>
        <v>0.87700159206717754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0.10066313015155068</v>
      </c>
      <c r="C111" s="140">
        <f t="shared" si="118"/>
        <v>9.4407090405316377E-2</v>
      </c>
      <c r="D111" s="140">
        <f t="shared" si="118"/>
        <v>9.8672496589737937E-2</v>
      </c>
      <c r="E111" s="140">
        <f t="shared" si="118"/>
        <v>9.9076347955222313E-2</v>
      </c>
      <c r="F111" s="140">
        <f t="shared" si="118"/>
        <v>8.0965930837934533E-2</v>
      </c>
      <c r="G111" s="140">
        <f t="shared" si="118"/>
        <v>7.759410709002168E-2</v>
      </c>
      <c r="H111" s="140">
        <f t="shared" si="118"/>
        <v>7.6971480612569448E-2</v>
      </c>
      <c r="I111" s="140">
        <f t="shared" si="118"/>
        <v>7.1126725502566601E-2</v>
      </c>
      <c r="J111" s="140">
        <f t="shared" si="118"/>
        <v>7.7320198176257973E-2</v>
      </c>
      <c r="K111" s="140">
        <f t="shared" si="118"/>
        <v>8.8326126865062235E-2</v>
      </c>
      <c r="L111" s="140">
        <f t="shared" si="118"/>
        <v>9.4144604944716395E-2</v>
      </c>
      <c r="M111" s="140">
        <f t="shared" si="118"/>
        <v>8.571348295366997E-2</v>
      </c>
      <c r="N111" s="140">
        <f t="shared" si="118"/>
        <v>8.4472397767843405E-2</v>
      </c>
      <c r="O111" s="140">
        <f t="shared" si="118"/>
        <v>8.4894412274442096E-2</v>
      </c>
      <c r="P111" s="140">
        <f t="shared" si="118"/>
        <v>8.7365043861537553E-2</v>
      </c>
      <c r="Q111" s="140">
        <f t="shared" si="118"/>
        <v>8.7925300697137956E-2</v>
      </c>
      <c r="R111" s="140">
        <f t="shared" ref="R111:V111" si="119">IF(R19=0,0,R19/R$17)</f>
        <v>8.9325558768831026E-2</v>
      </c>
      <c r="S111" s="140">
        <f t="shared" si="119"/>
        <v>9.1190843505227076E-2</v>
      </c>
      <c r="T111" s="140">
        <f t="shared" si="119"/>
        <v>9.3865255791432747E-2</v>
      </c>
      <c r="U111" s="140">
        <f t="shared" si="119"/>
        <v>9.9014620243313617E-2</v>
      </c>
      <c r="V111" s="140">
        <f t="shared" si="119"/>
        <v>0.10088067957080227</v>
      </c>
      <c r="W111" s="140">
        <f t="shared" ref="W111" si="120">IF(W19=0,0,W19/W$17)</f>
        <v>0.10154657968858942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0.78808186099392674</v>
      </c>
      <c r="C112" s="140">
        <f t="shared" si="121"/>
        <v>0.80644252169060904</v>
      </c>
      <c r="D112" s="140">
        <f t="shared" si="121"/>
        <v>0.79606028515861615</v>
      </c>
      <c r="E112" s="140">
        <f t="shared" si="121"/>
        <v>0.79746403524873055</v>
      </c>
      <c r="F112" s="140">
        <f t="shared" si="121"/>
        <v>0.82318664855420354</v>
      </c>
      <c r="G112" s="140">
        <f t="shared" si="121"/>
        <v>0.82052840472486466</v>
      </c>
      <c r="H112" s="140">
        <f t="shared" si="121"/>
        <v>0.82190034358285557</v>
      </c>
      <c r="I112" s="140">
        <f t="shared" si="121"/>
        <v>0.82542359478789884</v>
      </c>
      <c r="J112" s="140">
        <f t="shared" si="121"/>
        <v>0.81124174367779212</v>
      </c>
      <c r="K112" s="140">
        <f t="shared" si="121"/>
        <v>0.80356403329782844</v>
      </c>
      <c r="L112" s="140">
        <f t="shared" si="121"/>
        <v>0.78213678636862516</v>
      </c>
      <c r="M112" s="140">
        <f t="shared" si="121"/>
        <v>0.79003379546266173</v>
      </c>
      <c r="N112" s="140">
        <f t="shared" si="121"/>
        <v>0.77213049587475169</v>
      </c>
      <c r="O112" s="140">
        <f t="shared" si="121"/>
        <v>0.77206315792019298</v>
      </c>
      <c r="P112" s="140">
        <f t="shared" si="121"/>
        <v>0.77086689623546789</v>
      </c>
      <c r="Q112" s="140">
        <f t="shared" si="121"/>
        <v>0.76002696453885998</v>
      </c>
      <c r="R112" s="140">
        <f t="shared" ref="R112:V112" si="122">IF(R20=0,0,R20/R$17)</f>
        <v>0.75266893534254087</v>
      </c>
      <c r="S112" s="140">
        <f t="shared" si="122"/>
        <v>0.75403159655713059</v>
      </c>
      <c r="T112" s="140">
        <f t="shared" si="122"/>
        <v>0.74998065668559966</v>
      </c>
      <c r="U112" s="140">
        <f t="shared" si="122"/>
        <v>0.75559958660084514</v>
      </c>
      <c r="V112" s="140">
        <f t="shared" si="122"/>
        <v>0.74709816816754915</v>
      </c>
      <c r="W112" s="140">
        <f t="shared" ref="W112" si="123">IF(W20=0,0,W20/W$17)</f>
        <v>0.77545501237858816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9.125844068399476E-2</v>
      </c>
      <c r="C113" s="124">
        <f t="shared" si="124"/>
        <v>8.0898879662290979E-2</v>
      </c>
      <c r="D113" s="124">
        <f t="shared" si="124"/>
        <v>8.6552900998232762E-2</v>
      </c>
      <c r="E113" s="124">
        <f t="shared" si="124"/>
        <v>8.4614683946303754E-2</v>
      </c>
      <c r="F113" s="124">
        <f t="shared" si="124"/>
        <v>7.9492461538659992E-2</v>
      </c>
      <c r="G113" s="124">
        <f t="shared" si="124"/>
        <v>8.3286992601493359E-2</v>
      </c>
      <c r="H113" s="124">
        <f t="shared" si="124"/>
        <v>8.1736929159412344E-2</v>
      </c>
      <c r="I113" s="124">
        <f t="shared" si="124"/>
        <v>8.2487091757893122E-2</v>
      </c>
      <c r="J113" s="124">
        <f t="shared" si="124"/>
        <v>8.7340461002775344E-2</v>
      </c>
      <c r="K113" s="124">
        <f t="shared" si="124"/>
        <v>8.3500400340237785E-2</v>
      </c>
      <c r="L113" s="124">
        <f t="shared" si="124"/>
        <v>9.5469135304303385E-2</v>
      </c>
      <c r="M113" s="124">
        <f t="shared" si="124"/>
        <v>9.6264234917207051E-2</v>
      </c>
      <c r="N113" s="124">
        <f t="shared" si="124"/>
        <v>0.11357123391931913</v>
      </c>
      <c r="O113" s="124">
        <f t="shared" si="124"/>
        <v>0.11218670329939527</v>
      </c>
      <c r="P113" s="124">
        <f t="shared" si="124"/>
        <v>0.11269238769590689</v>
      </c>
      <c r="Q113" s="124">
        <f t="shared" si="124"/>
        <v>0.1251554048407178</v>
      </c>
      <c r="R113" s="124">
        <f t="shared" ref="R113:V113" si="125">IF(R21=0,0,R21/R$17)</f>
        <v>0.12745146704153354</v>
      </c>
      <c r="S113" s="124">
        <f t="shared" si="125"/>
        <v>0.12388149218825929</v>
      </c>
      <c r="T113" s="124">
        <f t="shared" si="125"/>
        <v>0.12448652393658802</v>
      </c>
      <c r="U113" s="124">
        <f t="shared" si="125"/>
        <v>0.11271224269184289</v>
      </c>
      <c r="V113" s="124">
        <f t="shared" si="125"/>
        <v>0.12347045610752375</v>
      </c>
      <c r="W113" s="124">
        <f t="shared" ref="W113" si="126">IF(W21=0,0,W21/W$17)</f>
        <v>9.3394216819319004E-2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7.2871058844485971E-3</v>
      </c>
      <c r="C114" s="124">
        <f t="shared" si="127"/>
        <v>6.4722454094588815E-3</v>
      </c>
      <c r="D114" s="124">
        <f t="shared" si="127"/>
        <v>6.4870722064658132E-3</v>
      </c>
      <c r="E114" s="124">
        <f t="shared" si="127"/>
        <v>5.8775386518325045E-3</v>
      </c>
      <c r="F114" s="124">
        <f t="shared" si="127"/>
        <v>5.0908912029969658E-3</v>
      </c>
      <c r="G114" s="124">
        <f t="shared" si="127"/>
        <v>5.6749594964095023E-3</v>
      </c>
      <c r="H114" s="124">
        <f t="shared" si="127"/>
        <v>6.7335263414094624E-3</v>
      </c>
      <c r="I114" s="124">
        <f t="shared" si="127"/>
        <v>7.1675628331721638E-3</v>
      </c>
      <c r="J114" s="124">
        <f t="shared" si="127"/>
        <v>8.6087651973720866E-3</v>
      </c>
      <c r="K114" s="124">
        <f t="shared" si="127"/>
        <v>9.1657831160041926E-3</v>
      </c>
      <c r="L114" s="124">
        <f t="shared" si="127"/>
        <v>1.2169259800082001E-2</v>
      </c>
      <c r="M114" s="124">
        <f t="shared" si="127"/>
        <v>1.1588452257248054E-2</v>
      </c>
      <c r="N114" s="124">
        <f t="shared" si="127"/>
        <v>1.4633362629792993E-2</v>
      </c>
      <c r="O114" s="124">
        <f t="shared" si="127"/>
        <v>1.4325775117118659E-2</v>
      </c>
      <c r="P114" s="124">
        <f t="shared" si="127"/>
        <v>1.4137819335664386E-2</v>
      </c>
      <c r="Q114" s="124">
        <f t="shared" si="127"/>
        <v>1.2775517293424944E-2</v>
      </c>
      <c r="R114" s="124">
        <f t="shared" ref="R114:V114" si="128">IF(R22=0,0,R22/R$17)</f>
        <v>1.1806957213584109E-2</v>
      </c>
      <c r="S114" s="124">
        <f t="shared" si="128"/>
        <v>1.5188831193869351E-2</v>
      </c>
      <c r="T114" s="124">
        <f t="shared" si="128"/>
        <v>1.57284261193914E-2</v>
      </c>
      <c r="U114" s="124">
        <f t="shared" si="128"/>
        <v>1.6527544440975022E-2</v>
      </c>
      <c r="V114" s="124">
        <f t="shared" si="128"/>
        <v>1.1707598856485618E-2</v>
      </c>
      <c r="W114" s="124">
        <f t="shared" ref="W114" si="129">IF(W22=0,0,W22/W$17)</f>
        <v>1.3468987158280682E-2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1.827926874554961E-4</v>
      </c>
      <c r="C115" s="140">
        <f t="shared" si="130"/>
        <v>1.5025299129331097E-4</v>
      </c>
      <c r="D115" s="140">
        <f t="shared" si="130"/>
        <v>1.5876199724327279E-4</v>
      </c>
      <c r="E115" s="140">
        <f t="shared" si="130"/>
        <v>1.6906545685614854E-4</v>
      </c>
      <c r="F115" s="140">
        <f t="shared" si="130"/>
        <v>1.392009012347414E-4</v>
      </c>
      <c r="G115" s="140">
        <f t="shared" si="130"/>
        <v>1.5919667384330921E-4</v>
      </c>
      <c r="H115" s="140">
        <f t="shared" si="130"/>
        <v>2.1492503284319434E-4</v>
      </c>
      <c r="I115" s="140">
        <f t="shared" si="130"/>
        <v>2.5412014850496038E-4</v>
      </c>
      <c r="J115" s="140">
        <f t="shared" si="130"/>
        <v>3.32425661093012E-4</v>
      </c>
      <c r="K115" s="140">
        <f t="shared" si="130"/>
        <v>4.2303572381782446E-4</v>
      </c>
      <c r="L115" s="140">
        <f t="shared" si="130"/>
        <v>5.0370537234875059E-4</v>
      </c>
      <c r="M115" s="140">
        <f t="shared" si="130"/>
        <v>3.3047327488407228E-4</v>
      </c>
      <c r="N115" s="140">
        <f t="shared" si="130"/>
        <v>3.0231514417930976E-4</v>
      </c>
      <c r="O115" s="140">
        <f t="shared" si="130"/>
        <v>2.8208203804872326E-4</v>
      </c>
      <c r="P115" s="140">
        <f t="shared" si="130"/>
        <v>2.4467637931685498E-4</v>
      </c>
      <c r="Q115" s="140">
        <f t="shared" si="130"/>
        <v>2.360983259616362E-4</v>
      </c>
      <c r="R115" s="140">
        <f t="shared" ref="R115:V116" si="131">IF(R23=0,0,R23/R$17)</f>
        <v>2.1886902006155884E-4</v>
      </c>
      <c r="S115" s="140">
        <f t="shared" si="131"/>
        <v>2.3011799865855535E-4</v>
      </c>
      <c r="T115" s="140">
        <f t="shared" si="131"/>
        <v>2.2675173695378597E-4</v>
      </c>
      <c r="U115" s="140">
        <f t="shared" si="131"/>
        <v>2.8201812941109071E-4</v>
      </c>
      <c r="V115" s="140">
        <f t="shared" si="131"/>
        <v>2.6221934222873586E-4</v>
      </c>
      <c r="W115" s="140">
        <f t="shared" ref="W115" si="132">IF(W23=0,0,W23/W$17)</f>
        <v>3.3119026474582501E-4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2.7191146290999591E-3</v>
      </c>
      <c r="C116" s="140">
        <f t="shared" si="133"/>
        <v>2.3059466238016129E-3</v>
      </c>
      <c r="D116" s="140">
        <f t="shared" si="133"/>
        <v>2.2822464357869642E-3</v>
      </c>
      <c r="E116" s="140">
        <f t="shared" si="133"/>
        <v>2.1123409289082011E-3</v>
      </c>
      <c r="F116" s="140">
        <f t="shared" si="133"/>
        <v>1.7237503779804675E-3</v>
      </c>
      <c r="G116" s="140">
        <f t="shared" si="133"/>
        <v>1.6846803128960362E-3</v>
      </c>
      <c r="H116" s="140">
        <f t="shared" si="133"/>
        <v>1.8197317517059486E-3</v>
      </c>
      <c r="I116" s="140">
        <f t="shared" si="133"/>
        <v>1.6811992912507262E-3</v>
      </c>
      <c r="J116" s="140">
        <f t="shared" si="133"/>
        <v>1.6995430965651155E-3</v>
      </c>
      <c r="K116" s="140">
        <f t="shared" si="133"/>
        <v>1.7260943172345508E-3</v>
      </c>
      <c r="L116" s="140">
        <f t="shared" si="133"/>
        <v>1.9393248312174678E-3</v>
      </c>
      <c r="M116" s="140">
        <f t="shared" si="133"/>
        <v>1.6245822147322381E-3</v>
      </c>
      <c r="N116" s="140">
        <f t="shared" si="133"/>
        <v>1.8018296265988388E-3</v>
      </c>
      <c r="O116" s="140">
        <f t="shared" si="133"/>
        <v>1.6626251875450741E-3</v>
      </c>
      <c r="P116" s="140">
        <f t="shared" si="133"/>
        <v>1.6759880215624398E-3</v>
      </c>
      <c r="Q116" s="140">
        <f t="shared" si="133"/>
        <v>1.7080942497147596E-3</v>
      </c>
      <c r="R116" s="140">
        <f t="shared" si="131"/>
        <v>1.6725064221889299E-3</v>
      </c>
      <c r="S116" s="140">
        <f t="shared" si="131"/>
        <v>1.75716918717496E-3</v>
      </c>
      <c r="T116" s="140">
        <f t="shared" si="131"/>
        <v>1.8966933696568289E-3</v>
      </c>
      <c r="U116" s="140">
        <f t="shared" si="131"/>
        <v>1.9613397516350293E-3</v>
      </c>
      <c r="V116" s="140">
        <f t="shared" si="131"/>
        <v>1.9355945603071515E-3</v>
      </c>
      <c r="W116" s="140">
        <f t="shared" ref="W116" si="134">IF(W24=0,0,W24/W$17)</f>
        <v>1.995778289224568E-3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4.385198567893143E-3</v>
      </c>
      <c r="C117" s="140">
        <f t="shared" si="135"/>
        <v>4.0160457943639576E-3</v>
      </c>
      <c r="D117" s="140">
        <f t="shared" si="135"/>
        <v>4.0460637734355768E-3</v>
      </c>
      <c r="E117" s="140">
        <f t="shared" si="135"/>
        <v>3.5961322660681546E-3</v>
      </c>
      <c r="F117" s="140">
        <f t="shared" si="135"/>
        <v>3.2279399237817572E-3</v>
      </c>
      <c r="G117" s="140">
        <f t="shared" si="135"/>
        <v>3.8310825096701568E-3</v>
      </c>
      <c r="H117" s="140">
        <f t="shared" si="135"/>
        <v>4.6988695568603196E-3</v>
      </c>
      <c r="I117" s="140">
        <f t="shared" si="135"/>
        <v>5.2322433934164766E-3</v>
      </c>
      <c r="J117" s="140">
        <f t="shared" si="135"/>
        <v>6.576796439713959E-3</v>
      </c>
      <c r="K117" s="140">
        <f t="shared" si="135"/>
        <v>7.0166530749518168E-3</v>
      </c>
      <c r="L117" s="140">
        <f t="shared" si="135"/>
        <v>9.7262295965157824E-3</v>
      </c>
      <c r="M117" s="140">
        <f t="shared" si="135"/>
        <v>9.6333967676317418E-3</v>
      </c>
      <c r="N117" s="140">
        <f t="shared" si="135"/>
        <v>1.2529217859014844E-2</v>
      </c>
      <c r="O117" s="140">
        <f t="shared" si="135"/>
        <v>1.238106789152486E-2</v>
      </c>
      <c r="P117" s="140">
        <f t="shared" si="135"/>
        <v>1.2217154934785091E-2</v>
      </c>
      <c r="Q117" s="140">
        <f t="shared" si="135"/>
        <v>1.083132471774855E-2</v>
      </c>
      <c r="R117" s="140">
        <f t="shared" ref="R117:V117" si="136">IF(R25=0,0,R25/R$17)</f>
        <v>9.9155817713336217E-3</v>
      </c>
      <c r="S117" s="140">
        <f t="shared" si="136"/>
        <v>1.3201544008035837E-2</v>
      </c>
      <c r="T117" s="140">
        <f t="shared" si="136"/>
        <v>1.3604981012780785E-2</v>
      </c>
      <c r="U117" s="140">
        <f t="shared" si="136"/>
        <v>1.4284186559928901E-2</v>
      </c>
      <c r="V117" s="140">
        <f t="shared" si="136"/>
        <v>9.509784953949732E-3</v>
      </c>
      <c r="W117" s="140">
        <f t="shared" ref="W117" si="137">IF(W25=0,0,W25/W$17)</f>
        <v>1.1142018604310289E-2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1.2709462286079169E-2</v>
      </c>
      <c r="C118" s="124">
        <f t="shared" si="138"/>
        <v>1.1779262832324682E-2</v>
      </c>
      <c r="D118" s="124">
        <f t="shared" si="138"/>
        <v>1.2227245046947334E-2</v>
      </c>
      <c r="E118" s="124">
        <f t="shared" si="138"/>
        <v>1.2967394197910822E-2</v>
      </c>
      <c r="F118" s="124">
        <f t="shared" si="138"/>
        <v>1.1264067866204888E-2</v>
      </c>
      <c r="G118" s="124">
        <f t="shared" si="138"/>
        <v>1.291553608721077E-2</v>
      </c>
      <c r="H118" s="124">
        <f t="shared" si="138"/>
        <v>1.2657720303753145E-2</v>
      </c>
      <c r="I118" s="124">
        <f t="shared" si="138"/>
        <v>1.3795025118469396E-2</v>
      </c>
      <c r="J118" s="124">
        <f t="shared" si="138"/>
        <v>1.5488831945802495E-2</v>
      </c>
      <c r="K118" s="124">
        <f t="shared" si="138"/>
        <v>1.544365638086731E-2</v>
      </c>
      <c r="L118" s="124">
        <f t="shared" si="138"/>
        <v>1.6080213582273083E-2</v>
      </c>
      <c r="M118" s="124">
        <f t="shared" si="138"/>
        <v>1.6400034409213258E-2</v>
      </c>
      <c r="N118" s="124">
        <f t="shared" si="138"/>
        <v>1.5192509808292761E-2</v>
      </c>
      <c r="O118" s="124">
        <f t="shared" si="138"/>
        <v>1.6529951388850984E-2</v>
      </c>
      <c r="P118" s="124">
        <f t="shared" si="138"/>
        <v>1.49378528714233E-2</v>
      </c>
      <c r="Q118" s="124">
        <f t="shared" si="138"/>
        <v>1.41168126298594E-2</v>
      </c>
      <c r="R118" s="124">
        <f t="shared" ref="R118:V118" si="139">IF(R26=0,0,R26/R$17)</f>
        <v>1.8747081633510475E-2</v>
      </c>
      <c r="S118" s="124">
        <f t="shared" si="139"/>
        <v>1.5707236555513621E-2</v>
      </c>
      <c r="T118" s="124">
        <f t="shared" si="139"/>
        <v>1.5939137466988204E-2</v>
      </c>
      <c r="U118" s="124">
        <f t="shared" si="139"/>
        <v>1.6146006023023223E-2</v>
      </c>
      <c r="V118" s="124">
        <f t="shared" si="139"/>
        <v>1.6843097297639071E-2</v>
      </c>
      <c r="W118" s="124">
        <f t="shared" ref="W118" si="140">IF(W26=0,0,W26/W$17)</f>
        <v>1.6135203955222808E-2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1.2709462286079169E-2</v>
      </c>
      <c r="C119" s="140">
        <f t="shared" si="141"/>
        <v>1.1779262832324682E-2</v>
      </c>
      <c r="D119" s="140">
        <f t="shared" si="141"/>
        <v>1.2227245046947334E-2</v>
      </c>
      <c r="E119" s="140">
        <f t="shared" si="141"/>
        <v>1.2967394197910822E-2</v>
      </c>
      <c r="F119" s="140">
        <f t="shared" si="141"/>
        <v>1.1264067866204888E-2</v>
      </c>
      <c r="G119" s="140">
        <f t="shared" si="141"/>
        <v>1.291553608721077E-2</v>
      </c>
      <c r="H119" s="140">
        <f t="shared" si="141"/>
        <v>1.2657720303753145E-2</v>
      </c>
      <c r="I119" s="140">
        <f t="shared" si="141"/>
        <v>1.3795025118469396E-2</v>
      </c>
      <c r="J119" s="140">
        <f t="shared" si="141"/>
        <v>1.5488831945802495E-2</v>
      </c>
      <c r="K119" s="140">
        <f t="shared" si="141"/>
        <v>1.544365638086731E-2</v>
      </c>
      <c r="L119" s="140">
        <f t="shared" si="141"/>
        <v>1.6080213582273083E-2</v>
      </c>
      <c r="M119" s="140">
        <f t="shared" si="141"/>
        <v>1.6400034409213258E-2</v>
      </c>
      <c r="N119" s="140">
        <f t="shared" si="141"/>
        <v>1.5192509808292761E-2</v>
      </c>
      <c r="O119" s="140">
        <f t="shared" si="141"/>
        <v>1.6529951388850984E-2</v>
      </c>
      <c r="P119" s="140">
        <f t="shared" si="141"/>
        <v>1.49378528714233E-2</v>
      </c>
      <c r="Q119" s="140">
        <f t="shared" si="141"/>
        <v>1.41168126298594E-2</v>
      </c>
      <c r="R119" s="140">
        <f t="shared" ref="R119:V119" si="142">IF(R27=0,0,R27/R$17)</f>
        <v>1.8747081633510475E-2</v>
      </c>
      <c r="S119" s="140">
        <f t="shared" si="142"/>
        <v>1.5707236555513621E-2</v>
      </c>
      <c r="T119" s="140">
        <f t="shared" si="142"/>
        <v>1.5939137466988204E-2</v>
      </c>
      <c r="U119" s="140">
        <f t="shared" si="142"/>
        <v>1.6146006023023223E-2</v>
      </c>
      <c r="V119" s="140">
        <f t="shared" si="142"/>
        <v>1.6843097297639071E-2</v>
      </c>
      <c r="W119" s="140">
        <f t="shared" ref="W119" si="143">IF(W27=0,0,W27/W$17)</f>
        <v>1.6135203955222808E-2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0.16901996718490131</v>
      </c>
      <c r="C122" s="140">
        <f>IF(C30=0,0,C30/C$29)</f>
        <v>0.1644447778899456</v>
      </c>
      <c r="D122" s="140">
        <f t="shared" ref="D122:W122" si="150">IF(D30=0,0,D30/D$29)</f>
        <v>0.16179879983659384</v>
      </c>
      <c r="E122" s="140">
        <f t="shared" si="150"/>
        <v>0.14756719845553151</v>
      </c>
      <c r="F122" s="140">
        <f t="shared" si="150"/>
        <v>0.162211363005795</v>
      </c>
      <c r="G122" s="140">
        <f t="shared" si="150"/>
        <v>0.16586483801265667</v>
      </c>
      <c r="H122" s="140">
        <f t="shared" si="150"/>
        <v>0.15102118330010997</v>
      </c>
      <c r="I122" s="140">
        <f t="shared" si="150"/>
        <v>0.14128761194009884</v>
      </c>
      <c r="J122" s="140">
        <f t="shared" si="150"/>
        <v>0.13615115413394258</v>
      </c>
      <c r="K122" s="140">
        <f t="shared" si="150"/>
        <v>0.15087096027850269</v>
      </c>
      <c r="L122" s="140">
        <f t="shared" si="150"/>
        <v>0.14539433055521378</v>
      </c>
      <c r="M122" s="140">
        <f t="shared" si="150"/>
        <v>0.13154212197346807</v>
      </c>
      <c r="N122" s="140">
        <f t="shared" si="150"/>
        <v>0.12834325261741297</v>
      </c>
      <c r="O122" s="140">
        <f t="shared" si="150"/>
        <v>0.12582530705478037</v>
      </c>
      <c r="P122" s="140">
        <f t="shared" si="150"/>
        <v>0.13054482803038875</v>
      </c>
      <c r="Q122" s="140">
        <f t="shared" si="150"/>
        <v>0.12276224087668759</v>
      </c>
      <c r="R122" s="140">
        <f t="shared" si="150"/>
        <v>0.12258919039939822</v>
      </c>
      <c r="S122" s="140">
        <f t="shared" si="150"/>
        <v>0.12330642736068798</v>
      </c>
      <c r="T122" s="140">
        <f t="shared" si="150"/>
        <v>0.13563844593549731</v>
      </c>
      <c r="U122" s="140">
        <f t="shared" si="150"/>
        <v>0.15796036476378406</v>
      </c>
      <c r="V122" s="140">
        <f t="shared" si="150"/>
        <v>0.15557059762238379</v>
      </c>
      <c r="W122" s="140">
        <f t="shared" si="150"/>
        <v>0.1489943573931958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0.83098003281509869</v>
      </c>
      <c r="C123" s="127">
        <f>IF(C31=0,0,C31/C$29)</f>
        <v>0.8355552221100544</v>
      </c>
      <c r="D123" s="127">
        <f t="shared" ref="D123:W123" si="152">IF(D31=0,0,D31/D$29)</f>
        <v>0.83820120016340605</v>
      </c>
      <c r="E123" s="127">
        <f t="shared" si="152"/>
        <v>0.85243280154446854</v>
      </c>
      <c r="F123" s="127">
        <f t="shared" si="152"/>
        <v>0.83778863699420503</v>
      </c>
      <c r="G123" s="127">
        <f t="shared" si="152"/>
        <v>0.83413516198734339</v>
      </c>
      <c r="H123" s="127">
        <f t="shared" si="152"/>
        <v>0.84897881669989017</v>
      </c>
      <c r="I123" s="127">
        <f t="shared" si="152"/>
        <v>0.85871238805990102</v>
      </c>
      <c r="J123" s="127">
        <f t="shared" si="152"/>
        <v>0.86384884586605737</v>
      </c>
      <c r="K123" s="127">
        <f t="shared" si="152"/>
        <v>0.84912903972149734</v>
      </c>
      <c r="L123" s="127">
        <f t="shared" si="152"/>
        <v>0.85460566944478622</v>
      </c>
      <c r="M123" s="127">
        <f t="shared" si="152"/>
        <v>0.86845787802653185</v>
      </c>
      <c r="N123" s="127">
        <f t="shared" si="152"/>
        <v>0.87165674738258714</v>
      </c>
      <c r="O123" s="127">
        <f t="shared" si="152"/>
        <v>0.87417469294521966</v>
      </c>
      <c r="P123" s="127">
        <f t="shared" si="152"/>
        <v>0.8694551719696112</v>
      </c>
      <c r="Q123" s="127">
        <f t="shared" si="152"/>
        <v>0.87723775912331248</v>
      </c>
      <c r="R123" s="127">
        <f t="shared" si="152"/>
        <v>0.87741080960060169</v>
      </c>
      <c r="S123" s="127">
        <f t="shared" si="152"/>
        <v>0.87669357263931202</v>
      </c>
      <c r="T123" s="127">
        <f t="shared" si="152"/>
        <v>0.86436155406450277</v>
      </c>
      <c r="U123" s="127">
        <f t="shared" si="152"/>
        <v>0.84203963523621606</v>
      </c>
      <c r="V123" s="127">
        <f t="shared" si="152"/>
        <v>0.84442940237761632</v>
      </c>
      <c r="W123" s="127">
        <f t="shared" si="152"/>
        <v>0.85100564260680411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0.79862638371296224</v>
      </c>
      <c r="C127" s="139">
        <f t="shared" ref="C127:W127" si="155">IF(C35=0,0,C35/C$34)</f>
        <v>0.80593044378186762</v>
      </c>
      <c r="D127" s="139">
        <f t="shared" si="155"/>
        <v>0.81758122717483073</v>
      </c>
      <c r="E127" s="139">
        <f t="shared" si="155"/>
        <v>0.82094085974387732</v>
      </c>
      <c r="F127" s="139">
        <f t="shared" si="155"/>
        <v>0.81439576233540623</v>
      </c>
      <c r="G127" s="139">
        <f t="shared" si="155"/>
        <v>0.80151280962873606</v>
      </c>
      <c r="H127" s="139">
        <f t="shared" si="155"/>
        <v>0.79561755408955936</v>
      </c>
      <c r="I127" s="139">
        <f t="shared" si="155"/>
        <v>0.78886508921372345</v>
      </c>
      <c r="J127" s="139">
        <f t="shared" si="155"/>
        <v>0.7885401037256663</v>
      </c>
      <c r="K127" s="139">
        <f t="shared" si="155"/>
        <v>0.80112550627737023</v>
      </c>
      <c r="L127" s="139">
        <f t="shared" si="155"/>
        <v>0.79079485422960805</v>
      </c>
      <c r="M127" s="139">
        <f t="shared" si="155"/>
        <v>0.77762837814478003</v>
      </c>
      <c r="N127" s="139">
        <f t="shared" si="155"/>
        <v>0.76726452513765397</v>
      </c>
      <c r="O127" s="139">
        <f t="shared" si="155"/>
        <v>0.76598379966743158</v>
      </c>
      <c r="P127" s="139">
        <f t="shared" si="155"/>
        <v>0.76442309509566198</v>
      </c>
      <c r="Q127" s="139">
        <f t="shared" si="155"/>
        <v>0.75269389353492155</v>
      </c>
      <c r="R127" s="139">
        <f t="shared" si="155"/>
        <v>0.73759912342018596</v>
      </c>
      <c r="S127" s="139">
        <f t="shared" si="155"/>
        <v>0.71850877557160353</v>
      </c>
      <c r="T127" s="139">
        <f t="shared" si="155"/>
        <v>0.70841528622879402</v>
      </c>
      <c r="U127" s="139">
        <f t="shared" si="155"/>
        <v>0.70464619371647619</v>
      </c>
      <c r="V127" s="139">
        <f t="shared" si="155"/>
        <v>0.84093097951974294</v>
      </c>
      <c r="W127" s="139">
        <f t="shared" si="155"/>
        <v>0.81915307210004118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1.3298294945171416E-2</v>
      </c>
      <c r="C128" s="140">
        <f t="shared" ref="C128:W128" si="156">IF(C36=0,0,C36/C$34)</f>
        <v>1.3574228147411396E-2</v>
      </c>
      <c r="D128" s="140">
        <f t="shared" si="156"/>
        <v>1.3915674057690244E-2</v>
      </c>
      <c r="E128" s="140">
        <f t="shared" si="156"/>
        <v>1.3585487660372942E-2</v>
      </c>
      <c r="F128" s="140">
        <f t="shared" si="156"/>
        <v>1.3908023283552368E-2</v>
      </c>
      <c r="G128" s="140">
        <f t="shared" si="156"/>
        <v>1.5023723806352567E-2</v>
      </c>
      <c r="H128" s="140">
        <f t="shared" si="156"/>
        <v>1.5460449882337836E-2</v>
      </c>
      <c r="I128" s="140">
        <f t="shared" si="156"/>
        <v>1.4355210215496728E-2</v>
      </c>
      <c r="J128" s="140">
        <f t="shared" si="156"/>
        <v>1.4191598738396304E-2</v>
      </c>
      <c r="K128" s="140">
        <f t="shared" si="156"/>
        <v>1.3199393374317447E-2</v>
      </c>
      <c r="L128" s="140">
        <f t="shared" si="156"/>
        <v>1.2218973616803063E-2</v>
      </c>
      <c r="M128" s="140">
        <f t="shared" si="156"/>
        <v>1.2256226354001545E-2</v>
      </c>
      <c r="N128" s="140">
        <f t="shared" si="156"/>
        <v>1.2692845109662509E-2</v>
      </c>
      <c r="O128" s="140">
        <f t="shared" si="156"/>
        <v>1.2297902309733991E-2</v>
      </c>
      <c r="P128" s="140">
        <f t="shared" si="156"/>
        <v>1.1619434914888264E-2</v>
      </c>
      <c r="Q128" s="140">
        <f t="shared" si="156"/>
        <v>1.0863281121851627E-2</v>
      </c>
      <c r="R128" s="140">
        <f t="shared" si="156"/>
        <v>1.118534058488724E-2</v>
      </c>
      <c r="S128" s="140">
        <f t="shared" si="156"/>
        <v>1.0287191783888913E-2</v>
      </c>
      <c r="T128" s="140">
        <f t="shared" si="156"/>
        <v>9.4855647962858274E-3</v>
      </c>
      <c r="U128" s="140">
        <f t="shared" si="156"/>
        <v>9.697260713790342E-3</v>
      </c>
      <c r="V128" s="140">
        <f t="shared" si="156"/>
        <v>1.1993594509646193E-2</v>
      </c>
      <c r="W128" s="140">
        <f t="shared" si="156"/>
        <v>1.0331616070565911E-2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0.70807587001950822</v>
      </c>
      <c r="C129" s="140">
        <f t="shared" ref="C129:W129" si="157">IF(C37=0,0,C37/C$34)</f>
        <v>0.71478743014607848</v>
      </c>
      <c r="D129" s="140">
        <f t="shared" si="157"/>
        <v>0.7293332169987945</v>
      </c>
      <c r="E129" s="140">
        <f t="shared" si="157"/>
        <v>0.7390294246097775</v>
      </c>
      <c r="F129" s="140">
        <f t="shared" si="157"/>
        <v>0.73612510724754732</v>
      </c>
      <c r="G129" s="140">
        <f t="shared" si="157"/>
        <v>0.74471152692029319</v>
      </c>
      <c r="H129" s="140">
        <f t="shared" si="157"/>
        <v>0.73894619978525788</v>
      </c>
      <c r="I129" s="140">
        <f t="shared" si="157"/>
        <v>0.73280484067899665</v>
      </c>
      <c r="J129" s="140">
        <f t="shared" si="157"/>
        <v>0.73181585057520715</v>
      </c>
      <c r="K129" s="140">
        <f t="shared" si="157"/>
        <v>0.7443164606461885</v>
      </c>
      <c r="L129" s="140">
        <f t="shared" si="157"/>
        <v>0.73464013120384131</v>
      </c>
      <c r="M129" s="140">
        <f t="shared" si="157"/>
        <v>0.71956666959155025</v>
      </c>
      <c r="N129" s="140">
        <f t="shared" si="157"/>
        <v>0.71602456272934845</v>
      </c>
      <c r="O129" s="140">
        <f t="shared" si="157"/>
        <v>0.71663825642360279</v>
      </c>
      <c r="P129" s="140">
        <f t="shared" si="157"/>
        <v>0.70851580286231741</v>
      </c>
      <c r="Q129" s="140">
        <f t="shared" si="157"/>
        <v>0.69807914229119594</v>
      </c>
      <c r="R129" s="140">
        <f t="shared" si="157"/>
        <v>0.68217928606369727</v>
      </c>
      <c r="S129" s="140">
        <f t="shared" si="157"/>
        <v>0.6642576515028249</v>
      </c>
      <c r="T129" s="140">
        <f t="shared" si="157"/>
        <v>0.65345523278648043</v>
      </c>
      <c r="U129" s="140">
        <f t="shared" si="157"/>
        <v>0.65434340972773575</v>
      </c>
      <c r="V129" s="140">
        <f t="shared" si="157"/>
        <v>0.78474186115412248</v>
      </c>
      <c r="W129" s="140">
        <f t="shared" si="157"/>
        <v>0.75880134039016356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7.7252218748282697E-2</v>
      </c>
      <c r="C130" s="140">
        <f t="shared" ref="C130:W130" si="158">IF(C38=0,0,C38/C$34)</f>
        <v>7.7568785488377673E-2</v>
      </c>
      <c r="D130" s="140">
        <f t="shared" si="158"/>
        <v>7.4332336118345957E-2</v>
      </c>
      <c r="E130" s="140">
        <f t="shared" si="158"/>
        <v>6.832594747372682E-2</v>
      </c>
      <c r="F130" s="140">
        <f t="shared" si="158"/>
        <v>6.4362631804306472E-2</v>
      </c>
      <c r="G130" s="140">
        <f t="shared" si="158"/>
        <v>4.1777558902090346E-2</v>
      </c>
      <c r="H130" s="140">
        <f t="shared" si="158"/>
        <v>4.1210904421963672E-2</v>
      </c>
      <c r="I130" s="140">
        <f t="shared" si="158"/>
        <v>4.1705038319229989E-2</v>
      </c>
      <c r="J130" s="140">
        <f t="shared" si="158"/>
        <v>4.2532654412062831E-2</v>
      </c>
      <c r="K130" s="140">
        <f t="shared" si="158"/>
        <v>4.3609652256864306E-2</v>
      </c>
      <c r="L130" s="140">
        <f t="shared" si="158"/>
        <v>4.3935749408963644E-2</v>
      </c>
      <c r="M130" s="140">
        <f t="shared" si="158"/>
        <v>4.5805482199228337E-2</v>
      </c>
      <c r="N130" s="140">
        <f t="shared" si="158"/>
        <v>3.8547117298642998E-2</v>
      </c>
      <c r="O130" s="140">
        <f t="shared" si="158"/>
        <v>3.7047640934094718E-2</v>
      </c>
      <c r="P130" s="140">
        <f t="shared" si="158"/>
        <v>4.4287857318456234E-2</v>
      </c>
      <c r="Q130" s="140">
        <f t="shared" si="158"/>
        <v>4.3751470121873887E-2</v>
      </c>
      <c r="R130" s="140">
        <f t="shared" si="158"/>
        <v>4.4234496771601517E-2</v>
      </c>
      <c r="S130" s="140">
        <f t="shared" si="158"/>
        <v>4.3963932284889706E-2</v>
      </c>
      <c r="T130" s="140">
        <f t="shared" si="158"/>
        <v>4.5474488646027787E-2</v>
      </c>
      <c r="U130" s="140">
        <f t="shared" si="158"/>
        <v>4.0605523274950102E-2</v>
      </c>
      <c r="V130" s="140">
        <f t="shared" si="158"/>
        <v>4.4195523855974306E-2</v>
      </c>
      <c r="W130" s="140">
        <f t="shared" si="158"/>
        <v>5.0020115639311732E-2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1.7705520984512352E-2</v>
      </c>
      <c r="C131" s="124">
        <f t="shared" ref="C131:W131" si="159">IF(C39=0,0,C39/C$34)</f>
        <v>1.4678465681687469E-2</v>
      </c>
      <c r="D131" s="124">
        <f t="shared" si="159"/>
        <v>1.3569476808344078E-2</v>
      </c>
      <c r="E131" s="124">
        <f t="shared" si="159"/>
        <v>1.236000049056506E-2</v>
      </c>
      <c r="F131" s="124">
        <f t="shared" si="159"/>
        <v>1.163257346842083E-2</v>
      </c>
      <c r="G131" s="124">
        <f t="shared" si="159"/>
        <v>1.171047042149811E-2</v>
      </c>
      <c r="H131" s="124">
        <f t="shared" si="159"/>
        <v>1.2026337455468853E-2</v>
      </c>
      <c r="I131" s="124">
        <f t="shared" si="159"/>
        <v>1.1659133644576518E-2</v>
      </c>
      <c r="J131" s="124">
        <f t="shared" si="159"/>
        <v>1.1486710785921509E-2</v>
      </c>
      <c r="K131" s="124">
        <f t="shared" si="159"/>
        <v>1.0559719551559051E-2</v>
      </c>
      <c r="L131" s="124">
        <f t="shared" si="159"/>
        <v>9.7681836784009324E-3</v>
      </c>
      <c r="M131" s="124">
        <f t="shared" si="159"/>
        <v>8.4457675473786718E-3</v>
      </c>
      <c r="N131" s="124">
        <f t="shared" si="159"/>
        <v>8.1098272307729875E-3</v>
      </c>
      <c r="O131" s="124">
        <f t="shared" si="159"/>
        <v>6.3628995918714399E-3</v>
      </c>
      <c r="P131" s="124">
        <f t="shared" si="159"/>
        <v>6.212835771154614E-3</v>
      </c>
      <c r="Q131" s="124">
        <f t="shared" si="159"/>
        <v>6.0414410316451742E-3</v>
      </c>
      <c r="R131" s="124">
        <f t="shared" si="159"/>
        <v>7.7504873399128812E-3</v>
      </c>
      <c r="S131" s="124">
        <f t="shared" si="159"/>
        <v>8.2977022506173538E-3</v>
      </c>
      <c r="T131" s="124">
        <f t="shared" si="159"/>
        <v>8.1100220701370122E-3</v>
      </c>
      <c r="U131" s="124">
        <f t="shared" si="159"/>
        <v>7.8420696219291975E-3</v>
      </c>
      <c r="V131" s="124">
        <f t="shared" si="159"/>
        <v>9.2365653807016633E-3</v>
      </c>
      <c r="W131" s="124">
        <f t="shared" si="159"/>
        <v>8.7500336929221614E-3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6.3980661357233273E-4</v>
      </c>
      <c r="C132" s="140">
        <f t="shared" ref="C132:W132" si="160">IF(C40=0,0,C40/C$34)</f>
        <v>6.5293873391189593E-4</v>
      </c>
      <c r="D132" s="140">
        <f t="shared" si="160"/>
        <v>6.2652375393068267E-4</v>
      </c>
      <c r="E132" s="140">
        <f t="shared" si="160"/>
        <v>8.1332083314774554E-4</v>
      </c>
      <c r="F132" s="140">
        <f t="shared" si="160"/>
        <v>8.2875143236043041E-4</v>
      </c>
      <c r="G132" s="140">
        <f t="shared" si="160"/>
        <v>8.7855479261128816E-4</v>
      </c>
      <c r="H132" s="140">
        <f t="shared" si="160"/>
        <v>1.0367935067926647E-3</v>
      </c>
      <c r="I132" s="140">
        <f t="shared" si="160"/>
        <v>1.0525948709444604E-3</v>
      </c>
      <c r="J132" s="140">
        <f t="shared" si="160"/>
        <v>1.0714414688728067E-3</v>
      </c>
      <c r="K132" s="140">
        <f t="shared" si="160"/>
        <v>1.0490076572421379E-3</v>
      </c>
      <c r="L132" s="140">
        <f t="shared" si="160"/>
        <v>1.0570854041387614E-3</v>
      </c>
      <c r="M132" s="140">
        <f t="shared" si="160"/>
        <v>1.0859224363118692E-3</v>
      </c>
      <c r="N132" s="140">
        <f t="shared" si="160"/>
        <v>1.0192961785635266E-3</v>
      </c>
      <c r="O132" s="140">
        <f t="shared" si="160"/>
        <v>9.4254962525680899E-4</v>
      </c>
      <c r="P132" s="140">
        <f t="shared" si="160"/>
        <v>9.2529481098521324E-4</v>
      </c>
      <c r="Q132" s="140">
        <f t="shared" si="160"/>
        <v>9.3388315862303641E-4</v>
      </c>
      <c r="R132" s="140">
        <f t="shared" si="160"/>
        <v>9.2135070531498863E-4</v>
      </c>
      <c r="S132" s="140">
        <f t="shared" si="160"/>
        <v>9.1485618507376179E-4</v>
      </c>
      <c r="T132" s="140">
        <f t="shared" si="160"/>
        <v>9.2503630660423241E-4</v>
      </c>
      <c r="U132" s="140">
        <f t="shared" si="160"/>
        <v>9.5493811620848534E-4</v>
      </c>
      <c r="V132" s="140">
        <f t="shared" si="160"/>
        <v>1.2171830867542741E-3</v>
      </c>
      <c r="W132" s="140">
        <f t="shared" si="160"/>
        <v>9.9975578909930907E-4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1.7065714370940021E-2</v>
      </c>
      <c r="C133" s="140">
        <f t="shared" ref="C133:W133" si="161">IF(C41=0,0,C41/C$34)</f>
        <v>1.4025526947775573E-2</v>
      </c>
      <c r="D133" s="140">
        <f t="shared" si="161"/>
        <v>1.2942953054413396E-2</v>
      </c>
      <c r="E133" s="140">
        <f t="shared" si="161"/>
        <v>1.1546679657417316E-2</v>
      </c>
      <c r="F133" s="140">
        <f t="shared" si="161"/>
        <v>9.6752259005763713E-3</v>
      </c>
      <c r="G133" s="140">
        <f t="shared" si="161"/>
        <v>9.5356250520053226E-3</v>
      </c>
      <c r="H133" s="140">
        <f t="shared" si="161"/>
        <v>9.6503831727687943E-3</v>
      </c>
      <c r="I133" s="140">
        <f t="shared" si="161"/>
        <v>9.2319065444075206E-3</v>
      </c>
      <c r="J133" s="140">
        <f t="shared" si="161"/>
        <v>9.0557350820263706E-3</v>
      </c>
      <c r="K133" s="140">
        <f t="shared" si="161"/>
        <v>8.1581572943604727E-3</v>
      </c>
      <c r="L133" s="140">
        <f t="shared" si="161"/>
        <v>7.3917312417416652E-3</v>
      </c>
      <c r="M133" s="140">
        <f t="shared" si="161"/>
        <v>5.9996596515618766E-3</v>
      </c>
      <c r="N133" s="140">
        <f t="shared" si="161"/>
        <v>5.6971005592471235E-3</v>
      </c>
      <c r="O133" s="140">
        <f t="shared" si="161"/>
        <v>4.0480349515248058E-3</v>
      </c>
      <c r="P133" s="140">
        <f t="shared" si="161"/>
        <v>3.9619032231406285E-3</v>
      </c>
      <c r="Q133" s="140">
        <f t="shared" si="161"/>
        <v>3.8388910535195509E-3</v>
      </c>
      <c r="R133" s="140">
        <f t="shared" si="161"/>
        <v>5.5871282107207033E-3</v>
      </c>
      <c r="S133" s="140">
        <f t="shared" si="161"/>
        <v>6.2034058400973167E-3</v>
      </c>
      <c r="T133" s="140">
        <f t="shared" si="161"/>
        <v>6.0770055916511793E-3</v>
      </c>
      <c r="U133" s="140">
        <f t="shared" si="161"/>
        <v>5.8093795939387167E-3</v>
      </c>
      <c r="V133" s="140">
        <f t="shared" si="161"/>
        <v>7.1386081263982029E-3</v>
      </c>
      <c r="W133" s="140">
        <f t="shared" si="161"/>
        <v>6.786284863956495E-3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1.1285961354840278E-3</v>
      </c>
      <c r="G134" s="140">
        <f t="shared" si="162"/>
        <v>1.2962905768814988E-3</v>
      </c>
      <c r="H134" s="140">
        <f t="shared" si="162"/>
        <v>1.3391607759073933E-3</v>
      </c>
      <c r="I134" s="140">
        <f t="shared" si="162"/>
        <v>1.3746322292245371E-3</v>
      </c>
      <c r="J134" s="140">
        <f t="shared" si="162"/>
        <v>1.359534235022334E-3</v>
      </c>
      <c r="K134" s="140">
        <f t="shared" si="162"/>
        <v>1.3525545999564386E-3</v>
      </c>
      <c r="L134" s="140">
        <f t="shared" si="162"/>
        <v>1.3193670325205066E-3</v>
      </c>
      <c r="M134" s="140">
        <f t="shared" si="162"/>
        <v>1.3601854595049244E-3</v>
      </c>
      <c r="N134" s="140">
        <f t="shared" si="162"/>
        <v>1.3934304929623385E-3</v>
      </c>
      <c r="O134" s="140">
        <f t="shared" si="162"/>
        <v>1.3723150150898255E-3</v>
      </c>
      <c r="P134" s="140">
        <f t="shared" si="162"/>
        <v>1.3256377370287724E-3</v>
      </c>
      <c r="Q134" s="140">
        <f t="shared" si="162"/>
        <v>1.2686668195025866E-3</v>
      </c>
      <c r="R134" s="140">
        <f t="shared" si="162"/>
        <v>1.2420084238771885E-3</v>
      </c>
      <c r="S134" s="140">
        <f t="shared" si="162"/>
        <v>1.1794402254462757E-3</v>
      </c>
      <c r="T134" s="140">
        <f t="shared" si="162"/>
        <v>1.1079801718816007E-3</v>
      </c>
      <c r="U134" s="140">
        <f t="shared" si="162"/>
        <v>1.0777519117819961E-3</v>
      </c>
      <c r="V134" s="140">
        <f t="shared" si="162"/>
        <v>8.8077416754918576E-4</v>
      </c>
      <c r="W134" s="140">
        <f t="shared" si="162"/>
        <v>9.6399303986635773E-4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0.18366809530252542</v>
      </c>
      <c r="C135" s="124">
        <f t="shared" ref="C135:W135" si="163">IF(C43=0,0,C43/C$34)</f>
        <v>0.17939109053644478</v>
      </c>
      <c r="D135" s="124">
        <f t="shared" si="163"/>
        <v>0.16884929601682519</v>
      </c>
      <c r="E135" s="124">
        <f t="shared" si="163"/>
        <v>0.16669913976555778</v>
      </c>
      <c r="F135" s="124">
        <f t="shared" si="163"/>
        <v>0.17397166419617305</v>
      </c>
      <c r="G135" s="124">
        <f t="shared" si="163"/>
        <v>0.18677671994976577</v>
      </c>
      <c r="H135" s="124">
        <f t="shared" si="163"/>
        <v>0.19235610845497175</v>
      </c>
      <c r="I135" s="124">
        <f t="shared" si="163"/>
        <v>0.19947577714170003</v>
      </c>
      <c r="J135" s="124">
        <f t="shared" si="163"/>
        <v>0.19997318548841225</v>
      </c>
      <c r="K135" s="124">
        <f t="shared" si="163"/>
        <v>0.18831477417107079</v>
      </c>
      <c r="L135" s="124">
        <f t="shared" si="163"/>
        <v>0.19943696209199116</v>
      </c>
      <c r="M135" s="124">
        <f t="shared" si="163"/>
        <v>0.21392585430784133</v>
      </c>
      <c r="N135" s="124">
        <f t="shared" si="163"/>
        <v>0.22462564763157306</v>
      </c>
      <c r="O135" s="124">
        <f t="shared" si="163"/>
        <v>0.22765330074069706</v>
      </c>
      <c r="P135" s="124">
        <f t="shared" si="163"/>
        <v>0.2293640691331835</v>
      </c>
      <c r="Q135" s="124">
        <f t="shared" si="163"/>
        <v>0.24126466543343317</v>
      </c>
      <c r="R135" s="124">
        <f t="shared" si="163"/>
        <v>0.25465038923990113</v>
      </c>
      <c r="S135" s="124">
        <f t="shared" si="163"/>
        <v>0.27319352217777909</v>
      </c>
      <c r="T135" s="124">
        <f t="shared" si="163"/>
        <v>0.28347469170106893</v>
      </c>
      <c r="U135" s="124">
        <f t="shared" si="163"/>
        <v>0.28751173666159463</v>
      </c>
      <c r="V135" s="124">
        <f t="shared" si="163"/>
        <v>0.14983245509955545</v>
      </c>
      <c r="W135" s="124">
        <f t="shared" si="163"/>
        <v>0.17209689420703678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2.6179497793382068E-2</v>
      </c>
      <c r="C136" s="140">
        <f t="shared" ref="C136:W136" si="164">IF(C44=0,0,C44/C$34)</f>
        <v>2.7161074737092974E-2</v>
      </c>
      <c r="D136" s="140">
        <f t="shared" si="164"/>
        <v>2.7706091839977999E-2</v>
      </c>
      <c r="E136" s="140">
        <f t="shared" si="164"/>
        <v>2.4172443998711515E-2</v>
      </c>
      <c r="F136" s="140">
        <f t="shared" si="164"/>
        <v>2.6343493250419712E-2</v>
      </c>
      <c r="G136" s="140">
        <f t="shared" si="164"/>
        <v>2.8338191189614528E-2</v>
      </c>
      <c r="H136" s="140">
        <f t="shared" si="164"/>
        <v>2.724133261179016E-2</v>
      </c>
      <c r="I136" s="140">
        <f t="shared" si="164"/>
        <v>2.6802741602628653E-2</v>
      </c>
      <c r="J136" s="140">
        <f t="shared" si="164"/>
        <v>2.4326868041374683E-2</v>
      </c>
      <c r="K136" s="140">
        <f t="shared" si="164"/>
        <v>2.2734957370450545E-2</v>
      </c>
      <c r="L136" s="140">
        <f t="shared" si="164"/>
        <v>2.6499551683744845E-2</v>
      </c>
      <c r="M136" s="140">
        <f t="shared" si="164"/>
        <v>2.4886260733328256E-2</v>
      </c>
      <c r="N136" s="140">
        <f t="shared" si="164"/>
        <v>2.5962534671490272E-2</v>
      </c>
      <c r="O136" s="140">
        <f t="shared" si="164"/>
        <v>2.647634689783197E-2</v>
      </c>
      <c r="P136" s="140">
        <f t="shared" si="164"/>
        <v>2.5132487073657707E-2</v>
      </c>
      <c r="Q136" s="140">
        <f t="shared" si="164"/>
        <v>2.5784468902548412E-2</v>
      </c>
      <c r="R136" s="140">
        <f t="shared" si="164"/>
        <v>2.7692502588190018E-2</v>
      </c>
      <c r="S136" s="140">
        <f t="shared" si="164"/>
        <v>3.1868784962534431E-2</v>
      </c>
      <c r="T136" s="140">
        <f t="shared" si="164"/>
        <v>3.2953882588292363E-2</v>
      </c>
      <c r="U136" s="140">
        <f t="shared" si="164"/>
        <v>2.9427535855917855E-2</v>
      </c>
      <c r="V136" s="140">
        <f t="shared" si="164"/>
        <v>2.1501284640500131E-2</v>
      </c>
      <c r="W136" s="140">
        <f t="shared" si="164"/>
        <v>2.5442021517389255E-2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9.2148038354802092E-2</v>
      </c>
      <c r="C137" s="140">
        <f t="shared" ref="C137:W137" si="165">IF(C45=0,0,C45/C$34)</f>
        <v>8.9072469413953151E-2</v>
      </c>
      <c r="D137" s="140">
        <f t="shared" si="165"/>
        <v>8.2585891165553052E-2</v>
      </c>
      <c r="E137" s="140">
        <f t="shared" si="165"/>
        <v>8.2515357971899156E-2</v>
      </c>
      <c r="F137" s="140">
        <f t="shared" si="165"/>
        <v>8.8344072955887337E-2</v>
      </c>
      <c r="G137" s="140">
        <f t="shared" si="165"/>
        <v>9.5421143293970265E-2</v>
      </c>
      <c r="H137" s="140">
        <f t="shared" si="165"/>
        <v>0.10080840660904847</v>
      </c>
      <c r="I137" s="140">
        <f t="shared" si="165"/>
        <v>0.10767720491904337</v>
      </c>
      <c r="J137" s="140">
        <f t="shared" si="165"/>
        <v>0.10867531768091269</v>
      </c>
      <c r="K137" s="140">
        <f t="shared" si="165"/>
        <v>9.9509052631614053E-2</v>
      </c>
      <c r="L137" s="140">
        <f t="shared" si="165"/>
        <v>0.10354495789738191</v>
      </c>
      <c r="M137" s="140">
        <f t="shared" si="165"/>
        <v>0.1139631019079102</v>
      </c>
      <c r="N137" s="140">
        <f t="shared" si="165"/>
        <v>0.11775803600494009</v>
      </c>
      <c r="O137" s="140">
        <f t="shared" si="165"/>
        <v>0.12004394869189929</v>
      </c>
      <c r="P137" s="140">
        <f t="shared" si="165"/>
        <v>0.12371271370071542</v>
      </c>
      <c r="Q137" s="140">
        <f t="shared" si="165"/>
        <v>0.13142978146339232</v>
      </c>
      <c r="R137" s="140">
        <f t="shared" si="165"/>
        <v>0.14267543815036529</v>
      </c>
      <c r="S137" s="140">
        <f t="shared" si="165"/>
        <v>0.1549102827352451</v>
      </c>
      <c r="T137" s="140">
        <f t="shared" si="165"/>
        <v>0.15917605335470181</v>
      </c>
      <c r="U137" s="140">
        <f t="shared" si="165"/>
        <v>0.16338424128520937</v>
      </c>
      <c r="V137" s="140">
        <f t="shared" si="165"/>
        <v>6.8639979884062008E-2</v>
      </c>
      <c r="W137" s="140">
        <f t="shared" si="165"/>
        <v>8.4745654209328461E-2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6.5340559154341282E-2</v>
      </c>
      <c r="C138" s="140">
        <f t="shared" ref="C138:W138" si="166">IF(C46=0,0,C46/C$34)</f>
        <v>6.3157546385398652E-2</v>
      </c>
      <c r="D138" s="140">
        <f t="shared" si="166"/>
        <v>5.8557313011294146E-2</v>
      </c>
      <c r="E138" s="140">
        <f t="shared" si="166"/>
        <v>6.0011337794947127E-2</v>
      </c>
      <c r="F138" s="140">
        <f t="shared" si="166"/>
        <v>5.9284097989866003E-2</v>
      </c>
      <c r="G138" s="140">
        <f t="shared" si="166"/>
        <v>6.3017385466180978E-2</v>
      </c>
      <c r="H138" s="140">
        <f t="shared" si="166"/>
        <v>6.4306369234133132E-2</v>
      </c>
      <c r="I138" s="140">
        <f t="shared" si="166"/>
        <v>6.4995830620028019E-2</v>
      </c>
      <c r="J138" s="140">
        <f t="shared" si="166"/>
        <v>6.6970999766124889E-2</v>
      </c>
      <c r="K138" s="140">
        <f t="shared" si="166"/>
        <v>6.6070764169006202E-2</v>
      </c>
      <c r="L138" s="140">
        <f t="shared" si="166"/>
        <v>6.93924525108644E-2</v>
      </c>
      <c r="M138" s="140">
        <f t="shared" si="166"/>
        <v>7.5076491666602893E-2</v>
      </c>
      <c r="N138" s="140">
        <f t="shared" si="166"/>
        <v>8.0905076955142693E-2</v>
      </c>
      <c r="O138" s="140">
        <f t="shared" si="166"/>
        <v>8.1133005150965803E-2</v>
      </c>
      <c r="P138" s="140">
        <f t="shared" si="166"/>
        <v>8.051886835881035E-2</v>
      </c>
      <c r="Q138" s="140">
        <f t="shared" si="166"/>
        <v>8.4050415067492404E-2</v>
      </c>
      <c r="R138" s="140">
        <f t="shared" si="166"/>
        <v>8.4282448501345864E-2</v>
      </c>
      <c r="S138" s="140">
        <f t="shared" si="166"/>
        <v>8.6414454479999556E-2</v>
      </c>
      <c r="T138" s="140">
        <f t="shared" si="166"/>
        <v>9.1344755758074742E-2</v>
      </c>
      <c r="U138" s="140">
        <f t="shared" si="166"/>
        <v>9.4699959520467419E-2</v>
      </c>
      <c r="V138" s="140">
        <f t="shared" si="166"/>
        <v>5.9691190574993301E-2</v>
      </c>
      <c r="W138" s="140">
        <f t="shared" si="166"/>
        <v>6.1909218480319078E-2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0.96780785699403948</v>
      </c>
      <c r="C140" s="139">
        <f t="shared" ref="C140:W140" si="169">IF(C48=0,0,C48/C$47)</f>
        <v>0.96744558595104124</v>
      </c>
      <c r="D140" s="139">
        <f t="shared" si="169"/>
        <v>0.95182499743659332</v>
      </c>
      <c r="E140" s="139">
        <f t="shared" si="169"/>
        <v>0.96354492338095132</v>
      </c>
      <c r="F140" s="139">
        <f t="shared" si="169"/>
        <v>0.9781889786202409</v>
      </c>
      <c r="G140" s="139">
        <f t="shared" si="169"/>
        <v>0.98022754397857403</v>
      </c>
      <c r="H140" s="139">
        <f t="shared" si="169"/>
        <v>0.9773768747677406</v>
      </c>
      <c r="I140" s="139">
        <f t="shared" si="169"/>
        <v>0.93638379289070661</v>
      </c>
      <c r="J140" s="139">
        <f t="shared" si="169"/>
        <v>0.93016432454522813</v>
      </c>
      <c r="K140" s="139">
        <f t="shared" si="169"/>
        <v>0.90664391539549205</v>
      </c>
      <c r="L140" s="139">
        <f t="shared" si="169"/>
        <v>0.93233277006578652</v>
      </c>
      <c r="M140" s="139">
        <f t="shared" si="169"/>
        <v>0.93111498548758687</v>
      </c>
      <c r="N140" s="139">
        <f t="shared" si="169"/>
        <v>0.9210422299311074</v>
      </c>
      <c r="O140" s="139">
        <f t="shared" si="169"/>
        <v>0.916921698413669</v>
      </c>
      <c r="P140" s="139">
        <f t="shared" si="169"/>
        <v>0.93639276075435063</v>
      </c>
      <c r="Q140" s="139">
        <f t="shared" si="169"/>
        <v>0.93118770851165145</v>
      </c>
      <c r="R140" s="139">
        <f t="shared" si="169"/>
        <v>0.92655428568421316</v>
      </c>
      <c r="S140" s="139">
        <f t="shared" si="169"/>
        <v>0.93084641322779327</v>
      </c>
      <c r="T140" s="139">
        <f t="shared" si="169"/>
        <v>0.92911223792633901</v>
      </c>
      <c r="U140" s="139">
        <f t="shared" si="169"/>
        <v>0.93941725655266672</v>
      </c>
      <c r="V140" s="139">
        <f t="shared" si="169"/>
        <v>0.94463687700762788</v>
      </c>
      <c r="W140" s="139">
        <f t="shared" si="169"/>
        <v>0.94095605145228378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0.72276515511233197</v>
      </c>
      <c r="C141" s="140">
        <f t="shared" ref="C141:W141" si="170">IF(C49=0,0,C49/C$47)</f>
        <v>0.68108270693353734</v>
      </c>
      <c r="D141" s="140">
        <f t="shared" si="170"/>
        <v>0.67705783889082793</v>
      </c>
      <c r="E141" s="140">
        <f t="shared" si="170"/>
        <v>0.64850392726718076</v>
      </c>
      <c r="F141" s="140">
        <f t="shared" si="170"/>
        <v>0.5998130166641692</v>
      </c>
      <c r="G141" s="140">
        <f t="shared" si="170"/>
        <v>0.57781766325978612</v>
      </c>
      <c r="H141" s="140">
        <f t="shared" si="170"/>
        <v>0.56840783460802424</v>
      </c>
      <c r="I141" s="140">
        <f t="shared" si="170"/>
        <v>0.52053249980338745</v>
      </c>
      <c r="J141" s="140">
        <f t="shared" si="170"/>
        <v>0.51858537075351607</v>
      </c>
      <c r="K141" s="140">
        <f t="shared" si="170"/>
        <v>0.52529387693279961</v>
      </c>
      <c r="L141" s="140">
        <f t="shared" si="170"/>
        <v>0.52697070828449077</v>
      </c>
      <c r="M141" s="140">
        <f t="shared" si="170"/>
        <v>0.50507712078062816</v>
      </c>
      <c r="N141" s="140">
        <f t="shared" si="170"/>
        <v>0.48762484919067384</v>
      </c>
      <c r="O141" s="140">
        <f t="shared" si="170"/>
        <v>0.48499522487347169</v>
      </c>
      <c r="P141" s="140">
        <f t="shared" si="170"/>
        <v>0.52781580621122048</v>
      </c>
      <c r="Q141" s="140">
        <f t="shared" si="170"/>
        <v>0.51319952658030543</v>
      </c>
      <c r="R141" s="140">
        <f t="shared" si="170"/>
        <v>0.51793727019126512</v>
      </c>
      <c r="S141" s="140">
        <f t="shared" si="170"/>
        <v>0.53071092494645811</v>
      </c>
      <c r="T141" s="140">
        <f t="shared" si="170"/>
        <v>0.53646695656717347</v>
      </c>
      <c r="U141" s="140">
        <f t="shared" si="170"/>
        <v>0.53961325600667587</v>
      </c>
      <c r="V141" s="140">
        <f t="shared" si="170"/>
        <v>0.53715245821936997</v>
      </c>
      <c r="W141" s="140">
        <f t="shared" si="170"/>
        <v>0.54217350199480296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0.24504270188170751</v>
      </c>
      <c r="C142" s="140">
        <f t="shared" ref="C142:W142" si="171">IF(C50=0,0,C50/C$47)</f>
        <v>0.28636287901750379</v>
      </c>
      <c r="D142" s="140">
        <f t="shared" si="171"/>
        <v>0.27476715854576539</v>
      </c>
      <c r="E142" s="140">
        <f t="shared" si="171"/>
        <v>0.31504099611377062</v>
      </c>
      <c r="F142" s="140">
        <f t="shared" si="171"/>
        <v>0.3783759619560717</v>
      </c>
      <c r="G142" s="140">
        <f t="shared" si="171"/>
        <v>0.40240988071878792</v>
      </c>
      <c r="H142" s="140">
        <f t="shared" si="171"/>
        <v>0.40896904015971619</v>
      </c>
      <c r="I142" s="140">
        <f t="shared" si="171"/>
        <v>0.41585129308731927</v>
      </c>
      <c r="J142" s="140">
        <f t="shared" si="171"/>
        <v>0.411578953791712</v>
      </c>
      <c r="K142" s="140">
        <f t="shared" si="171"/>
        <v>0.38135003846269239</v>
      </c>
      <c r="L142" s="140">
        <f t="shared" si="171"/>
        <v>0.40536206178129569</v>
      </c>
      <c r="M142" s="140">
        <f t="shared" si="171"/>
        <v>0.42603786470695881</v>
      </c>
      <c r="N142" s="140">
        <f t="shared" si="171"/>
        <v>0.43341738074043351</v>
      </c>
      <c r="O142" s="140">
        <f t="shared" si="171"/>
        <v>0.43192647354019725</v>
      </c>
      <c r="P142" s="140">
        <f t="shared" si="171"/>
        <v>0.4085769545431302</v>
      </c>
      <c r="Q142" s="140">
        <f t="shared" si="171"/>
        <v>0.4179881819313459</v>
      </c>
      <c r="R142" s="140">
        <f t="shared" si="171"/>
        <v>0.40861701549294799</v>
      </c>
      <c r="S142" s="140">
        <f t="shared" si="171"/>
        <v>0.40013548828133522</v>
      </c>
      <c r="T142" s="140">
        <f t="shared" si="171"/>
        <v>0.3926452813591656</v>
      </c>
      <c r="U142" s="140">
        <f t="shared" si="171"/>
        <v>0.3998040005459908</v>
      </c>
      <c r="V142" s="140">
        <f t="shared" si="171"/>
        <v>0.40748441878825797</v>
      </c>
      <c r="W142" s="140">
        <f t="shared" si="171"/>
        <v>0.39878254945748071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6.0770896684053154E-3</v>
      </c>
      <c r="C143" s="124">
        <f t="shared" ref="C143:W143" si="172">IF(C51=0,0,C51/C$47)</f>
        <v>5.2243905474148502E-3</v>
      </c>
      <c r="D143" s="124">
        <f t="shared" si="172"/>
        <v>4.9480873904543679E-3</v>
      </c>
      <c r="E143" s="124">
        <f t="shared" si="172"/>
        <v>4.2418584838406718E-3</v>
      </c>
      <c r="F143" s="124">
        <f t="shared" si="172"/>
        <v>4.4710110284186125E-3</v>
      </c>
      <c r="G143" s="124">
        <f t="shared" si="172"/>
        <v>4.6932723251113901E-3</v>
      </c>
      <c r="H143" s="124">
        <f t="shared" si="172"/>
        <v>4.5787846688056192E-3</v>
      </c>
      <c r="I143" s="124">
        <f t="shared" si="172"/>
        <v>4.6167658841410001E-3</v>
      </c>
      <c r="J143" s="124">
        <f t="shared" si="172"/>
        <v>4.3804668867311733E-3</v>
      </c>
      <c r="K143" s="124">
        <f t="shared" si="172"/>
        <v>3.6434274727834767E-3</v>
      </c>
      <c r="L143" s="124">
        <f t="shared" si="172"/>
        <v>3.7787975813635003E-3</v>
      </c>
      <c r="M143" s="124">
        <f t="shared" si="172"/>
        <v>3.6982773380249659E-3</v>
      </c>
      <c r="N143" s="124">
        <f t="shared" si="172"/>
        <v>4.0623180609713257E-3</v>
      </c>
      <c r="O143" s="124">
        <f t="shared" si="172"/>
        <v>3.5525226373844449E-3</v>
      </c>
      <c r="P143" s="124">
        <f t="shared" si="172"/>
        <v>3.7980950405472791E-3</v>
      </c>
      <c r="Q143" s="124">
        <f t="shared" si="172"/>
        <v>3.95173485670212E-3</v>
      </c>
      <c r="R143" s="124">
        <f t="shared" si="172"/>
        <v>3.8037741253289909E-3</v>
      </c>
      <c r="S143" s="124">
        <f t="shared" si="172"/>
        <v>4.2167303771353656E-3</v>
      </c>
      <c r="T143" s="124">
        <f t="shared" si="172"/>
        <v>4.0570841151484774E-3</v>
      </c>
      <c r="U143" s="124">
        <f t="shared" si="172"/>
        <v>3.8492086099428929E-3</v>
      </c>
      <c r="V143" s="124">
        <f t="shared" si="172"/>
        <v>4.9949425541857854E-3</v>
      </c>
      <c r="W143" s="124">
        <f t="shared" si="172"/>
        <v>5.0419799490837849E-3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8.0136501963577328E-3</v>
      </c>
      <c r="C144" s="124">
        <f t="shared" ref="C144:W144" si="173">IF(C52=0,0,C52/C$47)</f>
        <v>7.2126675864431049E-3</v>
      </c>
      <c r="D144" s="124">
        <f t="shared" si="173"/>
        <v>7.2262414693051932E-3</v>
      </c>
      <c r="E144" s="124">
        <f t="shared" si="173"/>
        <v>6.6403026477284749E-3</v>
      </c>
      <c r="F144" s="124">
        <f t="shared" si="173"/>
        <v>7.4244148081481619E-3</v>
      </c>
      <c r="G144" s="124">
        <f t="shared" si="173"/>
        <v>8.1118493702806299E-3</v>
      </c>
      <c r="H144" s="124">
        <f t="shared" si="173"/>
        <v>9.9113103758033481E-3</v>
      </c>
      <c r="I144" s="124">
        <f t="shared" si="173"/>
        <v>1.0203754750219722E-2</v>
      </c>
      <c r="J144" s="124">
        <f t="shared" si="173"/>
        <v>1.1501134288225925E-2</v>
      </c>
      <c r="K144" s="124">
        <f t="shared" si="173"/>
        <v>1.088211475785531E-2</v>
      </c>
      <c r="L144" s="124">
        <f t="shared" si="173"/>
        <v>1.3127844692116284E-2</v>
      </c>
      <c r="M144" s="124">
        <f t="shared" si="173"/>
        <v>1.1886682269353032E-2</v>
      </c>
      <c r="N144" s="124">
        <f t="shared" si="173"/>
        <v>1.3443357234528986E-2</v>
      </c>
      <c r="O144" s="124">
        <f t="shared" si="173"/>
        <v>1.3000149937184404E-2</v>
      </c>
      <c r="P144" s="124">
        <f t="shared" si="173"/>
        <v>1.1520894654934362E-2</v>
      </c>
      <c r="Q144" s="124">
        <f t="shared" si="173"/>
        <v>1.0870813426540046E-2</v>
      </c>
      <c r="R144" s="124">
        <f t="shared" si="173"/>
        <v>9.338856160738011E-3</v>
      </c>
      <c r="S144" s="124">
        <f t="shared" si="173"/>
        <v>1.1613244690270101E-2</v>
      </c>
      <c r="T144" s="124">
        <f t="shared" si="173"/>
        <v>1.1222182721904792E-2</v>
      </c>
      <c r="U144" s="124">
        <f t="shared" si="173"/>
        <v>9.5077590967848902E-3</v>
      </c>
      <c r="V144" s="124">
        <f t="shared" si="173"/>
        <v>1.0514531618396272E-2</v>
      </c>
      <c r="W144" s="124">
        <f t="shared" si="173"/>
        <v>1.1566554551099825E-2</v>
      </c>
      <c r="DA144" s="176"/>
    </row>
    <row r="145" spans="1:105" ht="11.45" customHeight="1" x14ac:dyDescent="0.25">
      <c r="A145" s="128" t="s">
        <v>27</v>
      </c>
      <c r="B145" s="140">
        <f t="shared" si="167"/>
        <v>2.2895737144323159E-3</v>
      </c>
      <c r="C145" s="140">
        <f t="shared" ref="C145:W145" si="174">IF(C53=0,0,C53/C$47)</f>
        <v>2.0524753113744638E-3</v>
      </c>
      <c r="D145" s="140">
        <f t="shared" si="174"/>
        <v>2.0187142536215678E-3</v>
      </c>
      <c r="E145" s="140">
        <f t="shared" si="174"/>
        <v>1.8290022941481318E-3</v>
      </c>
      <c r="F145" s="140">
        <f t="shared" si="174"/>
        <v>1.862519361772773E-3</v>
      </c>
      <c r="G145" s="140">
        <f t="shared" si="174"/>
        <v>2.0828755040316507E-3</v>
      </c>
      <c r="H145" s="140">
        <f t="shared" si="174"/>
        <v>2.2257669410390762E-3</v>
      </c>
      <c r="I145" s="140">
        <f t="shared" si="174"/>
        <v>2.2694691877032588E-3</v>
      </c>
      <c r="J145" s="140">
        <f t="shared" si="174"/>
        <v>2.1704550428328648E-3</v>
      </c>
      <c r="K145" s="140">
        <f t="shared" si="174"/>
        <v>2.2057246251642295E-3</v>
      </c>
      <c r="L145" s="140">
        <f t="shared" si="174"/>
        <v>2.5027303414742481E-3</v>
      </c>
      <c r="M145" s="140">
        <f t="shared" si="174"/>
        <v>1.6930961629201553E-3</v>
      </c>
      <c r="N145" s="140">
        <f t="shared" si="174"/>
        <v>1.8077231126784306E-3</v>
      </c>
      <c r="O145" s="140">
        <f t="shared" si="174"/>
        <v>1.7178942687957699E-3</v>
      </c>
      <c r="P145" s="140">
        <f t="shared" si="174"/>
        <v>1.3775002077190106E-3</v>
      </c>
      <c r="Q145" s="140">
        <f t="shared" si="174"/>
        <v>1.2065809444048391E-3</v>
      </c>
      <c r="R145" s="140">
        <f t="shared" si="174"/>
        <v>7.6141391022156659E-4</v>
      </c>
      <c r="S145" s="140">
        <f t="shared" si="174"/>
        <v>1.0595278247889943E-3</v>
      </c>
      <c r="T145" s="140">
        <f t="shared" si="174"/>
        <v>1.0830276718411249E-3</v>
      </c>
      <c r="U145" s="140">
        <f t="shared" si="174"/>
        <v>1.0622347469986739E-3</v>
      </c>
      <c r="V145" s="140">
        <f t="shared" si="174"/>
        <v>1.1565057687502153E-3</v>
      </c>
      <c r="W145" s="140">
        <f t="shared" si="174"/>
        <v>1.2075995196774466E-3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3.5237515978981111E-3</v>
      </c>
      <c r="C146" s="140">
        <f t="shared" ref="C146:W146" si="175">IF(C54=0,0,C54/C$47)</f>
        <v>3.0878441354493416E-3</v>
      </c>
      <c r="D146" s="140">
        <f t="shared" si="175"/>
        <v>3.1001800212115634E-3</v>
      </c>
      <c r="E146" s="140">
        <f t="shared" si="175"/>
        <v>2.7796051841532977E-3</v>
      </c>
      <c r="F146" s="140">
        <f t="shared" si="175"/>
        <v>3.202683876328914E-3</v>
      </c>
      <c r="G146" s="140">
        <f t="shared" si="175"/>
        <v>3.2616400098139692E-3</v>
      </c>
      <c r="H146" s="140">
        <f t="shared" si="175"/>
        <v>4.0097546908342933E-3</v>
      </c>
      <c r="I146" s="140">
        <f t="shared" si="175"/>
        <v>3.8686395027641724E-3</v>
      </c>
      <c r="J146" s="140">
        <f t="shared" si="175"/>
        <v>3.8981165701107603E-3</v>
      </c>
      <c r="K146" s="140">
        <f t="shared" si="175"/>
        <v>3.4908300500925034E-3</v>
      </c>
      <c r="L146" s="140">
        <f t="shared" si="175"/>
        <v>3.8256118966166998E-3</v>
      </c>
      <c r="M146" s="140">
        <f t="shared" si="175"/>
        <v>3.4037979468599404E-3</v>
      </c>
      <c r="N146" s="140">
        <f t="shared" si="175"/>
        <v>3.4717828441587569E-3</v>
      </c>
      <c r="O146" s="140">
        <f t="shared" si="175"/>
        <v>3.0853320658206758E-3</v>
      </c>
      <c r="P146" s="140">
        <f t="shared" si="175"/>
        <v>2.921342099511416E-3</v>
      </c>
      <c r="Q146" s="140">
        <f t="shared" si="175"/>
        <v>3.0312651051132167E-3</v>
      </c>
      <c r="R146" s="140">
        <f t="shared" si="175"/>
        <v>2.8601663351222406E-3</v>
      </c>
      <c r="S146" s="140">
        <f t="shared" si="175"/>
        <v>3.3696890734235454E-3</v>
      </c>
      <c r="T146" s="140">
        <f t="shared" si="175"/>
        <v>3.5038977941605582E-3</v>
      </c>
      <c r="U146" s="140">
        <f t="shared" si="175"/>
        <v>3.5653094166001238E-3</v>
      </c>
      <c r="V146" s="140">
        <f t="shared" si="175"/>
        <v>3.255920665965595E-3</v>
      </c>
      <c r="W146" s="140">
        <f t="shared" si="175"/>
        <v>3.6324041650227451E-3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2.2003248840273049E-3</v>
      </c>
      <c r="C147" s="140">
        <f t="shared" ref="C147:W147" si="176">IF(C55=0,0,C55/C$47)</f>
        <v>2.0723481396192987E-3</v>
      </c>
      <c r="D147" s="140">
        <f t="shared" si="176"/>
        <v>2.1073471944720612E-3</v>
      </c>
      <c r="E147" s="140">
        <f t="shared" si="176"/>
        <v>2.0316951694270445E-3</v>
      </c>
      <c r="F147" s="140">
        <f t="shared" si="176"/>
        <v>2.3592115700464757E-3</v>
      </c>
      <c r="G147" s="140">
        <f t="shared" si="176"/>
        <v>2.7673338564350104E-3</v>
      </c>
      <c r="H147" s="140">
        <f t="shared" si="176"/>
        <v>3.6757887439299777E-3</v>
      </c>
      <c r="I147" s="140">
        <f t="shared" si="176"/>
        <v>4.0656460597522899E-3</v>
      </c>
      <c r="J147" s="140">
        <f t="shared" si="176"/>
        <v>5.4325626752823007E-3</v>
      </c>
      <c r="K147" s="140">
        <f t="shared" si="176"/>
        <v>5.1855600825985769E-3</v>
      </c>
      <c r="L147" s="140">
        <f t="shared" si="176"/>
        <v>6.7995024540253354E-3</v>
      </c>
      <c r="M147" s="140">
        <f t="shared" si="176"/>
        <v>6.7897881595729362E-3</v>
      </c>
      <c r="N147" s="140">
        <f t="shared" si="176"/>
        <v>8.1638512776917981E-3</v>
      </c>
      <c r="O147" s="140">
        <f t="shared" si="176"/>
        <v>8.1969236025679574E-3</v>
      </c>
      <c r="P147" s="140">
        <f t="shared" si="176"/>
        <v>7.2220523477039365E-3</v>
      </c>
      <c r="Q147" s="140">
        <f t="shared" si="176"/>
        <v>6.6329673770219909E-3</v>
      </c>
      <c r="R147" s="140">
        <f t="shared" si="176"/>
        <v>5.717275915394204E-3</v>
      </c>
      <c r="S147" s="140">
        <f t="shared" si="176"/>
        <v>7.1840277920575627E-3</v>
      </c>
      <c r="T147" s="140">
        <f t="shared" si="176"/>
        <v>6.6352572559031089E-3</v>
      </c>
      <c r="U147" s="140">
        <f t="shared" si="176"/>
        <v>4.8802149331860934E-3</v>
      </c>
      <c r="V147" s="140">
        <f t="shared" si="176"/>
        <v>6.1021051836804624E-3</v>
      </c>
      <c r="W147" s="140">
        <f t="shared" si="176"/>
        <v>6.7265508663996356E-3</v>
      </c>
      <c r="DA147" s="175"/>
    </row>
    <row r="148" spans="1:105" ht="11.45" customHeight="1" x14ac:dyDescent="0.25">
      <c r="A148" s="109" t="s">
        <v>142</v>
      </c>
      <c r="B148" s="124">
        <f t="shared" si="167"/>
        <v>1.8101403141197518E-2</v>
      </c>
      <c r="C148" s="124">
        <f t="shared" ref="C148:W148" si="177">IF(C56=0,0,C56/C$47)</f>
        <v>2.0117355915100648E-2</v>
      </c>
      <c r="D148" s="124">
        <f t="shared" si="177"/>
        <v>3.600067370364711E-2</v>
      </c>
      <c r="E148" s="124">
        <f t="shared" si="177"/>
        <v>2.5572915487479406E-2</v>
      </c>
      <c r="F148" s="124">
        <f t="shared" si="177"/>
        <v>9.9155955431922214E-3</v>
      </c>
      <c r="G148" s="124">
        <f t="shared" si="177"/>
        <v>6.9673343260339589E-3</v>
      </c>
      <c r="H148" s="124">
        <f t="shared" si="177"/>
        <v>8.1330301876505733E-3</v>
      </c>
      <c r="I148" s="124">
        <f t="shared" si="177"/>
        <v>4.8795686474932688E-2</v>
      </c>
      <c r="J148" s="124">
        <f t="shared" si="177"/>
        <v>5.3954074279814919E-2</v>
      </c>
      <c r="K148" s="124">
        <f t="shared" si="177"/>
        <v>7.8830542373869023E-2</v>
      </c>
      <c r="L148" s="124">
        <f t="shared" si="177"/>
        <v>5.0760587660733769E-2</v>
      </c>
      <c r="M148" s="124">
        <f t="shared" si="177"/>
        <v>5.3300054905035157E-2</v>
      </c>
      <c r="N148" s="124">
        <f t="shared" si="177"/>
        <v>6.1452094773392398E-2</v>
      </c>
      <c r="O148" s="124">
        <f t="shared" si="177"/>
        <v>6.6525629011762136E-2</v>
      </c>
      <c r="P148" s="124">
        <f t="shared" si="177"/>
        <v>4.8288249550167611E-2</v>
      </c>
      <c r="Q148" s="124">
        <f t="shared" si="177"/>
        <v>5.3989743205106328E-2</v>
      </c>
      <c r="R148" s="124">
        <f t="shared" si="177"/>
        <v>6.0303084029719733E-2</v>
      </c>
      <c r="S148" s="124">
        <f t="shared" si="177"/>
        <v>5.3323611704801266E-2</v>
      </c>
      <c r="T148" s="124">
        <f t="shared" si="177"/>
        <v>5.5608495236607644E-2</v>
      </c>
      <c r="U148" s="124">
        <f t="shared" si="177"/>
        <v>4.7225775740605519E-2</v>
      </c>
      <c r="V148" s="124">
        <f t="shared" si="177"/>
        <v>3.9853648819790144E-2</v>
      </c>
      <c r="W148" s="124">
        <f t="shared" si="177"/>
        <v>4.2435414047532712E-2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1.8101403141197518E-2</v>
      </c>
      <c r="C149" s="140">
        <f t="shared" ref="C149:W149" si="178">IF(C57=0,0,C57/C$47)</f>
        <v>2.0117355915100648E-2</v>
      </c>
      <c r="D149" s="140">
        <f t="shared" si="178"/>
        <v>3.600067370364711E-2</v>
      </c>
      <c r="E149" s="140">
        <f t="shared" si="178"/>
        <v>2.5572915487479406E-2</v>
      </c>
      <c r="F149" s="140">
        <f t="shared" si="178"/>
        <v>9.9155955431922214E-3</v>
      </c>
      <c r="G149" s="140">
        <f t="shared" si="178"/>
        <v>6.9673343260339589E-3</v>
      </c>
      <c r="H149" s="140">
        <f t="shared" si="178"/>
        <v>8.1330301876505733E-3</v>
      </c>
      <c r="I149" s="140">
        <f t="shared" si="178"/>
        <v>4.8795686474932688E-2</v>
      </c>
      <c r="J149" s="140">
        <f t="shared" si="178"/>
        <v>5.3954074279814919E-2</v>
      </c>
      <c r="K149" s="140">
        <f t="shared" si="178"/>
        <v>7.8830542373869023E-2</v>
      </c>
      <c r="L149" s="140">
        <f t="shared" si="178"/>
        <v>5.0760587660733769E-2</v>
      </c>
      <c r="M149" s="140">
        <f t="shared" si="178"/>
        <v>5.3300054905035157E-2</v>
      </c>
      <c r="N149" s="140">
        <f t="shared" si="178"/>
        <v>6.1452094773392398E-2</v>
      </c>
      <c r="O149" s="140">
        <f t="shared" si="178"/>
        <v>6.6525629011762136E-2</v>
      </c>
      <c r="P149" s="140">
        <f t="shared" si="178"/>
        <v>4.8288249550167611E-2</v>
      </c>
      <c r="Q149" s="140">
        <f t="shared" si="178"/>
        <v>5.3989743205106328E-2</v>
      </c>
      <c r="R149" s="140">
        <f t="shared" si="178"/>
        <v>6.0303084029719733E-2</v>
      </c>
      <c r="S149" s="140">
        <f t="shared" si="178"/>
        <v>5.3323611704801266E-2</v>
      </c>
      <c r="T149" s="140">
        <f t="shared" si="178"/>
        <v>5.5608495236607644E-2</v>
      </c>
      <c r="U149" s="140">
        <f t="shared" si="178"/>
        <v>4.7225775740605519E-2</v>
      </c>
      <c r="V149" s="140">
        <f t="shared" si="178"/>
        <v>3.9853648819790144E-2</v>
      </c>
      <c r="W149" s="140">
        <f t="shared" si="178"/>
        <v>4.2435414047532712E-2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0.34643384253221854</v>
      </c>
      <c r="C152" s="140">
        <f t="shared" ref="C152:W152" si="181">IF(C60=0,0,C60/C$59)</f>
        <v>0.34558740457737852</v>
      </c>
      <c r="D152" s="140">
        <f t="shared" si="181"/>
        <v>0.33837220104433602</v>
      </c>
      <c r="E152" s="140">
        <f t="shared" si="181"/>
        <v>0.32034944838404078</v>
      </c>
      <c r="F152" s="140">
        <f t="shared" si="181"/>
        <v>0.33996906901028767</v>
      </c>
      <c r="G152" s="140">
        <f t="shared" si="181"/>
        <v>0.34454823178883198</v>
      </c>
      <c r="H152" s="140">
        <f t="shared" si="181"/>
        <v>0.32785301817269902</v>
      </c>
      <c r="I152" s="140">
        <f t="shared" si="181"/>
        <v>0.31797524742603994</v>
      </c>
      <c r="J152" s="140">
        <f t="shared" si="181"/>
        <v>0.31332524008831786</v>
      </c>
      <c r="K152" s="140">
        <f t="shared" si="181"/>
        <v>0.33317921156060265</v>
      </c>
      <c r="L152" s="140">
        <f t="shared" si="181"/>
        <v>0.3275217556225069</v>
      </c>
      <c r="M152" s="140">
        <f t="shared" si="181"/>
        <v>0.31195691535484715</v>
      </c>
      <c r="N152" s="140">
        <f t="shared" si="181"/>
        <v>0.30873509730451382</v>
      </c>
      <c r="O152" s="140">
        <f t="shared" si="181"/>
        <v>0.30622402947420624</v>
      </c>
      <c r="P152" s="140">
        <f t="shared" si="181"/>
        <v>0.31142408290449097</v>
      </c>
      <c r="Q152" s="140">
        <f t="shared" si="181"/>
        <v>0.30048812041536571</v>
      </c>
      <c r="R152" s="140">
        <f t="shared" si="181"/>
        <v>0.29854114296948164</v>
      </c>
      <c r="S152" s="140">
        <f t="shared" si="181"/>
        <v>0.30043848934515366</v>
      </c>
      <c r="T152" s="140">
        <f t="shared" si="181"/>
        <v>0.3181115661837508</v>
      </c>
      <c r="U152" s="140">
        <f t="shared" si="181"/>
        <v>0.34666821378778062</v>
      </c>
      <c r="V152" s="140">
        <f t="shared" si="181"/>
        <v>0.30635958628233184</v>
      </c>
      <c r="W152" s="140">
        <f t="shared" si="181"/>
        <v>0.30544527453959514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0.65356615746778135</v>
      </c>
      <c r="C153" s="127">
        <f t="shared" ref="C153:W153" si="182">IF(C61=0,0,C61/C$59)</f>
        <v>0.65441259542262153</v>
      </c>
      <c r="D153" s="127">
        <f t="shared" si="182"/>
        <v>0.66162779895566393</v>
      </c>
      <c r="E153" s="127">
        <f t="shared" si="182"/>
        <v>0.67965055161595911</v>
      </c>
      <c r="F153" s="127">
        <f t="shared" si="182"/>
        <v>0.66003093098971233</v>
      </c>
      <c r="G153" s="127">
        <f t="shared" si="182"/>
        <v>0.65545176821116802</v>
      </c>
      <c r="H153" s="127">
        <f t="shared" si="182"/>
        <v>0.67214698182730104</v>
      </c>
      <c r="I153" s="127">
        <f t="shared" si="182"/>
        <v>0.68202475257396011</v>
      </c>
      <c r="J153" s="127">
        <f t="shared" si="182"/>
        <v>0.68667475991168203</v>
      </c>
      <c r="K153" s="127">
        <f t="shared" si="182"/>
        <v>0.66682078843939729</v>
      </c>
      <c r="L153" s="127">
        <f t="shared" si="182"/>
        <v>0.67247824437749304</v>
      </c>
      <c r="M153" s="127">
        <f t="shared" si="182"/>
        <v>0.68804308464515285</v>
      </c>
      <c r="N153" s="127">
        <f t="shared" si="182"/>
        <v>0.69126490269548624</v>
      </c>
      <c r="O153" s="127">
        <f t="shared" si="182"/>
        <v>0.69377597052579376</v>
      </c>
      <c r="P153" s="127">
        <f t="shared" si="182"/>
        <v>0.68857591709550892</v>
      </c>
      <c r="Q153" s="127">
        <f t="shared" si="182"/>
        <v>0.69951187958463423</v>
      </c>
      <c r="R153" s="127">
        <f t="shared" si="182"/>
        <v>0.70145885703051847</v>
      </c>
      <c r="S153" s="127">
        <f t="shared" si="182"/>
        <v>0.6995615106548464</v>
      </c>
      <c r="T153" s="127">
        <f t="shared" si="182"/>
        <v>0.6818884338162492</v>
      </c>
      <c r="U153" s="127">
        <f t="shared" si="182"/>
        <v>0.65333178621221943</v>
      </c>
      <c r="V153" s="127">
        <f t="shared" si="182"/>
        <v>0.69364041371766816</v>
      </c>
      <c r="W153" s="127">
        <f t="shared" si="182"/>
        <v>0.69455472546040486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0.80109322877987932</v>
      </c>
      <c r="C157" s="139">
        <f t="shared" ref="C157:W157" si="185">IF(C65=0,0,C65/C$64)</f>
        <v>0.80879175343669074</v>
      </c>
      <c r="D157" s="139">
        <f t="shared" si="185"/>
        <v>0.8213392765407399</v>
      </c>
      <c r="E157" s="139">
        <f t="shared" si="185"/>
        <v>0.82538736339593888</v>
      </c>
      <c r="F157" s="139">
        <f t="shared" si="185"/>
        <v>0.81922955076151649</v>
      </c>
      <c r="G157" s="139">
        <f t="shared" si="185"/>
        <v>0.80656293145394709</v>
      </c>
      <c r="H157" s="139">
        <f t="shared" si="185"/>
        <v>0.80009342740133726</v>
      </c>
      <c r="I157" s="139">
        <f t="shared" si="185"/>
        <v>0.79230682253979767</v>
      </c>
      <c r="J157" s="139">
        <f t="shared" si="185"/>
        <v>0.79209813120429939</v>
      </c>
      <c r="K157" s="139">
        <f t="shared" si="185"/>
        <v>0.80301703332144647</v>
      </c>
      <c r="L157" s="139">
        <f t="shared" si="185"/>
        <v>0.78998633799156159</v>
      </c>
      <c r="M157" s="139">
        <f t="shared" si="185"/>
        <v>0.77556968698093631</v>
      </c>
      <c r="N157" s="139">
        <f t="shared" si="185"/>
        <v>0.76483939889940666</v>
      </c>
      <c r="O157" s="139">
        <f t="shared" si="185"/>
        <v>0.76255748541103152</v>
      </c>
      <c r="P157" s="139">
        <f t="shared" si="185"/>
        <v>0.76104413040564312</v>
      </c>
      <c r="Q157" s="139">
        <f t="shared" si="185"/>
        <v>0.74660924805320472</v>
      </c>
      <c r="R157" s="139">
        <f t="shared" si="185"/>
        <v>0.73474567098068988</v>
      </c>
      <c r="S157" s="139">
        <f t="shared" si="185"/>
        <v>0.71705674647537132</v>
      </c>
      <c r="T157" s="139">
        <f t="shared" si="185"/>
        <v>0.70579090147170231</v>
      </c>
      <c r="U157" s="139">
        <f t="shared" si="185"/>
        <v>0.70145264553838305</v>
      </c>
      <c r="V157" s="139">
        <f t="shared" si="185"/>
        <v>0.84223697157559574</v>
      </c>
      <c r="W157" s="139">
        <f t="shared" si="185"/>
        <v>0.81713253137530173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1.3058547544311391E-2</v>
      </c>
      <c r="C158" s="140">
        <f t="shared" ref="C158:W158" si="186">IF(C66=0,0,C66/C$64)</f>
        <v>1.3299872636954377E-2</v>
      </c>
      <c r="D158" s="140">
        <f t="shared" si="186"/>
        <v>1.363605123605773E-2</v>
      </c>
      <c r="E158" s="140">
        <f t="shared" si="186"/>
        <v>1.3270958832176294E-2</v>
      </c>
      <c r="F158" s="140">
        <f t="shared" si="186"/>
        <v>1.3559323577916876E-2</v>
      </c>
      <c r="G158" s="140">
        <f t="shared" si="186"/>
        <v>1.4650235466718054E-2</v>
      </c>
      <c r="H158" s="140">
        <f t="shared" si="186"/>
        <v>1.5155459354325631E-2</v>
      </c>
      <c r="I158" s="140">
        <f t="shared" si="186"/>
        <v>1.4121585373779862E-2</v>
      </c>
      <c r="J158" s="140">
        <f t="shared" si="186"/>
        <v>1.3946210556692725E-2</v>
      </c>
      <c r="K158" s="140">
        <f t="shared" si="186"/>
        <v>1.3086514315528605E-2</v>
      </c>
      <c r="L158" s="140">
        <f t="shared" si="186"/>
        <v>1.2236718542666012E-2</v>
      </c>
      <c r="M158" s="140">
        <f t="shared" si="186"/>
        <v>1.2256168876191404E-2</v>
      </c>
      <c r="N158" s="140">
        <f t="shared" si="186"/>
        <v>1.2685785552584804E-2</v>
      </c>
      <c r="O158" s="140">
        <f t="shared" si="186"/>
        <v>1.22533015592929E-2</v>
      </c>
      <c r="P158" s="140">
        <f t="shared" si="186"/>
        <v>1.1567218247703523E-2</v>
      </c>
      <c r="Q158" s="140">
        <f t="shared" si="186"/>
        <v>1.0721120799413742E-2</v>
      </c>
      <c r="R158" s="140">
        <f t="shared" si="186"/>
        <v>1.0914288227972529E-2</v>
      </c>
      <c r="S158" s="140">
        <f t="shared" si="186"/>
        <v>1.0194248452453657E-2</v>
      </c>
      <c r="T158" s="140">
        <f t="shared" si="186"/>
        <v>9.3965808615686878E-3</v>
      </c>
      <c r="U158" s="140">
        <f t="shared" si="186"/>
        <v>9.594295351389396E-3</v>
      </c>
      <c r="V158" s="140">
        <f t="shared" si="186"/>
        <v>1.198453958555051E-2</v>
      </c>
      <c r="W158" s="140">
        <f t="shared" si="186"/>
        <v>1.0345710432283555E-2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0.70698910523763658</v>
      </c>
      <c r="C159" s="140">
        <f t="shared" ref="C159:W159" si="187">IF(C67=0,0,C67/C$64)</f>
        <v>0.71450281816184624</v>
      </c>
      <c r="D159" s="140">
        <f t="shared" si="187"/>
        <v>0.7302243271240666</v>
      </c>
      <c r="E159" s="140">
        <f t="shared" si="187"/>
        <v>0.74124080471648901</v>
      </c>
      <c r="F159" s="140">
        <f t="shared" si="187"/>
        <v>0.73906764332228192</v>
      </c>
      <c r="G159" s="140">
        <f t="shared" si="187"/>
        <v>0.74895562961800755</v>
      </c>
      <c r="H159" s="140">
        <f t="shared" si="187"/>
        <v>0.74296863983234507</v>
      </c>
      <c r="I159" s="140">
        <f t="shared" si="187"/>
        <v>0.73606128939845117</v>
      </c>
      <c r="J159" s="140">
        <f t="shared" si="187"/>
        <v>0.73524455982204917</v>
      </c>
      <c r="K159" s="140">
        <f t="shared" si="187"/>
        <v>0.74631879511434052</v>
      </c>
      <c r="L159" s="140">
        <f t="shared" si="187"/>
        <v>0.73433556527201016</v>
      </c>
      <c r="M159" s="140">
        <f t="shared" si="187"/>
        <v>0.71812939363105066</v>
      </c>
      <c r="N159" s="140">
        <f t="shared" si="187"/>
        <v>0.71423653372032136</v>
      </c>
      <c r="O159" s="140">
        <f t="shared" si="187"/>
        <v>0.71391394829168975</v>
      </c>
      <c r="P159" s="140">
        <f t="shared" si="187"/>
        <v>0.70582167568894583</v>
      </c>
      <c r="Q159" s="140">
        <f t="shared" si="187"/>
        <v>0.69286939120726554</v>
      </c>
      <c r="R159" s="140">
        <f t="shared" si="187"/>
        <v>0.67985577480713977</v>
      </c>
      <c r="S159" s="140">
        <f t="shared" si="187"/>
        <v>0.66334980768511687</v>
      </c>
      <c r="T159" s="140">
        <f t="shared" si="187"/>
        <v>0.65156295746318149</v>
      </c>
      <c r="U159" s="140">
        <f t="shared" si="187"/>
        <v>0.65192923422360605</v>
      </c>
      <c r="V159" s="140">
        <f t="shared" si="187"/>
        <v>0.78690924502091453</v>
      </c>
      <c r="W159" s="140">
        <f t="shared" si="187"/>
        <v>0.75778234855696636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8.1045575997931454E-2</v>
      </c>
      <c r="C160" s="140">
        <f t="shared" ref="C160:W160" si="188">IF(C68=0,0,C68/C$64)</f>
        <v>8.0989062637890116E-2</v>
      </c>
      <c r="D160" s="140">
        <f t="shared" si="188"/>
        <v>7.7478898180615582E-2</v>
      </c>
      <c r="E160" s="140">
        <f t="shared" si="188"/>
        <v>7.087559984727361E-2</v>
      </c>
      <c r="F160" s="140">
        <f t="shared" si="188"/>
        <v>6.6602583861317816E-2</v>
      </c>
      <c r="G160" s="140">
        <f t="shared" si="188"/>
        <v>4.2957066369221593E-2</v>
      </c>
      <c r="H160" s="140">
        <f t="shared" si="188"/>
        <v>4.1969328214666493E-2</v>
      </c>
      <c r="I160" s="140">
        <f t="shared" si="188"/>
        <v>4.2123947767566686E-2</v>
      </c>
      <c r="J160" s="140">
        <f t="shared" si="188"/>
        <v>4.2907360825557475E-2</v>
      </c>
      <c r="K160" s="140">
        <f t="shared" si="188"/>
        <v>4.3611723891577359E-2</v>
      </c>
      <c r="L160" s="140">
        <f t="shared" si="188"/>
        <v>4.3414054176885437E-2</v>
      </c>
      <c r="M160" s="140">
        <f t="shared" si="188"/>
        <v>4.5184124473694319E-2</v>
      </c>
      <c r="N160" s="140">
        <f t="shared" si="188"/>
        <v>3.7917079626500448E-2</v>
      </c>
      <c r="O160" s="140">
        <f t="shared" si="188"/>
        <v>3.6390235560048938E-2</v>
      </c>
      <c r="P160" s="140">
        <f t="shared" si="188"/>
        <v>4.3655236468993885E-2</v>
      </c>
      <c r="Q160" s="140">
        <f t="shared" si="188"/>
        <v>4.3018736046525438E-2</v>
      </c>
      <c r="R160" s="140">
        <f t="shared" si="188"/>
        <v>4.3975607945577519E-2</v>
      </c>
      <c r="S160" s="140">
        <f t="shared" si="188"/>
        <v>4.3512690337800815E-2</v>
      </c>
      <c r="T160" s="140">
        <f t="shared" si="188"/>
        <v>4.4831363146952151E-2</v>
      </c>
      <c r="U160" s="140">
        <f t="shared" si="188"/>
        <v>3.9929115963387621E-2</v>
      </c>
      <c r="V160" s="140">
        <f t="shared" si="188"/>
        <v>4.3343186969130816E-2</v>
      </c>
      <c r="W160" s="140">
        <f t="shared" si="188"/>
        <v>4.9004472386051857E-2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1.1802743424813083E-2</v>
      </c>
      <c r="C161" s="124">
        <f t="shared" ref="C161:W161" si="189">IF(C69=0,0,C69/C$64)</f>
        <v>8.8681438358251489E-3</v>
      </c>
      <c r="D161" s="124">
        <f t="shared" si="189"/>
        <v>7.0092357469261424E-3</v>
      </c>
      <c r="E161" s="124">
        <f t="shared" si="189"/>
        <v>5.6751537830824327E-3</v>
      </c>
      <c r="F161" s="124">
        <f t="shared" si="189"/>
        <v>4.8085547200982992E-3</v>
      </c>
      <c r="G161" s="124">
        <f t="shared" si="189"/>
        <v>4.4880100032004761E-3</v>
      </c>
      <c r="H161" s="124">
        <f t="shared" si="189"/>
        <v>4.2823197294586703E-3</v>
      </c>
      <c r="I161" s="124">
        <f t="shared" si="189"/>
        <v>4.1130163482498618E-3</v>
      </c>
      <c r="J161" s="124">
        <f t="shared" si="189"/>
        <v>4.0247373892827887E-3</v>
      </c>
      <c r="K161" s="124">
        <f t="shared" si="189"/>
        <v>3.2851367823846433E-3</v>
      </c>
      <c r="L161" s="124">
        <f t="shared" si="189"/>
        <v>2.8105039657703615E-3</v>
      </c>
      <c r="M161" s="124">
        <f t="shared" si="189"/>
        <v>2.4912499072080015E-3</v>
      </c>
      <c r="N161" s="124">
        <f t="shared" si="189"/>
        <v>1.9891366102536422E-3</v>
      </c>
      <c r="O161" s="124">
        <f t="shared" si="189"/>
        <v>1.7217767300311527E-3</v>
      </c>
      <c r="P161" s="124">
        <f t="shared" si="189"/>
        <v>1.6615134346538421E-3</v>
      </c>
      <c r="Q161" s="124">
        <f t="shared" si="189"/>
        <v>1.5734170926911899E-3</v>
      </c>
      <c r="R161" s="124">
        <f t="shared" si="189"/>
        <v>1.4681063760366906E-3</v>
      </c>
      <c r="S161" s="124">
        <f t="shared" si="189"/>
        <v>1.3010102885703608E-3</v>
      </c>
      <c r="T161" s="124">
        <f t="shared" si="189"/>
        <v>1.3346999107812503E-3</v>
      </c>
      <c r="U161" s="124">
        <f t="shared" si="189"/>
        <v>1.2394214374339108E-3</v>
      </c>
      <c r="V161" s="124">
        <f t="shared" si="189"/>
        <v>1.3461294560418188E-3</v>
      </c>
      <c r="W161" s="124">
        <f t="shared" si="189"/>
        <v>1.0053189409742712E-3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1.1802743424813083E-2</v>
      </c>
      <c r="C163" s="140">
        <f t="shared" ref="C163:W163" si="191">IF(C71=0,0,C71/C$64)</f>
        <v>8.8681438358251489E-3</v>
      </c>
      <c r="D163" s="140">
        <f t="shared" si="191"/>
        <v>7.0092357469261424E-3</v>
      </c>
      <c r="E163" s="140">
        <f t="shared" si="191"/>
        <v>5.6751537830824327E-3</v>
      </c>
      <c r="F163" s="140">
        <f t="shared" si="191"/>
        <v>4.8085547200982992E-3</v>
      </c>
      <c r="G163" s="140">
        <f t="shared" si="191"/>
        <v>4.4880100032004761E-3</v>
      </c>
      <c r="H163" s="140">
        <f t="shared" si="191"/>
        <v>4.2823197294586703E-3</v>
      </c>
      <c r="I163" s="140">
        <f t="shared" si="191"/>
        <v>4.1130163482498618E-3</v>
      </c>
      <c r="J163" s="140">
        <f t="shared" si="191"/>
        <v>4.0247373892827887E-3</v>
      </c>
      <c r="K163" s="140">
        <f t="shared" si="191"/>
        <v>3.2851367823846433E-3</v>
      </c>
      <c r="L163" s="140">
        <f t="shared" si="191"/>
        <v>2.8105039657703615E-3</v>
      </c>
      <c r="M163" s="140">
        <f t="shared" si="191"/>
        <v>2.4912499072080015E-3</v>
      </c>
      <c r="N163" s="140">
        <f t="shared" si="191"/>
        <v>1.9891366102536422E-3</v>
      </c>
      <c r="O163" s="140">
        <f t="shared" si="191"/>
        <v>1.7217767300311527E-3</v>
      </c>
      <c r="P163" s="140">
        <f t="shared" si="191"/>
        <v>1.6615134346538421E-3</v>
      </c>
      <c r="Q163" s="140">
        <f t="shared" si="191"/>
        <v>1.5734170926911899E-3</v>
      </c>
      <c r="R163" s="140">
        <f t="shared" si="191"/>
        <v>1.4681063760366906E-3</v>
      </c>
      <c r="S163" s="140">
        <f t="shared" si="191"/>
        <v>1.3010102885703608E-3</v>
      </c>
      <c r="T163" s="140">
        <f t="shared" si="191"/>
        <v>1.3346999107812503E-3</v>
      </c>
      <c r="U163" s="140">
        <f t="shared" si="191"/>
        <v>1.2394214374339108E-3</v>
      </c>
      <c r="V163" s="140">
        <f t="shared" si="191"/>
        <v>1.3461294560418188E-3</v>
      </c>
      <c r="W163" s="140">
        <f t="shared" si="191"/>
        <v>1.0053189409742712E-3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0.18710402779530755</v>
      </c>
      <c r="C165" s="124">
        <f t="shared" ref="C165:W165" si="193">IF(C73=0,0,C73/C$64)</f>
        <v>0.1823401027274841</v>
      </c>
      <c r="D165" s="124">
        <f t="shared" si="193"/>
        <v>0.17165148771233385</v>
      </c>
      <c r="E165" s="124">
        <f t="shared" si="193"/>
        <v>0.1689374828209787</v>
      </c>
      <c r="F165" s="124">
        <f t="shared" si="193"/>
        <v>0.17596189451838531</v>
      </c>
      <c r="G165" s="124">
        <f t="shared" si="193"/>
        <v>0.18894905854285243</v>
      </c>
      <c r="H165" s="124">
        <f t="shared" si="193"/>
        <v>0.19562425286920396</v>
      </c>
      <c r="I165" s="124">
        <f t="shared" si="193"/>
        <v>0.20358016111195235</v>
      </c>
      <c r="J165" s="124">
        <f t="shared" si="193"/>
        <v>0.20387713140641775</v>
      </c>
      <c r="K165" s="124">
        <f t="shared" si="193"/>
        <v>0.19369782989616885</v>
      </c>
      <c r="L165" s="124">
        <f t="shared" si="193"/>
        <v>0.20720315804266798</v>
      </c>
      <c r="M165" s="124">
        <f t="shared" si="193"/>
        <v>0.22193906311185566</v>
      </c>
      <c r="N165" s="124">
        <f t="shared" si="193"/>
        <v>0.23317146449033962</v>
      </c>
      <c r="O165" s="124">
        <f t="shared" si="193"/>
        <v>0.2357207378589373</v>
      </c>
      <c r="P165" s="124">
        <f t="shared" si="193"/>
        <v>0.23729435615970296</v>
      </c>
      <c r="Q165" s="124">
        <f t="shared" si="193"/>
        <v>0.25181733485410412</v>
      </c>
      <c r="R165" s="124">
        <f t="shared" si="193"/>
        <v>0.26378622264327334</v>
      </c>
      <c r="S165" s="124">
        <f t="shared" si="193"/>
        <v>0.2816422432360583</v>
      </c>
      <c r="T165" s="124">
        <f t="shared" si="193"/>
        <v>0.29287439861751652</v>
      </c>
      <c r="U165" s="124">
        <f t="shared" si="193"/>
        <v>0.29730793302418312</v>
      </c>
      <c r="V165" s="124">
        <f t="shared" si="193"/>
        <v>0.15641689896836239</v>
      </c>
      <c r="W165" s="124">
        <f t="shared" si="193"/>
        <v>0.18186214968372397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2.665256351339803E-2</v>
      </c>
      <c r="C166" s="140">
        <f t="shared" ref="C166:W166" si="194">IF(C74=0,0,C74/C$64)</f>
        <v>2.7590947811975759E-2</v>
      </c>
      <c r="D166" s="140">
        <f t="shared" si="194"/>
        <v>2.8155418474432245E-2</v>
      </c>
      <c r="E166" s="140">
        <f t="shared" si="194"/>
        <v>2.4487018463863083E-2</v>
      </c>
      <c r="F166" s="140">
        <f t="shared" si="194"/>
        <v>2.6635179763135831E-2</v>
      </c>
      <c r="G166" s="140">
        <f t="shared" si="194"/>
        <v>2.8652768613359761E-2</v>
      </c>
      <c r="H166" s="140">
        <f t="shared" si="194"/>
        <v>2.7694143070522568E-2</v>
      </c>
      <c r="I166" s="140">
        <f t="shared" si="194"/>
        <v>2.7344383570617366E-2</v>
      </c>
      <c r="J166" s="140">
        <f t="shared" si="194"/>
        <v>2.4791971380721964E-2</v>
      </c>
      <c r="K166" s="140">
        <f t="shared" si="194"/>
        <v>2.3374920872796492E-2</v>
      </c>
      <c r="L166" s="140">
        <f t="shared" si="194"/>
        <v>2.7516905588576199E-2</v>
      </c>
      <c r="M166" s="140">
        <f t="shared" si="194"/>
        <v>2.5807994769970165E-2</v>
      </c>
      <c r="N166" s="140">
        <f t="shared" si="194"/>
        <v>2.6944810762612396E-2</v>
      </c>
      <c r="O166" s="140">
        <f t="shared" si="194"/>
        <v>2.7403685163301279E-2</v>
      </c>
      <c r="P166" s="140">
        <f t="shared" si="194"/>
        <v>2.5996049602007583E-2</v>
      </c>
      <c r="Q166" s="140">
        <f t="shared" si="194"/>
        <v>2.6906928786426164E-2</v>
      </c>
      <c r="R166" s="140">
        <f t="shared" si="194"/>
        <v>2.8680915987564799E-2</v>
      </c>
      <c r="S166" s="140">
        <f t="shared" si="194"/>
        <v>3.2848558670592616E-2</v>
      </c>
      <c r="T166" s="140">
        <f t="shared" si="194"/>
        <v>3.4042842284579995E-2</v>
      </c>
      <c r="U166" s="140">
        <f t="shared" si="194"/>
        <v>3.0425068963450697E-2</v>
      </c>
      <c r="V166" s="140">
        <f t="shared" si="194"/>
        <v>2.2439556747503482E-2</v>
      </c>
      <c r="W166" s="140">
        <f t="shared" si="194"/>
        <v>2.6879069997941794E-2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9.3881639169941564E-2</v>
      </c>
      <c r="C167" s="140">
        <f t="shared" ref="C167:W167" si="195">IF(C75=0,0,C75/C$64)</f>
        <v>9.0546462178751258E-2</v>
      </c>
      <c r="D167" s="140">
        <f t="shared" si="195"/>
        <v>8.3962602562978911E-2</v>
      </c>
      <c r="E167" s="140">
        <f t="shared" si="195"/>
        <v>8.3629117419047549E-2</v>
      </c>
      <c r="F167" s="140">
        <f t="shared" si="195"/>
        <v>8.936052040804765E-2</v>
      </c>
      <c r="G167" s="140">
        <f t="shared" si="195"/>
        <v>9.6539998007737896E-2</v>
      </c>
      <c r="H167" s="140">
        <f t="shared" si="195"/>
        <v>0.10252726749643405</v>
      </c>
      <c r="I167" s="140">
        <f t="shared" si="195"/>
        <v>0.10989889575486941</v>
      </c>
      <c r="J167" s="140">
        <f t="shared" si="195"/>
        <v>0.11080298716537551</v>
      </c>
      <c r="K167" s="140">
        <f t="shared" si="195"/>
        <v>0.10235952452335893</v>
      </c>
      <c r="L167" s="140">
        <f t="shared" si="195"/>
        <v>0.10758577569292713</v>
      </c>
      <c r="M167" s="140">
        <f t="shared" si="195"/>
        <v>0.11823821933865564</v>
      </c>
      <c r="N167" s="140">
        <f t="shared" si="195"/>
        <v>0.12224134290962987</v>
      </c>
      <c r="O167" s="140">
        <f t="shared" si="195"/>
        <v>0.12430450460530976</v>
      </c>
      <c r="P167" s="140">
        <f t="shared" si="195"/>
        <v>0.12799336244185419</v>
      </c>
      <c r="Q167" s="140">
        <f t="shared" si="195"/>
        <v>0.13718163429501479</v>
      </c>
      <c r="R167" s="140">
        <f t="shared" si="195"/>
        <v>0.14779725495970689</v>
      </c>
      <c r="S167" s="140">
        <f t="shared" si="195"/>
        <v>0.15970472179320799</v>
      </c>
      <c r="T167" s="140">
        <f t="shared" si="195"/>
        <v>0.16445654062287965</v>
      </c>
      <c r="U167" s="140">
        <f t="shared" si="195"/>
        <v>0.16895437272201794</v>
      </c>
      <c r="V167" s="140">
        <f t="shared" si="195"/>
        <v>7.1659925192484236E-2</v>
      </c>
      <c r="W167" s="140">
        <f t="shared" si="195"/>
        <v>8.9558173134435787E-2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6.6569825111967948E-2</v>
      </c>
      <c r="C168" s="140">
        <f t="shared" ref="C168:W168" si="196">IF(C76=0,0,C76/C$64)</f>
        <v>6.4202692736757078E-2</v>
      </c>
      <c r="D168" s="140">
        <f t="shared" si="196"/>
        <v>5.9533466674922687E-2</v>
      </c>
      <c r="E168" s="140">
        <f t="shared" si="196"/>
        <v>6.0821346938068052E-2</v>
      </c>
      <c r="F168" s="140">
        <f t="shared" si="196"/>
        <v>5.996619434720183E-2</v>
      </c>
      <c r="G168" s="140">
        <f t="shared" si="196"/>
        <v>6.3756291921754776E-2</v>
      </c>
      <c r="H168" s="140">
        <f t="shared" si="196"/>
        <v>6.5402842302247341E-2</v>
      </c>
      <c r="I168" s="140">
        <f t="shared" si="196"/>
        <v>6.633688178646556E-2</v>
      </c>
      <c r="J168" s="140">
        <f t="shared" si="196"/>
        <v>6.8282172860320275E-2</v>
      </c>
      <c r="K168" s="140">
        <f t="shared" si="196"/>
        <v>6.7963384500013393E-2</v>
      </c>
      <c r="L168" s="140">
        <f t="shared" si="196"/>
        <v>7.2100476761164656E-2</v>
      </c>
      <c r="M168" s="140">
        <f t="shared" si="196"/>
        <v>7.7892849003229847E-2</v>
      </c>
      <c r="N168" s="140">
        <f t="shared" si="196"/>
        <v>8.3985310818097361E-2</v>
      </c>
      <c r="O168" s="140">
        <f t="shared" si="196"/>
        <v>8.4012548090326267E-2</v>
      </c>
      <c r="P168" s="140">
        <f t="shared" si="196"/>
        <v>8.3304944115841176E-2</v>
      </c>
      <c r="Q168" s="140">
        <f t="shared" si="196"/>
        <v>8.7728771772663194E-2</v>
      </c>
      <c r="R168" s="140">
        <f t="shared" si="196"/>
        <v>8.7308051696001671E-2</v>
      </c>
      <c r="S168" s="140">
        <f t="shared" si="196"/>
        <v>8.9088962772257724E-2</v>
      </c>
      <c r="T168" s="140">
        <f t="shared" si="196"/>
        <v>9.4375015710056909E-2</v>
      </c>
      <c r="U168" s="140">
        <f t="shared" si="196"/>
        <v>9.7928491338714493E-2</v>
      </c>
      <c r="V168" s="140">
        <f t="shared" si="196"/>
        <v>6.2317417028374664E-2</v>
      </c>
      <c r="W168" s="140">
        <f t="shared" si="196"/>
        <v>6.5424906551346376E-2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0.96957484513814496</v>
      </c>
      <c r="C170" s="139">
        <f t="shared" ref="C170:W170" si="199">IF(C78=0,0,C78/C$77)</f>
        <v>0.96953046732422898</v>
      </c>
      <c r="D170" s="139">
        <f t="shared" si="199"/>
        <v>0.95408776035048015</v>
      </c>
      <c r="E170" s="139">
        <f t="shared" si="199"/>
        <v>0.96563649834475851</v>
      </c>
      <c r="F170" s="139">
        <f t="shared" si="199"/>
        <v>0.98064955191151615</v>
      </c>
      <c r="G170" s="139">
        <f t="shared" si="199"/>
        <v>0.98281108018567342</v>
      </c>
      <c r="H170" s="139">
        <f t="shared" si="199"/>
        <v>0.97974082276328356</v>
      </c>
      <c r="I170" s="139">
        <f t="shared" si="199"/>
        <v>0.9357463652000535</v>
      </c>
      <c r="J170" s="139">
        <f t="shared" si="199"/>
        <v>0.92937093606945287</v>
      </c>
      <c r="K170" s="139">
        <f t="shared" si="199"/>
        <v>0.90343404884274447</v>
      </c>
      <c r="L170" s="139">
        <f t="shared" si="199"/>
        <v>0.92914751339344948</v>
      </c>
      <c r="M170" s="139">
        <f t="shared" si="199"/>
        <v>0.92822564783423089</v>
      </c>
      <c r="N170" s="139">
        <f t="shared" si="199"/>
        <v>0.91778702768174847</v>
      </c>
      <c r="O170" s="139">
        <f t="shared" si="199"/>
        <v>0.91284930856267743</v>
      </c>
      <c r="P170" s="139">
        <f t="shared" si="199"/>
        <v>0.93449513060748379</v>
      </c>
      <c r="Q170" s="139">
        <f t="shared" si="199"/>
        <v>0.92885772319963744</v>
      </c>
      <c r="R170" s="139">
        <f t="shared" si="199"/>
        <v>0.9249792930549624</v>
      </c>
      <c r="S170" s="139">
        <f t="shared" si="199"/>
        <v>0.9293213270031625</v>
      </c>
      <c r="T170" s="139">
        <f t="shared" si="199"/>
        <v>0.92747024645768639</v>
      </c>
      <c r="U170" s="139">
        <f t="shared" si="199"/>
        <v>0.93756640375497213</v>
      </c>
      <c r="V170" s="139">
        <f t="shared" si="199"/>
        <v>0.94345815748422512</v>
      </c>
      <c r="W170" s="139">
        <f t="shared" si="199"/>
        <v>0.9392747211480944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0.72390369421505985</v>
      </c>
      <c r="C171" s="140">
        <f t="shared" ref="C171:W171" si="200">IF(C79=0,0,C79/C$77)</f>
        <v>0.6823671823209646</v>
      </c>
      <c r="D171" s="140">
        <f t="shared" si="200"/>
        <v>0.67849193471463876</v>
      </c>
      <c r="E171" s="140">
        <f t="shared" si="200"/>
        <v>0.64970375840822592</v>
      </c>
      <c r="F171" s="140">
        <f t="shared" si="200"/>
        <v>0.60110906756458737</v>
      </c>
      <c r="G171" s="140">
        <f t="shared" si="200"/>
        <v>0.579128621776418</v>
      </c>
      <c r="H171" s="140">
        <f t="shared" si="200"/>
        <v>0.56961998382150691</v>
      </c>
      <c r="I171" s="140">
        <f t="shared" si="200"/>
        <v>0.52005487953465224</v>
      </c>
      <c r="J171" s="140">
        <f t="shared" si="200"/>
        <v>0.51802308580959988</v>
      </c>
      <c r="K171" s="140">
        <f t="shared" si="200"/>
        <v>0.52336686954205602</v>
      </c>
      <c r="L171" s="140">
        <f t="shared" si="200"/>
        <v>0.52515895634030718</v>
      </c>
      <c r="M171" s="140">
        <f t="shared" si="200"/>
        <v>0.50349896776461445</v>
      </c>
      <c r="N171" s="140">
        <f t="shared" si="200"/>
        <v>0.48589048753271252</v>
      </c>
      <c r="O171" s="140">
        <f t="shared" si="200"/>
        <v>0.48282205575020576</v>
      </c>
      <c r="P171" s="140">
        <f t="shared" si="200"/>
        <v>0.52672414696711412</v>
      </c>
      <c r="Q171" s="140">
        <f t="shared" si="200"/>
        <v>0.51187684265519429</v>
      </c>
      <c r="R171" s="140">
        <f t="shared" si="200"/>
        <v>0.51697886157714712</v>
      </c>
      <c r="S171" s="140">
        <f t="shared" si="200"/>
        <v>0.52978571017557474</v>
      </c>
      <c r="T171" s="140">
        <f t="shared" si="200"/>
        <v>0.53545163104577775</v>
      </c>
      <c r="U171" s="140">
        <f t="shared" si="200"/>
        <v>0.53846084830228169</v>
      </c>
      <c r="V171" s="140">
        <f t="shared" si="200"/>
        <v>0.53638437531822969</v>
      </c>
      <c r="W171" s="140">
        <f t="shared" si="200"/>
        <v>0.54110539690208759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0.24567115092308514</v>
      </c>
      <c r="C172" s="140">
        <f t="shared" ref="C172:W172" si="201">IF(C80=0,0,C80/C$77)</f>
        <v>0.28716328500326438</v>
      </c>
      <c r="D172" s="140">
        <f t="shared" si="201"/>
        <v>0.27559582563584129</v>
      </c>
      <c r="E172" s="140">
        <f t="shared" si="201"/>
        <v>0.31593273993653248</v>
      </c>
      <c r="F172" s="140">
        <f t="shared" si="201"/>
        <v>0.37954048434692883</v>
      </c>
      <c r="G172" s="140">
        <f t="shared" si="201"/>
        <v>0.40368245840925543</v>
      </c>
      <c r="H172" s="140">
        <f t="shared" si="201"/>
        <v>0.41012083894177659</v>
      </c>
      <c r="I172" s="140">
        <f t="shared" si="201"/>
        <v>0.41569148566540126</v>
      </c>
      <c r="J172" s="140">
        <f t="shared" si="201"/>
        <v>0.41134785025985299</v>
      </c>
      <c r="K172" s="140">
        <f t="shared" si="201"/>
        <v>0.38006717930068845</v>
      </c>
      <c r="L172" s="140">
        <f t="shared" si="201"/>
        <v>0.40398855705314224</v>
      </c>
      <c r="M172" s="140">
        <f t="shared" si="201"/>
        <v>0.42472668006961645</v>
      </c>
      <c r="N172" s="140">
        <f t="shared" si="201"/>
        <v>0.43189654014903595</v>
      </c>
      <c r="O172" s="140">
        <f t="shared" si="201"/>
        <v>0.43002725281247173</v>
      </c>
      <c r="P172" s="140">
        <f t="shared" si="201"/>
        <v>0.40777098364036962</v>
      </c>
      <c r="Q172" s="140">
        <f t="shared" si="201"/>
        <v>0.41698088054444321</v>
      </c>
      <c r="R172" s="140">
        <f t="shared" si="201"/>
        <v>0.40800043147781523</v>
      </c>
      <c r="S172" s="140">
        <f t="shared" si="201"/>
        <v>0.39953561682758776</v>
      </c>
      <c r="T172" s="140">
        <f t="shared" si="201"/>
        <v>0.39201861541190863</v>
      </c>
      <c r="U172" s="140">
        <f t="shared" si="201"/>
        <v>0.39910555545269044</v>
      </c>
      <c r="V172" s="140">
        <f t="shared" si="201"/>
        <v>0.40707378216599555</v>
      </c>
      <c r="W172" s="140">
        <f t="shared" si="201"/>
        <v>0.39816932424600682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4.4832824557639039E-3</v>
      </c>
      <c r="C173" s="124">
        <f t="shared" ref="C173:W173" si="202">IF(C81=0,0,C81/C$77)</f>
        <v>3.2792768303271974E-3</v>
      </c>
      <c r="D173" s="124">
        <f t="shared" si="202"/>
        <v>2.8204657992226437E-3</v>
      </c>
      <c r="E173" s="124">
        <f t="shared" si="202"/>
        <v>2.2410017370735687E-3</v>
      </c>
      <c r="F173" s="124">
        <f t="shared" si="202"/>
        <v>2.1789532349781164E-3</v>
      </c>
      <c r="G173" s="124">
        <f t="shared" si="202"/>
        <v>2.3049007602532019E-3</v>
      </c>
      <c r="H173" s="124">
        <f t="shared" si="202"/>
        <v>2.1655128594909325E-3</v>
      </c>
      <c r="I173" s="124">
        <f t="shared" si="202"/>
        <v>2.3956993635934863E-3</v>
      </c>
      <c r="J173" s="124">
        <f t="shared" si="202"/>
        <v>2.0448752774724892E-3</v>
      </c>
      <c r="K173" s="124">
        <f t="shared" si="202"/>
        <v>1.4802416058239201E-3</v>
      </c>
      <c r="L173" s="124">
        <f t="shared" si="202"/>
        <v>1.5450389717032978E-3</v>
      </c>
      <c r="M173" s="124">
        <f t="shared" si="202"/>
        <v>1.6435232706793438E-3</v>
      </c>
      <c r="N173" s="124">
        <f t="shared" si="202"/>
        <v>1.595497863589659E-3</v>
      </c>
      <c r="O173" s="124">
        <f t="shared" si="202"/>
        <v>1.7155567240065021E-3</v>
      </c>
      <c r="P173" s="124">
        <f t="shared" si="202"/>
        <v>1.8105995405169868E-3</v>
      </c>
      <c r="Q173" s="124">
        <f t="shared" si="202"/>
        <v>1.937027824826798E-3</v>
      </c>
      <c r="R173" s="124">
        <f t="shared" si="202"/>
        <v>1.3610841182969493E-3</v>
      </c>
      <c r="S173" s="124">
        <f t="shared" si="202"/>
        <v>2.1067422462666147E-3</v>
      </c>
      <c r="T173" s="124">
        <f t="shared" si="202"/>
        <v>1.7731595742396557E-3</v>
      </c>
      <c r="U173" s="124">
        <f t="shared" si="202"/>
        <v>2.0023449094801853E-3</v>
      </c>
      <c r="V173" s="124">
        <f t="shared" si="202"/>
        <v>2.6462953706985672E-3</v>
      </c>
      <c r="W173" s="124">
        <f t="shared" si="202"/>
        <v>2.9422771968186062E-3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7.7940454809395116E-3</v>
      </c>
      <c r="C174" s="124">
        <f t="shared" ref="C174:W174" si="203">IF(C82=0,0,C82/C$77)</f>
        <v>7.0166703933747035E-3</v>
      </c>
      <c r="D174" s="124">
        <f t="shared" si="203"/>
        <v>7.0319693487772561E-3</v>
      </c>
      <c r="E174" s="124">
        <f t="shared" si="203"/>
        <v>6.4605427942720063E-3</v>
      </c>
      <c r="F174" s="124">
        <f t="shared" si="203"/>
        <v>7.2253822209904167E-3</v>
      </c>
      <c r="G174" s="124">
        <f t="shared" si="203"/>
        <v>7.8946512873855779E-3</v>
      </c>
      <c r="H174" s="124">
        <f t="shared" si="203"/>
        <v>9.8027787233017916E-3</v>
      </c>
      <c r="I174" s="124">
        <f t="shared" si="203"/>
        <v>1.0173318923634062E-2</v>
      </c>
      <c r="J174" s="124">
        <f t="shared" si="203"/>
        <v>1.1466120388840579E-2</v>
      </c>
      <c r="K174" s="124">
        <f t="shared" si="203"/>
        <v>1.1023300172609107E-2</v>
      </c>
      <c r="L174" s="124">
        <f t="shared" si="203"/>
        <v>1.3596456830838077E-2</v>
      </c>
      <c r="M174" s="124">
        <f t="shared" si="203"/>
        <v>1.2318973244241147E-2</v>
      </c>
      <c r="N174" s="124">
        <f t="shared" si="203"/>
        <v>1.3935386169641654E-2</v>
      </c>
      <c r="O174" s="124">
        <f t="shared" si="203"/>
        <v>1.3433633899491053E-2</v>
      </c>
      <c r="P174" s="124">
        <f t="shared" si="203"/>
        <v>1.1918537485097157E-2</v>
      </c>
      <c r="Q174" s="124">
        <f t="shared" si="203"/>
        <v>1.135703969015861E-2</v>
      </c>
      <c r="R174" s="124">
        <f t="shared" si="203"/>
        <v>9.5853123631283975E-3</v>
      </c>
      <c r="S174" s="124">
        <f t="shared" si="203"/>
        <v>1.1904940378240513E-2</v>
      </c>
      <c r="T174" s="124">
        <f t="shared" si="203"/>
        <v>1.1541450062799972E-2</v>
      </c>
      <c r="U174" s="124">
        <f t="shared" si="203"/>
        <v>9.7788220713211568E-3</v>
      </c>
      <c r="V174" s="124">
        <f t="shared" si="203"/>
        <v>1.0859347469855851E-2</v>
      </c>
      <c r="W174" s="124">
        <f t="shared" si="203"/>
        <v>1.2141603849087591E-2</v>
      </c>
      <c r="DA174" s="176"/>
    </row>
    <row r="175" spans="1:105" ht="11.45" customHeight="1" x14ac:dyDescent="0.25">
      <c r="A175" s="128" t="s">
        <v>27</v>
      </c>
      <c r="B175" s="140">
        <f t="shared" si="197"/>
        <v>2.2256701815243024E-3</v>
      </c>
      <c r="C175" s="140">
        <f t="shared" ref="C175:W175" si="204">IF(C83=0,0,C83/C$77)</f>
        <v>1.995687295365011E-3</v>
      </c>
      <c r="D175" s="140">
        <f t="shared" si="204"/>
        <v>1.9638125419308944E-3</v>
      </c>
      <c r="E175" s="140">
        <f t="shared" si="204"/>
        <v>1.778873703545058E-3</v>
      </c>
      <c r="F175" s="140">
        <f t="shared" si="204"/>
        <v>1.8120077259166322E-3</v>
      </c>
      <c r="G175" s="140">
        <f t="shared" si="204"/>
        <v>2.0261753798425045E-3</v>
      </c>
      <c r="H175" s="140">
        <f t="shared" si="204"/>
        <v>2.2006747533206443E-3</v>
      </c>
      <c r="I175" s="140">
        <f t="shared" si="204"/>
        <v>2.2619680760580332E-3</v>
      </c>
      <c r="J175" s="140">
        <f t="shared" si="204"/>
        <v>2.1630564452597843E-3</v>
      </c>
      <c r="K175" s="140">
        <f t="shared" si="204"/>
        <v>2.233481964926301E-3</v>
      </c>
      <c r="L175" s="140">
        <f t="shared" si="204"/>
        <v>2.5907888550296397E-3</v>
      </c>
      <c r="M175" s="140">
        <f t="shared" si="204"/>
        <v>1.7539807358273442E-3</v>
      </c>
      <c r="N175" s="140">
        <f t="shared" si="204"/>
        <v>1.8735144584917116E-3</v>
      </c>
      <c r="O175" s="140">
        <f t="shared" si="204"/>
        <v>1.7744825957920313E-3</v>
      </c>
      <c r="P175" s="140">
        <f t="shared" si="204"/>
        <v>1.4247521148748638E-3</v>
      </c>
      <c r="Q175" s="140">
        <f t="shared" si="204"/>
        <v>1.2603001779562409E-3</v>
      </c>
      <c r="R175" s="140">
        <f t="shared" si="204"/>
        <v>7.8136524252941616E-4</v>
      </c>
      <c r="S175" s="140">
        <f t="shared" si="204"/>
        <v>1.0859434899184726E-3</v>
      </c>
      <c r="T175" s="140">
        <f t="shared" si="204"/>
        <v>1.1137138717416709E-3</v>
      </c>
      <c r="U175" s="140">
        <f t="shared" si="204"/>
        <v>1.092336377889273E-3</v>
      </c>
      <c r="V175" s="140">
        <f t="shared" si="204"/>
        <v>1.1940669764876934E-3</v>
      </c>
      <c r="W175" s="140">
        <f t="shared" si="204"/>
        <v>1.2673100519956268E-3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3.4279016747886955E-3</v>
      </c>
      <c r="C176" s="140">
        <f t="shared" ref="C176:W176" si="205">IF(C84=0,0,C84/C$77)</f>
        <v>3.0045417664544801E-3</v>
      </c>
      <c r="D176" s="140">
        <f t="shared" si="205"/>
        <v>3.0172090948716902E-3</v>
      </c>
      <c r="E176" s="140">
        <f t="shared" si="205"/>
        <v>2.7047140520734861E-3</v>
      </c>
      <c r="F176" s="140">
        <f t="shared" si="205"/>
        <v>3.1171616545221971E-3</v>
      </c>
      <c r="G176" s="140">
        <f t="shared" si="205"/>
        <v>3.174811541948284E-3</v>
      </c>
      <c r="H176" s="140">
        <f t="shared" si="205"/>
        <v>3.9662220781889138E-3</v>
      </c>
      <c r="I176" s="140">
        <f t="shared" si="205"/>
        <v>3.8574568772455809E-3</v>
      </c>
      <c r="J176" s="140">
        <f t="shared" si="205"/>
        <v>3.8865796109299852E-3</v>
      </c>
      <c r="K176" s="140">
        <f t="shared" si="205"/>
        <v>3.5364663258534755E-3</v>
      </c>
      <c r="L176" s="140">
        <f t="shared" si="205"/>
        <v>3.962631643199402E-3</v>
      </c>
      <c r="M176" s="140">
        <f t="shared" si="205"/>
        <v>3.5278163575854374E-3</v>
      </c>
      <c r="N176" s="140">
        <f t="shared" si="205"/>
        <v>3.5989615036601131E-3</v>
      </c>
      <c r="O176" s="140">
        <f t="shared" si="205"/>
        <v>3.1884008335626743E-3</v>
      </c>
      <c r="P176" s="140">
        <f t="shared" si="205"/>
        <v>3.0222562224900256E-3</v>
      </c>
      <c r="Q176" s="140">
        <f t="shared" si="205"/>
        <v>3.1669244521314375E-3</v>
      </c>
      <c r="R176" s="140">
        <f t="shared" si="205"/>
        <v>2.9356948651000797E-3</v>
      </c>
      <c r="S176" s="140">
        <f t="shared" si="205"/>
        <v>3.4543901513242065E-3</v>
      </c>
      <c r="T176" s="140">
        <f t="shared" si="205"/>
        <v>3.6036259094102685E-3</v>
      </c>
      <c r="U176" s="140">
        <f t="shared" si="205"/>
        <v>3.6670321412001967E-3</v>
      </c>
      <c r="V176" s="140">
        <f t="shared" si="205"/>
        <v>3.3628232071940432E-3</v>
      </c>
      <c r="W176" s="140">
        <f t="shared" si="205"/>
        <v>3.8131095231537225E-3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2.1404736246265141E-3</v>
      </c>
      <c r="C177" s="140">
        <f t="shared" ref="C177:W177" si="206">IF(C85=0,0,C85/C$77)</f>
        <v>2.016441331555212E-3</v>
      </c>
      <c r="D177" s="140">
        <f t="shared" si="206"/>
        <v>2.0509477119746711E-3</v>
      </c>
      <c r="E177" s="140">
        <f t="shared" si="206"/>
        <v>1.9769550386534627E-3</v>
      </c>
      <c r="F177" s="140">
        <f t="shared" si="206"/>
        <v>2.2962128405515873E-3</v>
      </c>
      <c r="G177" s="140">
        <f t="shared" si="206"/>
        <v>2.6936643655947898E-3</v>
      </c>
      <c r="H177" s="140">
        <f t="shared" si="206"/>
        <v>3.6358818917922335E-3</v>
      </c>
      <c r="I177" s="140">
        <f t="shared" si="206"/>
        <v>4.0538939703304491E-3</v>
      </c>
      <c r="J177" s="140">
        <f t="shared" si="206"/>
        <v>5.4164843326508089E-3</v>
      </c>
      <c r="K177" s="140">
        <f t="shared" si="206"/>
        <v>5.2533518818293316E-3</v>
      </c>
      <c r="L177" s="140">
        <f t="shared" si="206"/>
        <v>7.0430363326090366E-3</v>
      </c>
      <c r="M177" s="140">
        <f t="shared" si="206"/>
        <v>7.0371761508283646E-3</v>
      </c>
      <c r="N177" s="140">
        <f t="shared" si="206"/>
        <v>8.462910207489828E-3</v>
      </c>
      <c r="O177" s="140">
        <f t="shared" si="206"/>
        <v>8.4707504701363491E-3</v>
      </c>
      <c r="P177" s="140">
        <f t="shared" si="206"/>
        <v>7.4715291477322676E-3</v>
      </c>
      <c r="Q177" s="140">
        <f t="shared" si="206"/>
        <v>6.9298150600709306E-3</v>
      </c>
      <c r="R177" s="140">
        <f t="shared" si="206"/>
        <v>5.8682522554989024E-3</v>
      </c>
      <c r="S177" s="140">
        <f t="shared" si="206"/>
        <v>7.3646067369978344E-3</v>
      </c>
      <c r="T177" s="140">
        <f t="shared" si="206"/>
        <v>6.8241102816480317E-3</v>
      </c>
      <c r="U177" s="140">
        <f t="shared" si="206"/>
        <v>5.0194535522316867E-3</v>
      </c>
      <c r="V177" s="140">
        <f t="shared" si="206"/>
        <v>6.3024572861741131E-3</v>
      </c>
      <c r="W177" s="140">
        <f t="shared" si="206"/>
        <v>7.0611842739382409E-3</v>
      </c>
      <c r="DA177" s="175"/>
    </row>
    <row r="178" spans="1:105" ht="11.45" customHeight="1" x14ac:dyDescent="0.25">
      <c r="A178" s="109" t="s">
        <v>142</v>
      </c>
      <c r="B178" s="124">
        <f t="shared" si="197"/>
        <v>1.8147826925151576E-2</v>
      </c>
      <c r="C178" s="124">
        <f t="shared" ref="C178:W178" si="207">IF(C86=0,0,C86/C$77)</f>
        <v>2.0173585452069154E-2</v>
      </c>
      <c r="D178" s="124">
        <f t="shared" si="207"/>
        <v>3.6059804501520007E-2</v>
      </c>
      <c r="E178" s="124">
        <f t="shared" si="207"/>
        <v>2.5661957123895931E-2</v>
      </c>
      <c r="F178" s="124">
        <f t="shared" si="207"/>
        <v>9.9461126325153301E-3</v>
      </c>
      <c r="G178" s="124">
        <f t="shared" si="207"/>
        <v>6.9893677666878068E-3</v>
      </c>
      <c r="H178" s="124">
        <f t="shared" si="207"/>
        <v>8.2908856539237689E-3</v>
      </c>
      <c r="I178" s="124">
        <f t="shared" si="207"/>
        <v>5.168461651271903E-2</v>
      </c>
      <c r="J178" s="124">
        <f t="shared" si="207"/>
        <v>5.7118068264234052E-2</v>
      </c>
      <c r="K178" s="124">
        <f t="shared" si="207"/>
        <v>8.4062409378822422E-2</v>
      </c>
      <c r="L178" s="124">
        <f t="shared" si="207"/>
        <v>5.5710990804009305E-2</v>
      </c>
      <c r="M178" s="124">
        <f t="shared" si="207"/>
        <v>5.7811855650848627E-2</v>
      </c>
      <c r="N178" s="124">
        <f t="shared" si="207"/>
        <v>6.6682088285020216E-2</v>
      </c>
      <c r="O178" s="124">
        <f t="shared" si="207"/>
        <v>7.2001500813825156E-2</v>
      </c>
      <c r="P178" s="124">
        <f t="shared" si="207"/>
        <v>5.1775732366902048E-2</v>
      </c>
      <c r="Q178" s="124">
        <f t="shared" si="207"/>
        <v>5.7848209285377025E-2</v>
      </c>
      <c r="R178" s="124">
        <f t="shared" si="207"/>
        <v>6.4074310463612186E-2</v>
      </c>
      <c r="S178" s="124">
        <f t="shared" si="207"/>
        <v>5.6666990372330445E-2</v>
      </c>
      <c r="T178" s="124">
        <f t="shared" si="207"/>
        <v>5.9215143905273999E-2</v>
      </c>
      <c r="U178" s="124">
        <f t="shared" si="207"/>
        <v>5.0652429264226452E-2</v>
      </c>
      <c r="V178" s="124">
        <f t="shared" si="207"/>
        <v>4.3036199675220446E-2</v>
      </c>
      <c r="W178" s="124">
        <f t="shared" si="207"/>
        <v>4.5641397805999483E-2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1.8147826925151576E-2</v>
      </c>
      <c r="C179" s="140">
        <f t="shared" ref="C179:W179" si="208">IF(C87=0,0,C87/C$77)</f>
        <v>2.0173585452069154E-2</v>
      </c>
      <c r="D179" s="140">
        <f t="shared" si="208"/>
        <v>3.6059804501520007E-2</v>
      </c>
      <c r="E179" s="140">
        <f t="shared" si="208"/>
        <v>2.5661957123895931E-2</v>
      </c>
      <c r="F179" s="140">
        <f t="shared" si="208"/>
        <v>9.9461126325153301E-3</v>
      </c>
      <c r="G179" s="140">
        <f t="shared" si="208"/>
        <v>6.9893677666878068E-3</v>
      </c>
      <c r="H179" s="140">
        <f t="shared" si="208"/>
        <v>8.2908856539237689E-3</v>
      </c>
      <c r="I179" s="140">
        <f t="shared" si="208"/>
        <v>5.168461651271903E-2</v>
      </c>
      <c r="J179" s="140">
        <f t="shared" si="208"/>
        <v>5.7118068264234052E-2</v>
      </c>
      <c r="K179" s="140">
        <f t="shared" si="208"/>
        <v>8.4062409378822422E-2</v>
      </c>
      <c r="L179" s="140">
        <f t="shared" si="208"/>
        <v>5.5710990804009305E-2</v>
      </c>
      <c r="M179" s="140">
        <f t="shared" si="208"/>
        <v>5.7811855650848627E-2</v>
      </c>
      <c r="N179" s="140">
        <f t="shared" si="208"/>
        <v>6.6682088285020216E-2</v>
      </c>
      <c r="O179" s="140">
        <f t="shared" si="208"/>
        <v>7.2001500813825156E-2</v>
      </c>
      <c r="P179" s="140">
        <f t="shared" si="208"/>
        <v>5.1775732366902048E-2</v>
      </c>
      <c r="Q179" s="140">
        <f t="shared" si="208"/>
        <v>5.7848209285377025E-2</v>
      </c>
      <c r="R179" s="140">
        <f t="shared" si="208"/>
        <v>6.4074310463612186E-2</v>
      </c>
      <c r="S179" s="140">
        <f t="shared" si="208"/>
        <v>5.6666990372330445E-2</v>
      </c>
      <c r="T179" s="140">
        <f t="shared" si="208"/>
        <v>5.9215143905273999E-2</v>
      </c>
      <c r="U179" s="140">
        <f t="shared" si="208"/>
        <v>5.0652429264226452E-2</v>
      </c>
      <c r="V179" s="140">
        <f t="shared" si="208"/>
        <v>4.3036199675220446E-2</v>
      </c>
      <c r="W179" s="140">
        <f t="shared" si="208"/>
        <v>4.5641397805999483E-2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0.34108453984017972</v>
      </c>
      <c r="C182" s="140">
        <f t="shared" ref="C182:W182" si="211">IF(C90=0,0,C90/C$89)</f>
        <v>0.33996126468797422</v>
      </c>
      <c r="D182" s="140">
        <f t="shared" si="211"/>
        <v>0.33381194567451145</v>
      </c>
      <c r="E182" s="140">
        <f t="shared" si="211"/>
        <v>0.31586036558490088</v>
      </c>
      <c r="F182" s="140">
        <f t="shared" si="211"/>
        <v>0.33610224475153511</v>
      </c>
      <c r="G182" s="140">
        <f t="shared" si="211"/>
        <v>0.34046991334371418</v>
      </c>
      <c r="H182" s="140">
        <f t="shared" si="211"/>
        <v>0.3241731316360445</v>
      </c>
      <c r="I182" s="140">
        <f t="shared" si="211"/>
        <v>0.31622610466678652</v>
      </c>
      <c r="J182" s="140">
        <f t="shared" si="211"/>
        <v>0.31150029505283977</v>
      </c>
      <c r="K182" s="140">
        <f t="shared" si="211"/>
        <v>0.33162931371242432</v>
      </c>
      <c r="L182" s="140">
        <f t="shared" si="211"/>
        <v>0.32563388854839243</v>
      </c>
      <c r="M182" s="140">
        <f t="shared" si="211"/>
        <v>0.31032761397274533</v>
      </c>
      <c r="N182" s="140">
        <f t="shared" si="211"/>
        <v>0.30735625079140755</v>
      </c>
      <c r="O182" s="140">
        <f t="shared" si="211"/>
        <v>0.30466479329745194</v>
      </c>
      <c r="P182" s="140">
        <f t="shared" si="211"/>
        <v>0.3097964625366158</v>
      </c>
      <c r="Q182" s="140">
        <f t="shared" si="211"/>
        <v>0.29759175819442685</v>
      </c>
      <c r="R182" s="140">
        <f t="shared" si="211"/>
        <v>0.29569743856858655</v>
      </c>
      <c r="S182" s="140">
        <f t="shared" si="211"/>
        <v>0.29758639060864145</v>
      </c>
      <c r="T182" s="140">
        <f t="shared" si="211"/>
        <v>0.31523086274605155</v>
      </c>
      <c r="U182" s="140">
        <f t="shared" si="211"/>
        <v>0.3439353262504376</v>
      </c>
      <c r="V182" s="140">
        <f t="shared" si="211"/>
        <v>0.30288057867269225</v>
      </c>
      <c r="W182" s="140">
        <f t="shared" si="211"/>
        <v>0.30181035460146594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0.65891546015982017</v>
      </c>
      <c r="C183" s="127">
        <f t="shared" ref="C183:W183" si="212">IF(C91=0,0,C91/C$89)</f>
        <v>0.66003873531202573</v>
      </c>
      <c r="D183" s="127">
        <f t="shared" si="212"/>
        <v>0.66618805432548867</v>
      </c>
      <c r="E183" s="127">
        <f t="shared" si="212"/>
        <v>0.68413963441509917</v>
      </c>
      <c r="F183" s="127">
        <f t="shared" si="212"/>
        <v>0.66389775524846484</v>
      </c>
      <c r="G183" s="127">
        <f t="shared" si="212"/>
        <v>0.65953008665628587</v>
      </c>
      <c r="H183" s="127">
        <f t="shared" si="212"/>
        <v>0.67582686836395545</v>
      </c>
      <c r="I183" s="127">
        <f t="shared" si="212"/>
        <v>0.68377389533321342</v>
      </c>
      <c r="J183" s="127">
        <f t="shared" si="212"/>
        <v>0.68849970494716017</v>
      </c>
      <c r="K183" s="127">
        <f t="shared" si="212"/>
        <v>0.66837068628757557</v>
      </c>
      <c r="L183" s="127">
        <f t="shared" si="212"/>
        <v>0.67436611145160763</v>
      </c>
      <c r="M183" s="127">
        <f t="shared" si="212"/>
        <v>0.68967238602725467</v>
      </c>
      <c r="N183" s="127">
        <f t="shared" si="212"/>
        <v>0.69264374920859251</v>
      </c>
      <c r="O183" s="127">
        <f t="shared" si="212"/>
        <v>0.69533520670254811</v>
      </c>
      <c r="P183" s="127">
        <f t="shared" si="212"/>
        <v>0.69020353746338414</v>
      </c>
      <c r="Q183" s="127">
        <f t="shared" si="212"/>
        <v>0.70240824180557315</v>
      </c>
      <c r="R183" s="127">
        <f t="shared" si="212"/>
        <v>0.70430256143141357</v>
      </c>
      <c r="S183" s="127">
        <f t="shared" si="212"/>
        <v>0.70241360939135855</v>
      </c>
      <c r="T183" s="127">
        <f t="shared" si="212"/>
        <v>0.68476913725394839</v>
      </c>
      <c r="U183" s="127">
        <f t="shared" si="212"/>
        <v>0.65606467374956245</v>
      </c>
      <c r="V183" s="127">
        <f t="shared" si="212"/>
        <v>0.69711942132730775</v>
      </c>
      <c r="W183" s="127">
        <f t="shared" si="212"/>
        <v>0.69818964539853412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38.12597244693432</v>
      </c>
      <c r="C186" s="32">
        <f t="shared" si="213"/>
        <v>37.570893080635962</v>
      </c>
      <c r="D186" s="32">
        <f t="shared" si="213"/>
        <v>38.018702203090022</v>
      </c>
      <c r="E186" s="32">
        <f t="shared" si="213"/>
        <v>39.005765161866677</v>
      </c>
      <c r="F186" s="32">
        <f t="shared" si="213"/>
        <v>39.592871007608082</v>
      </c>
      <c r="G186" s="32">
        <f t="shared" si="213"/>
        <v>38.44703566875797</v>
      </c>
      <c r="H186" s="32">
        <f t="shared" si="213"/>
        <v>38.191188988834099</v>
      </c>
      <c r="I186" s="32">
        <f t="shared" si="213"/>
        <v>37.528096723851597</v>
      </c>
      <c r="J186" s="32">
        <f t="shared" si="213"/>
        <v>37.657261323555133</v>
      </c>
      <c r="K186" s="32">
        <f t="shared" si="213"/>
        <v>38.166367407615304</v>
      </c>
      <c r="L186" s="32">
        <f t="shared" si="213"/>
        <v>39.142757811684511</v>
      </c>
      <c r="M186" s="32">
        <f t="shared" si="213"/>
        <v>37.091446436593003</v>
      </c>
      <c r="N186" s="32">
        <f t="shared" si="213"/>
        <v>35.783366320626435</v>
      </c>
      <c r="O186" s="32">
        <f t="shared" si="213"/>
        <v>35.463408889471694</v>
      </c>
      <c r="P186" s="32">
        <f t="shared" si="213"/>
        <v>35.235987388450191</v>
      </c>
      <c r="Q186" s="32">
        <f t="shared" si="213"/>
        <v>35.326062165128256</v>
      </c>
      <c r="R186" s="32">
        <f t="shared" si="213"/>
        <v>34.124108158265017</v>
      </c>
      <c r="S186" s="32">
        <f t="shared" si="213"/>
        <v>33.359006753756923</v>
      </c>
      <c r="T186" s="32">
        <f t="shared" si="213"/>
        <v>32.468056798511753</v>
      </c>
      <c r="U186" s="32">
        <f t="shared" si="213"/>
        <v>32.023830660414866</v>
      </c>
      <c r="V186" s="32">
        <f t="shared" si="213"/>
        <v>35.033779490125369</v>
      </c>
      <c r="W186" s="32">
        <f t="shared" ref="W186" si="214">IF(W34=0,0,W34/W4*1000)</f>
        <v>35.018747127488609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39.533874389690837</v>
      </c>
      <c r="C187" s="141">
        <f t="shared" si="215"/>
        <v>38.968878505262403</v>
      </c>
      <c r="D187" s="141">
        <f t="shared" si="215"/>
        <v>39.761390747255028</v>
      </c>
      <c r="E187" s="141">
        <f t="shared" si="215"/>
        <v>40.62444771750296</v>
      </c>
      <c r="F187" s="141">
        <f t="shared" si="215"/>
        <v>41.016424384416972</v>
      </c>
      <c r="G187" s="141">
        <f t="shared" si="215"/>
        <v>39.950661118131393</v>
      </c>
      <c r="H187" s="141">
        <f t="shared" si="215"/>
        <v>39.800840339381402</v>
      </c>
      <c r="I187" s="141">
        <f t="shared" si="215"/>
        <v>39.556618849135639</v>
      </c>
      <c r="J187" s="141">
        <f t="shared" si="215"/>
        <v>39.975397444517021</v>
      </c>
      <c r="K187" s="141">
        <f t="shared" si="215"/>
        <v>41.040711284161574</v>
      </c>
      <c r="L187" s="141">
        <f t="shared" si="215"/>
        <v>42.478704700368887</v>
      </c>
      <c r="M187" s="141">
        <f t="shared" si="215"/>
        <v>40.361963403923845</v>
      </c>
      <c r="N187" s="141">
        <f t="shared" si="215"/>
        <v>38.69151074157265</v>
      </c>
      <c r="O187" s="141">
        <f t="shared" si="215"/>
        <v>38.703236908824429</v>
      </c>
      <c r="P187" s="141">
        <f t="shared" si="215"/>
        <v>39.053421742998829</v>
      </c>
      <c r="Q187" s="141">
        <f t="shared" si="215"/>
        <v>39.164275779739071</v>
      </c>
      <c r="R187" s="141">
        <f t="shared" si="215"/>
        <v>37.692911371887995</v>
      </c>
      <c r="S187" s="141">
        <f t="shared" si="215"/>
        <v>37.439128373937862</v>
      </c>
      <c r="T187" s="141">
        <f t="shared" si="215"/>
        <v>36.597955556736252</v>
      </c>
      <c r="U187" s="141">
        <f t="shared" si="215"/>
        <v>36.940335545962789</v>
      </c>
      <c r="V187" s="141">
        <f t="shared" si="215"/>
        <v>36.720990845392656</v>
      </c>
      <c r="W187" s="141">
        <f t="shared" ref="W187" si="216">IF(W35=0,0,W35/W5*1000)</f>
        <v>36.892526501162507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35.28721653036915</v>
      </c>
      <c r="C188" s="97">
        <f t="shared" si="217"/>
        <v>33.228788367330935</v>
      </c>
      <c r="D188" s="97">
        <f t="shared" si="217"/>
        <v>33.08001427655033</v>
      </c>
      <c r="E188" s="97">
        <f t="shared" si="217"/>
        <v>32.674434929422404</v>
      </c>
      <c r="F188" s="97">
        <f t="shared" si="217"/>
        <v>32.415659603752303</v>
      </c>
      <c r="G188" s="97">
        <f t="shared" si="217"/>
        <v>32.189748576356031</v>
      </c>
      <c r="H188" s="97">
        <f t="shared" si="217"/>
        <v>31.876405969237165</v>
      </c>
      <c r="I188" s="97">
        <f t="shared" si="217"/>
        <v>31.521492342806429</v>
      </c>
      <c r="J188" s="97">
        <f t="shared" si="217"/>
        <v>31.2912681120103</v>
      </c>
      <c r="K188" s="97">
        <f t="shared" si="217"/>
        <v>30.954822404290969</v>
      </c>
      <c r="L188" s="97">
        <f t="shared" si="217"/>
        <v>30.304565196244592</v>
      </c>
      <c r="M188" s="97">
        <f t="shared" si="217"/>
        <v>29.774161981033494</v>
      </c>
      <c r="N188" s="97">
        <f t="shared" si="217"/>
        <v>29.455100453694882</v>
      </c>
      <c r="O188" s="97">
        <f t="shared" si="217"/>
        <v>29.039419159628185</v>
      </c>
      <c r="P188" s="97">
        <f t="shared" si="217"/>
        <v>28.47617149517782</v>
      </c>
      <c r="Q188" s="97">
        <f t="shared" si="217"/>
        <v>28.228153691486913</v>
      </c>
      <c r="R188" s="97">
        <f t="shared" si="217"/>
        <v>28.501783022201483</v>
      </c>
      <c r="S188" s="97">
        <f t="shared" si="217"/>
        <v>28.744936556465706</v>
      </c>
      <c r="T188" s="97">
        <f t="shared" si="217"/>
        <v>28.404622871240651</v>
      </c>
      <c r="U188" s="97">
        <f t="shared" si="217"/>
        <v>28.21302494981423</v>
      </c>
      <c r="V188" s="97">
        <f t="shared" si="217"/>
        <v>27.436799945501708</v>
      </c>
      <c r="W188" s="97">
        <f t="shared" ref="W188" si="218">IF(W36=0,0,W36/W6*1000)</f>
        <v>25.148698972279675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41.664492665735992</v>
      </c>
      <c r="C189" s="97">
        <f t="shared" si="219"/>
        <v>40.633275161136524</v>
      </c>
      <c r="D189" s="97">
        <f t="shared" si="219"/>
        <v>40.840894101954738</v>
      </c>
      <c r="E189" s="97">
        <f t="shared" si="219"/>
        <v>42.166839352498521</v>
      </c>
      <c r="F189" s="97">
        <f t="shared" si="219"/>
        <v>42.828005319373624</v>
      </c>
      <c r="G189" s="97">
        <f t="shared" si="219"/>
        <v>40.854377059452723</v>
      </c>
      <c r="H189" s="97">
        <f t="shared" si="219"/>
        <v>40.556535076334605</v>
      </c>
      <c r="I189" s="97">
        <f t="shared" si="219"/>
        <v>40.317666672231887</v>
      </c>
      <c r="J189" s="97">
        <f t="shared" si="219"/>
        <v>40.714980817640438</v>
      </c>
      <c r="K189" s="97">
        <f t="shared" si="219"/>
        <v>41.701825830098798</v>
      </c>
      <c r="L189" s="97">
        <f t="shared" si="219"/>
        <v>43.264734954662089</v>
      </c>
      <c r="M189" s="97">
        <f t="shared" si="219"/>
        <v>40.847435237187618</v>
      </c>
      <c r="N189" s="97">
        <f t="shared" si="219"/>
        <v>39.538648803269346</v>
      </c>
      <c r="O189" s="97">
        <f t="shared" si="219"/>
        <v>39.72395820828747</v>
      </c>
      <c r="P189" s="97">
        <f t="shared" si="219"/>
        <v>39.477277035001421</v>
      </c>
      <c r="Q189" s="97">
        <f t="shared" si="219"/>
        <v>39.461916523769254</v>
      </c>
      <c r="R189" s="97">
        <f t="shared" si="219"/>
        <v>37.659679609017466</v>
      </c>
      <c r="S189" s="97">
        <f t="shared" si="219"/>
        <v>37.650284162351156</v>
      </c>
      <c r="T189" s="97">
        <f t="shared" si="219"/>
        <v>36.75536900364208</v>
      </c>
      <c r="U189" s="97">
        <f t="shared" si="219"/>
        <v>37.303633528056494</v>
      </c>
      <c r="V189" s="97">
        <f t="shared" si="219"/>
        <v>36.492542290813908</v>
      </c>
      <c r="W189" s="97">
        <f t="shared" ref="W189" si="220">IF(W37=0,0,W37/W7*1000)</f>
        <v>36.998853180019147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27.302435906448832</v>
      </c>
      <c r="C190" s="97">
        <f t="shared" si="221"/>
        <v>28.92528972213448</v>
      </c>
      <c r="D190" s="97">
        <f t="shared" si="221"/>
        <v>32.550410174015653</v>
      </c>
      <c r="E190" s="97">
        <f t="shared" si="221"/>
        <v>30.153352902405715</v>
      </c>
      <c r="F190" s="97">
        <f t="shared" si="221"/>
        <v>28.754285934587966</v>
      </c>
      <c r="G190" s="97">
        <f t="shared" si="221"/>
        <v>30.552465991066484</v>
      </c>
      <c r="H190" s="97">
        <f t="shared" si="221"/>
        <v>32.075604145615863</v>
      </c>
      <c r="I190" s="97">
        <f t="shared" si="221"/>
        <v>31.799564190123622</v>
      </c>
      <c r="J190" s="97">
        <f t="shared" si="221"/>
        <v>32.768208330978922</v>
      </c>
      <c r="K190" s="97">
        <f t="shared" si="221"/>
        <v>35.018796400913587</v>
      </c>
      <c r="L190" s="97">
        <f t="shared" si="221"/>
        <v>35.634771056382533</v>
      </c>
      <c r="M190" s="97">
        <f t="shared" si="221"/>
        <v>36.976594713833457</v>
      </c>
      <c r="N190" s="97">
        <f t="shared" si="221"/>
        <v>29.883802311002764</v>
      </c>
      <c r="O190" s="97">
        <f t="shared" si="221"/>
        <v>27.912803732259203</v>
      </c>
      <c r="P190" s="97">
        <f t="shared" si="221"/>
        <v>36.351993374635029</v>
      </c>
      <c r="Q190" s="97">
        <f t="shared" si="221"/>
        <v>38.240753429715838</v>
      </c>
      <c r="R190" s="97">
        <f t="shared" si="221"/>
        <v>41.656589726596145</v>
      </c>
      <c r="S190" s="97">
        <f t="shared" si="221"/>
        <v>36.923519608315978</v>
      </c>
      <c r="T190" s="97">
        <f t="shared" si="221"/>
        <v>36.547759005781444</v>
      </c>
      <c r="U190" s="97">
        <f t="shared" si="221"/>
        <v>34.107218014618617</v>
      </c>
      <c r="V190" s="97">
        <f t="shared" si="221"/>
        <v>46.073170107571883</v>
      </c>
      <c r="W190" s="97">
        <f t="shared" ref="W190" si="222">IF(W38=0,0,W38/W8*1000)</f>
        <v>38.9514357886897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16.21429541916315</v>
      </c>
      <c r="C191" s="130">
        <f t="shared" si="223"/>
        <v>13.462567260366727</v>
      </c>
      <c r="D191" s="130">
        <f t="shared" si="223"/>
        <v>13.193509369363065</v>
      </c>
      <c r="E191" s="130">
        <f t="shared" si="223"/>
        <v>12.70746224595308</v>
      </c>
      <c r="F191" s="130">
        <f t="shared" si="223"/>
        <v>12.214247170946795</v>
      </c>
      <c r="G191" s="130">
        <f t="shared" si="223"/>
        <v>11.726381835548642</v>
      </c>
      <c r="H191" s="130">
        <f t="shared" si="223"/>
        <v>11.670894760006483</v>
      </c>
      <c r="I191" s="130">
        <f t="shared" si="223"/>
        <v>11.028812834724546</v>
      </c>
      <c r="J191" s="130">
        <f t="shared" si="223"/>
        <v>10.475047544265296</v>
      </c>
      <c r="K191" s="130">
        <f t="shared" si="223"/>
        <v>9.5942622709241636</v>
      </c>
      <c r="L191" s="130">
        <f t="shared" si="223"/>
        <v>9.1815646163785214</v>
      </c>
      <c r="M191" s="130">
        <f t="shared" si="223"/>
        <v>7.4065973669819041</v>
      </c>
      <c r="N191" s="130">
        <f t="shared" si="223"/>
        <v>7.6132164503380899</v>
      </c>
      <c r="O191" s="130">
        <f t="shared" si="223"/>
        <v>6.2902824206628605</v>
      </c>
      <c r="P191" s="130">
        <f t="shared" si="223"/>
        <v>5.9869034233336027</v>
      </c>
      <c r="Q191" s="130">
        <f t="shared" si="223"/>
        <v>5.8093728498865103</v>
      </c>
      <c r="R191" s="130">
        <f t="shared" si="223"/>
        <v>7.2655113852128501</v>
      </c>
      <c r="S191" s="130">
        <f t="shared" si="223"/>
        <v>7.6917735160007785</v>
      </c>
      <c r="T191" s="130">
        <f t="shared" si="223"/>
        <v>7.5785298247294151</v>
      </c>
      <c r="U191" s="130">
        <f t="shared" si="223"/>
        <v>6.9059789927090449</v>
      </c>
      <c r="V191" s="130">
        <f t="shared" si="223"/>
        <v>11.333088134973989</v>
      </c>
      <c r="W191" s="130">
        <f t="shared" ref="W191" si="224">IF(W39=0,0,W39/W9*1000)</f>
        <v>10.85356788192145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5.0433314068600454</v>
      </c>
      <c r="C192" s="97">
        <f t="shared" si="225"/>
        <v>4.9853073021000469</v>
      </c>
      <c r="D192" s="97">
        <f t="shared" si="225"/>
        <v>4.9563859624434361</v>
      </c>
      <c r="E192" s="97">
        <f t="shared" si="225"/>
        <v>4.9117708744631594</v>
      </c>
      <c r="F192" s="97">
        <f t="shared" si="225"/>
        <v>4.7249279612063004</v>
      </c>
      <c r="G192" s="97">
        <f t="shared" si="225"/>
        <v>4.8326786153845731</v>
      </c>
      <c r="H192" s="97">
        <f t="shared" si="225"/>
        <v>4.954156506844833</v>
      </c>
      <c r="I192" s="97">
        <f t="shared" si="225"/>
        <v>4.7768587860784306</v>
      </c>
      <c r="J192" s="97">
        <f t="shared" si="225"/>
        <v>4.7371900563210119</v>
      </c>
      <c r="K192" s="97">
        <f t="shared" si="225"/>
        <v>4.6363343993471302</v>
      </c>
      <c r="L192" s="97">
        <f t="shared" si="225"/>
        <v>4.5980714986288103</v>
      </c>
      <c r="M192" s="97">
        <f t="shared" si="225"/>
        <v>4.4670646515638452</v>
      </c>
      <c r="N192" s="97">
        <f t="shared" si="225"/>
        <v>4.4965346838229445</v>
      </c>
      <c r="O192" s="97">
        <f t="shared" si="225"/>
        <v>4.5439524506565325</v>
      </c>
      <c r="P192" s="97">
        <f t="shared" si="225"/>
        <v>4.4450904133240616</v>
      </c>
      <c r="Q192" s="97">
        <f t="shared" si="225"/>
        <v>4.4209558690752235</v>
      </c>
      <c r="R192" s="97">
        <f t="shared" si="225"/>
        <v>4.3354228951145339</v>
      </c>
      <c r="S192" s="97">
        <f t="shared" si="225"/>
        <v>4.264223843022414</v>
      </c>
      <c r="T192" s="97">
        <f t="shared" si="225"/>
        <v>4.2235730160239857</v>
      </c>
      <c r="U192" s="97">
        <f t="shared" si="225"/>
        <v>4.1320516272960361</v>
      </c>
      <c r="V192" s="97">
        <f t="shared" si="225"/>
        <v>7.2451335863848572</v>
      </c>
      <c r="W192" s="97">
        <f t="shared" ref="W192" si="226">IF(W40=0,0,W40/W10*1000)</f>
        <v>6.7987072273832956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17.68270090689148</v>
      </c>
      <c r="C193" s="97">
        <f t="shared" si="227"/>
        <v>14.619908612384597</v>
      </c>
      <c r="D193" s="97">
        <f t="shared" si="227"/>
        <v>14.347755961415498</v>
      </c>
      <c r="E193" s="97">
        <f t="shared" si="227"/>
        <v>14.306897992301932</v>
      </c>
      <c r="F193" s="97">
        <f t="shared" si="227"/>
        <v>14.089672604272536</v>
      </c>
      <c r="G193" s="97">
        <f t="shared" si="227"/>
        <v>13.397117180251044</v>
      </c>
      <c r="H193" s="97">
        <f t="shared" si="227"/>
        <v>13.524429369606322</v>
      </c>
      <c r="I193" s="97">
        <f t="shared" si="227"/>
        <v>12.636078890530545</v>
      </c>
      <c r="J193" s="97">
        <f t="shared" si="227"/>
        <v>11.885144660263514</v>
      </c>
      <c r="K193" s="97">
        <f t="shared" si="227"/>
        <v>10.670096588095916</v>
      </c>
      <c r="L193" s="97">
        <f t="shared" si="227"/>
        <v>10.144392876443924</v>
      </c>
      <c r="M193" s="97">
        <f t="shared" si="227"/>
        <v>7.513380821174688</v>
      </c>
      <c r="N193" s="97">
        <f t="shared" si="227"/>
        <v>7.7335202145486619</v>
      </c>
      <c r="O193" s="97">
        <f t="shared" si="227"/>
        <v>5.769350987950947</v>
      </c>
      <c r="P193" s="97">
        <f t="shared" si="227"/>
        <v>5.5511261750540735</v>
      </c>
      <c r="Q193" s="97">
        <f t="shared" si="227"/>
        <v>5.4103750998589994</v>
      </c>
      <c r="R193" s="97">
        <f t="shared" si="227"/>
        <v>7.6403842225009004</v>
      </c>
      <c r="S193" s="97">
        <f t="shared" si="227"/>
        <v>8.3912777169039074</v>
      </c>
      <c r="T193" s="97">
        <f t="shared" si="227"/>
        <v>8.3474247980966325</v>
      </c>
      <c r="U193" s="97">
        <f t="shared" si="227"/>
        <v>7.4487423431250939</v>
      </c>
      <c r="V193" s="97">
        <f t="shared" si="227"/>
        <v>12.084709995934119</v>
      </c>
      <c r="W193" s="97">
        <f t="shared" ref="W193" si="228">IF(W41=0,0,W41/W11*1000)</f>
        <v>11.34785561260388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12.499895413474405</v>
      </c>
      <c r="G194" s="97">
        <f t="shared" si="229"/>
        <v>12.336038794563597</v>
      </c>
      <c r="H194" s="97">
        <f t="shared" si="229"/>
        <v>12.442724447685263</v>
      </c>
      <c r="I194" s="97">
        <f t="shared" si="229"/>
        <v>12.943775079531632</v>
      </c>
      <c r="J194" s="97">
        <f t="shared" si="229"/>
        <v>12.534370282470915</v>
      </c>
      <c r="K194" s="97">
        <f t="shared" si="229"/>
        <v>12.319555303602062</v>
      </c>
      <c r="L194" s="97">
        <f t="shared" si="229"/>
        <v>12.52466501776391</v>
      </c>
      <c r="M194" s="97">
        <f t="shared" si="229"/>
        <v>13.784071941099793</v>
      </c>
      <c r="N194" s="97">
        <f t="shared" si="229"/>
        <v>13.678647252918037</v>
      </c>
      <c r="O194" s="97">
        <f t="shared" si="229"/>
        <v>13.39234499529042</v>
      </c>
      <c r="P194" s="97">
        <f t="shared" si="229"/>
        <v>11.441219641858119</v>
      </c>
      <c r="Q194" s="97">
        <f t="shared" si="229"/>
        <v>10.646339355374151</v>
      </c>
      <c r="R194" s="97">
        <f t="shared" si="229"/>
        <v>10.100029010213239</v>
      </c>
      <c r="S194" s="97">
        <f t="shared" si="229"/>
        <v>9.4381171249514377</v>
      </c>
      <c r="T194" s="97">
        <f t="shared" si="229"/>
        <v>9.0003433741169019</v>
      </c>
      <c r="U194" s="97">
        <f t="shared" si="229"/>
        <v>8.6546523720988091</v>
      </c>
      <c r="V194" s="97">
        <f t="shared" si="229"/>
        <v>15.645817271473399</v>
      </c>
      <c r="W194" s="97">
        <f t="shared" ref="W194" si="230">IF(W42=0,0,W42/W12*1000)</f>
        <v>15.773376249330148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37.211383926466944</v>
      </c>
      <c r="C195" s="130">
        <f t="shared" si="231"/>
        <v>37.028735723236935</v>
      </c>
      <c r="D195" s="130">
        <f t="shared" si="231"/>
        <v>35.832683023482346</v>
      </c>
      <c r="E195" s="130">
        <f t="shared" si="231"/>
        <v>37.405597823092009</v>
      </c>
      <c r="F195" s="130">
        <f t="shared" si="231"/>
        <v>39.100578098005514</v>
      </c>
      <c r="G195" s="130">
        <f t="shared" si="231"/>
        <v>37.743363732738942</v>
      </c>
      <c r="H195" s="130">
        <f t="shared" si="231"/>
        <v>37.252139971000943</v>
      </c>
      <c r="I195" s="130">
        <f t="shared" si="231"/>
        <v>35.325035016386167</v>
      </c>
      <c r="J195" s="130">
        <f t="shared" si="231"/>
        <v>34.880524991359223</v>
      </c>
      <c r="K195" s="130">
        <f t="shared" si="231"/>
        <v>33.747039482640254</v>
      </c>
      <c r="L195" s="130">
        <f t="shared" si="231"/>
        <v>33.990957875284678</v>
      </c>
      <c r="M195" s="130">
        <f t="shared" si="231"/>
        <v>32.64187749328039</v>
      </c>
      <c r="N195" s="130">
        <f t="shared" si="231"/>
        <v>31.859947647660618</v>
      </c>
      <c r="O195" s="130">
        <f t="shared" si="231"/>
        <v>30.783399606432152</v>
      </c>
      <c r="P195" s="130">
        <f t="shared" si="231"/>
        <v>29.524664612719757</v>
      </c>
      <c r="Q195" s="130">
        <f t="shared" si="231"/>
        <v>29.974953649728196</v>
      </c>
      <c r="R195" s="130">
        <f t="shared" si="231"/>
        <v>29.373467095428413</v>
      </c>
      <c r="S195" s="130">
        <f t="shared" si="231"/>
        <v>28.144697751547607</v>
      </c>
      <c r="T195" s="130">
        <f t="shared" si="231"/>
        <v>27.328970018597374</v>
      </c>
      <c r="U195" s="130">
        <f t="shared" si="231"/>
        <v>26.099596245212808</v>
      </c>
      <c r="V195" s="130">
        <f t="shared" si="231"/>
        <v>31.032013385521239</v>
      </c>
      <c r="W195" s="130">
        <f t="shared" ref="W195" si="232">IF(W43=0,0,W43/W13*1000)</f>
        <v>31.02982860905249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47.671308297129862</v>
      </c>
      <c r="C196" s="97">
        <f t="shared" si="233"/>
        <v>47.85750837512613</v>
      </c>
      <c r="D196" s="97">
        <f t="shared" si="233"/>
        <v>50.215951961308704</v>
      </c>
      <c r="E196" s="97">
        <f t="shared" si="233"/>
        <v>47.973298266481621</v>
      </c>
      <c r="F196" s="97">
        <f t="shared" si="233"/>
        <v>51.688931275107102</v>
      </c>
      <c r="G196" s="97">
        <f t="shared" si="233"/>
        <v>52.397052243813157</v>
      </c>
      <c r="H196" s="97">
        <f t="shared" si="233"/>
        <v>61.931851515041274</v>
      </c>
      <c r="I196" s="97">
        <f t="shared" si="233"/>
        <v>61.313388768557083</v>
      </c>
      <c r="J196" s="97">
        <f t="shared" si="233"/>
        <v>53.845643592400968</v>
      </c>
      <c r="K196" s="97">
        <f t="shared" si="233"/>
        <v>45.844914353698449</v>
      </c>
      <c r="L196" s="97">
        <f t="shared" si="233"/>
        <v>53.936613627051813</v>
      </c>
      <c r="M196" s="97">
        <f t="shared" si="233"/>
        <v>52.875790601779798</v>
      </c>
      <c r="N196" s="97">
        <f t="shared" si="233"/>
        <v>52.748633615818449</v>
      </c>
      <c r="O196" s="97">
        <f t="shared" si="233"/>
        <v>51.739231534110658</v>
      </c>
      <c r="P196" s="97">
        <f t="shared" si="233"/>
        <v>50.322146831317291</v>
      </c>
      <c r="Q196" s="97">
        <f t="shared" si="233"/>
        <v>42.317886523280116</v>
      </c>
      <c r="R196" s="97">
        <f t="shared" si="233"/>
        <v>38.350453998435334</v>
      </c>
      <c r="S196" s="97">
        <f t="shared" si="233"/>
        <v>39.822087416414298</v>
      </c>
      <c r="T196" s="97">
        <f t="shared" si="233"/>
        <v>40.646281736905273</v>
      </c>
      <c r="U196" s="97">
        <f t="shared" si="233"/>
        <v>37.315713590018468</v>
      </c>
      <c r="V196" s="97">
        <f t="shared" si="233"/>
        <v>55.971773722737069</v>
      </c>
      <c r="W196" s="97">
        <f t="shared" ref="W196" si="234">IF(W44=0,0,W44/W14*1000)</f>
        <v>39.686464056863116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30.644118320579985</v>
      </c>
      <c r="C197" s="97">
        <f t="shared" si="235"/>
        <v>30.489457398399942</v>
      </c>
      <c r="D197" s="97">
        <f t="shared" si="235"/>
        <v>29.496101950121364</v>
      </c>
      <c r="E197" s="97">
        <f t="shared" si="235"/>
        <v>31.595162018663761</v>
      </c>
      <c r="F197" s="97">
        <f t="shared" si="235"/>
        <v>34.263210858514761</v>
      </c>
      <c r="G197" s="97">
        <f t="shared" si="235"/>
        <v>33.989693470035327</v>
      </c>
      <c r="H197" s="97">
        <f t="shared" si="235"/>
        <v>33.458109530038392</v>
      </c>
      <c r="I197" s="97">
        <f t="shared" si="235"/>
        <v>33.285875159428777</v>
      </c>
      <c r="J197" s="97">
        <f t="shared" si="235"/>
        <v>34.535837652613552</v>
      </c>
      <c r="K197" s="97">
        <f t="shared" si="235"/>
        <v>33.309152961721644</v>
      </c>
      <c r="L197" s="97">
        <f t="shared" si="235"/>
        <v>33.688961133690711</v>
      </c>
      <c r="M197" s="97">
        <f t="shared" si="235"/>
        <v>32.648339747546395</v>
      </c>
      <c r="N197" s="97">
        <f t="shared" si="235"/>
        <v>31.649988747657023</v>
      </c>
      <c r="O197" s="97">
        <f t="shared" si="235"/>
        <v>29.950786297394746</v>
      </c>
      <c r="P197" s="97">
        <f t="shared" si="235"/>
        <v>28.815990108512732</v>
      </c>
      <c r="Q197" s="97">
        <f t="shared" si="235"/>
        <v>29.02534326029955</v>
      </c>
      <c r="R197" s="97">
        <f t="shared" si="235"/>
        <v>28.671427585334495</v>
      </c>
      <c r="S197" s="97">
        <f t="shared" si="235"/>
        <v>28.127734943421682</v>
      </c>
      <c r="T197" s="97">
        <f t="shared" si="235"/>
        <v>28.15195515105804</v>
      </c>
      <c r="U197" s="97">
        <f t="shared" si="235"/>
        <v>28.409547749795337</v>
      </c>
      <c r="V197" s="97">
        <f t="shared" si="235"/>
        <v>26.597444415700334</v>
      </c>
      <c r="W197" s="97">
        <f t="shared" ref="W197" si="236">IF(W45=0,0,W45/W15*1000)</f>
        <v>28.602248666290031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47.361998822330712</v>
      </c>
      <c r="C198" s="97">
        <f t="shared" si="237"/>
        <v>46.587144617141114</v>
      </c>
      <c r="D198" s="97">
        <f t="shared" si="237"/>
        <v>43.040127511105027</v>
      </c>
      <c r="E198" s="97">
        <f t="shared" si="237"/>
        <v>44.750817250979978</v>
      </c>
      <c r="F198" s="97">
        <f t="shared" si="237"/>
        <v>43.54998821164444</v>
      </c>
      <c r="G198" s="97">
        <f t="shared" si="237"/>
        <v>39.375854529577353</v>
      </c>
      <c r="H198" s="97">
        <f t="shared" si="237"/>
        <v>37.588651292973864</v>
      </c>
      <c r="I198" s="97">
        <f t="shared" si="237"/>
        <v>32.912583432842993</v>
      </c>
      <c r="J198" s="97">
        <f t="shared" si="237"/>
        <v>31.374608906005104</v>
      </c>
      <c r="K198" s="97">
        <f t="shared" si="237"/>
        <v>31.50971820320305</v>
      </c>
      <c r="L198" s="97">
        <f t="shared" si="237"/>
        <v>30.13804594853006</v>
      </c>
      <c r="M198" s="97">
        <f t="shared" si="237"/>
        <v>28.959733795919156</v>
      </c>
      <c r="N198" s="97">
        <f t="shared" si="237"/>
        <v>28.511991683515067</v>
      </c>
      <c r="O198" s="97">
        <f t="shared" si="237"/>
        <v>28.214678653070607</v>
      </c>
      <c r="P198" s="97">
        <f t="shared" si="237"/>
        <v>27.056713652292409</v>
      </c>
      <c r="Q198" s="97">
        <f t="shared" si="237"/>
        <v>28.86875287663614</v>
      </c>
      <c r="R198" s="97">
        <f t="shared" si="237"/>
        <v>28.367541737150894</v>
      </c>
      <c r="S198" s="97">
        <f t="shared" si="237"/>
        <v>25.422861778626093</v>
      </c>
      <c r="T198" s="97">
        <f t="shared" si="237"/>
        <v>23.37522550775644</v>
      </c>
      <c r="U198" s="97">
        <f t="shared" si="237"/>
        <v>21.155841202898873</v>
      </c>
      <c r="V198" s="97">
        <f t="shared" si="237"/>
        <v>32.032185976648428</v>
      </c>
      <c r="W198" s="97">
        <f t="shared" ref="W198" si="238">IF(W46=0,0,W46/W16*1000)</f>
        <v>31.875840742603515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102.77374516838169</v>
      </c>
      <c r="C199" s="32">
        <f t="shared" si="239"/>
        <v>95.381935995499788</v>
      </c>
      <c r="D199" s="32">
        <f t="shared" si="239"/>
        <v>99.871158618666655</v>
      </c>
      <c r="E199" s="32">
        <f t="shared" si="239"/>
        <v>105.60717062975702</v>
      </c>
      <c r="F199" s="32">
        <f t="shared" si="239"/>
        <v>90.89464644169486</v>
      </c>
      <c r="G199" s="32">
        <f t="shared" si="239"/>
        <v>86.834442804807409</v>
      </c>
      <c r="H199" s="32">
        <f t="shared" si="239"/>
        <v>84.952486948510384</v>
      </c>
      <c r="I199" s="32">
        <f t="shared" si="239"/>
        <v>82.344377207177558</v>
      </c>
      <c r="J199" s="32">
        <f t="shared" si="239"/>
        <v>87.506380855200447</v>
      </c>
      <c r="K199" s="32">
        <f t="shared" si="239"/>
        <v>96.321958841865936</v>
      </c>
      <c r="L199" s="32">
        <f t="shared" si="239"/>
        <v>99.67018917206444</v>
      </c>
      <c r="M199" s="32">
        <f t="shared" si="239"/>
        <v>90.956614138255205</v>
      </c>
      <c r="N199" s="32">
        <f t="shared" si="239"/>
        <v>89.997358668992888</v>
      </c>
      <c r="O199" s="32">
        <f t="shared" si="239"/>
        <v>89.685049328782441</v>
      </c>
      <c r="P199" s="32">
        <f t="shared" si="239"/>
        <v>82.740601740365008</v>
      </c>
      <c r="Q199" s="32">
        <f t="shared" si="239"/>
        <v>85.049464259592796</v>
      </c>
      <c r="R199" s="32">
        <f t="shared" si="239"/>
        <v>84.837639622338912</v>
      </c>
      <c r="S199" s="32">
        <f t="shared" si="239"/>
        <v>83.100986399136559</v>
      </c>
      <c r="T199" s="32">
        <f t="shared" si="239"/>
        <v>83.132887794604628</v>
      </c>
      <c r="U199" s="32">
        <f t="shared" si="239"/>
        <v>84.579673994529571</v>
      </c>
      <c r="V199" s="32">
        <f t="shared" si="239"/>
        <v>84.451822678311672</v>
      </c>
      <c r="W199" s="32">
        <f t="shared" ref="W199" si="240">IF(W47=0,0,W47/W17*1000)</f>
        <v>85.95950929581339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111.91651042495911</v>
      </c>
      <c r="C200" s="141">
        <f t="shared" si="241"/>
        <v>102.43311615977591</v>
      </c>
      <c r="D200" s="141">
        <f t="shared" si="241"/>
        <v>106.24386099998495</v>
      </c>
      <c r="E200" s="141">
        <f t="shared" si="241"/>
        <v>113.49991036575499</v>
      </c>
      <c r="F200" s="141">
        <f t="shared" si="241"/>
        <v>98.337541020593065</v>
      </c>
      <c r="G200" s="141">
        <f t="shared" si="241"/>
        <v>94.772719182044113</v>
      </c>
      <c r="H200" s="141">
        <f t="shared" si="241"/>
        <v>92.372008958899741</v>
      </c>
      <c r="I200" s="141">
        <f t="shared" si="241"/>
        <v>86.002914178313063</v>
      </c>
      <c r="J200" s="141">
        <f t="shared" si="241"/>
        <v>91.603420997007447</v>
      </c>
      <c r="K200" s="141">
        <f t="shared" si="241"/>
        <v>97.915328370707968</v>
      </c>
      <c r="L200" s="141">
        <f t="shared" si="241"/>
        <v>106.04559732176637</v>
      </c>
      <c r="M200" s="141">
        <f t="shared" si="241"/>
        <v>96.707199143677244</v>
      </c>
      <c r="N200" s="141">
        <f t="shared" si="241"/>
        <v>96.767555341675134</v>
      </c>
      <c r="O200" s="141">
        <f t="shared" si="241"/>
        <v>95.960606000812348</v>
      </c>
      <c r="P200" s="141">
        <f t="shared" si="241"/>
        <v>90.275946245229875</v>
      </c>
      <c r="Q200" s="141">
        <f t="shared" si="241"/>
        <v>93.397964697920912</v>
      </c>
      <c r="R200" s="141">
        <f t="shared" si="241"/>
        <v>93.357710922291957</v>
      </c>
      <c r="S200" s="141">
        <f t="shared" si="241"/>
        <v>91.519405376436708</v>
      </c>
      <c r="T200" s="141">
        <f t="shared" si="241"/>
        <v>91.533042089869255</v>
      </c>
      <c r="U200" s="141">
        <f t="shared" si="241"/>
        <v>92.972483569476694</v>
      </c>
      <c r="V200" s="141">
        <f t="shared" si="241"/>
        <v>94.078179243755983</v>
      </c>
      <c r="W200" s="141">
        <f t="shared" ref="W200" si="242">IF(W48=0,0,W48/W18*1000)</f>
        <v>92.228020089579033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737.91945229865678</v>
      </c>
      <c r="C201" s="97">
        <f t="shared" si="243"/>
        <v>688.11555235387402</v>
      </c>
      <c r="D201" s="97">
        <f t="shared" si="243"/>
        <v>685.28265888541375</v>
      </c>
      <c r="E201" s="97">
        <f t="shared" si="243"/>
        <v>691.25140676284661</v>
      </c>
      <c r="F201" s="97">
        <f t="shared" si="243"/>
        <v>673.36707571417469</v>
      </c>
      <c r="G201" s="97">
        <f t="shared" si="243"/>
        <v>646.62738851713152</v>
      </c>
      <c r="H201" s="97">
        <f t="shared" si="243"/>
        <v>627.34481351634361</v>
      </c>
      <c r="I201" s="97">
        <f t="shared" si="243"/>
        <v>602.62755257668243</v>
      </c>
      <c r="J201" s="97">
        <f t="shared" si="243"/>
        <v>586.90394010173134</v>
      </c>
      <c r="K201" s="97">
        <f t="shared" si="243"/>
        <v>572.84675542383934</v>
      </c>
      <c r="L201" s="97">
        <f t="shared" si="243"/>
        <v>557.89994778452467</v>
      </c>
      <c r="M201" s="97">
        <f t="shared" si="243"/>
        <v>535.97290883321307</v>
      </c>
      <c r="N201" s="97">
        <f t="shared" si="243"/>
        <v>519.51820485948815</v>
      </c>
      <c r="O201" s="97">
        <f t="shared" si="243"/>
        <v>512.36376460663928</v>
      </c>
      <c r="P201" s="97">
        <f t="shared" si="243"/>
        <v>499.87724476172053</v>
      </c>
      <c r="Q201" s="97">
        <f t="shared" si="243"/>
        <v>496.4139382846875</v>
      </c>
      <c r="R201" s="97">
        <f t="shared" si="243"/>
        <v>491.91492425118764</v>
      </c>
      <c r="S201" s="97">
        <f t="shared" si="243"/>
        <v>483.62971171903706</v>
      </c>
      <c r="T201" s="97">
        <f t="shared" si="243"/>
        <v>475.12838408396919</v>
      </c>
      <c r="U201" s="97">
        <f t="shared" si="243"/>
        <v>460.9451933867648</v>
      </c>
      <c r="V201" s="97">
        <f t="shared" si="243"/>
        <v>449.67484701491765</v>
      </c>
      <c r="W201" s="97">
        <f t="shared" ref="W201" si="244">IF(W49=0,0,W49/W19*1000)</f>
        <v>458.95162916947436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31.956015542345305</v>
      </c>
      <c r="C202" s="97">
        <f t="shared" si="245"/>
        <v>33.869550604393261</v>
      </c>
      <c r="D202" s="97">
        <f t="shared" si="245"/>
        <v>34.47140246276291</v>
      </c>
      <c r="E202" s="97">
        <f t="shared" si="245"/>
        <v>41.720487396749419</v>
      </c>
      <c r="F202" s="97">
        <f t="shared" si="245"/>
        <v>41.779527576689951</v>
      </c>
      <c r="G202" s="97">
        <f t="shared" si="245"/>
        <v>42.586018436597428</v>
      </c>
      <c r="H202" s="97">
        <f t="shared" si="245"/>
        <v>42.271471617909945</v>
      </c>
      <c r="I202" s="97">
        <f t="shared" si="245"/>
        <v>41.485385148063123</v>
      </c>
      <c r="J202" s="97">
        <f t="shared" si="245"/>
        <v>44.395872085185985</v>
      </c>
      <c r="K202" s="97">
        <f t="shared" si="245"/>
        <v>45.711830279906472</v>
      </c>
      <c r="L202" s="97">
        <f t="shared" si="245"/>
        <v>51.656582435540763</v>
      </c>
      <c r="M202" s="97">
        <f t="shared" si="245"/>
        <v>49.049751910604776</v>
      </c>
      <c r="N202" s="97">
        <f t="shared" si="245"/>
        <v>50.517910736943008</v>
      </c>
      <c r="O202" s="97">
        <f t="shared" si="245"/>
        <v>50.173805974904269</v>
      </c>
      <c r="P202" s="97">
        <f t="shared" si="245"/>
        <v>43.854397226337817</v>
      </c>
      <c r="Q202" s="97">
        <f t="shared" si="245"/>
        <v>46.774223282553713</v>
      </c>
      <c r="R202" s="97">
        <f t="shared" si="245"/>
        <v>46.057571232390231</v>
      </c>
      <c r="S202" s="97">
        <f t="shared" si="245"/>
        <v>44.098488606186322</v>
      </c>
      <c r="T202" s="97">
        <f t="shared" si="245"/>
        <v>43.523437341126332</v>
      </c>
      <c r="U202" s="97">
        <f t="shared" si="245"/>
        <v>44.752925527673668</v>
      </c>
      <c r="V202" s="97">
        <f t="shared" si="245"/>
        <v>46.061954567613405</v>
      </c>
      <c r="W202" s="97">
        <f t="shared" ref="W202" si="246">IF(W50=0,0,W50/W20*1000)</f>
        <v>44.205210772901559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6.8439177819047661</v>
      </c>
      <c r="C203" s="130">
        <f t="shared" si="247"/>
        <v>6.159695744727272</v>
      </c>
      <c r="D203" s="130">
        <f t="shared" si="247"/>
        <v>5.709470334693723</v>
      </c>
      <c r="E203" s="130">
        <f t="shared" si="247"/>
        <v>5.2942426987557525</v>
      </c>
      <c r="F203" s="130">
        <f t="shared" si="247"/>
        <v>5.1123208263891291</v>
      </c>
      <c r="G203" s="130">
        <f t="shared" si="247"/>
        <v>4.8931732861604518</v>
      </c>
      <c r="H203" s="130">
        <f t="shared" si="247"/>
        <v>4.7589155699514833</v>
      </c>
      <c r="I203" s="130">
        <f t="shared" si="247"/>
        <v>4.6087782141326077</v>
      </c>
      <c r="J203" s="130">
        <f t="shared" si="247"/>
        <v>4.3887884184823776</v>
      </c>
      <c r="K203" s="130">
        <f t="shared" si="247"/>
        <v>4.2028789041345362</v>
      </c>
      <c r="L203" s="130">
        <f t="shared" si="247"/>
        <v>3.9450809790718031</v>
      </c>
      <c r="M203" s="130">
        <f t="shared" si="247"/>
        <v>3.4943692753627515</v>
      </c>
      <c r="N203" s="130">
        <f t="shared" si="247"/>
        <v>3.2191064844860668</v>
      </c>
      <c r="O203" s="130">
        <f t="shared" si="247"/>
        <v>2.8399815540096869</v>
      </c>
      <c r="P203" s="130">
        <f t="shared" si="247"/>
        <v>2.788623753096608</v>
      </c>
      <c r="Q203" s="130">
        <f t="shared" si="247"/>
        <v>2.6854048603511069</v>
      </c>
      <c r="R203" s="130">
        <f t="shared" si="247"/>
        <v>2.5319694307188838</v>
      </c>
      <c r="S203" s="130">
        <f t="shared" si="247"/>
        <v>2.8286263551510729</v>
      </c>
      <c r="T203" s="130">
        <f t="shared" si="247"/>
        <v>2.709346424434794</v>
      </c>
      <c r="U203" s="130">
        <f t="shared" si="247"/>
        <v>2.8884600429432119</v>
      </c>
      <c r="V203" s="130">
        <f t="shared" si="247"/>
        <v>3.4164610399357431</v>
      </c>
      <c r="W203" s="130">
        <f t="shared" ref="W203" si="248">IF(W51=0,0,W51/W21*1000)</f>
        <v>4.6406098478350364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113.0205675900291</v>
      </c>
      <c r="C204" s="130">
        <f t="shared" si="249"/>
        <v>106.29358971486366</v>
      </c>
      <c r="D204" s="130">
        <f t="shared" si="249"/>
        <v>111.2509750205089</v>
      </c>
      <c r="E204" s="130">
        <f t="shared" si="249"/>
        <v>119.3124565047731</v>
      </c>
      <c r="F204" s="130">
        <f t="shared" si="249"/>
        <v>132.55823629187725</v>
      </c>
      <c r="G204" s="130">
        <f t="shared" si="249"/>
        <v>124.12210529969535</v>
      </c>
      <c r="H204" s="130">
        <f t="shared" si="249"/>
        <v>125.04450456591279</v>
      </c>
      <c r="I204" s="130">
        <f t="shared" si="249"/>
        <v>117.22559671092047</v>
      </c>
      <c r="J204" s="130">
        <f t="shared" si="249"/>
        <v>116.90673566047816</v>
      </c>
      <c r="K204" s="130">
        <f t="shared" si="249"/>
        <v>114.35865288895862</v>
      </c>
      <c r="L204" s="130">
        <f t="shared" si="249"/>
        <v>107.52131069433618</v>
      </c>
      <c r="M204" s="130">
        <f t="shared" si="249"/>
        <v>93.297391968919655</v>
      </c>
      <c r="N204" s="130">
        <f t="shared" si="249"/>
        <v>82.678648329814592</v>
      </c>
      <c r="O204" s="130">
        <f t="shared" si="249"/>
        <v>81.386108525794896</v>
      </c>
      <c r="P204" s="130">
        <f t="shared" si="249"/>
        <v>67.425232541481449</v>
      </c>
      <c r="Q204" s="130">
        <f t="shared" si="249"/>
        <v>72.369426361236435</v>
      </c>
      <c r="R204" s="130">
        <f t="shared" si="249"/>
        <v>67.103361104587691</v>
      </c>
      <c r="S204" s="130">
        <f t="shared" si="249"/>
        <v>63.538272085446003</v>
      </c>
      <c r="T204" s="130">
        <f t="shared" si="249"/>
        <v>59.315054789904245</v>
      </c>
      <c r="U204" s="130">
        <f t="shared" si="249"/>
        <v>48.655937226277302</v>
      </c>
      <c r="V204" s="130">
        <f t="shared" si="249"/>
        <v>75.845728117887887</v>
      </c>
      <c r="W204" s="130">
        <f t="shared" ref="W204" si="250">IF(W52=0,0,W52/W22*1000)</f>
        <v>73.818123201976164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1287.294742184813</v>
      </c>
      <c r="C205" s="97">
        <f t="shared" si="251"/>
        <v>1302.9295929270324</v>
      </c>
      <c r="D205" s="97">
        <f t="shared" si="251"/>
        <v>1269.8966687869993</v>
      </c>
      <c r="E205" s="97">
        <f t="shared" si="251"/>
        <v>1142.4909674166486</v>
      </c>
      <c r="F205" s="97">
        <f t="shared" si="251"/>
        <v>1216.1777501257702</v>
      </c>
      <c r="G205" s="97">
        <f t="shared" si="251"/>
        <v>1136.1125170390756</v>
      </c>
      <c r="H205" s="97">
        <f t="shared" si="251"/>
        <v>879.76925957713274</v>
      </c>
      <c r="I205" s="97">
        <f t="shared" si="251"/>
        <v>735.39240375761165</v>
      </c>
      <c r="J205" s="97">
        <f t="shared" si="251"/>
        <v>571.34177001480464</v>
      </c>
      <c r="K205" s="97">
        <f t="shared" si="251"/>
        <v>502.22641871505971</v>
      </c>
      <c r="L205" s="97">
        <f t="shared" si="251"/>
        <v>495.22522544924072</v>
      </c>
      <c r="M205" s="97">
        <f t="shared" si="251"/>
        <v>465.99318641941795</v>
      </c>
      <c r="N205" s="97">
        <f t="shared" si="251"/>
        <v>538.14805006742824</v>
      </c>
      <c r="O205" s="97">
        <f t="shared" si="251"/>
        <v>546.18661047808109</v>
      </c>
      <c r="P205" s="97">
        <f t="shared" si="251"/>
        <v>465.8201842056493</v>
      </c>
      <c r="Q205" s="97">
        <f t="shared" si="251"/>
        <v>434.64544904964606</v>
      </c>
      <c r="R205" s="97">
        <f t="shared" si="251"/>
        <v>295.13797293305754</v>
      </c>
      <c r="S205" s="97">
        <f t="shared" si="251"/>
        <v>382.62025513241406</v>
      </c>
      <c r="T205" s="97">
        <f t="shared" si="251"/>
        <v>397.06517414669293</v>
      </c>
      <c r="U205" s="97">
        <f t="shared" si="251"/>
        <v>318.57337964201196</v>
      </c>
      <c r="V205" s="97">
        <f t="shared" si="251"/>
        <v>372.47069296566343</v>
      </c>
      <c r="W205" s="97">
        <f t="shared" ref="W205" si="252">IF(W53=0,0,W53/W23*1000)</f>
        <v>313.42908650107535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133.1864221108367</v>
      </c>
      <c r="C206" s="97">
        <f t="shared" si="253"/>
        <v>127.72392415829276</v>
      </c>
      <c r="D206" s="97">
        <f t="shared" si="253"/>
        <v>135.66395188084883</v>
      </c>
      <c r="E206" s="97">
        <f t="shared" si="253"/>
        <v>138.96726373519581</v>
      </c>
      <c r="F206" s="97">
        <f t="shared" si="253"/>
        <v>168.87991574771513</v>
      </c>
      <c r="G206" s="97">
        <f t="shared" si="253"/>
        <v>168.11658016896445</v>
      </c>
      <c r="H206" s="97">
        <f t="shared" si="253"/>
        <v>187.19167411377489</v>
      </c>
      <c r="I206" s="97">
        <f t="shared" si="253"/>
        <v>189.48420461039336</v>
      </c>
      <c r="J206" s="97">
        <f t="shared" si="253"/>
        <v>200.70692758040968</v>
      </c>
      <c r="K206" s="97">
        <f t="shared" si="253"/>
        <v>194.80024066568336</v>
      </c>
      <c r="L206" s="97">
        <f t="shared" si="253"/>
        <v>196.61454094583777</v>
      </c>
      <c r="M206" s="97">
        <f t="shared" si="253"/>
        <v>190.57080254208773</v>
      </c>
      <c r="N206" s="97">
        <f t="shared" si="253"/>
        <v>173.40778574964366</v>
      </c>
      <c r="O206" s="97">
        <f t="shared" si="253"/>
        <v>166.4284654122022</v>
      </c>
      <c r="P206" s="97">
        <f t="shared" si="253"/>
        <v>144.22155772789969</v>
      </c>
      <c r="Q206" s="97">
        <f t="shared" si="253"/>
        <v>150.93281489691185</v>
      </c>
      <c r="R206" s="97">
        <f t="shared" si="253"/>
        <v>145.08151214240075</v>
      </c>
      <c r="S206" s="97">
        <f t="shared" si="253"/>
        <v>159.36114057980421</v>
      </c>
      <c r="T206" s="97">
        <f t="shared" si="253"/>
        <v>153.57735036444802</v>
      </c>
      <c r="U206" s="97">
        <f t="shared" si="253"/>
        <v>153.74832835274046</v>
      </c>
      <c r="V206" s="97">
        <f t="shared" si="253"/>
        <v>142.05890033765297</v>
      </c>
      <c r="W206" s="97">
        <f t="shared" ref="W206" si="254">IF(W54=0,0,W54/W24*1000)</f>
        <v>156.45008329594583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51.567933679071125</v>
      </c>
      <c r="C207" s="97">
        <f t="shared" si="255"/>
        <v>49.218706094178437</v>
      </c>
      <c r="D207" s="97">
        <f t="shared" si="255"/>
        <v>52.016779197974373</v>
      </c>
      <c r="E207" s="97">
        <f t="shared" si="255"/>
        <v>59.664540275635289</v>
      </c>
      <c r="F207" s="97">
        <f t="shared" si="255"/>
        <v>66.432370677239604</v>
      </c>
      <c r="G207" s="97">
        <f t="shared" si="255"/>
        <v>62.723758329888341</v>
      </c>
      <c r="H207" s="97">
        <f t="shared" si="255"/>
        <v>66.455855289339624</v>
      </c>
      <c r="I207" s="97">
        <f t="shared" si="255"/>
        <v>63.984617603294588</v>
      </c>
      <c r="J207" s="97">
        <f t="shared" si="255"/>
        <v>72.281984525535236</v>
      </c>
      <c r="K207" s="97">
        <f t="shared" si="255"/>
        <v>71.185406990000416</v>
      </c>
      <c r="L207" s="97">
        <f t="shared" si="255"/>
        <v>69.678356771610268</v>
      </c>
      <c r="M207" s="97">
        <f t="shared" si="255"/>
        <v>64.107827862528012</v>
      </c>
      <c r="N207" s="97">
        <f t="shared" si="255"/>
        <v>58.640935118715795</v>
      </c>
      <c r="O207" s="97">
        <f t="shared" si="255"/>
        <v>59.376259308277476</v>
      </c>
      <c r="P207" s="97">
        <f t="shared" si="255"/>
        <v>48.911302200813985</v>
      </c>
      <c r="Q207" s="97">
        <f t="shared" si="255"/>
        <v>52.083224957947671</v>
      </c>
      <c r="R207" s="97">
        <f t="shared" si="255"/>
        <v>48.916967750088403</v>
      </c>
      <c r="S207" s="97">
        <f t="shared" si="255"/>
        <v>45.221967633134298</v>
      </c>
      <c r="T207" s="97">
        <f t="shared" si="255"/>
        <v>40.544569406244513</v>
      </c>
      <c r="U207" s="97">
        <f t="shared" si="255"/>
        <v>28.89677940989937</v>
      </c>
      <c r="V207" s="97">
        <f t="shared" si="255"/>
        <v>54.189858911851992</v>
      </c>
      <c r="W207" s="97">
        <f t="shared" ref="W207" si="256">IF(W55=0,0,W55/W25*1000)</f>
        <v>51.894637072797579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146.37511420614865</v>
      </c>
      <c r="C208" s="130">
        <f t="shared" si="257"/>
        <v>162.89918831144124</v>
      </c>
      <c r="D208" s="130">
        <f t="shared" si="257"/>
        <v>294.05062056341467</v>
      </c>
      <c r="E208" s="130">
        <f t="shared" si="257"/>
        <v>208.26722841677019</v>
      </c>
      <c r="F208" s="130">
        <f t="shared" si="257"/>
        <v>80.013238721808364</v>
      </c>
      <c r="G208" s="130">
        <f t="shared" si="257"/>
        <v>46.843165467599533</v>
      </c>
      <c r="H208" s="130">
        <f t="shared" si="257"/>
        <v>54.584958767287752</v>
      </c>
      <c r="I208" s="130">
        <f t="shared" si="257"/>
        <v>291.26807516975703</v>
      </c>
      <c r="J208" s="130">
        <f t="shared" si="257"/>
        <v>304.82129247317113</v>
      </c>
      <c r="K208" s="130">
        <f t="shared" si="257"/>
        <v>491.66544960328588</v>
      </c>
      <c r="L208" s="130">
        <f t="shared" si="257"/>
        <v>314.6299860225684</v>
      </c>
      <c r="M208" s="130">
        <f t="shared" si="257"/>
        <v>295.6086802367671</v>
      </c>
      <c r="N208" s="130">
        <f t="shared" si="257"/>
        <v>364.02979389640592</v>
      </c>
      <c r="O208" s="130">
        <f t="shared" si="257"/>
        <v>360.94203662161499</v>
      </c>
      <c r="P208" s="130">
        <f t="shared" si="257"/>
        <v>267.46807986127197</v>
      </c>
      <c r="Q208" s="130">
        <f t="shared" si="257"/>
        <v>325.27163570867742</v>
      </c>
      <c r="R208" s="130">
        <f t="shared" si="257"/>
        <v>272.89427821577129</v>
      </c>
      <c r="S208" s="130">
        <f t="shared" si="257"/>
        <v>282.11485294515757</v>
      </c>
      <c r="T208" s="130">
        <f t="shared" si="257"/>
        <v>290.03418814263063</v>
      </c>
      <c r="U208" s="130">
        <f t="shared" si="257"/>
        <v>247.38877903200898</v>
      </c>
      <c r="V208" s="130">
        <f t="shared" si="257"/>
        <v>199.8274559444836</v>
      </c>
      <c r="W208" s="130">
        <f t="shared" ref="W208" si="258">IF(W56=0,0,W56/W26*1000)</f>
        <v>226.07259123674385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146.37511420614865</v>
      </c>
      <c r="C209" s="97">
        <f t="shared" si="259"/>
        <v>162.89918831144124</v>
      </c>
      <c r="D209" s="97">
        <f t="shared" si="259"/>
        <v>294.05062056341467</v>
      </c>
      <c r="E209" s="97">
        <f t="shared" si="259"/>
        <v>208.26722841677019</v>
      </c>
      <c r="F209" s="97">
        <f t="shared" si="259"/>
        <v>80.013238721808364</v>
      </c>
      <c r="G209" s="97">
        <f t="shared" si="259"/>
        <v>46.843165467599533</v>
      </c>
      <c r="H209" s="97">
        <f t="shared" si="259"/>
        <v>54.584958767287752</v>
      </c>
      <c r="I209" s="97">
        <f t="shared" si="259"/>
        <v>291.26807516975703</v>
      </c>
      <c r="J209" s="97">
        <f t="shared" si="259"/>
        <v>304.82129247317113</v>
      </c>
      <c r="K209" s="97">
        <f t="shared" si="259"/>
        <v>491.66544960328588</v>
      </c>
      <c r="L209" s="97">
        <f t="shared" si="259"/>
        <v>314.6299860225684</v>
      </c>
      <c r="M209" s="97">
        <f t="shared" si="259"/>
        <v>295.6086802367671</v>
      </c>
      <c r="N209" s="97">
        <f t="shared" si="259"/>
        <v>364.02979389640592</v>
      </c>
      <c r="O209" s="97">
        <f t="shared" si="259"/>
        <v>360.94203662161499</v>
      </c>
      <c r="P209" s="97">
        <f t="shared" si="259"/>
        <v>267.46807986127197</v>
      </c>
      <c r="Q209" s="97">
        <f t="shared" si="259"/>
        <v>325.27163570867742</v>
      </c>
      <c r="R209" s="97">
        <f t="shared" si="259"/>
        <v>272.89427821577129</v>
      </c>
      <c r="S209" s="97">
        <f t="shared" si="259"/>
        <v>282.11485294515757</v>
      </c>
      <c r="T209" s="97">
        <f t="shared" si="259"/>
        <v>290.03418814263063</v>
      </c>
      <c r="U209" s="97">
        <f t="shared" si="259"/>
        <v>247.38877903200898</v>
      </c>
      <c r="V209" s="97">
        <f t="shared" si="259"/>
        <v>199.8274559444836</v>
      </c>
      <c r="W209" s="97">
        <f t="shared" ref="W209" si="260">IF(W57=0,0,W57/W27*1000)</f>
        <v>226.07259123674385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5.3813860536035163</v>
      </c>
      <c r="C211" s="32">
        <f t="shared" si="263"/>
        <v>3.8850629883456356</v>
      </c>
      <c r="D211" s="32">
        <f t="shared" si="263"/>
        <v>3.9184812206473274</v>
      </c>
      <c r="E211" s="32">
        <f t="shared" si="263"/>
        <v>4.8699767486571757</v>
      </c>
      <c r="F211" s="32">
        <f t="shared" si="263"/>
        <v>5.5549303675574082</v>
      </c>
      <c r="G211" s="32">
        <f t="shared" si="263"/>
        <v>4.6399673052344133</v>
      </c>
      <c r="H211" s="32">
        <f t="shared" si="263"/>
        <v>4.734595631344769</v>
      </c>
      <c r="I211" s="32">
        <f t="shared" si="263"/>
        <v>3.7150110518606154</v>
      </c>
      <c r="J211" s="32">
        <f t="shared" si="263"/>
        <v>3.9937344920172522</v>
      </c>
      <c r="K211" s="32">
        <f t="shared" si="263"/>
        <v>4.2592265618713272</v>
      </c>
      <c r="L211" s="32">
        <f t="shared" si="263"/>
        <v>3.6336898052174016</v>
      </c>
      <c r="M211" s="32">
        <f t="shared" si="263"/>
        <v>3.9468161598410219</v>
      </c>
      <c r="N211" s="32">
        <f t="shared" si="263"/>
        <v>4.2735471570898751</v>
      </c>
      <c r="O211" s="32">
        <f t="shared" si="263"/>
        <v>3.7721222706070785</v>
      </c>
      <c r="P211" s="32">
        <f t="shared" si="263"/>
        <v>3.4708591723553726</v>
      </c>
      <c r="Q211" s="32">
        <f t="shared" si="263"/>
        <v>3.4108276165759617</v>
      </c>
      <c r="R211" s="32">
        <f t="shared" si="263"/>
        <v>3.9565489354237409</v>
      </c>
      <c r="S211" s="32">
        <f t="shared" si="263"/>
        <v>3.7940431982289184</v>
      </c>
      <c r="T211" s="32">
        <f t="shared" si="263"/>
        <v>4.1323600095264768</v>
      </c>
      <c r="U211" s="32">
        <f t="shared" si="263"/>
        <v>5.2728745637676084</v>
      </c>
      <c r="V211" s="32">
        <f t="shared" si="263"/>
        <v>4.1142073949143798</v>
      </c>
      <c r="W211" s="32">
        <f t="shared" si="262"/>
        <v>3.701353511528362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11.030023728851464</v>
      </c>
      <c r="C212" s="97">
        <f t="shared" si="264"/>
        <v>8.1646182505141915</v>
      </c>
      <c r="D212" s="97">
        <f t="shared" si="264"/>
        <v>8.194777196866788</v>
      </c>
      <c r="E212" s="97">
        <f t="shared" si="264"/>
        <v>10.57209448579154</v>
      </c>
      <c r="F212" s="97">
        <f t="shared" si="264"/>
        <v>11.642245465923372</v>
      </c>
      <c r="G212" s="97">
        <f t="shared" si="264"/>
        <v>9.638525860764517</v>
      </c>
      <c r="H212" s="97">
        <f t="shared" si="264"/>
        <v>10.278369124409634</v>
      </c>
      <c r="I212" s="97">
        <f t="shared" si="264"/>
        <v>8.3608289657176424</v>
      </c>
      <c r="J212" s="97">
        <f t="shared" si="264"/>
        <v>9.190798466014197</v>
      </c>
      <c r="K212" s="97">
        <f t="shared" si="264"/>
        <v>9.4059568860878251</v>
      </c>
      <c r="L212" s="97">
        <f t="shared" si="264"/>
        <v>8.1854117684489829</v>
      </c>
      <c r="M212" s="97">
        <f t="shared" si="264"/>
        <v>9.3600177359538712</v>
      </c>
      <c r="N212" s="97">
        <f t="shared" si="264"/>
        <v>10.280197598798912</v>
      </c>
      <c r="O212" s="97">
        <f t="shared" si="264"/>
        <v>9.1803032983801192</v>
      </c>
      <c r="P212" s="97">
        <f t="shared" si="264"/>
        <v>8.2799843620751794</v>
      </c>
      <c r="Q212" s="97">
        <f t="shared" si="264"/>
        <v>8.3487656485127122</v>
      </c>
      <c r="R212" s="97">
        <f t="shared" si="264"/>
        <v>9.6353735394429023</v>
      </c>
      <c r="S212" s="97">
        <f t="shared" si="264"/>
        <v>9.2442594549581614</v>
      </c>
      <c r="T212" s="97">
        <f t="shared" si="264"/>
        <v>9.6915849013096178</v>
      </c>
      <c r="U212" s="97">
        <f t="shared" si="264"/>
        <v>11.572130827134146</v>
      </c>
      <c r="V212" s="97">
        <f t="shared" si="264"/>
        <v>8.1019607473972144</v>
      </c>
      <c r="W212" s="97">
        <f t="shared" si="262"/>
        <v>7.5879446663428123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4.2324624732432596</v>
      </c>
      <c r="C213" s="98">
        <f t="shared" si="265"/>
        <v>3.0428080470410359</v>
      </c>
      <c r="D213" s="98">
        <f t="shared" si="265"/>
        <v>3.0930236138537812</v>
      </c>
      <c r="E213" s="98">
        <f t="shared" si="265"/>
        <v>3.8828660483087702</v>
      </c>
      <c r="F213" s="98">
        <f t="shared" si="265"/>
        <v>4.3763136669366194</v>
      </c>
      <c r="G213" s="98">
        <f t="shared" si="265"/>
        <v>3.6460215481289722</v>
      </c>
      <c r="H213" s="98">
        <f t="shared" si="265"/>
        <v>3.748437653781949</v>
      </c>
      <c r="I213" s="98">
        <f t="shared" si="265"/>
        <v>2.9506148143259563</v>
      </c>
      <c r="J213" s="98">
        <f t="shared" si="265"/>
        <v>3.1746256148638392</v>
      </c>
      <c r="K213" s="98">
        <f t="shared" si="265"/>
        <v>3.3447693828261826</v>
      </c>
      <c r="L213" s="98">
        <f t="shared" si="265"/>
        <v>2.8593039201489474</v>
      </c>
      <c r="M213" s="98">
        <f t="shared" si="265"/>
        <v>3.1268984182804442</v>
      </c>
      <c r="N213" s="98">
        <f t="shared" si="265"/>
        <v>3.3891244100169504</v>
      </c>
      <c r="O213" s="98">
        <f t="shared" si="265"/>
        <v>2.9936897171151373</v>
      </c>
      <c r="P213" s="98">
        <f t="shared" si="265"/>
        <v>2.7487904089407063</v>
      </c>
      <c r="Q213" s="98">
        <f t="shared" si="265"/>
        <v>2.7198036247261488</v>
      </c>
      <c r="R213" s="98">
        <f t="shared" si="265"/>
        <v>3.1631206997449657</v>
      </c>
      <c r="S213" s="98">
        <f t="shared" si="265"/>
        <v>3.0274735370219723</v>
      </c>
      <c r="T213" s="98">
        <f t="shared" si="265"/>
        <v>3.2599882324828986</v>
      </c>
      <c r="U213" s="98">
        <f t="shared" si="265"/>
        <v>4.0911810003490707</v>
      </c>
      <c r="V213" s="98">
        <f t="shared" si="265"/>
        <v>3.379537130627448</v>
      </c>
      <c r="W213" s="98">
        <f t="shared" si="262"/>
        <v>3.0208878100462697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112.65162640004939</v>
      </c>
      <c r="C216" s="32">
        <f t="shared" si="266"/>
        <v>111.25886646419816</v>
      </c>
      <c r="D216" s="32">
        <f t="shared" si="266"/>
        <v>112.5714762461334</v>
      </c>
      <c r="E216" s="32">
        <f t="shared" si="266"/>
        <v>115.85564041518414</v>
      </c>
      <c r="F216" s="32">
        <f t="shared" si="266"/>
        <v>117.83107215153858</v>
      </c>
      <c r="G216" s="32">
        <f t="shared" si="266"/>
        <v>114.39612055042986</v>
      </c>
      <c r="H216" s="32">
        <f t="shared" si="266"/>
        <v>113.03987081000956</v>
      </c>
      <c r="I216" s="32">
        <f t="shared" si="266"/>
        <v>110.68737550238428</v>
      </c>
      <c r="J216" s="32">
        <f t="shared" si="266"/>
        <v>111.18323025574691</v>
      </c>
      <c r="K216" s="32">
        <f t="shared" si="266"/>
        <v>111.69307930673548</v>
      </c>
      <c r="L216" s="32">
        <f t="shared" si="266"/>
        <v>113.40615523562903</v>
      </c>
      <c r="M216" s="32">
        <f t="shared" si="266"/>
        <v>107.61957098454198</v>
      </c>
      <c r="N216" s="32">
        <f t="shared" si="266"/>
        <v>103.76830953099193</v>
      </c>
      <c r="O216" s="32">
        <f t="shared" si="266"/>
        <v>103.09675377251311</v>
      </c>
      <c r="P216" s="32">
        <f t="shared" si="266"/>
        <v>102.52373913043594</v>
      </c>
      <c r="Q216" s="32">
        <f t="shared" si="266"/>
        <v>101.88356854576642</v>
      </c>
      <c r="R216" s="32">
        <f t="shared" si="266"/>
        <v>99.164279926214803</v>
      </c>
      <c r="S216" s="32">
        <f t="shared" si="266"/>
        <v>97.406223806936595</v>
      </c>
      <c r="T216" s="32">
        <f t="shared" si="266"/>
        <v>94.600620469957022</v>
      </c>
      <c r="U216" s="32">
        <f t="shared" si="266"/>
        <v>93.223438129577929</v>
      </c>
      <c r="V216" s="32">
        <f t="shared" si="266"/>
        <v>101.01803004853238</v>
      </c>
      <c r="W216" s="32">
        <f t="shared" ref="W216" si="267">IF(W4=0,0,W64/W4*1000)</f>
        <v>99.752530306491366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117.17239901584558</v>
      </c>
      <c r="C217" s="141">
        <f t="shared" si="268"/>
        <v>115.80842965019971</v>
      </c>
      <c r="D217" s="141">
        <f t="shared" si="268"/>
        <v>118.27264804706313</v>
      </c>
      <c r="E217" s="141">
        <f t="shared" si="268"/>
        <v>121.31703682309036</v>
      </c>
      <c r="F217" s="141">
        <f t="shared" si="268"/>
        <v>122.79218762947067</v>
      </c>
      <c r="G217" s="141">
        <f t="shared" si="268"/>
        <v>119.61900833138515</v>
      </c>
      <c r="H217" s="141">
        <f t="shared" si="268"/>
        <v>118.46691008172745</v>
      </c>
      <c r="I217" s="141">
        <f t="shared" si="268"/>
        <v>117.17942755184106</v>
      </c>
      <c r="J217" s="141">
        <f t="shared" si="268"/>
        <v>118.56009776885868</v>
      </c>
      <c r="K217" s="141">
        <f t="shared" si="268"/>
        <v>120.38836465054308</v>
      </c>
      <c r="L217" s="141">
        <f t="shared" si="268"/>
        <v>122.9453811429965</v>
      </c>
      <c r="M217" s="141">
        <f t="shared" si="268"/>
        <v>116.79883111375925</v>
      </c>
      <c r="N217" s="141">
        <f t="shared" si="268"/>
        <v>111.84700712896824</v>
      </c>
      <c r="O217" s="141">
        <f t="shared" si="268"/>
        <v>112.01206498819533</v>
      </c>
      <c r="P217" s="141">
        <f t="shared" si="268"/>
        <v>113.12878519404256</v>
      </c>
      <c r="Q217" s="141">
        <f t="shared" si="268"/>
        <v>112.0402299887875</v>
      </c>
      <c r="R217" s="141">
        <f t="shared" si="268"/>
        <v>109.1114381798661</v>
      </c>
      <c r="S217" s="141">
        <f t="shared" si="268"/>
        <v>109.09900120207858</v>
      </c>
      <c r="T217" s="141">
        <f t="shared" si="268"/>
        <v>106.23867482697821</v>
      </c>
      <c r="U217" s="141">
        <f t="shared" si="268"/>
        <v>107.04833542123052</v>
      </c>
      <c r="V217" s="141">
        <f t="shared" si="268"/>
        <v>106.04745340814878</v>
      </c>
      <c r="W217" s="141">
        <f t="shared" ref="W217" si="269">IF(W5=0,0,W65/W5*1000)</f>
        <v>104.83086055832113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102.38417909135924</v>
      </c>
      <c r="C218" s="97">
        <f t="shared" si="270"/>
        <v>96.41174775748442</v>
      </c>
      <c r="D218" s="97">
        <f t="shared" si="270"/>
        <v>95.980086814731237</v>
      </c>
      <c r="E218" s="97">
        <f t="shared" si="270"/>
        <v>94.803317644616456</v>
      </c>
      <c r="F218" s="97">
        <f t="shared" si="270"/>
        <v>94.052493354890174</v>
      </c>
      <c r="G218" s="97">
        <f t="shared" si="270"/>
        <v>93.39702326226481</v>
      </c>
      <c r="H218" s="97">
        <f t="shared" si="270"/>
        <v>92.487874602817499</v>
      </c>
      <c r="I218" s="97">
        <f t="shared" si="270"/>
        <v>91.458109609617324</v>
      </c>
      <c r="J218" s="97">
        <f t="shared" si="270"/>
        <v>90.790124962635758</v>
      </c>
      <c r="K218" s="97">
        <f t="shared" si="270"/>
        <v>89.813943756503818</v>
      </c>
      <c r="L218" s="97">
        <f t="shared" si="270"/>
        <v>87.927253419600333</v>
      </c>
      <c r="M218" s="97">
        <f t="shared" si="270"/>
        <v>86.388313737858397</v>
      </c>
      <c r="N218" s="97">
        <f t="shared" si="270"/>
        <v>85.36944160368283</v>
      </c>
      <c r="O218" s="97">
        <f t="shared" si="270"/>
        <v>84.115207337996608</v>
      </c>
      <c r="P218" s="97">
        <f t="shared" si="270"/>
        <v>82.482822355669398</v>
      </c>
      <c r="Q218" s="97">
        <f t="shared" si="270"/>
        <v>80.347166101622008</v>
      </c>
      <c r="R218" s="97">
        <f t="shared" si="270"/>
        <v>80.818761047257581</v>
      </c>
      <c r="S218" s="97">
        <f t="shared" si="270"/>
        <v>83.17509925917814</v>
      </c>
      <c r="T218" s="97">
        <f t="shared" si="270"/>
        <v>81.984806443885873</v>
      </c>
      <c r="U218" s="97">
        <f t="shared" si="270"/>
        <v>81.257882343780409</v>
      </c>
      <c r="V218" s="97">
        <f t="shared" si="270"/>
        <v>79.052817320170689</v>
      </c>
      <c r="W218" s="97">
        <f t="shared" ref="W218" si="271">IF(W6=0,0,W66/W6*1000)</f>
        <v>71.734966290816018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122.91802148670475</v>
      </c>
      <c r="C219" s="97">
        <f t="shared" si="272"/>
        <v>120.27960159485525</v>
      </c>
      <c r="D219" s="97">
        <f t="shared" si="272"/>
        <v>121.07559677822326</v>
      </c>
      <c r="E219" s="97">
        <f t="shared" si="272"/>
        <v>125.61948785022892</v>
      </c>
      <c r="F219" s="97">
        <f t="shared" si="272"/>
        <v>127.96854758334494</v>
      </c>
      <c r="G219" s="97">
        <f t="shared" si="272"/>
        <v>122.25173812494543</v>
      </c>
      <c r="H219" s="97">
        <f t="shared" si="272"/>
        <v>120.69436115659509</v>
      </c>
      <c r="I219" s="97">
        <f t="shared" si="272"/>
        <v>119.44351885369585</v>
      </c>
      <c r="J219" s="97">
        <f t="shared" si="272"/>
        <v>120.77437481030532</v>
      </c>
      <c r="K219" s="97">
        <f t="shared" si="272"/>
        <v>122.36783126508854</v>
      </c>
      <c r="L219" s="97">
        <f t="shared" si="272"/>
        <v>125.29656567500541</v>
      </c>
      <c r="M219" s="97">
        <f t="shared" si="272"/>
        <v>118.28071584504063</v>
      </c>
      <c r="N219" s="97">
        <f t="shared" si="272"/>
        <v>114.37194616243686</v>
      </c>
      <c r="O219" s="97">
        <f t="shared" si="272"/>
        <v>115.04371734164397</v>
      </c>
      <c r="P219" s="97">
        <f t="shared" si="272"/>
        <v>114.42755818580949</v>
      </c>
      <c r="Q219" s="97">
        <f t="shared" si="272"/>
        <v>112.96237291341396</v>
      </c>
      <c r="R219" s="97">
        <f t="shared" si="272"/>
        <v>109.06586206701623</v>
      </c>
      <c r="S219" s="97">
        <f t="shared" si="272"/>
        <v>109.78623612197424</v>
      </c>
      <c r="T219" s="97">
        <f t="shared" si="272"/>
        <v>106.7822385041564</v>
      </c>
      <c r="U219" s="97">
        <f t="shared" si="272"/>
        <v>108.19263422014535</v>
      </c>
      <c r="V219" s="97">
        <f t="shared" si="272"/>
        <v>105.51491428294523</v>
      </c>
      <c r="W219" s="97">
        <f t="shared" ref="W219" si="273">IF(W7=0,0,W67/W7*1000)</f>
        <v>105.25142266080388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84.632327435448076</v>
      </c>
      <c r="C220" s="97">
        <f t="shared" si="274"/>
        <v>89.43349660197498</v>
      </c>
      <c r="D220" s="97">
        <f t="shared" si="274"/>
        <v>100.46000447157743</v>
      </c>
      <c r="E220" s="97">
        <f t="shared" si="274"/>
        <v>92.904141777415347</v>
      </c>
      <c r="F220" s="97">
        <f t="shared" si="274"/>
        <v>88.552883059211965</v>
      </c>
      <c r="G220" s="97">
        <f t="shared" si="274"/>
        <v>93.473016909157849</v>
      </c>
      <c r="H220" s="97">
        <f t="shared" si="274"/>
        <v>96.685910253976431</v>
      </c>
      <c r="I220" s="97">
        <f t="shared" si="274"/>
        <v>94.733429525471877</v>
      </c>
      <c r="J220" s="97">
        <f t="shared" si="274"/>
        <v>97.600617795425677</v>
      </c>
      <c r="K220" s="97">
        <f t="shared" si="274"/>
        <v>102.48664661040142</v>
      </c>
      <c r="L220" s="97">
        <f t="shared" si="274"/>
        <v>102.01675015365903</v>
      </c>
      <c r="M220" s="97">
        <f t="shared" si="274"/>
        <v>105.83097861786494</v>
      </c>
      <c r="N220" s="97">
        <f t="shared" si="274"/>
        <v>85.243716754947229</v>
      </c>
      <c r="O220" s="97">
        <f t="shared" si="274"/>
        <v>79.706232417952862</v>
      </c>
      <c r="P220" s="97">
        <f t="shared" si="274"/>
        <v>104.2600424242752</v>
      </c>
      <c r="Q220" s="97">
        <f t="shared" si="274"/>
        <v>108.44270818854505</v>
      </c>
      <c r="R220" s="97">
        <f t="shared" si="274"/>
        <v>120.34510411120253</v>
      </c>
      <c r="S220" s="97">
        <f t="shared" si="274"/>
        <v>106.70778218400784</v>
      </c>
      <c r="T220" s="97">
        <f t="shared" si="274"/>
        <v>104.98144843442368</v>
      </c>
      <c r="U220" s="97">
        <f t="shared" si="274"/>
        <v>97.634367240663977</v>
      </c>
      <c r="V220" s="97">
        <f t="shared" si="274"/>
        <v>130.28744083505174</v>
      </c>
      <c r="W220" s="97">
        <f t="shared" ref="W220" si="275">IF(W8=0,0,W68/W8*1000)</f>
        <v>108.70206981030678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31.936614339172504</v>
      </c>
      <c r="C221" s="130">
        <f t="shared" si="276"/>
        <v>24.085910325855512</v>
      </c>
      <c r="D221" s="130">
        <f t="shared" si="276"/>
        <v>20.178968736900668</v>
      </c>
      <c r="E221" s="130">
        <f t="shared" si="276"/>
        <v>17.330310942419118</v>
      </c>
      <c r="F221" s="130">
        <f t="shared" si="276"/>
        <v>15.026169969630116</v>
      </c>
      <c r="G221" s="130">
        <f t="shared" si="276"/>
        <v>13.371863741756123</v>
      </c>
      <c r="H221" s="130">
        <f t="shared" si="276"/>
        <v>12.30037438016023</v>
      </c>
      <c r="I221" s="130">
        <f t="shared" si="276"/>
        <v>11.475311213916518</v>
      </c>
      <c r="J221" s="130">
        <f t="shared" si="276"/>
        <v>10.836484648962452</v>
      </c>
      <c r="K221" s="130">
        <f t="shared" si="276"/>
        <v>8.7349032007933953</v>
      </c>
      <c r="L221" s="130">
        <f t="shared" si="276"/>
        <v>7.6537149973650198</v>
      </c>
      <c r="M221" s="130">
        <f t="shared" si="276"/>
        <v>6.3389072109248668</v>
      </c>
      <c r="N221" s="130">
        <f t="shared" si="276"/>
        <v>5.4150782056212785</v>
      </c>
      <c r="O221" s="130">
        <f t="shared" si="276"/>
        <v>4.9483045397666343</v>
      </c>
      <c r="P221" s="130">
        <f t="shared" si="276"/>
        <v>4.6585871779026746</v>
      </c>
      <c r="Q221" s="130">
        <f t="shared" si="276"/>
        <v>4.3635654340540979</v>
      </c>
      <c r="R221" s="130">
        <f t="shared" si="276"/>
        <v>3.9993430138830344</v>
      </c>
      <c r="S221" s="130">
        <f t="shared" si="276"/>
        <v>3.5214616900744704</v>
      </c>
      <c r="T221" s="130">
        <f t="shared" si="276"/>
        <v>3.6339943461425799</v>
      </c>
      <c r="U221" s="130">
        <f t="shared" si="276"/>
        <v>3.1773524958306334</v>
      </c>
      <c r="V221" s="130">
        <f t="shared" si="276"/>
        <v>4.7625164422732613</v>
      </c>
      <c r="W221" s="130">
        <f t="shared" ref="W221" si="277">IF(W9=0,0,W69/W9*1000)</f>
        <v>3.5521392548296489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36.1346316010181</v>
      </c>
      <c r="C223" s="97">
        <f t="shared" si="280"/>
        <v>27.374192171444498</v>
      </c>
      <c r="D223" s="97">
        <f t="shared" si="280"/>
        <v>23.006594929332611</v>
      </c>
      <c r="E223" s="97">
        <f t="shared" si="280"/>
        <v>20.885956939131805</v>
      </c>
      <c r="F223" s="97">
        <f t="shared" si="280"/>
        <v>20.839974574888089</v>
      </c>
      <c r="G223" s="97">
        <f t="shared" si="280"/>
        <v>18.761365422131853</v>
      </c>
      <c r="H223" s="97">
        <f t="shared" si="280"/>
        <v>17.763230674056807</v>
      </c>
      <c r="I223" s="97">
        <f t="shared" si="280"/>
        <v>16.604389629492665</v>
      </c>
      <c r="J223" s="97">
        <f t="shared" si="280"/>
        <v>15.595843437326899</v>
      </c>
      <c r="K223" s="97">
        <f t="shared" si="280"/>
        <v>12.574049646035919</v>
      </c>
      <c r="L223" s="97">
        <f t="shared" si="280"/>
        <v>11.175045530689621</v>
      </c>
      <c r="M223" s="97">
        <f t="shared" si="280"/>
        <v>9.0519796687431455</v>
      </c>
      <c r="N223" s="97">
        <f t="shared" si="280"/>
        <v>7.83017553180263</v>
      </c>
      <c r="O223" s="97">
        <f t="shared" si="280"/>
        <v>7.1338512988921563</v>
      </c>
      <c r="P223" s="97">
        <f t="shared" si="280"/>
        <v>6.7735927853174083</v>
      </c>
      <c r="Q223" s="97">
        <f t="shared" si="280"/>
        <v>6.3954980592507669</v>
      </c>
      <c r="R223" s="97">
        <f t="shared" si="280"/>
        <v>5.8341560229130875</v>
      </c>
      <c r="S223" s="97">
        <f t="shared" si="280"/>
        <v>5.1386877296142703</v>
      </c>
      <c r="T223" s="97">
        <f t="shared" si="280"/>
        <v>5.3417578697711097</v>
      </c>
      <c r="U223" s="97">
        <f t="shared" si="280"/>
        <v>4.6261960772191859</v>
      </c>
      <c r="V223" s="97">
        <f t="shared" si="280"/>
        <v>6.5708480059312926</v>
      </c>
      <c r="W223" s="97">
        <f t="shared" ref="W223" si="281">IF(W11=0,0,W71/W11*1000)</f>
        <v>4.788603703830824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112.00612515423886</v>
      </c>
      <c r="C225" s="130">
        <f t="shared" si="284"/>
        <v>111.45596633153833</v>
      </c>
      <c r="D225" s="130">
        <f t="shared" si="284"/>
        <v>107.85957853909541</v>
      </c>
      <c r="E225" s="130">
        <f t="shared" si="284"/>
        <v>112.59462032120703</v>
      </c>
      <c r="F225" s="130">
        <f t="shared" si="284"/>
        <v>117.697198094567</v>
      </c>
      <c r="G225" s="130">
        <f t="shared" si="284"/>
        <v>113.60855251310407</v>
      </c>
      <c r="H225" s="130">
        <f t="shared" si="284"/>
        <v>112.13376732228058</v>
      </c>
      <c r="I225" s="130">
        <f t="shared" si="284"/>
        <v>106.33333613916815</v>
      </c>
      <c r="J225" s="130">
        <f t="shared" si="284"/>
        <v>104.99541101135237</v>
      </c>
      <c r="K225" s="130">
        <f t="shared" si="284"/>
        <v>101.58310386861019</v>
      </c>
      <c r="L225" s="130">
        <f t="shared" si="284"/>
        <v>102.31500497542409</v>
      </c>
      <c r="M225" s="130">
        <f t="shared" si="284"/>
        <v>98.256907389695215</v>
      </c>
      <c r="N225" s="130">
        <f t="shared" si="284"/>
        <v>95.905753844483414</v>
      </c>
      <c r="O225" s="130">
        <f t="shared" si="284"/>
        <v>92.662695994245212</v>
      </c>
      <c r="P225" s="130">
        <f t="shared" si="284"/>
        <v>88.876099843010593</v>
      </c>
      <c r="Q225" s="130">
        <f t="shared" si="284"/>
        <v>90.231741800401039</v>
      </c>
      <c r="R225" s="130">
        <f t="shared" si="284"/>
        <v>88.42130674292919</v>
      </c>
      <c r="S225" s="130">
        <f t="shared" si="284"/>
        <v>84.722269780768585</v>
      </c>
      <c r="T225" s="130">
        <f t="shared" si="284"/>
        <v>82.267456499229468</v>
      </c>
      <c r="U225" s="130">
        <f t="shared" si="284"/>
        <v>78.566343948002896</v>
      </c>
      <c r="V225" s="130">
        <f t="shared" si="284"/>
        <v>93.411346572793406</v>
      </c>
      <c r="W225" s="130">
        <f t="shared" ref="W225" si="285">IF(W13=0,0,W73/W13*1000)</f>
        <v>93.405399199058735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143.4007039450986</v>
      </c>
      <c r="C226" s="97">
        <f t="shared" si="286"/>
        <v>143.96365545523352</v>
      </c>
      <c r="D226" s="97">
        <f t="shared" si="286"/>
        <v>151.09826965936139</v>
      </c>
      <c r="E226" s="97">
        <f t="shared" si="286"/>
        <v>144.34551840942137</v>
      </c>
      <c r="F226" s="97">
        <f t="shared" si="286"/>
        <v>155.53303823962483</v>
      </c>
      <c r="G226" s="97">
        <f t="shared" si="286"/>
        <v>157.63394984920257</v>
      </c>
      <c r="H226" s="97">
        <f t="shared" si="286"/>
        <v>186.35545917258915</v>
      </c>
      <c r="I226" s="97">
        <f t="shared" si="286"/>
        <v>184.49550467755475</v>
      </c>
      <c r="J226" s="97">
        <f t="shared" si="286"/>
        <v>162.01901601628239</v>
      </c>
      <c r="K226" s="97">
        <f t="shared" si="286"/>
        <v>137.94075812134747</v>
      </c>
      <c r="L226" s="97">
        <f t="shared" si="286"/>
        <v>162.26690378142794</v>
      </c>
      <c r="M226" s="97">
        <f t="shared" si="286"/>
        <v>159.0995590413294</v>
      </c>
      <c r="N226" s="97">
        <f t="shared" si="286"/>
        <v>158.75331763593655</v>
      </c>
      <c r="O226" s="97">
        <f t="shared" si="286"/>
        <v>155.68092093114549</v>
      </c>
      <c r="P226" s="97">
        <f t="shared" si="286"/>
        <v>151.44991737144932</v>
      </c>
      <c r="Q226" s="97">
        <f t="shared" si="286"/>
        <v>127.36169425504379</v>
      </c>
      <c r="R226" s="97">
        <f t="shared" si="286"/>
        <v>115.42377519033066</v>
      </c>
      <c r="S226" s="97">
        <f t="shared" si="286"/>
        <v>119.85286771572328</v>
      </c>
      <c r="T226" s="97">
        <f t="shared" si="286"/>
        <v>122.34260786605408</v>
      </c>
      <c r="U226" s="97">
        <f t="shared" si="286"/>
        <v>112.31073260000134</v>
      </c>
      <c r="V226" s="97">
        <f t="shared" si="286"/>
        <v>168.43441718393692</v>
      </c>
      <c r="W226" s="97">
        <f t="shared" ref="W226" si="287">IF(W14=0,0,W74/W14*1000)</f>
        <v>119.43410118225403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92.248271306330494</v>
      </c>
      <c r="C227" s="97">
        <f t="shared" si="288"/>
        <v>91.782694109411452</v>
      </c>
      <c r="D227" s="97">
        <f t="shared" si="288"/>
        <v>88.792387064588311</v>
      </c>
      <c r="E227" s="97">
        <f t="shared" si="288"/>
        <v>95.111206900274126</v>
      </c>
      <c r="F227" s="97">
        <f t="shared" si="288"/>
        <v>103.14285886892692</v>
      </c>
      <c r="G227" s="97">
        <f t="shared" si="288"/>
        <v>102.31948695802728</v>
      </c>
      <c r="H227" s="97">
        <f t="shared" si="288"/>
        <v>100.71925493288222</v>
      </c>
      <c r="I227" s="97">
        <f t="shared" si="288"/>
        <v>100.20077622247996</v>
      </c>
      <c r="J227" s="97">
        <f t="shared" si="288"/>
        <v>103.96354981536901</v>
      </c>
      <c r="K227" s="97">
        <f t="shared" si="288"/>
        <v>100.2708496048779</v>
      </c>
      <c r="L227" s="97">
        <f t="shared" si="288"/>
        <v>101.41418963919155</v>
      </c>
      <c r="M227" s="97">
        <f t="shared" si="288"/>
        <v>98.28159750676457</v>
      </c>
      <c r="N227" s="97">
        <f t="shared" si="288"/>
        <v>95.276252306968402</v>
      </c>
      <c r="O227" s="97">
        <f t="shared" si="288"/>
        <v>90.161127538281349</v>
      </c>
      <c r="P227" s="97">
        <f t="shared" si="288"/>
        <v>86.745040130764878</v>
      </c>
      <c r="Q227" s="97">
        <f t="shared" si="288"/>
        <v>87.375257849637734</v>
      </c>
      <c r="R227" s="97">
        <f t="shared" si="288"/>
        <v>86.309862237266216</v>
      </c>
      <c r="S227" s="97">
        <f t="shared" si="288"/>
        <v>84.67317927534377</v>
      </c>
      <c r="T227" s="97">
        <f t="shared" si="288"/>
        <v>84.746089589217434</v>
      </c>
      <c r="U227" s="97">
        <f t="shared" si="288"/>
        <v>85.521522959048184</v>
      </c>
      <c r="V227" s="97">
        <f t="shared" si="288"/>
        <v>80.066531621071334</v>
      </c>
      <c r="W227" s="97">
        <f t="shared" ref="W227" si="289">IF(W15=0,0,W75/W15*1000)</f>
        <v>86.101612300820619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142.57426078525134</v>
      </c>
      <c r="C228" s="97">
        <f t="shared" si="290"/>
        <v>140.24171004271042</v>
      </c>
      <c r="D228" s="97">
        <f t="shared" si="290"/>
        <v>129.56409181585261</v>
      </c>
      <c r="E228" s="97">
        <f t="shared" si="290"/>
        <v>134.71379687814374</v>
      </c>
      <c r="F228" s="97">
        <f t="shared" si="290"/>
        <v>131.09893017340485</v>
      </c>
      <c r="G228" s="97">
        <f t="shared" si="290"/>
        <v>118.5334971482484</v>
      </c>
      <c r="H228" s="97">
        <f t="shared" si="290"/>
        <v>113.15346280283109</v>
      </c>
      <c r="I228" s="97">
        <f t="shared" si="290"/>
        <v>99.077052703654871</v>
      </c>
      <c r="J228" s="97">
        <f t="shared" si="290"/>
        <v>94.447273836149108</v>
      </c>
      <c r="K228" s="97">
        <f t="shared" si="290"/>
        <v>94.853994596509622</v>
      </c>
      <c r="L228" s="97">
        <f t="shared" si="290"/>
        <v>90.724836988882757</v>
      </c>
      <c r="M228" s="97">
        <f t="shared" si="290"/>
        <v>87.177753075406358</v>
      </c>
      <c r="N228" s="97">
        <f t="shared" si="290"/>
        <v>85.829910875208896</v>
      </c>
      <c r="O228" s="97">
        <f t="shared" si="290"/>
        <v>84.934906724382046</v>
      </c>
      <c r="P228" s="97">
        <f t="shared" si="290"/>
        <v>81.449074029261453</v>
      </c>
      <c r="Q228" s="97">
        <f t="shared" si="290"/>
        <v>86.903872377064246</v>
      </c>
      <c r="R228" s="97">
        <f t="shared" si="290"/>
        <v>85.395071872729346</v>
      </c>
      <c r="S228" s="97">
        <f t="shared" si="290"/>
        <v>76.530674702526511</v>
      </c>
      <c r="T228" s="97">
        <f t="shared" si="290"/>
        <v>70.3666563980739</v>
      </c>
      <c r="U228" s="97">
        <f t="shared" si="290"/>
        <v>63.685623406825542</v>
      </c>
      <c r="V228" s="97">
        <f t="shared" si="290"/>
        <v>96.426784141615741</v>
      </c>
      <c r="W228" s="97">
        <f t="shared" ref="W228" si="291">IF(W16=0,0,W76/W16*1000)</f>
        <v>95.956136645194206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318.03155916039026</v>
      </c>
      <c r="C229" s="32">
        <f t="shared" si="292"/>
        <v>295.08991270541429</v>
      </c>
      <c r="D229" s="32">
        <f t="shared" si="292"/>
        <v>308.9105204167671</v>
      </c>
      <c r="E229" s="32">
        <f t="shared" si="292"/>
        <v>326.71288970751647</v>
      </c>
      <c r="F229" s="32">
        <f t="shared" si="292"/>
        <v>281.12803612649685</v>
      </c>
      <c r="G229" s="32">
        <f t="shared" si="292"/>
        <v>268.54755526951391</v>
      </c>
      <c r="H229" s="32">
        <f t="shared" si="292"/>
        <v>258.54013988633193</v>
      </c>
      <c r="I229" s="32">
        <f t="shared" si="292"/>
        <v>248.60063717523138</v>
      </c>
      <c r="J229" s="32">
        <f t="shared" si="292"/>
        <v>264.20320548308268</v>
      </c>
      <c r="K229" s="32">
        <f t="shared" si="292"/>
        <v>286.21710893407794</v>
      </c>
      <c r="L229" s="32">
        <f t="shared" si="292"/>
        <v>289.6633803148892</v>
      </c>
      <c r="M229" s="32">
        <f t="shared" si="292"/>
        <v>264.18198169923517</v>
      </c>
      <c r="N229" s="32">
        <f t="shared" si="292"/>
        <v>261.34621872985548</v>
      </c>
      <c r="O229" s="32">
        <f t="shared" si="292"/>
        <v>261.2523201398896</v>
      </c>
      <c r="P229" s="32">
        <f t="shared" si="292"/>
        <v>240.75810583913838</v>
      </c>
      <c r="Q229" s="32">
        <f t="shared" si="292"/>
        <v>245.05801138912935</v>
      </c>
      <c r="R229" s="32">
        <f t="shared" si="292"/>
        <v>248.81700615239779</v>
      </c>
      <c r="S229" s="32">
        <f t="shared" si="292"/>
        <v>244.02579010542684</v>
      </c>
      <c r="T229" s="32">
        <f t="shared" si="292"/>
        <v>243.33002552561047</v>
      </c>
      <c r="U229" s="32">
        <f t="shared" si="292"/>
        <v>247.54811429569409</v>
      </c>
      <c r="V229" s="32">
        <f t="shared" si="292"/>
        <v>246.14437268868181</v>
      </c>
      <c r="W229" s="32">
        <f t="shared" ref="W229" si="293">IF(W17=0,0,W77/W17*1000)</f>
        <v>246.50170008641592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346.95599164451886</v>
      </c>
      <c r="C230" s="141">
        <f t="shared" si="294"/>
        <v>317.5875941182972</v>
      </c>
      <c r="D230" s="141">
        <f t="shared" si="294"/>
        <v>329.40309395752922</v>
      </c>
      <c r="E230" s="141">
        <f t="shared" si="294"/>
        <v>351.8925602144281</v>
      </c>
      <c r="F230" s="141">
        <f t="shared" si="294"/>
        <v>304.9132291836836</v>
      </c>
      <c r="G230" s="141">
        <f t="shared" si="294"/>
        <v>293.87027872434868</v>
      </c>
      <c r="H230" s="141">
        <f t="shared" si="294"/>
        <v>281.80027736023288</v>
      </c>
      <c r="I230" s="141">
        <f t="shared" si="294"/>
        <v>259.46914228726536</v>
      </c>
      <c r="J230" s="141">
        <f t="shared" si="294"/>
        <v>276.3372690484801</v>
      </c>
      <c r="K230" s="141">
        <f t="shared" si="294"/>
        <v>289.92166650336554</v>
      </c>
      <c r="L230" s="141">
        <f t="shared" si="294"/>
        <v>307.13879378100472</v>
      </c>
      <c r="M230" s="141">
        <f t="shared" si="294"/>
        <v>280.01284977139863</v>
      </c>
      <c r="N230" s="141">
        <f t="shared" si="294"/>
        <v>280.01326059495693</v>
      </c>
      <c r="O230" s="141">
        <f t="shared" si="294"/>
        <v>278.29149084467292</v>
      </c>
      <c r="P230" s="141">
        <f t="shared" si="294"/>
        <v>262.15206758155125</v>
      </c>
      <c r="Q230" s="141">
        <f t="shared" si="294"/>
        <v>268.43967030076425</v>
      </c>
      <c r="R230" s="141">
        <f t="shared" si="294"/>
        <v>273.33976654300398</v>
      </c>
      <c r="S230" s="141">
        <f t="shared" si="294"/>
        <v>268.3061408864624</v>
      </c>
      <c r="T230" s="141">
        <f t="shared" si="294"/>
        <v>267.44380153756521</v>
      </c>
      <c r="U230" s="141">
        <f t="shared" si="294"/>
        <v>271.57610231356881</v>
      </c>
      <c r="V230" s="141">
        <f t="shared" si="294"/>
        <v>273.85932674069369</v>
      </c>
      <c r="W230" s="141">
        <f t="shared" ref="W230" si="295">IF(W18=0,0,W78/W18*1000)</f>
        <v>264.00501174171677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2287.0759155469732</v>
      </c>
      <c r="C231" s="97">
        <f t="shared" si="296"/>
        <v>2132.8871740421073</v>
      </c>
      <c r="D231" s="97">
        <f t="shared" si="296"/>
        <v>2124.1308763345523</v>
      </c>
      <c r="E231" s="97">
        <f t="shared" si="296"/>
        <v>2142.4547507475727</v>
      </c>
      <c r="F231" s="97">
        <f t="shared" si="296"/>
        <v>2087.1570290535933</v>
      </c>
      <c r="G231" s="97">
        <f t="shared" si="296"/>
        <v>2004.3219955379805</v>
      </c>
      <c r="H231" s="97">
        <f t="shared" si="296"/>
        <v>1913.3012529736034</v>
      </c>
      <c r="I231" s="97">
        <f t="shared" si="296"/>
        <v>1817.6848927726537</v>
      </c>
      <c r="J231" s="97">
        <f t="shared" si="296"/>
        <v>1770.0854758952196</v>
      </c>
      <c r="K231" s="97">
        <f t="shared" si="296"/>
        <v>1695.9483861559274</v>
      </c>
      <c r="L231" s="97">
        <f t="shared" si="296"/>
        <v>1615.8049479893214</v>
      </c>
      <c r="M231" s="97">
        <f t="shared" si="296"/>
        <v>1551.8603433659664</v>
      </c>
      <c r="N231" s="97">
        <f t="shared" si="296"/>
        <v>1503.2797101661151</v>
      </c>
      <c r="O231" s="97">
        <f t="shared" si="296"/>
        <v>1485.8266745716899</v>
      </c>
      <c r="P231" s="97">
        <f t="shared" si="296"/>
        <v>1451.5314400175994</v>
      </c>
      <c r="Q231" s="97">
        <f t="shared" si="296"/>
        <v>1426.6601324379815</v>
      </c>
      <c r="R231" s="97">
        <f t="shared" si="296"/>
        <v>1440.048451469474</v>
      </c>
      <c r="S231" s="97">
        <f t="shared" si="296"/>
        <v>1417.7012904234059</v>
      </c>
      <c r="T231" s="97">
        <f t="shared" si="296"/>
        <v>1388.0690778663047</v>
      </c>
      <c r="U231" s="97">
        <f t="shared" si="296"/>
        <v>1346.215006346913</v>
      </c>
      <c r="V231" s="97">
        <f t="shared" si="296"/>
        <v>1308.7540264838653</v>
      </c>
      <c r="W231" s="97">
        <f t="shared" ref="W231" si="297">IF(W19=0,0,W79/W19*1000)</f>
        <v>1313.5193787062378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99.140943391664266</v>
      </c>
      <c r="C232" s="97">
        <f t="shared" si="298"/>
        <v>105.07753054262102</v>
      </c>
      <c r="D232" s="97">
        <f t="shared" si="298"/>
        <v>106.94472706284193</v>
      </c>
      <c r="E232" s="97">
        <f t="shared" si="298"/>
        <v>129.43442444483847</v>
      </c>
      <c r="F232" s="97">
        <f t="shared" si="298"/>
        <v>129.61759180904133</v>
      </c>
      <c r="G232" s="97">
        <f t="shared" si="298"/>
        <v>132.11966421484647</v>
      </c>
      <c r="H232" s="97">
        <f t="shared" si="298"/>
        <v>129.00919180552407</v>
      </c>
      <c r="I232" s="97">
        <f t="shared" si="298"/>
        <v>125.19773950887836</v>
      </c>
      <c r="J232" s="97">
        <f t="shared" si="298"/>
        <v>133.96675091511736</v>
      </c>
      <c r="K232" s="97">
        <f t="shared" si="298"/>
        <v>135.37406448336472</v>
      </c>
      <c r="L232" s="97">
        <f t="shared" si="298"/>
        <v>149.61665668208988</v>
      </c>
      <c r="M232" s="97">
        <f t="shared" si="298"/>
        <v>142.02574201983151</v>
      </c>
      <c r="N232" s="97">
        <f t="shared" si="298"/>
        <v>146.18581736314076</v>
      </c>
      <c r="O232" s="97">
        <f t="shared" si="298"/>
        <v>145.51350672305244</v>
      </c>
      <c r="P232" s="97">
        <f t="shared" si="298"/>
        <v>127.35553973954735</v>
      </c>
      <c r="Q232" s="97">
        <f t="shared" si="298"/>
        <v>134.44852635657332</v>
      </c>
      <c r="R232" s="97">
        <f t="shared" si="298"/>
        <v>134.87662516986404</v>
      </c>
      <c r="S232" s="97">
        <f t="shared" si="298"/>
        <v>129.30094046029029</v>
      </c>
      <c r="T232" s="97">
        <f t="shared" si="298"/>
        <v>127.18981328965492</v>
      </c>
      <c r="U232" s="97">
        <f t="shared" si="298"/>
        <v>130.75421084029824</v>
      </c>
      <c r="V232" s="97">
        <f t="shared" si="298"/>
        <v>134.11747614777556</v>
      </c>
      <c r="W232" s="97">
        <f t="shared" ref="W232" si="299">IF(W20=0,0,W80/W20*1000)</f>
        <v>126.57009598511968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15.624037610945988</v>
      </c>
      <c r="C233" s="130">
        <f t="shared" si="300"/>
        <v>11.961618228060596</v>
      </c>
      <c r="D233" s="130">
        <f t="shared" si="300"/>
        <v>10.06634726054242</v>
      </c>
      <c r="E233" s="130">
        <f t="shared" si="300"/>
        <v>8.6529207368250507</v>
      </c>
      <c r="F233" s="130">
        <f t="shared" si="300"/>
        <v>7.7059488648865555</v>
      </c>
      <c r="G233" s="130">
        <f t="shared" si="300"/>
        <v>7.4318383335856328</v>
      </c>
      <c r="H233" s="130">
        <f t="shared" si="300"/>
        <v>6.8496823085500615</v>
      </c>
      <c r="I233" s="130">
        <f t="shared" si="300"/>
        <v>7.2201889480804393</v>
      </c>
      <c r="J233" s="130">
        <f t="shared" si="300"/>
        <v>6.1857081691402138</v>
      </c>
      <c r="K233" s="130">
        <f t="shared" si="300"/>
        <v>5.0738735528995775</v>
      </c>
      <c r="L233" s="130">
        <f t="shared" si="300"/>
        <v>4.6878104618346139</v>
      </c>
      <c r="M233" s="130">
        <f t="shared" si="300"/>
        <v>4.5103899178163731</v>
      </c>
      <c r="N233" s="130">
        <f t="shared" si="300"/>
        <v>3.6715048278593185</v>
      </c>
      <c r="O233" s="130">
        <f t="shared" si="300"/>
        <v>3.9950650237237406</v>
      </c>
      <c r="P233" s="130">
        <f t="shared" si="300"/>
        <v>3.868198418018939</v>
      </c>
      <c r="Q233" s="130">
        <f t="shared" si="300"/>
        <v>3.7927581902002943</v>
      </c>
      <c r="R233" s="130">
        <f t="shared" si="300"/>
        <v>2.6571751843849785</v>
      </c>
      <c r="S233" s="130">
        <f t="shared" si="300"/>
        <v>4.1499293567793769</v>
      </c>
      <c r="T233" s="130">
        <f t="shared" si="300"/>
        <v>3.4659411381789265</v>
      </c>
      <c r="U233" s="130">
        <f t="shared" si="300"/>
        <v>4.3977184259086233</v>
      </c>
      <c r="V233" s="130">
        <f t="shared" si="300"/>
        <v>5.2755188123895644</v>
      </c>
      <c r="W233" s="130">
        <f t="shared" ref="W233" si="301">IF(W21=0,0,W81/W21*1000)</f>
        <v>7.7657520544811076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340.15595159116447</v>
      </c>
      <c r="C234" s="130">
        <f t="shared" si="302"/>
        <v>319.91195062498662</v>
      </c>
      <c r="D234" s="130">
        <f t="shared" si="302"/>
        <v>334.85819826707126</v>
      </c>
      <c r="E234" s="130">
        <f t="shared" si="302"/>
        <v>359.12015733619899</v>
      </c>
      <c r="F234" s="130">
        <f t="shared" si="302"/>
        <v>398.99841364799892</v>
      </c>
      <c r="G234" s="130">
        <f t="shared" si="302"/>
        <v>373.58668449952455</v>
      </c>
      <c r="H234" s="130">
        <f t="shared" si="302"/>
        <v>376.38700049500369</v>
      </c>
      <c r="I234" s="130">
        <f t="shared" si="302"/>
        <v>352.85265374966531</v>
      </c>
      <c r="J234" s="130">
        <f t="shared" si="302"/>
        <v>351.89550321471916</v>
      </c>
      <c r="K234" s="130">
        <f t="shared" si="302"/>
        <v>344.22122653193901</v>
      </c>
      <c r="L234" s="130">
        <f t="shared" si="302"/>
        <v>323.63477406403013</v>
      </c>
      <c r="M234" s="130">
        <f t="shared" si="302"/>
        <v>280.83567088331148</v>
      </c>
      <c r="N234" s="130">
        <f t="shared" si="302"/>
        <v>248.88062806297663</v>
      </c>
      <c r="O234" s="130">
        <f t="shared" si="302"/>
        <v>244.98276675850741</v>
      </c>
      <c r="P234" s="130">
        <f t="shared" si="302"/>
        <v>202.96514201777441</v>
      </c>
      <c r="Q234" s="130">
        <f t="shared" si="302"/>
        <v>217.84899177194586</v>
      </c>
      <c r="R234" s="130">
        <f t="shared" si="302"/>
        <v>201.99859134622784</v>
      </c>
      <c r="S234" s="130">
        <f t="shared" si="302"/>
        <v>191.26636176789739</v>
      </c>
      <c r="T234" s="130">
        <f t="shared" si="302"/>
        <v>178.55450488598183</v>
      </c>
      <c r="U234" s="130">
        <f t="shared" si="302"/>
        <v>146.46634123017117</v>
      </c>
      <c r="V234" s="130">
        <f t="shared" si="302"/>
        <v>228.31045917629453</v>
      </c>
      <c r="W234" s="130">
        <f t="shared" ref="W234" si="303">IF(W22=0,0,W82/W22*1000)</f>
        <v>222.20868988918909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3872.3286355713572</v>
      </c>
      <c r="C235" s="97">
        <f t="shared" si="304"/>
        <v>3919.4373749734641</v>
      </c>
      <c r="D235" s="97">
        <f t="shared" si="304"/>
        <v>3821.08038990768</v>
      </c>
      <c r="E235" s="97">
        <f t="shared" si="304"/>
        <v>3437.6091894657275</v>
      </c>
      <c r="F235" s="97">
        <f t="shared" si="304"/>
        <v>3659.5034149523603</v>
      </c>
      <c r="G235" s="97">
        <f t="shared" si="304"/>
        <v>3417.9385264012662</v>
      </c>
      <c r="H235" s="97">
        <f t="shared" si="304"/>
        <v>2647.2614708540905</v>
      </c>
      <c r="I235" s="97">
        <f t="shared" si="304"/>
        <v>2212.8379362531455</v>
      </c>
      <c r="J235" s="97">
        <f t="shared" si="304"/>
        <v>1719.1405880022496</v>
      </c>
      <c r="K235" s="97">
        <f t="shared" si="304"/>
        <v>1511.1271102317114</v>
      </c>
      <c r="L235" s="97">
        <f t="shared" si="304"/>
        <v>1489.8722519688215</v>
      </c>
      <c r="M235" s="97">
        <f t="shared" si="304"/>
        <v>1402.1409350444374</v>
      </c>
      <c r="N235" s="97">
        <f t="shared" si="304"/>
        <v>1619.6208787083053</v>
      </c>
      <c r="O235" s="97">
        <f t="shared" si="304"/>
        <v>1643.4498928231926</v>
      </c>
      <c r="P235" s="97">
        <f t="shared" si="304"/>
        <v>1401.935983462336</v>
      </c>
      <c r="Q235" s="97">
        <f t="shared" si="304"/>
        <v>1308.1272563258538</v>
      </c>
      <c r="R235" s="97">
        <f t="shared" si="304"/>
        <v>888.27994159717093</v>
      </c>
      <c r="S235" s="97">
        <f t="shared" si="304"/>
        <v>1151.5753642999439</v>
      </c>
      <c r="T235" s="97">
        <f t="shared" si="304"/>
        <v>1195.1397968535057</v>
      </c>
      <c r="U235" s="97">
        <f t="shared" si="304"/>
        <v>958.82421136449182</v>
      </c>
      <c r="V235" s="97">
        <f t="shared" si="304"/>
        <v>1120.8664638455689</v>
      </c>
      <c r="W235" s="97">
        <f t="shared" ref="W235" si="305">IF(W23=0,0,W83/W23*1000)</f>
        <v>943.24657336554219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400.93231179533518</v>
      </c>
      <c r="C236" s="97">
        <f t="shared" si="306"/>
        <v>384.48850395381106</v>
      </c>
      <c r="D236" s="97">
        <f t="shared" si="306"/>
        <v>408.39044245527674</v>
      </c>
      <c r="E236" s="97">
        <f t="shared" si="306"/>
        <v>418.33443252088654</v>
      </c>
      <c r="F236" s="97">
        <f t="shared" si="306"/>
        <v>508.38076407057173</v>
      </c>
      <c r="G236" s="97">
        <f t="shared" si="306"/>
        <v>506.0828879551712</v>
      </c>
      <c r="H236" s="97">
        <f t="shared" si="306"/>
        <v>563.50481874809827</v>
      </c>
      <c r="I236" s="97">
        <f t="shared" si="306"/>
        <v>570.4060443933497</v>
      </c>
      <c r="J236" s="97">
        <f t="shared" si="306"/>
        <v>604.18991059904101</v>
      </c>
      <c r="K236" s="97">
        <f t="shared" si="306"/>
        <v>586.4089566381208</v>
      </c>
      <c r="L236" s="97">
        <f t="shared" si="306"/>
        <v>591.87056146303212</v>
      </c>
      <c r="M236" s="97">
        <f t="shared" si="306"/>
        <v>573.67704014383003</v>
      </c>
      <c r="N236" s="97">
        <f t="shared" si="306"/>
        <v>522.01105279378123</v>
      </c>
      <c r="O236" s="97">
        <f t="shared" si="306"/>
        <v>501.00114057223402</v>
      </c>
      <c r="P236" s="97">
        <f t="shared" si="306"/>
        <v>434.15148206662752</v>
      </c>
      <c r="Q236" s="97">
        <f t="shared" si="306"/>
        <v>454.35444126607081</v>
      </c>
      <c r="R236" s="97">
        <f t="shared" si="306"/>
        <v>436.74021075218076</v>
      </c>
      <c r="S236" s="97">
        <f t="shared" si="306"/>
        <v>479.72630760987818</v>
      </c>
      <c r="T236" s="97">
        <f t="shared" si="306"/>
        <v>462.31531071372132</v>
      </c>
      <c r="U236" s="97">
        <f t="shared" si="306"/>
        <v>462.83000732487551</v>
      </c>
      <c r="V236" s="97">
        <f t="shared" si="306"/>
        <v>427.6412146283198</v>
      </c>
      <c r="W236" s="97">
        <f t="shared" ref="W236" si="307">IF(W24=0,0,W84/W24*1000)</f>
        <v>470.96312508655217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155.23542517909766</v>
      </c>
      <c r="C237" s="97">
        <f t="shared" si="308"/>
        <v>148.16352376740144</v>
      </c>
      <c r="D237" s="97">
        <f t="shared" si="308"/>
        <v>156.58658897403095</v>
      </c>
      <c r="E237" s="97">
        <f t="shared" si="308"/>
        <v>179.60871450551548</v>
      </c>
      <c r="F237" s="97">
        <f t="shared" si="308"/>
        <v>199.98197662750468</v>
      </c>
      <c r="G237" s="97">
        <f t="shared" si="308"/>
        <v>188.81790675903954</v>
      </c>
      <c r="H237" s="97">
        <f t="shared" si="308"/>
        <v>200.05267257136771</v>
      </c>
      <c r="I237" s="97">
        <f t="shared" si="308"/>
        <v>192.61348302967968</v>
      </c>
      <c r="J237" s="97">
        <f t="shared" si="308"/>
        <v>217.59112301147638</v>
      </c>
      <c r="K237" s="97">
        <f t="shared" si="308"/>
        <v>214.29008556774261</v>
      </c>
      <c r="L237" s="97">
        <f t="shared" si="308"/>
        <v>209.75339843046066</v>
      </c>
      <c r="M237" s="97">
        <f t="shared" si="308"/>
        <v>192.98438400658441</v>
      </c>
      <c r="N237" s="97">
        <f t="shared" si="308"/>
        <v>176.52734648447324</v>
      </c>
      <c r="O237" s="97">
        <f t="shared" si="308"/>
        <v>178.74089965729331</v>
      </c>
      <c r="P237" s="97">
        <f t="shared" si="308"/>
        <v>147.23814299909057</v>
      </c>
      <c r="Q237" s="97">
        <f t="shared" si="308"/>
        <v>156.78661125657948</v>
      </c>
      <c r="R237" s="97">
        <f t="shared" si="308"/>
        <v>147.25519805419444</v>
      </c>
      <c r="S237" s="97">
        <f t="shared" si="308"/>
        <v>136.13210520812646</v>
      </c>
      <c r="T237" s="97">
        <f t="shared" si="308"/>
        <v>122.05169029365642</v>
      </c>
      <c r="U237" s="97">
        <f t="shared" si="308"/>
        <v>86.98824090799063</v>
      </c>
      <c r="V237" s="97">
        <f t="shared" si="308"/>
        <v>163.12823082905007</v>
      </c>
      <c r="W237" s="97">
        <f t="shared" ref="W237" si="309">IF(W25=0,0,W85/W25*1000)</f>
        <v>156.21890341090366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454.11690616530262</v>
      </c>
      <c r="C238" s="130">
        <f t="shared" si="310"/>
        <v>505.38150432215554</v>
      </c>
      <c r="D238" s="130">
        <f t="shared" si="310"/>
        <v>911.01903428953221</v>
      </c>
      <c r="E238" s="130">
        <f t="shared" si="310"/>
        <v>646.55180829230824</v>
      </c>
      <c r="F238" s="130">
        <f t="shared" si="310"/>
        <v>248.23457605942625</v>
      </c>
      <c r="G238" s="130">
        <f t="shared" si="310"/>
        <v>145.32711719819162</v>
      </c>
      <c r="H238" s="130">
        <f t="shared" si="310"/>
        <v>169.34540227685835</v>
      </c>
      <c r="I238" s="130">
        <f t="shared" si="310"/>
        <v>931.41030819993591</v>
      </c>
      <c r="J238" s="130">
        <f t="shared" si="310"/>
        <v>974.30050111053117</v>
      </c>
      <c r="K238" s="130">
        <f t="shared" si="310"/>
        <v>1557.9276817015186</v>
      </c>
      <c r="L238" s="130">
        <f t="shared" si="310"/>
        <v>1003.5584312618236</v>
      </c>
      <c r="M238" s="130">
        <f t="shared" si="310"/>
        <v>931.26942361604404</v>
      </c>
      <c r="N238" s="130">
        <f t="shared" si="310"/>
        <v>1147.0857580613788</v>
      </c>
      <c r="O238" s="130">
        <f t="shared" si="310"/>
        <v>1137.9682068425921</v>
      </c>
      <c r="P238" s="130">
        <f t="shared" si="310"/>
        <v>834.48587694529772</v>
      </c>
      <c r="Q238" s="130">
        <f t="shared" si="310"/>
        <v>1004.2045255960766</v>
      </c>
      <c r="R238" s="130">
        <f t="shared" si="310"/>
        <v>850.41386240818747</v>
      </c>
      <c r="S238" s="130">
        <f t="shared" si="310"/>
        <v>880.37173500455845</v>
      </c>
      <c r="T238" s="130">
        <f t="shared" si="310"/>
        <v>903.99010033104719</v>
      </c>
      <c r="U238" s="130">
        <f t="shared" si="310"/>
        <v>776.59535930901802</v>
      </c>
      <c r="V238" s="130">
        <f t="shared" si="310"/>
        <v>628.92935810843085</v>
      </c>
      <c r="W238" s="130">
        <f t="shared" ref="W238" si="311">IF(W26=0,0,W86/W26*1000)</f>
        <v>697.27548438317376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454.11690616530262</v>
      </c>
      <c r="C239" s="97">
        <f t="shared" si="312"/>
        <v>505.38150432215554</v>
      </c>
      <c r="D239" s="97">
        <f t="shared" si="312"/>
        <v>911.01903428953221</v>
      </c>
      <c r="E239" s="97">
        <f t="shared" si="312"/>
        <v>646.55180829230824</v>
      </c>
      <c r="F239" s="97">
        <f t="shared" si="312"/>
        <v>248.23457605942625</v>
      </c>
      <c r="G239" s="97">
        <f t="shared" si="312"/>
        <v>145.32711719819162</v>
      </c>
      <c r="H239" s="97">
        <f t="shared" si="312"/>
        <v>169.34540227685835</v>
      </c>
      <c r="I239" s="97">
        <f t="shared" si="312"/>
        <v>931.41030819993591</v>
      </c>
      <c r="J239" s="97">
        <f t="shared" si="312"/>
        <v>974.30050111053117</v>
      </c>
      <c r="K239" s="97">
        <f t="shared" si="312"/>
        <v>1557.9276817015186</v>
      </c>
      <c r="L239" s="97">
        <f t="shared" si="312"/>
        <v>1003.5584312618236</v>
      </c>
      <c r="M239" s="97">
        <f t="shared" si="312"/>
        <v>931.26942361604404</v>
      </c>
      <c r="N239" s="97">
        <f t="shared" si="312"/>
        <v>1147.0857580613788</v>
      </c>
      <c r="O239" s="97">
        <f t="shared" si="312"/>
        <v>1137.9682068425921</v>
      </c>
      <c r="P239" s="97">
        <f t="shared" si="312"/>
        <v>834.48587694529772</v>
      </c>
      <c r="Q239" s="97">
        <f t="shared" si="312"/>
        <v>1004.2045255960766</v>
      </c>
      <c r="R239" s="97">
        <f t="shared" si="312"/>
        <v>850.41386240818747</v>
      </c>
      <c r="S239" s="97">
        <f t="shared" si="312"/>
        <v>880.37173500455845</v>
      </c>
      <c r="T239" s="97">
        <f t="shared" si="312"/>
        <v>903.99010033104719</v>
      </c>
      <c r="U239" s="97">
        <f t="shared" si="312"/>
        <v>776.59535930901802</v>
      </c>
      <c r="V239" s="97">
        <f t="shared" si="312"/>
        <v>628.92935810843085</v>
      </c>
      <c r="W239" s="97">
        <f t="shared" ref="W239" si="313">IF(W27=0,0,W87/W27*1000)</f>
        <v>697.27548438317376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17.202206384376069</v>
      </c>
      <c r="C241" s="32">
        <f t="shared" si="316"/>
        <v>12.411598559709043</v>
      </c>
      <c r="D241" s="32">
        <f t="shared" si="316"/>
        <v>12.551033249213745</v>
      </c>
      <c r="E241" s="32">
        <f t="shared" si="316"/>
        <v>15.602891362884797</v>
      </c>
      <c r="F241" s="32">
        <f t="shared" si="316"/>
        <v>17.825630482808048</v>
      </c>
      <c r="G241" s="32">
        <f t="shared" si="316"/>
        <v>14.879959311188045</v>
      </c>
      <c r="H241" s="32">
        <f t="shared" si="316"/>
        <v>15.19935242703499</v>
      </c>
      <c r="I241" s="32">
        <f t="shared" si="316"/>
        <v>11.985413113436499</v>
      </c>
      <c r="J241" s="32">
        <f t="shared" si="316"/>
        <v>12.882832390456624</v>
      </c>
      <c r="K241" s="32">
        <f t="shared" si="316"/>
        <v>13.747284723339039</v>
      </c>
      <c r="L241" s="32">
        <f t="shared" si="316"/>
        <v>11.717666894091279</v>
      </c>
      <c r="M241" s="32">
        <f t="shared" si="316"/>
        <v>12.735662949453378</v>
      </c>
      <c r="N241" s="32">
        <f t="shared" si="316"/>
        <v>13.799547656910732</v>
      </c>
      <c r="O241" s="32">
        <f t="shared" si="316"/>
        <v>12.173784668216028</v>
      </c>
      <c r="P241" s="32">
        <f t="shared" si="316"/>
        <v>11.200398794901259</v>
      </c>
      <c r="Q241" s="32">
        <f t="shared" si="316"/>
        <v>10.9698883187961</v>
      </c>
      <c r="R241" s="32">
        <f t="shared" si="316"/>
        <v>12.727176569577395</v>
      </c>
      <c r="S241" s="32">
        <f t="shared" si="316"/>
        <v>12.203925716971957</v>
      </c>
      <c r="T241" s="32">
        <f t="shared" si="316"/>
        <v>13.291664199760515</v>
      </c>
      <c r="U241" s="32">
        <f t="shared" si="316"/>
        <v>16.966288954206419</v>
      </c>
      <c r="V241" s="32">
        <f t="shared" si="316"/>
        <v>13.212999781829106</v>
      </c>
      <c r="W241" s="32">
        <f t="shared" si="315"/>
        <v>11.881653592246348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34.714281079181596</v>
      </c>
      <c r="C242" s="97">
        <f t="shared" si="317"/>
        <v>25.658843031075115</v>
      </c>
      <c r="D242" s="97">
        <f t="shared" si="317"/>
        <v>25.894412278563447</v>
      </c>
      <c r="E242" s="97">
        <f t="shared" si="317"/>
        <v>33.397225275286424</v>
      </c>
      <c r="F242" s="97">
        <f t="shared" si="317"/>
        <v>36.9347393941147</v>
      </c>
      <c r="G242" s="97">
        <f t="shared" si="317"/>
        <v>30.544017152397313</v>
      </c>
      <c r="H242" s="97">
        <f t="shared" si="317"/>
        <v>32.626030120029256</v>
      </c>
      <c r="I242" s="97">
        <f t="shared" si="317"/>
        <v>26.825426869633272</v>
      </c>
      <c r="J242" s="97">
        <f t="shared" si="317"/>
        <v>29.47463880324959</v>
      </c>
      <c r="K242" s="97">
        <f t="shared" si="317"/>
        <v>30.21789342226268</v>
      </c>
      <c r="L242" s="97">
        <f t="shared" si="317"/>
        <v>26.243591623324672</v>
      </c>
      <c r="M242" s="97">
        <f t="shared" si="317"/>
        <v>30.045340885272658</v>
      </c>
      <c r="N242" s="97">
        <f t="shared" si="317"/>
        <v>33.047138388247355</v>
      </c>
      <c r="O242" s="97">
        <f t="shared" si="317"/>
        <v>29.476769629300225</v>
      </c>
      <c r="P242" s="97">
        <f t="shared" si="317"/>
        <v>26.57971195038122</v>
      </c>
      <c r="Q242" s="97">
        <f t="shared" si="317"/>
        <v>26.592446738294843</v>
      </c>
      <c r="R242" s="97">
        <f t="shared" si="317"/>
        <v>30.699228044274935</v>
      </c>
      <c r="S242" s="97">
        <f t="shared" si="317"/>
        <v>29.452821585255915</v>
      </c>
      <c r="T242" s="97">
        <f t="shared" si="317"/>
        <v>30.890524763265397</v>
      </c>
      <c r="U242" s="97">
        <f t="shared" si="317"/>
        <v>36.941584273057181</v>
      </c>
      <c r="V242" s="97">
        <f t="shared" si="317"/>
        <v>25.724404746689402</v>
      </c>
      <c r="W242" s="97">
        <f t="shared" si="315"/>
        <v>24.0680663796159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13.640279294228794</v>
      </c>
      <c r="C243" s="98">
        <f t="shared" si="318"/>
        <v>9.8044217782076135</v>
      </c>
      <c r="D243" s="98">
        <f t="shared" si="318"/>
        <v>9.9753477070161516</v>
      </c>
      <c r="E243" s="98">
        <f t="shared" si="318"/>
        <v>12.522460859650128</v>
      </c>
      <c r="F243" s="98">
        <f t="shared" si="318"/>
        <v>14.125753848708181</v>
      </c>
      <c r="G243" s="98">
        <f t="shared" si="318"/>
        <v>11.765216599391799</v>
      </c>
      <c r="H243" s="98">
        <f t="shared" si="318"/>
        <v>12.099395826921194</v>
      </c>
      <c r="I243" s="98">
        <f t="shared" si="318"/>
        <v>9.543722351866867</v>
      </c>
      <c r="J243" s="98">
        <f t="shared" si="318"/>
        <v>10.267798981453289</v>
      </c>
      <c r="K243" s="98">
        <f t="shared" si="318"/>
        <v>10.820831340478529</v>
      </c>
      <c r="L243" s="98">
        <f t="shared" si="318"/>
        <v>9.2463667644368446</v>
      </c>
      <c r="M243" s="98">
        <f t="shared" si="318"/>
        <v>10.113829670067286</v>
      </c>
      <c r="N243" s="98">
        <f t="shared" si="318"/>
        <v>10.965521066826584</v>
      </c>
      <c r="O243" s="98">
        <f t="shared" si="318"/>
        <v>9.6832602761662816</v>
      </c>
      <c r="P243" s="98">
        <f t="shared" si="318"/>
        <v>8.8912633088709363</v>
      </c>
      <c r="Q243" s="98">
        <f t="shared" si="318"/>
        <v>8.783639197780964</v>
      </c>
      <c r="R243" s="98">
        <f t="shared" si="318"/>
        <v>10.216175774975412</v>
      </c>
      <c r="S243" s="98">
        <f t="shared" si="318"/>
        <v>9.7778788155083909</v>
      </c>
      <c r="T243" s="98">
        <f t="shared" si="318"/>
        <v>10.529993362083278</v>
      </c>
      <c r="U243" s="98">
        <f t="shared" si="318"/>
        <v>13.219072311672932</v>
      </c>
      <c r="V243" s="98">
        <f t="shared" si="318"/>
        <v>10.908003364131451</v>
      </c>
      <c r="W243" s="98">
        <f t="shared" si="315"/>
        <v>9.7480522959958691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84395.429471431475</v>
      </c>
      <c r="C4" s="29">
        <f t="shared" si="0"/>
        <v>86058.873650865411</v>
      </c>
      <c r="D4" s="29">
        <f t="shared" si="0"/>
        <v>89466.327588645989</v>
      </c>
      <c r="E4" s="29">
        <f t="shared" si="0"/>
        <v>93970.45502645032</v>
      </c>
      <c r="F4" s="29">
        <f t="shared" si="0"/>
        <v>95880.881228197424</v>
      </c>
      <c r="G4" s="29">
        <f t="shared" si="0"/>
        <v>93552.616720398859</v>
      </c>
      <c r="H4" s="29">
        <f t="shared" si="0"/>
        <v>94353.625054534976</v>
      </c>
      <c r="I4" s="29">
        <f t="shared" si="0"/>
        <v>95018.578042178662</v>
      </c>
      <c r="J4" s="29">
        <f t="shared" si="0"/>
        <v>95477.858770322506</v>
      </c>
      <c r="K4" s="29">
        <f t="shared" si="0"/>
        <v>94054.932873486963</v>
      </c>
      <c r="L4" s="29">
        <f t="shared" ref="L4" si="1">L5+L6+L13</f>
        <v>91765.075429244083</v>
      </c>
      <c r="M4" s="29">
        <f t="shared" ref="M4:V4" si="2">M5+M6+M13</f>
        <v>90984.023141529091</v>
      </c>
      <c r="N4" s="29">
        <f t="shared" si="2"/>
        <v>89935.105173080825</v>
      </c>
      <c r="O4" s="29">
        <f t="shared" si="2"/>
        <v>89810.696076485008</v>
      </c>
      <c r="P4" s="29">
        <f t="shared" si="2"/>
        <v>90887.560810949057</v>
      </c>
      <c r="Q4" s="29">
        <f t="shared" si="2"/>
        <v>91768.426005264133</v>
      </c>
      <c r="R4" s="29">
        <f t="shared" si="2"/>
        <v>97724.837678328826</v>
      </c>
      <c r="S4" s="29">
        <f t="shared" si="2"/>
        <v>100283.3782809617</v>
      </c>
      <c r="T4" s="29">
        <f t="shared" si="2"/>
        <v>103934.48013096393</v>
      </c>
      <c r="U4" s="29">
        <f t="shared" si="2"/>
        <v>106613.04326978141</v>
      </c>
      <c r="V4" s="29">
        <f t="shared" si="2"/>
        <v>90716.12879135806</v>
      </c>
      <c r="W4" s="29">
        <f t="shared" ref="W4" si="3">W5+W6+W13</f>
        <v>98093.717882192868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1574.4294714314808</v>
      </c>
      <c r="C5" s="152">
        <f t="shared" si="4"/>
        <v>1699.8736508654094</v>
      </c>
      <c r="D5" s="152">
        <f t="shared" si="4"/>
        <v>1830.3275886459926</v>
      </c>
      <c r="E5" s="152">
        <f t="shared" si="4"/>
        <v>1933.4550264503382</v>
      </c>
      <c r="F5" s="152">
        <f t="shared" si="4"/>
        <v>2071.8812281974292</v>
      </c>
      <c r="G5" s="152">
        <f t="shared" si="4"/>
        <v>2176.353553752986</v>
      </c>
      <c r="H5" s="152">
        <f t="shared" si="4"/>
        <v>2289.2817887439332</v>
      </c>
      <c r="I5" s="152">
        <f t="shared" si="4"/>
        <v>2169.8401388656794</v>
      </c>
      <c r="J5" s="152">
        <f t="shared" si="4"/>
        <v>2195.2290177453697</v>
      </c>
      <c r="K5" s="152">
        <f t="shared" si="4"/>
        <v>2054.5728892767702</v>
      </c>
      <c r="L5" s="152">
        <f t="shared" ref="L5:L7" si="5">IF(L32=0,0,L32*L142)</f>
        <v>1987.5200866212613</v>
      </c>
      <c r="M5" s="152">
        <f t="shared" ref="M5:V5" si="6">IF(M32=0,0,M32*M142)</f>
        <v>1943.9386126090665</v>
      </c>
      <c r="N5" s="152">
        <f t="shared" si="6"/>
        <v>1954.3317502796581</v>
      </c>
      <c r="O5" s="152">
        <f t="shared" si="6"/>
        <v>1921.758805152037</v>
      </c>
      <c r="P5" s="152">
        <f t="shared" si="6"/>
        <v>1894.668120834144</v>
      </c>
      <c r="Q5" s="152">
        <f t="shared" si="6"/>
        <v>1837.568490635319</v>
      </c>
      <c r="R5" s="152">
        <f t="shared" si="6"/>
        <v>1959.8436771027909</v>
      </c>
      <c r="S5" s="152">
        <f t="shared" si="6"/>
        <v>1870.0709776183232</v>
      </c>
      <c r="T5" s="152">
        <f t="shared" si="6"/>
        <v>1793.0925957470808</v>
      </c>
      <c r="U5" s="152">
        <f t="shared" si="6"/>
        <v>1921.0536118664033</v>
      </c>
      <c r="V5" s="152">
        <f t="shared" si="6"/>
        <v>1731.627416587992</v>
      </c>
      <c r="W5" s="152">
        <f t="shared" ref="W5" si="7">IF(W32=0,0,W32*W142)</f>
        <v>1814.9608668245551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71000</v>
      </c>
      <c r="C6" s="116">
        <f t="shared" si="8"/>
        <v>73200</v>
      </c>
      <c r="D6" s="116">
        <f t="shared" si="8"/>
        <v>77700</v>
      </c>
      <c r="E6" s="116">
        <f t="shared" si="8"/>
        <v>81499.999999999985</v>
      </c>
      <c r="F6" s="116">
        <f t="shared" si="8"/>
        <v>83000</v>
      </c>
      <c r="G6" s="116">
        <f t="shared" si="8"/>
        <v>85000</v>
      </c>
      <c r="H6" s="116">
        <f t="shared" si="8"/>
        <v>86000</v>
      </c>
      <c r="I6" s="116">
        <f t="shared" si="8"/>
        <v>86600.000000000015</v>
      </c>
      <c r="J6" s="116">
        <f t="shared" si="8"/>
        <v>87000.000000000015</v>
      </c>
      <c r="K6" s="116">
        <f t="shared" si="8"/>
        <v>86000</v>
      </c>
      <c r="L6" s="116">
        <f t="shared" ref="L6" si="9">SUM(L7:L12)</f>
        <v>83700</v>
      </c>
      <c r="M6" s="116">
        <f t="shared" ref="M6:V6" si="10">SUM(M7:M12)</f>
        <v>83190.084528920022</v>
      </c>
      <c r="N6" s="116">
        <f t="shared" si="10"/>
        <v>82130.773422801169</v>
      </c>
      <c r="O6" s="116">
        <f t="shared" si="10"/>
        <v>81865.937271332965</v>
      </c>
      <c r="P6" s="116">
        <f t="shared" si="10"/>
        <v>83335.89269011491</v>
      </c>
      <c r="Q6" s="116">
        <f t="shared" si="10"/>
        <v>84467.85751462882</v>
      </c>
      <c r="R6" s="116">
        <f t="shared" si="10"/>
        <v>90461.994001226034</v>
      </c>
      <c r="S6" s="116">
        <f t="shared" si="10"/>
        <v>92191.507303343373</v>
      </c>
      <c r="T6" s="116">
        <f t="shared" si="10"/>
        <v>95460.477535216851</v>
      </c>
      <c r="U6" s="116">
        <f t="shared" si="10"/>
        <v>98038.049657915006</v>
      </c>
      <c r="V6" s="116">
        <f t="shared" si="10"/>
        <v>85184.631374770077</v>
      </c>
      <c r="W6" s="116">
        <f t="shared" ref="W6" si="11">SUM(W7:W12)</f>
        <v>90605.457015368316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44879.855856309921</v>
      </c>
      <c r="C7" s="87">
        <f t="shared" si="12"/>
        <v>43876.683858324555</v>
      </c>
      <c r="D7" s="87">
        <f t="shared" si="12"/>
        <v>44872.359950783779</v>
      </c>
      <c r="E7" s="87">
        <f t="shared" si="12"/>
        <v>43927.031014652886</v>
      </c>
      <c r="F7" s="87">
        <f t="shared" si="12"/>
        <v>41554.865548355265</v>
      </c>
      <c r="G7" s="87">
        <f t="shared" si="12"/>
        <v>39139.912251975366</v>
      </c>
      <c r="H7" s="87">
        <f t="shared" si="12"/>
        <v>36083.551411842316</v>
      </c>
      <c r="I7" s="87">
        <f t="shared" si="12"/>
        <v>33961.125056178375</v>
      </c>
      <c r="J7" s="87">
        <f t="shared" si="12"/>
        <v>31494.232741644548</v>
      </c>
      <c r="K7" s="87">
        <f t="shared" si="12"/>
        <v>29850.933676891884</v>
      </c>
      <c r="L7" s="87">
        <f t="shared" si="5"/>
        <v>27400.727197670945</v>
      </c>
      <c r="M7" s="87">
        <f t="shared" ref="M7:V7" si="13">IF(M34=0,0,M34*M144)</f>
        <v>25251.57068352943</v>
      </c>
      <c r="N7" s="87">
        <f t="shared" si="13"/>
        <v>24756.680817452361</v>
      </c>
      <c r="O7" s="87">
        <f t="shared" si="13"/>
        <v>23933.912495659381</v>
      </c>
      <c r="P7" s="87">
        <f t="shared" si="13"/>
        <v>23418.438737207605</v>
      </c>
      <c r="Q7" s="87">
        <f t="shared" si="13"/>
        <v>23550.254297832002</v>
      </c>
      <c r="R7" s="87">
        <f t="shared" si="13"/>
        <v>23956.192086850271</v>
      </c>
      <c r="S7" s="87">
        <f t="shared" si="13"/>
        <v>23326.873382681526</v>
      </c>
      <c r="T7" s="87">
        <f t="shared" si="13"/>
        <v>23583.779434851163</v>
      </c>
      <c r="U7" s="87">
        <f t="shared" si="13"/>
        <v>24439.03628563404</v>
      </c>
      <c r="V7" s="87">
        <f t="shared" si="13"/>
        <v>20156.616123681295</v>
      </c>
      <c r="W7" s="87">
        <f t="shared" ref="W7" si="14">IF(W34=0,0,W34*W144)</f>
        <v>22518.285719409691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25717.025876334857</v>
      </c>
      <c r="C8" s="87">
        <f t="shared" si="15"/>
        <v>28936.096012470916</v>
      </c>
      <c r="D8" s="87">
        <f t="shared" si="15"/>
        <v>32478.449861486959</v>
      </c>
      <c r="E8" s="87">
        <f t="shared" si="15"/>
        <v>37148.118211485547</v>
      </c>
      <c r="F8" s="87">
        <f t="shared" si="15"/>
        <v>41013.841773770873</v>
      </c>
      <c r="G8" s="87">
        <f t="shared" si="15"/>
        <v>45402.793463144568</v>
      </c>
      <c r="H8" s="87">
        <f t="shared" si="15"/>
        <v>49525.764087550051</v>
      </c>
      <c r="I8" s="87">
        <f t="shared" si="15"/>
        <v>52269.041789885741</v>
      </c>
      <c r="J8" s="87">
        <f t="shared" si="15"/>
        <v>55029.810116884168</v>
      </c>
      <c r="K8" s="87">
        <f t="shared" si="15"/>
        <v>55459.138244672293</v>
      </c>
      <c r="L8" s="87">
        <f t="shared" ref="L8" si="16">IF(L35=0,0,L35*L145)</f>
        <v>55648.586383302783</v>
      </c>
      <c r="M8" s="87">
        <f t="shared" ref="M8:V8" si="17">IF(M35=0,0,M35*M145)</f>
        <v>57359.402212583635</v>
      </c>
      <c r="N8" s="87">
        <f t="shared" si="17"/>
        <v>56601.669140867707</v>
      </c>
      <c r="O8" s="87">
        <f t="shared" si="17"/>
        <v>57128.920152475082</v>
      </c>
      <c r="P8" s="87">
        <f t="shared" si="17"/>
        <v>59052.86034662609</v>
      </c>
      <c r="Q8" s="87">
        <f t="shared" si="17"/>
        <v>60002.30815458946</v>
      </c>
      <c r="R8" s="87">
        <f t="shared" si="17"/>
        <v>65492.597194202724</v>
      </c>
      <c r="S8" s="87">
        <f t="shared" si="17"/>
        <v>67703.740255724522</v>
      </c>
      <c r="T8" s="87">
        <f t="shared" si="17"/>
        <v>70419.809945637622</v>
      </c>
      <c r="U8" s="87">
        <f t="shared" si="17"/>
        <v>71818.088698287553</v>
      </c>
      <c r="V8" s="87">
        <f t="shared" si="17"/>
        <v>63298.271005014947</v>
      </c>
      <c r="W8" s="87">
        <f t="shared" ref="W8" si="18">IF(W35=0,0,W35*W145)</f>
        <v>65737.554448215145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403.11826735522669</v>
      </c>
      <c r="C9" s="87">
        <f t="shared" si="19"/>
        <v>387.22012920453159</v>
      </c>
      <c r="D9" s="87">
        <f t="shared" si="19"/>
        <v>349.19018772925995</v>
      </c>
      <c r="E9" s="87">
        <f t="shared" si="19"/>
        <v>424.85077386156371</v>
      </c>
      <c r="F9" s="87">
        <f t="shared" si="19"/>
        <v>431.29267787385908</v>
      </c>
      <c r="G9" s="87">
        <f t="shared" si="19"/>
        <v>457.29428488007005</v>
      </c>
      <c r="H9" s="87">
        <f t="shared" si="19"/>
        <v>390.68450060763212</v>
      </c>
      <c r="I9" s="87">
        <f t="shared" si="19"/>
        <v>369.8331539358843</v>
      </c>
      <c r="J9" s="87">
        <f t="shared" si="19"/>
        <v>475.51130465107519</v>
      </c>
      <c r="K9" s="87">
        <f t="shared" si="19"/>
        <v>689.48184230389256</v>
      </c>
      <c r="L9" s="87">
        <f t="shared" ref="L9" si="20">IF(L36=0,0,L36*L146)</f>
        <v>640.07578877345043</v>
      </c>
      <c r="M9" s="87">
        <f t="shared" ref="M9:V9" si="21">IF(M36=0,0,M36*M146)</f>
        <v>574.63411377953878</v>
      </c>
      <c r="N9" s="87">
        <f t="shared" si="21"/>
        <v>765.90026712016504</v>
      </c>
      <c r="O9" s="87">
        <f t="shared" si="21"/>
        <v>794.36635890317643</v>
      </c>
      <c r="P9" s="87">
        <f t="shared" si="21"/>
        <v>854.06710407190872</v>
      </c>
      <c r="Q9" s="87">
        <f t="shared" si="21"/>
        <v>890.22076652163264</v>
      </c>
      <c r="R9" s="87">
        <f t="shared" si="21"/>
        <v>950.14643298442866</v>
      </c>
      <c r="S9" s="87">
        <f t="shared" si="21"/>
        <v>984.85803681806806</v>
      </c>
      <c r="T9" s="87">
        <f t="shared" si="21"/>
        <v>1055.0590306247184</v>
      </c>
      <c r="U9" s="87">
        <f t="shared" si="21"/>
        <v>1075.9501921904277</v>
      </c>
      <c r="V9" s="87">
        <f t="shared" si="21"/>
        <v>902.36868005334907</v>
      </c>
      <c r="W9" s="87">
        <f t="shared" ref="W9" si="22">IF(W36=0,0,W36*W146)</f>
        <v>1027.1611232624421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3.1274309107384234E-2</v>
      </c>
      <c r="M10" s="87">
        <f t="shared" ref="M10:V10" si="25">IF(M37=0,0,M37*M147)</f>
        <v>2.9568016554374833E-2</v>
      </c>
      <c r="N10" s="87">
        <f t="shared" si="25"/>
        <v>0.11556625050414836</v>
      </c>
      <c r="O10" s="87">
        <f t="shared" si="25"/>
        <v>0.36283040672107925</v>
      </c>
      <c r="P10" s="87">
        <f t="shared" si="25"/>
        <v>0.38749672485359243</v>
      </c>
      <c r="Q10" s="87">
        <f t="shared" si="25"/>
        <v>0.5008346414997038</v>
      </c>
      <c r="R10" s="87">
        <f t="shared" si="25"/>
        <v>0.61586278193140542</v>
      </c>
      <c r="S10" s="87">
        <f t="shared" si="25"/>
        <v>0.72498630042319445</v>
      </c>
      <c r="T10" s="87">
        <f t="shared" si="25"/>
        <v>0.84583806098135739</v>
      </c>
      <c r="U10" s="87">
        <f t="shared" si="25"/>
        <v>1.5657518641405588</v>
      </c>
      <c r="V10" s="87">
        <f t="shared" si="25"/>
        <v>1.6621821900249614</v>
      </c>
      <c r="W10" s="87">
        <f t="shared" ref="W10" si="26">IF(W37=0,0,W37*W147)</f>
        <v>2.1323446277679268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0.20446595427399411</v>
      </c>
      <c r="N11" s="87">
        <f t="shared" si="29"/>
        <v>0.81927731772996726</v>
      </c>
      <c r="O11" s="87">
        <f t="shared" si="29"/>
        <v>1.4021918315664608</v>
      </c>
      <c r="P11" s="87">
        <f t="shared" si="29"/>
        <v>2.563591435595991</v>
      </c>
      <c r="Q11" s="87">
        <f t="shared" si="29"/>
        <v>9.1182420839408636</v>
      </c>
      <c r="R11" s="87">
        <f t="shared" si="29"/>
        <v>23.510710670741435</v>
      </c>
      <c r="S11" s="87">
        <f t="shared" si="29"/>
        <v>55.059111904707535</v>
      </c>
      <c r="T11" s="87">
        <f t="shared" si="29"/>
        <v>122.76069292975318</v>
      </c>
      <c r="U11" s="87">
        <f t="shared" si="29"/>
        <v>221.41824836178864</v>
      </c>
      <c r="V11" s="87">
        <f t="shared" si="29"/>
        <v>287.17660495663915</v>
      </c>
      <c r="W11" s="87">
        <f t="shared" ref="W11" si="30">IF(W38=0,0,W38*W148)</f>
        <v>488.69787403833811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0.44583682021203269</v>
      </c>
      <c r="K12" s="87">
        <f t="shared" si="31"/>
        <v>0.44623613193601819</v>
      </c>
      <c r="L12" s="87">
        <f t="shared" ref="L12" si="32">IF(L39=0,0,L39*L149)</f>
        <v>10.579355943717328</v>
      </c>
      <c r="M12" s="87">
        <f t="shared" ref="M12:V12" si="33">IF(M39=0,0,M39*M149)</f>
        <v>4.2434850565897246</v>
      </c>
      <c r="N12" s="87">
        <f t="shared" si="33"/>
        <v>5.5883537927075038</v>
      </c>
      <c r="O12" s="87">
        <f t="shared" si="33"/>
        <v>6.9732420570222944</v>
      </c>
      <c r="P12" s="87">
        <f t="shared" si="33"/>
        <v>7.5754140488575041</v>
      </c>
      <c r="Q12" s="87">
        <f t="shared" si="33"/>
        <v>15.45521896028565</v>
      </c>
      <c r="R12" s="87">
        <f t="shared" si="33"/>
        <v>38.931713735913711</v>
      </c>
      <c r="S12" s="87">
        <f t="shared" si="33"/>
        <v>120.25152991412067</v>
      </c>
      <c r="T12" s="87">
        <f t="shared" si="33"/>
        <v>278.22259311262195</v>
      </c>
      <c r="U12" s="87">
        <f t="shared" si="33"/>
        <v>481.99048157705204</v>
      </c>
      <c r="V12" s="87">
        <f t="shared" si="33"/>
        <v>538.53677887384254</v>
      </c>
      <c r="W12" s="87">
        <f t="shared" ref="W12" si="34">IF(W39=0,0,W39*W149)</f>
        <v>831.62550581494088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11821</v>
      </c>
      <c r="C13" s="116">
        <f t="shared" si="35"/>
        <v>11159</v>
      </c>
      <c r="D13" s="116">
        <f t="shared" si="35"/>
        <v>9936</v>
      </c>
      <c r="E13" s="116">
        <f t="shared" si="35"/>
        <v>10537</v>
      </c>
      <c r="F13" s="116">
        <f t="shared" si="35"/>
        <v>10809</v>
      </c>
      <c r="G13" s="116">
        <f t="shared" si="35"/>
        <v>6376.2631666458828</v>
      </c>
      <c r="H13" s="116">
        <f t="shared" si="35"/>
        <v>6064.3432657910444</v>
      </c>
      <c r="I13" s="116">
        <f t="shared" si="35"/>
        <v>6248.7379033129673</v>
      </c>
      <c r="J13" s="116">
        <f t="shared" si="35"/>
        <v>6282.6297525771188</v>
      </c>
      <c r="K13" s="116">
        <f t="shared" si="35"/>
        <v>6000.3599842101912</v>
      </c>
      <c r="L13" s="116">
        <f t="shared" ref="L13" si="36">SUM(L14:L18)</f>
        <v>6077.5553426228325</v>
      </c>
      <c r="M13" s="116">
        <f t="shared" ref="M13:V13" si="37">SUM(M14:M18)</f>
        <v>5849.9999999999991</v>
      </c>
      <c r="N13" s="116">
        <f t="shared" si="37"/>
        <v>5850</v>
      </c>
      <c r="O13" s="116">
        <f t="shared" si="37"/>
        <v>6023.0000000000009</v>
      </c>
      <c r="P13" s="116">
        <f t="shared" si="37"/>
        <v>5656.9999999999991</v>
      </c>
      <c r="Q13" s="116">
        <f t="shared" si="37"/>
        <v>5462.9999999999991</v>
      </c>
      <c r="R13" s="116">
        <f t="shared" si="37"/>
        <v>5302.9999999999991</v>
      </c>
      <c r="S13" s="116">
        <f t="shared" si="37"/>
        <v>6221.8</v>
      </c>
      <c r="T13" s="116">
        <f t="shared" si="37"/>
        <v>6680.9099999999989</v>
      </c>
      <c r="U13" s="116">
        <f t="shared" si="37"/>
        <v>6653.94</v>
      </c>
      <c r="V13" s="116">
        <f t="shared" si="37"/>
        <v>3799.87</v>
      </c>
      <c r="W13" s="116">
        <f t="shared" ref="W13" si="38">SUM(W14:W18)</f>
        <v>5673.2999999999993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0.46606028939931127</v>
      </c>
      <c r="M14" s="101">
        <f t="shared" ref="M14:V14" si="41">IF(M41=0,0,M41*M151)</f>
        <v>0.47869625756279649</v>
      </c>
      <c r="N14" s="101">
        <f t="shared" si="41"/>
        <v>0.51669101974281073</v>
      </c>
      <c r="O14" s="101">
        <f t="shared" si="41"/>
        <v>0.64125595525731582</v>
      </c>
      <c r="P14" s="101">
        <f t="shared" si="41"/>
        <v>0.5637319208717726</v>
      </c>
      <c r="Q14" s="101">
        <f t="shared" si="41"/>
        <v>0.66199033787347361</v>
      </c>
      <c r="R14" s="101">
        <f t="shared" si="41"/>
        <v>0.77059923930979213</v>
      </c>
      <c r="S14" s="101">
        <f t="shared" si="41"/>
        <v>0.69186951822797349</v>
      </c>
      <c r="T14" s="101">
        <f t="shared" si="41"/>
        <v>0.72371415300285102</v>
      </c>
      <c r="U14" s="101">
        <f t="shared" si="41"/>
        <v>0.63529317694597265</v>
      </c>
      <c r="V14" s="101">
        <f t="shared" si="41"/>
        <v>0.47994569743459059</v>
      </c>
      <c r="W14" s="101">
        <f t="shared" ref="W14" si="42">IF(W41=0,0,W41*W151)</f>
        <v>0.61937381567328009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11781.105488374291</v>
      </c>
      <c r="C15" s="101">
        <f t="shared" si="43"/>
        <v>10993.545369564055</v>
      </c>
      <c r="D15" s="101">
        <f t="shared" si="43"/>
        <v>9713.1945020408784</v>
      </c>
      <c r="E15" s="101">
        <f t="shared" si="43"/>
        <v>10213.839620257573</v>
      </c>
      <c r="F15" s="101">
        <f t="shared" si="43"/>
        <v>10459.435135416903</v>
      </c>
      <c r="G15" s="101">
        <f t="shared" si="43"/>
        <v>5998.9253336220027</v>
      </c>
      <c r="H15" s="101">
        <f t="shared" si="43"/>
        <v>5730.7435765943655</v>
      </c>
      <c r="I15" s="101">
        <f t="shared" si="43"/>
        <v>5879.2943828978778</v>
      </c>
      <c r="J15" s="101">
        <f t="shared" si="43"/>
        <v>5902.139255397401</v>
      </c>
      <c r="K15" s="101">
        <f t="shared" si="43"/>
        <v>5629.9673154984512</v>
      </c>
      <c r="L15" s="101">
        <f t="shared" ref="L15" si="44">IF(L42=0,0,L42*L152)</f>
        <v>5689.2115169753615</v>
      </c>
      <c r="M15" s="101">
        <f t="shared" ref="M15:V15" si="45">IF(M42=0,0,M42*M152)</f>
        <v>5473.4297290323611</v>
      </c>
      <c r="N15" s="101">
        <f t="shared" si="45"/>
        <v>5389.9447625378034</v>
      </c>
      <c r="O15" s="101">
        <f t="shared" si="45"/>
        <v>5566.7517040499324</v>
      </c>
      <c r="P15" s="101">
        <f t="shared" si="45"/>
        <v>5328.407265985923</v>
      </c>
      <c r="Q15" s="101">
        <f t="shared" si="45"/>
        <v>5150.3123862854036</v>
      </c>
      <c r="R15" s="101">
        <f t="shared" si="45"/>
        <v>5018.6092288781474</v>
      </c>
      <c r="S15" s="101">
        <f t="shared" si="45"/>
        <v>5906.9621984229161</v>
      </c>
      <c r="T15" s="101">
        <f t="shared" si="45"/>
        <v>6250.9524401071831</v>
      </c>
      <c r="U15" s="101">
        <f t="shared" si="45"/>
        <v>6315.9171018579427</v>
      </c>
      <c r="V15" s="101">
        <f t="shared" si="45"/>
        <v>3529.5040836974704</v>
      </c>
      <c r="W15" s="101">
        <f t="shared" ref="W15" si="46">IF(W42=0,0,W42*W152)</f>
        <v>5167.3376451651093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0.80216155402615186</v>
      </c>
      <c r="M16" s="101">
        <f t="shared" ref="M16:V16" si="49">IF(M43=0,0,M43*M153)</f>
        <v>0.79388381770285288</v>
      </c>
      <c r="N16" s="101">
        <f t="shared" si="49"/>
        <v>0.65319813398046034</v>
      </c>
      <c r="O16" s="101">
        <f t="shared" si="49"/>
        <v>0.69488231088330499</v>
      </c>
      <c r="P16" s="101">
        <f t="shared" si="49"/>
        <v>1.0760253541377633</v>
      </c>
      <c r="Q16" s="101">
        <f t="shared" si="49"/>
        <v>1.0685429274712661</v>
      </c>
      <c r="R16" s="101">
        <f t="shared" si="49"/>
        <v>1.2763017722605874</v>
      </c>
      <c r="S16" s="101">
        <f t="shared" si="49"/>
        <v>1.4484512592762688</v>
      </c>
      <c r="T16" s="101">
        <f t="shared" si="49"/>
        <v>1.5183671102726128</v>
      </c>
      <c r="U16" s="101">
        <f t="shared" si="49"/>
        <v>1.3003074641171686</v>
      </c>
      <c r="V16" s="101">
        <f t="shared" si="49"/>
        <v>0.6853534630790914</v>
      </c>
      <c r="W16" s="101">
        <f t="shared" ref="W16" si="50">IF(W43=0,0,W43*W153)</f>
        <v>1.0066665419048908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39.89451162570893</v>
      </c>
      <c r="C17" s="101">
        <f t="shared" si="51"/>
        <v>165.45463043594381</v>
      </c>
      <c r="D17" s="101">
        <f t="shared" si="51"/>
        <v>222.80549795912233</v>
      </c>
      <c r="E17" s="101">
        <f t="shared" si="51"/>
        <v>323.16037974242619</v>
      </c>
      <c r="F17" s="101">
        <f t="shared" si="51"/>
        <v>349.56486458309712</v>
      </c>
      <c r="G17" s="101">
        <f t="shared" si="51"/>
        <v>377.3378330238798</v>
      </c>
      <c r="H17" s="101">
        <f t="shared" si="51"/>
        <v>333.59968919667904</v>
      </c>
      <c r="I17" s="101">
        <f t="shared" si="51"/>
        <v>369.44352041508989</v>
      </c>
      <c r="J17" s="101">
        <f t="shared" si="51"/>
        <v>380.49049717971792</v>
      </c>
      <c r="K17" s="101">
        <f t="shared" si="51"/>
        <v>370.39266871174016</v>
      </c>
      <c r="L17" s="101">
        <f t="shared" ref="L17" si="52">IF(L44=0,0,L44*L154)</f>
        <v>378.75189339985076</v>
      </c>
      <c r="M17" s="101">
        <f t="shared" ref="M17:V17" si="53">IF(M44=0,0,M44*M154)</f>
        <v>367.91396821955436</v>
      </c>
      <c r="N17" s="101">
        <f t="shared" si="53"/>
        <v>441.76938641913893</v>
      </c>
      <c r="O17" s="101">
        <f t="shared" si="53"/>
        <v>436.46502654709235</v>
      </c>
      <c r="P17" s="101">
        <f t="shared" si="53"/>
        <v>312.66193496352344</v>
      </c>
      <c r="Q17" s="101">
        <f t="shared" si="53"/>
        <v>297.17670051993201</v>
      </c>
      <c r="R17" s="101">
        <f t="shared" si="53"/>
        <v>269.73876418062372</v>
      </c>
      <c r="S17" s="101">
        <f t="shared" si="53"/>
        <v>289.68145961876212</v>
      </c>
      <c r="T17" s="101">
        <f t="shared" si="53"/>
        <v>368.01387841235237</v>
      </c>
      <c r="U17" s="101">
        <f t="shared" si="53"/>
        <v>260.49718690907434</v>
      </c>
      <c r="V17" s="101">
        <f t="shared" si="53"/>
        <v>212.31032849519261</v>
      </c>
      <c r="W17" s="101">
        <f t="shared" ref="W17" si="54">IF(W44=0,0,W44*W154)</f>
        <v>429.43100522705106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8.3237104041945909</v>
      </c>
      <c r="M18" s="101">
        <f t="shared" ref="M18:V18" si="57">IF(M45=0,0,M45*M155)</f>
        <v>7.3837226728185081</v>
      </c>
      <c r="N18" s="101">
        <f t="shared" si="57"/>
        <v>17.115961889334674</v>
      </c>
      <c r="O18" s="101">
        <f t="shared" si="57"/>
        <v>18.447131136834901</v>
      </c>
      <c r="P18" s="101">
        <f t="shared" si="57"/>
        <v>14.291041775544192</v>
      </c>
      <c r="Q18" s="101">
        <f t="shared" si="57"/>
        <v>13.780379929319968</v>
      </c>
      <c r="R18" s="101">
        <f t="shared" si="57"/>
        <v>12.605105929658158</v>
      </c>
      <c r="S18" s="101">
        <f t="shared" si="57"/>
        <v>23.016021180817628</v>
      </c>
      <c r="T18" s="101">
        <f t="shared" si="57"/>
        <v>59.701600217188492</v>
      </c>
      <c r="U18" s="101">
        <f t="shared" si="57"/>
        <v>75.590110591919483</v>
      </c>
      <c r="V18" s="101">
        <f t="shared" si="57"/>
        <v>56.890288646823237</v>
      </c>
      <c r="W18" s="101">
        <f t="shared" ref="W18" si="58">IF(W45=0,0,W45*W155)</f>
        <v>74.905309250261269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21259.73555025737</v>
      </c>
      <c r="C19" s="29">
        <f t="shared" si="59"/>
        <v>23807.702636935945</v>
      </c>
      <c r="D19" s="29">
        <f t="shared" si="59"/>
        <v>22669.939051658173</v>
      </c>
      <c r="E19" s="29">
        <f t="shared" si="59"/>
        <v>21964.606232663013</v>
      </c>
      <c r="F19" s="29">
        <f t="shared" si="59"/>
        <v>25955.620775051921</v>
      </c>
      <c r="G19" s="29">
        <f t="shared" si="59"/>
        <v>26117.556363496933</v>
      </c>
      <c r="H19" s="29">
        <f t="shared" si="59"/>
        <v>26723.031501891899</v>
      </c>
      <c r="I19" s="29">
        <f t="shared" si="59"/>
        <v>28107.175060506241</v>
      </c>
      <c r="J19" s="29">
        <f t="shared" si="59"/>
        <v>25932.361288017499</v>
      </c>
      <c r="K19" s="29">
        <f t="shared" si="59"/>
        <v>23221.076788775103</v>
      </c>
      <c r="L19" s="29">
        <f t="shared" ref="L19" si="60">L20+L26</f>
        <v>21230.304973930113</v>
      </c>
      <c r="M19" s="29">
        <f t="shared" ref="M19:V19" si="61">M20+M26</f>
        <v>21123.994619929614</v>
      </c>
      <c r="N19" s="29">
        <f t="shared" si="61"/>
        <v>18260.219017977503</v>
      </c>
      <c r="O19" s="29">
        <f t="shared" si="61"/>
        <v>17492.561756704126</v>
      </c>
      <c r="P19" s="29">
        <f t="shared" si="61"/>
        <v>18536.625098697627</v>
      </c>
      <c r="Q19" s="29">
        <f t="shared" si="61"/>
        <v>18211.723991106624</v>
      </c>
      <c r="R19" s="29">
        <f t="shared" si="61"/>
        <v>18326.134495602128</v>
      </c>
      <c r="S19" s="29">
        <f t="shared" si="61"/>
        <v>18769.607078012858</v>
      </c>
      <c r="T19" s="29">
        <f t="shared" si="61"/>
        <v>18742.863678863079</v>
      </c>
      <c r="U19" s="29">
        <f t="shared" si="61"/>
        <v>18788.855176537872</v>
      </c>
      <c r="V19" s="29">
        <f t="shared" si="61"/>
        <v>15809.833129584884</v>
      </c>
      <c r="W19" s="29">
        <f t="shared" ref="W19" si="62">W20+W26</f>
        <v>17663.192121089938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2407.97028169445</v>
      </c>
      <c r="C20" s="152">
        <f t="shared" si="63"/>
        <v>2494.9957295966146</v>
      </c>
      <c r="D20" s="152">
        <f t="shared" si="63"/>
        <v>2500.0754743704492</v>
      </c>
      <c r="E20" s="152">
        <f t="shared" si="63"/>
        <v>2427.300555084656</v>
      </c>
      <c r="F20" s="152">
        <f t="shared" si="63"/>
        <v>2324.2990668028215</v>
      </c>
      <c r="G20" s="152">
        <f t="shared" si="63"/>
        <v>2256.4499149494181</v>
      </c>
      <c r="H20" s="152">
        <f t="shared" si="63"/>
        <v>2288.3254828886024</v>
      </c>
      <c r="I20" s="152">
        <f t="shared" si="63"/>
        <v>2229.8484311884686</v>
      </c>
      <c r="J20" s="152">
        <f t="shared" si="63"/>
        <v>2256.5622265838374</v>
      </c>
      <c r="K20" s="152">
        <f t="shared" si="63"/>
        <v>2299.6416666533373</v>
      </c>
      <c r="L20" s="152">
        <f t="shared" ref="L20" si="64">SUM(L21:L25)</f>
        <v>2280.909642085272</v>
      </c>
      <c r="M20" s="152">
        <f t="shared" ref="M20:V20" si="65">SUM(M21:M25)</f>
        <v>2067.5041731708193</v>
      </c>
      <c r="N20" s="152">
        <f t="shared" si="65"/>
        <v>1800.6995956496421</v>
      </c>
      <c r="O20" s="152">
        <f t="shared" si="65"/>
        <v>1732.8988052144709</v>
      </c>
      <c r="P20" s="152">
        <f t="shared" si="65"/>
        <v>1886.9643381130168</v>
      </c>
      <c r="Q20" s="152">
        <f t="shared" si="65"/>
        <v>1888.3979367466791</v>
      </c>
      <c r="R20" s="152">
        <f t="shared" si="65"/>
        <v>1944.1839766661014</v>
      </c>
      <c r="S20" s="152">
        <f t="shared" si="65"/>
        <v>2025.0483429893266</v>
      </c>
      <c r="T20" s="152">
        <f t="shared" si="65"/>
        <v>2084.8636788630783</v>
      </c>
      <c r="U20" s="152">
        <f t="shared" si="65"/>
        <v>2176.855176537872</v>
      </c>
      <c r="V20" s="152">
        <f t="shared" si="65"/>
        <v>1880.8331295848832</v>
      </c>
      <c r="W20" s="152">
        <f t="shared" ref="W20" si="66">SUM(W21:W25)</f>
        <v>2045.1921210899391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24.54719984544634</v>
      </c>
      <c r="C21" s="87">
        <f t="shared" si="67"/>
        <v>22.464895677304376</v>
      </c>
      <c r="D21" s="87">
        <f t="shared" si="67"/>
        <v>21.931045032250701</v>
      </c>
      <c r="E21" s="87">
        <f t="shared" si="67"/>
        <v>24.00436084138946</v>
      </c>
      <c r="F21" s="87">
        <f t="shared" si="67"/>
        <v>21.192925790246875</v>
      </c>
      <c r="G21" s="87">
        <f t="shared" si="67"/>
        <v>19.874299779388348</v>
      </c>
      <c r="H21" s="87">
        <f t="shared" si="67"/>
        <v>19.621871665499341</v>
      </c>
      <c r="I21" s="87">
        <f t="shared" si="67"/>
        <v>18.462467842616423</v>
      </c>
      <c r="J21" s="87">
        <f t="shared" si="67"/>
        <v>18.223372094745027</v>
      </c>
      <c r="K21" s="87">
        <f t="shared" si="67"/>
        <v>18.139824387397397</v>
      </c>
      <c r="L21" s="87">
        <f t="shared" ref="L21" si="68">IF(L48=0,0,L48*L158)</f>
        <v>17.539081201749187</v>
      </c>
      <c r="M21" s="87">
        <f t="shared" ref="M21:V21" si="69">IF(M48=0,0,M48*M158)</f>
        <v>14.341014465050398</v>
      </c>
      <c r="N21" s="87">
        <f t="shared" si="69"/>
        <v>12.464224363451944</v>
      </c>
      <c r="O21" s="87">
        <f t="shared" si="69"/>
        <v>11.158259507815604</v>
      </c>
      <c r="P21" s="87">
        <f t="shared" si="69"/>
        <v>10.68222640328143</v>
      </c>
      <c r="Q21" s="87">
        <f t="shared" si="69"/>
        <v>11.827083739396977</v>
      </c>
      <c r="R21" s="87">
        <f t="shared" si="69"/>
        <v>11.05338789867335</v>
      </c>
      <c r="S21" s="87">
        <f t="shared" si="69"/>
        <v>11.486444691896315</v>
      </c>
      <c r="T21" s="87">
        <f t="shared" si="69"/>
        <v>10.661506176822849</v>
      </c>
      <c r="U21" s="87">
        <f t="shared" si="69"/>
        <v>13.34361135067242</v>
      </c>
      <c r="V21" s="87">
        <f t="shared" si="69"/>
        <v>8.5131731368576578</v>
      </c>
      <c r="W21" s="87">
        <f t="shared" ref="W21" si="70">IF(W48=0,0,W48*W158)</f>
        <v>8.9230971839543809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2382.3949214224244</v>
      </c>
      <c r="C22" s="87">
        <f t="shared" si="71"/>
        <v>2471.5680863437965</v>
      </c>
      <c r="D22" s="87">
        <f t="shared" si="71"/>
        <v>2477.1811853686118</v>
      </c>
      <c r="E22" s="87">
        <f t="shared" si="71"/>
        <v>2402.2433511397021</v>
      </c>
      <c r="F22" s="87">
        <f t="shared" si="71"/>
        <v>2302.1553200775134</v>
      </c>
      <c r="G22" s="87">
        <f t="shared" si="71"/>
        <v>2235.6586487207787</v>
      </c>
      <c r="H22" s="87">
        <f t="shared" si="71"/>
        <v>2267.7767106495116</v>
      </c>
      <c r="I22" s="87">
        <f t="shared" si="71"/>
        <v>2210.4855025044044</v>
      </c>
      <c r="J22" s="87">
        <f t="shared" si="71"/>
        <v>2237.4302580961662</v>
      </c>
      <c r="K22" s="87">
        <f t="shared" si="71"/>
        <v>2280.5775005795695</v>
      </c>
      <c r="L22" s="87">
        <f t="shared" ref="L22" si="72">IF(L49=0,0,L49*L159)</f>
        <v>2262.4868910530008</v>
      </c>
      <c r="M22" s="87">
        <f t="shared" ref="M22:V22" si="73">IF(M49=0,0,M49*M159)</f>
        <v>2052.3783871501259</v>
      </c>
      <c r="N22" s="87">
        <f t="shared" si="73"/>
        <v>1787.5729125830192</v>
      </c>
      <c r="O22" s="87">
        <f t="shared" si="73"/>
        <v>1721.0336744958579</v>
      </c>
      <c r="P22" s="87">
        <f t="shared" si="73"/>
        <v>1875.5091365796347</v>
      </c>
      <c r="Q22" s="87">
        <f t="shared" si="73"/>
        <v>1875.6587098280656</v>
      </c>
      <c r="R22" s="87">
        <f t="shared" si="73"/>
        <v>1932.2218599170362</v>
      </c>
      <c r="S22" s="87">
        <f t="shared" si="73"/>
        <v>2012.1766832144829</v>
      </c>
      <c r="T22" s="87">
        <f t="shared" si="73"/>
        <v>2072.2061157682583</v>
      </c>
      <c r="U22" s="87">
        <f t="shared" si="73"/>
        <v>2160.9710099512727</v>
      </c>
      <c r="V22" s="87">
        <f t="shared" si="73"/>
        <v>1869.6045735856906</v>
      </c>
      <c r="W22" s="87">
        <f t="shared" ref="W22" si="74">IF(W49=0,0,W49*W159)</f>
        <v>2033.0114525835479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1.028160426579106</v>
      </c>
      <c r="C23" s="87">
        <f t="shared" si="75"/>
        <v>0.96274757551392887</v>
      </c>
      <c r="D23" s="87">
        <f t="shared" si="75"/>
        <v>0.96324396958700986</v>
      </c>
      <c r="E23" s="87">
        <f t="shared" si="75"/>
        <v>1.0528431035647001</v>
      </c>
      <c r="F23" s="87">
        <f t="shared" si="75"/>
        <v>0.95082093506127496</v>
      </c>
      <c r="G23" s="87">
        <f t="shared" si="75"/>
        <v>0.91696644925096316</v>
      </c>
      <c r="H23" s="87">
        <f t="shared" si="75"/>
        <v>0.92690057359146494</v>
      </c>
      <c r="I23" s="87">
        <f t="shared" si="75"/>
        <v>0.90046084144815575</v>
      </c>
      <c r="J23" s="87">
        <f t="shared" si="75"/>
        <v>0.90859639292624772</v>
      </c>
      <c r="K23" s="87">
        <f t="shared" si="75"/>
        <v>0.92434168637043279</v>
      </c>
      <c r="L23" s="87">
        <f t="shared" ref="L23" si="76">IF(L50=0,0,L50*L160)</f>
        <v>0.8836698305220112</v>
      </c>
      <c r="M23" s="87">
        <f t="shared" ref="M23:V23" si="77">IF(M50=0,0,M50*M160)</f>
        <v>0.77939577200032673</v>
      </c>
      <c r="N23" s="87">
        <f t="shared" si="77"/>
        <v>0.64524008471662442</v>
      </c>
      <c r="O23" s="87">
        <f t="shared" si="77"/>
        <v>0.63630720179064748</v>
      </c>
      <c r="P23" s="87">
        <f t="shared" si="77"/>
        <v>0.6625393826911673</v>
      </c>
      <c r="Q23" s="87">
        <f t="shared" si="77"/>
        <v>0.70711669250917963</v>
      </c>
      <c r="R23" s="87">
        <f t="shared" si="77"/>
        <v>0.66580089306965251</v>
      </c>
      <c r="S23" s="87">
        <f t="shared" si="77"/>
        <v>0.66813523718211165</v>
      </c>
      <c r="T23" s="87">
        <f t="shared" si="77"/>
        <v>0.6680663325577838</v>
      </c>
      <c r="U23" s="87">
        <f t="shared" si="77"/>
        <v>0.77546543999092921</v>
      </c>
      <c r="V23" s="87">
        <f t="shared" si="77"/>
        <v>0.64791508087262029</v>
      </c>
      <c r="W23" s="87">
        <f t="shared" ref="W23" si="78">IF(W50=0,0,W50*W160)</f>
        <v>0.65461355544194222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5.8915414685694802E-3</v>
      </c>
      <c r="P24" s="87">
        <f t="shared" si="81"/>
        <v>1.5550938837884391E-2</v>
      </c>
      <c r="Q24" s="87">
        <f t="shared" si="81"/>
        <v>2.361998066467403E-2</v>
      </c>
      <c r="R24" s="87">
        <f t="shared" si="81"/>
        <v>3.2503542182010702E-2</v>
      </c>
      <c r="S24" s="87">
        <f t="shared" si="81"/>
        <v>3.752788433614828E-2</v>
      </c>
      <c r="T24" s="87">
        <f t="shared" si="81"/>
        <v>5.6682659247231378E-2</v>
      </c>
      <c r="U24" s="87">
        <f t="shared" si="81"/>
        <v>9.0961175943161013E-2</v>
      </c>
      <c r="V24" s="87">
        <f t="shared" si="81"/>
        <v>9.3639167617347752E-2</v>
      </c>
      <c r="W24" s="87">
        <f t="shared" ref="W24" si="82">IF(W51=0,0,W51*W161)</f>
        <v>0.14317857034630641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5.3757836425480654E-3</v>
      </c>
      <c r="N25" s="87">
        <f t="shared" si="85"/>
        <v>1.7218618454570234E-2</v>
      </c>
      <c r="O25" s="87">
        <f t="shared" si="85"/>
        <v>6.4672467538244932E-2</v>
      </c>
      <c r="P25" s="87">
        <f t="shared" si="85"/>
        <v>9.4884808571604154E-2</v>
      </c>
      <c r="Q25" s="87">
        <f t="shared" si="85"/>
        <v>0.18140650604253858</v>
      </c>
      <c r="R25" s="87">
        <f t="shared" si="85"/>
        <v>0.21042441514027632</v>
      </c>
      <c r="S25" s="87">
        <f t="shared" si="85"/>
        <v>0.67955196142907004</v>
      </c>
      <c r="T25" s="87">
        <f t="shared" si="85"/>
        <v>1.2713079261918783</v>
      </c>
      <c r="U25" s="87">
        <f t="shared" si="85"/>
        <v>1.6741286199933201</v>
      </c>
      <c r="V25" s="87">
        <f t="shared" si="85"/>
        <v>1.9738286138452756</v>
      </c>
      <c r="W25" s="87">
        <f t="shared" ref="W25" si="86">IF(W52=0,0,W52*W162)</f>
        <v>2.4597791966486451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18851.765268562922</v>
      </c>
      <c r="C26" s="116">
        <f t="shared" si="87"/>
        <v>21312.706907339329</v>
      </c>
      <c r="D26" s="116">
        <f t="shared" si="87"/>
        <v>20169.863577287724</v>
      </c>
      <c r="E26" s="116">
        <f t="shared" si="87"/>
        <v>19537.305677578355</v>
      </c>
      <c r="F26" s="116">
        <f t="shared" si="87"/>
        <v>23631.321708249099</v>
      </c>
      <c r="G26" s="116">
        <f t="shared" si="87"/>
        <v>23861.106448547514</v>
      </c>
      <c r="H26" s="116">
        <f t="shared" si="87"/>
        <v>24434.706019003297</v>
      </c>
      <c r="I26" s="116">
        <f t="shared" si="87"/>
        <v>25877.326629317773</v>
      </c>
      <c r="J26" s="116">
        <f t="shared" si="87"/>
        <v>23675.799061433663</v>
      </c>
      <c r="K26" s="116">
        <f t="shared" si="87"/>
        <v>20921.435122121766</v>
      </c>
      <c r="L26" s="116">
        <f t="shared" ref="L26" si="88">SUM(L27:L28)</f>
        <v>18949.39533184484</v>
      </c>
      <c r="M26" s="116">
        <f t="shared" ref="M26:V26" si="89">SUM(M27:M28)</f>
        <v>19056.490446758795</v>
      </c>
      <c r="N26" s="116">
        <f t="shared" si="89"/>
        <v>16459.51942232786</v>
      </c>
      <c r="O26" s="116">
        <f t="shared" si="89"/>
        <v>15759.662951489654</v>
      </c>
      <c r="P26" s="116">
        <f t="shared" si="89"/>
        <v>16649.660760584611</v>
      </c>
      <c r="Q26" s="116">
        <f t="shared" si="89"/>
        <v>16323.326054359946</v>
      </c>
      <c r="R26" s="116">
        <f t="shared" si="89"/>
        <v>16381.950518936026</v>
      </c>
      <c r="S26" s="116">
        <f t="shared" si="89"/>
        <v>16744.558735023529</v>
      </c>
      <c r="T26" s="116">
        <f t="shared" si="89"/>
        <v>16658</v>
      </c>
      <c r="U26" s="116">
        <f t="shared" si="89"/>
        <v>16612</v>
      </c>
      <c r="V26" s="116">
        <f t="shared" si="89"/>
        <v>13929</v>
      </c>
      <c r="W26" s="116">
        <f t="shared" ref="W26" si="90">SUM(W27:W28)</f>
        <v>15618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14220</v>
      </c>
      <c r="C27" s="101">
        <f t="shared" si="91"/>
        <v>16351.000000000002</v>
      </c>
      <c r="D27" s="101">
        <f t="shared" si="91"/>
        <v>14916</v>
      </c>
      <c r="E27" s="101">
        <f t="shared" si="91"/>
        <v>14199.000000000002</v>
      </c>
      <c r="F27" s="101">
        <f t="shared" si="91"/>
        <v>17435</v>
      </c>
      <c r="G27" s="101">
        <f t="shared" si="91"/>
        <v>17445</v>
      </c>
      <c r="H27" s="101">
        <f t="shared" si="91"/>
        <v>17540</v>
      </c>
      <c r="I27" s="101">
        <f t="shared" si="91"/>
        <v>18319</v>
      </c>
      <c r="J27" s="101">
        <f t="shared" si="91"/>
        <v>17114</v>
      </c>
      <c r="K27" s="101">
        <f t="shared" si="91"/>
        <v>14424</v>
      </c>
      <c r="L27" s="101">
        <f t="shared" ref="L27:V27" si="92">IF(L54=0,0,L54*L164)</f>
        <v>12881</v>
      </c>
      <c r="M27" s="101">
        <f t="shared" si="92"/>
        <v>12673</v>
      </c>
      <c r="N27" s="101">
        <f t="shared" si="92"/>
        <v>11179.999999999998</v>
      </c>
      <c r="O27" s="101">
        <f t="shared" si="92"/>
        <v>9773</v>
      </c>
      <c r="P27" s="101">
        <f t="shared" si="92"/>
        <v>10469</v>
      </c>
      <c r="Q27" s="101">
        <f t="shared" si="92"/>
        <v>10791</v>
      </c>
      <c r="R27" s="101">
        <f t="shared" si="92"/>
        <v>10382</v>
      </c>
      <c r="S27" s="101">
        <f t="shared" si="92"/>
        <v>10854</v>
      </c>
      <c r="T27" s="101">
        <f t="shared" si="92"/>
        <v>10530</v>
      </c>
      <c r="U27" s="101">
        <f t="shared" si="92"/>
        <v>10413</v>
      </c>
      <c r="V27" s="101">
        <f t="shared" si="92"/>
        <v>8722</v>
      </c>
      <c r="W27" s="101">
        <f t="shared" ref="W27" si="93">IF(W54=0,0,W54*W164)</f>
        <v>9389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4631.7652685629218</v>
      </c>
      <c r="C28" s="88">
        <f t="shared" si="94"/>
        <v>4961.706907339325</v>
      </c>
      <c r="D28" s="88">
        <f t="shared" si="94"/>
        <v>5253.8635772877242</v>
      </c>
      <c r="E28" s="88">
        <f t="shared" si="94"/>
        <v>5338.3056775783516</v>
      </c>
      <c r="F28" s="88">
        <f t="shared" si="94"/>
        <v>6196.3217082490992</v>
      </c>
      <c r="G28" s="88">
        <f t="shared" si="94"/>
        <v>6416.1064485475144</v>
      </c>
      <c r="H28" s="88">
        <f t="shared" si="94"/>
        <v>6894.7060190032971</v>
      </c>
      <c r="I28" s="88">
        <f t="shared" si="94"/>
        <v>7558.326629317773</v>
      </c>
      <c r="J28" s="88">
        <f t="shared" si="94"/>
        <v>6561.7990614336632</v>
      </c>
      <c r="K28" s="88">
        <f t="shared" si="94"/>
        <v>6497.4351221217657</v>
      </c>
      <c r="L28" s="88">
        <f t="shared" ref="L28:V28" si="95">IF(L55=0,0,L55*L165)</f>
        <v>6068.3953318448403</v>
      </c>
      <c r="M28" s="88">
        <f t="shared" si="95"/>
        <v>6383.4904467587949</v>
      </c>
      <c r="N28" s="88">
        <f t="shared" si="95"/>
        <v>5279.5194223278595</v>
      </c>
      <c r="O28" s="88">
        <f t="shared" si="95"/>
        <v>5986.662951489654</v>
      </c>
      <c r="P28" s="88">
        <f t="shared" si="95"/>
        <v>6180.6607605846111</v>
      </c>
      <c r="Q28" s="88">
        <f t="shared" si="95"/>
        <v>5532.3260543599463</v>
      </c>
      <c r="R28" s="88">
        <f t="shared" si="95"/>
        <v>5999.9505189360261</v>
      </c>
      <c r="S28" s="88">
        <f t="shared" si="95"/>
        <v>5890.5587350235292</v>
      </c>
      <c r="T28" s="88">
        <f t="shared" si="95"/>
        <v>6128</v>
      </c>
      <c r="U28" s="88">
        <f t="shared" si="95"/>
        <v>6199</v>
      </c>
      <c r="V28" s="88">
        <f t="shared" si="95"/>
        <v>5207</v>
      </c>
      <c r="W28" s="88">
        <f t="shared" ref="W28" si="96">IF(W55=0,0,W55*W165)</f>
        <v>6229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68530.188957915962</v>
      </c>
      <c r="C30" s="62">
        <f t="shared" ref="C30:V30" si="98">C31+C46</f>
        <v>69605.875158133771</v>
      </c>
      <c r="D30" s="62">
        <f t="shared" si="98"/>
        <v>74033.447865124006</v>
      </c>
      <c r="E30" s="62">
        <f t="shared" si="98"/>
        <v>75929.763955605289</v>
      </c>
      <c r="F30" s="62">
        <f t="shared" si="98"/>
        <v>77538.761647200939</v>
      </c>
      <c r="G30" s="62">
        <f t="shared" si="98"/>
        <v>78072.183785094981</v>
      </c>
      <c r="H30" s="62">
        <f t="shared" si="98"/>
        <v>79048.983428225038</v>
      </c>
      <c r="I30" s="62">
        <f t="shared" si="98"/>
        <v>78556.980610848434</v>
      </c>
      <c r="J30" s="62">
        <f t="shared" si="98"/>
        <v>79640.441878458863</v>
      </c>
      <c r="K30" s="62">
        <f t="shared" si="98"/>
        <v>81008.035379868845</v>
      </c>
      <c r="L30" s="62">
        <f t="shared" si="98"/>
        <v>82209.42311996076</v>
      </c>
      <c r="M30" s="62">
        <f t="shared" si="98"/>
        <v>78919.194107936768</v>
      </c>
      <c r="N30" s="62">
        <f t="shared" si="98"/>
        <v>72089.939565935783</v>
      </c>
      <c r="O30" s="62">
        <f t="shared" si="98"/>
        <v>71881.878147894677</v>
      </c>
      <c r="P30" s="62">
        <f t="shared" si="98"/>
        <v>75101.511150412334</v>
      </c>
      <c r="Q30" s="62">
        <f t="shared" si="98"/>
        <v>75114.594914834801</v>
      </c>
      <c r="R30" s="62">
        <f t="shared" si="98"/>
        <v>77591.62853694825</v>
      </c>
      <c r="S30" s="62">
        <f t="shared" si="98"/>
        <v>80311.742123330041</v>
      </c>
      <c r="T30" s="62">
        <f t="shared" si="98"/>
        <v>81421.399802026615</v>
      </c>
      <c r="U30" s="62">
        <f t="shared" si="98"/>
        <v>83518.987082447959</v>
      </c>
      <c r="V30" s="62">
        <f t="shared" si="98"/>
        <v>72791.205999340207</v>
      </c>
      <c r="W30" s="62">
        <f t="shared" ref="W30" si="99">W31+W46</f>
        <v>77396.77537810299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51381.17277209703</v>
      </c>
      <c r="C31" s="29">
        <f t="shared" ref="C31:V31" si="101">C32+C33+C40</f>
        <v>51893.17477192777</v>
      </c>
      <c r="D31" s="29">
        <f t="shared" si="101"/>
        <v>56306.832174602947</v>
      </c>
      <c r="E31" s="29">
        <f t="shared" si="101"/>
        <v>58484.596776260027</v>
      </c>
      <c r="F31" s="29">
        <f t="shared" si="101"/>
        <v>60453.441067296233</v>
      </c>
      <c r="G31" s="29">
        <f t="shared" si="101"/>
        <v>61459.481932820992</v>
      </c>
      <c r="H31" s="29">
        <f t="shared" si="101"/>
        <v>62213.700666963661</v>
      </c>
      <c r="I31" s="29">
        <f t="shared" si="101"/>
        <v>62131.766979082109</v>
      </c>
      <c r="J31" s="29">
        <f t="shared" si="101"/>
        <v>63151.855633342959</v>
      </c>
      <c r="K31" s="29">
        <f t="shared" si="101"/>
        <v>64449.494386589016</v>
      </c>
      <c r="L31" s="29">
        <f t="shared" si="101"/>
        <v>65763.383952835691</v>
      </c>
      <c r="M31" s="29">
        <f t="shared" si="101"/>
        <v>64138.339550473356</v>
      </c>
      <c r="N31" s="29">
        <f t="shared" si="101"/>
        <v>59431.477057505042</v>
      </c>
      <c r="O31" s="29">
        <f t="shared" si="101"/>
        <v>59807.855381314985</v>
      </c>
      <c r="P31" s="29">
        <f t="shared" si="101"/>
        <v>62148.867660908865</v>
      </c>
      <c r="Q31" s="29">
        <f t="shared" si="101"/>
        <v>61872.198778143676</v>
      </c>
      <c r="R31" s="29">
        <f t="shared" si="101"/>
        <v>63956.346693893443</v>
      </c>
      <c r="S31" s="29">
        <f t="shared" si="101"/>
        <v>66106.10681333112</v>
      </c>
      <c r="T31" s="29">
        <f t="shared" si="101"/>
        <v>66839.254542833733</v>
      </c>
      <c r="U31" s="29">
        <f t="shared" si="101"/>
        <v>68564.498832956058</v>
      </c>
      <c r="V31" s="29">
        <f t="shared" si="101"/>
        <v>60094.928988796222</v>
      </c>
      <c r="W31" s="29">
        <f t="shared" ref="W31" si="102">W32+W33+W40</f>
        <v>63297.672795800579</v>
      </c>
      <c r="DA31" s="173" t="s">
        <v>474</v>
      </c>
    </row>
    <row r="32" spans="1:105" ht="11.45" customHeight="1" x14ac:dyDescent="0.25">
      <c r="A32" s="136" t="s">
        <v>180</v>
      </c>
      <c r="B32" s="152">
        <v>1306.4044433079412</v>
      </c>
      <c r="C32" s="152">
        <v>1410.5205254535831</v>
      </c>
      <c r="D32" s="152">
        <v>1519.0324972627996</v>
      </c>
      <c r="E32" s="152">
        <v>1603.9468074621357</v>
      </c>
      <c r="F32" s="152">
        <v>1718.5516395641125</v>
      </c>
      <c r="G32" s="152">
        <v>1806.8438555276023</v>
      </c>
      <c r="H32" s="152">
        <v>1900.0686849315678</v>
      </c>
      <c r="I32" s="152">
        <v>1798.0479627235513</v>
      </c>
      <c r="J32" s="152">
        <v>1818.1297355622683</v>
      </c>
      <c r="K32" s="152">
        <v>1700.8194913273796</v>
      </c>
      <c r="L32" s="152">
        <v>1648.143239552938</v>
      </c>
      <c r="M32" s="152">
        <v>1613.4168297937176</v>
      </c>
      <c r="N32" s="152">
        <v>1632.1159439748396</v>
      </c>
      <c r="O32" s="152">
        <v>1605.7394388934881</v>
      </c>
      <c r="P32" s="152">
        <v>1579.6737119454078</v>
      </c>
      <c r="Q32" s="152">
        <v>1529.4237299723645</v>
      </c>
      <c r="R32" s="152">
        <v>1628.8813829609701</v>
      </c>
      <c r="S32" s="152">
        <v>1556.1303544768994</v>
      </c>
      <c r="T32" s="152">
        <v>1493.6560140968475</v>
      </c>
      <c r="U32" s="152">
        <v>1598.7169553713045</v>
      </c>
      <c r="V32" s="152">
        <v>1442.6930738426654</v>
      </c>
      <c r="W32" s="152">
        <v>1511.9472183206219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49560.011261683416</v>
      </c>
      <c r="C33" s="116">
        <f t="shared" ref="C33:V33" si="104">SUM(C34:C39)</f>
        <v>49951.704691635307</v>
      </c>
      <c r="D33" s="116">
        <f t="shared" si="104"/>
        <v>54250.741002990653</v>
      </c>
      <c r="E33" s="116">
        <f t="shared" si="104"/>
        <v>56347.243619966655</v>
      </c>
      <c r="F33" s="116">
        <f t="shared" si="104"/>
        <v>58208.213647411525</v>
      </c>
      <c r="G33" s="116">
        <f t="shared" si="104"/>
        <v>59311.884991189072</v>
      </c>
      <c r="H33" s="116">
        <f t="shared" si="104"/>
        <v>59971.763150525083</v>
      </c>
      <c r="I33" s="116">
        <f t="shared" si="104"/>
        <v>59982.430943567488</v>
      </c>
      <c r="J33" s="116">
        <f t="shared" si="104"/>
        <v>60967.787239782156</v>
      </c>
      <c r="K33" s="116">
        <f t="shared" si="104"/>
        <v>62372.721733515529</v>
      </c>
      <c r="L33" s="116">
        <f t="shared" si="104"/>
        <v>63724.985502404998</v>
      </c>
      <c r="M33" s="116">
        <f t="shared" si="104"/>
        <v>62133.653573245887</v>
      </c>
      <c r="N33" s="116">
        <f t="shared" si="104"/>
        <v>57475.667509383609</v>
      </c>
      <c r="O33" s="116">
        <f t="shared" si="104"/>
        <v>57892.565141986372</v>
      </c>
      <c r="P33" s="116">
        <f t="shared" si="104"/>
        <v>60193.735422299236</v>
      </c>
      <c r="Q33" s="116">
        <f t="shared" si="104"/>
        <v>59966.385048171316</v>
      </c>
      <c r="R33" s="116">
        <f t="shared" si="104"/>
        <v>61929.005310932473</v>
      </c>
      <c r="S33" s="116">
        <f t="shared" si="104"/>
        <v>64138.286458854214</v>
      </c>
      <c r="T33" s="116">
        <f t="shared" si="104"/>
        <v>64904.568528736891</v>
      </c>
      <c r="U33" s="116">
        <f t="shared" si="104"/>
        <v>66569.351877584762</v>
      </c>
      <c r="V33" s="116">
        <f t="shared" si="104"/>
        <v>58353.135914953556</v>
      </c>
      <c r="W33" s="116">
        <f t="shared" ref="W33" si="105">SUM(W34:W39)</f>
        <v>61397.785577479954</v>
      </c>
      <c r="DA33" s="176" t="s">
        <v>476</v>
      </c>
    </row>
    <row r="34" spans="1:105" ht="11.45" customHeight="1" x14ac:dyDescent="0.25">
      <c r="A34" s="111" t="s">
        <v>110</v>
      </c>
      <c r="B34" s="87">
        <v>31826.589249535074</v>
      </c>
      <c r="C34" s="87">
        <v>30463.563359696771</v>
      </c>
      <c r="D34" s="87">
        <v>31909.115098192957</v>
      </c>
      <c r="E34" s="87">
        <v>30983.233462471009</v>
      </c>
      <c r="F34" s="87">
        <v>29781.874166393809</v>
      </c>
      <c r="G34" s="87">
        <v>27960.43232003813</v>
      </c>
      <c r="H34" s="87">
        <v>25809.153825697296</v>
      </c>
      <c r="I34" s="87">
        <v>24157.089582670516</v>
      </c>
      <c r="J34" s="87">
        <v>22695.101393256235</v>
      </c>
      <c r="K34" s="87">
        <v>22274.771117664066</v>
      </c>
      <c r="L34" s="87">
        <v>21482.928081296224</v>
      </c>
      <c r="M34" s="87">
        <v>19443.629786164485</v>
      </c>
      <c r="N34" s="87">
        <v>17860.639788115554</v>
      </c>
      <c r="O34" s="87">
        <v>17455.402843028314</v>
      </c>
      <c r="P34" s="87">
        <v>17453.644699120934</v>
      </c>
      <c r="Q34" s="87">
        <v>17252.511766715394</v>
      </c>
      <c r="R34" s="87">
        <v>16933.489900578654</v>
      </c>
      <c r="S34" s="87">
        <v>16763.304753621556</v>
      </c>
      <c r="T34" s="87">
        <v>16563.522593565704</v>
      </c>
      <c r="U34" s="87">
        <v>17134.868778544256</v>
      </c>
      <c r="V34" s="87">
        <v>14262.610260221794</v>
      </c>
      <c r="W34" s="87">
        <v>15745.738125427071</v>
      </c>
      <c r="DA34" s="171" t="s">
        <v>477</v>
      </c>
    </row>
    <row r="35" spans="1:105" ht="11.45" customHeight="1" x14ac:dyDescent="0.25">
      <c r="A35" s="111" t="s">
        <v>111</v>
      </c>
      <c r="B35" s="87">
        <v>17443.331321427922</v>
      </c>
      <c r="C35" s="87">
        <v>19215.72984040733</v>
      </c>
      <c r="D35" s="87">
        <v>22090.27818311788</v>
      </c>
      <c r="E35" s="87">
        <v>25061.193510137364</v>
      </c>
      <c r="F35" s="87">
        <v>28114.517641019629</v>
      </c>
      <c r="G35" s="87">
        <v>31022.489832679938</v>
      </c>
      <c r="H35" s="87">
        <v>33881.74096787475</v>
      </c>
      <c r="I35" s="87">
        <v>35561.258462673111</v>
      </c>
      <c r="J35" s="87">
        <v>37928.804250750531</v>
      </c>
      <c r="K35" s="87">
        <v>39582.068850826799</v>
      </c>
      <c r="L35" s="87">
        <v>41730.689895835858</v>
      </c>
      <c r="M35" s="87">
        <v>42243.861020554359</v>
      </c>
      <c r="N35" s="87">
        <v>39057.449056087542</v>
      </c>
      <c r="O35" s="87">
        <v>39851.276271418392</v>
      </c>
      <c r="P35" s="87">
        <v>42095.839356635719</v>
      </c>
      <c r="Q35" s="87">
        <v>42043.099980755294</v>
      </c>
      <c r="R35" s="87">
        <v>44278.300355178544</v>
      </c>
      <c r="S35" s="87">
        <v>46535.65299890712</v>
      </c>
      <c r="T35" s="87">
        <v>47304.688917163789</v>
      </c>
      <c r="U35" s="87">
        <v>48161.565131721676</v>
      </c>
      <c r="V35" s="87">
        <v>42839.390142880977</v>
      </c>
      <c r="W35" s="87">
        <v>43965.425912077575</v>
      </c>
      <c r="DA35" s="171" t="s">
        <v>478</v>
      </c>
    </row>
    <row r="36" spans="1:105" ht="11.45" customHeight="1" x14ac:dyDescent="0.25">
      <c r="A36" s="111" t="s">
        <v>112</v>
      </c>
      <c r="B36" s="87">
        <v>290.09069072042024</v>
      </c>
      <c r="C36" s="87">
        <v>272.41149153120432</v>
      </c>
      <c r="D36" s="87">
        <v>251.34772167981222</v>
      </c>
      <c r="E36" s="87">
        <v>302.81664735828087</v>
      </c>
      <c r="F36" s="87">
        <v>311.82183999808507</v>
      </c>
      <c r="G36" s="87">
        <v>328.96283847100989</v>
      </c>
      <c r="H36" s="87">
        <v>280.86835695303387</v>
      </c>
      <c r="I36" s="87">
        <v>264.08289822386308</v>
      </c>
      <c r="J36" s="87">
        <v>343.53444782649586</v>
      </c>
      <c r="K36" s="87">
        <v>515.52216603131535</v>
      </c>
      <c r="L36" s="87">
        <v>502.39343211553995</v>
      </c>
      <c r="M36" s="87">
        <v>442.4610000733515</v>
      </c>
      <c r="N36" s="87">
        <v>552.558924781374</v>
      </c>
      <c r="O36" s="87">
        <v>579.12013392032532</v>
      </c>
      <c r="P36" s="87">
        <v>635.97414978783354</v>
      </c>
      <c r="Q36" s="87">
        <v>651.54194076856356</v>
      </c>
      <c r="R36" s="87">
        <v>670.57407024695738</v>
      </c>
      <c r="S36" s="87">
        <v>706.36364079554414</v>
      </c>
      <c r="T36" s="87">
        <v>739.53152070246938</v>
      </c>
      <c r="U36" s="87">
        <v>753.18228874498413</v>
      </c>
      <c r="V36" s="87">
        <v>637.25790374510973</v>
      </c>
      <c r="W36" s="87">
        <v>717.5715172021296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2.4547104835209114E-2</v>
      </c>
      <c r="M37" s="87">
        <v>2.2766998792997768E-2</v>
      </c>
      <c r="N37" s="87">
        <v>8.3375298143835666E-2</v>
      </c>
      <c r="O37" s="87">
        <v>0.26451572549069752</v>
      </c>
      <c r="P37" s="87">
        <v>0.28854629684178129</v>
      </c>
      <c r="Q37" s="87">
        <v>0.36655488907752326</v>
      </c>
      <c r="R37" s="87">
        <v>0.4346504897104897</v>
      </c>
      <c r="S37" s="87">
        <v>0.51997744197565021</v>
      </c>
      <c r="T37" s="87">
        <v>0.59288048284387262</v>
      </c>
      <c r="U37" s="87">
        <v>1.0960512681718941</v>
      </c>
      <c r="V37" s="87">
        <v>1.17384253406838</v>
      </c>
      <c r="W37" s="87">
        <v>1.4896492235661598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0.15743619886050164</v>
      </c>
      <c r="N38" s="87">
        <v>0.5910678102839898</v>
      </c>
      <c r="O38" s="87">
        <v>1.0222456076815465</v>
      </c>
      <c r="P38" s="87">
        <v>1.9089575934764738</v>
      </c>
      <c r="Q38" s="87">
        <v>6.6735324171120149</v>
      </c>
      <c r="R38" s="87">
        <v>16.592887581924998</v>
      </c>
      <c r="S38" s="87">
        <v>39.489706424727018</v>
      </c>
      <c r="T38" s="87">
        <v>86.04769902881516</v>
      </c>
      <c r="U38" s="87">
        <v>154.99630399389503</v>
      </c>
      <c r="V38" s="87">
        <v>202.80575481463504</v>
      </c>
      <c r="W38" s="87">
        <v>341.40279162176489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0.34714794889333611</v>
      </c>
      <c r="K39" s="87">
        <v>0.35959899334219098</v>
      </c>
      <c r="L39" s="87">
        <v>8.9495460525443882</v>
      </c>
      <c r="M39" s="87">
        <v>3.5215632560383416</v>
      </c>
      <c r="N39" s="87">
        <v>4.3452972907133285</v>
      </c>
      <c r="O39" s="87">
        <v>5.4791322861722636</v>
      </c>
      <c r="P39" s="87">
        <v>6.0797128644317668</v>
      </c>
      <c r="Q39" s="87">
        <v>12.191272625879254</v>
      </c>
      <c r="R39" s="87">
        <v>29.613446856691702</v>
      </c>
      <c r="S39" s="87">
        <v>92.95538166329851</v>
      </c>
      <c r="T39" s="87">
        <v>210.18491779326749</v>
      </c>
      <c r="U39" s="87">
        <v>363.64332331178844</v>
      </c>
      <c r="V39" s="87">
        <v>409.8980107569829</v>
      </c>
      <c r="W39" s="87">
        <v>626.15758192784199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514.75706710567226</v>
      </c>
      <c r="C40" s="116">
        <f t="shared" ref="C40:V40" si="107">SUM(C41:C45)</f>
        <v>530.949554838881</v>
      </c>
      <c r="D40" s="116">
        <f t="shared" si="107"/>
        <v>537.05867434949118</v>
      </c>
      <c r="E40" s="116">
        <f t="shared" si="107"/>
        <v>533.40634883123721</v>
      </c>
      <c r="F40" s="116">
        <f t="shared" si="107"/>
        <v>526.67578032059839</v>
      </c>
      <c r="G40" s="116">
        <f t="shared" si="107"/>
        <v>340.75308610431745</v>
      </c>
      <c r="H40" s="116">
        <f t="shared" si="107"/>
        <v>341.8688315070105</v>
      </c>
      <c r="I40" s="116">
        <f t="shared" si="107"/>
        <v>351.2880727910665</v>
      </c>
      <c r="J40" s="116">
        <f t="shared" si="107"/>
        <v>365.9386579985333</v>
      </c>
      <c r="K40" s="116">
        <f t="shared" si="107"/>
        <v>375.95316174610747</v>
      </c>
      <c r="L40" s="116">
        <f t="shared" si="107"/>
        <v>390.25521087775434</v>
      </c>
      <c r="M40" s="116">
        <f t="shared" si="107"/>
        <v>391.26914743375352</v>
      </c>
      <c r="N40" s="116">
        <f t="shared" si="107"/>
        <v>323.69360414659661</v>
      </c>
      <c r="O40" s="116">
        <f t="shared" si="107"/>
        <v>309.55080043512368</v>
      </c>
      <c r="P40" s="116">
        <f t="shared" si="107"/>
        <v>375.45852666422684</v>
      </c>
      <c r="Q40" s="116">
        <f t="shared" si="107"/>
        <v>376.39000000000004</v>
      </c>
      <c r="R40" s="116">
        <f t="shared" si="107"/>
        <v>398.46</v>
      </c>
      <c r="S40" s="116">
        <f t="shared" si="107"/>
        <v>411.69</v>
      </c>
      <c r="T40" s="116">
        <f t="shared" si="107"/>
        <v>441.02999999999992</v>
      </c>
      <c r="U40" s="116">
        <f t="shared" si="107"/>
        <v>396.43</v>
      </c>
      <c r="V40" s="116">
        <f t="shared" si="107"/>
        <v>299.10000000000002</v>
      </c>
      <c r="W40" s="116">
        <f t="shared" ref="W40" si="108">SUM(W41:W45)</f>
        <v>387.93999999999994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7.0626190871697345E-2</v>
      </c>
      <c r="M41" s="101">
        <v>7.2804941655797928E-2</v>
      </c>
      <c r="N41" s="101">
        <v>7.4333145960324754E-2</v>
      </c>
      <c r="O41" s="101">
        <v>8.5688753944479362E-2</v>
      </c>
      <c r="P41" s="101">
        <v>8.5680099698228526E-2</v>
      </c>
      <c r="Q41" s="101">
        <v>0.10094026605671057</v>
      </c>
      <c r="R41" s="101">
        <v>0.1183375434873977</v>
      </c>
      <c r="S41" s="101">
        <v>0.10512717091327892</v>
      </c>
      <c r="T41" s="101">
        <v>0.1099429804720599</v>
      </c>
      <c r="U41" s="101">
        <v>9.5596584020063796E-2</v>
      </c>
      <c r="V41" s="101">
        <v>7.3967200025482571E-2</v>
      </c>
      <c r="W41" s="101">
        <v>9.4381231753588105E-2</v>
      </c>
      <c r="DA41" s="175" t="s">
        <v>484</v>
      </c>
    </row>
    <row r="42" spans="1:105" ht="11.45" customHeight="1" x14ac:dyDescent="0.25">
      <c r="A42" s="111" t="s">
        <v>111</v>
      </c>
      <c r="B42" s="101">
        <v>513.01982137366451</v>
      </c>
      <c r="C42" s="101">
        <v>523.07715925002935</v>
      </c>
      <c r="D42" s="101">
        <v>525.0156363692472</v>
      </c>
      <c r="E42" s="101">
        <v>517.04725248072725</v>
      </c>
      <c r="F42" s="101">
        <v>509.64299765550754</v>
      </c>
      <c r="G42" s="101">
        <v>320.58782194467653</v>
      </c>
      <c r="H42" s="101">
        <v>323.06261771958992</v>
      </c>
      <c r="I42" s="101">
        <v>330.51890239219983</v>
      </c>
      <c r="J42" s="101">
        <v>343.77657183357564</v>
      </c>
      <c r="K42" s="101">
        <v>352.74617162281635</v>
      </c>
      <c r="L42" s="101">
        <v>365.28056933442042</v>
      </c>
      <c r="M42" s="101">
        <v>366.04460086589899</v>
      </c>
      <c r="N42" s="101">
        <v>298.19556748000434</v>
      </c>
      <c r="O42" s="101">
        <v>286.05327430862997</v>
      </c>
      <c r="P42" s="101">
        <v>353.60416140028065</v>
      </c>
      <c r="Q42" s="101">
        <v>354.79426607129568</v>
      </c>
      <c r="R42" s="101">
        <v>377.03407234023331</v>
      </c>
      <c r="S42" s="101">
        <v>390.80116182707167</v>
      </c>
      <c r="T42" s="101">
        <v>412.58883934985278</v>
      </c>
      <c r="U42" s="101">
        <v>376.23637378618355</v>
      </c>
      <c r="V42" s="101">
        <v>277.78500991341377</v>
      </c>
      <c r="W42" s="101">
        <v>353.29492323659565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5.150345144991824E-2</v>
      </c>
      <c r="M43" s="101">
        <v>5.3092283919083223E-2</v>
      </c>
      <c r="N43" s="101">
        <v>3.6137807866415433E-2</v>
      </c>
      <c r="O43" s="101">
        <v>3.5707243803007209E-2</v>
      </c>
      <c r="P43" s="101">
        <v>7.1407275007707535E-2</v>
      </c>
      <c r="Q43" s="101">
        <v>7.360969107958748E-2</v>
      </c>
      <c r="R43" s="101">
        <v>9.5884981831517307E-2</v>
      </c>
      <c r="S43" s="101">
        <v>9.5828687565696749E-2</v>
      </c>
      <c r="T43" s="101">
        <v>0.10021853945246552</v>
      </c>
      <c r="U43" s="101">
        <v>7.7458737538312145E-2</v>
      </c>
      <c r="V43" s="101">
        <v>5.3939849344550664E-2</v>
      </c>
      <c r="W43" s="101">
        <v>6.882658015968951E-2</v>
      </c>
      <c r="DA43" s="175" t="s">
        <v>486</v>
      </c>
    </row>
    <row r="44" spans="1:105" ht="11.45" customHeight="1" x14ac:dyDescent="0.25">
      <c r="A44" s="111" t="s">
        <v>113</v>
      </c>
      <c r="B44" s="101">
        <v>1.7372457320077046</v>
      </c>
      <c r="C44" s="101">
        <v>7.8723955888516839</v>
      </c>
      <c r="D44" s="101">
        <v>12.043037980244012</v>
      </c>
      <c r="E44" s="101">
        <v>16.359096350509983</v>
      </c>
      <c r="F44" s="101">
        <v>17.032782665090849</v>
      </c>
      <c r="G44" s="101">
        <v>20.165264159640909</v>
      </c>
      <c r="H44" s="101">
        <v>18.806213787420557</v>
      </c>
      <c r="I44" s="101">
        <v>20.769170398866692</v>
      </c>
      <c r="J44" s="101">
        <v>22.162086164957653</v>
      </c>
      <c r="K44" s="101">
        <v>23.206990123291131</v>
      </c>
      <c r="L44" s="101">
        <v>24.318081133875758</v>
      </c>
      <c r="M44" s="101">
        <v>24.604850763969601</v>
      </c>
      <c r="N44" s="101">
        <v>24.440635049573856</v>
      </c>
      <c r="O44" s="101">
        <v>22.428205280678529</v>
      </c>
      <c r="P44" s="101">
        <v>20.748894706363814</v>
      </c>
      <c r="Q44" s="101">
        <v>20.471882372654154</v>
      </c>
      <c r="R44" s="101">
        <v>20.264718787395296</v>
      </c>
      <c r="S44" s="101">
        <v>19.165155823918973</v>
      </c>
      <c r="T44" s="101">
        <v>24.290445402298854</v>
      </c>
      <c r="U44" s="101">
        <v>15.51770161064033</v>
      </c>
      <c r="V44" s="101">
        <v>16.709607159307758</v>
      </c>
      <c r="W44" s="101">
        <v>29.360534272239803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0.53443076713651505</v>
      </c>
      <c r="M45" s="101">
        <v>0.49379857831008606</v>
      </c>
      <c r="N45" s="101">
        <v>0.94693066319164976</v>
      </c>
      <c r="O45" s="101">
        <v>0.94792484806772903</v>
      </c>
      <c r="P45" s="101">
        <v>0.94838318287644063</v>
      </c>
      <c r="Q45" s="101">
        <v>0.94930159891387933</v>
      </c>
      <c r="R45" s="101">
        <v>0.94698634705245155</v>
      </c>
      <c r="S45" s="101">
        <v>1.5227264905303584</v>
      </c>
      <c r="T45" s="101">
        <v>3.9405537279237977</v>
      </c>
      <c r="U45" s="101">
        <v>4.5028692816177553</v>
      </c>
      <c r="V45" s="101">
        <v>4.4774758779084429</v>
      </c>
      <c r="W45" s="101">
        <v>5.1213346792512402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17149.016185818935</v>
      </c>
      <c r="C46" s="29">
        <f t="shared" ref="C46:V46" si="110">C47+C53</f>
        <v>17712.700386205997</v>
      </c>
      <c r="D46" s="29">
        <f t="shared" si="110"/>
        <v>17726.615690521052</v>
      </c>
      <c r="E46" s="29">
        <f t="shared" si="110"/>
        <v>17445.167179345262</v>
      </c>
      <c r="F46" s="29">
        <f t="shared" si="110"/>
        <v>17085.320579904699</v>
      </c>
      <c r="G46" s="29">
        <f t="shared" si="110"/>
        <v>16612.701852273993</v>
      </c>
      <c r="H46" s="29">
        <f t="shared" si="110"/>
        <v>16835.28276126138</v>
      </c>
      <c r="I46" s="29">
        <f t="shared" si="110"/>
        <v>16425.213631766328</v>
      </c>
      <c r="J46" s="29">
        <f t="shared" si="110"/>
        <v>16488.586245115905</v>
      </c>
      <c r="K46" s="29">
        <f t="shared" si="110"/>
        <v>16558.540993279825</v>
      </c>
      <c r="L46" s="29">
        <f t="shared" si="110"/>
        <v>16446.039167125065</v>
      </c>
      <c r="M46" s="29">
        <f t="shared" si="110"/>
        <v>14780.854557463406</v>
      </c>
      <c r="N46" s="29">
        <f t="shared" si="110"/>
        <v>12658.462508430741</v>
      </c>
      <c r="O46" s="29">
        <f t="shared" si="110"/>
        <v>12074.022766579687</v>
      </c>
      <c r="P46" s="29">
        <f t="shared" si="110"/>
        <v>12952.643489503465</v>
      </c>
      <c r="Q46" s="29">
        <f t="shared" si="110"/>
        <v>13242.396136691132</v>
      </c>
      <c r="R46" s="29">
        <f t="shared" si="110"/>
        <v>13635.281843054809</v>
      </c>
      <c r="S46" s="29">
        <f t="shared" si="110"/>
        <v>14205.635309998926</v>
      </c>
      <c r="T46" s="29">
        <f t="shared" si="110"/>
        <v>14582.145259192886</v>
      </c>
      <c r="U46" s="29">
        <f t="shared" si="110"/>
        <v>14954.488249491898</v>
      </c>
      <c r="V46" s="29">
        <f t="shared" si="110"/>
        <v>12696.277010543989</v>
      </c>
      <c r="W46" s="29">
        <f t="shared" ref="W46" si="111">W47+W53</f>
        <v>14099.102582302403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15324.149230373538</v>
      </c>
      <c r="C47" s="152">
        <f t="shared" ref="C47:V47" si="113">SUM(C48:C52)</f>
        <v>15626.389640664413</v>
      </c>
      <c r="D47" s="152">
        <f t="shared" si="113"/>
        <v>15766.20179897309</v>
      </c>
      <c r="E47" s="152">
        <f t="shared" si="113"/>
        <v>15514.658370087809</v>
      </c>
      <c r="F47" s="152">
        <f t="shared" si="113"/>
        <v>14710.509128295913</v>
      </c>
      <c r="G47" s="152">
        <f t="shared" si="113"/>
        <v>14141.389014136683</v>
      </c>
      <c r="H47" s="152">
        <f t="shared" si="113"/>
        <v>14340.909499457981</v>
      </c>
      <c r="I47" s="152">
        <f t="shared" si="113"/>
        <v>13831.741701774134</v>
      </c>
      <c r="J47" s="152">
        <f t="shared" si="113"/>
        <v>14030.038433267895</v>
      </c>
      <c r="K47" s="152">
        <f t="shared" si="113"/>
        <v>14356.374009638957</v>
      </c>
      <c r="L47" s="152">
        <f t="shared" si="113"/>
        <v>14209.045398046119</v>
      </c>
      <c r="M47" s="152">
        <f t="shared" si="113"/>
        <v>12600.188353847983</v>
      </c>
      <c r="N47" s="152">
        <f t="shared" si="113"/>
        <v>10922.667698548601</v>
      </c>
      <c r="O47" s="152">
        <f t="shared" si="113"/>
        <v>10426.592253875649</v>
      </c>
      <c r="P47" s="152">
        <f t="shared" si="113"/>
        <v>11369.483476069756</v>
      </c>
      <c r="Q47" s="152">
        <f t="shared" si="113"/>
        <v>11463.386761208285</v>
      </c>
      <c r="R47" s="152">
        <f t="shared" si="113"/>
        <v>11892.59264721466</v>
      </c>
      <c r="S47" s="152">
        <f t="shared" si="113"/>
        <v>12466.368345427541</v>
      </c>
      <c r="T47" s="152">
        <f t="shared" si="113"/>
        <v>12857.253742815346</v>
      </c>
      <c r="U47" s="152">
        <f t="shared" si="113"/>
        <v>13251.906215666482</v>
      </c>
      <c r="V47" s="152">
        <f t="shared" si="113"/>
        <v>11252.316351685546</v>
      </c>
      <c r="W47" s="152">
        <f t="shared" ref="W47" si="114">SUM(W48:W52)</f>
        <v>12495.466092047958</v>
      </c>
      <c r="DA47" s="174" t="s">
        <v>490</v>
      </c>
    </row>
    <row r="48" spans="1:105" ht="11.45" customHeight="1" x14ac:dyDescent="0.25">
      <c r="A48" s="111" t="s">
        <v>110</v>
      </c>
      <c r="B48" s="87">
        <v>192.76384064344873</v>
      </c>
      <c r="C48" s="87">
        <v>173.14936507975628</v>
      </c>
      <c r="D48" s="87">
        <v>170.45284920279548</v>
      </c>
      <c r="E48" s="87">
        <v>189.51595341683438</v>
      </c>
      <c r="F48" s="87">
        <v>165.403466151245</v>
      </c>
      <c r="G48" s="87">
        <v>153.3123078801413</v>
      </c>
      <c r="H48" s="87">
        <v>151.37685501454069</v>
      </c>
      <c r="I48" s="87">
        <v>140.70466536076205</v>
      </c>
      <c r="J48" s="87">
        <v>139.28355185686488</v>
      </c>
      <c r="K48" s="87">
        <v>139.33807454425201</v>
      </c>
      <c r="L48" s="87">
        <v>134.50761081685999</v>
      </c>
      <c r="M48" s="87">
        <v>107.59133087014732</v>
      </c>
      <c r="N48" s="87">
        <v>93.363729460291594</v>
      </c>
      <c r="O48" s="87">
        <v>83.123727367459779</v>
      </c>
      <c r="P48" s="87">
        <v>80.060833981777307</v>
      </c>
      <c r="Q48" s="87">
        <v>89.777636619341735</v>
      </c>
      <c r="R48" s="87">
        <v>83.892566451961997</v>
      </c>
      <c r="S48" s="87">
        <v>87.043288330990734</v>
      </c>
      <c r="T48" s="87">
        <v>80.304968105418709</v>
      </c>
      <c r="U48" s="87">
        <v>98.406096062932903</v>
      </c>
      <c r="V48" s="87">
        <v>61.276800818915198</v>
      </c>
      <c r="W48" s="87">
        <v>65.537898128420082</v>
      </c>
      <c r="DA48" s="171" t="s">
        <v>491</v>
      </c>
    </row>
    <row r="49" spans="1:105" ht="11.45" customHeight="1" x14ac:dyDescent="0.25">
      <c r="A49" s="111" t="s">
        <v>111</v>
      </c>
      <c r="B49" s="87">
        <v>15123.385136618139</v>
      </c>
      <c r="C49" s="87">
        <v>15445.864641753016</v>
      </c>
      <c r="D49" s="87">
        <v>15588.317955714663</v>
      </c>
      <c r="E49" s="87">
        <v>15316.913363915426</v>
      </c>
      <c r="F49" s="87">
        <v>14537.745004092101</v>
      </c>
      <c r="G49" s="87">
        <v>13981.039998949394</v>
      </c>
      <c r="H49" s="87">
        <v>14182.404928696114</v>
      </c>
      <c r="I49" s="87">
        <v>13684.168912922099</v>
      </c>
      <c r="J49" s="87">
        <v>13883.794054192189</v>
      </c>
      <c r="K49" s="87">
        <v>14209.910686141102</v>
      </c>
      <c r="L49" s="87">
        <v>14067.726404892497</v>
      </c>
      <c r="M49" s="87">
        <v>12486.674264134235</v>
      </c>
      <c r="N49" s="87">
        <v>10824.337352931369</v>
      </c>
      <c r="O49" s="87">
        <v>10338.269653811083</v>
      </c>
      <c r="P49" s="87">
        <v>11283.755341468957</v>
      </c>
      <c r="Q49" s="87">
        <v>11366.976847249172</v>
      </c>
      <c r="R49" s="87">
        <v>11802.133978025837</v>
      </c>
      <c r="S49" s="87">
        <v>12369.896757249102</v>
      </c>
      <c r="T49" s="87">
        <v>12763.85672088536</v>
      </c>
      <c r="U49" s="87">
        <v>13137.039236226401</v>
      </c>
      <c r="V49" s="87">
        <v>11173.970000172632</v>
      </c>
      <c r="W49" s="87">
        <v>12409.303511334188</v>
      </c>
      <c r="DA49" s="171" t="s">
        <v>492</v>
      </c>
    </row>
    <row r="50" spans="1:105" ht="11.45" customHeight="1" x14ac:dyDescent="0.25">
      <c r="A50" s="111" t="s">
        <v>112</v>
      </c>
      <c r="B50" s="87">
        <v>8.0002531119503431</v>
      </c>
      <c r="C50" s="87">
        <v>7.3756338316389796</v>
      </c>
      <c r="D50" s="87">
        <v>7.4309940556317748</v>
      </c>
      <c r="E50" s="87">
        <v>8.2290527555487305</v>
      </c>
      <c r="F50" s="87">
        <v>7.3606580525660572</v>
      </c>
      <c r="G50" s="87">
        <v>7.0367073071460888</v>
      </c>
      <c r="H50" s="87">
        <v>7.1277157473242774</v>
      </c>
      <c r="I50" s="87">
        <v>6.8681234912722031</v>
      </c>
      <c r="J50" s="87">
        <v>6.9608272188422937</v>
      </c>
      <c r="K50" s="87">
        <v>7.1252489536038546</v>
      </c>
      <c r="L50" s="87">
        <v>6.8113823367622208</v>
      </c>
      <c r="M50" s="87">
        <v>5.8906299118706418</v>
      </c>
      <c r="N50" s="87">
        <v>4.8636832014812459</v>
      </c>
      <c r="O50" s="87">
        <v>4.7679800962208043</v>
      </c>
      <c r="P50" s="87">
        <v>4.9828913464967748</v>
      </c>
      <c r="Q50" s="87">
        <v>5.3676178224807876</v>
      </c>
      <c r="R50" s="87">
        <v>5.0602527207407206</v>
      </c>
      <c r="S50" s="87">
        <v>5.0782751969790185</v>
      </c>
      <c r="T50" s="87">
        <v>5.0590925396382582</v>
      </c>
      <c r="U50" s="87">
        <v>5.7777509525787245</v>
      </c>
      <c r="V50" s="87">
        <v>4.7371501534113083</v>
      </c>
      <c r="W50" s="87">
        <v>4.8611157674679335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4.4126825477189921E-2</v>
      </c>
      <c r="P51" s="87">
        <v>0.11691465193257512</v>
      </c>
      <c r="Q51" s="87">
        <v>0.17929576620864462</v>
      </c>
      <c r="R51" s="87">
        <v>0.24707513472246867</v>
      </c>
      <c r="S51" s="87">
        <v>0.28531282939583913</v>
      </c>
      <c r="T51" s="87">
        <v>0.42932119115197481</v>
      </c>
      <c r="U51" s="87">
        <v>0.67736432931819535</v>
      </c>
      <c r="V51" s="87">
        <v>0.68369164881847733</v>
      </c>
      <c r="W51" s="87">
        <v>1.0627078858376942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3.2128931730243913E-2</v>
      </c>
      <c r="N52" s="87">
        <v>0.10293295545790032</v>
      </c>
      <c r="O52" s="87">
        <v>0.38676577540733648</v>
      </c>
      <c r="P52" s="87">
        <v>0.56749462059135614</v>
      </c>
      <c r="Q52" s="87">
        <v>1.0853637510806036</v>
      </c>
      <c r="R52" s="87">
        <v>1.2587748813976154</v>
      </c>
      <c r="S52" s="87">
        <v>4.0647118210749928</v>
      </c>
      <c r="T52" s="87">
        <v>7.6036400937782522</v>
      </c>
      <c r="U52" s="87">
        <v>10.00576809525259</v>
      </c>
      <c r="V52" s="87">
        <v>11.648708891767955</v>
      </c>
      <c r="W52" s="87">
        <v>14.700858932045755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1824.8669554453973</v>
      </c>
      <c r="C53" s="116">
        <f t="shared" ref="C53:V53" si="116">SUM(C54:C55)</f>
        <v>2086.3107455415843</v>
      </c>
      <c r="D53" s="116">
        <f t="shared" si="116"/>
        <v>1960.4138915479605</v>
      </c>
      <c r="E53" s="116">
        <f t="shared" si="116"/>
        <v>1930.5088092574551</v>
      </c>
      <c r="F53" s="116">
        <f t="shared" si="116"/>
        <v>2374.8114516087844</v>
      </c>
      <c r="G53" s="116">
        <f t="shared" si="116"/>
        <v>2471.3128381373108</v>
      </c>
      <c r="H53" s="116">
        <f t="shared" si="116"/>
        <v>2494.3732618033991</v>
      </c>
      <c r="I53" s="116">
        <f t="shared" si="116"/>
        <v>2593.4719299921935</v>
      </c>
      <c r="J53" s="116">
        <f t="shared" si="116"/>
        <v>2458.547811848011</v>
      </c>
      <c r="K53" s="116">
        <f t="shared" si="116"/>
        <v>2202.1669836408664</v>
      </c>
      <c r="L53" s="116">
        <f t="shared" si="116"/>
        <v>2236.9937690789457</v>
      </c>
      <c r="M53" s="116">
        <f t="shared" si="116"/>
        <v>2180.6662036154235</v>
      </c>
      <c r="N53" s="116">
        <f t="shared" si="116"/>
        <v>1735.7948098821389</v>
      </c>
      <c r="O53" s="116">
        <f t="shared" si="116"/>
        <v>1647.4305127040377</v>
      </c>
      <c r="P53" s="116">
        <f t="shared" si="116"/>
        <v>1583.1600134337102</v>
      </c>
      <c r="Q53" s="116">
        <f t="shared" si="116"/>
        <v>1779.009375482847</v>
      </c>
      <c r="R53" s="116">
        <f t="shared" si="116"/>
        <v>1742.6891958401484</v>
      </c>
      <c r="S53" s="116">
        <f t="shared" si="116"/>
        <v>1739.2669645713845</v>
      </c>
      <c r="T53" s="116">
        <f t="shared" si="116"/>
        <v>1724.8915163775409</v>
      </c>
      <c r="U53" s="116">
        <f t="shared" si="116"/>
        <v>1702.5820338254161</v>
      </c>
      <c r="V53" s="116">
        <f t="shared" si="116"/>
        <v>1443.9606588584427</v>
      </c>
      <c r="W53" s="116">
        <f t="shared" ref="W53" si="117">SUM(W54:W55)</f>
        <v>1603.6364902544449</v>
      </c>
      <c r="DA53" s="176" t="s">
        <v>496</v>
      </c>
    </row>
    <row r="54" spans="1:105" ht="11.45" customHeight="1" x14ac:dyDescent="0.25">
      <c r="A54" s="128" t="s">
        <v>27</v>
      </c>
      <c r="B54" s="101">
        <v>1500</v>
      </c>
      <c r="C54" s="101">
        <v>1738</v>
      </c>
      <c r="D54" s="101">
        <v>1594</v>
      </c>
      <c r="E54" s="101">
        <v>1556</v>
      </c>
      <c r="F54" s="101">
        <v>1932</v>
      </c>
      <c r="G54" s="101">
        <v>2013</v>
      </c>
      <c r="H54" s="101">
        <v>2005</v>
      </c>
      <c r="I54" s="101">
        <v>2058</v>
      </c>
      <c r="J54" s="101">
        <v>1987</v>
      </c>
      <c r="K54" s="101">
        <v>1729</v>
      </c>
      <c r="L54" s="101">
        <v>1809</v>
      </c>
      <c r="M54" s="101">
        <v>1729</v>
      </c>
      <c r="N54" s="101">
        <v>1361</v>
      </c>
      <c r="O54" s="101">
        <v>1223</v>
      </c>
      <c r="P54" s="101">
        <v>1146</v>
      </c>
      <c r="Q54" s="101">
        <v>1384</v>
      </c>
      <c r="R54" s="101">
        <v>1312</v>
      </c>
      <c r="S54" s="101">
        <v>1320</v>
      </c>
      <c r="T54" s="101">
        <v>1292</v>
      </c>
      <c r="U54" s="101">
        <v>1263</v>
      </c>
      <c r="V54" s="101">
        <v>1069</v>
      </c>
      <c r="W54" s="101">
        <v>1160</v>
      </c>
      <c r="DA54" s="175" t="s">
        <v>497</v>
      </c>
    </row>
    <row r="55" spans="1:105" ht="11.45" customHeight="1" x14ac:dyDescent="0.25">
      <c r="A55" s="138" t="s">
        <v>116</v>
      </c>
      <c r="B55" s="88">
        <v>324.86695544539714</v>
      </c>
      <c r="C55" s="88">
        <v>348.31074554158448</v>
      </c>
      <c r="D55" s="88">
        <v>366.41389154796047</v>
      </c>
      <c r="E55" s="88">
        <v>374.50880925745503</v>
      </c>
      <c r="F55" s="88">
        <v>442.81145160878418</v>
      </c>
      <c r="G55" s="88">
        <v>458.31283813731102</v>
      </c>
      <c r="H55" s="88">
        <v>489.37326180339909</v>
      </c>
      <c r="I55" s="88">
        <v>535.47192999219374</v>
      </c>
      <c r="J55" s="88">
        <v>471.54781184801101</v>
      </c>
      <c r="K55" s="88">
        <v>473.16698364086619</v>
      </c>
      <c r="L55" s="88">
        <v>427.99376907894572</v>
      </c>
      <c r="M55" s="88">
        <v>451.66620361542334</v>
      </c>
      <c r="N55" s="88">
        <v>374.79480988213902</v>
      </c>
      <c r="O55" s="88">
        <v>424.43051270403771</v>
      </c>
      <c r="P55" s="88">
        <v>437.16001343371016</v>
      </c>
      <c r="Q55" s="88">
        <v>395.00937548284691</v>
      </c>
      <c r="R55" s="88">
        <v>430.68919584014827</v>
      </c>
      <c r="S55" s="88">
        <v>419.26696457138451</v>
      </c>
      <c r="T55" s="88">
        <v>432.89151637754094</v>
      </c>
      <c r="U55" s="88">
        <v>439.58203382541615</v>
      </c>
      <c r="V55" s="88">
        <v>374.96065885844263</v>
      </c>
      <c r="W55" s="88">
        <v>443.63649025444482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5401441</v>
      </c>
      <c r="C57" s="54">
        <f t="shared" si="118"/>
        <v>5698970</v>
      </c>
      <c r="D57" s="54">
        <f t="shared" si="118"/>
        <v>5969248</v>
      </c>
      <c r="E57" s="54">
        <f t="shared" si="118"/>
        <v>5945765</v>
      </c>
      <c r="F57" s="54">
        <f t="shared" si="118"/>
        <v>6076484</v>
      </c>
      <c r="G57" s="54">
        <f t="shared" si="118"/>
        <v>6188629</v>
      </c>
      <c r="H57" s="54">
        <f t="shared" si="118"/>
        <v>6266706</v>
      </c>
      <c r="I57" s="54">
        <f t="shared" si="118"/>
        <v>6353648</v>
      </c>
      <c r="J57" s="54">
        <f t="shared" si="118"/>
        <v>6388122</v>
      </c>
      <c r="K57" s="54">
        <f t="shared" si="118"/>
        <v>6439638</v>
      </c>
      <c r="L57" s="54">
        <f t="shared" ref="L57" si="119">L58+L73</f>
        <v>6638362</v>
      </c>
      <c r="M57" s="54">
        <f t="shared" ref="M57:V57" si="120">M58+M73</f>
        <v>6636687</v>
      </c>
      <c r="N57" s="54">
        <f t="shared" si="120"/>
        <v>6019150</v>
      </c>
      <c r="O57" s="54">
        <f t="shared" si="120"/>
        <v>6081257</v>
      </c>
      <c r="P57" s="54">
        <f t="shared" si="120"/>
        <v>6560825</v>
      </c>
      <c r="Q57" s="54">
        <f t="shared" si="120"/>
        <v>6566869</v>
      </c>
      <c r="R57" s="54">
        <f t="shared" si="120"/>
        <v>6714016</v>
      </c>
      <c r="S57" s="54">
        <f t="shared" si="120"/>
        <v>6992583</v>
      </c>
      <c r="T57" s="54">
        <f t="shared" si="120"/>
        <v>7272946</v>
      </c>
      <c r="U57" s="54">
        <f t="shared" si="120"/>
        <v>7676254</v>
      </c>
      <c r="V57" s="54">
        <f t="shared" si="120"/>
        <v>7581805</v>
      </c>
      <c r="W57" s="54">
        <f t="shared" ref="W57" si="121">W58+W73</f>
        <v>7645997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3999848</v>
      </c>
      <c r="C58" s="28">
        <f t="shared" si="122"/>
        <v>4161243</v>
      </c>
      <c r="D58" s="28">
        <f t="shared" si="122"/>
        <v>4469344</v>
      </c>
      <c r="E58" s="28">
        <f t="shared" si="122"/>
        <v>4559007</v>
      </c>
      <c r="F58" s="28">
        <f t="shared" si="122"/>
        <v>4701874</v>
      </c>
      <c r="G58" s="28">
        <f t="shared" si="122"/>
        <v>4803094</v>
      </c>
      <c r="H58" s="28">
        <f t="shared" si="122"/>
        <v>4863720</v>
      </c>
      <c r="I58" s="28">
        <f t="shared" si="122"/>
        <v>4930745</v>
      </c>
      <c r="J58" s="28">
        <f t="shared" si="122"/>
        <v>4958400</v>
      </c>
      <c r="K58" s="28">
        <f t="shared" si="122"/>
        <v>5005770</v>
      </c>
      <c r="L58" s="28">
        <f t="shared" ref="L58" si="123">L59+L60+L67</f>
        <v>5205755</v>
      </c>
      <c r="M58" s="28">
        <f t="shared" ref="M58:V58" si="124">M59+M60+M67</f>
        <v>5224693</v>
      </c>
      <c r="N58" s="28">
        <f t="shared" si="124"/>
        <v>4772502</v>
      </c>
      <c r="O58" s="28">
        <f t="shared" si="124"/>
        <v>4848324</v>
      </c>
      <c r="P58" s="28">
        <f t="shared" si="124"/>
        <v>5224490</v>
      </c>
      <c r="Q58" s="28">
        <f t="shared" si="124"/>
        <v>5265466</v>
      </c>
      <c r="R58" s="28">
        <f t="shared" si="124"/>
        <v>5417368</v>
      </c>
      <c r="S58" s="28">
        <f t="shared" si="124"/>
        <v>5667391</v>
      </c>
      <c r="T58" s="28">
        <f t="shared" si="124"/>
        <v>5914705</v>
      </c>
      <c r="U58" s="28">
        <f t="shared" si="124"/>
        <v>6173799</v>
      </c>
      <c r="V58" s="28">
        <f t="shared" si="124"/>
        <v>6193238</v>
      </c>
      <c r="W58" s="28">
        <f t="shared" ref="W58" si="125">W59+W60+W67</f>
        <v>6260941</v>
      </c>
      <c r="DA58" s="173" t="s">
        <v>500</v>
      </c>
    </row>
    <row r="59" spans="1:105" ht="11.45" customHeight="1" x14ac:dyDescent="0.25">
      <c r="A59" s="136" t="s">
        <v>180</v>
      </c>
      <c r="B59" s="137">
        <v>537068</v>
      </c>
      <c r="C59" s="137">
        <v>551483</v>
      </c>
      <c r="D59" s="137">
        <v>562957</v>
      </c>
      <c r="E59" s="137">
        <v>571354</v>
      </c>
      <c r="F59" s="137">
        <v>580074</v>
      </c>
      <c r="G59" s="137">
        <v>588420</v>
      </c>
      <c r="H59" s="137">
        <v>558720</v>
      </c>
      <c r="I59" s="137">
        <v>536645</v>
      </c>
      <c r="J59" s="137">
        <v>535000</v>
      </c>
      <c r="K59" s="137">
        <v>533270</v>
      </c>
      <c r="L59" s="137">
        <v>498000</v>
      </c>
      <c r="M59" s="137">
        <v>497000</v>
      </c>
      <c r="N59" s="137">
        <v>500815</v>
      </c>
      <c r="O59" s="137">
        <v>508456</v>
      </c>
      <c r="P59" s="137">
        <v>509671</v>
      </c>
      <c r="Q59" s="137">
        <v>527583</v>
      </c>
      <c r="R59" s="137">
        <v>552097</v>
      </c>
      <c r="S59" s="137">
        <v>592517</v>
      </c>
      <c r="T59" s="137">
        <v>616075</v>
      </c>
      <c r="U59" s="137">
        <v>660939</v>
      </c>
      <c r="V59" s="137">
        <v>612078</v>
      </c>
      <c r="W59" s="137">
        <v>612078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3443000</v>
      </c>
      <c r="C60" s="110">
        <f t="shared" si="126"/>
        <v>3589000</v>
      </c>
      <c r="D60" s="110">
        <f t="shared" si="126"/>
        <v>3885000</v>
      </c>
      <c r="E60" s="110">
        <f t="shared" si="126"/>
        <v>3966000</v>
      </c>
      <c r="F60" s="110">
        <f t="shared" si="126"/>
        <v>4100000</v>
      </c>
      <c r="G60" s="110">
        <f t="shared" si="126"/>
        <v>4200000</v>
      </c>
      <c r="H60" s="110">
        <f t="shared" si="126"/>
        <v>4290000</v>
      </c>
      <c r="I60" s="110">
        <f t="shared" si="126"/>
        <v>4379000</v>
      </c>
      <c r="J60" s="110">
        <f t="shared" si="126"/>
        <v>4408000</v>
      </c>
      <c r="K60" s="110">
        <f t="shared" si="126"/>
        <v>4457000</v>
      </c>
      <c r="L60" s="110">
        <f t="shared" ref="L60" si="127">SUM(L61:L66)</f>
        <v>4692000</v>
      </c>
      <c r="M60" s="110">
        <f t="shared" ref="M60:V60" si="128">SUM(M61:M66)</f>
        <v>4712200</v>
      </c>
      <c r="N60" s="110">
        <f t="shared" si="128"/>
        <v>4259000</v>
      </c>
      <c r="O60" s="110">
        <f t="shared" si="128"/>
        <v>4327478</v>
      </c>
      <c r="P60" s="110">
        <f t="shared" si="128"/>
        <v>4699645</v>
      </c>
      <c r="Q60" s="110">
        <f t="shared" si="128"/>
        <v>4722963</v>
      </c>
      <c r="R60" s="110">
        <f t="shared" si="128"/>
        <v>4850229</v>
      </c>
      <c r="S60" s="110">
        <f t="shared" si="128"/>
        <v>5059472</v>
      </c>
      <c r="T60" s="110">
        <f t="shared" si="128"/>
        <v>5282970</v>
      </c>
      <c r="U60" s="110">
        <f t="shared" si="128"/>
        <v>5495041</v>
      </c>
      <c r="V60" s="110">
        <f t="shared" si="128"/>
        <v>5565963</v>
      </c>
      <c r="W60" s="110">
        <f t="shared" ref="W60" si="129">SUM(W61:W66)</f>
        <v>5633384</v>
      </c>
      <c r="DA60" s="176" t="s">
        <v>502</v>
      </c>
    </row>
    <row r="61" spans="1:105" ht="11.45" customHeight="1" x14ac:dyDescent="0.25">
      <c r="A61" s="111" t="s">
        <v>110</v>
      </c>
      <c r="B61" s="84">
        <v>2348800</v>
      </c>
      <c r="C61" s="84">
        <v>2464048</v>
      </c>
      <c r="D61" s="84">
        <v>2653389</v>
      </c>
      <c r="E61" s="84">
        <v>2652347</v>
      </c>
      <c r="F61" s="84">
        <v>2696207</v>
      </c>
      <c r="G61" s="84">
        <v>2673683</v>
      </c>
      <c r="H61" s="84">
        <v>2651564</v>
      </c>
      <c r="I61" s="84">
        <v>2613214</v>
      </c>
      <c r="J61" s="84">
        <v>2533430</v>
      </c>
      <c r="K61" s="84">
        <v>2479203</v>
      </c>
      <c r="L61" s="84">
        <v>2580033</v>
      </c>
      <c r="M61" s="84">
        <v>2509195</v>
      </c>
      <c r="N61" s="84">
        <v>2169936</v>
      </c>
      <c r="O61" s="84">
        <v>2165172</v>
      </c>
      <c r="P61" s="84">
        <v>2283953</v>
      </c>
      <c r="Q61" s="84">
        <v>2197424</v>
      </c>
      <c r="R61" s="84">
        <v>2171534</v>
      </c>
      <c r="S61" s="84">
        <v>2187650</v>
      </c>
      <c r="T61" s="84">
        <v>2241105</v>
      </c>
      <c r="U61" s="84">
        <v>2337838</v>
      </c>
      <c r="V61" s="84">
        <v>2282246</v>
      </c>
      <c r="W61" s="84">
        <v>2277393</v>
      </c>
      <c r="DA61" s="171" t="s">
        <v>503</v>
      </c>
    </row>
    <row r="62" spans="1:105" ht="11.45" customHeight="1" x14ac:dyDescent="0.25">
      <c r="A62" s="111" t="s">
        <v>111</v>
      </c>
      <c r="B62" s="84">
        <v>1077200</v>
      </c>
      <c r="C62" s="84">
        <v>1108213</v>
      </c>
      <c r="D62" s="84">
        <v>1216066</v>
      </c>
      <c r="E62" s="84">
        <v>1296664</v>
      </c>
      <c r="F62" s="84">
        <v>1386493</v>
      </c>
      <c r="G62" s="84">
        <v>1506310</v>
      </c>
      <c r="H62" s="84">
        <v>1620992</v>
      </c>
      <c r="I62" s="84">
        <v>1748571</v>
      </c>
      <c r="J62" s="84">
        <v>1853402</v>
      </c>
      <c r="K62" s="84">
        <v>1945817</v>
      </c>
      <c r="L62" s="84">
        <v>2079246</v>
      </c>
      <c r="M62" s="84">
        <v>2171703</v>
      </c>
      <c r="N62" s="84">
        <v>2051647</v>
      </c>
      <c r="O62" s="84">
        <v>2121295</v>
      </c>
      <c r="P62" s="84">
        <v>2368018</v>
      </c>
      <c r="Q62" s="84">
        <v>2475744</v>
      </c>
      <c r="R62" s="84">
        <v>2625189</v>
      </c>
      <c r="S62" s="84">
        <v>2807718</v>
      </c>
      <c r="T62" s="84">
        <v>2959124</v>
      </c>
      <c r="U62" s="84">
        <v>3053110</v>
      </c>
      <c r="V62" s="84">
        <v>3160276</v>
      </c>
      <c r="W62" s="84">
        <v>3200683</v>
      </c>
      <c r="DA62" s="171" t="s">
        <v>504</v>
      </c>
    </row>
    <row r="63" spans="1:105" ht="11.45" customHeight="1" x14ac:dyDescent="0.25">
      <c r="A63" s="111" t="s">
        <v>112</v>
      </c>
      <c r="B63" s="84">
        <v>17000</v>
      </c>
      <c r="C63" s="84">
        <v>16739</v>
      </c>
      <c r="D63" s="84">
        <v>15545</v>
      </c>
      <c r="E63" s="84">
        <v>16989</v>
      </c>
      <c r="F63" s="84">
        <v>17300</v>
      </c>
      <c r="G63" s="84">
        <v>20007</v>
      </c>
      <c r="H63" s="84">
        <v>17444</v>
      </c>
      <c r="I63" s="84">
        <v>17215</v>
      </c>
      <c r="J63" s="84">
        <v>21140</v>
      </c>
      <c r="K63" s="84">
        <v>31951</v>
      </c>
      <c r="L63" s="84">
        <v>32000</v>
      </c>
      <c r="M63" s="84">
        <v>31000</v>
      </c>
      <c r="N63" s="84">
        <v>37000</v>
      </c>
      <c r="O63" s="84">
        <v>40443</v>
      </c>
      <c r="P63" s="84">
        <v>46955</v>
      </c>
      <c r="Q63" s="84">
        <v>48062</v>
      </c>
      <c r="R63" s="84">
        <v>49301</v>
      </c>
      <c r="S63" s="84">
        <v>52315</v>
      </c>
      <c r="T63" s="84">
        <v>56213</v>
      </c>
      <c r="U63" s="84">
        <v>57432</v>
      </c>
      <c r="V63" s="84">
        <v>58717</v>
      </c>
      <c r="W63" s="84">
        <v>61573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2</v>
      </c>
      <c r="N64" s="84">
        <v>7</v>
      </c>
      <c r="O64" s="84">
        <v>23</v>
      </c>
      <c r="P64" s="84">
        <v>26</v>
      </c>
      <c r="Q64" s="84">
        <v>33</v>
      </c>
      <c r="R64" s="84">
        <v>39</v>
      </c>
      <c r="S64" s="84">
        <v>47</v>
      </c>
      <c r="T64" s="84">
        <v>55</v>
      </c>
      <c r="U64" s="84">
        <v>102</v>
      </c>
      <c r="V64" s="84">
        <v>132</v>
      </c>
      <c r="W64" s="84">
        <v>156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18</v>
      </c>
      <c r="N65" s="84">
        <v>63</v>
      </c>
      <c r="O65" s="84">
        <v>108</v>
      </c>
      <c r="P65" s="84">
        <v>209</v>
      </c>
      <c r="Q65" s="84">
        <v>730</v>
      </c>
      <c r="R65" s="84">
        <v>1809</v>
      </c>
      <c r="S65" s="84">
        <v>4337</v>
      </c>
      <c r="T65" s="84">
        <v>9699</v>
      </c>
      <c r="U65" s="84">
        <v>17526</v>
      </c>
      <c r="V65" s="84">
        <v>27710</v>
      </c>
      <c r="W65" s="84">
        <v>43441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28</v>
      </c>
      <c r="K66" s="84">
        <v>29</v>
      </c>
      <c r="L66" s="84">
        <v>719</v>
      </c>
      <c r="M66" s="84">
        <v>282</v>
      </c>
      <c r="N66" s="84">
        <v>347</v>
      </c>
      <c r="O66" s="84">
        <v>437</v>
      </c>
      <c r="P66" s="84">
        <v>484</v>
      </c>
      <c r="Q66" s="84">
        <v>970</v>
      </c>
      <c r="R66" s="84">
        <v>2357</v>
      </c>
      <c r="S66" s="84">
        <v>7405</v>
      </c>
      <c r="T66" s="84">
        <v>16774</v>
      </c>
      <c r="U66" s="84">
        <v>29033</v>
      </c>
      <c r="V66" s="84">
        <v>36882</v>
      </c>
      <c r="W66" s="84">
        <v>50138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19780</v>
      </c>
      <c r="C67" s="110">
        <f t="shared" si="130"/>
        <v>20760</v>
      </c>
      <c r="D67" s="110">
        <f t="shared" si="130"/>
        <v>21387</v>
      </c>
      <c r="E67" s="110">
        <f t="shared" si="130"/>
        <v>21653</v>
      </c>
      <c r="F67" s="110">
        <f t="shared" si="130"/>
        <v>21800</v>
      </c>
      <c r="G67" s="110">
        <f t="shared" si="130"/>
        <v>14674</v>
      </c>
      <c r="H67" s="110">
        <f t="shared" si="130"/>
        <v>15000</v>
      </c>
      <c r="I67" s="110">
        <f t="shared" si="130"/>
        <v>15100</v>
      </c>
      <c r="J67" s="110">
        <f t="shared" si="130"/>
        <v>15400</v>
      </c>
      <c r="K67" s="110">
        <f t="shared" si="130"/>
        <v>15500</v>
      </c>
      <c r="L67" s="110">
        <f t="shared" ref="L67" si="131">SUM(L68:L72)</f>
        <v>15755</v>
      </c>
      <c r="M67" s="110">
        <f t="shared" ref="M67:V67" si="132">SUM(M68:M72)</f>
        <v>15493</v>
      </c>
      <c r="N67" s="110">
        <f t="shared" si="132"/>
        <v>12687</v>
      </c>
      <c r="O67" s="110">
        <f t="shared" si="132"/>
        <v>12390</v>
      </c>
      <c r="P67" s="110">
        <f t="shared" si="132"/>
        <v>15174</v>
      </c>
      <c r="Q67" s="110">
        <f t="shared" si="132"/>
        <v>14920</v>
      </c>
      <c r="R67" s="110">
        <f t="shared" si="132"/>
        <v>15042</v>
      </c>
      <c r="S67" s="110">
        <f t="shared" si="132"/>
        <v>15402</v>
      </c>
      <c r="T67" s="110">
        <f t="shared" si="132"/>
        <v>15660</v>
      </c>
      <c r="U67" s="110">
        <f t="shared" si="132"/>
        <v>17819</v>
      </c>
      <c r="V67" s="110">
        <f t="shared" si="132"/>
        <v>15197</v>
      </c>
      <c r="W67" s="110">
        <f t="shared" ref="W67" si="133">SUM(W68:W72)</f>
        <v>15479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6</v>
      </c>
      <c r="M68" s="102">
        <v>6</v>
      </c>
      <c r="N68" s="102">
        <v>6</v>
      </c>
      <c r="O68" s="102">
        <v>7</v>
      </c>
      <c r="P68" s="102">
        <v>7</v>
      </c>
      <c r="Q68" s="102">
        <v>8</v>
      </c>
      <c r="R68" s="102">
        <v>9</v>
      </c>
      <c r="S68" s="102">
        <v>8</v>
      </c>
      <c r="T68" s="102">
        <v>8</v>
      </c>
      <c r="U68" s="102">
        <v>9</v>
      </c>
      <c r="V68" s="102">
        <v>8</v>
      </c>
      <c r="W68" s="102">
        <v>8</v>
      </c>
      <c r="DA68" s="175" t="s">
        <v>510</v>
      </c>
    </row>
    <row r="69" spans="1:105" ht="11.45" customHeight="1" x14ac:dyDescent="0.25">
      <c r="A69" s="111" t="s">
        <v>111</v>
      </c>
      <c r="B69" s="102">
        <v>19739</v>
      </c>
      <c r="C69" s="102">
        <v>20567</v>
      </c>
      <c r="D69" s="102">
        <v>21080</v>
      </c>
      <c r="E69" s="102">
        <v>21236</v>
      </c>
      <c r="F69" s="102">
        <v>21348</v>
      </c>
      <c r="G69" s="102">
        <v>14105</v>
      </c>
      <c r="H69" s="102">
        <v>14448</v>
      </c>
      <c r="I69" s="102">
        <v>14495</v>
      </c>
      <c r="J69" s="102">
        <v>14756</v>
      </c>
      <c r="K69" s="102">
        <v>14834</v>
      </c>
      <c r="L69" s="102">
        <v>15064</v>
      </c>
      <c r="M69" s="102">
        <v>14822</v>
      </c>
      <c r="N69" s="102">
        <v>12030</v>
      </c>
      <c r="O69" s="102">
        <v>11759</v>
      </c>
      <c r="P69" s="102">
        <v>14569</v>
      </c>
      <c r="Q69" s="102">
        <v>14344</v>
      </c>
      <c r="R69" s="102">
        <v>14495</v>
      </c>
      <c r="S69" s="102">
        <v>14874</v>
      </c>
      <c r="T69" s="102">
        <v>14976</v>
      </c>
      <c r="U69" s="102">
        <v>17229</v>
      </c>
      <c r="V69" s="102">
        <v>14498</v>
      </c>
      <c r="W69" s="102">
        <v>14559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3</v>
      </c>
      <c r="M70" s="102">
        <v>3</v>
      </c>
      <c r="N70" s="102">
        <v>2</v>
      </c>
      <c r="O70" s="102">
        <v>2</v>
      </c>
      <c r="P70" s="102">
        <v>4</v>
      </c>
      <c r="Q70" s="102">
        <v>4</v>
      </c>
      <c r="R70" s="102">
        <v>5</v>
      </c>
      <c r="S70" s="102">
        <v>5</v>
      </c>
      <c r="T70" s="102">
        <v>5</v>
      </c>
      <c r="U70" s="102">
        <v>5</v>
      </c>
      <c r="V70" s="102">
        <v>4</v>
      </c>
      <c r="W70" s="102">
        <v>4</v>
      </c>
      <c r="DA70" s="175" t="s">
        <v>512</v>
      </c>
    </row>
    <row r="71" spans="1:105" ht="11.45" customHeight="1" x14ac:dyDescent="0.25">
      <c r="A71" s="111" t="s">
        <v>113</v>
      </c>
      <c r="B71" s="102">
        <v>41</v>
      </c>
      <c r="C71" s="102">
        <v>193</v>
      </c>
      <c r="D71" s="102">
        <v>307</v>
      </c>
      <c r="E71" s="102">
        <v>417</v>
      </c>
      <c r="F71" s="102">
        <v>452</v>
      </c>
      <c r="G71" s="102">
        <v>569</v>
      </c>
      <c r="H71" s="102">
        <v>552</v>
      </c>
      <c r="I71" s="102">
        <v>605</v>
      </c>
      <c r="J71" s="102">
        <v>644</v>
      </c>
      <c r="K71" s="102">
        <v>666</v>
      </c>
      <c r="L71" s="102">
        <v>669</v>
      </c>
      <c r="M71" s="102">
        <v>650</v>
      </c>
      <c r="N71" s="102">
        <v>626</v>
      </c>
      <c r="O71" s="102">
        <v>599</v>
      </c>
      <c r="P71" s="102">
        <v>571</v>
      </c>
      <c r="Q71" s="102">
        <v>541</v>
      </c>
      <c r="R71" s="102">
        <v>510</v>
      </c>
      <c r="S71" s="102">
        <v>478</v>
      </c>
      <c r="T71" s="102">
        <v>575</v>
      </c>
      <c r="U71" s="102">
        <v>465</v>
      </c>
      <c r="V71" s="102">
        <v>566</v>
      </c>
      <c r="W71" s="102">
        <v>781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13</v>
      </c>
      <c r="M72" s="102">
        <v>12</v>
      </c>
      <c r="N72" s="102">
        <v>23</v>
      </c>
      <c r="O72" s="102">
        <v>23</v>
      </c>
      <c r="P72" s="102">
        <v>23</v>
      </c>
      <c r="Q72" s="102">
        <v>23</v>
      </c>
      <c r="R72" s="102">
        <v>23</v>
      </c>
      <c r="S72" s="102">
        <v>37</v>
      </c>
      <c r="T72" s="102">
        <v>96</v>
      </c>
      <c r="U72" s="102">
        <v>111</v>
      </c>
      <c r="V72" s="102">
        <v>121</v>
      </c>
      <c r="W72" s="102">
        <v>127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1401593</v>
      </c>
      <c r="C73" s="28">
        <f t="shared" si="134"/>
        <v>1537727</v>
      </c>
      <c r="D73" s="28">
        <f t="shared" si="134"/>
        <v>1499904</v>
      </c>
      <c r="E73" s="28">
        <f t="shared" si="134"/>
        <v>1386758</v>
      </c>
      <c r="F73" s="28">
        <f t="shared" si="134"/>
        <v>1374610</v>
      </c>
      <c r="G73" s="28">
        <f t="shared" si="134"/>
        <v>1385535</v>
      </c>
      <c r="H73" s="28">
        <f t="shared" si="134"/>
        <v>1402986</v>
      </c>
      <c r="I73" s="28">
        <f t="shared" si="134"/>
        <v>1422903</v>
      </c>
      <c r="J73" s="28">
        <f t="shared" si="134"/>
        <v>1429722</v>
      </c>
      <c r="K73" s="28">
        <f t="shared" si="134"/>
        <v>1433868</v>
      </c>
      <c r="L73" s="28">
        <f t="shared" ref="L73" si="135">L74+L80</f>
        <v>1432607</v>
      </c>
      <c r="M73" s="28">
        <f t="shared" ref="M73:V73" si="136">M74+M80</f>
        <v>1411994</v>
      </c>
      <c r="N73" s="28">
        <f t="shared" si="136"/>
        <v>1246648</v>
      </c>
      <c r="O73" s="28">
        <f t="shared" si="136"/>
        <v>1232933</v>
      </c>
      <c r="P73" s="28">
        <f t="shared" si="136"/>
        <v>1336335</v>
      </c>
      <c r="Q73" s="28">
        <f t="shared" si="136"/>
        <v>1301403</v>
      </c>
      <c r="R73" s="28">
        <f t="shared" si="136"/>
        <v>1296648</v>
      </c>
      <c r="S73" s="28">
        <f t="shared" si="136"/>
        <v>1325192</v>
      </c>
      <c r="T73" s="28">
        <f t="shared" si="136"/>
        <v>1358241</v>
      </c>
      <c r="U73" s="28">
        <f t="shared" si="136"/>
        <v>1502455</v>
      </c>
      <c r="V73" s="28">
        <f t="shared" si="136"/>
        <v>1388567</v>
      </c>
      <c r="W73" s="28">
        <f t="shared" ref="W73" si="137">W74+W80</f>
        <v>1385056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1301857</v>
      </c>
      <c r="C74" s="137">
        <f t="shared" si="138"/>
        <v>1435008</v>
      </c>
      <c r="D74" s="137">
        <f t="shared" si="138"/>
        <v>1398347</v>
      </c>
      <c r="E74" s="137">
        <f t="shared" si="138"/>
        <v>1288947</v>
      </c>
      <c r="F74" s="137">
        <f t="shared" si="138"/>
        <v>1282243</v>
      </c>
      <c r="G74" s="137">
        <f t="shared" si="138"/>
        <v>1294098</v>
      </c>
      <c r="H74" s="137">
        <f t="shared" si="138"/>
        <v>1311947</v>
      </c>
      <c r="I74" s="137">
        <f t="shared" si="138"/>
        <v>1331376</v>
      </c>
      <c r="J74" s="137">
        <f t="shared" si="138"/>
        <v>1334373</v>
      </c>
      <c r="K74" s="137">
        <f t="shared" si="138"/>
        <v>1337373</v>
      </c>
      <c r="L74" s="137">
        <f t="shared" ref="L74" si="139">SUM(L75:L79)</f>
        <v>1337373</v>
      </c>
      <c r="M74" s="137">
        <f t="shared" ref="M74:V74" si="140">SUM(M75:M79)</f>
        <v>1321711</v>
      </c>
      <c r="N74" s="137">
        <f t="shared" si="140"/>
        <v>1172906</v>
      </c>
      <c r="O74" s="137">
        <f t="shared" si="140"/>
        <v>1164962</v>
      </c>
      <c r="P74" s="137">
        <f t="shared" si="140"/>
        <v>1259725</v>
      </c>
      <c r="Q74" s="137">
        <f t="shared" si="140"/>
        <v>1224823</v>
      </c>
      <c r="R74" s="137">
        <f t="shared" si="140"/>
        <v>1221913</v>
      </c>
      <c r="S74" s="137">
        <f t="shared" si="140"/>
        <v>1240914</v>
      </c>
      <c r="T74" s="137">
        <f t="shared" si="140"/>
        <v>1267647</v>
      </c>
      <c r="U74" s="137">
        <f t="shared" si="140"/>
        <v>1396685</v>
      </c>
      <c r="V74" s="137">
        <f t="shared" si="140"/>
        <v>1290390</v>
      </c>
      <c r="W74" s="137">
        <f t="shared" ref="W74" si="141">SUM(W75:W79)</f>
        <v>1289760</v>
      </c>
      <c r="DA74" s="174" t="s">
        <v>516</v>
      </c>
    </row>
    <row r="75" spans="1:105" ht="11.45" customHeight="1" x14ac:dyDescent="0.25">
      <c r="A75" s="111" t="s">
        <v>110</v>
      </c>
      <c r="B75" s="84">
        <v>22987</v>
      </c>
      <c r="C75" s="84">
        <v>22668</v>
      </c>
      <c r="D75" s="84">
        <v>21402</v>
      </c>
      <c r="E75" s="84">
        <v>22001</v>
      </c>
      <c r="F75" s="84">
        <v>20340</v>
      </c>
      <c r="G75" s="84">
        <v>19986</v>
      </c>
      <c r="H75" s="84">
        <v>19726</v>
      </c>
      <c r="I75" s="84">
        <v>19489</v>
      </c>
      <c r="J75" s="84">
        <v>19016</v>
      </c>
      <c r="K75" s="84">
        <v>18555</v>
      </c>
      <c r="L75" s="84">
        <v>18056</v>
      </c>
      <c r="M75" s="84">
        <v>16120</v>
      </c>
      <c r="N75" s="84">
        <v>14099</v>
      </c>
      <c r="O75" s="84">
        <v>12902</v>
      </c>
      <c r="P75" s="84">
        <v>12056</v>
      </c>
      <c r="Q75" s="84">
        <v>12685</v>
      </c>
      <c r="R75" s="84">
        <v>11862</v>
      </c>
      <c r="S75" s="84">
        <v>12404</v>
      </c>
      <c r="T75" s="84">
        <v>11795</v>
      </c>
      <c r="U75" s="84">
        <v>16064</v>
      </c>
      <c r="V75" s="84">
        <v>11294</v>
      </c>
      <c r="W75" s="84">
        <v>10919</v>
      </c>
      <c r="DA75" s="171" t="s">
        <v>517</v>
      </c>
    </row>
    <row r="76" spans="1:105" ht="11.45" customHeight="1" x14ac:dyDescent="0.25">
      <c r="A76" s="111" t="s">
        <v>111</v>
      </c>
      <c r="B76" s="84">
        <v>1278014</v>
      </c>
      <c r="C76" s="84">
        <v>1411487</v>
      </c>
      <c r="D76" s="84">
        <v>1376115</v>
      </c>
      <c r="E76" s="84">
        <v>1266085</v>
      </c>
      <c r="F76" s="84">
        <v>1261095</v>
      </c>
      <c r="G76" s="84">
        <v>1273305</v>
      </c>
      <c r="H76" s="84">
        <v>1291412</v>
      </c>
      <c r="I76" s="84">
        <v>1311075</v>
      </c>
      <c r="J76" s="84">
        <v>1314552</v>
      </c>
      <c r="K76" s="84">
        <v>1318019</v>
      </c>
      <c r="L76" s="84">
        <v>1318553</v>
      </c>
      <c r="M76" s="84">
        <v>1304857</v>
      </c>
      <c r="N76" s="84">
        <v>1158181</v>
      </c>
      <c r="O76" s="84">
        <v>1151379</v>
      </c>
      <c r="P76" s="84">
        <v>1246936</v>
      </c>
      <c r="Q76" s="84">
        <v>1211301</v>
      </c>
      <c r="R76" s="84">
        <v>1209221</v>
      </c>
      <c r="S76" s="84">
        <v>1227239</v>
      </c>
      <c r="T76" s="84">
        <v>1254007</v>
      </c>
      <c r="U76" s="84">
        <v>1378217</v>
      </c>
      <c r="V76" s="84">
        <v>1276385</v>
      </c>
      <c r="W76" s="84">
        <v>1275770</v>
      </c>
      <c r="DA76" s="171" t="s">
        <v>518</v>
      </c>
    </row>
    <row r="77" spans="1:105" ht="11.45" customHeight="1" x14ac:dyDescent="0.25">
      <c r="A77" s="111" t="s">
        <v>112</v>
      </c>
      <c r="B77" s="84">
        <v>856</v>
      </c>
      <c r="C77" s="84">
        <v>853</v>
      </c>
      <c r="D77" s="84">
        <v>830</v>
      </c>
      <c r="E77" s="84">
        <v>861</v>
      </c>
      <c r="F77" s="84">
        <v>808</v>
      </c>
      <c r="G77" s="84">
        <v>807</v>
      </c>
      <c r="H77" s="84">
        <v>809</v>
      </c>
      <c r="I77" s="84">
        <v>812</v>
      </c>
      <c r="J77" s="84">
        <v>805</v>
      </c>
      <c r="K77" s="84">
        <v>799</v>
      </c>
      <c r="L77" s="84">
        <v>764</v>
      </c>
      <c r="M77" s="84">
        <v>729</v>
      </c>
      <c r="N77" s="84">
        <v>610</v>
      </c>
      <c r="O77" s="84">
        <v>616</v>
      </c>
      <c r="P77" s="84">
        <v>632</v>
      </c>
      <c r="Q77" s="84">
        <v>650</v>
      </c>
      <c r="R77" s="84">
        <v>609</v>
      </c>
      <c r="S77" s="84">
        <v>611</v>
      </c>
      <c r="T77" s="84">
        <v>620</v>
      </c>
      <c r="U77" s="84">
        <v>768</v>
      </c>
      <c r="V77" s="84">
        <v>692</v>
      </c>
      <c r="W77" s="84">
        <v>657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5</v>
      </c>
      <c r="P78" s="84">
        <v>13</v>
      </c>
      <c r="Q78" s="84">
        <v>19</v>
      </c>
      <c r="R78" s="84">
        <v>26</v>
      </c>
      <c r="S78" s="84">
        <v>30</v>
      </c>
      <c r="T78" s="84">
        <v>46</v>
      </c>
      <c r="U78" s="84">
        <v>79</v>
      </c>
      <c r="V78" s="84">
        <v>88</v>
      </c>
      <c r="W78" s="84">
        <v>126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5</v>
      </c>
      <c r="N79" s="84">
        <v>16</v>
      </c>
      <c r="O79" s="84">
        <v>60</v>
      </c>
      <c r="P79" s="84">
        <v>88</v>
      </c>
      <c r="Q79" s="84">
        <v>168</v>
      </c>
      <c r="R79" s="84">
        <v>195</v>
      </c>
      <c r="S79" s="84">
        <v>630</v>
      </c>
      <c r="T79" s="84">
        <v>1179</v>
      </c>
      <c r="U79" s="84">
        <v>1557</v>
      </c>
      <c r="V79" s="84">
        <v>1931</v>
      </c>
      <c r="W79" s="84">
        <v>2288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99736</v>
      </c>
      <c r="C80" s="110">
        <f t="shared" si="142"/>
        <v>102719</v>
      </c>
      <c r="D80" s="110">
        <f t="shared" si="142"/>
        <v>101557</v>
      </c>
      <c r="E80" s="110">
        <f t="shared" si="142"/>
        <v>97811</v>
      </c>
      <c r="F80" s="110">
        <f t="shared" si="142"/>
        <v>92367</v>
      </c>
      <c r="G80" s="110">
        <f t="shared" si="142"/>
        <v>91437</v>
      </c>
      <c r="H80" s="110">
        <f t="shared" si="142"/>
        <v>91039</v>
      </c>
      <c r="I80" s="110">
        <f t="shared" si="142"/>
        <v>91527</v>
      </c>
      <c r="J80" s="110">
        <f t="shared" si="142"/>
        <v>95349</v>
      </c>
      <c r="K80" s="110">
        <f t="shared" si="142"/>
        <v>96495</v>
      </c>
      <c r="L80" s="110">
        <f t="shared" ref="L80" si="143">SUM(L81:L82)</f>
        <v>95234</v>
      </c>
      <c r="M80" s="110">
        <f t="shared" ref="M80:V80" si="144">SUM(M81:M82)</f>
        <v>90283</v>
      </c>
      <c r="N80" s="110">
        <f t="shared" si="144"/>
        <v>73742</v>
      </c>
      <c r="O80" s="110">
        <f t="shared" si="144"/>
        <v>67971</v>
      </c>
      <c r="P80" s="110">
        <f t="shared" si="144"/>
        <v>76610</v>
      </c>
      <c r="Q80" s="110">
        <f t="shared" si="144"/>
        <v>76580</v>
      </c>
      <c r="R80" s="110">
        <f t="shared" si="144"/>
        <v>74735</v>
      </c>
      <c r="S80" s="110">
        <f t="shared" si="144"/>
        <v>84278</v>
      </c>
      <c r="T80" s="110">
        <f t="shared" si="144"/>
        <v>90594</v>
      </c>
      <c r="U80" s="110">
        <f t="shared" si="144"/>
        <v>105770</v>
      </c>
      <c r="V80" s="110">
        <f t="shared" si="144"/>
        <v>98177</v>
      </c>
      <c r="W80" s="110">
        <f t="shared" ref="W80" si="145">SUM(W81:W82)</f>
        <v>95296</v>
      </c>
      <c r="DA80" s="176" t="s">
        <v>522</v>
      </c>
    </row>
    <row r="81" spans="1:105" ht="11.45" customHeight="1" x14ac:dyDescent="0.25">
      <c r="A81" s="128" t="s">
        <v>27</v>
      </c>
      <c r="B81" s="102">
        <v>95914</v>
      </c>
      <c r="C81" s="102">
        <v>98621</v>
      </c>
      <c r="D81" s="102">
        <v>97246</v>
      </c>
      <c r="E81" s="102">
        <v>93405</v>
      </c>
      <c r="F81" s="102">
        <v>87157</v>
      </c>
      <c r="G81" s="102">
        <v>86045</v>
      </c>
      <c r="H81" s="102">
        <v>85282</v>
      </c>
      <c r="I81" s="102">
        <v>85227</v>
      </c>
      <c r="J81" s="102">
        <v>89801</v>
      </c>
      <c r="K81" s="102">
        <v>90928</v>
      </c>
      <c r="L81" s="102">
        <v>90199</v>
      </c>
      <c r="M81" s="102">
        <v>84969</v>
      </c>
      <c r="N81" s="102">
        <v>69333</v>
      </c>
      <c r="O81" s="102">
        <v>62978</v>
      </c>
      <c r="P81" s="102">
        <v>71467</v>
      </c>
      <c r="Q81" s="102">
        <v>71933</v>
      </c>
      <c r="R81" s="102">
        <v>69668</v>
      </c>
      <c r="S81" s="102">
        <v>79345</v>
      </c>
      <c r="T81" s="102">
        <v>85501</v>
      </c>
      <c r="U81" s="102">
        <v>100598</v>
      </c>
      <c r="V81" s="102">
        <v>93766</v>
      </c>
      <c r="W81" s="102">
        <v>90077</v>
      </c>
      <c r="DA81" s="175" t="s">
        <v>523</v>
      </c>
    </row>
    <row r="82" spans="1:105" ht="11.45" customHeight="1" x14ac:dyDescent="0.25">
      <c r="A82" s="138" t="s">
        <v>116</v>
      </c>
      <c r="B82" s="86">
        <v>3822</v>
      </c>
      <c r="C82" s="86">
        <v>4098</v>
      </c>
      <c r="D82" s="86">
        <v>4311</v>
      </c>
      <c r="E82" s="86">
        <v>4406</v>
      </c>
      <c r="F82" s="86">
        <v>5210</v>
      </c>
      <c r="G82" s="86">
        <v>5392</v>
      </c>
      <c r="H82" s="86">
        <v>5757</v>
      </c>
      <c r="I82" s="86">
        <v>6300</v>
      </c>
      <c r="J82" s="86">
        <v>5548</v>
      </c>
      <c r="K82" s="86">
        <v>5567</v>
      </c>
      <c r="L82" s="86">
        <v>5035</v>
      </c>
      <c r="M82" s="86">
        <v>5314</v>
      </c>
      <c r="N82" s="86">
        <v>4409</v>
      </c>
      <c r="O82" s="86">
        <v>4993</v>
      </c>
      <c r="P82" s="86">
        <v>5143</v>
      </c>
      <c r="Q82" s="86">
        <v>4647</v>
      </c>
      <c r="R82" s="86">
        <v>5067</v>
      </c>
      <c r="S82" s="86">
        <v>4933</v>
      </c>
      <c r="T82" s="86">
        <v>5093</v>
      </c>
      <c r="U82" s="86">
        <v>5172</v>
      </c>
      <c r="V82" s="86">
        <v>4411</v>
      </c>
      <c r="W82" s="86">
        <v>5219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5401441</v>
      </c>
      <c r="C84" s="54">
        <f t="shared" si="146"/>
        <v>5698970</v>
      </c>
      <c r="D84" s="54">
        <f t="shared" ref="D84:V84" si="147">D85+D100</f>
        <v>5969248</v>
      </c>
      <c r="E84" s="54">
        <f t="shared" si="147"/>
        <v>5945765</v>
      </c>
      <c r="F84" s="54">
        <f t="shared" si="147"/>
        <v>6076484</v>
      </c>
      <c r="G84" s="54">
        <f t="shared" si="147"/>
        <v>6188629</v>
      </c>
      <c r="H84" s="54">
        <f t="shared" si="147"/>
        <v>6266706</v>
      </c>
      <c r="I84" s="54">
        <f t="shared" si="147"/>
        <v>6353648</v>
      </c>
      <c r="J84" s="54">
        <f t="shared" si="147"/>
        <v>6388122</v>
      </c>
      <c r="K84" s="54">
        <f t="shared" si="147"/>
        <v>6439638</v>
      </c>
      <c r="L84" s="54">
        <f t="shared" si="147"/>
        <v>6638362</v>
      </c>
      <c r="M84" s="54">
        <f t="shared" si="147"/>
        <v>6636687</v>
      </c>
      <c r="N84" s="54">
        <f t="shared" si="147"/>
        <v>6019150</v>
      </c>
      <c r="O84" s="54">
        <f t="shared" si="147"/>
        <v>6081257</v>
      </c>
      <c r="P84" s="54">
        <f t="shared" si="147"/>
        <v>6560825</v>
      </c>
      <c r="Q84" s="54">
        <f t="shared" si="147"/>
        <v>6566869</v>
      </c>
      <c r="R84" s="54">
        <f t="shared" si="147"/>
        <v>6714016</v>
      </c>
      <c r="S84" s="54">
        <f t="shared" si="147"/>
        <v>6992583</v>
      </c>
      <c r="T84" s="54">
        <f t="shared" si="147"/>
        <v>7272946</v>
      </c>
      <c r="U84" s="54">
        <f t="shared" si="147"/>
        <v>7676254</v>
      </c>
      <c r="V84" s="54">
        <f t="shared" si="147"/>
        <v>7581805</v>
      </c>
      <c r="W84" s="54">
        <f t="shared" ref="W84" si="148">W85+W100</f>
        <v>7645997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3999848</v>
      </c>
      <c r="C85" s="28">
        <f t="shared" si="149"/>
        <v>4161243</v>
      </c>
      <c r="D85" s="28">
        <f t="shared" ref="D85:V85" si="150">D86+D87+D94</f>
        <v>4469344</v>
      </c>
      <c r="E85" s="28">
        <f t="shared" si="150"/>
        <v>4559007</v>
      </c>
      <c r="F85" s="28">
        <f t="shared" si="150"/>
        <v>4701874</v>
      </c>
      <c r="G85" s="28">
        <f t="shared" si="150"/>
        <v>4803094</v>
      </c>
      <c r="H85" s="28">
        <f t="shared" si="150"/>
        <v>4863720</v>
      </c>
      <c r="I85" s="28">
        <f t="shared" si="150"/>
        <v>4930745</v>
      </c>
      <c r="J85" s="28">
        <f t="shared" si="150"/>
        <v>4958400</v>
      </c>
      <c r="K85" s="28">
        <f t="shared" si="150"/>
        <v>5005770</v>
      </c>
      <c r="L85" s="28">
        <f t="shared" si="150"/>
        <v>5205755</v>
      </c>
      <c r="M85" s="28">
        <f t="shared" si="150"/>
        <v>5224693</v>
      </c>
      <c r="N85" s="28">
        <f t="shared" si="150"/>
        <v>4772502</v>
      </c>
      <c r="O85" s="28">
        <f t="shared" si="150"/>
        <v>4848324</v>
      </c>
      <c r="P85" s="28">
        <f t="shared" si="150"/>
        <v>5224490</v>
      </c>
      <c r="Q85" s="28">
        <f t="shared" si="150"/>
        <v>5265466</v>
      </c>
      <c r="R85" s="28">
        <f t="shared" si="150"/>
        <v>5417368</v>
      </c>
      <c r="S85" s="28">
        <f t="shared" si="150"/>
        <v>5667391</v>
      </c>
      <c r="T85" s="28">
        <f t="shared" si="150"/>
        <v>5914705</v>
      </c>
      <c r="U85" s="28">
        <f t="shared" si="150"/>
        <v>6173799</v>
      </c>
      <c r="V85" s="28">
        <f t="shared" si="150"/>
        <v>6193238</v>
      </c>
      <c r="W85" s="28">
        <f t="shared" ref="W85" si="151">W86+W87+W94</f>
        <v>6260941</v>
      </c>
      <c r="DA85" s="173"/>
    </row>
    <row r="86" spans="1:105" ht="11.45" hidden="1" customHeight="1" x14ac:dyDescent="0.25">
      <c r="A86" s="136" t="s">
        <v>180</v>
      </c>
      <c r="B86" s="137">
        <v>537068</v>
      </c>
      <c r="C86" s="137">
        <v>551483</v>
      </c>
      <c r="D86" s="137">
        <v>562957</v>
      </c>
      <c r="E86" s="137">
        <v>571354</v>
      </c>
      <c r="F86" s="137">
        <v>580074</v>
      </c>
      <c r="G86" s="137">
        <v>588420</v>
      </c>
      <c r="H86" s="137">
        <v>558720</v>
      </c>
      <c r="I86" s="137">
        <v>536645</v>
      </c>
      <c r="J86" s="137">
        <v>535000</v>
      </c>
      <c r="K86" s="137">
        <v>533270</v>
      </c>
      <c r="L86" s="137">
        <v>498000</v>
      </c>
      <c r="M86" s="137">
        <v>497000</v>
      </c>
      <c r="N86" s="137">
        <v>500815</v>
      </c>
      <c r="O86" s="137">
        <v>508456</v>
      </c>
      <c r="P86" s="137">
        <v>509671</v>
      </c>
      <c r="Q86" s="137">
        <v>527583</v>
      </c>
      <c r="R86" s="137">
        <v>552097</v>
      </c>
      <c r="S86" s="137">
        <v>592517</v>
      </c>
      <c r="T86" s="137">
        <v>616075</v>
      </c>
      <c r="U86" s="137">
        <v>660939</v>
      </c>
      <c r="V86" s="137">
        <v>612078</v>
      </c>
      <c r="W86" s="137">
        <v>612078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3443000</v>
      </c>
      <c r="C87" s="110">
        <f t="shared" si="152"/>
        <v>3589000</v>
      </c>
      <c r="D87" s="110">
        <f t="shared" ref="D87:V87" si="153">SUM(D88:D93)</f>
        <v>3885000</v>
      </c>
      <c r="E87" s="110">
        <f t="shared" si="153"/>
        <v>3966000</v>
      </c>
      <c r="F87" s="110">
        <f t="shared" si="153"/>
        <v>4100000</v>
      </c>
      <c r="G87" s="110">
        <f t="shared" si="153"/>
        <v>4200000</v>
      </c>
      <c r="H87" s="110">
        <f t="shared" si="153"/>
        <v>4290000</v>
      </c>
      <c r="I87" s="110">
        <f t="shared" si="153"/>
        <v>4379000</v>
      </c>
      <c r="J87" s="110">
        <f t="shared" si="153"/>
        <v>4408000</v>
      </c>
      <c r="K87" s="110">
        <f t="shared" si="153"/>
        <v>4457000</v>
      </c>
      <c r="L87" s="110">
        <f t="shared" si="153"/>
        <v>4692000</v>
      </c>
      <c r="M87" s="110">
        <f t="shared" si="153"/>
        <v>4712200</v>
      </c>
      <c r="N87" s="110">
        <f t="shared" si="153"/>
        <v>4259000</v>
      </c>
      <c r="O87" s="110">
        <f t="shared" si="153"/>
        <v>4327478</v>
      </c>
      <c r="P87" s="110">
        <f t="shared" si="153"/>
        <v>4699645</v>
      </c>
      <c r="Q87" s="110">
        <f t="shared" si="153"/>
        <v>4722963</v>
      </c>
      <c r="R87" s="110">
        <f t="shared" si="153"/>
        <v>4850229</v>
      </c>
      <c r="S87" s="110">
        <f t="shared" si="153"/>
        <v>5059472</v>
      </c>
      <c r="T87" s="110">
        <f t="shared" si="153"/>
        <v>5282970</v>
      </c>
      <c r="U87" s="110">
        <f t="shared" si="153"/>
        <v>5495041</v>
      </c>
      <c r="V87" s="110">
        <f t="shared" si="153"/>
        <v>5565963</v>
      </c>
      <c r="W87" s="110">
        <f t="shared" ref="W87" si="154">SUM(W88:W93)</f>
        <v>5633384</v>
      </c>
      <c r="DA87" s="176"/>
    </row>
    <row r="88" spans="1:105" ht="11.45" hidden="1" customHeight="1" x14ac:dyDescent="0.25">
      <c r="A88" s="111" t="s">
        <v>110</v>
      </c>
      <c r="B88" s="84">
        <v>2348800</v>
      </c>
      <c r="C88" s="84">
        <v>2464048</v>
      </c>
      <c r="D88" s="84">
        <v>2653389</v>
      </c>
      <c r="E88" s="84">
        <v>2652347</v>
      </c>
      <c r="F88" s="84">
        <v>2696207</v>
      </c>
      <c r="G88" s="84">
        <v>2673683</v>
      </c>
      <c r="H88" s="84">
        <v>2651564</v>
      </c>
      <c r="I88" s="84">
        <v>2613214</v>
      </c>
      <c r="J88" s="84">
        <v>2533430</v>
      </c>
      <c r="K88" s="84">
        <v>2479203</v>
      </c>
      <c r="L88" s="84">
        <v>2580033</v>
      </c>
      <c r="M88" s="84">
        <v>2509195</v>
      </c>
      <c r="N88" s="84">
        <v>2169936</v>
      </c>
      <c r="O88" s="84">
        <v>2165172</v>
      </c>
      <c r="P88" s="84">
        <v>2283953</v>
      </c>
      <c r="Q88" s="84">
        <v>2197424</v>
      </c>
      <c r="R88" s="84">
        <v>2171534</v>
      </c>
      <c r="S88" s="84">
        <v>2187650</v>
      </c>
      <c r="T88" s="84">
        <v>2241105</v>
      </c>
      <c r="U88" s="84">
        <v>2337838</v>
      </c>
      <c r="V88" s="84">
        <v>2282246</v>
      </c>
      <c r="W88" s="84">
        <v>2277393</v>
      </c>
      <c r="DA88" s="171"/>
    </row>
    <row r="89" spans="1:105" ht="11.45" hidden="1" customHeight="1" x14ac:dyDescent="0.25">
      <c r="A89" s="111" t="s">
        <v>111</v>
      </c>
      <c r="B89" s="84">
        <v>1077200</v>
      </c>
      <c r="C89" s="84">
        <v>1108213</v>
      </c>
      <c r="D89" s="84">
        <v>1216066</v>
      </c>
      <c r="E89" s="84">
        <v>1296664</v>
      </c>
      <c r="F89" s="84">
        <v>1386493</v>
      </c>
      <c r="G89" s="84">
        <v>1506310</v>
      </c>
      <c r="H89" s="84">
        <v>1620992</v>
      </c>
      <c r="I89" s="84">
        <v>1748571</v>
      </c>
      <c r="J89" s="84">
        <v>1853402</v>
      </c>
      <c r="K89" s="84">
        <v>1945817</v>
      </c>
      <c r="L89" s="84">
        <v>2079246</v>
      </c>
      <c r="M89" s="84">
        <v>2171703</v>
      </c>
      <c r="N89" s="84">
        <v>2051647</v>
      </c>
      <c r="O89" s="84">
        <v>2121295</v>
      </c>
      <c r="P89" s="84">
        <v>2368018</v>
      </c>
      <c r="Q89" s="84">
        <v>2475744</v>
      </c>
      <c r="R89" s="84">
        <v>2625189</v>
      </c>
      <c r="S89" s="84">
        <v>2807718</v>
      </c>
      <c r="T89" s="84">
        <v>2959124</v>
      </c>
      <c r="U89" s="84">
        <v>3053110</v>
      </c>
      <c r="V89" s="84">
        <v>3160276</v>
      </c>
      <c r="W89" s="84">
        <v>3200683</v>
      </c>
      <c r="DA89" s="171"/>
    </row>
    <row r="90" spans="1:105" ht="11.45" hidden="1" customHeight="1" x14ac:dyDescent="0.25">
      <c r="A90" s="111" t="s">
        <v>112</v>
      </c>
      <c r="B90" s="84">
        <v>17000</v>
      </c>
      <c r="C90" s="84">
        <v>16739</v>
      </c>
      <c r="D90" s="84">
        <v>15545</v>
      </c>
      <c r="E90" s="84">
        <v>16989</v>
      </c>
      <c r="F90" s="84">
        <v>17300</v>
      </c>
      <c r="G90" s="84">
        <v>20007</v>
      </c>
      <c r="H90" s="84">
        <v>17444</v>
      </c>
      <c r="I90" s="84">
        <v>17215</v>
      </c>
      <c r="J90" s="84">
        <v>21140</v>
      </c>
      <c r="K90" s="84">
        <v>31951</v>
      </c>
      <c r="L90" s="84">
        <v>32000</v>
      </c>
      <c r="M90" s="84">
        <v>31000</v>
      </c>
      <c r="N90" s="84">
        <v>37000</v>
      </c>
      <c r="O90" s="84">
        <v>40443</v>
      </c>
      <c r="P90" s="84">
        <v>46955</v>
      </c>
      <c r="Q90" s="84">
        <v>48062</v>
      </c>
      <c r="R90" s="84">
        <v>49301</v>
      </c>
      <c r="S90" s="84">
        <v>52315</v>
      </c>
      <c r="T90" s="84">
        <v>56213</v>
      </c>
      <c r="U90" s="84">
        <v>57432</v>
      </c>
      <c r="V90" s="84">
        <v>58717</v>
      </c>
      <c r="W90" s="84">
        <v>61573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2</v>
      </c>
      <c r="N91" s="84">
        <v>7</v>
      </c>
      <c r="O91" s="84">
        <v>23</v>
      </c>
      <c r="P91" s="84">
        <v>26</v>
      </c>
      <c r="Q91" s="84">
        <v>33</v>
      </c>
      <c r="R91" s="84">
        <v>39</v>
      </c>
      <c r="S91" s="84">
        <v>47</v>
      </c>
      <c r="T91" s="84">
        <v>55</v>
      </c>
      <c r="U91" s="84">
        <v>102</v>
      </c>
      <c r="V91" s="84">
        <v>132</v>
      </c>
      <c r="W91" s="84">
        <v>156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18</v>
      </c>
      <c r="N92" s="84">
        <v>63</v>
      </c>
      <c r="O92" s="84">
        <v>108</v>
      </c>
      <c r="P92" s="84">
        <v>209</v>
      </c>
      <c r="Q92" s="84">
        <v>730</v>
      </c>
      <c r="R92" s="84">
        <v>1809</v>
      </c>
      <c r="S92" s="84">
        <v>4337</v>
      </c>
      <c r="T92" s="84">
        <v>9699</v>
      </c>
      <c r="U92" s="84">
        <v>17526</v>
      </c>
      <c r="V92" s="84">
        <v>27710</v>
      </c>
      <c r="W92" s="84">
        <v>43441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28</v>
      </c>
      <c r="K93" s="84">
        <v>29</v>
      </c>
      <c r="L93" s="84">
        <v>719</v>
      </c>
      <c r="M93" s="84">
        <v>282</v>
      </c>
      <c r="N93" s="84">
        <v>347</v>
      </c>
      <c r="O93" s="84">
        <v>437</v>
      </c>
      <c r="P93" s="84">
        <v>484</v>
      </c>
      <c r="Q93" s="84">
        <v>970</v>
      </c>
      <c r="R93" s="84">
        <v>2357</v>
      </c>
      <c r="S93" s="84">
        <v>7405</v>
      </c>
      <c r="T93" s="84">
        <v>16774</v>
      </c>
      <c r="U93" s="84">
        <v>29033</v>
      </c>
      <c r="V93" s="84">
        <v>36882</v>
      </c>
      <c r="W93" s="84">
        <v>50138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19780</v>
      </c>
      <c r="C94" s="110">
        <f t="shared" si="155"/>
        <v>20760</v>
      </c>
      <c r="D94" s="110">
        <f t="shared" ref="D94:V94" si="156">SUM(D95:D99)</f>
        <v>21387</v>
      </c>
      <c r="E94" s="110">
        <f t="shared" si="156"/>
        <v>21653</v>
      </c>
      <c r="F94" s="110">
        <f t="shared" si="156"/>
        <v>21800</v>
      </c>
      <c r="G94" s="110">
        <f t="shared" si="156"/>
        <v>14674</v>
      </c>
      <c r="H94" s="110">
        <f t="shared" si="156"/>
        <v>15000</v>
      </c>
      <c r="I94" s="110">
        <f t="shared" si="156"/>
        <v>15100</v>
      </c>
      <c r="J94" s="110">
        <f t="shared" si="156"/>
        <v>15400</v>
      </c>
      <c r="K94" s="110">
        <f t="shared" si="156"/>
        <v>15500</v>
      </c>
      <c r="L94" s="110">
        <f t="shared" si="156"/>
        <v>15755</v>
      </c>
      <c r="M94" s="110">
        <f t="shared" si="156"/>
        <v>15493</v>
      </c>
      <c r="N94" s="110">
        <f t="shared" si="156"/>
        <v>12687</v>
      </c>
      <c r="O94" s="110">
        <f t="shared" si="156"/>
        <v>12390</v>
      </c>
      <c r="P94" s="110">
        <f t="shared" si="156"/>
        <v>15174</v>
      </c>
      <c r="Q94" s="110">
        <f t="shared" si="156"/>
        <v>14920</v>
      </c>
      <c r="R94" s="110">
        <f t="shared" si="156"/>
        <v>15042</v>
      </c>
      <c r="S94" s="110">
        <f t="shared" si="156"/>
        <v>15402</v>
      </c>
      <c r="T94" s="110">
        <f t="shared" si="156"/>
        <v>15660</v>
      </c>
      <c r="U94" s="110">
        <f t="shared" si="156"/>
        <v>17819</v>
      </c>
      <c r="V94" s="110">
        <f t="shared" si="156"/>
        <v>15197</v>
      </c>
      <c r="W94" s="110">
        <f t="shared" ref="W94" si="157">SUM(W95:W99)</f>
        <v>15479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6</v>
      </c>
      <c r="M95" s="102">
        <v>6</v>
      </c>
      <c r="N95" s="102">
        <v>6</v>
      </c>
      <c r="O95" s="102">
        <v>7</v>
      </c>
      <c r="P95" s="102">
        <v>7</v>
      </c>
      <c r="Q95" s="102">
        <v>8</v>
      </c>
      <c r="R95" s="102">
        <v>9</v>
      </c>
      <c r="S95" s="102">
        <v>8</v>
      </c>
      <c r="T95" s="102">
        <v>8</v>
      </c>
      <c r="U95" s="102">
        <v>9</v>
      </c>
      <c r="V95" s="102">
        <v>8</v>
      </c>
      <c r="W95" s="102">
        <v>8</v>
      </c>
      <c r="DA95" s="175"/>
    </row>
    <row r="96" spans="1:105" ht="11.45" hidden="1" customHeight="1" x14ac:dyDescent="0.25">
      <c r="A96" s="111" t="s">
        <v>111</v>
      </c>
      <c r="B96" s="102">
        <v>19739</v>
      </c>
      <c r="C96" s="102">
        <v>20567</v>
      </c>
      <c r="D96" s="102">
        <v>21080</v>
      </c>
      <c r="E96" s="102">
        <v>21236</v>
      </c>
      <c r="F96" s="102">
        <v>21348</v>
      </c>
      <c r="G96" s="102">
        <v>14105</v>
      </c>
      <c r="H96" s="102">
        <v>14448</v>
      </c>
      <c r="I96" s="102">
        <v>14495</v>
      </c>
      <c r="J96" s="102">
        <v>14756</v>
      </c>
      <c r="K96" s="102">
        <v>14834</v>
      </c>
      <c r="L96" s="102">
        <v>15064</v>
      </c>
      <c r="M96" s="102">
        <v>14822</v>
      </c>
      <c r="N96" s="102">
        <v>12030</v>
      </c>
      <c r="O96" s="102">
        <v>11759</v>
      </c>
      <c r="P96" s="102">
        <v>14569</v>
      </c>
      <c r="Q96" s="102">
        <v>14344</v>
      </c>
      <c r="R96" s="102">
        <v>14495</v>
      </c>
      <c r="S96" s="102">
        <v>14874</v>
      </c>
      <c r="T96" s="102">
        <v>14976</v>
      </c>
      <c r="U96" s="102">
        <v>17229</v>
      </c>
      <c r="V96" s="102">
        <v>14498</v>
      </c>
      <c r="W96" s="102">
        <v>14559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3</v>
      </c>
      <c r="M97" s="102">
        <v>3</v>
      </c>
      <c r="N97" s="102">
        <v>2</v>
      </c>
      <c r="O97" s="102">
        <v>2</v>
      </c>
      <c r="P97" s="102">
        <v>4</v>
      </c>
      <c r="Q97" s="102">
        <v>4</v>
      </c>
      <c r="R97" s="102">
        <v>5</v>
      </c>
      <c r="S97" s="102">
        <v>5</v>
      </c>
      <c r="T97" s="102">
        <v>5</v>
      </c>
      <c r="U97" s="102">
        <v>5</v>
      </c>
      <c r="V97" s="102">
        <v>4</v>
      </c>
      <c r="W97" s="102">
        <v>4</v>
      </c>
      <c r="DA97" s="175"/>
    </row>
    <row r="98" spans="1:105" ht="11.45" hidden="1" customHeight="1" x14ac:dyDescent="0.25">
      <c r="A98" s="111" t="s">
        <v>113</v>
      </c>
      <c r="B98" s="102">
        <v>41</v>
      </c>
      <c r="C98" s="102">
        <v>193</v>
      </c>
      <c r="D98" s="102">
        <v>307</v>
      </c>
      <c r="E98" s="102">
        <v>417</v>
      </c>
      <c r="F98" s="102">
        <v>452</v>
      </c>
      <c r="G98" s="102">
        <v>569</v>
      </c>
      <c r="H98" s="102">
        <v>552</v>
      </c>
      <c r="I98" s="102">
        <v>605</v>
      </c>
      <c r="J98" s="102">
        <v>644</v>
      </c>
      <c r="K98" s="102">
        <v>666</v>
      </c>
      <c r="L98" s="102">
        <v>669</v>
      </c>
      <c r="M98" s="102">
        <v>650</v>
      </c>
      <c r="N98" s="102">
        <v>626</v>
      </c>
      <c r="O98" s="102">
        <v>599</v>
      </c>
      <c r="P98" s="102">
        <v>571</v>
      </c>
      <c r="Q98" s="102">
        <v>541</v>
      </c>
      <c r="R98" s="102">
        <v>510</v>
      </c>
      <c r="S98" s="102">
        <v>478</v>
      </c>
      <c r="T98" s="102">
        <v>575</v>
      </c>
      <c r="U98" s="102">
        <v>465</v>
      </c>
      <c r="V98" s="102">
        <v>566</v>
      </c>
      <c r="W98" s="102">
        <v>781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13</v>
      </c>
      <c r="M99" s="102">
        <v>12</v>
      </c>
      <c r="N99" s="102">
        <v>23</v>
      </c>
      <c r="O99" s="102">
        <v>23</v>
      </c>
      <c r="P99" s="102">
        <v>23</v>
      </c>
      <c r="Q99" s="102">
        <v>23</v>
      </c>
      <c r="R99" s="102">
        <v>23</v>
      </c>
      <c r="S99" s="102">
        <v>37</v>
      </c>
      <c r="T99" s="102">
        <v>96</v>
      </c>
      <c r="U99" s="102">
        <v>111</v>
      </c>
      <c r="V99" s="102">
        <v>121</v>
      </c>
      <c r="W99" s="102">
        <v>127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1401593</v>
      </c>
      <c r="C100" s="28">
        <f t="shared" si="158"/>
        <v>1537727</v>
      </c>
      <c r="D100" s="28">
        <f t="shared" ref="D100:V100" si="159">D101+D107</f>
        <v>1499904</v>
      </c>
      <c r="E100" s="28">
        <f t="shared" si="159"/>
        <v>1386758</v>
      </c>
      <c r="F100" s="28">
        <f t="shared" si="159"/>
        <v>1374610</v>
      </c>
      <c r="G100" s="28">
        <f t="shared" si="159"/>
        <v>1385535</v>
      </c>
      <c r="H100" s="28">
        <f t="shared" si="159"/>
        <v>1402986</v>
      </c>
      <c r="I100" s="28">
        <f t="shared" si="159"/>
        <v>1422903</v>
      </c>
      <c r="J100" s="28">
        <f t="shared" si="159"/>
        <v>1429722</v>
      </c>
      <c r="K100" s="28">
        <f t="shared" si="159"/>
        <v>1433868</v>
      </c>
      <c r="L100" s="28">
        <f t="shared" si="159"/>
        <v>1432607</v>
      </c>
      <c r="M100" s="28">
        <f t="shared" si="159"/>
        <v>1411994</v>
      </c>
      <c r="N100" s="28">
        <f t="shared" si="159"/>
        <v>1246648</v>
      </c>
      <c r="O100" s="28">
        <f t="shared" si="159"/>
        <v>1232933</v>
      </c>
      <c r="P100" s="28">
        <f t="shared" si="159"/>
        <v>1336335</v>
      </c>
      <c r="Q100" s="28">
        <f t="shared" si="159"/>
        <v>1301403</v>
      </c>
      <c r="R100" s="28">
        <f t="shared" si="159"/>
        <v>1296648</v>
      </c>
      <c r="S100" s="28">
        <f t="shared" si="159"/>
        <v>1325192</v>
      </c>
      <c r="T100" s="28">
        <f t="shared" si="159"/>
        <v>1358241</v>
      </c>
      <c r="U100" s="28">
        <f t="shared" si="159"/>
        <v>1502455</v>
      </c>
      <c r="V100" s="28">
        <f t="shared" si="159"/>
        <v>1388567</v>
      </c>
      <c r="W100" s="28">
        <f t="shared" ref="W100" si="160">W101+W107</f>
        <v>1385056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1301857</v>
      </c>
      <c r="C101" s="137">
        <f t="shared" si="161"/>
        <v>1435008</v>
      </c>
      <c r="D101" s="137">
        <f t="shared" ref="D101:V101" si="162">SUM(D102:D106)</f>
        <v>1398347</v>
      </c>
      <c r="E101" s="137">
        <f t="shared" si="162"/>
        <v>1288947</v>
      </c>
      <c r="F101" s="137">
        <f t="shared" si="162"/>
        <v>1282243</v>
      </c>
      <c r="G101" s="137">
        <f t="shared" si="162"/>
        <v>1294098</v>
      </c>
      <c r="H101" s="137">
        <f t="shared" si="162"/>
        <v>1311947</v>
      </c>
      <c r="I101" s="137">
        <f t="shared" si="162"/>
        <v>1331376</v>
      </c>
      <c r="J101" s="137">
        <f t="shared" si="162"/>
        <v>1334373</v>
      </c>
      <c r="K101" s="137">
        <f t="shared" si="162"/>
        <v>1337373</v>
      </c>
      <c r="L101" s="137">
        <f t="shared" si="162"/>
        <v>1337373</v>
      </c>
      <c r="M101" s="137">
        <f t="shared" si="162"/>
        <v>1321711</v>
      </c>
      <c r="N101" s="137">
        <f t="shared" si="162"/>
        <v>1172906</v>
      </c>
      <c r="O101" s="137">
        <f t="shared" si="162"/>
        <v>1164962</v>
      </c>
      <c r="P101" s="137">
        <f t="shared" si="162"/>
        <v>1259725</v>
      </c>
      <c r="Q101" s="137">
        <f t="shared" si="162"/>
        <v>1224823</v>
      </c>
      <c r="R101" s="137">
        <f t="shared" si="162"/>
        <v>1221913</v>
      </c>
      <c r="S101" s="137">
        <f t="shared" si="162"/>
        <v>1240914</v>
      </c>
      <c r="T101" s="137">
        <f t="shared" si="162"/>
        <v>1267647</v>
      </c>
      <c r="U101" s="137">
        <f t="shared" si="162"/>
        <v>1396685</v>
      </c>
      <c r="V101" s="137">
        <f t="shared" si="162"/>
        <v>1290390</v>
      </c>
      <c r="W101" s="137">
        <f t="shared" ref="W101" si="163">SUM(W102:W106)</f>
        <v>1289760</v>
      </c>
      <c r="DA101" s="174"/>
    </row>
    <row r="102" spans="1:105" ht="11.45" hidden="1" customHeight="1" x14ac:dyDescent="0.25">
      <c r="A102" s="111" t="s">
        <v>110</v>
      </c>
      <c r="B102" s="84">
        <v>22987</v>
      </c>
      <c r="C102" s="84">
        <v>22668</v>
      </c>
      <c r="D102" s="84">
        <v>21402</v>
      </c>
      <c r="E102" s="84">
        <v>22001</v>
      </c>
      <c r="F102" s="84">
        <v>20340</v>
      </c>
      <c r="G102" s="84">
        <v>19986</v>
      </c>
      <c r="H102" s="84">
        <v>19726</v>
      </c>
      <c r="I102" s="84">
        <v>19489</v>
      </c>
      <c r="J102" s="84">
        <v>19016</v>
      </c>
      <c r="K102" s="84">
        <v>18555</v>
      </c>
      <c r="L102" s="84">
        <v>18056</v>
      </c>
      <c r="M102" s="84">
        <v>16120</v>
      </c>
      <c r="N102" s="84">
        <v>14099</v>
      </c>
      <c r="O102" s="84">
        <v>12902</v>
      </c>
      <c r="P102" s="84">
        <v>12056</v>
      </c>
      <c r="Q102" s="84">
        <v>12685</v>
      </c>
      <c r="R102" s="84">
        <v>11862</v>
      </c>
      <c r="S102" s="84">
        <v>12404</v>
      </c>
      <c r="T102" s="84">
        <v>11795</v>
      </c>
      <c r="U102" s="84">
        <v>16064</v>
      </c>
      <c r="V102" s="84">
        <v>11294</v>
      </c>
      <c r="W102" s="84">
        <v>10919</v>
      </c>
      <c r="DA102" s="171"/>
    </row>
    <row r="103" spans="1:105" ht="11.45" hidden="1" customHeight="1" x14ac:dyDescent="0.25">
      <c r="A103" s="111" t="s">
        <v>111</v>
      </c>
      <c r="B103" s="84">
        <v>1278014</v>
      </c>
      <c r="C103" s="84">
        <v>1411487</v>
      </c>
      <c r="D103" s="84">
        <v>1376115</v>
      </c>
      <c r="E103" s="84">
        <v>1266085</v>
      </c>
      <c r="F103" s="84">
        <v>1261095</v>
      </c>
      <c r="G103" s="84">
        <v>1273305</v>
      </c>
      <c r="H103" s="84">
        <v>1291412</v>
      </c>
      <c r="I103" s="84">
        <v>1311075</v>
      </c>
      <c r="J103" s="84">
        <v>1314552</v>
      </c>
      <c r="K103" s="84">
        <v>1318019</v>
      </c>
      <c r="L103" s="84">
        <v>1318553</v>
      </c>
      <c r="M103" s="84">
        <v>1304857</v>
      </c>
      <c r="N103" s="84">
        <v>1158181</v>
      </c>
      <c r="O103" s="84">
        <v>1151379</v>
      </c>
      <c r="P103" s="84">
        <v>1246936</v>
      </c>
      <c r="Q103" s="84">
        <v>1211301</v>
      </c>
      <c r="R103" s="84">
        <v>1209221</v>
      </c>
      <c r="S103" s="84">
        <v>1227239</v>
      </c>
      <c r="T103" s="84">
        <v>1254007</v>
      </c>
      <c r="U103" s="84">
        <v>1378217</v>
      </c>
      <c r="V103" s="84">
        <v>1276385</v>
      </c>
      <c r="W103" s="84">
        <v>1275770</v>
      </c>
      <c r="DA103" s="171"/>
    </row>
    <row r="104" spans="1:105" ht="11.45" hidden="1" customHeight="1" x14ac:dyDescent="0.25">
      <c r="A104" s="111" t="s">
        <v>112</v>
      </c>
      <c r="B104" s="84">
        <v>856</v>
      </c>
      <c r="C104" s="84">
        <v>853</v>
      </c>
      <c r="D104" s="84">
        <v>830</v>
      </c>
      <c r="E104" s="84">
        <v>861</v>
      </c>
      <c r="F104" s="84">
        <v>808</v>
      </c>
      <c r="G104" s="84">
        <v>807</v>
      </c>
      <c r="H104" s="84">
        <v>809</v>
      </c>
      <c r="I104" s="84">
        <v>812</v>
      </c>
      <c r="J104" s="84">
        <v>805</v>
      </c>
      <c r="K104" s="84">
        <v>799</v>
      </c>
      <c r="L104" s="84">
        <v>764</v>
      </c>
      <c r="M104" s="84">
        <v>729</v>
      </c>
      <c r="N104" s="84">
        <v>610</v>
      </c>
      <c r="O104" s="84">
        <v>616</v>
      </c>
      <c r="P104" s="84">
        <v>632</v>
      </c>
      <c r="Q104" s="84">
        <v>650</v>
      </c>
      <c r="R104" s="84">
        <v>609</v>
      </c>
      <c r="S104" s="84">
        <v>611</v>
      </c>
      <c r="T104" s="84">
        <v>620</v>
      </c>
      <c r="U104" s="84">
        <v>768</v>
      </c>
      <c r="V104" s="84">
        <v>692</v>
      </c>
      <c r="W104" s="84">
        <v>657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5</v>
      </c>
      <c r="P105" s="84">
        <v>13</v>
      </c>
      <c r="Q105" s="84">
        <v>19</v>
      </c>
      <c r="R105" s="84">
        <v>26</v>
      </c>
      <c r="S105" s="84">
        <v>30</v>
      </c>
      <c r="T105" s="84">
        <v>46</v>
      </c>
      <c r="U105" s="84">
        <v>79</v>
      </c>
      <c r="V105" s="84">
        <v>88</v>
      </c>
      <c r="W105" s="84">
        <v>126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5</v>
      </c>
      <c r="N106" s="84">
        <v>16</v>
      </c>
      <c r="O106" s="84">
        <v>60</v>
      </c>
      <c r="P106" s="84">
        <v>88</v>
      </c>
      <c r="Q106" s="84">
        <v>168</v>
      </c>
      <c r="R106" s="84">
        <v>195</v>
      </c>
      <c r="S106" s="84">
        <v>630</v>
      </c>
      <c r="T106" s="84">
        <v>1179</v>
      </c>
      <c r="U106" s="84">
        <v>1557</v>
      </c>
      <c r="V106" s="84">
        <v>1931</v>
      </c>
      <c r="W106" s="84">
        <v>2288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99736</v>
      </c>
      <c r="C107" s="110">
        <f t="shared" si="164"/>
        <v>102719</v>
      </c>
      <c r="D107" s="110">
        <f t="shared" ref="D107:V107" si="165">SUM(D108:D109)</f>
        <v>101557</v>
      </c>
      <c r="E107" s="110">
        <f t="shared" si="165"/>
        <v>97811</v>
      </c>
      <c r="F107" s="110">
        <f t="shared" si="165"/>
        <v>92367</v>
      </c>
      <c r="G107" s="110">
        <f t="shared" si="165"/>
        <v>91437</v>
      </c>
      <c r="H107" s="110">
        <f t="shared" si="165"/>
        <v>91039</v>
      </c>
      <c r="I107" s="110">
        <f t="shared" si="165"/>
        <v>91527</v>
      </c>
      <c r="J107" s="110">
        <f t="shared" si="165"/>
        <v>95349</v>
      </c>
      <c r="K107" s="110">
        <f t="shared" si="165"/>
        <v>96495</v>
      </c>
      <c r="L107" s="110">
        <f t="shared" si="165"/>
        <v>95234</v>
      </c>
      <c r="M107" s="110">
        <f t="shared" si="165"/>
        <v>90283</v>
      </c>
      <c r="N107" s="110">
        <f t="shared" si="165"/>
        <v>73742</v>
      </c>
      <c r="O107" s="110">
        <f t="shared" si="165"/>
        <v>67971</v>
      </c>
      <c r="P107" s="110">
        <f t="shared" si="165"/>
        <v>76610</v>
      </c>
      <c r="Q107" s="110">
        <f t="shared" si="165"/>
        <v>76580</v>
      </c>
      <c r="R107" s="110">
        <f t="shared" si="165"/>
        <v>74735</v>
      </c>
      <c r="S107" s="110">
        <f t="shared" si="165"/>
        <v>84278</v>
      </c>
      <c r="T107" s="110">
        <f t="shared" si="165"/>
        <v>90594</v>
      </c>
      <c r="U107" s="110">
        <f t="shared" si="165"/>
        <v>105770</v>
      </c>
      <c r="V107" s="110">
        <f t="shared" si="165"/>
        <v>98177</v>
      </c>
      <c r="W107" s="110">
        <f t="shared" ref="W107" si="166">SUM(W108:W109)</f>
        <v>95296</v>
      </c>
      <c r="DA107" s="176"/>
    </row>
    <row r="108" spans="1:105" ht="11.45" hidden="1" customHeight="1" x14ac:dyDescent="0.25">
      <c r="A108" s="128" t="s">
        <v>27</v>
      </c>
      <c r="B108" s="102">
        <v>95914</v>
      </c>
      <c r="C108" s="102">
        <v>98621</v>
      </c>
      <c r="D108" s="102">
        <v>97246</v>
      </c>
      <c r="E108" s="102">
        <v>93405</v>
      </c>
      <c r="F108" s="102">
        <v>87157</v>
      </c>
      <c r="G108" s="102">
        <v>86045</v>
      </c>
      <c r="H108" s="102">
        <v>85282</v>
      </c>
      <c r="I108" s="102">
        <v>85227</v>
      </c>
      <c r="J108" s="102">
        <v>89801</v>
      </c>
      <c r="K108" s="102">
        <v>90928</v>
      </c>
      <c r="L108" s="102">
        <v>90199</v>
      </c>
      <c r="M108" s="102">
        <v>84969</v>
      </c>
      <c r="N108" s="102">
        <v>69333</v>
      </c>
      <c r="O108" s="102">
        <v>62978</v>
      </c>
      <c r="P108" s="102">
        <v>71467</v>
      </c>
      <c r="Q108" s="102">
        <v>71933</v>
      </c>
      <c r="R108" s="102">
        <v>69668</v>
      </c>
      <c r="S108" s="102">
        <v>79345</v>
      </c>
      <c r="T108" s="102">
        <v>85501</v>
      </c>
      <c r="U108" s="102">
        <v>100598</v>
      </c>
      <c r="V108" s="102">
        <v>93766</v>
      </c>
      <c r="W108" s="102">
        <v>90077</v>
      </c>
      <c r="DA108" s="175"/>
    </row>
    <row r="109" spans="1:105" ht="11.45" hidden="1" customHeight="1" x14ac:dyDescent="0.25">
      <c r="A109" s="138" t="s">
        <v>116</v>
      </c>
      <c r="B109" s="86">
        <v>3822</v>
      </c>
      <c r="C109" s="86">
        <v>4098</v>
      </c>
      <c r="D109" s="86">
        <v>4311</v>
      </c>
      <c r="E109" s="86">
        <v>4406</v>
      </c>
      <c r="F109" s="86">
        <v>5210</v>
      </c>
      <c r="G109" s="86">
        <v>5392</v>
      </c>
      <c r="H109" s="86">
        <v>5757</v>
      </c>
      <c r="I109" s="86">
        <v>6300</v>
      </c>
      <c r="J109" s="86">
        <v>5548</v>
      </c>
      <c r="K109" s="86">
        <v>5567</v>
      </c>
      <c r="L109" s="86">
        <v>5035</v>
      </c>
      <c r="M109" s="86">
        <v>5314</v>
      </c>
      <c r="N109" s="86">
        <v>4409</v>
      </c>
      <c r="O109" s="86">
        <v>4993</v>
      </c>
      <c r="P109" s="86">
        <v>5143</v>
      </c>
      <c r="Q109" s="86">
        <v>4647</v>
      </c>
      <c r="R109" s="86">
        <v>5067</v>
      </c>
      <c r="S109" s="86">
        <v>4933</v>
      </c>
      <c r="T109" s="86">
        <v>5093</v>
      </c>
      <c r="U109" s="86">
        <v>5172</v>
      </c>
      <c r="V109" s="86">
        <v>4411</v>
      </c>
      <c r="W109" s="86">
        <v>5219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420483</v>
      </c>
      <c r="C111" s="54">
        <f t="shared" si="167"/>
        <v>628192</v>
      </c>
      <c r="D111" s="54">
        <f t="shared" si="167"/>
        <v>601166</v>
      </c>
      <c r="E111" s="54">
        <f t="shared" si="167"/>
        <v>319906</v>
      </c>
      <c r="F111" s="54">
        <f t="shared" si="167"/>
        <v>389209</v>
      </c>
      <c r="G111" s="54">
        <f t="shared" si="167"/>
        <v>455653</v>
      </c>
      <c r="H111" s="54">
        <f t="shared" si="167"/>
        <v>439655</v>
      </c>
      <c r="I111" s="54">
        <f t="shared" si="167"/>
        <v>457507</v>
      </c>
      <c r="J111" s="54">
        <f t="shared" si="167"/>
        <v>458110</v>
      </c>
      <c r="K111" s="54">
        <f t="shared" si="167"/>
        <v>386894</v>
      </c>
      <c r="L111" s="54">
        <f t="shared" ref="L111" si="168">L112+L127</f>
        <v>667527</v>
      </c>
      <c r="M111" s="54">
        <f t="shared" ref="M111:V111" si="169">M112+M127</f>
        <v>362561</v>
      </c>
      <c r="N111" s="54">
        <f t="shared" si="169"/>
        <v>188210</v>
      </c>
      <c r="O111" s="54">
        <f t="shared" si="169"/>
        <v>230973</v>
      </c>
      <c r="P111" s="54">
        <f t="shared" si="169"/>
        <v>643113</v>
      </c>
      <c r="Q111" s="54">
        <f t="shared" si="169"/>
        <v>381282</v>
      </c>
      <c r="R111" s="54">
        <f t="shared" si="169"/>
        <v>453535</v>
      </c>
      <c r="S111" s="54">
        <f t="shared" si="169"/>
        <v>596343</v>
      </c>
      <c r="T111" s="54">
        <f t="shared" si="169"/>
        <v>534517</v>
      </c>
      <c r="U111" s="54">
        <f t="shared" si="169"/>
        <v>577349</v>
      </c>
      <c r="V111" s="54">
        <f t="shared" si="169"/>
        <v>250729</v>
      </c>
      <c r="W111" s="54">
        <f t="shared" ref="W111" si="170">W112+W127</f>
        <v>267274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420101</v>
      </c>
      <c r="C112" s="28">
        <f t="shared" si="171"/>
        <v>424528</v>
      </c>
      <c r="D112" s="28">
        <f t="shared" si="171"/>
        <v>561314</v>
      </c>
      <c r="E112" s="28">
        <f t="shared" si="171"/>
        <v>316070</v>
      </c>
      <c r="F112" s="28">
        <f t="shared" si="171"/>
        <v>328624</v>
      </c>
      <c r="G112" s="28">
        <f t="shared" si="171"/>
        <v>341443</v>
      </c>
      <c r="H112" s="28">
        <f t="shared" si="171"/>
        <v>313355</v>
      </c>
      <c r="I112" s="28">
        <f t="shared" si="171"/>
        <v>325035</v>
      </c>
      <c r="J112" s="28">
        <f t="shared" si="171"/>
        <v>340252</v>
      </c>
      <c r="K112" s="28">
        <f t="shared" si="171"/>
        <v>266404</v>
      </c>
      <c r="L112" s="28">
        <f t="shared" ref="L112" si="172">L113+L114+L121</f>
        <v>550246</v>
      </c>
      <c r="M112" s="28">
        <f t="shared" ref="M112:V112" si="173">M113+M114+M121</f>
        <v>264904</v>
      </c>
      <c r="N112" s="28">
        <f t="shared" si="173"/>
        <v>174438</v>
      </c>
      <c r="O112" s="28">
        <f t="shared" si="173"/>
        <v>186392</v>
      </c>
      <c r="P112" s="28">
        <f t="shared" si="173"/>
        <v>436194</v>
      </c>
      <c r="Q112" s="28">
        <f t="shared" si="173"/>
        <v>311880</v>
      </c>
      <c r="R112" s="28">
        <f t="shared" si="173"/>
        <v>354056</v>
      </c>
      <c r="S112" s="28">
        <f t="shared" si="173"/>
        <v>472154</v>
      </c>
      <c r="T112" s="28">
        <f t="shared" si="173"/>
        <v>405277</v>
      </c>
      <c r="U112" s="28">
        <f t="shared" si="173"/>
        <v>339798</v>
      </c>
      <c r="V112" s="28">
        <f t="shared" si="173"/>
        <v>224791</v>
      </c>
      <c r="W112" s="28">
        <f t="shared" ref="W112" si="174">W113+W114+W121</f>
        <v>232121</v>
      </c>
      <c r="DA112" s="173" t="s">
        <v>526</v>
      </c>
    </row>
    <row r="113" spans="1:105" ht="11.45" customHeight="1" x14ac:dyDescent="0.25">
      <c r="A113" s="136" t="s">
        <v>180</v>
      </c>
      <c r="B113" s="137">
        <v>31889</v>
      </c>
      <c r="C113" s="137">
        <v>40448</v>
      </c>
      <c r="D113" s="137">
        <v>35545</v>
      </c>
      <c r="E113" s="137">
        <v>30316</v>
      </c>
      <c r="F113" s="137">
        <v>31122</v>
      </c>
      <c r="G113" s="137">
        <v>30685</v>
      </c>
      <c r="H113" s="137">
        <v>20583</v>
      </c>
      <c r="I113" s="137">
        <v>21584</v>
      </c>
      <c r="J113" s="137">
        <v>19372</v>
      </c>
      <c r="K113" s="137">
        <v>24255</v>
      </c>
      <c r="L113" s="137">
        <v>34013</v>
      </c>
      <c r="M113" s="137">
        <v>34087</v>
      </c>
      <c r="N113" s="137">
        <v>30924</v>
      </c>
      <c r="O113" s="137">
        <v>27275</v>
      </c>
      <c r="P113" s="137">
        <v>27763</v>
      </c>
      <c r="Q113" s="137">
        <v>43447</v>
      </c>
      <c r="R113" s="137">
        <v>42156</v>
      </c>
      <c r="S113" s="137">
        <v>48701</v>
      </c>
      <c r="T113" s="137">
        <v>42180</v>
      </c>
      <c r="U113" s="137">
        <v>54105</v>
      </c>
      <c r="V113" s="137">
        <v>40315</v>
      </c>
      <c r="W113" s="137">
        <v>46531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386754</v>
      </c>
      <c r="C114" s="110">
        <f t="shared" si="175"/>
        <v>382815</v>
      </c>
      <c r="D114" s="110">
        <f t="shared" si="175"/>
        <v>524753</v>
      </c>
      <c r="E114" s="110">
        <f t="shared" si="175"/>
        <v>284688</v>
      </c>
      <c r="F114" s="110">
        <f t="shared" si="175"/>
        <v>296468</v>
      </c>
      <c r="G114" s="110">
        <f t="shared" si="175"/>
        <v>309732</v>
      </c>
      <c r="H114" s="110">
        <f t="shared" si="175"/>
        <v>292053</v>
      </c>
      <c r="I114" s="110">
        <f t="shared" si="175"/>
        <v>302724</v>
      </c>
      <c r="J114" s="110">
        <f t="shared" si="175"/>
        <v>320084</v>
      </c>
      <c r="K114" s="110">
        <f t="shared" si="175"/>
        <v>241520</v>
      </c>
      <c r="L114" s="110">
        <f t="shared" ref="L114" si="176">SUM(L115:L120)</f>
        <v>515196</v>
      </c>
      <c r="M114" s="110">
        <f t="shared" ref="M114:V114" si="177">SUM(M115:M120)</f>
        <v>230106</v>
      </c>
      <c r="N114" s="110">
        <f t="shared" si="177"/>
        <v>142935</v>
      </c>
      <c r="O114" s="110">
        <f t="shared" si="177"/>
        <v>158882</v>
      </c>
      <c r="P114" s="110">
        <f t="shared" si="177"/>
        <v>405619</v>
      </c>
      <c r="Q114" s="110">
        <f t="shared" si="177"/>
        <v>267743</v>
      </c>
      <c r="R114" s="110">
        <f t="shared" si="177"/>
        <v>310995</v>
      </c>
      <c r="S114" s="110">
        <f t="shared" si="177"/>
        <v>422994</v>
      </c>
      <c r="T114" s="110">
        <f t="shared" si="177"/>
        <v>362454</v>
      </c>
      <c r="U114" s="110">
        <f t="shared" si="177"/>
        <v>283198</v>
      </c>
      <c r="V114" s="110">
        <f t="shared" si="177"/>
        <v>184012</v>
      </c>
      <c r="W114" s="110">
        <f t="shared" ref="W114" si="178">SUM(W115:W120)</f>
        <v>184921</v>
      </c>
      <c r="DA114" s="176" t="s">
        <v>528</v>
      </c>
    </row>
    <row r="115" spans="1:105" ht="11.45" customHeight="1" x14ac:dyDescent="0.25">
      <c r="A115" s="111" t="s">
        <v>110</v>
      </c>
      <c r="B115" s="84">
        <v>276160</v>
      </c>
      <c r="C115" s="84">
        <v>273942</v>
      </c>
      <c r="D115" s="84">
        <v>343189</v>
      </c>
      <c r="E115" s="84">
        <v>155391</v>
      </c>
      <c r="F115" s="84">
        <v>128356</v>
      </c>
      <c r="G115" s="84">
        <v>110996</v>
      </c>
      <c r="H115" s="84">
        <v>101605</v>
      </c>
      <c r="I115" s="84">
        <v>92936</v>
      </c>
      <c r="J115" s="84">
        <v>97226</v>
      </c>
      <c r="K115" s="84">
        <v>69880</v>
      </c>
      <c r="L115" s="84">
        <v>283769</v>
      </c>
      <c r="M115" s="84">
        <v>69073</v>
      </c>
      <c r="N115" s="84">
        <v>35801</v>
      </c>
      <c r="O115" s="84">
        <v>39699</v>
      </c>
      <c r="P115" s="84">
        <v>130412</v>
      </c>
      <c r="Q115" s="84">
        <v>79791</v>
      </c>
      <c r="R115" s="84">
        <v>101300</v>
      </c>
      <c r="S115" s="84">
        <v>147054</v>
      </c>
      <c r="T115" s="84">
        <v>134201</v>
      </c>
      <c r="U115" s="84">
        <v>127650</v>
      </c>
      <c r="V115" s="84">
        <v>53417</v>
      </c>
      <c r="W115" s="84">
        <v>69769</v>
      </c>
      <c r="DA115" s="171" t="s">
        <v>529</v>
      </c>
    </row>
    <row r="116" spans="1:105" ht="11.45" customHeight="1" x14ac:dyDescent="0.25">
      <c r="A116" s="111" t="s">
        <v>111</v>
      </c>
      <c r="B116" s="84">
        <v>93594</v>
      </c>
      <c r="C116" s="84">
        <v>108873</v>
      </c>
      <c r="D116" s="84">
        <v>181564</v>
      </c>
      <c r="E116" s="84">
        <v>127853</v>
      </c>
      <c r="F116" s="84">
        <v>167801</v>
      </c>
      <c r="G116" s="84">
        <v>196029</v>
      </c>
      <c r="H116" s="84">
        <v>190448</v>
      </c>
      <c r="I116" s="84">
        <v>209788</v>
      </c>
      <c r="J116" s="84">
        <v>218905</v>
      </c>
      <c r="K116" s="84">
        <v>160828</v>
      </c>
      <c r="L116" s="84">
        <v>229782</v>
      </c>
      <c r="M116" s="84">
        <v>160039</v>
      </c>
      <c r="N116" s="84">
        <v>101018</v>
      </c>
      <c r="O116" s="84">
        <v>115512</v>
      </c>
      <c r="P116" s="84">
        <v>267522</v>
      </c>
      <c r="Q116" s="84">
        <v>184199</v>
      </c>
      <c r="R116" s="84">
        <v>204400</v>
      </c>
      <c r="S116" s="84">
        <v>263598</v>
      </c>
      <c r="T116" s="84">
        <v>207690</v>
      </c>
      <c r="U116" s="84">
        <v>132106</v>
      </c>
      <c r="V116" s="84">
        <v>107296</v>
      </c>
      <c r="W116" s="84">
        <v>80569</v>
      </c>
      <c r="DA116" s="171" t="s">
        <v>530</v>
      </c>
    </row>
    <row r="117" spans="1:105" ht="11.45" customHeight="1" x14ac:dyDescent="0.25">
      <c r="A117" s="111" t="s">
        <v>112</v>
      </c>
      <c r="B117" s="84">
        <v>17000</v>
      </c>
      <c r="C117" s="84">
        <v>0</v>
      </c>
      <c r="D117" s="84">
        <v>0</v>
      </c>
      <c r="E117" s="84">
        <v>1444</v>
      </c>
      <c r="F117" s="84">
        <v>311</v>
      </c>
      <c r="G117" s="84">
        <v>2707</v>
      </c>
      <c r="H117" s="84">
        <v>0</v>
      </c>
      <c r="I117" s="84">
        <v>0</v>
      </c>
      <c r="J117" s="84">
        <v>3925</v>
      </c>
      <c r="K117" s="84">
        <v>10811</v>
      </c>
      <c r="L117" s="84">
        <v>924</v>
      </c>
      <c r="M117" s="84">
        <v>773</v>
      </c>
      <c r="N117" s="84">
        <v>6000</v>
      </c>
      <c r="O117" s="84">
        <v>3443</v>
      </c>
      <c r="P117" s="84">
        <v>7382</v>
      </c>
      <c r="Q117" s="84">
        <v>2523</v>
      </c>
      <c r="R117" s="84">
        <v>2814</v>
      </c>
      <c r="S117" s="84">
        <v>4747</v>
      </c>
      <c r="T117" s="84">
        <v>5790</v>
      </c>
      <c r="U117" s="84">
        <v>3272</v>
      </c>
      <c r="V117" s="84">
        <v>3502</v>
      </c>
      <c r="W117" s="84">
        <v>5230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0</v>
      </c>
      <c r="N118" s="84">
        <v>5</v>
      </c>
      <c r="O118" s="84">
        <v>16</v>
      </c>
      <c r="P118" s="84">
        <v>4</v>
      </c>
      <c r="Q118" s="84">
        <v>7</v>
      </c>
      <c r="R118" s="84">
        <v>8</v>
      </c>
      <c r="S118" s="84">
        <v>8</v>
      </c>
      <c r="T118" s="84">
        <v>23</v>
      </c>
      <c r="U118" s="84">
        <v>47</v>
      </c>
      <c r="V118" s="84">
        <v>31</v>
      </c>
      <c r="W118" s="84">
        <v>31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18</v>
      </c>
      <c r="N119" s="84">
        <v>45</v>
      </c>
      <c r="O119" s="84">
        <v>45</v>
      </c>
      <c r="P119" s="84">
        <v>101</v>
      </c>
      <c r="Q119" s="84">
        <v>531</v>
      </c>
      <c r="R119" s="84">
        <v>1080</v>
      </c>
      <c r="S119" s="84">
        <v>2530</v>
      </c>
      <c r="T119" s="84">
        <v>5367</v>
      </c>
      <c r="U119" s="84">
        <v>7838</v>
      </c>
      <c r="V119" s="84">
        <v>11858</v>
      </c>
      <c r="W119" s="84">
        <v>15776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28</v>
      </c>
      <c r="K120" s="84">
        <v>1</v>
      </c>
      <c r="L120" s="84">
        <v>719</v>
      </c>
      <c r="M120" s="84">
        <v>203</v>
      </c>
      <c r="N120" s="84">
        <v>66</v>
      </c>
      <c r="O120" s="84">
        <v>167</v>
      </c>
      <c r="P120" s="84">
        <v>198</v>
      </c>
      <c r="Q120" s="84">
        <v>692</v>
      </c>
      <c r="R120" s="84">
        <v>1393</v>
      </c>
      <c r="S120" s="84">
        <v>5057</v>
      </c>
      <c r="T120" s="84">
        <v>9383</v>
      </c>
      <c r="U120" s="84">
        <v>12285</v>
      </c>
      <c r="V120" s="84">
        <v>7908</v>
      </c>
      <c r="W120" s="84">
        <v>13546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1458</v>
      </c>
      <c r="C121" s="110">
        <f t="shared" si="179"/>
        <v>1265</v>
      </c>
      <c r="D121" s="110">
        <f t="shared" si="179"/>
        <v>1016</v>
      </c>
      <c r="E121" s="110">
        <f t="shared" si="179"/>
        <v>1066</v>
      </c>
      <c r="F121" s="110">
        <f t="shared" si="179"/>
        <v>1034</v>
      </c>
      <c r="G121" s="110">
        <f t="shared" si="179"/>
        <v>1026</v>
      </c>
      <c r="H121" s="110">
        <f t="shared" si="179"/>
        <v>719</v>
      </c>
      <c r="I121" s="110">
        <f t="shared" si="179"/>
        <v>727</v>
      </c>
      <c r="J121" s="110">
        <f t="shared" si="179"/>
        <v>796</v>
      </c>
      <c r="K121" s="110">
        <f t="shared" si="179"/>
        <v>629</v>
      </c>
      <c r="L121" s="110">
        <f t="shared" ref="L121" si="180">SUM(L122:L126)</f>
        <v>1037</v>
      </c>
      <c r="M121" s="110">
        <f t="shared" ref="M121:V121" si="181">SUM(M122:M126)</f>
        <v>711</v>
      </c>
      <c r="N121" s="110">
        <f t="shared" si="181"/>
        <v>579</v>
      </c>
      <c r="O121" s="110">
        <f t="shared" si="181"/>
        <v>235</v>
      </c>
      <c r="P121" s="110">
        <f t="shared" si="181"/>
        <v>2812</v>
      </c>
      <c r="Q121" s="110">
        <f t="shared" si="181"/>
        <v>690</v>
      </c>
      <c r="R121" s="110">
        <f t="shared" si="181"/>
        <v>905</v>
      </c>
      <c r="S121" s="110">
        <f t="shared" si="181"/>
        <v>459</v>
      </c>
      <c r="T121" s="110">
        <f t="shared" si="181"/>
        <v>643</v>
      </c>
      <c r="U121" s="110">
        <f t="shared" si="181"/>
        <v>2495</v>
      </c>
      <c r="V121" s="110">
        <f t="shared" si="181"/>
        <v>464</v>
      </c>
      <c r="W121" s="110">
        <f t="shared" ref="W121" si="182">SUM(W122:W126)</f>
        <v>669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6</v>
      </c>
      <c r="M122" s="102">
        <v>0</v>
      </c>
      <c r="N122" s="102">
        <v>0</v>
      </c>
      <c r="O122" s="102">
        <v>1</v>
      </c>
      <c r="P122" s="102">
        <v>0</v>
      </c>
      <c r="Q122" s="102">
        <v>1</v>
      </c>
      <c r="R122" s="102">
        <v>1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1458</v>
      </c>
      <c r="C123" s="102">
        <v>1113</v>
      </c>
      <c r="D123" s="102">
        <v>902</v>
      </c>
      <c r="E123" s="102">
        <v>956</v>
      </c>
      <c r="F123" s="102">
        <v>999</v>
      </c>
      <c r="G123" s="102">
        <v>909</v>
      </c>
      <c r="H123" s="102">
        <v>719</v>
      </c>
      <c r="I123" s="102">
        <v>674</v>
      </c>
      <c r="J123" s="102">
        <v>757</v>
      </c>
      <c r="K123" s="102">
        <v>607</v>
      </c>
      <c r="L123" s="102">
        <v>1012</v>
      </c>
      <c r="M123" s="102">
        <v>711</v>
      </c>
      <c r="N123" s="102">
        <v>568</v>
      </c>
      <c r="O123" s="102">
        <v>234</v>
      </c>
      <c r="P123" s="102">
        <v>2810</v>
      </c>
      <c r="Q123" s="102">
        <v>689</v>
      </c>
      <c r="R123" s="102">
        <v>903</v>
      </c>
      <c r="S123" s="102">
        <v>445</v>
      </c>
      <c r="T123" s="102">
        <v>455</v>
      </c>
      <c r="U123" s="102">
        <v>2253</v>
      </c>
      <c r="V123" s="102">
        <v>329</v>
      </c>
      <c r="W123" s="102">
        <v>407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3</v>
      </c>
      <c r="M124" s="102">
        <v>0</v>
      </c>
      <c r="N124" s="102">
        <v>0</v>
      </c>
      <c r="O124" s="102">
        <v>0</v>
      </c>
      <c r="P124" s="102">
        <v>2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152</v>
      </c>
      <c r="D125" s="102">
        <v>114</v>
      </c>
      <c r="E125" s="102">
        <v>110</v>
      </c>
      <c r="F125" s="102">
        <v>35</v>
      </c>
      <c r="G125" s="102">
        <v>117</v>
      </c>
      <c r="H125" s="102">
        <v>0</v>
      </c>
      <c r="I125" s="102">
        <v>53</v>
      </c>
      <c r="J125" s="102">
        <v>39</v>
      </c>
      <c r="K125" s="102">
        <v>22</v>
      </c>
      <c r="L125" s="102">
        <v>3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129</v>
      </c>
      <c r="U125" s="102">
        <v>207</v>
      </c>
      <c r="V125" s="102">
        <v>110</v>
      </c>
      <c r="W125" s="102">
        <v>224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13</v>
      </c>
      <c r="M126" s="102">
        <v>0</v>
      </c>
      <c r="N126" s="102">
        <v>11</v>
      </c>
      <c r="O126" s="102">
        <v>0</v>
      </c>
      <c r="P126" s="102">
        <v>0</v>
      </c>
      <c r="Q126" s="102">
        <v>0</v>
      </c>
      <c r="R126" s="102">
        <v>0</v>
      </c>
      <c r="S126" s="102">
        <v>14</v>
      </c>
      <c r="T126" s="102">
        <v>59</v>
      </c>
      <c r="U126" s="102">
        <v>34</v>
      </c>
      <c r="V126" s="102">
        <v>25</v>
      </c>
      <c r="W126" s="102">
        <v>38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382</v>
      </c>
      <c r="C127" s="28">
        <f t="shared" si="183"/>
        <v>203664</v>
      </c>
      <c r="D127" s="28">
        <f t="shared" si="183"/>
        <v>39852</v>
      </c>
      <c r="E127" s="28">
        <f t="shared" si="183"/>
        <v>3836</v>
      </c>
      <c r="F127" s="28">
        <f t="shared" si="183"/>
        <v>60585</v>
      </c>
      <c r="G127" s="28">
        <f t="shared" si="183"/>
        <v>114210</v>
      </c>
      <c r="H127" s="28">
        <f t="shared" si="183"/>
        <v>126300</v>
      </c>
      <c r="I127" s="28">
        <f t="shared" si="183"/>
        <v>132472</v>
      </c>
      <c r="J127" s="28">
        <f t="shared" si="183"/>
        <v>117858</v>
      </c>
      <c r="K127" s="28">
        <f t="shared" si="183"/>
        <v>120490</v>
      </c>
      <c r="L127" s="28">
        <f t="shared" ref="L127" si="184">L128+L134</f>
        <v>117281</v>
      </c>
      <c r="M127" s="28">
        <f t="shared" ref="M127:V127" si="185">M128+M134</f>
        <v>97657</v>
      </c>
      <c r="N127" s="28">
        <f t="shared" si="185"/>
        <v>13772</v>
      </c>
      <c r="O127" s="28">
        <f t="shared" si="185"/>
        <v>44581</v>
      </c>
      <c r="P127" s="28">
        <f t="shared" si="185"/>
        <v>206919</v>
      </c>
      <c r="Q127" s="28">
        <f t="shared" si="185"/>
        <v>69402</v>
      </c>
      <c r="R127" s="28">
        <f t="shared" si="185"/>
        <v>99479</v>
      </c>
      <c r="S127" s="28">
        <f t="shared" si="185"/>
        <v>124189</v>
      </c>
      <c r="T127" s="28">
        <f t="shared" si="185"/>
        <v>129240</v>
      </c>
      <c r="U127" s="28">
        <f t="shared" si="185"/>
        <v>237551</v>
      </c>
      <c r="V127" s="28">
        <f t="shared" si="185"/>
        <v>25938</v>
      </c>
      <c r="W127" s="28">
        <f t="shared" ref="W127" si="186">W128+W134</f>
        <v>35153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196092</v>
      </c>
      <c r="D128" s="137">
        <f t="shared" si="187"/>
        <v>35629</v>
      </c>
      <c r="E128" s="137">
        <f t="shared" si="187"/>
        <v>2092</v>
      </c>
      <c r="F128" s="137">
        <f t="shared" si="187"/>
        <v>52576</v>
      </c>
      <c r="G128" s="137">
        <f t="shared" si="187"/>
        <v>107592</v>
      </c>
      <c r="H128" s="137">
        <f t="shared" si="187"/>
        <v>119012</v>
      </c>
      <c r="I128" s="137">
        <f t="shared" si="187"/>
        <v>124659</v>
      </c>
      <c r="J128" s="137">
        <f t="shared" si="187"/>
        <v>111033</v>
      </c>
      <c r="K128" s="137">
        <f t="shared" si="187"/>
        <v>112563</v>
      </c>
      <c r="L128" s="137">
        <f t="shared" ref="L128" si="188">SUM(L129:L133)</f>
        <v>109854</v>
      </c>
      <c r="M128" s="137">
        <f t="shared" ref="M128:V128" si="189">SUM(M129:M133)</f>
        <v>93629</v>
      </c>
      <c r="N128" s="137">
        <f t="shared" si="189"/>
        <v>12922</v>
      </c>
      <c r="O128" s="137">
        <f t="shared" si="189"/>
        <v>42502</v>
      </c>
      <c r="P128" s="137">
        <f t="shared" si="189"/>
        <v>195905</v>
      </c>
      <c r="Q128" s="137">
        <f t="shared" si="189"/>
        <v>63146</v>
      </c>
      <c r="R128" s="137">
        <f t="shared" si="189"/>
        <v>92263</v>
      </c>
      <c r="S128" s="137">
        <f t="shared" si="189"/>
        <v>111573</v>
      </c>
      <c r="T128" s="137">
        <f t="shared" si="189"/>
        <v>117375</v>
      </c>
      <c r="U128" s="137">
        <f t="shared" si="189"/>
        <v>218526</v>
      </c>
      <c r="V128" s="137">
        <f t="shared" si="189"/>
        <v>24932</v>
      </c>
      <c r="W128" s="137">
        <f t="shared" ref="W128" si="190">SUM(W129:W133)</f>
        <v>32542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792</v>
      </c>
      <c r="D129" s="84">
        <v>3</v>
      </c>
      <c r="E129" s="84">
        <v>2009</v>
      </c>
      <c r="F129" s="84">
        <v>0</v>
      </c>
      <c r="G129" s="84">
        <v>1157</v>
      </c>
      <c r="H129" s="84">
        <v>1453</v>
      </c>
      <c r="I129" s="84">
        <v>1527</v>
      </c>
      <c r="J129" s="84">
        <v>1315</v>
      </c>
      <c r="K129" s="84">
        <v>1326</v>
      </c>
      <c r="L129" s="84">
        <v>1261</v>
      </c>
      <c r="M129" s="84">
        <v>0</v>
      </c>
      <c r="N129" s="84">
        <v>2</v>
      </c>
      <c r="O129" s="84">
        <v>0</v>
      </c>
      <c r="P129" s="84">
        <v>370</v>
      </c>
      <c r="Q129" s="84">
        <v>1978</v>
      </c>
      <c r="R129" s="84">
        <v>424</v>
      </c>
      <c r="S129" s="84">
        <v>1696</v>
      </c>
      <c r="T129" s="84">
        <v>467</v>
      </c>
      <c r="U129" s="84">
        <v>5280</v>
      </c>
      <c r="V129" s="84">
        <v>81</v>
      </c>
      <c r="W129" s="84">
        <v>83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195262</v>
      </c>
      <c r="D130" s="84">
        <v>35601</v>
      </c>
      <c r="E130" s="84">
        <v>0</v>
      </c>
      <c r="F130" s="84">
        <v>52571</v>
      </c>
      <c r="G130" s="84">
        <v>106375</v>
      </c>
      <c r="H130" s="84">
        <v>117492</v>
      </c>
      <c r="I130" s="84">
        <v>123061</v>
      </c>
      <c r="J130" s="84">
        <v>109657</v>
      </c>
      <c r="K130" s="84">
        <v>111174</v>
      </c>
      <c r="L130" s="84">
        <v>108559</v>
      </c>
      <c r="M130" s="84">
        <v>93591</v>
      </c>
      <c r="N130" s="84">
        <v>12900</v>
      </c>
      <c r="O130" s="84">
        <v>42440</v>
      </c>
      <c r="P130" s="84">
        <v>195423</v>
      </c>
      <c r="Q130" s="84">
        <v>61006</v>
      </c>
      <c r="R130" s="84">
        <v>91756</v>
      </c>
      <c r="S130" s="84">
        <v>109383</v>
      </c>
      <c r="T130" s="84">
        <v>116282</v>
      </c>
      <c r="U130" s="84">
        <v>212636</v>
      </c>
      <c r="V130" s="84">
        <v>24463</v>
      </c>
      <c r="W130" s="84">
        <v>32050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38</v>
      </c>
      <c r="D131" s="84">
        <v>25</v>
      </c>
      <c r="E131" s="84">
        <v>83</v>
      </c>
      <c r="F131" s="84">
        <v>5</v>
      </c>
      <c r="G131" s="84">
        <v>60</v>
      </c>
      <c r="H131" s="84">
        <v>67</v>
      </c>
      <c r="I131" s="84">
        <v>71</v>
      </c>
      <c r="J131" s="84">
        <v>61</v>
      </c>
      <c r="K131" s="84">
        <v>63</v>
      </c>
      <c r="L131" s="84">
        <v>34</v>
      </c>
      <c r="M131" s="84">
        <v>33</v>
      </c>
      <c r="N131" s="84">
        <v>4</v>
      </c>
      <c r="O131" s="84">
        <v>13</v>
      </c>
      <c r="P131" s="84">
        <v>76</v>
      </c>
      <c r="Q131" s="84">
        <v>75</v>
      </c>
      <c r="R131" s="84">
        <v>14</v>
      </c>
      <c r="S131" s="84">
        <v>54</v>
      </c>
      <c r="T131" s="84">
        <v>58</v>
      </c>
      <c r="U131" s="84">
        <v>196</v>
      </c>
      <c r="V131" s="84">
        <v>0</v>
      </c>
      <c r="W131" s="84">
        <v>5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5</v>
      </c>
      <c r="P132" s="84">
        <v>8</v>
      </c>
      <c r="Q132" s="84">
        <v>7</v>
      </c>
      <c r="R132" s="84">
        <v>14</v>
      </c>
      <c r="S132" s="84">
        <v>4</v>
      </c>
      <c r="T132" s="84">
        <v>17</v>
      </c>
      <c r="U132" s="84">
        <v>33</v>
      </c>
      <c r="V132" s="84">
        <v>9</v>
      </c>
      <c r="W132" s="84">
        <v>39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5</v>
      </c>
      <c r="N133" s="84">
        <v>16</v>
      </c>
      <c r="O133" s="84">
        <v>44</v>
      </c>
      <c r="P133" s="84">
        <v>28</v>
      </c>
      <c r="Q133" s="84">
        <v>80</v>
      </c>
      <c r="R133" s="84">
        <v>55</v>
      </c>
      <c r="S133" s="84">
        <v>436</v>
      </c>
      <c r="T133" s="84">
        <v>551</v>
      </c>
      <c r="U133" s="84">
        <v>381</v>
      </c>
      <c r="V133" s="84">
        <v>379</v>
      </c>
      <c r="W133" s="84">
        <v>365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382</v>
      </c>
      <c r="C134" s="110">
        <f t="shared" si="191"/>
        <v>7572</v>
      </c>
      <c r="D134" s="110">
        <f t="shared" si="191"/>
        <v>4223</v>
      </c>
      <c r="E134" s="110">
        <f t="shared" si="191"/>
        <v>1744</v>
      </c>
      <c r="F134" s="110">
        <f t="shared" si="191"/>
        <v>8009</v>
      </c>
      <c r="G134" s="110">
        <f t="shared" si="191"/>
        <v>6618</v>
      </c>
      <c r="H134" s="110">
        <f t="shared" si="191"/>
        <v>7288</v>
      </c>
      <c r="I134" s="110">
        <f t="shared" si="191"/>
        <v>7813</v>
      </c>
      <c r="J134" s="110">
        <f t="shared" si="191"/>
        <v>6825</v>
      </c>
      <c r="K134" s="110">
        <f t="shared" si="191"/>
        <v>7927</v>
      </c>
      <c r="L134" s="110">
        <f t="shared" ref="L134" si="192">SUM(L135:L136)</f>
        <v>7427</v>
      </c>
      <c r="M134" s="110">
        <f t="shared" ref="M134:V134" si="193">SUM(M135:M136)</f>
        <v>4028</v>
      </c>
      <c r="N134" s="110">
        <f t="shared" si="193"/>
        <v>850</v>
      </c>
      <c r="O134" s="110">
        <f t="shared" si="193"/>
        <v>2079</v>
      </c>
      <c r="P134" s="110">
        <f t="shared" si="193"/>
        <v>11014</v>
      </c>
      <c r="Q134" s="110">
        <f t="shared" si="193"/>
        <v>6256</v>
      </c>
      <c r="R134" s="110">
        <f t="shared" si="193"/>
        <v>7216</v>
      </c>
      <c r="S134" s="110">
        <f t="shared" si="193"/>
        <v>12616</v>
      </c>
      <c r="T134" s="110">
        <f t="shared" si="193"/>
        <v>11865</v>
      </c>
      <c r="U134" s="110">
        <f t="shared" si="193"/>
        <v>19025</v>
      </c>
      <c r="V134" s="110">
        <f t="shared" si="193"/>
        <v>1006</v>
      </c>
      <c r="W134" s="110">
        <f t="shared" ref="W134" si="194">SUM(W135:W136)</f>
        <v>2611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6739</v>
      </c>
      <c r="D135" s="102">
        <v>3385</v>
      </c>
      <c r="E135" s="102">
        <v>972</v>
      </c>
      <c r="F135" s="102">
        <v>6501</v>
      </c>
      <c r="G135" s="102">
        <v>5711</v>
      </c>
      <c r="H135" s="102">
        <v>6191</v>
      </c>
      <c r="I135" s="102">
        <v>6548</v>
      </c>
      <c r="J135" s="102">
        <v>6825</v>
      </c>
      <c r="K135" s="102">
        <v>7130</v>
      </c>
      <c r="L135" s="102">
        <v>7145</v>
      </c>
      <c r="M135" s="102">
        <v>2924</v>
      </c>
      <c r="N135" s="102">
        <v>850</v>
      </c>
      <c r="O135" s="102">
        <v>693</v>
      </c>
      <c r="P135" s="102">
        <v>10087</v>
      </c>
      <c r="Q135" s="102">
        <v>5986</v>
      </c>
      <c r="R135" s="102">
        <v>6048</v>
      </c>
      <c r="S135" s="102">
        <v>12023</v>
      </c>
      <c r="T135" s="102">
        <v>10999</v>
      </c>
      <c r="U135" s="102">
        <v>18234</v>
      </c>
      <c r="V135" s="102">
        <v>1006</v>
      </c>
      <c r="W135" s="102">
        <v>1082</v>
      </c>
      <c r="DA135" s="175" t="s">
        <v>549</v>
      </c>
    </row>
    <row r="136" spans="1:105" ht="11.45" customHeight="1" x14ac:dyDescent="0.25">
      <c r="A136" s="138" t="s">
        <v>116</v>
      </c>
      <c r="B136" s="86">
        <v>382</v>
      </c>
      <c r="C136" s="86">
        <v>833</v>
      </c>
      <c r="D136" s="86">
        <v>838</v>
      </c>
      <c r="E136" s="86">
        <v>772</v>
      </c>
      <c r="F136" s="86">
        <v>1508</v>
      </c>
      <c r="G136" s="86">
        <v>907</v>
      </c>
      <c r="H136" s="86">
        <v>1097</v>
      </c>
      <c r="I136" s="86">
        <v>1265</v>
      </c>
      <c r="J136" s="86">
        <v>0</v>
      </c>
      <c r="K136" s="86">
        <v>797</v>
      </c>
      <c r="L136" s="86">
        <v>282</v>
      </c>
      <c r="M136" s="86">
        <v>1104</v>
      </c>
      <c r="N136" s="86">
        <v>0</v>
      </c>
      <c r="O136" s="86">
        <v>1386</v>
      </c>
      <c r="P136" s="86">
        <v>927</v>
      </c>
      <c r="Q136" s="86">
        <v>270</v>
      </c>
      <c r="R136" s="86">
        <v>1168</v>
      </c>
      <c r="S136" s="86">
        <v>593</v>
      </c>
      <c r="T136" s="86">
        <v>866</v>
      </c>
      <c r="U136" s="86">
        <v>791</v>
      </c>
      <c r="V136" s="86">
        <v>0</v>
      </c>
      <c r="W136" s="86">
        <v>1529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1.6425360675547505</v>
      </c>
      <c r="C141" s="32">
        <f t="shared" si="195"/>
        <v>1.658385212103461</v>
      </c>
      <c r="D141" s="32">
        <f t="shared" si="195"/>
        <v>1.5889071385017384</v>
      </c>
      <c r="E141" s="32">
        <f t="shared" si="195"/>
        <v>1.6067556280835069</v>
      </c>
      <c r="F141" s="32">
        <f t="shared" si="195"/>
        <v>1.5860285127766951</v>
      </c>
      <c r="G141" s="32">
        <f t="shared" si="195"/>
        <v>1.5221836204649046</v>
      </c>
      <c r="H141" s="32">
        <f t="shared" si="195"/>
        <v>1.5166052500175105</v>
      </c>
      <c r="I141" s="32">
        <f t="shared" si="195"/>
        <v>1.5293075130821332</v>
      </c>
      <c r="J141" s="32">
        <f t="shared" si="195"/>
        <v>1.5118773282714442</v>
      </c>
      <c r="K141" s="32">
        <f t="shared" si="195"/>
        <v>1.459358739252707</v>
      </c>
      <c r="L141" s="32">
        <f t="shared" ref="L141" si="196">IF(L4=0,0,L4/L31)</f>
        <v>1.3953825048762141</v>
      </c>
      <c r="M141" s="32">
        <f t="shared" ref="M141:V141" si="197">IF(M4=0,0,M4/M31)</f>
        <v>1.4185590674658743</v>
      </c>
      <c r="N141" s="32">
        <f t="shared" si="197"/>
        <v>1.5132571092934626</v>
      </c>
      <c r="O141" s="32">
        <f t="shared" si="197"/>
        <v>1.5016538463698772</v>
      </c>
      <c r="P141" s="32">
        <f t="shared" si="197"/>
        <v>1.4624170034254156</v>
      </c>
      <c r="Q141" s="32">
        <f t="shared" si="197"/>
        <v>1.4831932243804673</v>
      </c>
      <c r="R141" s="32">
        <f t="shared" si="197"/>
        <v>1.527992806500619</v>
      </c>
      <c r="S141" s="32">
        <f t="shared" si="197"/>
        <v>1.5170062663671839</v>
      </c>
      <c r="T141" s="32">
        <f t="shared" si="197"/>
        <v>1.5549916114692428</v>
      </c>
      <c r="U141" s="32">
        <f t="shared" si="197"/>
        <v>1.5549306869364445</v>
      </c>
      <c r="V141" s="32">
        <f t="shared" si="197"/>
        <v>1.5095471501142914</v>
      </c>
      <c r="W141" s="32">
        <f t="shared" ref="W141" si="198">IF(W4=0,0,W4/W31)</f>
        <v>1.5497207645950104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1.2051623672106277</v>
      </c>
      <c r="C142" s="141">
        <v>1.2051392519217532</v>
      </c>
      <c r="D142" s="141">
        <v>1.2049298431364222</v>
      </c>
      <c r="E142" s="141">
        <v>1.2054358769600164</v>
      </c>
      <c r="F142" s="141">
        <v>1.2055973067663732</v>
      </c>
      <c r="G142" s="141">
        <v>1.2045056063339166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1.2079899717478595</v>
      </c>
      <c r="L142" s="141">
        <v>1.2059146553065254</v>
      </c>
      <c r="M142" s="141">
        <v>1.2048582714100036</v>
      </c>
      <c r="N142" s="141">
        <v>1.1974221301460344</v>
      </c>
      <c r="O142" s="141">
        <v>1.1968061309351143</v>
      </c>
      <c r="P142" s="141">
        <v>1.1994047292847665</v>
      </c>
      <c r="Q142" s="141">
        <v>1.2014776903379958</v>
      </c>
      <c r="R142" s="141">
        <v>1.2031837907927954</v>
      </c>
      <c r="S142" s="141">
        <v>1.2017444247123863</v>
      </c>
      <c r="T142" s="141">
        <v>1.2004722498515097</v>
      </c>
      <c r="U142" s="141">
        <v>1.2016220916480089</v>
      </c>
      <c r="V142" s="141">
        <v>1.2002742981053756</v>
      </c>
      <c r="W142" s="141">
        <v>1.2004128483006848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1.4326066155455577</v>
      </c>
      <c r="C143" s="130">
        <f t="shared" si="199"/>
        <v>1.4654154538244968</v>
      </c>
      <c r="D143" s="130">
        <f t="shared" si="199"/>
        <v>1.432238501511282</v>
      </c>
      <c r="E143" s="130">
        <f t="shared" si="199"/>
        <v>1.446388408094561</v>
      </c>
      <c r="F143" s="130">
        <f t="shared" si="199"/>
        <v>1.4259156019245223</v>
      </c>
      <c r="G143" s="130">
        <f t="shared" si="199"/>
        <v>1.4331023202622368</v>
      </c>
      <c r="H143" s="130">
        <f t="shared" si="199"/>
        <v>1.4340081978938288</v>
      </c>
      <c r="I143" s="130">
        <f t="shared" si="199"/>
        <v>1.4437560905371574</v>
      </c>
      <c r="J143" s="130">
        <f t="shared" si="199"/>
        <v>1.4269830666124546</v>
      </c>
      <c r="K143" s="130">
        <f t="shared" si="199"/>
        <v>1.3788078764212164</v>
      </c>
      <c r="L143" s="130">
        <f t="shared" ref="L143" si="200">IF(L6=0,0,L6/L33)</f>
        <v>1.3134565561704388</v>
      </c>
      <c r="M143" s="130">
        <f t="shared" ref="M143:V143" si="201">IF(M6=0,0,M6/M33)</f>
        <v>1.3388893094923493</v>
      </c>
      <c r="N143" s="130">
        <f t="shared" si="201"/>
        <v>1.4289659778095194</v>
      </c>
      <c r="O143" s="130">
        <f t="shared" si="201"/>
        <v>1.4141010520185084</v>
      </c>
      <c r="P143" s="130">
        <f t="shared" si="201"/>
        <v>1.3844612251666721</v>
      </c>
      <c r="Q143" s="130">
        <f t="shared" si="201"/>
        <v>1.4085867848591396</v>
      </c>
      <c r="R143" s="130">
        <f t="shared" si="201"/>
        <v>1.4607370737998364</v>
      </c>
      <c r="S143" s="130">
        <f t="shared" si="201"/>
        <v>1.4373865033404933</v>
      </c>
      <c r="T143" s="130">
        <f t="shared" si="201"/>
        <v>1.4707820989974094</v>
      </c>
      <c r="U143" s="130">
        <f t="shared" si="201"/>
        <v>1.472720507151676</v>
      </c>
      <c r="V143" s="130">
        <f t="shared" si="201"/>
        <v>1.4598123997812549</v>
      </c>
      <c r="W143" s="130">
        <f t="shared" ref="W143" si="202">IF(W6=0,0,W6/W33)</f>
        <v>1.4757121313606696</v>
      </c>
      <c r="DA143" s="176" t="s">
        <v>553</v>
      </c>
    </row>
    <row r="144" spans="1:105" ht="11.45" customHeight="1" x14ac:dyDescent="0.25">
      <c r="A144" s="111" t="s">
        <v>110</v>
      </c>
      <c r="B144" s="96">
        <v>1.4101371499293009</v>
      </c>
      <c r="C144" s="96">
        <v>1.4403004448380885</v>
      </c>
      <c r="D144" s="96">
        <v>1.4062552287238119</v>
      </c>
      <c r="E144" s="96">
        <v>1.4177678087685806</v>
      </c>
      <c r="F144" s="96">
        <v>1.3953072703277427</v>
      </c>
      <c r="G144" s="96">
        <v>1.3998321558113158</v>
      </c>
      <c r="H144" s="96">
        <v>1.3980912220343757</v>
      </c>
      <c r="I144" s="96">
        <v>1.4058450600994974</v>
      </c>
      <c r="J144" s="96">
        <v>1.3877105986846545</v>
      </c>
      <c r="K144" s="96">
        <v>1.3401230261450301</v>
      </c>
      <c r="L144" s="96">
        <v>1.2754652016699233</v>
      </c>
      <c r="M144" s="96">
        <v>1.2987066181180689</v>
      </c>
      <c r="N144" s="96">
        <v>1.3861026878737808</v>
      </c>
      <c r="O144" s="96">
        <v>1.3711463843539184</v>
      </c>
      <c r="P144" s="96">
        <v>1.3417506280729488</v>
      </c>
      <c r="Q144" s="96">
        <v>1.3650333711562279</v>
      </c>
      <c r="R144" s="96">
        <v>1.4147226724971582</v>
      </c>
      <c r="S144" s="96">
        <v>1.3915438349136957</v>
      </c>
      <c r="T144" s="96">
        <v>1.4238383955845577</v>
      </c>
      <c r="U144" s="96">
        <v>1.4262750769492809</v>
      </c>
      <c r="V144" s="96">
        <v>1.4132487501181881</v>
      </c>
      <c r="W144" s="96">
        <v>1.4301194100926868</v>
      </c>
      <c r="DA144" s="171" t="s">
        <v>554</v>
      </c>
    </row>
    <row r="145" spans="1:105" ht="11.45" customHeight="1" x14ac:dyDescent="0.25">
      <c r="A145" s="111" t="s">
        <v>111</v>
      </c>
      <c r="B145" s="96">
        <v>1.4743184889656527</v>
      </c>
      <c r="C145" s="96">
        <v>1.5058546437108702</v>
      </c>
      <c r="D145" s="96">
        <v>1.4702598850162087</v>
      </c>
      <c r="E145" s="96">
        <v>1.4822964515420611</v>
      </c>
      <c r="F145" s="96">
        <v>1.458813638471637</v>
      </c>
      <c r="G145" s="96">
        <v>1.4635444707380008</v>
      </c>
      <c r="H145" s="96">
        <v>1.4617242996606434</v>
      </c>
      <c r="I145" s="96">
        <v>1.4698310478733467</v>
      </c>
      <c r="J145" s="96">
        <v>1.4508712099932664</v>
      </c>
      <c r="K145" s="96">
        <v>1.4011177246364133</v>
      </c>
      <c r="L145" s="96">
        <v>1.3335170475783515</v>
      </c>
      <c r="M145" s="96">
        <v>1.3578162797352873</v>
      </c>
      <c r="N145" s="96">
        <v>1.4491901163229117</v>
      </c>
      <c r="O145" s="96">
        <v>1.4335530878203853</v>
      </c>
      <c r="P145" s="96">
        <v>1.4028194056502967</v>
      </c>
      <c r="Q145" s="96">
        <v>1.4271618453932933</v>
      </c>
      <c r="R145" s="96">
        <v>1.4791127181678976</v>
      </c>
      <c r="S145" s="96">
        <v>1.4548789131059261</v>
      </c>
      <c r="T145" s="96">
        <v>1.488643336582367</v>
      </c>
      <c r="U145" s="96">
        <v>1.4911909216792558</v>
      </c>
      <c r="V145" s="96">
        <v>1.4775717113128375</v>
      </c>
      <c r="W145" s="96">
        <v>1.4952102267740486</v>
      </c>
      <c r="DA145" s="171" t="s">
        <v>555</v>
      </c>
    </row>
    <row r="146" spans="1:105" ht="11.45" customHeight="1" x14ac:dyDescent="0.25">
      <c r="A146" s="111" t="s">
        <v>112</v>
      </c>
      <c r="B146" s="96">
        <v>1.3896284170791908</v>
      </c>
      <c r="C146" s="96">
        <v>1.4214529902097619</v>
      </c>
      <c r="D146" s="96">
        <v>1.3892713464659434</v>
      </c>
      <c r="E146" s="96">
        <v>1.4029967558517245</v>
      </c>
      <c r="F146" s="96">
        <v>1.3831381338667865</v>
      </c>
      <c r="G146" s="96">
        <v>1.3901092506543697</v>
      </c>
      <c r="H146" s="96">
        <v>1.3909879519570139</v>
      </c>
      <c r="I146" s="96">
        <v>1.4004434078210424</v>
      </c>
      <c r="J146" s="96">
        <v>1.3841735746140806</v>
      </c>
      <c r="K146" s="96">
        <v>1.3374436401285799</v>
      </c>
      <c r="L146" s="96">
        <v>1.2740528594853255</v>
      </c>
      <c r="M146" s="96">
        <v>1.2987226302075787</v>
      </c>
      <c r="N146" s="96">
        <v>1.3860969984752338</v>
      </c>
      <c r="O146" s="96">
        <v>1.3716780204579528</v>
      </c>
      <c r="P146" s="96">
        <v>1.3429273884116719</v>
      </c>
      <c r="Q146" s="96">
        <v>1.3663291813133653</v>
      </c>
      <c r="R146" s="96">
        <v>1.416914961585841</v>
      </c>
      <c r="S146" s="96">
        <v>1.394264908240278</v>
      </c>
      <c r="T146" s="96">
        <v>1.4266586360274873</v>
      </c>
      <c r="U146" s="96">
        <v>1.4285388919371256</v>
      </c>
      <c r="V146" s="96">
        <v>1.4160180277878174</v>
      </c>
      <c r="W146" s="96">
        <v>1.4314407674198495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1.2740528594853255</v>
      </c>
      <c r="M147" s="96">
        <v>1.2987226302075787</v>
      </c>
      <c r="N147" s="96">
        <v>1.3860969984752338</v>
      </c>
      <c r="O147" s="96">
        <v>1.3716780204579528</v>
      </c>
      <c r="P147" s="96">
        <v>1.3429273884116719</v>
      </c>
      <c r="Q147" s="96">
        <v>1.3663291813133653</v>
      </c>
      <c r="R147" s="96">
        <v>1.416914961585841</v>
      </c>
      <c r="S147" s="96">
        <v>1.394264908240278</v>
      </c>
      <c r="T147" s="96">
        <v>1.4266586360274873</v>
      </c>
      <c r="U147" s="96">
        <v>1.4285388919371254</v>
      </c>
      <c r="V147" s="96">
        <v>1.4160180277878174</v>
      </c>
      <c r="W147" s="96">
        <v>1.4314407674198495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1.2987226302075787</v>
      </c>
      <c r="N148" s="96">
        <v>1.3860969984752338</v>
      </c>
      <c r="O148" s="96">
        <v>1.3716780204579528</v>
      </c>
      <c r="P148" s="96">
        <v>1.3429273884116719</v>
      </c>
      <c r="Q148" s="96">
        <v>1.3663291813133653</v>
      </c>
      <c r="R148" s="96">
        <v>1.416914961585841</v>
      </c>
      <c r="S148" s="96">
        <v>1.394264908240278</v>
      </c>
      <c r="T148" s="96">
        <v>1.4266586360274873</v>
      </c>
      <c r="U148" s="96">
        <v>1.4285388919371254</v>
      </c>
      <c r="V148" s="96">
        <v>1.4160180277878174</v>
      </c>
      <c r="W148" s="96">
        <v>1.4314407674198495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1.2842847599512088</v>
      </c>
      <c r="K149" s="96">
        <v>1.2409270887790949</v>
      </c>
      <c r="L149" s="96">
        <v>1.182110900553395</v>
      </c>
      <c r="M149" s="96">
        <v>1.2050003785431145</v>
      </c>
      <c r="N149" s="96">
        <v>1.2860693800285674</v>
      </c>
      <c r="O149" s="96">
        <v>1.2726909468166574</v>
      </c>
      <c r="P149" s="96">
        <v>1.246015102650005</v>
      </c>
      <c r="Q149" s="96">
        <v>1.2677281063732257</v>
      </c>
      <c r="R149" s="96">
        <v>1.3146633664198524</v>
      </c>
      <c r="S149" s="96">
        <v>1.2936478530064437</v>
      </c>
      <c r="T149" s="96">
        <v>1.3237038890976687</v>
      </c>
      <c r="U149" s="96">
        <v>1.3254484564365081</v>
      </c>
      <c r="V149" s="96">
        <v>1.3138311598031296</v>
      </c>
      <c r="W149" s="96">
        <v>1.3281409182246027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22.964230615552321</v>
      </c>
      <c r="C150" s="130">
        <f t="shared" si="203"/>
        <v>21.01706254068948</v>
      </c>
      <c r="D150" s="130">
        <f t="shared" si="203"/>
        <v>18.500771842173325</v>
      </c>
      <c r="E150" s="130">
        <f t="shared" si="203"/>
        <v>19.754170573874756</v>
      </c>
      <c r="F150" s="130">
        <f t="shared" si="203"/>
        <v>20.52306258210761</v>
      </c>
      <c r="G150" s="130">
        <f t="shared" si="203"/>
        <v>18.712268286526587</v>
      </c>
      <c r="H150" s="130">
        <f t="shared" si="203"/>
        <v>17.738801279597453</v>
      </c>
      <c r="I150" s="130">
        <f t="shared" si="203"/>
        <v>17.788073058288806</v>
      </c>
      <c r="J150" s="130">
        <f t="shared" si="203"/>
        <v>17.168532526569795</v>
      </c>
      <c r="K150" s="130">
        <f t="shared" si="203"/>
        <v>15.960392396599701</v>
      </c>
      <c r="L150" s="130">
        <f t="shared" ref="L150" si="204">IF(L13=0,0,L13/L40)</f>
        <v>15.573284284797415</v>
      </c>
      <c r="M150" s="130">
        <f t="shared" ref="M150:V150" si="205">IF(M13=0,0,M13/M40)</f>
        <v>14.95134497153388</v>
      </c>
      <c r="N150" s="130">
        <f t="shared" si="205"/>
        <v>18.072646246512214</v>
      </c>
      <c r="O150" s="130">
        <f t="shared" si="205"/>
        <v>19.457226379430132</v>
      </c>
      <c r="P150" s="130">
        <f t="shared" si="205"/>
        <v>15.066910452826294</v>
      </c>
      <c r="Q150" s="130">
        <f t="shared" si="205"/>
        <v>14.514200696086501</v>
      </c>
      <c r="R150" s="130">
        <f t="shared" si="205"/>
        <v>13.308738643778545</v>
      </c>
      <c r="S150" s="130">
        <f t="shared" si="205"/>
        <v>15.11282761300979</v>
      </c>
      <c r="T150" s="130">
        <f t="shared" si="205"/>
        <v>15.148425277192029</v>
      </c>
      <c r="U150" s="130">
        <f t="shared" si="205"/>
        <v>16.784653028277376</v>
      </c>
      <c r="V150" s="130">
        <f t="shared" si="205"/>
        <v>12.704346372450685</v>
      </c>
      <c r="W150" s="130">
        <f t="shared" ref="W150" si="206">IF(W13=0,0,W13/W40)</f>
        <v>14.62416868587926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6.5989724724922088</v>
      </c>
      <c r="M151" s="97">
        <v>6.5750517296743798</v>
      </c>
      <c r="N151" s="97">
        <v>6.9510177871200831</v>
      </c>
      <c r="O151" s="97">
        <v>7.4835486074731259</v>
      </c>
      <c r="P151" s="97">
        <v>6.5794965558779337</v>
      </c>
      <c r="Q151" s="97">
        <v>6.5582384883110194</v>
      </c>
      <c r="R151" s="97">
        <v>6.5118745632222517</v>
      </c>
      <c r="S151" s="97">
        <v>6.5812626005003763</v>
      </c>
      <c r="T151" s="97">
        <v>6.5826317414304629</v>
      </c>
      <c r="U151" s="97">
        <v>6.6455635780106688</v>
      </c>
      <c r="V151" s="97">
        <v>6.4886287066327188</v>
      </c>
      <c r="W151" s="97">
        <v>6.562468026379972</v>
      </c>
      <c r="DA151" s="175" t="s">
        <v>561</v>
      </c>
    </row>
    <row r="152" spans="1:105" ht="11.45" customHeight="1" x14ac:dyDescent="0.25">
      <c r="A152" s="111" t="s">
        <v>111</v>
      </c>
      <c r="B152" s="97">
        <v>22.964230615552324</v>
      </c>
      <c r="C152" s="97">
        <v>21.017062540689476</v>
      </c>
      <c r="D152" s="97">
        <v>18.500771842173325</v>
      </c>
      <c r="E152" s="97">
        <v>19.754170573874756</v>
      </c>
      <c r="F152" s="97">
        <v>20.52306258210761</v>
      </c>
      <c r="G152" s="97">
        <v>18.712268286526587</v>
      </c>
      <c r="H152" s="97">
        <v>17.738801279597457</v>
      </c>
      <c r="I152" s="97">
        <v>17.788073058288806</v>
      </c>
      <c r="J152" s="97">
        <v>17.168532526569795</v>
      </c>
      <c r="K152" s="97">
        <v>15.960392396599701</v>
      </c>
      <c r="L152" s="97">
        <v>15.574908699199913</v>
      </c>
      <c r="M152" s="97">
        <v>14.952903870415399</v>
      </c>
      <c r="N152" s="97">
        <v>18.075200808943041</v>
      </c>
      <c r="O152" s="97">
        <v>19.460541808180199</v>
      </c>
      <c r="P152" s="97">
        <v>15.068847733254346</v>
      </c>
      <c r="Q152" s="97">
        <v>14.516334898294133</v>
      </c>
      <c r="R152" s="97">
        <v>13.310757825487412</v>
      </c>
      <c r="S152" s="97">
        <v>15.115006748717725</v>
      </c>
      <c r="T152" s="97">
        <v>15.150561149344899</v>
      </c>
      <c r="U152" s="97">
        <v>16.787098595223281</v>
      </c>
      <c r="V152" s="97">
        <v>12.705883894878363</v>
      </c>
      <c r="W152" s="97">
        <v>14.626130479957762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15.574908699199911</v>
      </c>
      <c r="M153" s="97">
        <v>14.952903870415401</v>
      </c>
      <c r="N153" s="97">
        <v>18.075200808943038</v>
      </c>
      <c r="O153" s="97">
        <v>19.460541808180196</v>
      </c>
      <c r="P153" s="97">
        <v>15.068847733254346</v>
      </c>
      <c r="Q153" s="97">
        <v>14.516334898294133</v>
      </c>
      <c r="R153" s="97">
        <v>13.310757825487412</v>
      </c>
      <c r="S153" s="97">
        <v>15.115006748717727</v>
      </c>
      <c r="T153" s="97">
        <v>15.150561149344897</v>
      </c>
      <c r="U153" s="97">
        <v>16.787098595223281</v>
      </c>
      <c r="V153" s="97">
        <v>12.705883894878362</v>
      </c>
      <c r="W153" s="97">
        <v>14.62613047995776</v>
      </c>
      <c r="DA153" s="175" t="s">
        <v>563</v>
      </c>
    </row>
    <row r="154" spans="1:105" ht="11.45" customHeight="1" x14ac:dyDescent="0.25">
      <c r="A154" s="111" t="s">
        <v>113</v>
      </c>
      <c r="B154" s="97">
        <v>22.964230615552321</v>
      </c>
      <c r="C154" s="97">
        <v>21.01706254068948</v>
      </c>
      <c r="D154" s="97">
        <v>18.500771842173325</v>
      </c>
      <c r="E154" s="97">
        <v>19.754170573874756</v>
      </c>
      <c r="F154" s="97">
        <v>20.52306258210761</v>
      </c>
      <c r="G154" s="97">
        <v>18.712268286526587</v>
      </c>
      <c r="H154" s="97">
        <v>17.738801279597453</v>
      </c>
      <c r="I154" s="97">
        <v>17.788073058288802</v>
      </c>
      <c r="J154" s="97">
        <v>17.168532526569795</v>
      </c>
      <c r="K154" s="97">
        <v>15.960392396599703</v>
      </c>
      <c r="L154" s="97">
        <v>15.574908699199911</v>
      </c>
      <c r="M154" s="97">
        <v>14.952903870415399</v>
      </c>
      <c r="N154" s="97">
        <v>18.075200808943038</v>
      </c>
      <c r="O154" s="97">
        <v>19.460541808180196</v>
      </c>
      <c r="P154" s="97">
        <v>15.068847733254346</v>
      </c>
      <c r="Q154" s="97">
        <v>14.516334898294135</v>
      </c>
      <c r="R154" s="97">
        <v>13.310757825487412</v>
      </c>
      <c r="S154" s="97">
        <v>15.115006748717727</v>
      </c>
      <c r="T154" s="97">
        <v>15.150561149344895</v>
      </c>
      <c r="U154" s="97">
        <v>16.787098595223281</v>
      </c>
      <c r="V154" s="97">
        <v>12.705883894878362</v>
      </c>
      <c r="W154" s="97">
        <v>14.62613047995776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15.574908699199913</v>
      </c>
      <c r="M155" s="97">
        <v>14.952903870415401</v>
      </c>
      <c r="N155" s="97">
        <v>18.075200808943038</v>
      </c>
      <c r="O155" s="97">
        <v>19.460541808180196</v>
      </c>
      <c r="P155" s="97">
        <v>15.068847733254344</v>
      </c>
      <c r="Q155" s="97">
        <v>14.516334898294135</v>
      </c>
      <c r="R155" s="97">
        <v>13.310757825487412</v>
      </c>
      <c r="S155" s="97">
        <v>15.115006748717727</v>
      </c>
      <c r="T155" s="97">
        <v>15.150561149344897</v>
      </c>
      <c r="U155" s="97">
        <v>16.787098595223281</v>
      </c>
      <c r="V155" s="97">
        <v>12.705883894878362</v>
      </c>
      <c r="W155" s="97">
        <v>14.62613047995776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1.2397058420084599</v>
      </c>
      <c r="C156" s="32">
        <f t="shared" si="207"/>
        <v>1.3441035030139454</v>
      </c>
      <c r="D156" s="32">
        <f t="shared" si="207"/>
        <v>1.2788644740451198</v>
      </c>
      <c r="E156" s="32">
        <f t="shared" si="207"/>
        <v>1.2590653908246106</v>
      </c>
      <c r="F156" s="32">
        <f t="shared" si="207"/>
        <v>1.5191766905199446</v>
      </c>
      <c r="G156" s="32">
        <f t="shared" si="207"/>
        <v>1.5721438087400508</v>
      </c>
      <c r="H156" s="32">
        <f t="shared" si="207"/>
        <v>1.5873229978282635</v>
      </c>
      <c r="I156" s="32">
        <f t="shared" si="207"/>
        <v>1.711221277886275</v>
      </c>
      <c r="J156" s="32">
        <f t="shared" si="207"/>
        <v>1.5727461956114608</v>
      </c>
      <c r="K156" s="32">
        <f t="shared" si="207"/>
        <v>1.4023624906445094</v>
      </c>
      <c r="L156" s="32">
        <f t="shared" ref="L156" si="208">IF(L19=0,0,L19/L46)</f>
        <v>1.2909068717511383</v>
      </c>
      <c r="M156" s="32">
        <f t="shared" ref="M156:V156" si="209">IF(M19=0,0,M19/M46)</f>
        <v>1.4291456923418084</v>
      </c>
      <c r="N156" s="32">
        <f t="shared" si="209"/>
        <v>1.44253056054919</v>
      </c>
      <c r="O156" s="32">
        <f t="shared" si="209"/>
        <v>1.4487766086645699</v>
      </c>
      <c r="P156" s="32">
        <f t="shared" si="209"/>
        <v>1.4311074888859017</v>
      </c>
      <c r="Q156" s="32">
        <f t="shared" si="209"/>
        <v>1.375258963945869</v>
      </c>
      <c r="R156" s="32">
        <f t="shared" si="209"/>
        <v>1.3440231530627749</v>
      </c>
      <c r="S156" s="32">
        <f t="shared" si="209"/>
        <v>1.321278962075106</v>
      </c>
      <c r="T156" s="32">
        <f t="shared" si="209"/>
        <v>1.2853296511394432</v>
      </c>
      <c r="U156" s="32">
        <f t="shared" si="209"/>
        <v>1.2564024166575043</v>
      </c>
      <c r="V156" s="32">
        <f t="shared" si="209"/>
        <v>1.2452337891222089</v>
      </c>
      <c r="W156" s="32">
        <f t="shared" ref="W156" si="210">IF(W19=0,0,W19/W46)</f>
        <v>1.252788396848838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0.15713565859314946</v>
      </c>
      <c r="C157" s="141">
        <f t="shared" si="211"/>
        <v>0.15966552652084842</v>
      </c>
      <c r="D157" s="141">
        <f t="shared" si="211"/>
        <v>0.15857183018761617</v>
      </c>
      <c r="E157" s="141">
        <f t="shared" si="211"/>
        <v>0.15645207887815826</v>
      </c>
      <c r="F157" s="141">
        <f t="shared" si="211"/>
        <v>0.15800262564209916</v>
      </c>
      <c r="G157" s="141">
        <f t="shared" si="211"/>
        <v>0.15956352750735583</v>
      </c>
      <c r="H157" s="141">
        <f t="shared" si="211"/>
        <v>0.15956627318337727</v>
      </c>
      <c r="I157" s="141">
        <f t="shared" si="211"/>
        <v>0.16121241122529464</v>
      </c>
      <c r="J157" s="141">
        <f t="shared" si="211"/>
        <v>0.16083792195701319</v>
      </c>
      <c r="K157" s="141">
        <f t="shared" si="211"/>
        <v>0.16018262446418183</v>
      </c>
      <c r="L157" s="141">
        <f t="shared" ref="L157" si="212">IF(L20=0,0,L20/L47)</f>
        <v>0.16052518506267277</v>
      </c>
      <c r="M157" s="141">
        <f t="shared" ref="M157:V157" si="213">IF(M20=0,0,M20/M47)</f>
        <v>0.16408517992823674</v>
      </c>
      <c r="N157" s="141">
        <f t="shared" si="213"/>
        <v>0.16485895619519014</v>
      </c>
      <c r="O157" s="141">
        <f t="shared" si="213"/>
        <v>0.1661999206471643</v>
      </c>
      <c r="P157" s="141">
        <f t="shared" si="213"/>
        <v>0.16596746387684705</v>
      </c>
      <c r="Q157" s="141">
        <f t="shared" si="213"/>
        <v>0.16473298651467944</v>
      </c>
      <c r="R157" s="141">
        <f t="shared" si="213"/>
        <v>0.16347856471157657</v>
      </c>
      <c r="S157" s="141">
        <f t="shared" si="213"/>
        <v>0.16244091999191415</v>
      </c>
      <c r="T157" s="141">
        <f t="shared" si="213"/>
        <v>0.16215466541819659</v>
      </c>
      <c r="U157" s="141">
        <f t="shared" si="213"/>
        <v>0.16426732434646879</v>
      </c>
      <c r="V157" s="141">
        <f t="shared" si="213"/>
        <v>0.1671507510809668</v>
      </c>
      <c r="W157" s="141">
        <f t="shared" ref="W157" si="214">IF(W20=0,0,W20/W47)</f>
        <v>0.16367473658237425</v>
      </c>
      <c r="DA157" s="174" t="s">
        <v>567</v>
      </c>
    </row>
    <row r="158" spans="1:105" ht="11.45" customHeight="1" x14ac:dyDescent="0.25">
      <c r="A158" s="111" t="s">
        <v>110</v>
      </c>
      <c r="B158" s="96">
        <v>0.12734338433757805</v>
      </c>
      <c r="C158" s="96">
        <v>0.12974287065364962</v>
      </c>
      <c r="D158" s="96">
        <v>0.12866341122968467</v>
      </c>
      <c r="E158" s="96">
        <v>0.12666142564047167</v>
      </c>
      <c r="F158" s="96">
        <v>0.12812866793775685</v>
      </c>
      <c r="G158" s="96">
        <v>0.12963277413399818</v>
      </c>
      <c r="H158" s="96">
        <v>0.12962266697649741</v>
      </c>
      <c r="I158" s="96">
        <v>0.13121432608705103</v>
      </c>
      <c r="J158" s="96">
        <v>0.13083649757490623</v>
      </c>
      <c r="K158" s="96">
        <v>0.13018569724556095</v>
      </c>
      <c r="L158" s="96">
        <v>0.13039471220427576</v>
      </c>
      <c r="M158" s="96">
        <v>0.13329154262771098</v>
      </c>
      <c r="N158" s="96">
        <v>0.13350178313895533</v>
      </c>
      <c r="O158" s="96">
        <v>0.13423675599253382</v>
      </c>
      <c r="P158" s="96">
        <v>0.13342636932451662</v>
      </c>
      <c r="Q158" s="96">
        <v>0.13173752601156072</v>
      </c>
      <c r="R158" s="96">
        <v>0.13175646384596743</v>
      </c>
      <c r="S158" s="96">
        <v>0.13196243974857624</v>
      </c>
      <c r="T158" s="96">
        <v>0.13276272226180544</v>
      </c>
      <c r="U158" s="96">
        <v>0.13559740589789154</v>
      </c>
      <c r="V158" s="96">
        <v>0.13892979109689052</v>
      </c>
      <c r="W158" s="96">
        <v>0.13615171433282414</v>
      </c>
      <c r="DA158" s="171" t="s">
        <v>568</v>
      </c>
    </row>
    <row r="159" spans="1:105" ht="11.45" customHeight="1" x14ac:dyDescent="0.25">
      <c r="A159" s="111" t="s">
        <v>111</v>
      </c>
      <c r="B159" s="96">
        <v>0.15753053300573225</v>
      </c>
      <c r="C159" s="96">
        <v>0.16001487412123844</v>
      </c>
      <c r="D159" s="96">
        <v>0.15891266731959874</v>
      </c>
      <c r="E159" s="96">
        <v>0.15683599522075134</v>
      </c>
      <c r="F159" s="96">
        <v>0.15835711242902528</v>
      </c>
      <c r="G159" s="96">
        <v>0.15990646252988172</v>
      </c>
      <c r="H159" s="96">
        <v>0.15990071656048843</v>
      </c>
      <c r="I159" s="96">
        <v>0.16153597025662411</v>
      </c>
      <c r="J159" s="96">
        <v>0.16115409443289586</v>
      </c>
      <c r="K159" s="96">
        <v>0.16049203622397235</v>
      </c>
      <c r="L159" s="96">
        <v>0.16082818402454496</v>
      </c>
      <c r="M159" s="96">
        <v>0.16436549426497174</v>
      </c>
      <c r="N159" s="96">
        <v>0.16514386555948588</v>
      </c>
      <c r="O159" s="96">
        <v>0.16647212078294155</v>
      </c>
      <c r="P159" s="96">
        <v>0.16621320471979276</v>
      </c>
      <c r="Q159" s="96">
        <v>0.16500945986196658</v>
      </c>
      <c r="R159" s="96">
        <v>0.16371800756664875</v>
      </c>
      <c r="S159" s="96">
        <v>0.16266721725347397</v>
      </c>
      <c r="T159" s="96">
        <v>0.16234952813106479</v>
      </c>
      <c r="U159" s="96">
        <v>0.16449452354471381</v>
      </c>
      <c r="V159" s="96">
        <v>0.16731784437910663</v>
      </c>
      <c r="W159" s="96">
        <v>0.16382961789327435</v>
      </c>
      <c r="DA159" s="171" t="s">
        <v>569</v>
      </c>
    </row>
    <row r="160" spans="1:105" ht="11.45" customHeight="1" x14ac:dyDescent="0.25">
      <c r="A160" s="111" t="s">
        <v>112</v>
      </c>
      <c r="B160" s="96">
        <v>0.12851598720586677</v>
      </c>
      <c r="C160" s="96">
        <v>0.13053082589106671</v>
      </c>
      <c r="D160" s="96">
        <v>0.12962518370701562</v>
      </c>
      <c r="E160" s="96">
        <v>0.12794219879739904</v>
      </c>
      <c r="F160" s="96">
        <v>0.12917607750163068</v>
      </c>
      <c r="G160" s="96">
        <v>0.13031186451648244</v>
      </c>
      <c r="H160" s="96">
        <v>0.13004174218639689</v>
      </c>
      <c r="I160" s="96">
        <v>0.13110725842254195</v>
      </c>
      <c r="J160" s="96">
        <v>0.13052994484143554</v>
      </c>
      <c r="K160" s="96">
        <v>0.12972763371347373</v>
      </c>
      <c r="L160" s="96">
        <v>0.1297342869380112</v>
      </c>
      <c r="M160" s="96">
        <v>0.13231110826190404</v>
      </c>
      <c r="N160" s="96">
        <v>0.13266490805160069</v>
      </c>
      <c r="O160" s="96">
        <v>0.13345424874885639</v>
      </c>
      <c r="P160" s="96">
        <v>0.13296283956842969</v>
      </c>
      <c r="Q160" s="96">
        <v>0.13173752601156072</v>
      </c>
      <c r="R160" s="96">
        <v>0.13157463269387709</v>
      </c>
      <c r="S160" s="96">
        <v>0.13156735530590666</v>
      </c>
      <c r="T160" s="96">
        <v>0.13205260179042955</v>
      </c>
      <c r="U160" s="96">
        <v>0.13421579544629275</v>
      </c>
      <c r="V160" s="96">
        <v>0.13677317794244812</v>
      </c>
      <c r="W160" s="96">
        <v>0.13466323098553123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0.13351382984971219</v>
      </c>
      <c r="P161" s="96">
        <v>0.13301103480898735</v>
      </c>
      <c r="Q161" s="96">
        <v>0.13173752601156072</v>
      </c>
      <c r="R161" s="96">
        <v>0.13155327110727211</v>
      </c>
      <c r="S161" s="96">
        <v>0.13153241098766927</v>
      </c>
      <c r="T161" s="96">
        <v>0.13202856140210037</v>
      </c>
      <c r="U161" s="96">
        <v>0.13428692950914387</v>
      </c>
      <c r="V161" s="96">
        <v>0.13696111072757786</v>
      </c>
      <c r="W161" s="96">
        <v>0.13472994061151991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0.16731909070875461</v>
      </c>
      <c r="N162" s="96">
        <v>0.16727993846064845</v>
      </c>
      <c r="O162" s="96">
        <v>0.1672135221120141</v>
      </c>
      <c r="P162" s="96">
        <v>0.16719948547306002</v>
      </c>
      <c r="Q162" s="96">
        <v>0.16713890238358126</v>
      </c>
      <c r="R162" s="96">
        <v>0.16716604235591553</v>
      </c>
      <c r="S162" s="96">
        <v>0.16718330630616493</v>
      </c>
      <c r="T162" s="96">
        <v>0.16719727795008835</v>
      </c>
      <c r="U162" s="96">
        <v>0.16731635233357442</v>
      </c>
      <c r="V162" s="96">
        <v>0.16944612765112224</v>
      </c>
      <c r="W162" s="96">
        <v>0.16732214138091489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10.330487497901869</v>
      </c>
      <c r="C163" s="130">
        <f t="shared" si="215"/>
        <v>10.215499753756372</v>
      </c>
      <c r="D163" s="130">
        <f t="shared" si="215"/>
        <v>10.288574093586645</v>
      </c>
      <c r="E163" s="130">
        <f t="shared" si="215"/>
        <v>10.120288280421327</v>
      </c>
      <c r="F163" s="130">
        <f t="shared" si="215"/>
        <v>9.9508201765830187</v>
      </c>
      <c r="G163" s="130">
        <f t="shared" si="215"/>
        <v>9.6552350962301539</v>
      </c>
      <c r="H163" s="130">
        <f t="shared" si="215"/>
        <v>9.795930061139817</v>
      </c>
      <c r="I163" s="130">
        <f t="shared" si="215"/>
        <v>9.9778703328382132</v>
      </c>
      <c r="J163" s="130">
        <f t="shared" si="215"/>
        <v>9.6299933429552986</v>
      </c>
      <c r="K163" s="130">
        <f t="shared" si="215"/>
        <v>9.5003854283257532</v>
      </c>
      <c r="L163" s="130">
        <f t="shared" ref="L163" si="216">IF(L26=0,0,L26/L53)</f>
        <v>8.4709200328470367</v>
      </c>
      <c r="M163" s="130">
        <f t="shared" ref="M163:V163" si="217">IF(M26=0,0,M26/M53)</f>
        <v>8.738838807683722</v>
      </c>
      <c r="N163" s="130">
        <f t="shared" si="217"/>
        <v>9.4824107830149966</v>
      </c>
      <c r="O163" s="130">
        <f t="shared" si="217"/>
        <v>9.5662080008596337</v>
      </c>
      <c r="P163" s="130">
        <f t="shared" si="217"/>
        <v>10.516726432771138</v>
      </c>
      <c r="Q163" s="130">
        <f t="shared" si="217"/>
        <v>9.1755143504679832</v>
      </c>
      <c r="R163" s="130">
        <f t="shared" si="217"/>
        <v>9.4003856557097141</v>
      </c>
      <c r="S163" s="130">
        <f t="shared" si="217"/>
        <v>9.6273654798876525</v>
      </c>
      <c r="T163" s="130">
        <f t="shared" si="217"/>
        <v>9.6574189401682524</v>
      </c>
      <c r="U163" s="130">
        <f t="shared" si="217"/>
        <v>9.7569454334459422</v>
      </c>
      <c r="V163" s="130">
        <f t="shared" si="217"/>
        <v>9.6463846951425261</v>
      </c>
      <c r="W163" s="130">
        <f t="shared" ref="W163" si="218">IF(W26=0,0,W26/W53)</f>
        <v>9.7391148772886371</v>
      </c>
      <c r="DA163" s="176" t="s">
        <v>573</v>
      </c>
    </row>
    <row r="164" spans="1:105" ht="11.45" customHeight="1" x14ac:dyDescent="0.25">
      <c r="A164" s="128" t="s">
        <v>27</v>
      </c>
      <c r="B164" s="97">
        <v>9.48</v>
      </c>
      <c r="C164" s="97">
        <v>9.4079401611047189</v>
      </c>
      <c r="D164" s="97">
        <v>9.3575909661229613</v>
      </c>
      <c r="E164" s="97">
        <v>9.1253213367609263</v>
      </c>
      <c r="F164" s="97">
        <v>9.0243271221532098</v>
      </c>
      <c r="G164" s="97">
        <v>8.6661698956780917</v>
      </c>
      <c r="H164" s="97">
        <v>8.748129675810473</v>
      </c>
      <c r="I164" s="97">
        <v>8.9013605442176864</v>
      </c>
      <c r="J164" s="97">
        <v>8.6129843985908412</v>
      </c>
      <c r="K164" s="97">
        <v>8.3423944476576057</v>
      </c>
      <c r="L164" s="97">
        <v>7.120508568269762</v>
      </c>
      <c r="M164" s="97">
        <v>7.3296703296703294</v>
      </c>
      <c r="N164" s="97">
        <v>8.2145481263776627</v>
      </c>
      <c r="O164" s="97">
        <v>7.9910057236304173</v>
      </c>
      <c r="P164" s="97">
        <v>9.1352530541012218</v>
      </c>
      <c r="Q164" s="97">
        <v>7.7969653179190752</v>
      </c>
      <c r="R164" s="97">
        <v>7.913109756097561</v>
      </c>
      <c r="S164" s="97">
        <v>8.2227272727272727</v>
      </c>
      <c r="T164" s="97">
        <v>8.1501547987616103</v>
      </c>
      <c r="U164" s="97">
        <v>8.2446555819477432</v>
      </c>
      <c r="V164" s="97">
        <v>8.159027128157156</v>
      </c>
      <c r="W164" s="97">
        <v>8.0939655172413794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14.049661034098959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12687.390079409543</v>
      </c>
      <c r="C167" s="54">
        <f t="shared" si="219"/>
        <v>12213.764093886048</v>
      </c>
      <c r="D167" s="54">
        <f t="shared" si="219"/>
        <v>12402.474795003325</v>
      </c>
      <c r="E167" s="54">
        <f t="shared" si="219"/>
        <v>12770.394382489938</v>
      </c>
      <c r="F167" s="54">
        <f t="shared" si="219"/>
        <v>12760.465039848857</v>
      </c>
      <c r="G167" s="54">
        <f t="shared" si="219"/>
        <v>12615.424803311846</v>
      </c>
      <c r="H167" s="54">
        <f t="shared" si="219"/>
        <v>12614.120309493543</v>
      </c>
      <c r="I167" s="54">
        <f t="shared" si="219"/>
        <v>12364.075033877929</v>
      </c>
      <c r="J167" s="54">
        <f t="shared" si="219"/>
        <v>12466.956936398345</v>
      </c>
      <c r="K167" s="54">
        <f t="shared" si="219"/>
        <v>12579.594595203776</v>
      </c>
      <c r="L167" s="54">
        <f t="shared" si="219"/>
        <v>12383.992183608058</v>
      </c>
      <c r="M167" s="54">
        <f>IF(M30=0,0,M30*1000000/M57)</f>
        <v>11891.353940292312</v>
      </c>
      <c r="N167" s="54">
        <f t="shared" ref="N167:V167" si="220">IF(N30=0,0,N30*1000000/N57)</f>
        <v>11976.764088938766</v>
      </c>
      <c r="O167" s="54">
        <f t="shared" si="220"/>
        <v>11820.233571430164</v>
      </c>
      <c r="P167" s="54">
        <f t="shared" si="220"/>
        <v>11446.961494996793</v>
      </c>
      <c r="Q167" s="54">
        <f t="shared" si="220"/>
        <v>11438.418356576751</v>
      </c>
      <c r="R167" s="54">
        <f t="shared" si="220"/>
        <v>11556.664228525558</v>
      </c>
      <c r="S167" s="54">
        <f t="shared" si="220"/>
        <v>11485.275487374272</v>
      </c>
      <c r="T167" s="54">
        <f t="shared" si="220"/>
        <v>11195.105779972326</v>
      </c>
      <c r="U167" s="54">
        <f t="shared" si="220"/>
        <v>10880.175028399002</v>
      </c>
      <c r="V167" s="54">
        <f t="shared" si="220"/>
        <v>9600.7752770402567</v>
      </c>
      <c r="W167" s="54">
        <f t="shared" ref="W167:W191" si="221">IF(W30=0,0,W30*1000000/W57)</f>
        <v>10122.522331371958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12845.781332714902</v>
      </c>
      <c r="C168" s="28">
        <f t="shared" si="219"/>
        <v>12470.59466893132</v>
      </c>
      <c r="D168" s="28">
        <f t="shared" si="219"/>
        <v>12598.45565134457</v>
      </c>
      <c r="E168" s="28">
        <f t="shared" si="219"/>
        <v>12828.363013318476</v>
      </c>
      <c r="F168" s="28">
        <f t="shared" si="219"/>
        <v>12857.307760117825</v>
      </c>
      <c r="G168" s="28">
        <f t="shared" si="219"/>
        <v>12795.810769645772</v>
      </c>
      <c r="H168" s="28">
        <f t="shared" si="219"/>
        <v>12791.382042338717</v>
      </c>
      <c r="I168" s="28">
        <f t="shared" si="219"/>
        <v>12600.888299654942</v>
      </c>
      <c r="J168" s="28">
        <f t="shared" si="219"/>
        <v>12736.33745428827</v>
      </c>
      <c r="K168" s="28">
        <f t="shared" si="219"/>
        <v>12875.041079911585</v>
      </c>
      <c r="L168" s="28">
        <f t="shared" si="219"/>
        <v>12632.82347187597</v>
      </c>
      <c r="M168" s="28">
        <f t="shared" ref="M168:M192" si="222">IF(M31=0,0,M31*1000000/M58)</f>
        <v>12276.001585255508</v>
      </c>
      <c r="N168" s="28">
        <f t="shared" si="219"/>
        <v>12452.897255465801</v>
      </c>
      <c r="O168" s="28">
        <f t="shared" si="219"/>
        <v>12335.779411878206</v>
      </c>
      <c r="P168" s="28">
        <f t="shared" si="219"/>
        <v>11895.68123604579</v>
      </c>
      <c r="Q168" s="28">
        <f t="shared" si="219"/>
        <v>11750.564675214629</v>
      </c>
      <c r="R168" s="28">
        <f t="shared" si="219"/>
        <v>11805.796965222491</v>
      </c>
      <c r="S168" s="28">
        <f t="shared" si="219"/>
        <v>11664.292584247518</v>
      </c>
      <c r="T168" s="28">
        <f t="shared" si="219"/>
        <v>11300.522095832968</v>
      </c>
      <c r="U168" s="28">
        <f t="shared" si="219"/>
        <v>11105.722559635657</v>
      </c>
      <c r="V168" s="28">
        <f t="shared" si="219"/>
        <v>9703.3133538217353</v>
      </c>
      <c r="W168" s="28">
        <f t="shared" si="221"/>
        <v>10109.929608951847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2432.4749255363217</v>
      </c>
      <c r="C169" s="137">
        <f t="shared" si="219"/>
        <v>2557.6863211623622</v>
      </c>
      <c r="D169" s="137">
        <f t="shared" si="219"/>
        <v>2698.3099903950028</v>
      </c>
      <c r="E169" s="137">
        <f t="shared" si="219"/>
        <v>2807.2732622194567</v>
      </c>
      <c r="F169" s="137">
        <f t="shared" si="219"/>
        <v>2962.6420759491243</v>
      </c>
      <c r="G169" s="137">
        <f t="shared" si="219"/>
        <v>3070.6703639026582</v>
      </c>
      <c r="H169" s="137">
        <f t="shared" si="219"/>
        <v>3400.7529441071874</v>
      </c>
      <c r="I169" s="137">
        <f t="shared" si="219"/>
        <v>3350.535200595461</v>
      </c>
      <c r="J169" s="137">
        <f t="shared" si="219"/>
        <v>3398.3733374995668</v>
      </c>
      <c r="K169" s="137">
        <f t="shared" si="219"/>
        <v>3189.415289304442</v>
      </c>
      <c r="L169" s="137">
        <f t="shared" si="219"/>
        <v>3309.5245774155383</v>
      </c>
      <c r="M169" s="137">
        <f t="shared" si="222"/>
        <v>3246.3115287599953</v>
      </c>
      <c r="N169" s="137">
        <f t="shared" si="219"/>
        <v>3258.9198485964671</v>
      </c>
      <c r="O169" s="137">
        <f t="shared" si="219"/>
        <v>3158.069604633416</v>
      </c>
      <c r="P169" s="137">
        <f t="shared" si="219"/>
        <v>3099.3988513088011</v>
      </c>
      <c r="Q169" s="137">
        <f t="shared" si="219"/>
        <v>2898.9253443957905</v>
      </c>
      <c r="R169" s="137">
        <f t="shared" si="219"/>
        <v>2950.3536207604284</v>
      </c>
      <c r="S169" s="137">
        <f t="shared" si="219"/>
        <v>2626.3049912102088</v>
      </c>
      <c r="T169" s="137">
        <f t="shared" si="219"/>
        <v>2424.4710694263645</v>
      </c>
      <c r="U169" s="137">
        <f t="shared" si="219"/>
        <v>2418.857043344854</v>
      </c>
      <c r="V169" s="137">
        <f t="shared" si="219"/>
        <v>2357.0412167120294</v>
      </c>
      <c r="W169" s="137">
        <f t="shared" si="221"/>
        <v>2470.1871629443012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14394.426738798553</v>
      </c>
      <c r="C170" s="110">
        <f t="shared" si="219"/>
        <v>13918.000749968043</v>
      </c>
      <c r="D170" s="110">
        <f t="shared" si="219"/>
        <v>13964.154698324493</v>
      </c>
      <c r="E170" s="110">
        <f t="shared" si="219"/>
        <v>14207.575294999157</v>
      </c>
      <c r="F170" s="110">
        <f t="shared" si="219"/>
        <v>14197.125279856469</v>
      </c>
      <c r="G170" s="110">
        <f t="shared" si="219"/>
        <v>14121.87737885454</v>
      </c>
      <c r="H170" s="110">
        <f t="shared" si="219"/>
        <v>13979.431969819367</v>
      </c>
      <c r="I170" s="110">
        <f t="shared" si="219"/>
        <v>13697.746276220025</v>
      </c>
      <c r="J170" s="110">
        <f t="shared" si="219"/>
        <v>13831.167704124809</v>
      </c>
      <c r="K170" s="110">
        <f t="shared" si="219"/>
        <v>13994.328412276313</v>
      </c>
      <c r="L170" s="110">
        <f t="shared" si="219"/>
        <v>13581.625213641304</v>
      </c>
      <c r="M170" s="110">
        <f t="shared" si="222"/>
        <v>13185.699582625077</v>
      </c>
      <c r="N170" s="110">
        <f t="shared" si="219"/>
        <v>13495.108595769807</v>
      </c>
      <c r="O170" s="110">
        <f t="shared" si="219"/>
        <v>13377.899354308993</v>
      </c>
      <c r="P170" s="110">
        <f t="shared" si="219"/>
        <v>12808.145173156532</v>
      </c>
      <c r="Q170" s="110">
        <f t="shared" si="219"/>
        <v>12696.772142439253</v>
      </c>
      <c r="R170" s="110">
        <f t="shared" si="219"/>
        <v>12768.2642017382</v>
      </c>
      <c r="S170" s="110">
        <f t="shared" si="219"/>
        <v>12676.873487758054</v>
      </c>
      <c r="T170" s="110">
        <f t="shared" si="219"/>
        <v>12285.621256364677</v>
      </c>
      <c r="U170" s="110">
        <f t="shared" si="219"/>
        <v>12114.441344038154</v>
      </c>
      <c r="V170" s="110">
        <f t="shared" si="219"/>
        <v>10483.92450955092</v>
      </c>
      <c r="W170" s="110">
        <f t="shared" si="221"/>
        <v>10898.917165504774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13550.148692751651</v>
      </c>
      <c r="C171" s="84">
        <f t="shared" si="219"/>
        <v>12363.218313805888</v>
      </c>
      <c r="D171" s="84">
        <f t="shared" si="219"/>
        <v>12025.79610384793</v>
      </c>
      <c r="E171" s="84">
        <f t="shared" si="219"/>
        <v>11681.440423319802</v>
      </c>
      <c r="F171" s="84">
        <f t="shared" si="219"/>
        <v>11045.841126587762</v>
      </c>
      <c r="G171" s="84">
        <f t="shared" si="219"/>
        <v>10457.646744224401</v>
      </c>
      <c r="H171" s="84">
        <f t="shared" si="219"/>
        <v>9733.5586943016642</v>
      </c>
      <c r="I171" s="84">
        <f t="shared" si="219"/>
        <v>9244.2063997324822</v>
      </c>
      <c r="J171" s="84">
        <f t="shared" si="219"/>
        <v>8958.2508272406321</v>
      </c>
      <c r="K171" s="84">
        <f t="shared" si="219"/>
        <v>8984.649953095437</v>
      </c>
      <c r="L171" s="84">
        <f t="shared" si="219"/>
        <v>8326.6098074312322</v>
      </c>
      <c r="M171" s="84">
        <f t="shared" si="222"/>
        <v>7748.9512716885238</v>
      </c>
      <c r="N171" s="84">
        <f t="shared" si="219"/>
        <v>8230.95233597468</v>
      </c>
      <c r="O171" s="84">
        <f t="shared" si="219"/>
        <v>8061.9012452721136</v>
      </c>
      <c r="P171" s="84">
        <f t="shared" si="219"/>
        <v>7641.8580851361357</v>
      </c>
      <c r="Q171" s="84">
        <f t="shared" si="219"/>
        <v>7851.2438959051115</v>
      </c>
      <c r="R171" s="84">
        <f t="shared" si="219"/>
        <v>7797.9391069072153</v>
      </c>
      <c r="S171" s="84">
        <f t="shared" si="219"/>
        <v>7662.6995879695369</v>
      </c>
      <c r="T171" s="84">
        <f t="shared" si="219"/>
        <v>7390.7838292117967</v>
      </c>
      <c r="U171" s="84">
        <f t="shared" si="219"/>
        <v>7329.3653275138213</v>
      </c>
      <c r="V171" s="84">
        <f t="shared" si="219"/>
        <v>6249.3746336818176</v>
      </c>
      <c r="W171" s="84">
        <f t="shared" si="221"/>
        <v>6913.9310279021101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16193.215114582177</v>
      </c>
      <c r="C172" s="84">
        <f t="shared" si="219"/>
        <v>17339.38316948757</v>
      </c>
      <c r="D172" s="84">
        <f t="shared" si="219"/>
        <v>18165.36124118089</v>
      </c>
      <c r="E172" s="84">
        <f t="shared" si="219"/>
        <v>19327.438341881447</v>
      </c>
      <c r="F172" s="84">
        <f t="shared" si="219"/>
        <v>20277.432082974548</v>
      </c>
      <c r="G172" s="84">
        <f t="shared" si="219"/>
        <v>20595.023489640207</v>
      </c>
      <c r="H172" s="84">
        <f t="shared" si="219"/>
        <v>20901.85575738483</v>
      </c>
      <c r="I172" s="84">
        <f t="shared" si="219"/>
        <v>20337.326000873349</v>
      </c>
      <c r="J172" s="84">
        <f t="shared" si="219"/>
        <v>20464.423935417428</v>
      </c>
      <c r="K172" s="84">
        <f t="shared" si="219"/>
        <v>20342.133330537661</v>
      </c>
      <c r="L172" s="84">
        <f t="shared" si="219"/>
        <v>20070.107094512077</v>
      </c>
      <c r="M172" s="84">
        <f t="shared" si="222"/>
        <v>19451.951312198013</v>
      </c>
      <c r="N172" s="84">
        <f t="shared" si="219"/>
        <v>19037.119473324379</v>
      </c>
      <c r="O172" s="84">
        <f t="shared" si="219"/>
        <v>18786.296234808637</v>
      </c>
      <c r="P172" s="84">
        <f t="shared" si="219"/>
        <v>17776.824059882871</v>
      </c>
      <c r="Q172" s="84">
        <f t="shared" si="219"/>
        <v>16982.006209347692</v>
      </c>
      <c r="R172" s="84">
        <f t="shared" si="219"/>
        <v>16866.709541742915</v>
      </c>
      <c r="S172" s="84">
        <f t="shared" si="219"/>
        <v>16574.190498799067</v>
      </c>
      <c r="T172" s="84">
        <f t="shared" si="219"/>
        <v>15986.044828524857</v>
      </c>
      <c r="U172" s="84">
        <f t="shared" si="219"/>
        <v>15774.592180341251</v>
      </c>
      <c r="V172" s="84">
        <f t="shared" si="219"/>
        <v>13555.585063735247</v>
      </c>
      <c r="W172" s="84">
        <f t="shared" si="221"/>
        <v>13736.263763727173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17064.158277671781</v>
      </c>
      <c r="C173" s="84">
        <f t="shared" si="219"/>
        <v>16274.060071163411</v>
      </c>
      <c r="D173" s="84">
        <f t="shared" si="219"/>
        <v>16169.039670621565</v>
      </c>
      <c r="E173" s="84">
        <f t="shared" si="219"/>
        <v>17824.277318163571</v>
      </c>
      <c r="F173" s="84">
        <f t="shared" si="219"/>
        <v>18024.383814918212</v>
      </c>
      <c r="G173" s="84">
        <f t="shared" si="219"/>
        <v>16442.38708806967</v>
      </c>
      <c r="H173" s="84">
        <f t="shared" si="219"/>
        <v>16101.144058302791</v>
      </c>
      <c r="I173" s="84">
        <f t="shared" si="219"/>
        <v>15340.278723430909</v>
      </c>
      <c r="J173" s="84">
        <f t="shared" si="219"/>
        <v>16250.446917052786</v>
      </c>
      <c r="K173" s="84">
        <f t="shared" si="219"/>
        <v>16134.774061259908</v>
      </c>
      <c r="L173" s="84">
        <f t="shared" si="219"/>
        <v>15699.794753610624</v>
      </c>
      <c r="M173" s="84">
        <f t="shared" si="222"/>
        <v>14272.935486237146</v>
      </c>
      <c r="N173" s="84">
        <f t="shared" si="219"/>
        <v>14934.024994091189</v>
      </c>
      <c r="O173" s="84">
        <f t="shared" si="219"/>
        <v>14319.415817825713</v>
      </c>
      <c r="P173" s="84">
        <f t="shared" si="219"/>
        <v>13544.332867380121</v>
      </c>
      <c r="Q173" s="84">
        <f t="shared" si="219"/>
        <v>13556.2802373718</v>
      </c>
      <c r="R173" s="84">
        <f t="shared" si="219"/>
        <v>13601.632223422595</v>
      </c>
      <c r="S173" s="84">
        <f t="shared" si="219"/>
        <v>13502.124453704371</v>
      </c>
      <c r="T173" s="84">
        <f t="shared" si="219"/>
        <v>13155.880680669407</v>
      </c>
      <c r="U173" s="84">
        <f t="shared" si="219"/>
        <v>13114.331535467756</v>
      </c>
      <c r="V173" s="84">
        <f t="shared" si="219"/>
        <v>10853.0392176901</v>
      </c>
      <c r="W173" s="84">
        <f t="shared" si="221"/>
        <v>11653.996349083684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12273.552417604556</v>
      </c>
      <c r="M174" s="84">
        <f t="shared" si="222"/>
        <v>11383.499396498884</v>
      </c>
      <c r="N174" s="84">
        <f t="shared" si="219"/>
        <v>11910.75687769081</v>
      </c>
      <c r="O174" s="84">
        <f t="shared" si="219"/>
        <v>11500.68371698685</v>
      </c>
      <c r="P174" s="84">
        <f t="shared" si="219"/>
        <v>11097.934493914665</v>
      </c>
      <c r="Q174" s="84">
        <f t="shared" si="219"/>
        <v>11107.723911440098</v>
      </c>
      <c r="R174" s="84">
        <f t="shared" si="219"/>
        <v>11144.884351551018</v>
      </c>
      <c r="S174" s="84">
        <f t="shared" si="219"/>
        <v>11063.349829269153</v>
      </c>
      <c r="T174" s="84">
        <f t="shared" si="219"/>
        <v>10779.645142615866</v>
      </c>
      <c r="U174" s="84">
        <f t="shared" si="219"/>
        <v>10745.600668351903</v>
      </c>
      <c r="V174" s="84">
        <f t="shared" si="219"/>
        <v>8892.746470215001</v>
      </c>
      <c r="W174" s="84">
        <f t="shared" si="221"/>
        <v>9549.0334843984601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8746.4554922500902</v>
      </c>
      <c r="N175" s="84">
        <f t="shared" si="219"/>
        <v>9382.0287346665045</v>
      </c>
      <c r="O175" s="84">
        <f t="shared" si="219"/>
        <v>9465.2371081624678</v>
      </c>
      <c r="P175" s="84">
        <f t="shared" si="219"/>
        <v>9133.7683898395881</v>
      </c>
      <c r="Q175" s="84">
        <f t="shared" si="219"/>
        <v>9141.8252289205684</v>
      </c>
      <c r="R175" s="84">
        <f t="shared" si="219"/>
        <v>9172.4088346738517</v>
      </c>
      <c r="S175" s="84">
        <f t="shared" si="219"/>
        <v>9105.3046863562413</v>
      </c>
      <c r="T175" s="84">
        <f t="shared" si="219"/>
        <v>8871.8114268290719</v>
      </c>
      <c r="U175" s="84">
        <f t="shared" si="219"/>
        <v>8843.7923082217858</v>
      </c>
      <c r="V175" s="84">
        <f t="shared" si="219"/>
        <v>7318.8652044256596</v>
      </c>
      <c r="W175" s="84">
        <f t="shared" si="221"/>
        <v>7858.9993697604777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12398.141031904861</v>
      </c>
      <c r="K176" s="84">
        <f t="shared" si="219"/>
        <v>12399.965287661758</v>
      </c>
      <c r="L176" s="84">
        <f t="shared" si="219"/>
        <v>12447.212868629193</v>
      </c>
      <c r="M176" s="84">
        <f t="shared" si="222"/>
        <v>12487.812964674971</v>
      </c>
      <c r="N176" s="84">
        <f t="shared" si="219"/>
        <v>12522.470578424578</v>
      </c>
      <c r="O176" s="84">
        <f t="shared" si="219"/>
        <v>12538.060151423944</v>
      </c>
      <c r="P176" s="84">
        <f t="shared" si="219"/>
        <v>12561.390215768113</v>
      </c>
      <c r="Q176" s="84">
        <f t="shared" si="219"/>
        <v>12568.322294720881</v>
      </c>
      <c r="R176" s="84">
        <f t="shared" si="219"/>
        <v>12564.041941744465</v>
      </c>
      <c r="S176" s="84">
        <f t="shared" si="219"/>
        <v>12553.056267832346</v>
      </c>
      <c r="T176" s="84">
        <f t="shared" si="219"/>
        <v>12530.399296128979</v>
      </c>
      <c r="U176" s="84">
        <f t="shared" si="219"/>
        <v>12525.172159673077</v>
      </c>
      <c r="V176" s="84">
        <f t="shared" si="219"/>
        <v>11113.768525486224</v>
      </c>
      <c r="W176" s="84">
        <f t="shared" si="221"/>
        <v>12488.682873825082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26024.118660549659</v>
      </c>
      <c r="C177" s="110">
        <f t="shared" si="219"/>
        <v>25575.604761025097</v>
      </c>
      <c r="D177" s="110">
        <f t="shared" si="219"/>
        <v>25111.454357763654</v>
      </c>
      <c r="E177" s="110">
        <f t="shared" si="219"/>
        <v>24634.293115560762</v>
      </c>
      <c r="F177" s="110">
        <f t="shared" si="219"/>
        <v>24159.439464247633</v>
      </c>
      <c r="G177" s="110">
        <f t="shared" si="219"/>
        <v>23221.554184565724</v>
      </c>
      <c r="H177" s="110">
        <f t="shared" si="219"/>
        <v>22791.255433800703</v>
      </c>
      <c r="I177" s="110">
        <f t="shared" si="219"/>
        <v>23264.110780865329</v>
      </c>
      <c r="J177" s="110">
        <f t="shared" si="219"/>
        <v>23762.250519385281</v>
      </c>
      <c r="K177" s="110">
        <f t="shared" si="219"/>
        <v>24255.042693297255</v>
      </c>
      <c r="L177" s="110">
        <f t="shared" si="219"/>
        <v>24770.245057299544</v>
      </c>
      <c r="M177" s="110">
        <f t="shared" si="222"/>
        <v>25254.576094607466</v>
      </c>
      <c r="N177" s="110">
        <f t="shared" si="219"/>
        <v>25513.801855962531</v>
      </c>
      <c r="O177" s="110">
        <f t="shared" si="219"/>
        <v>24983.922553278746</v>
      </c>
      <c r="P177" s="110">
        <f t="shared" si="219"/>
        <v>24743.543341520155</v>
      </c>
      <c r="Q177" s="110">
        <f t="shared" si="219"/>
        <v>25227.211796246655</v>
      </c>
      <c r="R177" s="110">
        <f t="shared" si="219"/>
        <v>26489.828480255284</v>
      </c>
      <c r="S177" s="110">
        <f t="shared" si="219"/>
        <v>26729.645500584338</v>
      </c>
      <c r="T177" s="110">
        <f t="shared" si="219"/>
        <v>28162.835249042142</v>
      </c>
      <c r="U177" s="110">
        <f t="shared" si="219"/>
        <v>22247.600875470005</v>
      </c>
      <c r="V177" s="110">
        <f t="shared" si="219"/>
        <v>19681.516088701719</v>
      </c>
      <c r="W177" s="110">
        <f t="shared" si="221"/>
        <v>25062.342528587113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11771.031811949557</v>
      </c>
      <c r="M178" s="102">
        <f t="shared" si="222"/>
        <v>12134.156942632988</v>
      </c>
      <c r="N178" s="102">
        <f t="shared" si="219"/>
        <v>12388.857660054126</v>
      </c>
      <c r="O178" s="102">
        <f t="shared" si="219"/>
        <v>12241.250563497053</v>
      </c>
      <c r="P178" s="102">
        <f t="shared" si="219"/>
        <v>12240.014242604075</v>
      </c>
      <c r="Q178" s="102">
        <f t="shared" si="219"/>
        <v>12617.53325708882</v>
      </c>
      <c r="R178" s="102">
        <f t="shared" si="219"/>
        <v>13148.615943044188</v>
      </c>
      <c r="S178" s="102">
        <f t="shared" si="219"/>
        <v>13140.896364159864</v>
      </c>
      <c r="T178" s="102">
        <f t="shared" si="219"/>
        <v>13742.872559007488</v>
      </c>
      <c r="U178" s="102">
        <f t="shared" si="219"/>
        <v>10621.842668895977</v>
      </c>
      <c r="V178" s="102">
        <f t="shared" si="219"/>
        <v>9245.9000031853211</v>
      </c>
      <c r="W178" s="102">
        <f t="shared" si="221"/>
        <v>11797.653969198513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25990.162691811362</v>
      </c>
      <c r="C179" s="102">
        <f t="shared" si="219"/>
        <v>25432.837032626503</v>
      </c>
      <c r="D179" s="102">
        <f t="shared" si="219"/>
        <v>24905.865102905464</v>
      </c>
      <c r="E179" s="102">
        <f t="shared" si="219"/>
        <v>24347.676232846454</v>
      </c>
      <c r="F179" s="102">
        <f t="shared" si="219"/>
        <v>23873.102756956509</v>
      </c>
      <c r="G179" s="102">
        <f t="shared" si="219"/>
        <v>22728.665150278379</v>
      </c>
      <c r="H179" s="102">
        <f t="shared" si="219"/>
        <v>22360.369443493215</v>
      </c>
      <c r="I179" s="102">
        <f t="shared" si="219"/>
        <v>22802.269913225238</v>
      </c>
      <c r="J179" s="102">
        <f t="shared" si="219"/>
        <v>23297.409313741911</v>
      </c>
      <c r="K179" s="102">
        <f t="shared" si="219"/>
        <v>23779.57203874992</v>
      </c>
      <c r="L179" s="102">
        <f t="shared" si="219"/>
        <v>24248.577358896735</v>
      </c>
      <c r="M179" s="102">
        <f t="shared" si="222"/>
        <v>24696.032982451692</v>
      </c>
      <c r="N179" s="102">
        <f t="shared" si="219"/>
        <v>24787.66146965955</v>
      </c>
      <c r="O179" s="102">
        <f t="shared" si="219"/>
        <v>24326.326584627092</v>
      </c>
      <c r="P179" s="102">
        <f t="shared" si="219"/>
        <v>24270.99741919697</v>
      </c>
      <c r="Q179" s="102">
        <f t="shared" si="219"/>
        <v>24734.681125996631</v>
      </c>
      <c r="R179" s="102">
        <f t="shared" si="219"/>
        <v>26011.319236994364</v>
      </c>
      <c r="S179" s="102">
        <f t="shared" si="219"/>
        <v>26274.113340531912</v>
      </c>
      <c r="T179" s="102">
        <f t="shared" si="219"/>
        <v>27550.002627527563</v>
      </c>
      <c r="U179" s="102">
        <f t="shared" si="219"/>
        <v>21837.388924846684</v>
      </c>
      <c r="V179" s="102">
        <f t="shared" si="219"/>
        <v>19160.229680881072</v>
      </c>
      <c r="W179" s="102">
        <f t="shared" si="221"/>
        <v>24266.427861569864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17167.817149972747</v>
      </c>
      <c r="M180" s="102">
        <f t="shared" si="222"/>
        <v>17697.427973027741</v>
      </c>
      <c r="N180" s="102">
        <f t="shared" si="223"/>
        <v>18068.903933207715</v>
      </c>
      <c r="O180" s="102">
        <f t="shared" si="223"/>
        <v>17853.621901503604</v>
      </c>
      <c r="P180" s="102">
        <f t="shared" si="223"/>
        <v>17851.818751926883</v>
      </c>
      <c r="Q180" s="102">
        <f t="shared" si="223"/>
        <v>18402.422769896872</v>
      </c>
      <c r="R180" s="102">
        <f t="shared" si="223"/>
        <v>19176.996366303461</v>
      </c>
      <c r="S180" s="102">
        <f t="shared" si="223"/>
        <v>19165.737513139349</v>
      </c>
      <c r="T180" s="102">
        <f t="shared" si="223"/>
        <v>20043.707890493104</v>
      </c>
      <c r="U180" s="102">
        <f t="shared" si="223"/>
        <v>15491.747507662429</v>
      </c>
      <c r="V180" s="102">
        <f t="shared" si="223"/>
        <v>13484.962336137665</v>
      </c>
      <c r="W180" s="102">
        <f t="shared" si="221"/>
        <v>17206.645039922376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42371.847122139137</v>
      </c>
      <c r="C181" s="102">
        <f t="shared" si="223"/>
        <v>40789.614450008725</v>
      </c>
      <c r="D181" s="102">
        <f t="shared" si="223"/>
        <v>39228.136743465839</v>
      </c>
      <c r="E181" s="102">
        <f t="shared" si="223"/>
        <v>39230.446883716984</v>
      </c>
      <c r="F181" s="102">
        <f t="shared" si="223"/>
        <v>37683.147489139046</v>
      </c>
      <c r="G181" s="102">
        <f t="shared" si="223"/>
        <v>35439.831563516535</v>
      </c>
      <c r="H181" s="102">
        <f t="shared" si="223"/>
        <v>34069.227875761877</v>
      </c>
      <c r="I181" s="102">
        <f t="shared" si="223"/>
        <v>34329.207270854036</v>
      </c>
      <c r="J181" s="102">
        <f t="shared" si="223"/>
        <v>34413.177274778966</v>
      </c>
      <c r="K181" s="102">
        <f t="shared" si="223"/>
        <v>34845.330515452151</v>
      </c>
      <c r="L181" s="102">
        <f t="shared" si="223"/>
        <v>36349.897061099786</v>
      </c>
      <c r="M181" s="102">
        <f t="shared" si="222"/>
        <v>37853.616559953232</v>
      </c>
      <c r="N181" s="102">
        <f t="shared" si="223"/>
        <v>39042.548002514151</v>
      </c>
      <c r="O181" s="102">
        <f t="shared" si="223"/>
        <v>37442.746712318076</v>
      </c>
      <c r="P181" s="102">
        <f t="shared" si="223"/>
        <v>36337.819100462017</v>
      </c>
      <c r="Q181" s="102">
        <f t="shared" si="223"/>
        <v>37840.817694369973</v>
      </c>
      <c r="R181" s="102">
        <f t="shared" si="223"/>
        <v>39734.742720382928</v>
      </c>
      <c r="S181" s="102">
        <f t="shared" si="223"/>
        <v>40094.468250876511</v>
      </c>
      <c r="T181" s="102">
        <f t="shared" si="223"/>
        <v>42244.252873563222</v>
      </c>
      <c r="U181" s="102">
        <f t="shared" si="223"/>
        <v>33371.40131320501</v>
      </c>
      <c r="V181" s="102">
        <f t="shared" si="223"/>
        <v>29522.274133052575</v>
      </c>
      <c r="W181" s="102">
        <f t="shared" si="221"/>
        <v>37593.513792880673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41110.059010501151</v>
      </c>
      <c r="M182" s="102">
        <f t="shared" si="222"/>
        <v>41149.881525840501</v>
      </c>
      <c r="N182" s="102">
        <f t="shared" si="223"/>
        <v>41170.898399636942</v>
      </c>
      <c r="O182" s="102">
        <f t="shared" si="223"/>
        <v>41214.123829031698</v>
      </c>
      <c r="P182" s="102">
        <f t="shared" si="223"/>
        <v>41234.051429410458</v>
      </c>
      <c r="Q182" s="102">
        <f t="shared" si="223"/>
        <v>41273.982561473014</v>
      </c>
      <c r="R182" s="102">
        <f t="shared" si="223"/>
        <v>41173.31943706311</v>
      </c>
      <c r="S182" s="102">
        <f t="shared" si="223"/>
        <v>41154.770014334012</v>
      </c>
      <c r="T182" s="102">
        <f t="shared" si="223"/>
        <v>41047.43466587289</v>
      </c>
      <c r="U182" s="102">
        <f t="shared" si="223"/>
        <v>40566.389924484283</v>
      </c>
      <c r="V182" s="102">
        <f t="shared" si="223"/>
        <v>37003.93287527639</v>
      </c>
      <c r="W182" s="102">
        <f t="shared" si="221"/>
        <v>40325.469915364098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12235.37516655615</v>
      </c>
      <c r="C183" s="28">
        <f t="shared" si="223"/>
        <v>11518.754880551618</v>
      </c>
      <c r="D183" s="28">
        <f t="shared" si="223"/>
        <v>11818.500177692074</v>
      </c>
      <c r="E183" s="28">
        <f t="shared" si="223"/>
        <v>12579.820833444091</v>
      </c>
      <c r="F183" s="28">
        <f t="shared" si="223"/>
        <v>12429.213071274542</v>
      </c>
      <c r="G183" s="28">
        <f t="shared" si="223"/>
        <v>11990.09902476227</v>
      </c>
      <c r="H183" s="28">
        <f t="shared" si="223"/>
        <v>11999.60852158281</v>
      </c>
      <c r="I183" s="28">
        <f t="shared" si="223"/>
        <v>11543.452808635817</v>
      </c>
      <c r="J183" s="28">
        <f t="shared" si="223"/>
        <v>11532.721917348899</v>
      </c>
      <c r="K183" s="28">
        <f t="shared" si="223"/>
        <v>11548.162727168627</v>
      </c>
      <c r="L183" s="28">
        <f t="shared" si="223"/>
        <v>11479.79813523532</v>
      </c>
      <c r="M183" s="28">
        <f t="shared" si="222"/>
        <v>10468.071788876869</v>
      </c>
      <c r="N183" s="28">
        <f t="shared" si="223"/>
        <v>10153.998970383573</v>
      </c>
      <c r="O183" s="28">
        <f t="shared" si="223"/>
        <v>9792.9269202622418</v>
      </c>
      <c r="P183" s="28">
        <f t="shared" si="223"/>
        <v>9692.6620117735947</v>
      </c>
      <c r="Q183" s="28">
        <f t="shared" si="223"/>
        <v>10175.47687894613</v>
      </c>
      <c r="R183" s="28">
        <f t="shared" si="223"/>
        <v>10515.792908372056</v>
      </c>
      <c r="S183" s="28">
        <f t="shared" si="223"/>
        <v>10719.680853792452</v>
      </c>
      <c r="T183" s="28">
        <f t="shared" si="223"/>
        <v>10736.051451246787</v>
      </c>
      <c r="U183" s="28">
        <f t="shared" si="223"/>
        <v>9953.3684865715768</v>
      </c>
      <c r="V183" s="28">
        <f t="shared" si="223"/>
        <v>9143.4385309055942</v>
      </c>
      <c r="W183" s="28">
        <f t="shared" si="221"/>
        <v>10179.445872442993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11770.992689960216</v>
      </c>
      <c r="C184" s="137">
        <f t="shared" si="223"/>
        <v>10889.409425358195</v>
      </c>
      <c r="D184" s="137">
        <f t="shared" si="223"/>
        <v>11274.885131496754</v>
      </c>
      <c r="E184" s="137">
        <f t="shared" si="223"/>
        <v>12036.692253512214</v>
      </c>
      <c r="F184" s="137">
        <f t="shared" si="223"/>
        <v>11472.481525183537</v>
      </c>
      <c r="G184" s="137">
        <f t="shared" si="223"/>
        <v>10927.602866349134</v>
      </c>
      <c r="H184" s="137">
        <f t="shared" si="223"/>
        <v>10931.012837757913</v>
      </c>
      <c r="I184" s="137">
        <f t="shared" si="223"/>
        <v>10389.057412612316</v>
      </c>
      <c r="J184" s="137">
        <f t="shared" si="223"/>
        <v>10514.330275918273</v>
      </c>
      <c r="K184" s="137">
        <f t="shared" si="223"/>
        <v>10734.756877579372</v>
      </c>
      <c r="L184" s="137">
        <f t="shared" si="223"/>
        <v>10624.594184304693</v>
      </c>
      <c r="M184" s="137">
        <f t="shared" si="222"/>
        <v>9533.2401363444678</v>
      </c>
      <c r="N184" s="137">
        <f t="shared" si="223"/>
        <v>9312.4834373330868</v>
      </c>
      <c r="O184" s="137">
        <f t="shared" si="223"/>
        <v>8950.156532037654</v>
      </c>
      <c r="P184" s="137">
        <f t="shared" si="223"/>
        <v>9025.3694068703535</v>
      </c>
      <c r="Q184" s="137">
        <f t="shared" si="223"/>
        <v>9359.2190554947811</v>
      </c>
      <c r="R184" s="137">
        <f t="shared" si="223"/>
        <v>9732.7654646563715</v>
      </c>
      <c r="S184" s="137">
        <f t="shared" si="223"/>
        <v>10046.117898119886</v>
      </c>
      <c r="T184" s="137">
        <f t="shared" si="223"/>
        <v>10142.61363204058</v>
      </c>
      <c r="U184" s="137">
        <f t="shared" si="223"/>
        <v>9488.1137949261883</v>
      </c>
      <c r="V184" s="137">
        <f t="shared" si="223"/>
        <v>8720.08954787742</v>
      </c>
      <c r="W184" s="137">
        <f t="shared" si="221"/>
        <v>9688.210281019692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8385.77633634005</v>
      </c>
      <c r="C185" s="84">
        <f t="shared" si="223"/>
        <v>7638.4932539154879</v>
      </c>
      <c r="D185" s="84">
        <f t="shared" si="223"/>
        <v>7964.3420803100398</v>
      </c>
      <c r="E185" s="84">
        <f t="shared" si="223"/>
        <v>8613.9699748572511</v>
      </c>
      <c r="F185" s="84">
        <f t="shared" si="223"/>
        <v>8131.9304892450837</v>
      </c>
      <c r="G185" s="84">
        <f t="shared" si="223"/>
        <v>7670.9850835655616</v>
      </c>
      <c r="H185" s="84">
        <f t="shared" si="223"/>
        <v>7673.9762250096674</v>
      </c>
      <c r="I185" s="84">
        <f t="shared" si="223"/>
        <v>7219.6965139700378</v>
      </c>
      <c r="J185" s="84">
        <f t="shared" si="223"/>
        <v>7324.5452175465325</v>
      </c>
      <c r="K185" s="84">
        <f t="shared" si="223"/>
        <v>7509.4623844921589</v>
      </c>
      <c r="L185" s="84">
        <f t="shared" si="223"/>
        <v>7449.4689198526803</v>
      </c>
      <c r="M185" s="84">
        <f t="shared" si="222"/>
        <v>6674.4001780488406</v>
      </c>
      <c r="N185" s="84">
        <f t="shared" si="223"/>
        <v>6622.0107426265404</v>
      </c>
      <c r="O185" s="84">
        <f t="shared" si="223"/>
        <v>6442.7009275662513</v>
      </c>
      <c r="P185" s="84">
        <f t="shared" si="223"/>
        <v>6640.7460170684562</v>
      </c>
      <c r="Q185" s="84">
        <f t="shared" si="223"/>
        <v>7077.4644556043932</v>
      </c>
      <c r="R185" s="84">
        <f t="shared" si="223"/>
        <v>7072.379569378013</v>
      </c>
      <c r="S185" s="84">
        <f t="shared" si="223"/>
        <v>7017.3563633497852</v>
      </c>
      <c r="T185" s="84">
        <f t="shared" si="223"/>
        <v>6808.3906829519892</v>
      </c>
      <c r="U185" s="84">
        <f t="shared" si="223"/>
        <v>6125.8774939574769</v>
      </c>
      <c r="V185" s="84">
        <f t="shared" si="223"/>
        <v>5425.6065892434208</v>
      </c>
      <c r="W185" s="84">
        <f t="shared" si="221"/>
        <v>6002.1886737265395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11833.50506067863</v>
      </c>
      <c r="C186" s="84">
        <f t="shared" si="223"/>
        <v>10942.973361960128</v>
      </c>
      <c r="D186" s="84">
        <f t="shared" si="223"/>
        <v>11327.772719369139</v>
      </c>
      <c r="E186" s="84">
        <f t="shared" si="223"/>
        <v>12097.855486729111</v>
      </c>
      <c r="F186" s="84">
        <f t="shared" si="223"/>
        <v>11527.874588426805</v>
      </c>
      <c r="G186" s="84">
        <f t="shared" si="223"/>
        <v>10980.118666736873</v>
      </c>
      <c r="H186" s="84">
        <f t="shared" si="223"/>
        <v>10982.091639768032</v>
      </c>
      <c r="I186" s="84">
        <f t="shared" si="223"/>
        <v>10437.365454243351</v>
      </c>
      <c r="J186" s="84">
        <f t="shared" si="223"/>
        <v>10561.616470243998</v>
      </c>
      <c r="K186" s="84">
        <f t="shared" si="223"/>
        <v>10781.263916636331</v>
      </c>
      <c r="L186" s="84">
        <f t="shared" si="223"/>
        <v>10669.06404588401</v>
      </c>
      <c r="M186" s="84">
        <f t="shared" si="222"/>
        <v>9569.3813683294302</v>
      </c>
      <c r="N186" s="84">
        <f t="shared" si="223"/>
        <v>9345.9807689224472</v>
      </c>
      <c r="O186" s="84">
        <f t="shared" si="223"/>
        <v>8979.0326676195091</v>
      </c>
      <c r="P186" s="84">
        <f t="shared" si="223"/>
        <v>9049.1856370086025</v>
      </c>
      <c r="Q186" s="84">
        <f t="shared" si="223"/>
        <v>9384.1058888328935</v>
      </c>
      <c r="R186" s="84">
        <f t="shared" si="223"/>
        <v>9760.1133109876828</v>
      </c>
      <c r="S186" s="84">
        <f t="shared" si="223"/>
        <v>10079.452133813464</v>
      </c>
      <c r="T186" s="84">
        <f t="shared" si="223"/>
        <v>10178.457313942714</v>
      </c>
      <c r="U186" s="84">
        <f t="shared" si="223"/>
        <v>9531.9091523514799</v>
      </c>
      <c r="V186" s="84">
        <f t="shared" si="223"/>
        <v>8754.3883704153777</v>
      </c>
      <c r="W186" s="84">
        <f t="shared" si="221"/>
        <v>9726.9127752919321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9346.0900840541399</v>
      </c>
      <c r="C187" s="84">
        <f t="shared" si="223"/>
        <v>8646.6985130585927</v>
      </c>
      <c r="D187" s="84">
        <f t="shared" si="223"/>
        <v>8953.0048863033426</v>
      </c>
      <c r="E187" s="84">
        <f t="shared" si="223"/>
        <v>9557.5525616129271</v>
      </c>
      <c r="F187" s="84">
        <f t="shared" si="223"/>
        <v>9109.7253125817533</v>
      </c>
      <c r="G187" s="84">
        <f t="shared" si="223"/>
        <v>8719.587741197136</v>
      </c>
      <c r="H187" s="84">
        <f t="shared" si="223"/>
        <v>8810.5262636888474</v>
      </c>
      <c r="I187" s="84">
        <f t="shared" si="223"/>
        <v>8458.2801616652741</v>
      </c>
      <c r="J187" s="84">
        <f t="shared" si="223"/>
        <v>8646.990333965583</v>
      </c>
      <c r="K187" s="84">
        <f t="shared" si="223"/>
        <v>8917.7083274140859</v>
      </c>
      <c r="L187" s="84">
        <f t="shared" si="223"/>
        <v>8915.4219067568338</v>
      </c>
      <c r="M187" s="84">
        <f t="shared" si="222"/>
        <v>8080.4251191641179</v>
      </c>
      <c r="N187" s="84">
        <f t="shared" si="223"/>
        <v>7973.2511499692546</v>
      </c>
      <c r="O187" s="84">
        <f t="shared" si="223"/>
        <v>7740.2274289298775</v>
      </c>
      <c r="P187" s="84">
        <f t="shared" si="223"/>
        <v>7884.3217507860363</v>
      </c>
      <c r="Q187" s="84">
        <f t="shared" si="223"/>
        <v>8257.8735730473654</v>
      </c>
      <c r="R187" s="84">
        <f t="shared" si="223"/>
        <v>8309.117768047161</v>
      </c>
      <c r="S187" s="84">
        <f t="shared" si="223"/>
        <v>8311.416034335547</v>
      </c>
      <c r="T187" s="84">
        <f t="shared" si="223"/>
        <v>8159.8266768359008</v>
      </c>
      <c r="U187" s="84">
        <f t="shared" si="223"/>
        <v>7523.113219503547</v>
      </c>
      <c r="V187" s="84">
        <f t="shared" si="223"/>
        <v>6845.5927072417753</v>
      </c>
      <c r="W187" s="84">
        <f t="shared" si="221"/>
        <v>7398.9585501795036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8825.3650954379846</v>
      </c>
      <c r="P188" s="84">
        <f t="shared" si="223"/>
        <v>8993.4347640442411</v>
      </c>
      <c r="Q188" s="84">
        <f t="shared" si="223"/>
        <v>9436.6192741391915</v>
      </c>
      <c r="R188" s="84">
        <f t="shared" si="223"/>
        <v>9502.889797018026</v>
      </c>
      <c r="S188" s="84">
        <f t="shared" si="223"/>
        <v>9510.4276465279709</v>
      </c>
      <c r="T188" s="84">
        <f t="shared" si="223"/>
        <v>9333.0693728690185</v>
      </c>
      <c r="U188" s="84">
        <f t="shared" si="223"/>
        <v>8574.2320166860172</v>
      </c>
      <c r="V188" s="84">
        <f t="shared" si="223"/>
        <v>7769.2232820281506</v>
      </c>
      <c r="W188" s="84">
        <f t="shared" si="221"/>
        <v>8434.1895701404301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6425.7863460487824</v>
      </c>
      <c r="N189" s="84">
        <f t="shared" si="223"/>
        <v>6433.3097161187698</v>
      </c>
      <c r="O189" s="84">
        <f t="shared" si="223"/>
        <v>6446.096256788941</v>
      </c>
      <c r="P189" s="84">
        <f t="shared" si="223"/>
        <v>6448.8025067199569</v>
      </c>
      <c r="Q189" s="84">
        <f t="shared" si="223"/>
        <v>6460.4985183369263</v>
      </c>
      <c r="R189" s="84">
        <f t="shared" si="223"/>
        <v>6455.2558020390534</v>
      </c>
      <c r="S189" s="84">
        <f t="shared" si="223"/>
        <v>6451.9235255158619</v>
      </c>
      <c r="T189" s="84">
        <f t="shared" si="223"/>
        <v>6449.2282389976699</v>
      </c>
      <c r="U189" s="84">
        <f t="shared" si="223"/>
        <v>6426.3121999053246</v>
      </c>
      <c r="V189" s="84">
        <f t="shared" si="223"/>
        <v>6032.4748274303238</v>
      </c>
      <c r="W189" s="84">
        <f t="shared" si="221"/>
        <v>6425.2005821878292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18296.973564664688</v>
      </c>
      <c r="C190" s="110">
        <f t="shared" si="223"/>
        <v>20310.855299813902</v>
      </c>
      <c r="D190" s="110">
        <f t="shared" si="223"/>
        <v>19303.582141535891</v>
      </c>
      <c r="E190" s="110">
        <f t="shared" si="223"/>
        <v>19737.133954846133</v>
      </c>
      <c r="F190" s="110">
        <f t="shared" si="223"/>
        <v>25710.604995385627</v>
      </c>
      <c r="G190" s="110">
        <f t="shared" si="223"/>
        <v>27027.492570155529</v>
      </c>
      <c r="H190" s="110">
        <f t="shared" si="223"/>
        <v>27398.952776320028</v>
      </c>
      <c r="I190" s="110">
        <f t="shared" si="223"/>
        <v>28335.594196162812</v>
      </c>
      <c r="J190" s="110">
        <f t="shared" si="223"/>
        <v>25784.725711313291</v>
      </c>
      <c r="K190" s="110">
        <f t="shared" si="223"/>
        <v>22821.565714709221</v>
      </c>
      <c r="L190" s="110">
        <f t="shared" si="223"/>
        <v>23489.444621447652</v>
      </c>
      <c r="M190" s="110">
        <f t="shared" si="222"/>
        <v>24153.674596717254</v>
      </c>
      <c r="N190" s="110">
        <f t="shared" si="223"/>
        <v>23538.754168345567</v>
      </c>
      <c r="O190" s="110">
        <f t="shared" si="223"/>
        <v>24237.255781201362</v>
      </c>
      <c r="P190" s="110">
        <f t="shared" si="223"/>
        <v>20665.187487713229</v>
      </c>
      <c r="Q190" s="110">
        <f t="shared" si="223"/>
        <v>23230.730941275098</v>
      </c>
      <c r="R190" s="110">
        <f t="shared" si="223"/>
        <v>23318.247084232935</v>
      </c>
      <c r="S190" s="110">
        <f t="shared" si="223"/>
        <v>20637.259600030666</v>
      </c>
      <c r="T190" s="110">
        <f t="shared" si="223"/>
        <v>19039.798622177415</v>
      </c>
      <c r="U190" s="110">
        <f t="shared" si="223"/>
        <v>16097.022159642773</v>
      </c>
      <c r="V190" s="110">
        <f t="shared" si="223"/>
        <v>14707.728478752078</v>
      </c>
      <c r="W190" s="110">
        <f t="shared" si="221"/>
        <v>16827.951753005844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15639.009946410326</v>
      </c>
      <c r="C191" s="102">
        <f t="shared" si="223"/>
        <v>17623.021466016366</v>
      </c>
      <c r="D191" s="102">
        <f t="shared" si="223"/>
        <v>16391.419698496597</v>
      </c>
      <c r="E191" s="102">
        <f t="shared" si="223"/>
        <v>16658.637117927305</v>
      </c>
      <c r="F191" s="102">
        <f t="shared" si="223"/>
        <v>22166.894225363423</v>
      </c>
      <c r="G191" s="102">
        <f t="shared" si="223"/>
        <v>23394.735312917659</v>
      </c>
      <c r="H191" s="102">
        <f t="shared" si="223"/>
        <v>23510.236626720762</v>
      </c>
      <c r="I191" s="102">
        <f t="shared" si="223"/>
        <v>24147.277271287268</v>
      </c>
      <c r="J191" s="102">
        <f t="shared" si="223"/>
        <v>22126.702375251945</v>
      </c>
      <c r="K191" s="102">
        <f t="shared" si="223"/>
        <v>19015.044870666901</v>
      </c>
      <c r="L191" s="102">
        <f t="shared" si="223"/>
        <v>20055.654719010188</v>
      </c>
      <c r="M191" s="102">
        <f t="shared" si="222"/>
        <v>20348.597723875766</v>
      </c>
      <c r="N191" s="102">
        <f t="shared" si="223"/>
        <v>19629.902066836861</v>
      </c>
      <c r="O191" s="102">
        <f t="shared" si="223"/>
        <v>19419.479818349264</v>
      </c>
      <c r="P191" s="102">
        <f t="shared" si="223"/>
        <v>16035.372969342494</v>
      </c>
      <c r="Q191" s="102">
        <f t="shared" si="223"/>
        <v>19240.126228573812</v>
      </c>
      <c r="R191" s="102">
        <f t="shared" si="223"/>
        <v>18832.175460756731</v>
      </c>
      <c r="S191" s="102">
        <f t="shared" si="223"/>
        <v>16636.208960867098</v>
      </c>
      <c r="T191" s="102">
        <f t="shared" si="223"/>
        <v>15110.93437503655</v>
      </c>
      <c r="U191" s="102">
        <f t="shared" si="223"/>
        <v>12554.921569017277</v>
      </c>
      <c r="V191" s="102">
        <f t="shared" si="223"/>
        <v>11400.720943625622</v>
      </c>
      <c r="W191" s="102">
        <f t="shared" si="221"/>
        <v>12877.871154678774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84999.2034132384</v>
      </c>
      <c r="C192" s="86">
        <f t="shared" si="223"/>
        <v>84995.301498678498</v>
      </c>
      <c r="D192" s="86">
        <f t="shared" si="223"/>
        <v>84995.103583382152</v>
      </c>
      <c r="E192" s="86">
        <f t="shared" si="223"/>
        <v>84999.729745223565</v>
      </c>
      <c r="F192" s="86">
        <f t="shared" si="223"/>
        <v>84992.60107654208</v>
      </c>
      <c r="G192" s="86">
        <f t="shared" si="223"/>
        <v>84998.671761370744</v>
      </c>
      <c r="H192" s="86">
        <f t="shared" si="223"/>
        <v>85004.90911992341</v>
      </c>
      <c r="I192" s="86">
        <f t="shared" si="223"/>
        <v>84995.544443205363</v>
      </c>
      <c r="J192" s="86">
        <f t="shared" si="223"/>
        <v>84994.198242251441</v>
      </c>
      <c r="K192" s="86">
        <f t="shared" si="223"/>
        <v>84994.967422465634</v>
      </c>
      <c r="L192" s="86">
        <f t="shared" si="223"/>
        <v>85003.727721736985</v>
      </c>
      <c r="M192" s="86">
        <f t="shared" si="222"/>
        <v>84995.521944942288</v>
      </c>
      <c r="N192" s="86">
        <f t="shared" si="223"/>
        <v>85006.761143601499</v>
      </c>
      <c r="O192" s="86">
        <f t="shared" si="223"/>
        <v>85005.109694379673</v>
      </c>
      <c r="P192" s="86">
        <f t="shared" si="223"/>
        <v>85000.974807254548</v>
      </c>
      <c r="Q192" s="86">
        <f t="shared" si="223"/>
        <v>85003.093497492344</v>
      </c>
      <c r="R192" s="86">
        <f t="shared" si="223"/>
        <v>84998.854517495216</v>
      </c>
      <c r="S192" s="86">
        <f t="shared" si="223"/>
        <v>84992.289594847854</v>
      </c>
      <c r="T192" s="86">
        <f t="shared" si="223"/>
        <v>84997.352518661093</v>
      </c>
      <c r="U192" s="86">
        <f t="shared" si="223"/>
        <v>84992.659285656642</v>
      </c>
      <c r="V192" s="86">
        <f t="shared" ref="V192:W192" si="224">IF(V55=0,0,V55*1000000/V82)</f>
        <v>85005.817016196466</v>
      </c>
      <c r="W192" s="86">
        <f t="shared" si="224"/>
        <v>85004.117695812383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21099.659154905756</v>
      </c>
      <c r="C195" s="28">
        <f t="shared" si="225"/>
        <v>20681.04978509196</v>
      </c>
      <c r="D195" s="28">
        <f t="shared" si="225"/>
        <v>20017.776118518959</v>
      </c>
      <c r="E195" s="28">
        <f t="shared" si="225"/>
        <v>20612.044470747758</v>
      </c>
      <c r="F195" s="28">
        <f t="shared" si="225"/>
        <v>20392.056705091931</v>
      </c>
      <c r="G195" s="28">
        <f t="shared" si="225"/>
        <v>19477.573564123224</v>
      </c>
      <c r="H195" s="28">
        <f t="shared" si="225"/>
        <v>19399.477160390601</v>
      </c>
      <c r="I195" s="28">
        <f t="shared" si="225"/>
        <v>19270.633148171051</v>
      </c>
      <c r="J195" s="28">
        <f t="shared" si="225"/>
        <v>19255.779842352877</v>
      </c>
      <c r="K195" s="28">
        <f t="shared" si="225"/>
        <v>18789.303718206582</v>
      </c>
      <c r="L195" s="28">
        <f t="shared" si="225"/>
        <v>17627.62085984532</v>
      </c>
      <c r="M195" s="28">
        <f>IF(M4=0,0,M4*1000000/M58)</f>
        <v>17414.233360989649</v>
      </c>
      <c r="N195" s="28">
        <f t="shared" ref="N195:V195" si="226">IF(N4=0,0,N4*1000000/N58)</f>
        <v>18844.435303134673</v>
      </c>
      <c r="O195" s="28">
        <f t="shared" si="226"/>
        <v>18524.070601817246</v>
      </c>
      <c r="P195" s="28">
        <f t="shared" si="226"/>
        <v>17396.446506922024</v>
      </c>
      <c r="Q195" s="28">
        <f t="shared" si="226"/>
        <v>17428.357908922804</v>
      </c>
      <c r="R195" s="28">
        <f t="shared" si="226"/>
        <v>18039.172837866805</v>
      </c>
      <c r="S195" s="28">
        <f t="shared" si="226"/>
        <v>17694.804943043757</v>
      </c>
      <c r="T195" s="28">
        <f t="shared" si="226"/>
        <v>17572.21706424309</v>
      </c>
      <c r="U195" s="28">
        <f t="shared" si="226"/>
        <v>17268.628808579841</v>
      </c>
      <c r="V195" s="28">
        <f t="shared" si="226"/>
        <v>14647.609019927551</v>
      </c>
      <c r="W195" s="28">
        <f t="shared" ref="W195" si="227">IF(W4=0,0,W4*1000000/W58)</f>
        <v>15667.56784358659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2931.5272394398489</v>
      </c>
      <c r="C196" s="137">
        <f t="shared" si="228"/>
        <v>3082.3681797361105</v>
      </c>
      <c r="D196" s="137">
        <f t="shared" si="228"/>
        <v>3251.2742334600912</v>
      </c>
      <c r="E196" s="137">
        <f t="shared" si="228"/>
        <v>3383.9879067099173</v>
      </c>
      <c r="F196" s="137">
        <f t="shared" si="228"/>
        <v>3571.7533076770019</v>
      </c>
      <c r="G196" s="137">
        <f t="shared" si="228"/>
        <v>3698.6396685241593</v>
      </c>
      <c r="H196" s="137">
        <f t="shared" si="228"/>
        <v>4097.3686081470742</v>
      </c>
      <c r="I196" s="137">
        <f t="shared" si="228"/>
        <v>4043.3436235606018</v>
      </c>
      <c r="J196" s="137">
        <f t="shared" si="228"/>
        <v>4103.2318088698503</v>
      </c>
      <c r="K196" s="137">
        <f t="shared" si="228"/>
        <v>3852.7816852190635</v>
      </c>
      <c r="L196" s="137">
        <f t="shared" si="228"/>
        <v>3991.0041900025331</v>
      </c>
      <c r="M196" s="137">
        <f>IF(M5=0,0,M5*1000000/M59)</f>
        <v>3911.345297000134</v>
      </c>
      <c r="N196" s="137">
        <f t="shared" ref="N196:V196" si="229">IF(N5=0,0,N5*1000000/N59)</f>
        <v>3902.3027470815732</v>
      </c>
      <c r="O196" s="137">
        <f t="shared" si="229"/>
        <v>3779.5970647451045</v>
      </c>
      <c r="P196" s="137">
        <f t="shared" si="229"/>
        <v>3717.4336401995483</v>
      </c>
      <c r="Q196" s="137">
        <f t="shared" si="229"/>
        <v>3482.9941272469337</v>
      </c>
      <c r="R196" s="137">
        <f t="shared" si="229"/>
        <v>3549.8176536057808</v>
      </c>
      <c r="S196" s="137">
        <f t="shared" si="229"/>
        <v>3156.1473807811817</v>
      </c>
      <c r="T196" s="137">
        <f t="shared" si="229"/>
        <v>2910.5102394141636</v>
      </c>
      <c r="U196" s="137">
        <f t="shared" si="229"/>
        <v>2906.5520598215621</v>
      </c>
      <c r="V196" s="137">
        <f t="shared" si="229"/>
        <v>2829.0959919944712</v>
      </c>
      <c r="W196" s="137">
        <f t="shared" ref="W196" si="230">IF(W5=0,0,W5*1000000/W59)</f>
        <v>2965.2444081057565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20621.550972988673</v>
      </c>
      <c r="C197" s="110">
        <f t="shared" si="231"/>
        <v>20395.653385344107</v>
      </c>
      <c r="D197" s="110">
        <f t="shared" si="231"/>
        <v>20000</v>
      </c>
      <c r="E197" s="110">
        <f t="shared" si="231"/>
        <v>20549.672213817445</v>
      </c>
      <c r="F197" s="110">
        <f t="shared" si="231"/>
        <v>20243.90243902439</v>
      </c>
      <c r="G197" s="110">
        <f t="shared" si="231"/>
        <v>20238.095238095237</v>
      </c>
      <c r="H197" s="110">
        <f t="shared" si="231"/>
        <v>20046.620046620046</v>
      </c>
      <c r="I197" s="110">
        <f t="shared" si="231"/>
        <v>19776.204612925329</v>
      </c>
      <c r="J197" s="110">
        <f t="shared" si="231"/>
        <v>19736.84210526316</v>
      </c>
      <c r="K197" s="110">
        <f t="shared" si="231"/>
        <v>19295.490240071798</v>
      </c>
      <c r="L197" s="110">
        <f t="shared" si="231"/>
        <v>17838.874680306904</v>
      </c>
      <c r="M197" s="110">
        <f>IF(M6=0,0,M6*1000000/M60)</f>
        <v>17654.192209354449</v>
      </c>
      <c r="N197" s="110">
        <f t="shared" ref="N197:V197" si="232">IF(N6=0,0,N6*1000000/N60)</f>
        <v>19284.051050199851</v>
      </c>
      <c r="O197" s="110">
        <f t="shared" si="232"/>
        <v>18917.701550726073</v>
      </c>
      <c r="P197" s="110">
        <f t="shared" si="232"/>
        <v>17732.380358540893</v>
      </c>
      <c r="Q197" s="110">
        <f t="shared" si="232"/>
        <v>17884.505450207595</v>
      </c>
      <c r="R197" s="110">
        <f t="shared" si="232"/>
        <v>18651.076887550265</v>
      </c>
      <c r="S197" s="110">
        <f t="shared" si="232"/>
        <v>18221.566855858353</v>
      </c>
      <c r="T197" s="110">
        <f t="shared" si="232"/>
        <v>18069.47181892323</v>
      </c>
      <c r="U197" s="110">
        <f t="shared" si="232"/>
        <v>17841.186200051103</v>
      </c>
      <c r="V197" s="110">
        <f t="shared" si="232"/>
        <v>15304.562997413041</v>
      </c>
      <c r="W197" s="110">
        <f t="shared" ref="W197:W209" si="233">IF(W6=0,0,W6*1000000/W60)</f>
        <v>16083.664279830438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19107.568058715056</v>
      </c>
      <c r="C198" s="84">
        <f t="shared" si="231"/>
        <v>17806.748837005023</v>
      </c>
      <c r="D198" s="84">
        <f t="shared" si="231"/>
        <v>16911.338650602596</v>
      </c>
      <c r="E198" s="84">
        <f t="shared" si="231"/>
        <v>16561.570192230836</v>
      </c>
      <c r="F198" s="84">
        <f t="shared" si="231"/>
        <v>15412.342430813087</v>
      </c>
      <c r="G198" s="84">
        <f t="shared" si="231"/>
        <v>14638.950186680831</v>
      </c>
      <c r="H198" s="84">
        <f t="shared" si="231"/>
        <v>13608.402969659535</v>
      </c>
      <c r="I198" s="84">
        <f t="shared" si="231"/>
        <v>12995.92190160407</v>
      </c>
      <c r="J198" s="84">
        <f t="shared" si="231"/>
        <v>12431.4596186374</v>
      </c>
      <c r="K198" s="84">
        <f t="shared" si="231"/>
        <v>12040.53628399606</v>
      </c>
      <c r="L198" s="84">
        <f t="shared" si="231"/>
        <v>10620.301057262037</v>
      </c>
      <c r="M198" s="84">
        <f t="shared" ref="M198:M219" si="234">IF(M7=0,0,M7*1000000/M61)</f>
        <v>10063.614300016312</v>
      </c>
      <c r="N198" s="84">
        <f t="shared" si="231"/>
        <v>11408.945156655478</v>
      </c>
      <c r="O198" s="84">
        <f t="shared" si="231"/>
        <v>11054.046743473213</v>
      </c>
      <c r="P198" s="84">
        <f t="shared" si="231"/>
        <v>10253.46788537575</v>
      </c>
      <c r="Q198" s="84">
        <f t="shared" si="231"/>
        <v>10717.20992299711</v>
      </c>
      <c r="R198" s="84">
        <f t="shared" si="231"/>
        <v>11031.921253293878</v>
      </c>
      <c r="S198" s="84">
        <f t="shared" si="231"/>
        <v>10662.982370434725</v>
      </c>
      <c r="T198" s="84">
        <f t="shared" si="231"/>
        <v>10523.281789497218</v>
      </c>
      <c r="U198" s="84">
        <f t="shared" si="231"/>
        <v>10453.691096489167</v>
      </c>
      <c r="V198" s="84">
        <f t="shared" si="231"/>
        <v>8831.9208900711383</v>
      </c>
      <c r="W198" s="84">
        <f t="shared" si="233"/>
        <v>9887.7469630448904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23873.956439226567</v>
      </c>
      <c r="C199" s="84">
        <f t="shared" si="231"/>
        <v>26110.590664854968</v>
      </c>
      <c r="D199" s="84">
        <f t="shared" si="231"/>
        <v>26707.80192973651</v>
      </c>
      <c r="E199" s="84">
        <f t="shared" si="231"/>
        <v>28648.993271568848</v>
      </c>
      <c r="F199" s="84">
        <f t="shared" si="231"/>
        <v>29580.994475825606</v>
      </c>
      <c r="G199" s="84">
        <f t="shared" si="231"/>
        <v>30141.732752982167</v>
      </c>
      <c r="H199" s="84">
        <f t="shared" si="231"/>
        <v>30552.750468571128</v>
      </c>
      <c r="I199" s="84">
        <f t="shared" si="231"/>
        <v>29892.433186805534</v>
      </c>
      <c r="J199" s="84">
        <f t="shared" si="231"/>
        <v>29691.243516994247</v>
      </c>
      <c r="K199" s="84">
        <f t="shared" si="231"/>
        <v>28501.723566333472</v>
      </c>
      <c r="L199" s="84">
        <f t="shared" si="231"/>
        <v>26763.829957255071</v>
      </c>
      <c r="M199" s="84">
        <f t="shared" si="234"/>
        <v>26412.176164320645</v>
      </c>
      <c r="N199" s="84">
        <f t="shared" si="231"/>
        <v>27588.405384000125</v>
      </c>
      <c r="O199" s="84">
        <f t="shared" si="231"/>
        <v>26931.152976118399</v>
      </c>
      <c r="P199" s="84">
        <f t="shared" si="231"/>
        <v>24937.673762034785</v>
      </c>
      <c r="Q199" s="84">
        <f t="shared" si="231"/>
        <v>24236.071320213021</v>
      </c>
      <c r="R199" s="84">
        <f t="shared" si="231"/>
        <v>24947.764596835783</v>
      </c>
      <c r="S199" s="84">
        <f t="shared" si="231"/>
        <v>24113.440258503357</v>
      </c>
      <c r="T199" s="84">
        <f t="shared" si="231"/>
        <v>23797.519112290534</v>
      </c>
      <c r="U199" s="84">
        <f t="shared" si="231"/>
        <v>23522.92865251745</v>
      </c>
      <c r="V199" s="84">
        <f t="shared" si="231"/>
        <v>20029.349020470032</v>
      </c>
      <c r="W199" s="84">
        <f t="shared" si="233"/>
        <v>20538.602057190652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23712.839256189807</v>
      </c>
      <c r="C200" s="84">
        <f t="shared" si="231"/>
        <v>23132.81135100852</v>
      </c>
      <c r="D200" s="84">
        <f t="shared" si="231"/>
        <v>22463.183514265678</v>
      </c>
      <c r="E200" s="84">
        <f t="shared" si="231"/>
        <v>25007.403252784959</v>
      </c>
      <c r="F200" s="84">
        <f t="shared" si="231"/>
        <v>24930.212593864686</v>
      </c>
      <c r="G200" s="84">
        <f t="shared" si="231"/>
        <v>22856.714393965613</v>
      </c>
      <c r="H200" s="84">
        <f t="shared" si="231"/>
        <v>22396.497397823441</v>
      </c>
      <c r="I200" s="84">
        <f t="shared" si="231"/>
        <v>21483.192212366208</v>
      </c>
      <c r="J200" s="84">
        <f t="shared" si="231"/>
        <v>22493.43919825332</v>
      </c>
      <c r="K200" s="84">
        <f t="shared" si="231"/>
        <v>21579.350953143647</v>
      </c>
      <c r="L200" s="84">
        <f t="shared" si="231"/>
        <v>20002.368399170326</v>
      </c>
      <c r="M200" s="84">
        <f t="shared" si="234"/>
        <v>18536.584315468994</v>
      </c>
      <c r="N200" s="84">
        <f t="shared" si="231"/>
        <v>20700.007219463918</v>
      </c>
      <c r="O200" s="84">
        <f t="shared" si="231"/>
        <v>19641.627943109474</v>
      </c>
      <c r="P200" s="84">
        <f t="shared" si="231"/>
        <v>18189.055565369155</v>
      </c>
      <c r="Q200" s="84">
        <f t="shared" si="231"/>
        <v>18522.34127838277</v>
      </c>
      <c r="R200" s="84">
        <f t="shared" si="231"/>
        <v>19272.356199355563</v>
      </c>
      <c r="S200" s="84">
        <f t="shared" si="231"/>
        <v>18825.538312492936</v>
      </c>
      <c r="T200" s="84">
        <f t="shared" si="231"/>
        <v>18768.950787624188</v>
      </c>
      <c r="U200" s="84">
        <f t="shared" si="231"/>
        <v>18734.332640173208</v>
      </c>
      <c r="V200" s="84">
        <f t="shared" si="231"/>
        <v>15368.099188537375</v>
      </c>
      <c r="W200" s="84">
        <f t="shared" si="233"/>
        <v>16682.005477440471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15637.154553692117</v>
      </c>
      <c r="M201" s="84">
        <f t="shared" si="234"/>
        <v>14784.008277187417</v>
      </c>
      <c r="N201" s="84">
        <f t="shared" si="231"/>
        <v>16509.46435773548</v>
      </c>
      <c r="O201" s="84">
        <f t="shared" si="231"/>
        <v>15775.235074829532</v>
      </c>
      <c r="P201" s="84">
        <f t="shared" si="231"/>
        <v>14903.720186676634</v>
      </c>
      <c r="Q201" s="84">
        <f t="shared" si="231"/>
        <v>15176.807318172843</v>
      </c>
      <c r="R201" s="84">
        <f t="shared" si="231"/>
        <v>15791.353382856549</v>
      </c>
      <c r="S201" s="84">
        <f t="shared" si="231"/>
        <v>15425.240434536052</v>
      </c>
      <c r="T201" s="84">
        <f t="shared" si="231"/>
        <v>15378.873836024679</v>
      </c>
      <c r="U201" s="84">
        <f t="shared" si="231"/>
        <v>15350.508471966263</v>
      </c>
      <c r="V201" s="84">
        <f t="shared" si="231"/>
        <v>12592.28931837092</v>
      </c>
      <c r="W201" s="84">
        <f t="shared" si="233"/>
        <v>13668.87581902517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11359.219681888562</v>
      </c>
      <c r="N202" s="84">
        <f t="shared" si="231"/>
        <v>13004.401868729639</v>
      </c>
      <c r="O202" s="84">
        <f t="shared" si="231"/>
        <v>12983.257699689451</v>
      </c>
      <c r="P202" s="84">
        <f t="shared" si="231"/>
        <v>12265.98773012436</v>
      </c>
      <c r="Q202" s="84">
        <f t="shared" si="231"/>
        <v>12490.742580740909</v>
      </c>
      <c r="R202" s="84">
        <f t="shared" si="231"/>
        <v>12996.523311631528</v>
      </c>
      <c r="S202" s="84">
        <f t="shared" si="231"/>
        <v>12695.206803022258</v>
      </c>
      <c r="T202" s="84">
        <f t="shared" si="231"/>
        <v>12657.046389293037</v>
      </c>
      <c r="U202" s="84">
        <f t="shared" si="231"/>
        <v>12633.701264509222</v>
      </c>
      <c r="V202" s="84">
        <f t="shared" si="231"/>
        <v>10363.645072415704</v>
      </c>
      <c r="W202" s="84">
        <f t="shared" si="233"/>
        <v>11249.692089002052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15922.743579001168</v>
      </c>
      <c r="K203" s="84">
        <f t="shared" si="231"/>
        <v>15387.452825379938</v>
      </c>
      <c r="L203" s="84">
        <f t="shared" si="231"/>
        <v>14713.986013515061</v>
      </c>
      <c r="M203" s="84">
        <f t="shared" si="234"/>
        <v>15047.819349608952</v>
      </c>
      <c r="N203" s="84">
        <f t="shared" si="231"/>
        <v>16104.765973220472</v>
      </c>
      <c r="O203" s="84">
        <f t="shared" si="231"/>
        <v>15957.075645359941</v>
      </c>
      <c r="P203" s="84">
        <f t="shared" si="231"/>
        <v>15651.681919127075</v>
      </c>
      <c r="Q203" s="84">
        <f t="shared" si="231"/>
        <v>15933.215422974898</v>
      </c>
      <c r="R203" s="84">
        <f t="shared" si="231"/>
        <v>16517.485674973996</v>
      </c>
      <c r="S203" s="84">
        <f t="shared" si="231"/>
        <v>16239.234289550395</v>
      </c>
      <c r="T203" s="84">
        <f t="shared" si="231"/>
        <v>16586.53828023262</v>
      </c>
      <c r="U203" s="84">
        <f t="shared" si="231"/>
        <v>16601.470105640205</v>
      </c>
      <c r="V203" s="84">
        <f t="shared" si="231"/>
        <v>14601.615391623081</v>
      </c>
      <c r="W203" s="84">
        <f t="shared" si="233"/>
        <v>16586.730739457915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597623.86248736095</v>
      </c>
      <c r="C204" s="110">
        <f t="shared" si="231"/>
        <v>537524.08477842005</v>
      </c>
      <c r="D204" s="110">
        <f t="shared" si="231"/>
        <v>464581.28769813437</v>
      </c>
      <c r="E204" s="110">
        <f t="shared" si="231"/>
        <v>486630.02817161597</v>
      </c>
      <c r="F204" s="110">
        <f t="shared" si="231"/>
        <v>495825.68807339447</v>
      </c>
      <c r="G204" s="110">
        <f t="shared" si="231"/>
        <v>434527.95193170797</v>
      </c>
      <c r="H204" s="110">
        <f t="shared" si="231"/>
        <v>404289.55105273629</v>
      </c>
      <c r="I204" s="110">
        <f t="shared" si="231"/>
        <v>413823.7022061568</v>
      </c>
      <c r="J204" s="110">
        <f t="shared" si="231"/>
        <v>407962.97094656614</v>
      </c>
      <c r="K204" s="110">
        <f t="shared" si="231"/>
        <v>387119.9989813026</v>
      </c>
      <c r="L204" s="110">
        <f t="shared" si="231"/>
        <v>385754.06808142381</v>
      </c>
      <c r="M204" s="110">
        <f t="shared" si="234"/>
        <v>377589.87930032914</v>
      </c>
      <c r="N204" s="110">
        <f t="shared" si="231"/>
        <v>461101.91534641758</v>
      </c>
      <c r="O204" s="110">
        <f t="shared" si="231"/>
        <v>486117.83696529467</v>
      </c>
      <c r="P204" s="110">
        <f t="shared" si="231"/>
        <v>372808.75181231048</v>
      </c>
      <c r="Q204" s="110">
        <f t="shared" si="231"/>
        <v>366152.81501340476</v>
      </c>
      <c r="R204" s="110">
        <f t="shared" si="231"/>
        <v>352546.20396223903</v>
      </c>
      <c r="S204" s="110">
        <f t="shared" si="231"/>
        <v>403960.52460719389</v>
      </c>
      <c r="T204" s="110">
        <f t="shared" si="231"/>
        <v>426622.60536398459</v>
      </c>
      <c r="U204" s="110">
        <f t="shared" si="231"/>
        <v>373418.26140636398</v>
      </c>
      <c r="V204" s="110">
        <f t="shared" si="231"/>
        <v>250040.79752582745</v>
      </c>
      <c r="W204" s="110">
        <f t="shared" si="233"/>
        <v>366515.9248013437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77676.714899885221</v>
      </c>
      <c r="M205" s="102">
        <f t="shared" si="234"/>
        <v>79782.709593799416</v>
      </c>
      <c r="N205" s="102">
        <f t="shared" si="231"/>
        <v>86115.16995713512</v>
      </c>
      <c r="O205" s="102">
        <f t="shared" si="231"/>
        <v>91607.993608187971</v>
      </c>
      <c r="P205" s="102">
        <f t="shared" si="231"/>
        <v>80533.131553110361</v>
      </c>
      <c r="Q205" s="102">
        <f t="shared" si="231"/>
        <v>82748.792234184206</v>
      </c>
      <c r="R205" s="102">
        <f t="shared" si="231"/>
        <v>85622.137701088024</v>
      </c>
      <c r="S205" s="102">
        <f t="shared" si="231"/>
        <v>86483.689778496686</v>
      </c>
      <c r="T205" s="102">
        <f t="shared" si="231"/>
        <v>90464.269125356383</v>
      </c>
      <c r="U205" s="102">
        <f t="shared" si="231"/>
        <v>70588.13077177474</v>
      </c>
      <c r="V205" s="102">
        <f t="shared" si="231"/>
        <v>59993.212179323826</v>
      </c>
      <c r="W205" s="102">
        <f t="shared" si="233"/>
        <v>77421.726959160005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596844.08979048033</v>
      </c>
      <c r="C206" s="102">
        <f t="shared" si="231"/>
        <v>534523.52650187456</v>
      </c>
      <c r="D206" s="102">
        <f t="shared" si="231"/>
        <v>460777.7278008007</v>
      </c>
      <c r="E206" s="102">
        <f t="shared" si="231"/>
        <v>480968.14938112517</v>
      </c>
      <c r="F206" s="102">
        <f t="shared" si="231"/>
        <v>489949.18191010412</v>
      </c>
      <c r="G206" s="102">
        <f t="shared" si="231"/>
        <v>425304.88008663611</v>
      </c>
      <c r="H206" s="102">
        <f t="shared" si="231"/>
        <v>396646.1500965092</v>
      </c>
      <c r="I206" s="102">
        <f t="shared" si="231"/>
        <v>405608.44311127131</v>
      </c>
      <c r="J206" s="102">
        <f t="shared" si="231"/>
        <v>399982.32958778809</v>
      </c>
      <c r="K206" s="102">
        <f t="shared" si="231"/>
        <v>379531.30076165911</v>
      </c>
      <c r="L206" s="102">
        <f t="shared" si="231"/>
        <v>377669.37845030281</v>
      </c>
      <c r="M206" s="102">
        <f t="shared" si="234"/>
        <v>369277.40716720826</v>
      </c>
      <c r="N206" s="102">
        <f t="shared" si="231"/>
        <v>448041.95864819648</v>
      </c>
      <c r="O206" s="102">
        <f t="shared" si="231"/>
        <v>473403.49553958094</v>
      </c>
      <c r="P206" s="102">
        <f t="shared" si="231"/>
        <v>365735.96444408834</v>
      </c>
      <c r="Q206" s="102">
        <f t="shared" si="231"/>
        <v>359056.91482748208</v>
      </c>
      <c r="R206" s="102">
        <f t="shared" si="231"/>
        <v>346230.37108507397</v>
      </c>
      <c r="S206" s="102">
        <f t="shared" si="231"/>
        <v>397133.40045871428</v>
      </c>
      <c r="T206" s="102">
        <f t="shared" si="231"/>
        <v>417397.99947296898</v>
      </c>
      <c r="U206" s="102">
        <f t="shared" si="231"/>
        <v>366586.40094363817</v>
      </c>
      <c r="V206" s="102">
        <f t="shared" si="231"/>
        <v>243447.65372447719</v>
      </c>
      <c r="W206" s="102">
        <f t="shared" si="233"/>
        <v>354923.94018580328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267387.18467538396</v>
      </c>
      <c r="M207" s="102">
        <f t="shared" si="234"/>
        <v>264627.93923428428</v>
      </c>
      <c r="N207" s="102">
        <f t="shared" si="231"/>
        <v>326599.06699023017</v>
      </c>
      <c r="O207" s="102">
        <f t="shared" si="231"/>
        <v>347441.15544165252</v>
      </c>
      <c r="P207" s="102">
        <f t="shared" si="231"/>
        <v>269006.33853444085</v>
      </c>
      <c r="Q207" s="102">
        <f t="shared" si="231"/>
        <v>267135.73186781653</v>
      </c>
      <c r="R207" s="102">
        <f t="shared" si="231"/>
        <v>255260.35445211749</v>
      </c>
      <c r="S207" s="102">
        <f t="shared" si="231"/>
        <v>289690.25185525377</v>
      </c>
      <c r="T207" s="102">
        <f t="shared" si="231"/>
        <v>303673.42205452255</v>
      </c>
      <c r="U207" s="102">
        <f t="shared" si="231"/>
        <v>260061.49282343374</v>
      </c>
      <c r="V207" s="102">
        <f t="shared" si="231"/>
        <v>171338.36576977285</v>
      </c>
      <c r="W207" s="102">
        <f t="shared" si="233"/>
        <v>251666.6354762227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973036.86891972995</v>
      </c>
      <c r="C208" s="102">
        <f t="shared" si="231"/>
        <v>857277.8779064446</v>
      </c>
      <c r="D208" s="102">
        <f t="shared" si="231"/>
        <v>725750.8076844376</v>
      </c>
      <c r="E208" s="102">
        <f t="shared" si="231"/>
        <v>774964.93943027873</v>
      </c>
      <c r="F208" s="102">
        <f t="shared" si="231"/>
        <v>773373.59421039186</v>
      </c>
      <c r="G208" s="102">
        <f t="shared" si="231"/>
        <v>663159.63624583441</v>
      </c>
      <c r="H208" s="102">
        <f t="shared" si="231"/>
        <v>604347.26303746202</v>
      </c>
      <c r="I208" s="102">
        <f t="shared" si="231"/>
        <v>610650.44696709071</v>
      </c>
      <c r="J208" s="102">
        <f t="shared" si="231"/>
        <v>590823.75338465511</v>
      </c>
      <c r="K208" s="102">
        <f t="shared" si="231"/>
        <v>556145.14821582602</v>
      </c>
      <c r="L208" s="102">
        <f t="shared" si="231"/>
        <v>566146.32795194432</v>
      </c>
      <c r="M208" s="102">
        <f t="shared" si="234"/>
        <v>566021.48956854513</v>
      </c>
      <c r="N208" s="102">
        <f t="shared" si="231"/>
        <v>705701.89523824106</v>
      </c>
      <c r="O208" s="102">
        <f t="shared" si="231"/>
        <v>728656.13780816761</v>
      </c>
      <c r="P208" s="102">
        <f t="shared" si="231"/>
        <v>547569.06298340356</v>
      </c>
      <c r="Q208" s="102">
        <f t="shared" si="231"/>
        <v>549309.98247676902</v>
      </c>
      <c r="R208" s="102">
        <f t="shared" si="231"/>
        <v>528899.53760906612</v>
      </c>
      <c r="S208" s="102">
        <f t="shared" si="231"/>
        <v>606028.1581982472</v>
      </c>
      <c r="T208" s="102">
        <f t="shared" si="231"/>
        <v>640024.13636930846</v>
      </c>
      <c r="U208" s="102">
        <f t="shared" si="231"/>
        <v>560209.00410553615</v>
      </c>
      <c r="V208" s="102">
        <f t="shared" si="231"/>
        <v>375106.58744733676</v>
      </c>
      <c r="W208" s="102">
        <f t="shared" si="233"/>
        <v>549847.6379347645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640285.4157072762</v>
      </c>
      <c r="M209" s="102">
        <f t="shared" si="234"/>
        <v>615310.22273487563</v>
      </c>
      <c r="N209" s="102">
        <f t="shared" si="231"/>
        <v>744172.25605802936</v>
      </c>
      <c r="O209" s="102">
        <f t="shared" si="231"/>
        <v>802049.17986238701</v>
      </c>
      <c r="P209" s="102">
        <f t="shared" si="231"/>
        <v>621349.64241496485</v>
      </c>
      <c r="Q209" s="102">
        <f t="shared" si="231"/>
        <v>599146.95344869432</v>
      </c>
      <c r="R209" s="102">
        <f t="shared" si="231"/>
        <v>548048.08389818075</v>
      </c>
      <c r="S209" s="102">
        <f t="shared" si="231"/>
        <v>622054.62650858448</v>
      </c>
      <c r="T209" s="102">
        <f t="shared" si="231"/>
        <v>621891.66892904683</v>
      </c>
      <c r="U209" s="102">
        <f t="shared" si="231"/>
        <v>680991.9873145899</v>
      </c>
      <c r="V209" s="102">
        <f t="shared" si="231"/>
        <v>470167.67476713419</v>
      </c>
      <c r="W209" s="102">
        <f t="shared" si="233"/>
        <v>589805.5846477265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15168.266073144892</v>
      </c>
      <c r="C210" s="28">
        <f t="shared" si="231"/>
        <v>15482.398785308409</v>
      </c>
      <c r="D210" s="28">
        <f t="shared" si="231"/>
        <v>15114.260013746329</v>
      </c>
      <c r="E210" s="28">
        <f t="shared" si="231"/>
        <v>15838.817034163865</v>
      </c>
      <c r="F210" s="28">
        <f t="shared" ref="B210:V219" si="235">IF(F19=0,0,F19*1000000/F73)</f>
        <v>18882.170779386095</v>
      </c>
      <c r="G210" s="28">
        <f t="shared" si="235"/>
        <v>18850.159947960125</v>
      </c>
      <c r="H210" s="28">
        <f t="shared" si="235"/>
        <v>19047.254571244401</v>
      </c>
      <c r="I210" s="28">
        <f t="shared" si="235"/>
        <v>19753.402066413692</v>
      </c>
      <c r="J210" s="28">
        <f t="shared" si="235"/>
        <v>18138.044520555392</v>
      </c>
      <c r="K210" s="28">
        <f t="shared" si="235"/>
        <v>16194.710244440284</v>
      </c>
      <c r="L210" s="28">
        <f t="shared" si="235"/>
        <v>14819.350299091178</v>
      </c>
      <c r="M210" s="28">
        <f t="shared" si="234"/>
        <v>14960.399704198187</v>
      </c>
      <c r="N210" s="28">
        <f t="shared" si="235"/>
        <v>14647.453826563313</v>
      </c>
      <c r="O210" s="28">
        <f t="shared" si="235"/>
        <v>14187.763452437501</v>
      </c>
      <c r="P210" s="28">
        <f t="shared" si="235"/>
        <v>13871.241192289081</v>
      </c>
      <c r="Q210" s="28">
        <f t="shared" si="235"/>
        <v>13993.915790194602</v>
      </c>
      <c r="R210" s="28">
        <f t="shared" si="235"/>
        <v>14133.469141665377</v>
      </c>
      <c r="S210" s="28">
        <f t="shared" si="235"/>
        <v>14163.688792275278</v>
      </c>
      <c r="T210" s="28">
        <f t="shared" si="235"/>
        <v>13799.365266446146</v>
      </c>
      <c r="U210" s="28">
        <f t="shared" si="235"/>
        <v>12505.436220411175</v>
      </c>
      <c r="V210" s="28">
        <f t="shared" si="235"/>
        <v>11385.718607445579</v>
      </c>
      <c r="W210" s="28">
        <f t="shared" ref="W210" si="236">IF(W19=0,0,W19*1000000/W73)</f>
        <v>12752.69167534738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1849.6426886320462</v>
      </c>
      <c r="C211" s="137">
        <f t="shared" si="235"/>
        <v>1738.6632894009056</v>
      </c>
      <c r="D211" s="137">
        <f t="shared" si="235"/>
        <v>1787.8791704565813</v>
      </c>
      <c r="E211" s="137">
        <f t="shared" si="235"/>
        <v>1883.1655258786095</v>
      </c>
      <c r="F211" s="137">
        <f t="shared" si="235"/>
        <v>1812.6822036094732</v>
      </c>
      <c r="G211" s="137">
        <f t="shared" si="235"/>
        <v>1743.6468605541606</v>
      </c>
      <c r="H211" s="137">
        <f t="shared" si="235"/>
        <v>1744.2209806406831</v>
      </c>
      <c r="I211" s="137">
        <f t="shared" si="235"/>
        <v>1674.8449958452522</v>
      </c>
      <c r="J211" s="137">
        <f t="shared" si="235"/>
        <v>1691.1030323484044</v>
      </c>
      <c r="K211" s="137">
        <f t="shared" si="235"/>
        <v>1719.5215296355898</v>
      </c>
      <c r="L211" s="137">
        <f t="shared" si="235"/>
        <v>1705.5149476513072</v>
      </c>
      <c r="M211" s="137">
        <f t="shared" si="234"/>
        <v>1564.2634230711701</v>
      </c>
      <c r="N211" s="137">
        <f t="shared" si="235"/>
        <v>1535.2462990637289</v>
      </c>
      <c r="O211" s="137">
        <f t="shared" si="235"/>
        <v>1487.5153054043574</v>
      </c>
      <c r="P211" s="137">
        <f t="shared" si="235"/>
        <v>1497.9176710099559</v>
      </c>
      <c r="Q211" s="137">
        <f t="shared" si="235"/>
        <v>1541.7721064567527</v>
      </c>
      <c r="R211" s="137">
        <f t="shared" si="235"/>
        <v>1591.0985288364241</v>
      </c>
      <c r="S211" s="137">
        <f t="shared" si="235"/>
        <v>1631.9006337178294</v>
      </c>
      <c r="T211" s="137">
        <f t="shared" si="235"/>
        <v>1644.6721199695801</v>
      </c>
      <c r="U211" s="137">
        <f t="shared" si="235"/>
        <v>1558.5870661873448</v>
      </c>
      <c r="V211" s="137">
        <f t="shared" si="235"/>
        <v>1457.5695174209993</v>
      </c>
      <c r="W211" s="137">
        <f t="shared" ref="W211" si="237">IF(W20=0,0,W20*1000000/W74)</f>
        <v>1585.7152657005483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1067.8731389675181</v>
      </c>
      <c r="C212" s="84">
        <f t="shared" si="235"/>
        <v>991.04004223153242</v>
      </c>
      <c r="D212" s="84">
        <f t="shared" si="235"/>
        <v>1024.7194202528128</v>
      </c>
      <c r="E212" s="84">
        <f t="shared" si="235"/>
        <v>1091.0577174396371</v>
      </c>
      <c r="F212" s="84">
        <f t="shared" si="235"/>
        <v>1041.9334213494039</v>
      </c>
      <c r="G212" s="84">
        <f t="shared" si="235"/>
        <v>994.41107672312364</v>
      </c>
      <c r="H212" s="84">
        <f t="shared" si="235"/>
        <v>994.72126459998685</v>
      </c>
      <c r="I212" s="84">
        <f t="shared" si="235"/>
        <v>947.32761263360999</v>
      </c>
      <c r="J212" s="84">
        <f t="shared" si="235"/>
        <v>958.31784259281812</v>
      </c>
      <c r="K212" s="84">
        <f t="shared" si="235"/>
        <v>977.62459646442449</v>
      </c>
      <c r="L212" s="84">
        <f t="shared" si="235"/>
        <v>971.37135587888713</v>
      </c>
      <c r="M212" s="84">
        <f t="shared" si="234"/>
        <v>889.64109584679886</v>
      </c>
      <c r="N212" s="84">
        <f t="shared" si="235"/>
        <v>884.05024210596105</v>
      </c>
      <c r="O212" s="84">
        <f t="shared" si="235"/>
        <v>864.84727234658214</v>
      </c>
      <c r="P212" s="84">
        <f t="shared" si="235"/>
        <v>886.05063066368859</v>
      </c>
      <c r="Q212" s="84">
        <f t="shared" si="235"/>
        <v>932.36765781608028</v>
      </c>
      <c r="R212" s="84">
        <f t="shared" si="235"/>
        <v>931.83172303771289</v>
      </c>
      <c r="S212" s="84">
        <f t="shared" si="235"/>
        <v>926.02746629283422</v>
      </c>
      <c r="T212" s="84">
        <f t="shared" si="235"/>
        <v>903.90048129061881</v>
      </c>
      <c r="U212" s="84">
        <f t="shared" si="235"/>
        <v>830.65309702891057</v>
      </c>
      <c r="V212" s="84">
        <f t="shared" si="235"/>
        <v>753.77839001750124</v>
      </c>
      <c r="W212" s="84">
        <f t="shared" ref="W212" si="238">IF(W21=0,0,W21*1000000/W75)</f>
        <v>817.20827767692833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1864.1383595347347</v>
      </c>
      <c r="C213" s="84">
        <f t="shared" si="235"/>
        <v>1751.0385050261154</v>
      </c>
      <c r="D213" s="84">
        <f t="shared" si="235"/>
        <v>1800.1265776251344</v>
      </c>
      <c r="E213" s="84">
        <f t="shared" si="235"/>
        <v>1897.3792052979873</v>
      </c>
      <c r="F213" s="84">
        <f t="shared" si="235"/>
        <v>1825.5209322672069</v>
      </c>
      <c r="G213" s="84">
        <f t="shared" si="235"/>
        <v>1755.7919341562147</v>
      </c>
      <c r="H213" s="84">
        <f t="shared" si="235"/>
        <v>1756.0443225318579</v>
      </c>
      <c r="I213" s="84">
        <f t="shared" si="235"/>
        <v>1686.0099555741697</v>
      </c>
      <c r="J213" s="84">
        <f t="shared" si="235"/>
        <v>1702.0477380097298</v>
      </c>
      <c r="K213" s="84">
        <f t="shared" si="235"/>
        <v>1730.3069990490042</v>
      </c>
      <c r="L213" s="84">
        <f t="shared" si="235"/>
        <v>1715.8861957410895</v>
      </c>
      <c r="M213" s="84">
        <f t="shared" si="234"/>
        <v>1572.8760984154785</v>
      </c>
      <c r="N213" s="84">
        <f t="shared" si="235"/>
        <v>1543.4313916244691</v>
      </c>
      <c r="O213" s="84">
        <f t="shared" si="235"/>
        <v>1494.7586107579327</v>
      </c>
      <c r="P213" s="84">
        <f t="shared" si="235"/>
        <v>1504.0941448315189</v>
      </c>
      <c r="Q213" s="84">
        <f t="shared" si="235"/>
        <v>1548.4662440038155</v>
      </c>
      <c r="R213" s="84">
        <f t="shared" si="235"/>
        <v>1597.9063048996306</v>
      </c>
      <c r="S213" s="84">
        <f t="shared" si="235"/>
        <v>1639.5964300470266</v>
      </c>
      <c r="T213" s="84">
        <f t="shared" si="235"/>
        <v>1652.4677420207847</v>
      </c>
      <c r="U213" s="84">
        <f t="shared" si="235"/>
        <v>1567.9468544875535</v>
      </c>
      <c r="V213" s="84">
        <f t="shared" si="235"/>
        <v>1464.7653909954211</v>
      </c>
      <c r="W213" s="84">
        <f t="shared" ref="W213" si="239">IF(W22=0,0,W22*1000000/W76)</f>
        <v>1593.5564032572861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1201.1219936671798</v>
      </c>
      <c r="C214" s="84">
        <f t="shared" si="235"/>
        <v>1128.6606981405967</v>
      </c>
      <c r="D214" s="84">
        <f t="shared" si="235"/>
        <v>1160.5349031168794</v>
      </c>
      <c r="E214" s="84">
        <f t="shared" si="235"/>
        <v>1222.8142898544718</v>
      </c>
      <c r="F214" s="84">
        <f t="shared" si="235"/>
        <v>1176.7585829966274</v>
      </c>
      <c r="G214" s="84">
        <f t="shared" si="235"/>
        <v>1136.2657363704625</v>
      </c>
      <c r="H214" s="84">
        <f t="shared" si="235"/>
        <v>1145.7361849091037</v>
      </c>
      <c r="I214" s="84">
        <f t="shared" si="235"/>
        <v>1108.941922965709</v>
      </c>
      <c r="J214" s="84">
        <f t="shared" si="235"/>
        <v>1128.6911713369536</v>
      </c>
      <c r="K214" s="84">
        <f t="shared" si="235"/>
        <v>1156.873199462369</v>
      </c>
      <c r="L214" s="84">
        <f t="shared" si="235"/>
        <v>1156.6359038246219</v>
      </c>
      <c r="M214" s="84">
        <f t="shared" si="234"/>
        <v>1069.1300027439324</v>
      </c>
      <c r="N214" s="84">
        <f t="shared" si="235"/>
        <v>1057.7706306829909</v>
      </c>
      <c r="O214" s="84">
        <f t="shared" si="235"/>
        <v>1032.9662366731291</v>
      </c>
      <c r="P214" s="84">
        <f t="shared" si="235"/>
        <v>1048.3218080556444</v>
      </c>
      <c r="Q214" s="84">
        <f t="shared" si="235"/>
        <v>1087.871834629507</v>
      </c>
      <c r="R214" s="84">
        <f t="shared" si="235"/>
        <v>1093.2691183409729</v>
      </c>
      <c r="S214" s="84">
        <f t="shared" si="235"/>
        <v>1093.5110264846344</v>
      </c>
      <c r="T214" s="84">
        <f t="shared" si="235"/>
        <v>1077.5263428351352</v>
      </c>
      <c r="U214" s="84">
        <f t="shared" si="235"/>
        <v>1009.7206249881891</v>
      </c>
      <c r="V214" s="84">
        <f t="shared" si="235"/>
        <v>936.29346946910459</v>
      </c>
      <c r="W214" s="84">
        <f t="shared" ref="W214" si="240">IF(W23=0,0,W23*1000000/W77)</f>
        <v>996.36766429519355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1178.3082937138961</v>
      </c>
      <c r="P215" s="84">
        <f t="shared" si="235"/>
        <v>1196.2260644526455</v>
      </c>
      <c r="Q215" s="84">
        <f t="shared" si="235"/>
        <v>1243.1568770881067</v>
      </c>
      <c r="R215" s="84">
        <f t="shared" si="235"/>
        <v>1250.1362377696423</v>
      </c>
      <c r="S215" s="84">
        <f t="shared" si="235"/>
        <v>1250.9294778716094</v>
      </c>
      <c r="T215" s="84">
        <f t="shared" si="235"/>
        <v>1232.2317227658996</v>
      </c>
      <c r="U215" s="84">
        <f t="shared" si="235"/>
        <v>1151.4072904197596</v>
      </c>
      <c r="V215" s="84">
        <f t="shared" si="235"/>
        <v>1064.0814501971336</v>
      </c>
      <c r="W215" s="84">
        <f t="shared" ref="W215" si="241">IF(W24=0,0,W24*1000000/W78)</f>
        <v>1136.3378598913207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1075.156728509613</v>
      </c>
      <c r="N216" s="84">
        <f t="shared" si="235"/>
        <v>1076.1636534106397</v>
      </c>
      <c r="O216" s="84">
        <f t="shared" si="235"/>
        <v>1077.8744589707489</v>
      </c>
      <c r="P216" s="84">
        <f t="shared" si="235"/>
        <v>1078.2364610409563</v>
      </c>
      <c r="Q216" s="84">
        <f t="shared" si="235"/>
        <v>1079.8006312055868</v>
      </c>
      <c r="R216" s="84">
        <f t="shared" si="235"/>
        <v>1079.0995648219298</v>
      </c>
      <c r="S216" s="84">
        <f t="shared" si="235"/>
        <v>1078.6539070302699</v>
      </c>
      <c r="T216" s="84">
        <f t="shared" si="235"/>
        <v>1078.2934064392521</v>
      </c>
      <c r="U216" s="84">
        <f t="shared" si="235"/>
        <v>1075.2271162449069</v>
      </c>
      <c r="V216" s="84">
        <f t="shared" si="235"/>
        <v>1022.1794996609403</v>
      </c>
      <c r="W216" s="84">
        <f t="shared" ref="W216" si="242">IF(W25=0,0,W25*1000000/W79)</f>
        <v>1075.0783202135688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189016.65665920955</v>
      </c>
      <c r="C217" s="110">
        <f t="shared" si="235"/>
        <v>207485.53731383025</v>
      </c>
      <c r="D217" s="110">
        <f t="shared" si="235"/>
        <v>198606.33513482797</v>
      </c>
      <c r="E217" s="110">
        <f t="shared" si="235"/>
        <v>199745.48545233515</v>
      </c>
      <c r="F217" s="110">
        <f t="shared" si="235"/>
        <v>255841.60694023946</v>
      </c>
      <c r="G217" s="110">
        <f t="shared" si="235"/>
        <v>260956.7948264654</v>
      </c>
      <c r="H217" s="110">
        <f t="shared" si="235"/>
        <v>268398.22514530364</v>
      </c>
      <c r="I217" s="110">
        <f t="shared" si="235"/>
        <v>282728.88469323557</v>
      </c>
      <c r="J217" s="110">
        <f t="shared" si="235"/>
        <v>248306.73694987534</v>
      </c>
      <c r="K217" s="110">
        <f t="shared" si="235"/>
        <v>216813.67036760211</v>
      </c>
      <c r="L217" s="110">
        <f t="shared" si="235"/>
        <v>198977.207004272</v>
      </c>
      <c r="M217" s="110">
        <f t="shared" si="234"/>
        <v>211075.06891395719</v>
      </c>
      <c r="N217" s="110">
        <f t="shared" si="235"/>
        <v>223204.13634465923</v>
      </c>
      <c r="O217" s="110">
        <f t="shared" si="235"/>
        <v>231858.63017300988</v>
      </c>
      <c r="P217" s="110">
        <f t="shared" si="235"/>
        <v>217330.12349020509</v>
      </c>
      <c r="Q217" s="110">
        <f t="shared" si="235"/>
        <v>213153.90512353025</v>
      </c>
      <c r="R217" s="110">
        <f t="shared" si="235"/>
        <v>219200.51540691813</v>
      </c>
      <c r="S217" s="110">
        <f t="shared" si="235"/>
        <v>198682.44067281531</v>
      </c>
      <c r="T217" s="110">
        <f t="shared" si="235"/>
        <v>183875.31183080559</v>
      </c>
      <c r="U217" s="110">
        <f t="shared" si="235"/>
        <v>157057.76685260472</v>
      </c>
      <c r="V217" s="110">
        <f t="shared" si="235"/>
        <v>141876.40689774591</v>
      </c>
      <c r="W217" s="110">
        <f t="shared" ref="W217" si="243">IF(W26=0,0,W26*1000000/W80)</f>
        <v>163889.35527199463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148257.8142919699</v>
      </c>
      <c r="C218" s="163">
        <f t="shared" si="235"/>
        <v>165796.33141014594</v>
      </c>
      <c r="D218" s="163">
        <f t="shared" si="235"/>
        <v>153384.20089258169</v>
      </c>
      <c r="E218" s="163">
        <f t="shared" si="235"/>
        <v>152015.41673357959</v>
      </c>
      <c r="F218" s="163">
        <f t="shared" si="235"/>
        <v>200041.30477184852</v>
      </c>
      <c r="G218" s="163">
        <f t="shared" si="235"/>
        <v>202742.75088616423</v>
      </c>
      <c r="H218" s="163">
        <f t="shared" si="235"/>
        <v>205670.59871954223</v>
      </c>
      <c r="I218" s="163">
        <f t="shared" si="235"/>
        <v>214943.62115292103</v>
      </c>
      <c r="J218" s="163">
        <f t="shared" si="235"/>
        <v>190576.94235030792</v>
      </c>
      <c r="K218" s="163">
        <f t="shared" si="235"/>
        <v>158631.00475101179</v>
      </c>
      <c r="L218" s="163">
        <f t="shared" si="235"/>
        <v>142806.46126897194</v>
      </c>
      <c r="M218" s="163">
        <f t="shared" si="234"/>
        <v>149148.5129870894</v>
      </c>
      <c r="N218" s="163">
        <f t="shared" si="235"/>
        <v>161250.77524411172</v>
      </c>
      <c r="O218" s="163">
        <f t="shared" si="235"/>
        <v>155181.17437835434</v>
      </c>
      <c r="P218" s="163">
        <f t="shared" si="235"/>
        <v>146487.18989183818</v>
      </c>
      <c r="Q218" s="163">
        <f t="shared" si="235"/>
        <v>150014.59691657516</v>
      </c>
      <c r="R218" s="163">
        <f t="shared" si="235"/>
        <v>149021.07136705518</v>
      </c>
      <c r="S218" s="163">
        <f t="shared" si="235"/>
        <v>136795.00913731175</v>
      </c>
      <c r="T218" s="163">
        <f t="shared" si="235"/>
        <v>123156.45431047591</v>
      </c>
      <c r="U218" s="163">
        <f t="shared" si="235"/>
        <v>103511.00419491441</v>
      </c>
      <c r="V218" s="163">
        <f t="shared" si="235"/>
        <v>93018.791459590895</v>
      </c>
      <c r="W218" s="163">
        <f t="shared" ref="W218" si="244">IF(W27=0,0,W27*1000000/W81)</f>
        <v>104233.04506144742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1211869.5103513661</v>
      </c>
      <c r="C219" s="86">
        <f t="shared" si="235"/>
        <v>1210763.0325376587</v>
      </c>
      <c r="D219" s="86">
        <f t="shared" si="235"/>
        <v>1218711.1058426639</v>
      </c>
      <c r="E219" s="86">
        <f t="shared" si="235"/>
        <v>1211599.1097545056</v>
      </c>
      <c r="F219" s="86">
        <f t="shared" si="235"/>
        <v>1189313.1877637426</v>
      </c>
      <c r="G219" s="86">
        <f t="shared" si="235"/>
        <v>1189930.7211697914</v>
      </c>
      <c r="H219" s="86">
        <f t="shared" si="235"/>
        <v>1197621.3338550108</v>
      </c>
      <c r="I219" s="86">
        <f t="shared" si="235"/>
        <v>1199734.3856059958</v>
      </c>
      <c r="J219" s="86">
        <f t="shared" si="235"/>
        <v>1182732.3470500475</v>
      </c>
      <c r="K219" s="86">
        <f t="shared" si="235"/>
        <v>1167134.0258885873</v>
      </c>
      <c r="L219" s="86">
        <f t="shared" si="235"/>
        <v>1205242.3697805044</v>
      </c>
      <c r="M219" s="86">
        <f t="shared" si="234"/>
        <v>1201259.0227246508</v>
      </c>
      <c r="N219" s="86">
        <f t="shared" si="235"/>
        <v>1197441.4657128283</v>
      </c>
      <c r="O219" s="86">
        <f t="shared" si="235"/>
        <v>1199011.2059863117</v>
      </c>
      <c r="P219" s="86">
        <f t="shared" si="235"/>
        <v>1201761.7656201848</v>
      </c>
      <c r="Q219" s="86">
        <f t="shared" si="235"/>
        <v>1190515.6131611676</v>
      </c>
      <c r="R219" s="86">
        <f t="shared" si="235"/>
        <v>1184122.8574967489</v>
      </c>
      <c r="S219" s="86">
        <f t="shared" si="235"/>
        <v>1194112.8593195884</v>
      </c>
      <c r="T219" s="86">
        <f t="shared" si="235"/>
        <v>1203220.1060278814</v>
      </c>
      <c r="U219" s="86">
        <f t="shared" si="235"/>
        <v>1198569.2188708431</v>
      </c>
      <c r="V219" s="86">
        <f t="shared" si="235"/>
        <v>1180457.946043981</v>
      </c>
      <c r="W219" s="86">
        <f t="shared" ref="W219" si="245">IF(W28=0,0,W28*1000000/W82)</f>
        <v>1193523.663537076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1.8655387872212176E-2</v>
      </c>
      <c r="C223" s="154">
        <f t="shared" si="250"/>
        <v>1.975245060447425E-2</v>
      </c>
      <c r="D223" s="154">
        <f t="shared" si="250"/>
        <v>2.0458284563345329E-2</v>
      </c>
      <c r="E223" s="154">
        <f t="shared" si="250"/>
        <v>2.057513742916451E-2</v>
      </c>
      <c r="F223" s="154">
        <f t="shared" si="250"/>
        <v>2.1608908905064523E-2</v>
      </c>
      <c r="G223" s="154">
        <f t="shared" si="250"/>
        <v>2.3263417208921736E-2</v>
      </c>
      <c r="H223" s="154">
        <f t="shared" si="250"/>
        <v>2.4262785742686227E-2</v>
      </c>
      <c r="I223" s="154">
        <f t="shared" si="250"/>
        <v>2.2835956752609889E-2</v>
      </c>
      <c r="J223" s="154">
        <f t="shared" si="250"/>
        <v>2.2992021878351081E-2</v>
      </c>
      <c r="K223" s="154">
        <f t="shared" si="250"/>
        <v>2.184439270229846E-2</v>
      </c>
      <c r="L223" s="154">
        <f t="shared" ref="L223" si="251">IF(L5=0,0,L5/L$4)</f>
        <v>2.165878551643265E-2</v>
      </c>
      <c r="M223" s="154">
        <f t="shared" ref="M223:V223" si="252">IF(M5=0,0,M5/M$4)</f>
        <v>2.1365713951615399E-2</v>
      </c>
      <c r="N223" s="154">
        <f t="shared" si="252"/>
        <v>2.1730466056814311E-2</v>
      </c>
      <c r="O223" s="154">
        <f t="shared" si="252"/>
        <v>2.1397883427107831E-2</v>
      </c>
      <c r="P223" s="154">
        <f t="shared" si="252"/>
        <v>2.0846286377683234E-2</v>
      </c>
      <c r="Q223" s="154">
        <f t="shared" si="252"/>
        <v>2.0023973065963995E-2</v>
      </c>
      <c r="R223" s="154">
        <f t="shared" si="252"/>
        <v>2.0054714069250381E-2</v>
      </c>
      <c r="S223" s="154">
        <f t="shared" si="252"/>
        <v>1.8647865774714802E-2</v>
      </c>
      <c r="T223" s="154">
        <f t="shared" si="252"/>
        <v>1.7252143787967883E-2</v>
      </c>
      <c r="U223" s="154">
        <f t="shared" si="252"/>
        <v>1.8018936079005166E-2</v>
      </c>
      <c r="V223" s="154">
        <f t="shared" si="252"/>
        <v>1.9088418340366314E-2</v>
      </c>
      <c r="W223" s="154">
        <f t="shared" ref="W223" si="253">IF(W5=0,0,W5/W$4)</f>
        <v>1.8502314990285717E-2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0.84127778535725162</v>
      </c>
      <c r="C224" s="156">
        <f t="shared" si="254"/>
        <v>0.8505805025634785</v>
      </c>
      <c r="D224" s="156">
        <f t="shared" si="254"/>
        <v>0.86848317231991501</v>
      </c>
      <c r="E224" s="156">
        <f t="shared" si="254"/>
        <v>0.86729387419758464</v>
      </c>
      <c r="F224" s="156">
        <f t="shared" si="254"/>
        <v>0.86565745888858903</v>
      </c>
      <c r="G224" s="156">
        <f t="shared" si="254"/>
        <v>0.90857960984715047</v>
      </c>
      <c r="H224" s="156">
        <f t="shared" si="254"/>
        <v>0.9114647153227371</v>
      </c>
      <c r="I224" s="156">
        <f t="shared" si="254"/>
        <v>0.91140071535861489</v>
      </c>
      <c r="J224" s="156">
        <f t="shared" si="254"/>
        <v>0.91120602326538902</v>
      </c>
      <c r="K224" s="156">
        <f t="shared" si="254"/>
        <v>0.91435927252936711</v>
      </c>
      <c r="L224" s="156">
        <f t="shared" ref="L224" si="255">IF(L6=0,0,L6/L$4)</f>
        <v>0.91211171143794567</v>
      </c>
      <c r="M224" s="156">
        <f t="shared" ref="M224:V224" si="256">IF(M6=0,0,M6/M$4)</f>
        <v>0.9143372831460167</v>
      </c>
      <c r="N224" s="156">
        <f t="shared" si="256"/>
        <v>0.91322263163799988</v>
      </c>
      <c r="O224" s="156">
        <f t="shared" si="256"/>
        <v>0.91153883499147925</v>
      </c>
      <c r="P224" s="156">
        <f t="shared" si="256"/>
        <v>0.91691197284365444</v>
      </c>
      <c r="Q224" s="156">
        <f t="shared" si="256"/>
        <v>0.92044574797200374</v>
      </c>
      <c r="R224" s="156">
        <f t="shared" si="256"/>
        <v>0.92568067801750487</v>
      </c>
      <c r="S224" s="156">
        <f t="shared" si="256"/>
        <v>0.91930994830521651</v>
      </c>
      <c r="T224" s="156">
        <f t="shared" si="256"/>
        <v>0.91846784065240616</v>
      </c>
      <c r="U224" s="156">
        <f t="shared" si="256"/>
        <v>0.91956900066938696</v>
      </c>
      <c r="V224" s="156">
        <f t="shared" si="256"/>
        <v>0.93902410199502551</v>
      </c>
      <c r="W224" s="156">
        <f t="shared" ref="W224" si="257">IF(W6=0,0,W6/W$4)</f>
        <v>0.92366217706400233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0.53178064425280414</v>
      </c>
      <c r="C225" s="103">
        <f t="shared" si="258"/>
        <v>0.50984497004142848</v>
      </c>
      <c r="D225" s="103">
        <f t="shared" si="258"/>
        <v>0.50155584967230116</v>
      </c>
      <c r="E225" s="103">
        <f t="shared" si="258"/>
        <v>0.46745576577540815</v>
      </c>
      <c r="F225" s="103">
        <f t="shared" si="258"/>
        <v>0.43340095560296615</v>
      </c>
      <c r="G225" s="103">
        <f t="shared" si="258"/>
        <v>0.41837324945119392</v>
      </c>
      <c r="H225" s="103">
        <f t="shared" si="258"/>
        <v>0.38242888273753728</v>
      </c>
      <c r="I225" s="103">
        <f t="shared" si="258"/>
        <v>0.35741563130005022</v>
      </c>
      <c r="J225" s="103">
        <f t="shared" si="258"/>
        <v>0.32985901807251189</v>
      </c>
      <c r="K225" s="103">
        <f t="shared" si="258"/>
        <v>0.31737765117587502</v>
      </c>
      <c r="L225" s="103">
        <f t="shared" ref="L225" si="259">IF(L7=0,0,L7/L$4)</f>
        <v>0.29859646569787229</v>
      </c>
      <c r="M225" s="103">
        <f t="shared" ref="M225:V225" si="260">IF(M7=0,0,M7/M$4)</f>
        <v>0.27753851513303229</v>
      </c>
      <c r="N225" s="103">
        <f t="shared" si="260"/>
        <v>0.27527271769803274</v>
      </c>
      <c r="O225" s="103">
        <f t="shared" si="260"/>
        <v>0.26649289607194082</v>
      </c>
      <c r="P225" s="103">
        <f t="shared" si="260"/>
        <v>0.25766384891678629</v>
      </c>
      <c r="Q225" s="103">
        <f t="shared" si="260"/>
        <v>0.25662698297212905</v>
      </c>
      <c r="R225" s="103">
        <f t="shared" si="260"/>
        <v>0.24513923641095722</v>
      </c>
      <c r="S225" s="103">
        <f t="shared" si="260"/>
        <v>0.23260956882931433</v>
      </c>
      <c r="T225" s="103">
        <f t="shared" si="260"/>
        <v>0.22691006300444405</v>
      </c>
      <c r="U225" s="103">
        <f t="shared" si="260"/>
        <v>0.22923120413880055</v>
      </c>
      <c r="V225" s="103">
        <f t="shared" si="260"/>
        <v>0.22219440348959738</v>
      </c>
      <c r="W225" s="103">
        <f t="shared" ref="W225" si="261">IF(W7=0,0,W7/W$4)</f>
        <v>0.22955889740516683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0.30472059965095949</v>
      </c>
      <c r="C226" s="103">
        <f t="shared" si="262"/>
        <v>0.33623605312175653</v>
      </c>
      <c r="D226" s="103">
        <f t="shared" si="262"/>
        <v>0.36302428787306945</v>
      </c>
      <c r="E226" s="103">
        <f t="shared" si="262"/>
        <v>0.39531699831643136</v>
      </c>
      <c r="F226" s="103">
        <f t="shared" si="262"/>
        <v>0.42775828974868862</v>
      </c>
      <c r="G226" s="103">
        <f t="shared" si="262"/>
        <v>0.4853182631848782</v>
      </c>
      <c r="H226" s="103">
        <f t="shared" si="262"/>
        <v>0.5248951914558122</v>
      </c>
      <c r="I226" s="103">
        <f t="shared" si="262"/>
        <v>0.55009286464678053</v>
      </c>
      <c r="J226" s="103">
        <f t="shared" si="262"/>
        <v>0.57636200503052282</v>
      </c>
      <c r="K226" s="103">
        <f t="shared" si="262"/>
        <v>0.58964624768028095</v>
      </c>
      <c r="L226" s="103">
        <f t="shared" ref="L226" si="263">IF(L8=0,0,L8/L$4)</f>
        <v>0.60642446075479883</v>
      </c>
      <c r="M226" s="103">
        <f t="shared" ref="M226:V226" si="264">IF(M8=0,0,M8/M$4)</f>
        <v>0.63043378641719228</v>
      </c>
      <c r="N226" s="103">
        <f t="shared" si="264"/>
        <v>0.62936123810537992</v>
      </c>
      <c r="O226" s="103">
        <f t="shared" si="264"/>
        <v>0.63610374541382775</v>
      </c>
      <c r="P226" s="103">
        <f t="shared" si="264"/>
        <v>0.64973534133520394</v>
      </c>
      <c r="Q226" s="103">
        <f t="shared" si="264"/>
        <v>0.65384480007478318</v>
      </c>
      <c r="R226" s="103">
        <f t="shared" si="264"/>
        <v>0.6701735070645829</v>
      </c>
      <c r="S226" s="103">
        <f t="shared" si="264"/>
        <v>0.67512424707153829</v>
      </c>
      <c r="T226" s="103">
        <f t="shared" si="264"/>
        <v>0.67754040677265392</v>
      </c>
      <c r="U226" s="103">
        <f t="shared" si="264"/>
        <v>0.67363323000314168</v>
      </c>
      <c r="V226" s="103">
        <f t="shared" si="264"/>
        <v>0.69776203910329304</v>
      </c>
      <c r="W226" s="103">
        <f t="shared" ref="W226" si="265">IF(W8=0,0,W8/W$4)</f>
        <v>0.67015050369651252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4.7765414534881355E-3</v>
      </c>
      <c r="C227" s="103">
        <f t="shared" si="266"/>
        <v>4.4994794002935186E-3</v>
      </c>
      <c r="D227" s="103">
        <f t="shared" si="266"/>
        <v>3.9030347745443285E-3</v>
      </c>
      <c r="E227" s="103">
        <f t="shared" si="266"/>
        <v>4.521110105745246E-3</v>
      </c>
      <c r="F227" s="103">
        <f t="shared" si="266"/>
        <v>4.4982135369342124E-3</v>
      </c>
      <c r="G227" s="103">
        <f t="shared" si="266"/>
        <v>4.8880972110784205E-3</v>
      </c>
      <c r="H227" s="103">
        <f t="shared" si="266"/>
        <v>4.1406411293876877E-3</v>
      </c>
      <c r="I227" s="103">
        <f t="shared" si="266"/>
        <v>3.8922194117840376E-3</v>
      </c>
      <c r="J227" s="103">
        <f t="shared" si="266"/>
        <v>4.9803306313660114E-3</v>
      </c>
      <c r="K227" s="103">
        <f t="shared" si="266"/>
        <v>7.3306292529208726E-3</v>
      </c>
      <c r="L227" s="103">
        <f t="shared" ref="L227" si="267">IF(L9=0,0,L9/L$4)</f>
        <v>6.9751567879109307E-3</v>
      </c>
      <c r="M227" s="103">
        <f t="shared" ref="M227:V227" si="268">IF(M9=0,0,M9/M$4)</f>
        <v>6.3157694498260832E-3</v>
      </c>
      <c r="N227" s="103">
        <f t="shared" si="268"/>
        <v>8.5161435642531792E-3</v>
      </c>
      <c r="O227" s="103">
        <f t="shared" si="268"/>
        <v>8.8448970290428922E-3</v>
      </c>
      <c r="P227" s="103">
        <f t="shared" si="268"/>
        <v>9.3969636378339345E-3</v>
      </c>
      <c r="Q227" s="103">
        <f t="shared" si="268"/>
        <v>9.700730472053283E-3</v>
      </c>
      <c r="R227" s="103">
        <f t="shared" si="268"/>
        <v>9.7226708742349788E-3</v>
      </c>
      <c r="S227" s="103">
        <f t="shared" si="268"/>
        <v>9.8207504942525309E-3</v>
      </c>
      <c r="T227" s="103">
        <f t="shared" si="268"/>
        <v>1.0151193610583111E-2</v>
      </c>
      <c r="U227" s="103">
        <f t="shared" si="268"/>
        <v>1.0092106548987304E-2</v>
      </c>
      <c r="V227" s="103">
        <f t="shared" si="268"/>
        <v>9.9471691757123566E-3</v>
      </c>
      <c r="W227" s="103">
        <f t="shared" ref="W227" si="269">IF(W9=0,0,W9/W$4)</f>
        <v>1.047122227027858E-2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3.4080840626016207E-7</v>
      </c>
      <c r="M228" s="103">
        <f t="shared" ref="M228:V228" si="272">IF(M10=0,0,M10/M$4)</f>
        <v>3.2498031559211957E-7</v>
      </c>
      <c r="N228" s="103">
        <f t="shared" si="272"/>
        <v>1.2849960010803366E-6</v>
      </c>
      <c r="O228" s="103">
        <f t="shared" si="272"/>
        <v>4.0399464938127629E-6</v>
      </c>
      <c r="P228" s="103">
        <f t="shared" si="272"/>
        <v>4.2634736964677284E-6</v>
      </c>
      <c r="Q228" s="103">
        <f t="shared" si="272"/>
        <v>5.4575921512588034E-6</v>
      </c>
      <c r="R228" s="103">
        <f t="shared" si="272"/>
        <v>6.302008747853642E-6</v>
      </c>
      <c r="S228" s="103">
        <f t="shared" si="272"/>
        <v>7.2293765213215748E-6</v>
      </c>
      <c r="T228" s="103">
        <f t="shared" si="272"/>
        <v>8.1381853251735972E-6</v>
      </c>
      <c r="U228" s="103">
        <f t="shared" si="272"/>
        <v>1.4686306816872925E-5</v>
      </c>
      <c r="V228" s="103">
        <f t="shared" si="272"/>
        <v>1.8322895963163133E-5</v>
      </c>
      <c r="W228" s="103">
        <f t="shared" ref="W228" si="273">IF(W10=0,0,W10/W$4)</f>
        <v>2.1737830656279114E-5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2.2472731718616089E-6</v>
      </c>
      <c r="N229" s="103">
        <f t="shared" si="276"/>
        <v>9.1096498542283522E-6</v>
      </c>
      <c r="O229" s="103">
        <f t="shared" si="276"/>
        <v>1.5612748735098541E-5</v>
      </c>
      <c r="P229" s="103">
        <f t="shared" si="276"/>
        <v>2.8206185893011224E-5</v>
      </c>
      <c r="Q229" s="103">
        <f t="shared" si="276"/>
        <v>9.9361430514432182E-5</v>
      </c>
      <c r="R229" s="103">
        <f t="shared" si="276"/>
        <v>2.4058070833670058E-4</v>
      </c>
      <c r="S229" s="103">
        <f t="shared" si="276"/>
        <v>5.4903527233047188E-4</v>
      </c>
      <c r="T229" s="103">
        <f t="shared" si="276"/>
        <v>1.1811353919802846E-3</v>
      </c>
      <c r="U229" s="103">
        <f t="shared" si="276"/>
        <v>2.0768401461113513E-3</v>
      </c>
      <c r="V229" s="103">
        <f t="shared" si="276"/>
        <v>3.1656620358781955E-3</v>
      </c>
      <c r="W229" s="103">
        <f t="shared" ref="W229" si="277">IF(W11=0,0,W11/W$4)</f>
        <v>4.9819487382999107E-3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4.669530988168879E-6</v>
      </c>
      <c r="K230" s="103">
        <f t="shared" si="278"/>
        <v>4.7444202903876315E-6</v>
      </c>
      <c r="L230" s="103">
        <f t="shared" ref="L230" si="279">IF(L12=0,0,L12/L$4)</f>
        <v>1.1528738895740998E-4</v>
      </c>
      <c r="M230" s="103">
        <f t="shared" ref="M230:V230" si="280">IF(M12=0,0,M12/M$4)</f>
        <v>4.6639892478581908E-5</v>
      </c>
      <c r="N230" s="103">
        <f t="shared" si="280"/>
        <v>6.2137624478813609E-5</v>
      </c>
      <c r="O230" s="103">
        <f t="shared" si="280"/>
        <v>7.7643781438724278E-5</v>
      </c>
      <c r="P230" s="103">
        <f t="shared" si="280"/>
        <v>8.3349294240768175E-5</v>
      </c>
      <c r="Q230" s="103">
        <f t="shared" si="280"/>
        <v>1.6841543037252366E-4</v>
      </c>
      <c r="R230" s="103">
        <f t="shared" si="280"/>
        <v>3.9838095064492589E-4</v>
      </c>
      <c r="S230" s="103">
        <f t="shared" si="280"/>
        <v>1.1991172612595344E-3</v>
      </c>
      <c r="T230" s="103">
        <f t="shared" si="280"/>
        <v>2.6769036874196525E-3</v>
      </c>
      <c r="U230" s="103">
        <f t="shared" si="280"/>
        <v>4.5209335255292186E-3</v>
      </c>
      <c r="V230" s="103">
        <f t="shared" si="280"/>
        <v>5.9365052945815899E-3</v>
      </c>
      <c r="W230" s="103">
        <f t="shared" ref="W230" si="281">IF(W12=0,0,W12/W$4)</f>
        <v>8.4778671230882913E-3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0.14006682677053622</v>
      </c>
      <c r="C231" s="156">
        <f t="shared" si="282"/>
        <v>0.12966704683204722</v>
      </c>
      <c r="D231" s="156">
        <f t="shared" si="282"/>
        <v>0.11105854311673971</v>
      </c>
      <c r="E231" s="156">
        <f t="shared" si="282"/>
        <v>0.11213098837325093</v>
      </c>
      <c r="F231" s="156">
        <f t="shared" si="282"/>
        <v>0.1127336322063465</v>
      </c>
      <c r="G231" s="156">
        <f t="shared" si="282"/>
        <v>6.8156972943927904E-2</v>
      </c>
      <c r="H231" s="156">
        <f t="shared" si="282"/>
        <v>6.427249893457665E-2</v>
      </c>
      <c r="I231" s="156">
        <f t="shared" si="282"/>
        <v>6.5763327888775161E-2</v>
      </c>
      <c r="J231" s="156">
        <f t="shared" si="282"/>
        <v>6.5801954856259892E-2</v>
      </c>
      <c r="K231" s="156">
        <f t="shared" si="282"/>
        <v>6.3796334768334365E-2</v>
      </c>
      <c r="L231" s="156">
        <f t="shared" ref="L231" si="283">IF(L13=0,0,L13/L$4)</f>
        <v>6.6229503045621765E-2</v>
      </c>
      <c r="M231" s="156">
        <f t="shared" ref="M231:V231" si="284">IF(M13=0,0,M13/M$4)</f>
        <v>6.4297002902367839E-2</v>
      </c>
      <c r="N231" s="156">
        <f t="shared" si="284"/>
        <v>6.5046902305185811E-2</v>
      </c>
      <c r="O231" s="156">
        <f t="shared" si="284"/>
        <v>6.7063281581412809E-2</v>
      </c>
      <c r="P231" s="156">
        <f t="shared" si="284"/>
        <v>6.2241740778662319E-2</v>
      </c>
      <c r="Q231" s="156">
        <f t="shared" si="284"/>
        <v>5.9530278962032362E-2</v>
      </c>
      <c r="R231" s="156">
        <f t="shared" si="284"/>
        <v>5.4264607913244729E-2</v>
      </c>
      <c r="S231" s="156">
        <f t="shared" si="284"/>
        <v>6.2042185920068653E-2</v>
      </c>
      <c r="T231" s="156">
        <f t="shared" si="284"/>
        <v>6.428001555962598E-2</v>
      </c>
      <c r="U231" s="156">
        <f t="shared" si="284"/>
        <v>6.2412063251607829E-2</v>
      </c>
      <c r="V231" s="156">
        <f t="shared" si="284"/>
        <v>4.1887479664608318E-2</v>
      </c>
      <c r="W231" s="156">
        <f t="shared" ref="W231" si="285">IF(W13=0,0,W13/W$4)</f>
        <v>5.7835507945712024E-2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5.0788416749972531E-6</v>
      </c>
      <c r="M232" s="103">
        <f t="shared" ref="M232:V232" si="288">IF(M14=0,0,M14/M$4)</f>
        <v>5.2613221644218388E-6</v>
      </c>
      <c r="N232" s="103">
        <f t="shared" si="288"/>
        <v>5.7451538945602474E-6</v>
      </c>
      <c r="O232" s="103">
        <f t="shared" si="288"/>
        <v>7.1400844584391864E-6</v>
      </c>
      <c r="P232" s="103">
        <f t="shared" si="288"/>
        <v>6.2025200791158301E-6</v>
      </c>
      <c r="Q232" s="103">
        <f t="shared" si="288"/>
        <v>7.2137048295401704E-6</v>
      </c>
      <c r="R232" s="103">
        <f t="shared" si="288"/>
        <v>7.8853979972450544E-6</v>
      </c>
      <c r="S232" s="103">
        <f t="shared" si="288"/>
        <v>6.8991445051798926E-6</v>
      </c>
      <c r="T232" s="103">
        <f t="shared" si="288"/>
        <v>6.9631767252881435E-6</v>
      </c>
      <c r="U232" s="103">
        <f t="shared" si="288"/>
        <v>5.9588691726806869E-6</v>
      </c>
      <c r="V232" s="103">
        <f t="shared" si="288"/>
        <v>5.290632479902647E-6</v>
      </c>
      <c r="W232" s="103">
        <f t="shared" ref="W232" si="289">IF(W14=0,0,W14/W$4)</f>
        <v>6.3141027687127368E-6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0.13959411738478431</v>
      </c>
      <c r="C233" s="103">
        <f t="shared" si="290"/>
        <v>0.12774447193166935</v>
      </c>
      <c r="D233" s="103">
        <f t="shared" si="290"/>
        <v>0.10856815925988185</v>
      </c>
      <c r="E233" s="103">
        <f t="shared" si="290"/>
        <v>0.10869203110044146</v>
      </c>
      <c r="F233" s="103">
        <f t="shared" si="290"/>
        <v>0.10908780771969906</v>
      </c>
      <c r="G233" s="103">
        <f t="shared" si="290"/>
        <v>6.4123543989699605E-2</v>
      </c>
      <c r="H233" s="103">
        <f t="shared" si="290"/>
        <v>6.0736867007304511E-2</v>
      </c>
      <c r="I233" s="103">
        <f t="shared" si="290"/>
        <v>6.187520908056595E-2</v>
      </c>
      <c r="J233" s="103">
        <f t="shared" si="290"/>
        <v>6.1816837237577117E-2</v>
      </c>
      <c r="K233" s="103">
        <f t="shared" si="290"/>
        <v>5.9858288592596252E-2</v>
      </c>
      <c r="L233" s="103">
        <f t="shared" ref="L233" si="291">IF(L15=0,0,L15/L$4)</f>
        <v>6.1997568141945854E-2</v>
      </c>
      <c r="M233" s="103">
        <f t="shared" ref="M233:V233" si="292">IF(M15=0,0,M15/M$4)</f>
        <v>6.0158141397179524E-2</v>
      </c>
      <c r="N233" s="103">
        <f t="shared" si="292"/>
        <v>5.9931488957118709E-2</v>
      </c>
      <c r="O233" s="103">
        <f t="shared" si="292"/>
        <v>6.1983170682800959E-2</v>
      </c>
      <c r="P233" s="103">
        <f t="shared" si="292"/>
        <v>5.8626364471033525E-2</v>
      </c>
      <c r="Q233" s="103">
        <f t="shared" si="292"/>
        <v>5.6122923869152609E-2</v>
      </c>
      <c r="R233" s="103">
        <f t="shared" si="292"/>
        <v>5.1354490302633261E-2</v>
      </c>
      <c r="S233" s="103">
        <f t="shared" si="292"/>
        <v>5.890270451274101E-2</v>
      </c>
      <c r="T233" s="103">
        <f t="shared" si="292"/>
        <v>6.014320206567246E-2</v>
      </c>
      <c r="U233" s="103">
        <f t="shared" si="292"/>
        <v>5.9241504680395303E-2</v>
      </c>
      <c r="V233" s="103">
        <f t="shared" si="292"/>
        <v>3.890712854177375E-2</v>
      </c>
      <c r="W233" s="103">
        <f t="shared" ref="W233" si="293">IF(W15=0,0,W15/W$4)</f>
        <v>5.2677559345552599E-2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8.7414689114995881E-6</v>
      </c>
      <c r="M234" s="103">
        <f t="shared" ref="M234:V234" si="296">IF(M16=0,0,M16/M$4)</f>
        <v>8.7255299369202063E-6</v>
      </c>
      <c r="N234" s="103">
        <f t="shared" si="296"/>
        <v>7.2629940524712271E-6</v>
      </c>
      <c r="O234" s="103">
        <f t="shared" si="296"/>
        <v>7.7371887897575804E-6</v>
      </c>
      <c r="P234" s="103">
        <f t="shared" si="296"/>
        <v>1.1839082758266041E-5</v>
      </c>
      <c r="Q234" s="103">
        <f t="shared" si="296"/>
        <v>1.1643906014144463E-5</v>
      </c>
      <c r="R234" s="103">
        <f t="shared" si="296"/>
        <v>1.3060157505317774E-5</v>
      </c>
      <c r="S234" s="103">
        <f t="shared" si="296"/>
        <v>1.4443582616634388E-5</v>
      </c>
      <c r="T234" s="103">
        <f t="shared" si="296"/>
        <v>1.4608887333244709E-5</v>
      </c>
      <c r="U234" s="103">
        <f t="shared" si="296"/>
        <v>1.2196513899587088E-5</v>
      </c>
      <c r="V234" s="103">
        <f t="shared" si="296"/>
        <v>7.5549240494528312E-6</v>
      </c>
      <c r="W234" s="103">
        <f t="shared" ref="W234" si="297">IF(W16=0,0,W16/W$4)</f>
        <v>1.0262293688509821E-5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4.7270938575190902E-4</v>
      </c>
      <c r="C235" s="103">
        <f t="shared" si="298"/>
        <v>1.9225749003778647E-3</v>
      </c>
      <c r="D235" s="103">
        <f t="shared" si="298"/>
        <v>2.4903838568578755E-3</v>
      </c>
      <c r="E235" s="103">
        <f t="shared" si="298"/>
        <v>3.4389572728094663E-3</v>
      </c>
      <c r="F235" s="103">
        <f t="shared" si="298"/>
        <v>3.6458244866474409E-3</v>
      </c>
      <c r="G235" s="103">
        <f t="shared" si="298"/>
        <v>4.0334289542283052E-3</v>
      </c>
      <c r="H235" s="103">
        <f t="shared" si="298"/>
        <v>3.5356319272721471E-3</v>
      </c>
      <c r="I235" s="103">
        <f t="shared" si="298"/>
        <v>3.8881188082092138E-3</v>
      </c>
      <c r="J235" s="103">
        <f t="shared" si="298"/>
        <v>3.985117618682775E-3</v>
      </c>
      <c r="K235" s="103">
        <f t="shared" si="298"/>
        <v>3.9380461757381122E-3</v>
      </c>
      <c r="L235" s="103">
        <f t="shared" ref="L235" si="299">IF(L17=0,0,L17/L$4)</f>
        <v>4.1274078578172075E-3</v>
      </c>
      <c r="M235" s="103">
        <f t="shared" ref="M235:V235" si="300">IF(M17=0,0,M17/M$4)</f>
        <v>4.0437205952879246E-3</v>
      </c>
      <c r="N235" s="103">
        <f t="shared" si="300"/>
        <v>4.9120906187739505E-3</v>
      </c>
      <c r="O235" s="103">
        <f t="shared" si="300"/>
        <v>4.8598334676683494E-3</v>
      </c>
      <c r="P235" s="103">
        <f t="shared" si="300"/>
        <v>3.4400960062497092E-3</v>
      </c>
      <c r="Q235" s="103">
        <f t="shared" si="300"/>
        <v>3.238332762761835E-3</v>
      </c>
      <c r="R235" s="103">
        <f t="shared" si="300"/>
        <v>2.7601863619205599E-3</v>
      </c>
      <c r="S235" s="103">
        <f t="shared" si="300"/>
        <v>2.8886288494107972E-3</v>
      </c>
      <c r="T235" s="103">
        <f t="shared" si="300"/>
        <v>3.540825700466601E-3</v>
      </c>
      <c r="U235" s="103">
        <f t="shared" si="300"/>
        <v>2.4433894664266666E-3</v>
      </c>
      <c r="V235" s="103">
        <f t="shared" si="300"/>
        <v>2.3403812676298643E-3</v>
      </c>
      <c r="W235" s="103">
        <f t="shared" ref="W235" si="301">IF(W17=0,0,W17/W$4)</f>
        <v>4.3777625570557204E-3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9.070673527220744E-5</v>
      </c>
      <c r="M236" s="103">
        <f t="shared" ref="M236:V236" si="304">IF(M18=0,0,M18/M$4)</f>
        <v>8.115405779905828E-5</v>
      </c>
      <c r="N236" s="103">
        <f t="shared" si="304"/>
        <v>1.9031458134612586E-4</v>
      </c>
      <c r="O236" s="103">
        <f t="shared" si="304"/>
        <v>2.0540015769530243E-4</v>
      </c>
      <c r="P236" s="103">
        <f t="shared" si="304"/>
        <v>1.5723869854171043E-4</v>
      </c>
      <c r="Q236" s="103">
        <f t="shared" si="304"/>
        <v>1.5016471927424668E-4</v>
      </c>
      <c r="R236" s="103">
        <f t="shared" si="304"/>
        <v>1.2898569318834928E-4</v>
      </c>
      <c r="S236" s="103">
        <f t="shared" si="304"/>
        <v>2.2950983079503121E-4</v>
      </c>
      <c r="T236" s="103">
        <f t="shared" si="304"/>
        <v>5.7441572942839322E-4</v>
      </c>
      <c r="U236" s="103">
        <f t="shared" si="304"/>
        <v>7.0901372171358775E-4</v>
      </c>
      <c r="V236" s="103">
        <f t="shared" si="304"/>
        <v>6.2712429867535101E-4</v>
      </c>
      <c r="W236" s="103">
        <f t="shared" ref="W236" si="305">IF(W18=0,0,W18/W$4)</f>
        <v>7.6360964664648489E-4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0.1132643572165835</v>
      </c>
      <c r="C238" s="154">
        <f t="shared" si="310"/>
        <v>0.10479783655083996</v>
      </c>
      <c r="D238" s="154">
        <f t="shared" si="310"/>
        <v>0.11028152606292885</v>
      </c>
      <c r="E238" s="154">
        <f t="shared" si="310"/>
        <v>0.11050963214970266</v>
      </c>
      <c r="F238" s="154">
        <f t="shared" si="310"/>
        <v>8.9548968485350044E-2</v>
      </c>
      <c r="G238" s="154">
        <f t="shared" si="310"/>
        <v>8.6395904867391557E-2</v>
      </c>
      <c r="H238" s="154">
        <f t="shared" si="310"/>
        <v>8.5631208522378793E-2</v>
      </c>
      <c r="I238" s="154">
        <f t="shared" si="310"/>
        <v>7.93337795914488E-2</v>
      </c>
      <c r="J238" s="154">
        <f t="shared" si="310"/>
        <v>8.7017229226500153E-2</v>
      </c>
      <c r="K238" s="154">
        <f t="shared" si="310"/>
        <v>9.9032516345881394E-2</v>
      </c>
      <c r="L238" s="154">
        <f t="shared" ref="L238" si="311">IF(L20=0,0,L20/L$19)</f>
        <v>0.10743649914055071</v>
      </c>
      <c r="M238" s="154">
        <f t="shared" ref="M238:V238" si="312">IF(M20=0,0,M20/M$19)</f>
        <v>9.7874678079126892E-2</v>
      </c>
      <c r="N238" s="154">
        <f t="shared" si="312"/>
        <v>9.8613252879213673E-2</v>
      </c>
      <c r="O238" s="154">
        <f t="shared" si="312"/>
        <v>9.906489565774021E-2</v>
      </c>
      <c r="P238" s="154">
        <f t="shared" si="312"/>
        <v>0.10179654214647703</v>
      </c>
      <c r="Q238" s="154">
        <f t="shared" si="312"/>
        <v>0.10369133299345219</v>
      </c>
      <c r="R238" s="154">
        <f t="shared" si="312"/>
        <v>0.10608805567440657</v>
      </c>
      <c r="S238" s="154">
        <f t="shared" si="312"/>
        <v>0.10788975680591173</v>
      </c>
      <c r="T238" s="154">
        <f t="shared" si="312"/>
        <v>0.11123506602751665</v>
      </c>
      <c r="U238" s="154">
        <f t="shared" si="312"/>
        <v>0.11585885122240801</v>
      </c>
      <c r="V238" s="154">
        <f t="shared" si="312"/>
        <v>0.1189660329852114</v>
      </c>
      <c r="W238" s="154">
        <f t="shared" ref="W238" si="313">IF(W20=0,0,W20/W$19)</f>
        <v>0.11578836413424783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1.1546333578523356E-3</v>
      </c>
      <c r="C239" s="103">
        <f t="shared" si="314"/>
        <v>9.4359779353307704E-4</v>
      </c>
      <c r="D239" s="103">
        <f t="shared" si="314"/>
        <v>9.674064399677587E-4</v>
      </c>
      <c r="E239" s="103">
        <f t="shared" si="314"/>
        <v>1.0928655213355556E-3</v>
      </c>
      <c r="F239" s="103">
        <f t="shared" si="314"/>
        <v>8.1650621936259508E-4</v>
      </c>
      <c r="G239" s="103">
        <f t="shared" si="314"/>
        <v>7.6095556195163649E-4</v>
      </c>
      <c r="H239" s="103">
        <f t="shared" si="314"/>
        <v>7.3426817852271663E-4</v>
      </c>
      <c r="I239" s="103">
        <f t="shared" si="314"/>
        <v>6.5685960267697905E-4</v>
      </c>
      <c r="J239" s="103">
        <f t="shared" si="314"/>
        <v>7.0272706339184992E-4</v>
      </c>
      <c r="K239" s="103">
        <f t="shared" si="314"/>
        <v>7.8117929467276276E-4</v>
      </c>
      <c r="L239" s="103">
        <f t="shared" ref="L239" si="315">IF(L21=0,0,L21/L$19)</f>
        <v>8.2613420877780197E-4</v>
      </c>
      <c r="M239" s="103">
        <f t="shared" ref="M239:V239" si="316">IF(M21=0,0,M21/M$19)</f>
        <v>6.7889690009295136E-4</v>
      </c>
      <c r="N239" s="103">
        <f t="shared" si="316"/>
        <v>6.8258898489556444E-4</v>
      </c>
      <c r="O239" s="103">
        <f t="shared" si="316"/>
        <v>6.3788595764363305E-4</v>
      </c>
      <c r="P239" s="103">
        <f t="shared" si="316"/>
        <v>5.7627676809582546E-4</v>
      </c>
      <c r="Q239" s="103">
        <f t="shared" si="316"/>
        <v>6.4942142463681775E-4</v>
      </c>
      <c r="R239" s="103">
        <f t="shared" si="316"/>
        <v>6.0314890198617289E-4</v>
      </c>
      <c r="S239" s="103">
        <f t="shared" si="316"/>
        <v>6.1197043945324765E-4</v>
      </c>
      <c r="T239" s="103">
        <f t="shared" si="316"/>
        <v>5.6883016168154531E-4</v>
      </c>
      <c r="U239" s="103">
        <f t="shared" si="316"/>
        <v>7.1018756732634414E-4</v>
      </c>
      <c r="V239" s="103">
        <f t="shared" si="316"/>
        <v>5.3847330753459927E-4</v>
      </c>
      <c r="W239" s="103">
        <f t="shared" ref="W239" si="317">IF(W21=0,0,W21/W$19)</f>
        <v>5.0518032769966638E-4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0.11206136199533222</v>
      </c>
      <c r="C240" s="103">
        <f t="shared" si="318"/>
        <v>0.10381380026602549</v>
      </c>
      <c r="D240" s="103">
        <f t="shared" si="318"/>
        <v>0.10927162969974639</v>
      </c>
      <c r="E240" s="103">
        <f t="shared" si="318"/>
        <v>0.10936883300768609</v>
      </c>
      <c r="F240" s="103">
        <f t="shared" si="318"/>
        <v>8.8695829702146983E-2</v>
      </c>
      <c r="G240" s="103">
        <f t="shared" si="318"/>
        <v>8.5599840107761213E-2</v>
      </c>
      <c r="H240" s="103">
        <f t="shared" si="318"/>
        <v>8.4862254886350033E-2</v>
      </c>
      <c r="I240" s="103">
        <f t="shared" si="318"/>
        <v>7.864488329922513E-2</v>
      </c>
      <c r="J240" s="103">
        <f t="shared" si="318"/>
        <v>8.6279464999201985E-2</v>
      </c>
      <c r="K240" s="103">
        <f t="shared" si="318"/>
        <v>9.8211530900323446E-2</v>
      </c>
      <c r="L240" s="103">
        <f t="shared" ref="L240" si="319">IF(L22=0,0,L22/L$19)</f>
        <v>0.10656874189189632</v>
      </c>
      <c r="M240" s="103">
        <f t="shared" ref="M240:V240" si="320">IF(M22=0,0,M22/M$19)</f>
        <v>9.7158630461579076E-2</v>
      </c>
      <c r="N240" s="103">
        <f t="shared" si="320"/>
        <v>9.7894385101466891E-2</v>
      </c>
      <c r="O240" s="103">
        <f t="shared" si="320"/>
        <v>9.8386599883591191E-2</v>
      </c>
      <c r="P240" s="103">
        <f t="shared" si="320"/>
        <v>0.10117856549364032</v>
      </c>
      <c r="Q240" s="103">
        <f t="shared" si="320"/>
        <v>0.10299182607555499</v>
      </c>
      <c r="R240" s="103">
        <f t="shared" si="320"/>
        <v>0.1054353202733903</v>
      </c>
      <c r="S240" s="103">
        <f t="shared" si="320"/>
        <v>0.10720398540316767</v>
      </c>
      <c r="T240" s="103">
        <f t="shared" si="320"/>
        <v>0.11055973896375028</v>
      </c>
      <c r="U240" s="103">
        <f t="shared" si="320"/>
        <v>0.11501344758086873</v>
      </c>
      <c r="V240" s="103">
        <f t="shared" si="320"/>
        <v>0.11825580689318638</v>
      </c>
      <c r="W240" s="103">
        <f t="shared" ref="W240" si="321">IF(W22=0,0,W22/W$19)</f>
        <v>0.11509875670525727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4.8361863398938614E-5</v>
      </c>
      <c r="C241" s="103">
        <f t="shared" si="322"/>
        <v>4.0438491281401297E-5</v>
      </c>
      <c r="D241" s="103">
        <f t="shared" si="322"/>
        <v>4.2489923214705523E-5</v>
      </c>
      <c r="E241" s="103">
        <f t="shared" si="322"/>
        <v>4.7933620681031999E-5</v>
      </c>
      <c r="F241" s="103">
        <f t="shared" si="322"/>
        <v>3.6632563840476015E-5</v>
      </c>
      <c r="G241" s="103">
        <f t="shared" si="322"/>
        <v>3.510919767871379E-5</v>
      </c>
      <c r="H241" s="103">
        <f t="shared" si="322"/>
        <v>3.4685457506040943E-5</v>
      </c>
      <c r="I241" s="103">
        <f t="shared" si="322"/>
        <v>3.2036689546698877E-5</v>
      </c>
      <c r="J241" s="103">
        <f t="shared" si="322"/>
        <v>3.5037163906322736E-5</v>
      </c>
      <c r="K241" s="103">
        <f t="shared" si="322"/>
        <v>3.9806150885184309E-5</v>
      </c>
      <c r="L241" s="103">
        <f t="shared" ref="L241" si="323">IF(L23=0,0,L23/L$19)</f>
        <v>4.1623039876587693E-5</v>
      </c>
      <c r="M241" s="103">
        <f t="shared" ref="M241:V241" si="324">IF(M23=0,0,M23/M$19)</f>
        <v>3.6896230377989167E-5</v>
      </c>
      <c r="N241" s="103">
        <f t="shared" si="324"/>
        <v>3.5335834914212934E-5</v>
      </c>
      <c r="O241" s="103">
        <f t="shared" si="324"/>
        <v>3.6375872821874078E-5</v>
      </c>
      <c r="P241" s="103">
        <f t="shared" si="324"/>
        <v>3.5742179558765362E-5</v>
      </c>
      <c r="Q241" s="103">
        <f t="shared" si="324"/>
        <v>3.882755377000484E-5</v>
      </c>
      <c r="R241" s="103">
        <f t="shared" si="324"/>
        <v>3.6330678094140923E-5</v>
      </c>
      <c r="S241" s="103">
        <f t="shared" si="324"/>
        <v>3.5596655508296728E-5</v>
      </c>
      <c r="T241" s="103">
        <f t="shared" si="324"/>
        <v>3.5643770557387311E-5</v>
      </c>
      <c r="U241" s="103">
        <f t="shared" si="324"/>
        <v>4.1272628518595046E-5</v>
      </c>
      <c r="V241" s="103">
        <f t="shared" si="324"/>
        <v>4.0981778590703729E-5</v>
      </c>
      <c r="W241" s="103">
        <f t="shared" ref="W241" si="325">IF(W23=0,0,W23/W$19)</f>
        <v>3.7060886330978102E-5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3.3680266792892773E-7</v>
      </c>
      <c r="P242" s="103">
        <f t="shared" si="328"/>
        <v>8.3893042854802044E-7</v>
      </c>
      <c r="Q242" s="103">
        <f t="shared" si="328"/>
        <v>1.2969656621310773E-6</v>
      </c>
      <c r="R242" s="103">
        <f t="shared" si="328"/>
        <v>1.7736169179491094E-6</v>
      </c>
      <c r="S242" s="103">
        <f t="shared" si="328"/>
        <v>1.9993963741579488E-6</v>
      </c>
      <c r="T242" s="103">
        <f t="shared" si="328"/>
        <v>3.0242261918147657E-6</v>
      </c>
      <c r="U242" s="103">
        <f t="shared" si="328"/>
        <v>4.8412303511044451E-6</v>
      </c>
      <c r="V242" s="103">
        <f t="shared" si="328"/>
        <v>5.9228435145290123E-6</v>
      </c>
      <c r="W242" s="103">
        <f t="shared" ref="W242" si="329">IF(W24=0,0,W24/W$19)</f>
        <v>8.106041612679426E-6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2.5448707686548247E-7</v>
      </c>
      <c r="N243" s="103">
        <f t="shared" si="332"/>
        <v>9.4295793701150049E-7</v>
      </c>
      <c r="O243" s="103">
        <f t="shared" si="332"/>
        <v>3.697141015578169E-6</v>
      </c>
      <c r="P243" s="103">
        <f t="shared" si="332"/>
        <v>5.1187747535699314E-6</v>
      </c>
      <c r="Q243" s="103">
        <f t="shared" si="332"/>
        <v>9.9609738282397234E-6</v>
      </c>
      <c r="R243" s="103">
        <f t="shared" si="332"/>
        <v>1.1482204018025382E-5</v>
      </c>
      <c r="S243" s="103">
        <f t="shared" si="332"/>
        <v>3.6204911408354021E-5</v>
      </c>
      <c r="T243" s="103">
        <f t="shared" si="332"/>
        <v>6.7828905335611683E-5</v>
      </c>
      <c r="U243" s="103">
        <f t="shared" si="332"/>
        <v>8.9102215343266238E-5</v>
      </c>
      <c r="V243" s="103">
        <f t="shared" si="332"/>
        <v>1.2484816238519667E-4</v>
      </c>
      <c r="W243" s="103">
        <f t="shared" ref="W243" si="333">IF(W25=0,0,W25/W$19)</f>
        <v>1.3926017334724321E-4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0.88673564278341654</v>
      </c>
      <c r="C244" s="156">
        <f t="shared" si="334"/>
        <v>0.89520216344916004</v>
      </c>
      <c r="D244" s="156">
        <f t="shared" si="334"/>
        <v>0.88971847393707115</v>
      </c>
      <c r="E244" s="156">
        <f t="shared" si="334"/>
        <v>0.88949036785029723</v>
      </c>
      <c r="F244" s="156">
        <f t="shared" si="334"/>
        <v>0.9104510315146499</v>
      </c>
      <c r="G244" s="156">
        <f t="shared" si="334"/>
        <v>0.91360409513260843</v>
      </c>
      <c r="H244" s="156">
        <f t="shared" si="334"/>
        <v>0.91436879147762118</v>
      </c>
      <c r="I244" s="156">
        <f t="shared" si="334"/>
        <v>0.92066622040855128</v>
      </c>
      <c r="J244" s="156">
        <f t="shared" si="334"/>
        <v>0.91298277077349987</v>
      </c>
      <c r="K244" s="156">
        <f t="shared" si="334"/>
        <v>0.90096748365411861</v>
      </c>
      <c r="L244" s="156">
        <f t="shared" ref="L244" si="335">IF(L26=0,0,L26/L$19)</f>
        <v>0.89256350085944924</v>
      </c>
      <c r="M244" s="156">
        <f t="shared" ref="M244:V244" si="336">IF(M26=0,0,M26/M$19)</f>
        <v>0.90212532192087314</v>
      </c>
      <c r="N244" s="156">
        <f t="shared" si="336"/>
        <v>0.90138674712078626</v>
      </c>
      <c r="O244" s="156">
        <f t="shared" si="336"/>
        <v>0.90093510434225976</v>
      </c>
      <c r="P244" s="156">
        <f t="shared" si="336"/>
        <v>0.89820345785352307</v>
      </c>
      <c r="Q244" s="156">
        <f t="shared" si="336"/>
        <v>0.89630866700654788</v>
      </c>
      <c r="R244" s="156">
        <f t="shared" si="336"/>
        <v>0.8939119443255934</v>
      </c>
      <c r="S244" s="156">
        <f t="shared" si="336"/>
        <v>0.89211024319408816</v>
      </c>
      <c r="T244" s="156">
        <f t="shared" si="336"/>
        <v>0.88876493397248335</v>
      </c>
      <c r="U244" s="156">
        <f t="shared" si="336"/>
        <v>0.88414114877759198</v>
      </c>
      <c r="V244" s="156">
        <f t="shared" si="336"/>
        <v>0.88103396701478853</v>
      </c>
      <c r="W244" s="156">
        <f t="shared" ref="W244" si="337">IF(W26=0,0,W26/W$19)</f>
        <v>0.88421163586575224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0.66887003210290885</v>
      </c>
      <c r="C245" s="103">
        <f t="shared" si="338"/>
        <v>0.68679453239778776</v>
      </c>
      <c r="D245" s="103">
        <f t="shared" si="338"/>
        <v>0.65796383333941877</v>
      </c>
      <c r="E245" s="103">
        <f t="shared" si="338"/>
        <v>0.64644910314326631</v>
      </c>
      <c r="F245" s="103">
        <f t="shared" si="338"/>
        <v>0.67172348336812693</v>
      </c>
      <c r="G245" s="103">
        <f t="shared" si="338"/>
        <v>0.66794150866203983</v>
      </c>
      <c r="H245" s="103">
        <f t="shared" si="338"/>
        <v>0.65636265850894304</v>
      </c>
      <c r="I245" s="103">
        <f t="shared" si="338"/>
        <v>0.65175528883869471</v>
      </c>
      <c r="J245" s="103">
        <f t="shared" si="338"/>
        <v>0.65994761564222937</v>
      </c>
      <c r="K245" s="103">
        <f t="shared" si="338"/>
        <v>0.62115982523999302</v>
      </c>
      <c r="L245" s="103">
        <f t="shared" ref="L245" si="339">IF(L27=0,0,L27/L$19)</f>
        <v>0.60672703551914609</v>
      </c>
      <c r="M245" s="103">
        <f t="shared" ref="M245:V245" si="340">IF(M27=0,0,M27/M$19)</f>
        <v>0.59993387747048321</v>
      </c>
      <c r="N245" s="103">
        <f t="shared" si="340"/>
        <v>0.61225990712340828</v>
      </c>
      <c r="O245" s="103">
        <f t="shared" si="340"/>
        <v>0.5586946117971795</v>
      </c>
      <c r="P245" s="103">
        <f t="shared" si="340"/>
        <v>0.56477378941733825</v>
      </c>
      <c r="Q245" s="103">
        <f t="shared" si="340"/>
        <v>0.59253039444643441</v>
      </c>
      <c r="R245" s="103">
        <f t="shared" si="340"/>
        <v>0.56651335842217321</v>
      </c>
      <c r="S245" s="103">
        <f t="shared" si="340"/>
        <v>0.57827529126673205</v>
      </c>
      <c r="T245" s="103">
        <f t="shared" si="340"/>
        <v>0.5618138284746218</v>
      </c>
      <c r="U245" s="103">
        <f t="shared" si="340"/>
        <v>0.55421152072122959</v>
      </c>
      <c r="V245" s="103">
        <f t="shared" si="340"/>
        <v>0.55168197719168544</v>
      </c>
      <c r="W245" s="103">
        <f t="shared" ref="W245" si="341">IF(W27=0,0,W27/W$19)</f>
        <v>0.53155737284822302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0.21786561068050772</v>
      </c>
      <c r="C246" s="105">
        <f t="shared" si="342"/>
        <v>0.20840763105137211</v>
      </c>
      <c r="D246" s="105">
        <f t="shared" si="342"/>
        <v>0.23175464059765238</v>
      </c>
      <c r="E246" s="105">
        <f t="shared" si="342"/>
        <v>0.24304126470703089</v>
      </c>
      <c r="F246" s="105">
        <f t="shared" si="342"/>
        <v>0.23872754814652297</v>
      </c>
      <c r="G246" s="105">
        <f t="shared" si="342"/>
        <v>0.2456625864705686</v>
      </c>
      <c r="H246" s="105">
        <f t="shared" si="342"/>
        <v>0.25800613296867819</v>
      </c>
      <c r="I246" s="105">
        <f t="shared" si="342"/>
        <v>0.26891093156985657</v>
      </c>
      <c r="J246" s="105">
        <f t="shared" si="342"/>
        <v>0.25303515513127056</v>
      </c>
      <c r="K246" s="105">
        <f t="shared" si="342"/>
        <v>0.27980765841412564</v>
      </c>
      <c r="L246" s="105">
        <f t="shared" ref="L246" si="343">IF(L28=0,0,L28/L$19)</f>
        <v>0.28583646534030316</v>
      </c>
      <c r="M246" s="105">
        <f t="shared" ref="M246:V246" si="344">IF(M28=0,0,M28/M$19)</f>
        <v>0.30219144445038987</v>
      </c>
      <c r="N246" s="105">
        <f t="shared" si="344"/>
        <v>0.28912683999737798</v>
      </c>
      <c r="O246" s="105">
        <f t="shared" si="344"/>
        <v>0.34224049254508021</v>
      </c>
      <c r="P246" s="105">
        <f t="shared" si="344"/>
        <v>0.33342966843618482</v>
      </c>
      <c r="Q246" s="105">
        <f t="shared" si="344"/>
        <v>0.30377827256011353</v>
      </c>
      <c r="R246" s="105">
        <f t="shared" si="344"/>
        <v>0.32739858590342025</v>
      </c>
      <c r="S246" s="105">
        <f t="shared" si="344"/>
        <v>0.31383495192735616</v>
      </c>
      <c r="T246" s="105">
        <f t="shared" si="344"/>
        <v>0.32695110549786155</v>
      </c>
      <c r="U246" s="105">
        <f t="shared" si="344"/>
        <v>0.32992962805636245</v>
      </c>
      <c r="V246" s="105">
        <f t="shared" si="344"/>
        <v>0.32935198982310315</v>
      </c>
      <c r="W246" s="105">
        <f t="shared" ref="W246" si="345">IF(W28=0,0,W28/W$19)</f>
        <v>0.35265426301752917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2.5425742014541848E-2</v>
      </c>
      <c r="C250" s="154">
        <f t="shared" si="350"/>
        <v>2.71812339802463E-2</v>
      </c>
      <c r="D250" s="154">
        <f t="shared" si="350"/>
        <v>2.6977765194681921E-2</v>
      </c>
      <c r="E250" s="154">
        <f t="shared" si="350"/>
        <v>2.7425115258949809E-2</v>
      </c>
      <c r="F250" s="154">
        <f t="shared" si="350"/>
        <v>2.8427689296479187E-2</v>
      </c>
      <c r="G250" s="154">
        <f t="shared" si="350"/>
        <v>2.9398943803375925E-2</v>
      </c>
      <c r="H250" s="154">
        <f t="shared" si="350"/>
        <v>3.0541000849681501E-2</v>
      </c>
      <c r="I250" s="154">
        <f t="shared" si="350"/>
        <v>2.8939269718965176E-2</v>
      </c>
      <c r="J250" s="154">
        <f t="shared" si="350"/>
        <v>2.8789807002952594E-2</v>
      </c>
      <c r="K250" s="154">
        <f t="shared" si="350"/>
        <v>2.6389958641495487E-2</v>
      </c>
      <c r="L250" s="154">
        <f t="shared" ref="L250" si="351">IF(L32=0,0,L32/L$31)</f>
        <v>2.5061715813391786E-2</v>
      </c>
      <c r="M250" s="154">
        <f t="shared" ref="M250:V250" si="352">IF(M32=0,0,M32/M$31)</f>
        <v>2.5155263468023631E-2</v>
      </c>
      <c r="N250" s="154">
        <f t="shared" si="352"/>
        <v>2.7462146740785658E-2</v>
      </c>
      <c r="O250" s="154">
        <f t="shared" si="352"/>
        <v>2.6848303264777308E-2</v>
      </c>
      <c r="P250" s="154">
        <f t="shared" si="352"/>
        <v>2.5417578330860079E-2</v>
      </c>
      <c r="Q250" s="154">
        <f t="shared" si="352"/>
        <v>2.4719078361130308E-2</v>
      </c>
      <c r="R250" s="154">
        <f t="shared" si="352"/>
        <v>2.5468643335071792E-2</v>
      </c>
      <c r="S250" s="154">
        <f t="shared" si="352"/>
        <v>2.3539888060131325E-2</v>
      </c>
      <c r="T250" s="154">
        <f t="shared" si="352"/>
        <v>2.2346987923685512E-2</v>
      </c>
      <c r="U250" s="154">
        <f t="shared" si="352"/>
        <v>2.3316978649056627E-2</v>
      </c>
      <c r="V250" s="154">
        <f t="shared" si="352"/>
        <v>2.4006902048451267E-2</v>
      </c>
      <c r="W250" s="154">
        <f t="shared" ref="W250" si="353">IF(W32=0,0,W32/W$31)</f>
        <v>2.3886300262541887E-2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0.96455585942945599</v>
      </c>
      <c r="C251" s="156">
        <f t="shared" si="354"/>
        <v>0.962587178587063</v>
      </c>
      <c r="D251" s="156">
        <f t="shared" si="354"/>
        <v>0.96348416182894958</v>
      </c>
      <c r="E251" s="156">
        <f t="shared" si="354"/>
        <v>0.9634544260522121</v>
      </c>
      <c r="F251" s="156">
        <f t="shared" si="354"/>
        <v>0.96286022134976001</v>
      </c>
      <c r="G251" s="156">
        <f t="shared" si="354"/>
        <v>0.96505670282122824</v>
      </c>
      <c r="H251" s="156">
        <f t="shared" si="354"/>
        <v>0.96396392607409898</v>
      </c>
      <c r="I251" s="156">
        <f t="shared" si="354"/>
        <v>0.96540680975259829</v>
      </c>
      <c r="J251" s="156">
        <f t="shared" si="354"/>
        <v>0.96541561017238486</v>
      </c>
      <c r="K251" s="156">
        <f t="shared" si="354"/>
        <v>0.96777674250450552</v>
      </c>
      <c r="L251" s="156">
        <f t="shared" ref="L251" si="355">IF(L33=0,0,L33/L$31)</f>
        <v>0.96900405167877923</v>
      </c>
      <c r="M251" s="156">
        <f t="shared" ref="M251:V251" si="356">IF(M33=0,0,M33/M$31)</f>
        <v>0.96874434244357244</v>
      </c>
      <c r="N251" s="156">
        <f t="shared" si="356"/>
        <v>0.96709135217640607</v>
      </c>
      <c r="O251" s="156">
        <f t="shared" si="356"/>
        <v>0.96797594183711555</v>
      </c>
      <c r="P251" s="156">
        <f t="shared" si="356"/>
        <v>0.96854114463875596</v>
      </c>
      <c r="Q251" s="156">
        <f t="shared" si="356"/>
        <v>0.96919757552489649</v>
      </c>
      <c r="R251" s="156">
        <f t="shared" si="356"/>
        <v>0.96830116966085966</v>
      </c>
      <c r="S251" s="156">
        <f t="shared" si="356"/>
        <v>0.97023239683387208</v>
      </c>
      <c r="T251" s="156">
        <f t="shared" si="356"/>
        <v>0.97105464405116904</v>
      </c>
      <c r="U251" s="156">
        <f t="shared" si="356"/>
        <v>0.9709011662109267</v>
      </c>
      <c r="V251" s="156">
        <f t="shared" si="356"/>
        <v>0.97101597250963723</v>
      </c>
      <c r="W251" s="156">
        <f t="shared" ref="W251" si="357">IF(W33=0,0,W33/W$31)</f>
        <v>0.96998488041654085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0.61942123023744533</v>
      </c>
      <c r="C252" s="103">
        <f t="shared" si="358"/>
        <v>0.58704373925058828</v>
      </c>
      <c r="D252" s="103">
        <f t="shared" si="358"/>
        <v>0.56670059148853136</v>
      </c>
      <c r="E252" s="103">
        <f t="shared" si="358"/>
        <v>0.52976741176828412</v>
      </c>
      <c r="F252" s="103">
        <f t="shared" si="358"/>
        <v>0.4926415046124652</v>
      </c>
      <c r="G252" s="103">
        <f t="shared" si="358"/>
        <v>0.45494090481596655</v>
      </c>
      <c r="H252" s="103">
        <f t="shared" si="358"/>
        <v>0.4148467869457943</v>
      </c>
      <c r="I252" s="103">
        <f t="shared" si="358"/>
        <v>0.38880416181956451</v>
      </c>
      <c r="J252" s="103">
        <f t="shared" si="358"/>
        <v>0.35937346837475448</v>
      </c>
      <c r="K252" s="103">
        <f t="shared" si="358"/>
        <v>0.34561591723362095</v>
      </c>
      <c r="L252" s="103">
        <f t="shared" ref="L252" si="359">IF(L34=0,0,L34/L$31)</f>
        <v>0.326670052391212</v>
      </c>
      <c r="M252" s="103">
        <f t="shared" ref="M252:V252" si="360">IF(M34=0,0,M34/M$31)</f>
        <v>0.30315143676058864</v>
      </c>
      <c r="N252" s="103">
        <f t="shared" si="360"/>
        <v>0.3005249183161619</v>
      </c>
      <c r="O252" s="103">
        <f t="shared" si="360"/>
        <v>0.29185802988150089</v>
      </c>
      <c r="P252" s="103">
        <f t="shared" si="360"/>
        <v>0.28083608529040238</v>
      </c>
      <c r="Q252" s="103">
        <f t="shared" si="360"/>
        <v>0.27884109676751678</v>
      </c>
      <c r="R252" s="103">
        <f t="shared" si="360"/>
        <v>0.26476637231368727</v>
      </c>
      <c r="S252" s="103">
        <f t="shared" si="360"/>
        <v>0.25358178785142171</v>
      </c>
      <c r="T252" s="103">
        <f t="shared" si="360"/>
        <v>0.24781130051280001</v>
      </c>
      <c r="U252" s="103">
        <f t="shared" si="360"/>
        <v>0.24990875847120242</v>
      </c>
      <c r="V252" s="103">
        <f t="shared" si="360"/>
        <v>0.23733467199671437</v>
      </c>
      <c r="W252" s="103">
        <f t="shared" ref="W252" si="361">IF(W34=0,0,W34/W$31)</f>
        <v>0.24875698315518019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0.33948877342287265</v>
      </c>
      <c r="C253" s="103">
        <f t="shared" si="362"/>
        <v>0.37029397266328573</v>
      </c>
      <c r="D253" s="103">
        <f t="shared" si="362"/>
        <v>0.39231967649356847</v>
      </c>
      <c r="E253" s="103">
        <f t="shared" si="362"/>
        <v>0.42850929802956533</v>
      </c>
      <c r="F253" s="103">
        <f t="shared" si="362"/>
        <v>0.46506066726165013</v>
      </c>
      <c r="G253" s="103">
        <f t="shared" si="362"/>
        <v>0.50476328236201917</v>
      </c>
      <c r="H253" s="103">
        <f t="shared" si="362"/>
        <v>0.54460256510454497</v>
      </c>
      <c r="I253" s="103">
        <f t="shared" si="362"/>
        <v>0.57235227954559076</v>
      </c>
      <c r="J253" s="103">
        <f t="shared" si="362"/>
        <v>0.60059682918841828</v>
      </c>
      <c r="K253" s="103">
        <f t="shared" si="362"/>
        <v>0.61415639063668492</v>
      </c>
      <c r="L253" s="103">
        <f t="shared" ref="L253" si="363">IF(L35=0,0,L35/L$31)</f>
        <v>0.63455812927394906</v>
      </c>
      <c r="M253" s="103">
        <f t="shared" ref="M253:V253" si="364">IF(M35=0,0,M35/M$31)</f>
        <v>0.65863664879117667</v>
      </c>
      <c r="N253" s="103">
        <f t="shared" si="364"/>
        <v>0.65718455925798569</v>
      </c>
      <c r="O253" s="103">
        <f t="shared" si="364"/>
        <v>0.66632177357539268</v>
      </c>
      <c r="P253" s="103">
        <f t="shared" si="364"/>
        <v>0.67733879861360147</v>
      </c>
      <c r="Q253" s="103">
        <f t="shared" si="364"/>
        <v>0.67951520733100246</v>
      </c>
      <c r="R253" s="103">
        <f t="shared" si="364"/>
        <v>0.69232066314078944</v>
      </c>
      <c r="S253" s="103">
        <f t="shared" si="364"/>
        <v>0.70395391957226294</v>
      </c>
      <c r="T253" s="103">
        <f t="shared" si="364"/>
        <v>0.7077381284503812</v>
      </c>
      <c r="U253" s="103">
        <f t="shared" si="364"/>
        <v>0.70242714453521893</v>
      </c>
      <c r="V253" s="103">
        <f t="shared" si="364"/>
        <v>0.71286198126413836</v>
      </c>
      <c r="W253" s="103">
        <f t="shared" ref="W253" si="365">IF(W35=0,0,W35/W$31)</f>
        <v>0.6945820275875042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5.6458557691379981E-3</v>
      </c>
      <c r="C254" s="103">
        <f t="shared" si="366"/>
        <v>5.2494666731889477E-3</v>
      </c>
      <c r="D254" s="103">
        <f t="shared" si="366"/>
        <v>4.4638938468497605E-3</v>
      </c>
      <c r="E254" s="103">
        <f t="shared" si="366"/>
        <v>5.1777162543625455E-3</v>
      </c>
      <c r="F254" s="103">
        <f t="shared" si="366"/>
        <v>5.1580494756446995E-3</v>
      </c>
      <c r="G254" s="103">
        <f t="shared" si="366"/>
        <v>5.3525156432425933E-3</v>
      </c>
      <c r="H254" s="103">
        <f t="shared" si="366"/>
        <v>4.5145740237596708E-3</v>
      </c>
      <c r="I254" s="103">
        <f t="shared" si="366"/>
        <v>4.2503683874429614E-3</v>
      </c>
      <c r="J254" s="103">
        <f t="shared" si="366"/>
        <v>5.4398155743996274E-3</v>
      </c>
      <c r="K254" s="103">
        <f t="shared" si="366"/>
        <v>7.9988550870398745E-3</v>
      </c>
      <c r="L254" s="103">
        <f t="shared" ref="L254" si="367">IF(L36=0,0,L36/L$31)</f>
        <v>7.6394096823826372E-3</v>
      </c>
      <c r="M254" s="103">
        <f t="shared" ref="M254:V254" si="368">IF(M36=0,0,M36/M$31)</f>
        <v>6.8985415458901762E-3</v>
      </c>
      <c r="N254" s="103">
        <f t="shared" si="368"/>
        <v>9.2974119463113108E-3</v>
      </c>
      <c r="O254" s="103">
        <f t="shared" si="368"/>
        <v>9.6830112069400918E-3</v>
      </c>
      <c r="P254" s="103">
        <f t="shared" si="368"/>
        <v>1.0233077024955293E-2</v>
      </c>
      <c r="Q254" s="103">
        <f t="shared" si="368"/>
        <v>1.0530447497183831E-2</v>
      </c>
      <c r="R254" s="103">
        <f t="shared" si="368"/>
        <v>1.0484871399181778E-2</v>
      </c>
      <c r="S254" s="103">
        <f t="shared" si="368"/>
        <v>1.0685300872280337E-2</v>
      </c>
      <c r="T254" s="103">
        <f t="shared" si="368"/>
        <v>1.106432927417739E-2</v>
      </c>
      <c r="U254" s="103">
        <f t="shared" si="368"/>
        <v>1.0985018509067862E-2</v>
      </c>
      <c r="V254" s="103">
        <f t="shared" si="368"/>
        <v>1.0604187648909889E-2</v>
      </c>
      <c r="W254" s="103">
        <f t="shared" ref="W254" si="369">IF(W36=0,0,W36/W$31)</f>
        <v>1.1336459707089519E-2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3.7326401653561277E-7</v>
      </c>
      <c r="M255" s="103">
        <f t="shared" ref="M255:V255" si="372">IF(M37=0,0,M37/M$31)</f>
        <v>3.5496707511552257E-7</v>
      </c>
      <c r="N255" s="103">
        <f t="shared" si="372"/>
        <v>1.4028811376026028E-6</v>
      </c>
      <c r="O255" s="103">
        <f t="shared" si="372"/>
        <v>4.422758913594766E-6</v>
      </c>
      <c r="P255" s="103">
        <f t="shared" si="372"/>
        <v>4.6428246837274977E-6</v>
      </c>
      <c r="Q255" s="103">
        <f t="shared" si="372"/>
        <v>5.924387629925455E-6</v>
      </c>
      <c r="R255" s="103">
        <f t="shared" si="372"/>
        <v>6.7960493708435999E-6</v>
      </c>
      <c r="S255" s="103">
        <f t="shared" si="372"/>
        <v>7.8658004084849576E-6</v>
      </c>
      <c r="T255" s="103">
        <f t="shared" si="372"/>
        <v>8.8702437945941924E-6</v>
      </c>
      <c r="U255" s="103">
        <f t="shared" si="372"/>
        <v>1.5985696487656211E-5</v>
      </c>
      <c r="V255" s="103">
        <f t="shared" si="372"/>
        <v>1.9533137884017217E-5</v>
      </c>
      <c r="W255" s="103">
        <f t="shared" ref="W255" si="373">IF(W37=0,0,W37/W$31)</f>
        <v>2.3534028310516165E-5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2.4546347779491233E-6</v>
      </c>
      <c r="N256" s="103">
        <f t="shared" si="376"/>
        <v>9.9453663201417843E-6</v>
      </c>
      <c r="O256" s="103">
        <f t="shared" si="376"/>
        <v>1.7092162913450896E-5</v>
      </c>
      <c r="P256" s="103">
        <f t="shared" si="376"/>
        <v>3.0715886955365924E-5</v>
      </c>
      <c r="Q256" s="103">
        <f t="shared" si="376"/>
        <v>1.0785995243261723E-4</v>
      </c>
      <c r="R256" s="103">
        <f t="shared" si="376"/>
        <v>2.5944082862239671E-4</v>
      </c>
      <c r="S256" s="103">
        <f t="shared" si="376"/>
        <v>5.9736850842293779E-4</v>
      </c>
      <c r="T256" s="103">
        <f t="shared" si="376"/>
        <v>1.2873826857789348E-3</v>
      </c>
      <c r="U256" s="103">
        <f t="shared" si="376"/>
        <v>2.2605912189559364E-3</v>
      </c>
      <c r="V256" s="103">
        <f t="shared" si="376"/>
        <v>3.3747565431426845E-3</v>
      </c>
      <c r="W256" s="103">
        <f t="shared" ref="W256" si="377">IF(W38=0,0,W38/W$31)</f>
        <v>5.3936073246031715E-3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5.4970348125455355E-6</v>
      </c>
      <c r="K257" s="103">
        <f t="shared" si="378"/>
        <v>5.5795471595975497E-6</v>
      </c>
      <c r="L257" s="103">
        <f t="shared" ref="L257" si="379">IF(L39=0,0,L39/L$31)</f>
        <v>1.360870672190902E-4</v>
      </c>
      <c r="M257" s="103">
        <f t="shared" ref="M257:V257" si="380">IF(M39=0,0,M39/M$31)</f>
        <v>5.4905744063846002E-5</v>
      </c>
      <c r="N257" s="103">
        <f t="shared" si="380"/>
        <v>7.3114408489442079E-5</v>
      </c>
      <c r="O257" s="103">
        <f t="shared" si="380"/>
        <v>9.1612251454915731E-5</v>
      </c>
      <c r="P257" s="103">
        <f t="shared" si="380"/>
        <v>9.7824998157703481E-5</v>
      </c>
      <c r="Q257" s="103">
        <f t="shared" si="380"/>
        <v>1.9703958913103658E-4</v>
      </c>
      <c r="R257" s="103">
        <f t="shared" si="380"/>
        <v>4.630259292080421E-4</v>
      </c>
      <c r="S257" s="103">
        <f t="shared" si="380"/>
        <v>1.4061542290757455E-3</v>
      </c>
      <c r="T257" s="103">
        <f t="shared" si="380"/>
        <v>3.1446328842367794E-3</v>
      </c>
      <c r="U257" s="103">
        <f t="shared" si="380"/>
        <v>5.3036677799940465E-3</v>
      </c>
      <c r="V257" s="103">
        <f t="shared" si="380"/>
        <v>6.8208419188481298E-3</v>
      </c>
      <c r="W257" s="103">
        <f t="shared" ref="W257" si="381">IF(W39=0,0,W39/W$31)</f>
        <v>9.8922686138531116E-3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1.0018398556002119E-2</v>
      </c>
      <c r="C258" s="156">
        <f t="shared" si="382"/>
        <v>1.0231587432690753E-2</v>
      </c>
      <c r="D258" s="156">
        <f t="shared" si="382"/>
        <v>9.5380729763684009E-3</v>
      </c>
      <c r="E258" s="156">
        <f t="shared" si="382"/>
        <v>9.1204586888381633E-3</v>
      </c>
      <c r="F258" s="156">
        <f t="shared" si="382"/>
        <v>8.712089353760815E-3</v>
      </c>
      <c r="G258" s="156">
        <f t="shared" si="382"/>
        <v>5.5443533753958682E-3</v>
      </c>
      <c r="H258" s="156">
        <f t="shared" si="382"/>
        <v>5.4950730762194895E-3</v>
      </c>
      <c r="I258" s="156">
        <f t="shared" si="382"/>
        <v>5.6539205284365174E-3</v>
      </c>
      <c r="J258" s="156">
        <f t="shared" si="382"/>
        <v>5.794582824662475E-3</v>
      </c>
      <c r="K258" s="156">
        <f t="shared" si="382"/>
        <v>5.8332988539990431E-3</v>
      </c>
      <c r="L258" s="156">
        <f t="shared" ref="L258" si="383">IF(L40=0,0,L40/L$31)</f>
        <v>5.934232507828951E-3</v>
      </c>
      <c r="M258" s="156">
        <f t="shared" ref="M258:V258" si="384">IF(M40=0,0,M40/M$31)</f>
        <v>6.1003940884039589E-3</v>
      </c>
      <c r="N258" s="156">
        <f t="shared" si="384"/>
        <v>5.4465010828082788E-3</v>
      </c>
      <c r="O258" s="156">
        <f t="shared" si="384"/>
        <v>5.1757548981071263E-3</v>
      </c>
      <c r="P258" s="156">
        <f t="shared" si="384"/>
        <v>6.0412770303840497E-3</v>
      </c>
      <c r="Q258" s="156">
        <f t="shared" si="384"/>
        <v>6.0833461139732379E-3</v>
      </c>
      <c r="R258" s="156">
        <f t="shared" si="384"/>
        <v>6.2301870040685891E-3</v>
      </c>
      <c r="S258" s="156">
        <f t="shared" si="384"/>
        <v>6.2277151059964946E-3</v>
      </c>
      <c r="T258" s="156">
        <f t="shared" si="384"/>
        <v>6.5983680251455708E-3</v>
      </c>
      <c r="U258" s="156">
        <f t="shared" si="384"/>
        <v>5.7818551400167584E-3</v>
      </c>
      <c r="V258" s="156">
        <f t="shared" si="384"/>
        <v>4.9771254419114569E-3</v>
      </c>
      <c r="W258" s="156">
        <f t="shared" ref="W258" si="385">IF(W40=0,0,W40/W$31)</f>
        <v>6.1288193209172361E-3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1.0739439886844809E-6</v>
      </c>
      <c r="M259" s="103">
        <f t="shared" ref="M259:V259" si="388">IF(M41=0,0,M41/M$31)</f>
        <v>1.1351235807797056E-6</v>
      </c>
      <c r="N259" s="103">
        <f t="shared" si="388"/>
        <v>1.2507369771140144E-6</v>
      </c>
      <c r="O259" s="103">
        <f t="shared" si="388"/>
        <v>1.4327341015349301E-6</v>
      </c>
      <c r="P259" s="103">
        <f t="shared" si="388"/>
        <v>1.378626882885601E-6</v>
      </c>
      <c r="Q259" s="103">
        <f t="shared" si="388"/>
        <v>1.6314316938800575E-6</v>
      </c>
      <c r="R259" s="103">
        <f t="shared" si="388"/>
        <v>1.8502861655588681E-6</v>
      </c>
      <c r="S259" s="103">
        <f t="shared" si="388"/>
        <v>1.5902792643671267E-6</v>
      </c>
      <c r="T259" s="103">
        <f t="shared" si="388"/>
        <v>1.6448863953382855E-6</v>
      </c>
      <c r="U259" s="103">
        <f t="shared" si="388"/>
        <v>1.3942577521490547E-6</v>
      </c>
      <c r="V259" s="103">
        <f t="shared" si="388"/>
        <v>1.2308392949307356E-6</v>
      </c>
      <c r="W259" s="103">
        <f t="shared" ref="W259" si="389">IF(W41=0,0,W41/W$31)</f>
        <v>1.4910695383393263E-6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9.9845876163469783E-3</v>
      </c>
      <c r="C260" s="103">
        <f t="shared" si="390"/>
        <v>1.0079883559812458E-2</v>
      </c>
      <c r="D260" s="103">
        <f t="shared" si="390"/>
        <v>9.3241906193766329E-3</v>
      </c>
      <c r="E260" s="103">
        <f t="shared" si="390"/>
        <v>8.8407423660413487E-3</v>
      </c>
      <c r="F260" s="103">
        <f t="shared" si="390"/>
        <v>8.4303389295603114E-3</v>
      </c>
      <c r="G260" s="103">
        <f t="shared" si="390"/>
        <v>5.2162467346389095E-3</v>
      </c>
      <c r="H260" s="103">
        <f t="shared" si="390"/>
        <v>5.1927889557475022E-3</v>
      </c>
      <c r="I260" s="103">
        <f t="shared" si="390"/>
        <v>5.3196443375491892E-3</v>
      </c>
      <c r="J260" s="103">
        <f t="shared" si="390"/>
        <v>5.4436495711151873E-3</v>
      </c>
      <c r="K260" s="103">
        <f t="shared" si="390"/>
        <v>5.4732186028788703E-3</v>
      </c>
      <c r="L260" s="103">
        <f t="shared" ref="L260" si="391">IF(L42=0,0,L42/L$31)</f>
        <v>5.5544673552138536E-3</v>
      </c>
      <c r="M260" s="103">
        <f t="shared" ref="M260:V260" si="392">IF(M42=0,0,M42/M$31)</f>
        <v>5.7071106522463364E-3</v>
      </c>
      <c r="N260" s="103">
        <f t="shared" si="392"/>
        <v>5.0174685578060693E-3</v>
      </c>
      <c r="O260" s="103">
        <f t="shared" si="392"/>
        <v>4.7828712881418248E-3</v>
      </c>
      <c r="P260" s="103">
        <f t="shared" si="392"/>
        <v>5.6896316008456385E-3</v>
      </c>
      <c r="Q260" s="103">
        <f t="shared" si="392"/>
        <v>5.7343083497563788E-3</v>
      </c>
      <c r="R260" s="103">
        <f t="shared" si="392"/>
        <v>5.8951783807287507E-3</v>
      </c>
      <c r="S260" s="103">
        <f t="shared" si="392"/>
        <v>5.911725567663618E-3</v>
      </c>
      <c r="T260" s="103">
        <f t="shared" si="392"/>
        <v>6.1728521984853449E-3</v>
      </c>
      <c r="U260" s="103">
        <f t="shared" si="392"/>
        <v>5.4873349939129519E-3</v>
      </c>
      <c r="V260" s="103">
        <f t="shared" si="392"/>
        <v>4.6224367777388097E-3</v>
      </c>
      <c r="W260" s="103">
        <f t="shared" ref="W260" si="393">IF(W42=0,0,W42/W$31)</f>
        <v>5.5814836096159705E-3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7.8316303623997791E-7</v>
      </c>
      <c r="M261" s="103">
        <f t="shared" ref="M261:V261" si="396">IF(M43=0,0,M43/M$31)</f>
        <v>8.2777764892560876E-7</v>
      </c>
      <c r="N261" s="103">
        <f t="shared" si="396"/>
        <v>6.0805838346317749E-7</v>
      </c>
      <c r="O261" s="103">
        <f t="shared" si="396"/>
        <v>5.9703267364043907E-7</v>
      </c>
      <c r="P261" s="103">
        <f t="shared" si="396"/>
        <v>1.1489714566854793E-6</v>
      </c>
      <c r="Q261" s="103">
        <f t="shared" si="396"/>
        <v>1.1897054336719332E-6</v>
      </c>
      <c r="R261" s="103">
        <f t="shared" si="396"/>
        <v>1.4992254371632582E-6</v>
      </c>
      <c r="S261" s="103">
        <f t="shared" si="396"/>
        <v>1.4496192891270328E-6</v>
      </c>
      <c r="T261" s="103">
        <f t="shared" si="396"/>
        <v>1.4993964271136623E-6</v>
      </c>
      <c r="U261" s="103">
        <f t="shared" si="396"/>
        <v>1.1297207571957194E-6</v>
      </c>
      <c r="V261" s="103">
        <f t="shared" si="396"/>
        <v>8.9757738718032137E-7</v>
      </c>
      <c r="W261" s="103">
        <f t="shared" ref="W261" si="397">IF(W43=0,0,W43/W$31)</f>
        <v>1.0873477194292006E-6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3.3810939655140186E-5</v>
      </c>
      <c r="C262" s="103">
        <f t="shared" si="398"/>
        <v>1.5170387287829516E-4</v>
      </c>
      <c r="D262" s="103">
        <f t="shared" si="398"/>
        <v>2.138823569917683E-4</v>
      </c>
      <c r="E262" s="103">
        <f t="shared" si="398"/>
        <v>2.7971632279681614E-4</v>
      </c>
      <c r="F262" s="103">
        <f t="shared" si="398"/>
        <v>2.8175042420050344E-4</v>
      </c>
      <c r="G262" s="103">
        <f t="shared" si="398"/>
        <v>3.2810664075695899E-4</v>
      </c>
      <c r="H262" s="103">
        <f t="shared" si="398"/>
        <v>3.022841204719866E-4</v>
      </c>
      <c r="I262" s="103">
        <f t="shared" si="398"/>
        <v>3.3427619088732894E-4</v>
      </c>
      <c r="J262" s="103">
        <f t="shared" si="398"/>
        <v>3.5093325354728771E-4</v>
      </c>
      <c r="K262" s="103">
        <f t="shared" si="398"/>
        <v>3.6008025112017265E-4</v>
      </c>
      <c r="L262" s="103">
        <f t="shared" ref="L262" si="399">IF(L44=0,0,L44/L$31)</f>
        <v>3.6978147522512294E-4</v>
      </c>
      <c r="M262" s="103">
        <f t="shared" ref="M262:V262" si="400">IF(M44=0,0,M44/M$31)</f>
        <v>3.836215738732515E-4</v>
      </c>
      <c r="N262" s="103">
        <f t="shared" si="400"/>
        <v>4.1124057922917596E-4</v>
      </c>
      <c r="O262" s="103">
        <f t="shared" si="400"/>
        <v>3.750043391070246E-4</v>
      </c>
      <c r="P262" s="103">
        <f t="shared" si="400"/>
        <v>3.3385796857268729E-4</v>
      </c>
      <c r="Q262" s="103">
        <f t="shared" si="400"/>
        <v>3.3087368441617166E-4</v>
      </c>
      <c r="R262" s="103">
        <f t="shared" si="400"/>
        <v>3.16852350625746E-4</v>
      </c>
      <c r="S262" s="103">
        <f t="shared" si="400"/>
        <v>2.8991505849886294E-4</v>
      </c>
      <c r="T262" s="103">
        <f t="shared" si="400"/>
        <v>3.6341586345389889E-4</v>
      </c>
      <c r="U262" s="103">
        <f t="shared" si="400"/>
        <v>2.263226870285476E-4</v>
      </c>
      <c r="V262" s="103">
        <f t="shared" si="400"/>
        <v>2.7805353031406372E-4</v>
      </c>
      <c r="W262" s="103">
        <f t="shared" ref="W262" si="401">IF(W44=0,0,W44/W$31)</f>
        <v>4.6384855833416514E-4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8.1265703650499354E-6</v>
      </c>
      <c r="M263" s="103">
        <f t="shared" ref="M263:V263" si="404">IF(M45=0,0,M45/M$31)</f>
        <v>7.6989610546667427E-6</v>
      </c>
      <c r="N263" s="103">
        <f t="shared" si="404"/>
        <v>1.5933150412455899E-5</v>
      </c>
      <c r="O263" s="103">
        <f t="shared" si="404"/>
        <v>1.5849504083102056E-5</v>
      </c>
      <c r="P263" s="103">
        <f t="shared" si="404"/>
        <v>1.525986262615314E-5</v>
      </c>
      <c r="Q263" s="103">
        <f t="shared" si="404"/>
        <v>1.5342942673135121E-5</v>
      </c>
      <c r="R263" s="103">
        <f t="shared" si="404"/>
        <v>1.4806761111370201E-5</v>
      </c>
      <c r="S263" s="103">
        <f t="shared" si="404"/>
        <v>2.3034581280519178E-5</v>
      </c>
      <c r="T263" s="103">
        <f t="shared" si="404"/>
        <v>5.8955680383875407E-5</v>
      </c>
      <c r="U263" s="103">
        <f t="shared" si="404"/>
        <v>6.5673480565913743E-5</v>
      </c>
      <c r="V263" s="103">
        <f t="shared" si="404"/>
        <v>7.4506717176472568E-5</v>
      </c>
      <c r="W263" s="103">
        <f t="shared" ref="W263" si="405">IF(W45=0,0,W45/W$31)</f>
        <v>8.0908735709332586E-5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0.89358765915945448</v>
      </c>
      <c r="C265" s="154">
        <f t="shared" si="410"/>
        <v>0.88221385220480963</v>
      </c>
      <c r="D265" s="154">
        <f t="shared" si="410"/>
        <v>0.88940845078532094</v>
      </c>
      <c r="E265" s="154">
        <f t="shared" si="410"/>
        <v>0.88933847469555127</v>
      </c>
      <c r="F265" s="154">
        <f t="shared" si="410"/>
        <v>0.8610028158089128</v>
      </c>
      <c r="G265" s="154">
        <f t="shared" si="410"/>
        <v>0.85123955993955136</v>
      </c>
      <c r="H265" s="154">
        <f t="shared" si="410"/>
        <v>0.85183656864124402</v>
      </c>
      <c r="I265" s="154">
        <f t="shared" si="410"/>
        <v>0.84210421927320167</v>
      </c>
      <c r="J265" s="154">
        <f t="shared" si="410"/>
        <v>0.85089395929403844</v>
      </c>
      <c r="K265" s="154">
        <f t="shared" si="410"/>
        <v>0.86700718471907623</v>
      </c>
      <c r="L265" s="154">
        <f t="shared" ref="L265" si="411">IF(L47=0,0,L47/L$46)</f>
        <v>0.86397978587144542</v>
      </c>
      <c r="M265" s="154">
        <f t="shared" ref="M265:V265" si="412">IF(M47=0,0,M47/M$46)</f>
        <v>0.85246683842685378</v>
      </c>
      <c r="N265" s="154">
        <f t="shared" si="412"/>
        <v>0.86287475206992381</v>
      </c>
      <c r="O265" s="154">
        <f t="shared" si="412"/>
        <v>0.86355578877455441</v>
      </c>
      <c r="P265" s="154">
        <f t="shared" si="412"/>
        <v>0.87777321172186451</v>
      </c>
      <c r="Q265" s="154">
        <f t="shared" si="412"/>
        <v>0.86565804578571026</v>
      </c>
      <c r="R265" s="154">
        <f t="shared" si="412"/>
        <v>0.87219265315532912</v>
      </c>
      <c r="S265" s="154">
        <f t="shared" si="412"/>
        <v>0.87756499962045575</v>
      </c>
      <c r="T265" s="154">
        <f t="shared" si="412"/>
        <v>0.88171208791860489</v>
      </c>
      <c r="U265" s="154">
        <f t="shared" si="412"/>
        <v>0.88614909414347465</v>
      </c>
      <c r="V265" s="154">
        <f t="shared" si="412"/>
        <v>0.88626897021392459</v>
      </c>
      <c r="W265" s="154">
        <f t="shared" ref="W265" si="413">IF(W47=0,0,W47/W$46)</f>
        <v>0.88625967639476744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1.1240518905268237E-2</v>
      </c>
      <c r="C266" s="103">
        <f t="shared" si="414"/>
        <v>9.7754357779685965E-3</v>
      </c>
      <c r="D266" s="103">
        <f t="shared" si="414"/>
        <v>9.6156453199322013E-3</v>
      </c>
      <c r="E266" s="103">
        <f t="shared" si="414"/>
        <v>1.0863521769009905E-2</v>
      </c>
      <c r="F266" s="103">
        <f t="shared" si="414"/>
        <v>9.6810279548273839E-3</v>
      </c>
      <c r="G266" s="103">
        <f t="shared" si="414"/>
        <v>9.2286197178188378E-3</v>
      </c>
      <c r="H266" s="103">
        <f t="shared" si="414"/>
        <v>8.9916431556982535E-3</v>
      </c>
      <c r="I266" s="103">
        <f t="shared" si="414"/>
        <v>8.5663826672329867E-3</v>
      </c>
      <c r="J266" s="103">
        <f t="shared" si="414"/>
        <v>8.4472707232933417E-3</v>
      </c>
      <c r="K266" s="103">
        <f t="shared" si="414"/>
        <v>8.4148763227872223E-3</v>
      </c>
      <c r="L266" s="103">
        <f t="shared" ref="L266" si="415">IF(L48=0,0,L48/L$46)</f>
        <v>8.1787237309841141E-3</v>
      </c>
      <c r="M266" s="103">
        <f t="shared" ref="M266:V266" si="416">IF(M48=0,0,M48/M$46)</f>
        <v>7.2791008430443168E-3</v>
      </c>
      <c r="N266" s="103">
        <f t="shared" si="416"/>
        <v>7.3755978973046562E-3</v>
      </c>
      <c r="O266" s="103">
        <f t="shared" si="416"/>
        <v>6.8845097424813755E-3</v>
      </c>
      <c r="P266" s="103">
        <f t="shared" si="416"/>
        <v>6.1810420433988499E-3</v>
      </c>
      <c r="Q266" s="103">
        <f t="shared" si="416"/>
        <v>6.7795613190117423E-3</v>
      </c>
      <c r="R266" s="103">
        <f t="shared" si="416"/>
        <v>6.1526096356191605E-3</v>
      </c>
      <c r="S266" s="103">
        <f t="shared" si="416"/>
        <v>6.127377370424506E-3</v>
      </c>
      <c r="T266" s="103">
        <f t="shared" si="416"/>
        <v>5.5070750344358831E-3</v>
      </c>
      <c r="U266" s="103">
        <f t="shared" si="416"/>
        <v>6.5803720208397233E-3</v>
      </c>
      <c r="V266" s="103">
        <f t="shared" si="416"/>
        <v>4.8263597878359238E-3</v>
      </c>
      <c r="W266" s="103">
        <f t="shared" ref="W266" si="417">IF(W48=0,0,W48/W$46)</f>
        <v>4.6483737348421827E-3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0.88188062643057885</v>
      </c>
      <c r="C267" s="103">
        <f t="shared" si="418"/>
        <v>0.87202201273509317</v>
      </c>
      <c r="D267" s="103">
        <f t="shared" si="418"/>
        <v>0.87937360564826816</v>
      </c>
      <c r="E267" s="103">
        <f t="shared" si="418"/>
        <v>0.87800324333092961</v>
      </c>
      <c r="F267" s="103">
        <f t="shared" si="418"/>
        <v>0.85089097018120985</v>
      </c>
      <c r="G267" s="103">
        <f t="shared" si="418"/>
        <v>0.84158736629801312</v>
      </c>
      <c r="H267" s="103">
        <f t="shared" si="418"/>
        <v>0.84242154585786722</v>
      </c>
      <c r="I267" s="103">
        <f t="shared" si="418"/>
        <v>0.83311969145149789</v>
      </c>
      <c r="J267" s="103">
        <f t="shared" si="418"/>
        <v>0.84202452822810792</v>
      </c>
      <c r="K267" s="103">
        <f t="shared" si="418"/>
        <v>0.85816200182782409</v>
      </c>
      <c r="L267" s="103">
        <f t="shared" ref="L267" si="419">IF(L49=0,0,L49/L$46)</f>
        <v>0.85538689662209277</v>
      </c>
      <c r="M267" s="103">
        <f t="shared" ref="M267:V267" si="420">IF(M49=0,0,M49/M$46)</f>
        <v>0.84478703281937417</v>
      </c>
      <c r="N267" s="103">
        <f t="shared" si="420"/>
        <v>0.85510679876977036</v>
      </c>
      <c r="O267" s="103">
        <f t="shared" si="420"/>
        <v>0.85624069572130634</v>
      </c>
      <c r="P267" s="103">
        <f t="shared" si="420"/>
        <v>0.87115462960229406</v>
      </c>
      <c r="Q267" s="103">
        <f t="shared" si="420"/>
        <v>0.85837764781513559</v>
      </c>
      <c r="R267" s="103">
        <f t="shared" si="420"/>
        <v>0.86555849111672789</v>
      </c>
      <c r="S267" s="103">
        <f t="shared" si="420"/>
        <v>0.87077392086380656</v>
      </c>
      <c r="T267" s="103">
        <f t="shared" si="420"/>
        <v>0.87530719890742825</v>
      </c>
      <c r="U267" s="103">
        <f t="shared" si="420"/>
        <v>0.87846799014822541</v>
      </c>
      <c r="V267" s="103">
        <f t="shared" si="420"/>
        <v>0.88009815719150486</v>
      </c>
      <c r="W267" s="103">
        <f t="shared" ref="W267" si="421">IF(W49=0,0,W49/W$46)</f>
        <v>0.88014846610951691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4.6651382360732773E-4</v>
      </c>
      <c r="C268" s="103">
        <f t="shared" si="422"/>
        <v>4.1640369174780675E-4</v>
      </c>
      <c r="D268" s="103">
        <f t="shared" si="422"/>
        <v>4.1919981712049798E-4</v>
      </c>
      <c r="E268" s="103">
        <f t="shared" si="422"/>
        <v>4.7170959561177312E-4</v>
      </c>
      <c r="F268" s="103">
        <f t="shared" si="422"/>
        <v>4.3081767287547816E-4</v>
      </c>
      <c r="G268" s="103">
        <f t="shared" si="422"/>
        <v>4.2357392371927057E-4</v>
      </c>
      <c r="H268" s="103">
        <f t="shared" si="422"/>
        <v>4.2337962767845038E-4</v>
      </c>
      <c r="I268" s="103">
        <f t="shared" si="422"/>
        <v>4.1814515447088414E-4</v>
      </c>
      <c r="J268" s="103">
        <f t="shared" si="422"/>
        <v>4.2216034263726918E-4</v>
      </c>
      <c r="K268" s="103">
        <f t="shared" si="422"/>
        <v>4.3030656846491428E-4</v>
      </c>
      <c r="L268" s="103">
        <f t="shared" ref="L268" si="423">IF(L50=0,0,L50/L$46)</f>
        <v>4.1416551836857384E-4</v>
      </c>
      <c r="M268" s="103">
        <f t="shared" ref="M268:V268" si="424">IF(M50=0,0,M50/M$46)</f>
        <v>3.9853107876609492E-4</v>
      </c>
      <c r="N268" s="103">
        <f t="shared" si="424"/>
        <v>3.8422385011149292E-4</v>
      </c>
      <c r="O268" s="103">
        <f t="shared" si="424"/>
        <v>3.9489573511641401E-4</v>
      </c>
      <c r="P268" s="103">
        <f t="shared" si="424"/>
        <v>3.8470072541831323E-4</v>
      </c>
      <c r="Q268" s="103">
        <f t="shared" si="424"/>
        <v>4.0533584459149027E-4</v>
      </c>
      <c r="R268" s="103">
        <f t="shared" si="424"/>
        <v>3.7111464060555398E-4</v>
      </c>
      <c r="S268" s="103">
        <f t="shared" si="424"/>
        <v>3.5748314567843163E-4</v>
      </c>
      <c r="T268" s="103">
        <f t="shared" si="424"/>
        <v>3.4693746699916472E-4</v>
      </c>
      <c r="U268" s="103">
        <f t="shared" si="424"/>
        <v>3.8635564495328231E-4</v>
      </c>
      <c r="V268" s="103">
        <f t="shared" si="424"/>
        <v>3.7311332680258988E-4</v>
      </c>
      <c r="W268" s="103">
        <f t="shared" ref="W268" si="425">IF(W50=0,0,W50/W$46)</f>
        <v>3.4478192772139591E-4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3.6546912599279543E-6</v>
      </c>
      <c r="P269" s="103">
        <f t="shared" si="428"/>
        <v>9.0263159043418561E-6</v>
      </c>
      <c r="Q269" s="103">
        <f t="shared" si="428"/>
        <v>1.3539525955719155E-5</v>
      </c>
      <c r="R269" s="103">
        <f t="shared" si="428"/>
        <v>1.812028072219992E-5</v>
      </c>
      <c r="S269" s="103">
        <f t="shared" si="428"/>
        <v>2.0084482191022872E-5</v>
      </c>
      <c r="T269" s="103">
        <f t="shared" si="428"/>
        <v>2.9441565937036724E-5</v>
      </c>
      <c r="U269" s="103">
        <f t="shared" si="428"/>
        <v>4.5295052429574766E-5</v>
      </c>
      <c r="V269" s="103">
        <f t="shared" si="428"/>
        <v>5.384977409130928E-5</v>
      </c>
      <c r="W269" s="103">
        <f t="shared" ref="W269" si="429">IF(W51=0,0,W51/W$46)</f>
        <v>7.5374150917352387E-5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2.1736856692105678E-6</v>
      </c>
      <c r="N270" s="103">
        <f t="shared" si="432"/>
        <v>8.1315527370994147E-6</v>
      </c>
      <c r="O270" s="103">
        <f t="shared" si="432"/>
        <v>3.2032884390270118E-5</v>
      </c>
      <c r="P270" s="103">
        <f t="shared" si="432"/>
        <v>4.3813034848928033E-5</v>
      </c>
      <c r="Q270" s="103">
        <f t="shared" si="432"/>
        <v>8.1961281015703149E-5</v>
      </c>
      <c r="R270" s="103">
        <f t="shared" si="432"/>
        <v>9.2317481654314174E-5</v>
      </c>
      <c r="S270" s="103">
        <f t="shared" si="432"/>
        <v>2.8613375835531707E-4</v>
      </c>
      <c r="T270" s="103">
        <f t="shared" si="432"/>
        <v>5.2143494380463393E-4</v>
      </c>
      <c r="U270" s="103">
        <f t="shared" si="432"/>
        <v>6.6908127702681845E-4</v>
      </c>
      <c r="V270" s="103">
        <f t="shared" si="432"/>
        <v>9.1749013368989582E-4</v>
      </c>
      <c r="W270" s="103">
        <f t="shared" ref="W270" si="433">IF(W52=0,0,W52/W$46)</f>
        <v>1.0426804717697915E-3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0.10641234084054557</v>
      </c>
      <c r="C271" s="156">
        <f t="shared" si="434"/>
        <v>0.11778614779519032</v>
      </c>
      <c r="D271" s="156">
        <f t="shared" si="434"/>
        <v>0.11059154921467904</v>
      </c>
      <c r="E271" s="156">
        <f t="shared" si="434"/>
        <v>0.11066152530444878</v>
      </c>
      <c r="F271" s="156">
        <f t="shared" si="434"/>
        <v>0.13899718419108709</v>
      </c>
      <c r="G271" s="156">
        <f t="shared" si="434"/>
        <v>0.14876044006044872</v>
      </c>
      <c r="H271" s="156">
        <f t="shared" si="434"/>
        <v>0.14816343135875604</v>
      </c>
      <c r="I271" s="156">
        <f t="shared" si="434"/>
        <v>0.15789578072679825</v>
      </c>
      <c r="J271" s="156">
        <f t="shared" si="434"/>
        <v>0.14910604070596162</v>
      </c>
      <c r="K271" s="156">
        <f t="shared" si="434"/>
        <v>0.13299281528092369</v>
      </c>
      <c r="L271" s="156">
        <f t="shared" ref="L271" si="435">IF(L53=0,0,L53/L$46)</f>
        <v>0.1360202141285545</v>
      </c>
      <c r="M271" s="156">
        <f t="shared" ref="M271:V271" si="436">IF(M53=0,0,M53/M$46)</f>
        <v>0.14753316157314622</v>
      </c>
      <c r="N271" s="156">
        <f t="shared" si="436"/>
        <v>0.13712524793007613</v>
      </c>
      <c r="O271" s="156">
        <f t="shared" si="436"/>
        <v>0.13644421122544559</v>
      </c>
      <c r="P271" s="156">
        <f t="shared" si="436"/>
        <v>0.12222678827813549</v>
      </c>
      <c r="Q271" s="156">
        <f t="shared" si="436"/>
        <v>0.13434195421428971</v>
      </c>
      <c r="R271" s="156">
        <f t="shared" si="436"/>
        <v>0.12780734684467082</v>
      </c>
      <c r="S271" s="156">
        <f t="shared" si="436"/>
        <v>0.12243500037954416</v>
      </c>
      <c r="T271" s="156">
        <f t="shared" si="436"/>
        <v>0.11828791208139514</v>
      </c>
      <c r="U271" s="156">
        <f t="shared" si="436"/>
        <v>0.11385090585652531</v>
      </c>
      <c r="V271" s="156">
        <f t="shared" si="436"/>
        <v>0.1137310297860754</v>
      </c>
      <c r="W271" s="156">
        <f t="shared" ref="W271" si="437">IF(W53=0,0,W53/W$46)</f>
        <v>0.11374032360523252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8.7468574508688002E-2</v>
      </c>
      <c r="C272" s="104">
        <f t="shared" si="438"/>
        <v>9.812168455993818E-2</v>
      </c>
      <c r="D272" s="104">
        <f t="shared" si="438"/>
        <v>8.9921281525404712E-2</v>
      </c>
      <c r="E272" s="104">
        <f t="shared" si="438"/>
        <v>8.9193756872807367E-2</v>
      </c>
      <c r="F272" s="104">
        <f t="shared" si="438"/>
        <v>0.11307952876648783</v>
      </c>
      <c r="G272" s="104">
        <f t="shared" si="438"/>
        <v>0.1211723425786068</v>
      </c>
      <c r="H272" s="104">
        <f t="shared" si="438"/>
        <v>0.1190951187712499</v>
      </c>
      <c r="I272" s="104">
        <f t="shared" si="438"/>
        <v>0.1252951740012582</v>
      </c>
      <c r="J272" s="104">
        <f t="shared" si="438"/>
        <v>0.12050760268113166</v>
      </c>
      <c r="K272" s="104">
        <f t="shared" si="438"/>
        <v>0.1044174121803185</v>
      </c>
      <c r="L272" s="104">
        <f t="shared" ref="L272" si="439">IF(L54=0,0,L54/L$46)</f>
        <v>0.10999608973424521</v>
      </c>
      <c r="M272" s="104">
        <f t="shared" ref="M272:V272" si="440">IF(M54=0,0,M54/M$46)</f>
        <v>0.11697564530373944</v>
      </c>
      <c r="N272" s="104">
        <f t="shared" si="440"/>
        <v>0.10751700683187645</v>
      </c>
      <c r="O272" s="104">
        <f t="shared" si="440"/>
        <v>0.1012918414718585</v>
      </c>
      <c r="P272" s="104">
        <f t="shared" si="440"/>
        <v>8.8476147817138098E-2</v>
      </c>
      <c r="Q272" s="104">
        <f t="shared" si="440"/>
        <v>0.1045128076304338</v>
      </c>
      <c r="R272" s="104">
        <f t="shared" si="440"/>
        <v>9.6220966687848339E-2</v>
      </c>
      <c r="S272" s="104">
        <f t="shared" si="440"/>
        <v>9.2920870569645764E-2</v>
      </c>
      <c r="T272" s="104">
        <f t="shared" si="440"/>
        <v>8.8601503896382897E-2</v>
      </c>
      <c r="U272" s="104">
        <f t="shared" si="440"/>
        <v>8.4456250118950901E-2</v>
      </c>
      <c r="V272" s="104">
        <f t="shared" si="440"/>
        <v>8.4197910860972724E-2</v>
      </c>
      <c r="W272" s="104">
        <f t="shared" ref="W272" si="441">IF(W54=0,0,W54/W$46)</f>
        <v>8.2274740057290255E-2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1.8943766331857563E-2</v>
      </c>
      <c r="C273" s="105">
        <f t="shared" si="442"/>
        <v>1.9664463235252155E-2</v>
      </c>
      <c r="D273" s="105">
        <f t="shared" si="442"/>
        <v>2.0670267689274321E-2</v>
      </c>
      <c r="E273" s="105">
        <f t="shared" si="442"/>
        <v>2.1467768431641408E-2</v>
      </c>
      <c r="F273" s="105">
        <f t="shared" si="442"/>
        <v>2.5917655424599246E-2</v>
      </c>
      <c r="G273" s="105">
        <f t="shared" si="442"/>
        <v>2.7588097481841937E-2</v>
      </c>
      <c r="H273" s="105">
        <f t="shared" si="442"/>
        <v>2.9068312587506126E-2</v>
      </c>
      <c r="I273" s="105">
        <f t="shared" si="442"/>
        <v>3.260060672554007E-2</v>
      </c>
      <c r="J273" s="105">
        <f t="shared" si="442"/>
        <v>2.8598438024829965E-2</v>
      </c>
      <c r="K273" s="105">
        <f t="shared" si="442"/>
        <v>2.8575403100605176E-2</v>
      </c>
      <c r="L273" s="105">
        <f t="shared" ref="L273" si="443">IF(L55=0,0,L55/L$46)</f>
        <v>2.6024124394309307E-2</v>
      </c>
      <c r="M273" s="105">
        <f t="shared" ref="M273:V273" si="444">IF(M55=0,0,M55/M$46)</f>
        <v>3.0557516269406778E-2</v>
      </c>
      <c r="N273" s="105">
        <f t="shared" si="444"/>
        <v>2.9608241098199692E-2</v>
      </c>
      <c r="O273" s="105">
        <f t="shared" si="444"/>
        <v>3.5152369753587091E-2</v>
      </c>
      <c r="P273" s="105">
        <f t="shared" si="444"/>
        <v>3.3750640460997398E-2</v>
      </c>
      <c r="Q273" s="105">
        <f t="shared" si="444"/>
        <v>2.9829146583855905E-2</v>
      </c>
      <c r="R273" s="105">
        <f t="shared" si="444"/>
        <v>3.1586380156822483E-2</v>
      </c>
      <c r="S273" s="105">
        <f t="shared" si="444"/>
        <v>2.9514129809898391E-2</v>
      </c>
      <c r="T273" s="105">
        <f t="shared" si="444"/>
        <v>2.9686408185012225E-2</v>
      </c>
      <c r="U273" s="105">
        <f t="shared" si="444"/>
        <v>2.939465573757441E-2</v>
      </c>
      <c r="V273" s="105">
        <f t="shared" si="444"/>
        <v>2.9533118925102672E-2</v>
      </c>
      <c r="W273" s="105">
        <f t="shared" ref="W273" si="445">IF(W55=0,0,W55/W$46)</f>
        <v>3.1465583547942266E-2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5715.7937231298365</v>
      </c>
      <c r="C4" s="145">
        <f t="shared" si="0"/>
        <v>5792.3149613069645</v>
      </c>
      <c r="D4" s="145">
        <f t="shared" si="0"/>
        <v>5965.8474634565773</v>
      </c>
      <c r="E4" s="145">
        <f t="shared" si="0"/>
        <v>6310.4786758383498</v>
      </c>
      <c r="F4" s="145">
        <f t="shared" si="0"/>
        <v>6485.1028374892503</v>
      </c>
      <c r="G4" s="145">
        <f t="shared" si="0"/>
        <v>6212.7207222699917</v>
      </c>
      <c r="H4" s="145">
        <f t="shared" si="0"/>
        <v>6223.813671539122</v>
      </c>
      <c r="I4" s="145">
        <f t="shared" si="0"/>
        <v>6175.9126397248492</v>
      </c>
      <c r="J4" s="145">
        <f t="shared" si="0"/>
        <v>6192.2583600078724</v>
      </c>
      <c r="K4" s="145">
        <f t="shared" si="0"/>
        <v>6133.7807038063147</v>
      </c>
      <c r="L4" s="145">
        <f t="shared" ref="L4" si="1">L5+L9+L10+L15</f>
        <v>6149.4419132496223</v>
      </c>
      <c r="M4" s="145">
        <f t="shared" ref="M4:V4" si="2">M5+M9+M10+M15</f>
        <v>5715.1361667996571</v>
      </c>
      <c r="N4" s="145">
        <f t="shared" si="2"/>
        <v>5246.7218422219685</v>
      </c>
      <c r="O4" s="145">
        <f t="shared" si="2"/>
        <v>5154.5614738745899</v>
      </c>
      <c r="P4" s="145">
        <f t="shared" si="2"/>
        <v>5222.881614520451</v>
      </c>
      <c r="Q4" s="145">
        <f t="shared" si="2"/>
        <v>5294.9818983523983</v>
      </c>
      <c r="R4" s="145">
        <f t="shared" si="2"/>
        <v>5394.4196120048546</v>
      </c>
      <c r="S4" s="145">
        <f t="shared" si="2"/>
        <v>5472.30555216219</v>
      </c>
      <c r="T4" s="145">
        <f t="shared" si="2"/>
        <v>5519.3808146475612</v>
      </c>
      <c r="U4" s="145">
        <f t="shared" si="2"/>
        <v>5685.168121151919</v>
      </c>
      <c r="V4" s="145">
        <f t="shared" si="2"/>
        <v>4818.5464498558786</v>
      </c>
      <c r="W4" s="145">
        <f t="shared" ref="W4" si="3">W5+W9+W10+W15</f>
        <v>5247.9663243563373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5714.6759243336201</v>
      </c>
      <c r="C5" s="97">
        <f t="shared" si="4"/>
        <v>5787.8007738607048</v>
      </c>
      <c r="D5" s="97">
        <f t="shared" si="4"/>
        <v>5958.9257093723127</v>
      </c>
      <c r="E5" s="97">
        <f t="shared" si="4"/>
        <v>6301.4717970765269</v>
      </c>
      <c r="F5" s="97">
        <f t="shared" si="4"/>
        <v>6475.7090283748912</v>
      </c>
      <c r="G5" s="97">
        <f t="shared" si="4"/>
        <v>6201.607222699914</v>
      </c>
      <c r="H5" s="97">
        <f t="shared" si="4"/>
        <v>6141.7815133275999</v>
      </c>
      <c r="I5" s="97">
        <f t="shared" si="4"/>
        <v>6042.5146173688736</v>
      </c>
      <c r="J5" s="97">
        <f t="shared" si="4"/>
        <v>6054.6718830610489</v>
      </c>
      <c r="K5" s="97">
        <f t="shared" si="4"/>
        <v>5914.6125537403259</v>
      </c>
      <c r="L5" s="97">
        <f t="shared" ref="L5" si="5">SUM(L6:L8)</f>
        <v>5827.5294067067916</v>
      </c>
      <c r="M5" s="97">
        <f t="shared" ref="M5:V5" si="6">SUM(M6:M8)</f>
        <v>5411.1014617368874</v>
      </c>
      <c r="N5" s="97">
        <f t="shared" si="6"/>
        <v>4962.9788478073942</v>
      </c>
      <c r="O5" s="97">
        <f t="shared" si="6"/>
        <v>4882.3207222699912</v>
      </c>
      <c r="P5" s="97">
        <f t="shared" si="6"/>
        <v>4951.0365434221831</v>
      </c>
      <c r="Q5" s="97">
        <f t="shared" si="6"/>
        <v>4956.3150472914876</v>
      </c>
      <c r="R5" s="97">
        <f t="shared" si="6"/>
        <v>5117.2494411006019</v>
      </c>
      <c r="S5" s="97">
        <f t="shared" si="6"/>
        <v>5214.6715391229573</v>
      </c>
      <c r="T5" s="97">
        <f t="shared" si="6"/>
        <v>5237.7709372312984</v>
      </c>
      <c r="U5" s="97">
        <f t="shared" si="6"/>
        <v>5387.8876182287177</v>
      </c>
      <c r="V5" s="97">
        <f t="shared" si="6"/>
        <v>4545.1558899398105</v>
      </c>
      <c r="W5" s="97">
        <f t="shared" ref="W5" si="7">SUM(W6:W8)</f>
        <v>4869.0917454858127</v>
      </c>
      <c r="DA5" s="175"/>
    </row>
    <row r="6" spans="1:105" ht="11.45" customHeight="1" x14ac:dyDescent="0.25">
      <c r="A6" s="128" t="s">
        <v>52</v>
      </c>
      <c r="B6" s="97">
        <v>22.594840928632841</v>
      </c>
      <c r="C6" s="97">
        <v>22.594840928632841</v>
      </c>
      <c r="D6" s="97">
        <v>21.465090283748921</v>
      </c>
      <c r="E6" s="97">
        <v>22.594840928632841</v>
      </c>
      <c r="F6" s="97">
        <v>22.599570077386069</v>
      </c>
      <c r="G6" s="97">
        <v>24.859587274290629</v>
      </c>
      <c r="H6" s="97">
        <v>23.729578675838351</v>
      </c>
      <c r="I6" s="97">
        <v>24.171195184866718</v>
      </c>
      <c r="J6" s="97">
        <v>26.368615649183141</v>
      </c>
      <c r="K6" s="97">
        <v>32.960705073086842</v>
      </c>
      <c r="L6" s="97">
        <v>31.862080825451411</v>
      </c>
      <c r="M6" s="97">
        <v>27.467239896818569</v>
      </c>
      <c r="N6" s="97">
        <v>34.059415305245047</v>
      </c>
      <c r="O6" s="97">
        <v>36.256835769561476</v>
      </c>
      <c r="P6" s="97">
        <v>37.355460017196897</v>
      </c>
      <c r="Q6" s="97">
        <v>39.552880481513327</v>
      </c>
      <c r="R6" s="97">
        <v>40.651590713671538</v>
      </c>
      <c r="S6" s="97">
        <v>40.608684436801383</v>
      </c>
      <c r="T6" s="97">
        <v>39.859415305245051</v>
      </c>
      <c r="U6" s="97">
        <v>40.839466895958729</v>
      </c>
      <c r="V6" s="97">
        <v>30.79079965606191</v>
      </c>
      <c r="W6" s="97">
        <v>33.327687016337059</v>
      </c>
      <c r="DA6" s="175" t="s">
        <v>629</v>
      </c>
    </row>
    <row r="7" spans="1:105" ht="11.45" customHeight="1" x14ac:dyDescent="0.25">
      <c r="A7" s="128" t="s">
        <v>53</v>
      </c>
      <c r="B7" s="97">
        <v>2271.672914875322</v>
      </c>
      <c r="C7" s="97">
        <v>2134.7091143594148</v>
      </c>
      <c r="D7" s="97">
        <v>2211.751246775581</v>
      </c>
      <c r="E7" s="97">
        <v>2145.409372312984</v>
      </c>
      <c r="F7" s="97">
        <v>2061.9470335339638</v>
      </c>
      <c r="G7" s="97">
        <v>1934.6135855545999</v>
      </c>
      <c r="H7" s="97">
        <v>1789.0895098882199</v>
      </c>
      <c r="I7" s="97">
        <v>1667.8131556319861</v>
      </c>
      <c r="J7" s="97">
        <v>1563.771883061049</v>
      </c>
      <c r="K7" s="97">
        <v>1528.040498710232</v>
      </c>
      <c r="L7" s="97">
        <v>1450.2723129836629</v>
      </c>
      <c r="M7" s="97">
        <v>1306.295958727429</v>
      </c>
      <c r="N7" s="97">
        <v>1182.287188306105</v>
      </c>
      <c r="O7" s="97">
        <v>1151.8104901117799</v>
      </c>
      <c r="P7" s="97">
        <v>1144.453998280309</v>
      </c>
      <c r="Q7" s="97">
        <v>1099.264316423044</v>
      </c>
      <c r="R7" s="97">
        <v>1082.4496130696471</v>
      </c>
      <c r="S7" s="97">
        <v>1080.0166809974201</v>
      </c>
      <c r="T7" s="97">
        <v>1067.987876182287</v>
      </c>
      <c r="U7" s="97">
        <v>1106.8761822871879</v>
      </c>
      <c r="V7" s="97">
        <v>916.12226999140148</v>
      </c>
      <c r="W7" s="97">
        <v>995.69707652622526</v>
      </c>
      <c r="DA7" s="175" t="s">
        <v>630</v>
      </c>
    </row>
    <row r="8" spans="1:105" ht="11.45" customHeight="1" x14ac:dyDescent="0.25">
      <c r="A8" s="128" t="s">
        <v>54</v>
      </c>
      <c r="B8" s="97">
        <v>3420.4081685296651</v>
      </c>
      <c r="C8" s="97">
        <v>3630.496818572657</v>
      </c>
      <c r="D8" s="97">
        <v>3725.7093723129829</v>
      </c>
      <c r="E8" s="97">
        <v>4133.4675838349094</v>
      </c>
      <c r="F8" s="97">
        <v>4391.1624247635418</v>
      </c>
      <c r="G8" s="97">
        <v>4242.1340498710233</v>
      </c>
      <c r="H8" s="97">
        <v>4328.962424763542</v>
      </c>
      <c r="I8" s="97">
        <v>4350.5302665520203</v>
      </c>
      <c r="J8" s="97">
        <v>4464.5313843508166</v>
      </c>
      <c r="K8" s="97">
        <v>4353.6113499570074</v>
      </c>
      <c r="L8" s="97">
        <v>4345.3950128976776</v>
      </c>
      <c r="M8" s="97">
        <v>4077.3382631126401</v>
      </c>
      <c r="N8" s="97">
        <v>3746.6322441960442</v>
      </c>
      <c r="O8" s="97">
        <v>3694.2533963886499</v>
      </c>
      <c r="P8" s="97">
        <v>3769.2270851246772</v>
      </c>
      <c r="Q8" s="97">
        <v>3817.4978503869302</v>
      </c>
      <c r="R8" s="97">
        <v>3994.148237317283</v>
      </c>
      <c r="S8" s="97">
        <v>4094.046173688736</v>
      </c>
      <c r="T8" s="97">
        <v>4129.9236457437664</v>
      </c>
      <c r="U8" s="97">
        <v>4240.1719690455711</v>
      </c>
      <c r="V8" s="97">
        <v>3598.242820292347</v>
      </c>
      <c r="W8" s="97">
        <v>3840.0669819432501</v>
      </c>
      <c r="DA8" s="175" t="s">
        <v>631</v>
      </c>
    </row>
    <row r="9" spans="1:105" ht="11.45" customHeight="1" x14ac:dyDescent="0.25">
      <c r="A9" s="92" t="s">
        <v>55</v>
      </c>
      <c r="B9" s="97">
        <v>1.1177987962166807</v>
      </c>
      <c r="C9" s="97">
        <v>4.5141874462596725</v>
      </c>
      <c r="D9" s="97">
        <v>6.9217540842648324</v>
      </c>
      <c r="E9" s="97">
        <v>9.0068787618228718</v>
      </c>
      <c r="F9" s="97">
        <v>9.3938091143594136</v>
      </c>
      <c r="G9" s="97">
        <v>11.113499570077385</v>
      </c>
      <c r="H9" s="97">
        <v>10.40412725709372</v>
      </c>
      <c r="I9" s="97">
        <v>11.5219260533104</v>
      </c>
      <c r="J9" s="97">
        <v>12.01633705932932</v>
      </c>
      <c r="K9" s="97">
        <v>11.951848667239901</v>
      </c>
      <c r="L9" s="97">
        <v>12.53224419604471</v>
      </c>
      <c r="M9" s="97">
        <v>12.55374032674119</v>
      </c>
      <c r="N9" s="97">
        <v>11.97334479793637</v>
      </c>
      <c r="O9" s="97">
        <v>12.381771281169391</v>
      </c>
      <c r="P9" s="97">
        <v>12.10232158211522</v>
      </c>
      <c r="Q9" s="97">
        <v>14.079965606190891</v>
      </c>
      <c r="R9" s="97">
        <v>13.86500429922614</v>
      </c>
      <c r="S9" s="97">
        <v>14.676268271711089</v>
      </c>
      <c r="T9" s="97">
        <v>16.072914875322439</v>
      </c>
      <c r="U9" s="97">
        <v>17.5079105760963</v>
      </c>
      <c r="V9" s="97">
        <v>20.09458297506449</v>
      </c>
      <c r="W9" s="97">
        <v>23.80326741186586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71.628030954428198</v>
      </c>
      <c r="I10" s="97">
        <f t="shared" si="8"/>
        <v>121.8760963026655</v>
      </c>
      <c r="J10" s="97">
        <f t="shared" si="8"/>
        <v>125.56569217540837</v>
      </c>
      <c r="K10" s="97">
        <f t="shared" si="8"/>
        <v>207.21169389509888</v>
      </c>
      <c r="L10" s="97">
        <f t="shared" si="8"/>
        <v>309.1304385210662</v>
      </c>
      <c r="M10" s="97">
        <f t="shared" si="8"/>
        <v>291.30834049871021</v>
      </c>
      <c r="N10" s="97">
        <f t="shared" si="8"/>
        <v>271.47067927772991</v>
      </c>
      <c r="O10" s="97">
        <f t="shared" si="8"/>
        <v>259.5348237317283</v>
      </c>
      <c r="P10" s="97">
        <f t="shared" si="8"/>
        <v>259.39604471195184</v>
      </c>
      <c r="Q10" s="97">
        <f t="shared" si="8"/>
        <v>324.09208942390364</v>
      </c>
      <c r="R10" s="97">
        <f t="shared" si="8"/>
        <v>262.44961306964746</v>
      </c>
      <c r="S10" s="97">
        <f t="shared" si="8"/>
        <v>240.76861564918312</v>
      </c>
      <c r="T10" s="97">
        <f t="shared" si="8"/>
        <v>260.10756663800515</v>
      </c>
      <c r="U10" s="97">
        <f t="shared" si="8"/>
        <v>270.47059329320712</v>
      </c>
      <c r="V10" s="97">
        <f t="shared" si="8"/>
        <v>242.1371453138434</v>
      </c>
      <c r="W10" s="97">
        <f t="shared" si="8"/>
        <v>337.88976784178851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1.2897678417884779</v>
      </c>
      <c r="O12" s="97">
        <v>1.9346517626827171</v>
      </c>
      <c r="P12" s="97">
        <v>1.9346517626827171</v>
      </c>
      <c r="Q12" s="97">
        <v>21.281169389509891</v>
      </c>
      <c r="R12" s="97">
        <v>25.150472914875319</v>
      </c>
      <c r="S12" s="97">
        <v>2.9471195184866721</v>
      </c>
      <c r="T12" s="97">
        <v>5.5995700773860708</v>
      </c>
      <c r="U12" s="97">
        <v>8.184866723989682</v>
      </c>
      <c r="V12" s="97">
        <v>6.4172828890799636</v>
      </c>
      <c r="W12" s="97">
        <v>17.111349957007739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71.628030954428198</v>
      </c>
      <c r="I13" s="97">
        <v>121.8760963026655</v>
      </c>
      <c r="J13" s="97">
        <v>125.56569217540837</v>
      </c>
      <c r="K13" s="97">
        <v>207.21169389509888</v>
      </c>
      <c r="L13" s="97">
        <v>309.1304385210662</v>
      </c>
      <c r="M13" s="97">
        <v>291.30834049871021</v>
      </c>
      <c r="N13" s="97">
        <v>270.18091143594143</v>
      </c>
      <c r="O13" s="97">
        <v>257.60017196904556</v>
      </c>
      <c r="P13" s="97">
        <v>257.46139294926911</v>
      </c>
      <c r="Q13" s="97">
        <v>302.81092003439375</v>
      </c>
      <c r="R13" s="97">
        <v>237.29914015477215</v>
      </c>
      <c r="S13" s="97">
        <v>237.82149613069646</v>
      </c>
      <c r="T13" s="97">
        <v>254.50799656061906</v>
      </c>
      <c r="U13" s="97">
        <v>262.28572656921745</v>
      </c>
      <c r="V13" s="97">
        <v>235.71986242476345</v>
      </c>
      <c r="W13" s="97">
        <v>320.77841788478077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4.447712086543449E-3</v>
      </c>
      <c r="K15" s="98">
        <v>4.6075036503681506E-3</v>
      </c>
      <c r="L15" s="98">
        <v>0.24982382572021922</v>
      </c>
      <c r="M15" s="98">
        <v>0.17262423731874599</v>
      </c>
      <c r="N15" s="98">
        <v>0.29897033890852343</v>
      </c>
      <c r="O15" s="98">
        <v>0.32415659170042838</v>
      </c>
      <c r="P15" s="98">
        <v>0.34670480420146843</v>
      </c>
      <c r="Q15" s="98">
        <v>0.49479603081652646</v>
      </c>
      <c r="R15" s="98">
        <v>0.85555353537979495</v>
      </c>
      <c r="S15" s="98">
        <v>2.1891291183389647</v>
      </c>
      <c r="T15" s="98">
        <v>5.4293959029359842</v>
      </c>
      <c r="U15" s="98">
        <v>9.3019990538980792</v>
      </c>
      <c r="V15" s="98">
        <v>11.158831627160133</v>
      </c>
      <c r="W15" s="98">
        <v>17.181543616869568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5715.7937231298365</v>
      </c>
      <c r="C17" s="79">
        <f t="shared" si="9"/>
        <v>5792.3149613069645</v>
      </c>
      <c r="D17" s="79">
        <f t="shared" si="9"/>
        <v>5965.8474634565773</v>
      </c>
      <c r="E17" s="79">
        <f t="shared" si="9"/>
        <v>6310.4786758383489</v>
      </c>
      <c r="F17" s="79">
        <f t="shared" si="9"/>
        <v>6485.1028374892503</v>
      </c>
      <c r="G17" s="79">
        <f t="shared" si="9"/>
        <v>6212.7207222699908</v>
      </c>
      <c r="H17" s="79">
        <f t="shared" si="9"/>
        <v>6223.813671539122</v>
      </c>
      <c r="I17" s="79">
        <f t="shared" si="9"/>
        <v>6175.9126397248492</v>
      </c>
      <c r="J17" s="79">
        <f t="shared" si="9"/>
        <v>6192.2583600078724</v>
      </c>
      <c r="K17" s="79">
        <f t="shared" si="9"/>
        <v>6133.7807038063147</v>
      </c>
      <c r="L17" s="79">
        <f t="shared" ref="L17" si="10">L18+L42</f>
        <v>6149.4419132496223</v>
      </c>
      <c r="M17" s="79">
        <f t="shared" ref="M17:V17" si="11">M18+M42</f>
        <v>5715.1361667996571</v>
      </c>
      <c r="N17" s="79">
        <f t="shared" si="11"/>
        <v>5246.7218422219694</v>
      </c>
      <c r="O17" s="79">
        <f t="shared" si="11"/>
        <v>5154.5614738745899</v>
      </c>
      <c r="P17" s="79">
        <f t="shared" si="11"/>
        <v>5222.8816145204519</v>
      </c>
      <c r="Q17" s="79">
        <f t="shared" si="11"/>
        <v>5294.9818983523992</v>
      </c>
      <c r="R17" s="79">
        <f t="shared" si="11"/>
        <v>5394.4196120048555</v>
      </c>
      <c r="S17" s="79">
        <f t="shared" si="11"/>
        <v>5472.3055521621909</v>
      </c>
      <c r="T17" s="79">
        <f t="shared" si="11"/>
        <v>5519.3808146475621</v>
      </c>
      <c r="U17" s="79">
        <f t="shared" si="11"/>
        <v>5685.1681211519199</v>
      </c>
      <c r="V17" s="79">
        <f t="shared" si="11"/>
        <v>4818.5464498558786</v>
      </c>
      <c r="W17" s="79">
        <f t="shared" ref="W17" si="12">W18+W42</f>
        <v>5247.9663243563364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3336.4783077875841</v>
      </c>
      <c r="C18" s="32">
        <f t="shared" si="13"/>
        <v>3353.6177916003016</v>
      </c>
      <c r="D18" s="32">
        <f t="shared" si="13"/>
        <v>3557.3056099740761</v>
      </c>
      <c r="E18" s="32">
        <f t="shared" si="13"/>
        <v>3817.497837211994</v>
      </c>
      <c r="F18" s="32">
        <f t="shared" si="13"/>
        <v>3932.6909148076243</v>
      </c>
      <c r="G18" s="32">
        <f t="shared" si="13"/>
        <v>3737.4888873110872</v>
      </c>
      <c r="H18" s="32">
        <f t="shared" si="13"/>
        <v>3755.3535662374034</v>
      </c>
      <c r="I18" s="32">
        <f t="shared" si="13"/>
        <v>3758.6136752013103</v>
      </c>
      <c r="J18" s="32">
        <f t="shared" si="13"/>
        <v>3816.7653514951076</v>
      </c>
      <c r="K18" s="32">
        <f t="shared" si="13"/>
        <v>3860.081344911976</v>
      </c>
      <c r="L18" s="32">
        <f t="shared" ref="L18" si="14">L19+L21+L33</f>
        <v>3898.0615409659363</v>
      </c>
      <c r="M18" s="32">
        <f t="shared" ref="M18:V18" si="15">M19+M21+M33</f>
        <v>3672.2938123801573</v>
      </c>
      <c r="N18" s="32">
        <f t="shared" si="15"/>
        <v>3479.7250878487225</v>
      </c>
      <c r="O18" s="32">
        <f t="shared" si="15"/>
        <v>3475.9646471946276</v>
      </c>
      <c r="P18" s="32">
        <f t="shared" si="15"/>
        <v>3549.470243542446</v>
      </c>
      <c r="Q18" s="32">
        <f t="shared" si="15"/>
        <v>3594.0439439427432</v>
      </c>
      <c r="R18" s="32">
        <f t="shared" si="15"/>
        <v>3683.5336454413891</v>
      </c>
      <c r="S18" s="32">
        <f t="shared" si="15"/>
        <v>3754.5222732330967</v>
      </c>
      <c r="T18" s="32">
        <f t="shared" si="15"/>
        <v>3803.7894846455056</v>
      </c>
      <c r="U18" s="32">
        <f t="shared" si="15"/>
        <v>3938.3215919619752</v>
      </c>
      <c r="V18" s="32">
        <f t="shared" si="15"/>
        <v>3331.1861348769203</v>
      </c>
      <c r="W18" s="32">
        <f t="shared" ref="W18" si="16">W19+W21+W33</f>
        <v>3618.9250865663594</v>
      </c>
      <c r="DA18" s="173" t="s">
        <v>390</v>
      </c>
    </row>
    <row r="19" spans="1:105" ht="11.45" customHeight="1" x14ac:dyDescent="0.25">
      <c r="A19" s="107" t="s">
        <v>181</v>
      </c>
      <c r="B19" s="129">
        <v>55.557233670197313</v>
      </c>
      <c r="C19" s="129">
        <v>56.48474179580888</v>
      </c>
      <c r="D19" s="129">
        <v>60.547262763173379</v>
      </c>
      <c r="E19" s="129">
        <v>63.174550450716239</v>
      </c>
      <c r="F19" s="129">
        <v>67.161396632652114</v>
      </c>
      <c r="G19" s="129">
        <v>70.056273708567574</v>
      </c>
      <c r="H19" s="129">
        <v>72.974075675983045</v>
      </c>
      <c r="I19" s="129">
        <v>68.396599322368544</v>
      </c>
      <c r="J19" s="129">
        <v>68.691499761535383</v>
      </c>
      <c r="K19" s="129">
        <v>63.598938904233393</v>
      </c>
      <c r="L19" s="129">
        <v>60.23093204385971</v>
      </c>
      <c r="M19" s="129">
        <v>57.879143133007865</v>
      </c>
      <c r="N19" s="129">
        <v>57.565038024332672</v>
      </c>
      <c r="O19" s="129">
        <v>55.806759466516233</v>
      </c>
      <c r="P19" s="129">
        <v>53.952894335319378</v>
      </c>
      <c r="Q19" s="129">
        <v>51.871165772287412</v>
      </c>
      <c r="R19" s="129">
        <v>55.85903924221725</v>
      </c>
      <c r="S19" s="129">
        <v>53.755071607726499</v>
      </c>
      <c r="T19" s="129">
        <v>50.932118955409798</v>
      </c>
      <c r="U19" s="129">
        <v>54.198733481517579</v>
      </c>
      <c r="V19" s="129">
        <v>47.510315009070688</v>
      </c>
      <c r="W19" s="129">
        <v>45.643904486238512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6.2729790800217219E-2</v>
      </c>
      <c r="O20" s="97">
        <v>9.3579285106323531E-2</v>
      </c>
      <c r="P20" s="97">
        <v>9.1051199890844675E-2</v>
      </c>
      <c r="Q20" s="97">
        <v>0.98512651133561768</v>
      </c>
      <c r="R20" s="97">
        <v>1.2684011777261404</v>
      </c>
      <c r="S20" s="97">
        <v>0.14628616457660862</v>
      </c>
      <c r="T20" s="97">
        <v>0.26564950090856276</v>
      </c>
      <c r="U20" s="97">
        <v>0.39783419082627453</v>
      </c>
      <c r="V20" s="97">
        <v>0.3304867857541145</v>
      </c>
      <c r="W20" s="97">
        <v>0.77115158468835332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2958.1789792672553</v>
      </c>
      <c r="C21" s="130">
        <f t="shared" si="17"/>
        <v>2974.3557417951938</v>
      </c>
      <c r="D21" s="130">
        <f t="shared" si="17"/>
        <v>3173.337471721883</v>
      </c>
      <c r="E21" s="130">
        <f t="shared" si="17"/>
        <v>3436.597407228629</v>
      </c>
      <c r="F21" s="130">
        <f t="shared" si="17"/>
        <v>3554.7244415080108</v>
      </c>
      <c r="G21" s="130">
        <f t="shared" si="17"/>
        <v>3472.6220500534814</v>
      </c>
      <c r="H21" s="130">
        <f t="shared" si="17"/>
        <v>3487.8620165647758</v>
      </c>
      <c r="I21" s="130">
        <f t="shared" si="17"/>
        <v>3491.5099338152822</v>
      </c>
      <c r="J21" s="130">
        <f t="shared" si="17"/>
        <v>3542.2033311347186</v>
      </c>
      <c r="K21" s="130">
        <f t="shared" si="17"/>
        <v>3586.3570213884968</v>
      </c>
      <c r="L21" s="130">
        <f t="shared" ref="L21" si="18">L22+L24+L26+L27+L29+L32</f>
        <v>3621.2583157052172</v>
      </c>
      <c r="M21" s="130">
        <f t="shared" ref="M21:V21" si="19">M22+M24+M26+M27+M29+M32</f>
        <v>3398.101590171224</v>
      </c>
      <c r="N21" s="130">
        <f t="shared" si="19"/>
        <v>3247.3398063050236</v>
      </c>
      <c r="O21" s="130">
        <f t="shared" si="19"/>
        <v>3252.0390708487139</v>
      </c>
      <c r="P21" s="130">
        <f t="shared" si="19"/>
        <v>3289.8741226868165</v>
      </c>
      <c r="Q21" s="130">
        <f t="shared" si="19"/>
        <v>3333.2635421839182</v>
      </c>
      <c r="R21" s="130">
        <f t="shared" si="19"/>
        <v>3406.7697108790326</v>
      </c>
      <c r="S21" s="130">
        <f t="shared" si="19"/>
        <v>3471.0364473263498</v>
      </c>
      <c r="T21" s="130">
        <f t="shared" si="19"/>
        <v>3508.6850770707806</v>
      </c>
      <c r="U21" s="130">
        <f t="shared" si="19"/>
        <v>3657.1754762442661</v>
      </c>
      <c r="V21" s="130">
        <f t="shared" si="19"/>
        <v>3108.6037629711905</v>
      </c>
      <c r="W21" s="130">
        <f t="shared" ref="W21" si="20">W22+W24+W26+W27+W29+W32</f>
        <v>3352.2980014201476</v>
      </c>
      <c r="DA21" s="176" t="s">
        <v>392</v>
      </c>
    </row>
    <row r="22" spans="1:105" ht="11.45" customHeight="1" x14ac:dyDescent="0.25">
      <c r="A22" s="111" t="s">
        <v>110</v>
      </c>
      <c r="B22" s="96">
        <v>2192.5942973488236</v>
      </c>
      <c r="C22" s="96">
        <v>2057.4154685679514</v>
      </c>
      <c r="D22" s="96">
        <v>2130.7361958131696</v>
      </c>
      <c r="E22" s="96">
        <v>2060.3268024554209</v>
      </c>
      <c r="F22" s="96">
        <v>1975.7345257771783</v>
      </c>
      <c r="G22" s="96">
        <v>1847.2976714119193</v>
      </c>
      <c r="H22" s="96">
        <v>1699.5113764530111</v>
      </c>
      <c r="I22" s="96">
        <v>1584.3999193054569</v>
      </c>
      <c r="J22" s="96">
        <v>1480.5652580483252</v>
      </c>
      <c r="K22" s="96">
        <v>1450.244847220881</v>
      </c>
      <c r="L22" s="96">
        <v>1376.6385192259195</v>
      </c>
      <c r="M22" s="96">
        <v>1237.8334357561287</v>
      </c>
      <c r="N22" s="96">
        <v>1116.9574392987431</v>
      </c>
      <c r="O22" s="96">
        <v>1089.9359514431426</v>
      </c>
      <c r="P22" s="96">
        <v>1084.8200716799083</v>
      </c>
      <c r="Q22" s="96">
        <v>1060.3606361535171</v>
      </c>
      <c r="R22" s="96">
        <v>1043.8789028266235</v>
      </c>
      <c r="S22" s="96">
        <v>1020.8517279903106</v>
      </c>
      <c r="T22" s="96">
        <v>1013.9251399974301</v>
      </c>
      <c r="U22" s="96">
        <v>1049.3727649604134</v>
      </c>
      <c r="V22" s="96">
        <v>866.21532973628757</v>
      </c>
      <c r="W22" s="96">
        <v>955.9863235035333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1.2171712015605622</v>
      </c>
      <c r="O23" s="96">
        <v>1.8276536412927999</v>
      </c>
      <c r="P23" s="96">
        <v>1.8307482927281415</v>
      </c>
      <c r="Q23" s="96">
        <v>20.13815110377972</v>
      </c>
      <c r="R23" s="96">
        <v>23.703544631466954</v>
      </c>
      <c r="S23" s="96">
        <v>2.7780910604840674</v>
      </c>
      <c r="T23" s="96">
        <v>5.2883860503579703</v>
      </c>
      <c r="U23" s="96">
        <v>7.7026959488918862</v>
      </c>
      <c r="V23" s="96">
        <v>6.0254856243498036</v>
      </c>
      <c r="W23" s="96">
        <v>16.151343243048128</v>
      </c>
      <c r="DA23" s="171" t="s">
        <v>641</v>
      </c>
    </row>
    <row r="24" spans="1:105" ht="11.45" customHeight="1" x14ac:dyDescent="0.25">
      <c r="A24" s="111" t="s">
        <v>111</v>
      </c>
      <c r="B24" s="96">
        <v>744.53851324810398</v>
      </c>
      <c r="C24" s="96">
        <v>895.75039840955276</v>
      </c>
      <c r="D24" s="96">
        <v>1022.5347926665266</v>
      </c>
      <c r="E24" s="96">
        <v>1355.1659987153719</v>
      </c>
      <c r="F24" s="96">
        <v>1557.714757147626</v>
      </c>
      <c r="G24" s="96">
        <v>1601.6885578192712</v>
      </c>
      <c r="H24" s="96">
        <v>1765.8139574726224</v>
      </c>
      <c r="I24" s="96">
        <v>1884.0428770376573</v>
      </c>
      <c r="J24" s="96">
        <v>2036.3435172660472</v>
      </c>
      <c r="K24" s="96">
        <v>2104.2098154426922</v>
      </c>
      <c r="L24" s="96">
        <v>2213.655067199963</v>
      </c>
      <c r="M24" s="96">
        <v>2133.6088587384652</v>
      </c>
      <c r="N24" s="96">
        <v>2096.9205106917343</v>
      </c>
      <c r="O24" s="96">
        <v>2126.389394110307</v>
      </c>
      <c r="P24" s="96">
        <v>2168.2299342005467</v>
      </c>
      <c r="Q24" s="96">
        <v>2233.6724147361924</v>
      </c>
      <c r="R24" s="96">
        <v>2321.9552906023964</v>
      </c>
      <c r="S24" s="96">
        <v>2407.6507002269805</v>
      </c>
      <c r="T24" s="96">
        <v>2449.3566945871798</v>
      </c>
      <c r="U24" s="96">
        <v>2556.405247234331</v>
      </c>
      <c r="V24" s="96">
        <v>2198.5256055410873</v>
      </c>
      <c r="W24" s="96">
        <v>2342.1110996233006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28.742001346947532</v>
      </c>
      <c r="I25" s="96">
        <v>51.34144183035032</v>
      </c>
      <c r="J25" s="96">
        <v>55.705768089315917</v>
      </c>
      <c r="K25" s="96">
        <v>95.600481749958519</v>
      </c>
      <c r="L25" s="96">
        <v>147.01996343135716</v>
      </c>
      <c r="M25" s="96">
        <v>142.27245009899715</v>
      </c>
      <c r="N25" s="96">
        <v>141.04412449283436</v>
      </c>
      <c r="O25" s="96">
        <v>138.60793779957947</v>
      </c>
      <c r="P25" s="96">
        <v>138.63389287084638</v>
      </c>
      <c r="Q25" s="96">
        <v>164.15769706806432</v>
      </c>
      <c r="R25" s="96">
        <v>130.21501741254059</v>
      </c>
      <c r="S25" s="96">
        <v>132.18111339766921</v>
      </c>
      <c r="T25" s="96">
        <v>142.18054152945683</v>
      </c>
      <c r="U25" s="96">
        <v>148.92057916041384</v>
      </c>
      <c r="V25" s="96">
        <v>135.16984805605711</v>
      </c>
      <c r="W25" s="96">
        <v>180.56395295979948</v>
      </c>
      <c r="DA25" s="171" t="s">
        <v>643</v>
      </c>
    </row>
    <row r="26" spans="1:105" ht="11.45" customHeight="1" x14ac:dyDescent="0.25">
      <c r="A26" s="111" t="s">
        <v>112</v>
      </c>
      <c r="B26" s="96">
        <v>21.046168670327358</v>
      </c>
      <c r="C26" s="96">
        <v>21.189874817689695</v>
      </c>
      <c r="D26" s="96">
        <v>20.066483242186884</v>
      </c>
      <c r="E26" s="96">
        <v>21.104606057836655</v>
      </c>
      <c r="F26" s="96">
        <v>21.275158583206768</v>
      </c>
      <c r="G26" s="96">
        <v>23.635820822290906</v>
      </c>
      <c r="H26" s="96">
        <v>22.536682639142398</v>
      </c>
      <c r="I26" s="96">
        <v>23.067137472167733</v>
      </c>
      <c r="J26" s="96">
        <v>25.290108108259844</v>
      </c>
      <c r="K26" s="96">
        <v>31.897751221273538</v>
      </c>
      <c r="L26" s="96">
        <v>30.849058479468223</v>
      </c>
      <c r="M26" s="96">
        <v>26.607393024531131</v>
      </c>
      <c r="N26" s="96">
        <v>33.383850310231658</v>
      </c>
      <c r="O26" s="96">
        <v>35.59615835968895</v>
      </c>
      <c r="P26" s="96">
        <v>36.668489871843875</v>
      </c>
      <c r="Q26" s="96">
        <v>38.835193183498419</v>
      </c>
      <c r="R26" s="96">
        <v>39.972735717726813</v>
      </c>
      <c r="S26" s="96">
        <v>39.945921300266669</v>
      </c>
      <c r="T26" s="96">
        <v>39.224158472359598</v>
      </c>
      <c r="U26" s="96">
        <v>40.182565056465577</v>
      </c>
      <c r="V26" s="96">
        <v>30.266503705372003</v>
      </c>
      <c r="W26" s="96">
        <v>32.785598729384262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1.9524827755119081E-3</v>
      </c>
      <c r="M27" s="96">
        <v>1.810892701678962E-3</v>
      </c>
      <c r="N27" s="96">
        <v>5.4414747943199249E-3</v>
      </c>
      <c r="O27" s="96">
        <v>1.6163511755365578E-2</v>
      </c>
      <c r="P27" s="96">
        <v>1.6973231793683659E-2</v>
      </c>
      <c r="Q27" s="96">
        <v>2.0404876925407055E-2</v>
      </c>
      <c r="R27" s="96">
        <v>2.3283526930676843E-2</v>
      </c>
      <c r="S27" s="96">
        <v>2.7295853033949734E-2</v>
      </c>
      <c r="T27" s="96">
        <v>3.1819348831221526E-2</v>
      </c>
      <c r="U27" s="96">
        <v>5.7785754464843728E-2</v>
      </c>
      <c r="V27" s="96">
        <v>6.1331092901710356E-2</v>
      </c>
      <c r="W27" s="96">
        <v>7.6877638691442693E-2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5.1962261254951091E-3</v>
      </c>
      <c r="N29" s="96">
        <v>1.7099762958455181E-2</v>
      </c>
      <c r="O29" s="96">
        <v>3.0474197876047562E-2</v>
      </c>
      <c r="P29" s="96">
        <v>5.9151288828457278E-2</v>
      </c>
      <c r="Q29" s="96">
        <v>0.21497742517018906</v>
      </c>
      <c r="R29" s="96">
        <v>0.54445881708224664</v>
      </c>
      <c r="S29" s="96">
        <v>1.3150475534752113</v>
      </c>
      <c r="T29" s="96">
        <v>2.9824832045584153</v>
      </c>
      <c r="U29" s="96">
        <v>5.3427719623347709</v>
      </c>
      <c r="V29" s="96">
        <v>6.888216569830524</v>
      </c>
      <c r="W29" s="96">
        <v>11.171671913660791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1.2349786534289674E-5</v>
      </c>
      <c r="O30" s="96">
        <v>3.3772518170889065E-5</v>
      </c>
      <c r="P30" s="96">
        <v>6.4405630493329913E-5</v>
      </c>
      <c r="Q30" s="96">
        <v>2.5804409432599036E-3</v>
      </c>
      <c r="R30" s="96">
        <v>7.7789429048688808E-3</v>
      </c>
      <c r="S30" s="96">
        <v>2.2672190644736352E-3</v>
      </c>
      <c r="T30" s="96">
        <v>9.8401382548805681E-3</v>
      </c>
      <c r="U30" s="96">
        <v>2.3753103886015477E-2</v>
      </c>
      <c r="V30" s="96">
        <v>2.6439059693950943E-2</v>
      </c>
      <c r="W30" s="96">
        <v>9.85966068668577E-2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1.4405495988656699E-3</v>
      </c>
      <c r="N31" s="96">
        <v>5.7667755154886865E-3</v>
      </c>
      <c r="O31" s="96">
        <v>1.0333684983691699E-2</v>
      </c>
      <c r="P31" s="96">
        <v>2.0987374670576368E-2</v>
      </c>
      <c r="Q31" s="96">
        <v>7.9106064087885036E-2</v>
      </c>
      <c r="R31" s="96">
        <v>0.2018824424962431</v>
      </c>
      <c r="S31" s="96">
        <v>0.48192349479255692</v>
      </c>
      <c r="T31" s="96">
        <v>1.0958653474905689</v>
      </c>
      <c r="U31" s="96">
        <v>2.1067802437669556</v>
      </c>
      <c r="V31" s="96">
        <v>3.0873745732678985</v>
      </c>
      <c r="W31" s="96">
        <v>5.3358100729348994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4.447712086543449E-3</v>
      </c>
      <c r="K32" s="96">
        <v>4.6075036503681506E-3</v>
      </c>
      <c r="L32" s="96">
        <v>0.11371831709123066</v>
      </c>
      <c r="M32" s="96">
        <v>4.489553327199225E-2</v>
      </c>
      <c r="N32" s="96">
        <v>5.546476656181612E-2</v>
      </c>
      <c r="O32" s="96">
        <v>7.0929225943957008E-2</v>
      </c>
      <c r="P32" s="96">
        <v>7.9502413895153237E-2</v>
      </c>
      <c r="Q32" s="96">
        <v>0.15991580861400442</v>
      </c>
      <c r="R32" s="96">
        <v>0.39503938827267399</v>
      </c>
      <c r="S32" s="96">
        <v>1.2457544022829969</v>
      </c>
      <c r="T32" s="96">
        <v>3.1647814604215494</v>
      </c>
      <c r="U32" s="96">
        <v>5.8143412762565108</v>
      </c>
      <c r="V32" s="96">
        <v>6.6467763257113566</v>
      </c>
      <c r="W32" s="96">
        <v>10.166430011577473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322.74209485013165</v>
      </c>
      <c r="C33" s="130">
        <f t="shared" si="21"/>
        <v>322.77730800929868</v>
      </c>
      <c r="D33" s="130">
        <f t="shared" si="21"/>
        <v>323.42087548901952</v>
      </c>
      <c r="E33" s="130">
        <f t="shared" si="21"/>
        <v>317.725879532649</v>
      </c>
      <c r="F33" s="130">
        <f t="shared" si="21"/>
        <v>310.80507666696133</v>
      </c>
      <c r="G33" s="130">
        <f t="shared" si="21"/>
        <v>194.81056354903822</v>
      </c>
      <c r="H33" s="130">
        <f t="shared" si="21"/>
        <v>194.51747399664487</v>
      </c>
      <c r="I33" s="130">
        <f t="shared" si="21"/>
        <v>198.70714206365918</v>
      </c>
      <c r="J33" s="130">
        <f t="shared" si="21"/>
        <v>205.8705205988536</v>
      </c>
      <c r="K33" s="130">
        <f t="shared" si="21"/>
        <v>210.12538461924572</v>
      </c>
      <c r="L33" s="130">
        <f t="shared" ref="L33" si="22">L34+L36+L38+L39+L41</f>
        <v>216.57229321685915</v>
      </c>
      <c r="M33" s="130">
        <f t="shared" ref="M33:V33" si="23">M34+M36+M38+M39+M41</f>
        <v>216.31307907592571</v>
      </c>
      <c r="N33" s="130">
        <f t="shared" si="23"/>
        <v>174.82024351936616</v>
      </c>
      <c r="O33" s="130">
        <f t="shared" si="23"/>
        <v>168.1188168793972</v>
      </c>
      <c r="P33" s="130">
        <f t="shared" si="23"/>
        <v>205.64322652031035</v>
      </c>
      <c r="Q33" s="130">
        <f t="shared" si="23"/>
        <v>208.90923598653757</v>
      </c>
      <c r="R33" s="130">
        <f t="shared" si="23"/>
        <v>220.9048953201393</v>
      </c>
      <c r="S33" s="130">
        <f t="shared" si="23"/>
        <v>229.73075429902036</v>
      </c>
      <c r="T33" s="130">
        <f t="shared" si="23"/>
        <v>244.17228861931525</v>
      </c>
      <c r="U33" s="130">
        <f t="shared" si="23"/>
        <v>226.94738223619143</v>
      </c>
      <c r="V33" s="130">
        <f t="shared" si="23"/>
        <v>175.07205689665918</v>
      </c>
      <c r="W33" s="130">
        <f t="shared" ref="W33" si="24">W34+W36+W38+W39+W41</f>
        <v>220.98318065997327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9.5338154262480032E-3</v>
      </c>
      <c r="M34" s="97">
        <v>9.8279245602538728E-3</v>
      </c>
      <c r="N34" s="97">
        <v>1.0034216554670281E-2</v>
      </c>
      <c r="O34" s="97">
        <v>1.1467316071565616E-2</v>
      </c>
      <c r="P34" s="97">
        <v>1.1466157915185097E-2</v>
      </c>
      <c r="Q34" s="97">
        <v>1.3384297987373455E-2</v>
      </c>
      <c r="R34" s="97">
        <v>1.5561402529487194E-2</v>
      </c>
      <c r="S34" s="97">
        <v>1.3781406976695299E-2</v>
      </c>
      <c r="T34" s="97">
        <v>1.4412724559725937E-2</v>
      </c>
      <c r="U34" s="97">
        <v>1.2388381764162905E-2</v>
      </c>
      <c r="V34" s="97">
        <v>9.5408398446032786E-3</v>
      </c>
      <c r="W34" s="97">
        <v>1.2173993556429672E-2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1.0934489525612363E-5</v>
      </c>
      <c r="O35" s="97">
        <v>1.92289115211791E-5</v>
      </c>
      <c r="P35" s="97">
        <v>1.9350350878804787E-5</v>
      </c>
      <c r="Q35" s="97">
        <v>2.5419183445500766E-4</v>
      </c>
      <c r="R35" s="97">
        <v>3.5335554573152054E-4</v>
      </c>
      <c r="S35" s="97">
        <v>3.7503980718356937E-5</v>
      </c>
      <c r="T35" s="97">
        <v>7.5173253431214416E-5</v>
      </c>
      <c r="U35" s="97">
        <v>9.0934262079637161E-5</v>
      </c>
      <c r="V35" s="97">
        <v>6.6367092978350656E-5</v>
      </c>
      <c r="W35" s="97">
        <v>2.0567903926485944E-4</v>
      </c>
      <c r="DA35" s="175" t="s">
        <v>652</v>
      </c>
    </row>
    <row r="36" spans="1:105" ht="11.45" customHeight="1" x14ac:dyDescent="0.25">
      <c r="A36" s="111" t="s">
        <v>111</v>
      </c>
      <c r="B36" s="97">
        <v>321.62429605391497</v>
      </c>
      <c r="C36" s="97">
        <v>318.26312056303902</v>
      </c>
      <c r="D36" s="97">
        <v>316.4991214047547</v>
      </c>
      <c r="E36" s="97">
        <v>308.71900077082614</v>
      </c>
      <c r="F36" s="97">
        <v>301.41126755260188</v>
      </c>
      <c r="G36" s="97">
        <v>183.69706397896084</v>
      </c>
      <c r="H36" s="97">
        <v>184.11334673955116</v>
      </c>
      <c r="I36" s="97">
        <v>187.18521601034877</v>
      </c>
      <c r="J36" s="97">
        <v>193.85418353952429</v>
      </c>
      <c r="K36" s="97">
        <v>198.17353595200584</v>
      </c>
      <c r="L36" s="97">
        <v>203.87307229134171</v>
      </c>
      <c r="M36" s="97">
        <v>203.601555803114</v>
      </c>
      <c r="N36" s="97">
        <v>162.58992125267551</v>
      </c>
      <c r="O36" s="97">
        <v>155.4932239486869</v>
      </c>
      <c r="P36" s="97">
        <v>193.28758487676711</v>
      </c>
      <c r="Q36" s="97">
        <v>194.58320287479069</v>
      </c>
      <c r="R36" s="97">
        <v>206.78973186210632</v>
      </c>
      <c r="S36" s="97">
        <v>214.66239418834294</v>
      </c>
      <c r="T36" s="97">
        <v>227.08700199221127</v>
      </c>
      <c r="U36" s="97">
        <v>208.33782492782757</v>
      </c>
      <c r="V36" s="97">
        <v>153.89469198592869</v>
      </c>
      <c r="W36" s="97">
        <v>195.97907100332404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2.9967970507794806</v>
      </c>
      <c r="I37" s="97">
        <v>5.1009236554146602</v>
      </c>
      <c r="J37" s="97">
        <v>5.3030326660673959</v>
      </c>
      <c r="K37" s="97">
        <v>9.0036104613069003</v>
      </c>
      <c r="L37" s="97">
        <v>13.540235819496779</v>
      </c>
      <c r="M37" s="97">
        <v>13.57647727672256</v>
      </c>
      <c r="N37" s="97">
        <v>10.936205248370401</v>
      </c>
      <c r="O37" s="97">
        <v>10.135770603931839</v>
      </c>
      <c r="P37" s="97">
        <v>12.358564888529893</v>
      </c>
      <c r="Q37" s="97">
        <v>14.300364843707909</v>
      </c>
      <c r="R37" s="97">
        <v>11.596747208759961</v>
      </c>
      <c r="S37" s="97">
        <v>11.785062619652241</v>
      </c>
      <c r="T37" s="97">
        <v>13.181972633428641</v>
      </c>
      <c r="U37" s="97">
        <v>12.136491107127279</v>
      </c>
      <c r="V37" s="97">
        <v>9.461760226919008</v>
      </c>
      <c r="W37" s="97">
        <v>15.108914245545783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2.3289888192996478E-2</v>
      </c>
      <c r="M38" s="97">
        <v>2.4008359082277317E-2</v>
      </c>
      <c r="N38" s="97">
        <v>1.6341535975840708E-2</v>
      </c>
      <c r="O38" s="97">
        <v>1.614683467691027E-2</v>
      </c>
      <c r="P38" s="97">
        <v>3.2711010286518391E-2</v>
      </c>
      <c r="Q38" s="97">
        <v>3.3719916658798837E-2</v>
      </c>
      <c r="R38" s="97">
        <v>4.4200454819052153E-2</v>
      </c>
      <c r="S38" s="97">
        <v>4.4174504643065833E-2</v>
      </c>
      <c r="T38" s="97">
        <v>4.6198110908376451E-2</v>
      </c>
      <c r="U38" s="97">
        <v>3.5706440815923626E-2</v>
      </c>
      <c r="V38" s="97">
        <v>2.4968539423650373E-2</v>
      </c>
      <c r="W38" s="97">
        <v>3.1859547273389889E-2</v>
      </c>
      <c r="DA38" s="175" t="s">
        <v>655</v>
      </c>
    </row>
    <row r="39" spans="1:105" ht="11.45" customHeight="1" x14ac:dyDescent="0.25">
      <c r="A39" s="111" t="s">
        <v>113</v>
      </c>
      <c r="B39" s="97">
        <v>1.1177987962166807</v>
      </c>
      <c r="C39" s="97">
        <v>4.5141874462596725</v>
      </c>
      <c r="D39" s="97">
        <v>6.9217540842648324</v>
      </c>
      <c r="E39" s="97">
        <v>9.0068787618228718</v>
      </c>
      <c r="F39" s="97">
        <v>9.3938091143594136</v>
      </c>
      <c r="G39" s="97">
        <v>11.113499570077385</v>
      </c>
      <c r="H39" s="97">
        <v>10.40412725709372</v>
      </c>
      <c r="I39" s="97">
        <v>11.5219260533104</v>
      </c>
      <c r="J39" s="97">
        <v>12.01633705932932</v>
      </c>
      <c r="K39" s="97">
        <v>11.951848667239901</v>
      </c>
      <c r="L39" s="97">
        <v>12.530291713269198</v>
      </c>
      <c r="M39" s="97">
        <v>12.551929434039511</v>
      </c>
      <c r="N39" s="97">
        <v>11.96790332314205</v>
      </c>
      <c r="O39" s="97">
        <v>12.361687766606023</v>
      </c>
      <c r="P39" s="97">
        <v>12.07505921200419</v>
      </c>
      <c r="Q39" s="97">
        <v>14.042294698466817</v>
      </c>
      <c r="R39" s="97">
        <v>13.819344529245425</v>
      </c>
      <c r="S39" s="97">
        <v>14.623436251505028</v>
      </c>
      <c r="T39" s="97">
        <v>16.001812929726558</v>
      </c>
      <c r="U39" s="97">
        <v>17.381042679843716</v>
      </c>
      <c r="V39" s="97">
        <v>19.963617762902633</v>
      </c>
      <c r="W39" s="97">
        <v>23.605971738362335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0.13610550862898857</v>
      </c>
      <c r="M41" s="97">
        <v>0.12575755512967671</v>
      </c>
      <c r="N41" s="97">
        <v>0.23604319101808607</v>
      </c>
      <c r="O41" s="97">
        <v>0.23629101335580688</v>
      </c>
      <c r="P41" s="97">
        <v>0.23640526333736131</v>
      </c>
      <c r="Q41" s="97">
        <v>0.23663419863387877</v>
      </c>
      <c r="R41" s="97">
        <v>0.23605707143901111</v>
      </c>
      <c r="S41" s="97">
        <v>0.38696794755261171</v>
      </c>
      <c r="T41" s="97">
        <v>1.0228628619093418</v>
      </c>
      <c r="U41" s="97">
        <v>1.1804198059400697</v>
      </c>
      <c r="V41" s="97">
        <v>1.1792377685596322</v>
      </c>
      <c r="W41" s="97">
        <v>1.3541043774570809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2379.3154153422529</v>
      </c>
      <c r="C42" s="32">
        <f t="shared" si="25"/>
        <v>2438.6971697066629</v>
      </c>
      <c r="D42" s="32">
        <f t="shared" si="25"/>
        <v>2408.5418534825017</v>
      </c>
      <c r="E42" s="32">
        <f t="shared" si="25"/>
        <v>2492.9808386263553</v>
      </c>
      <c r="F42" s="32">
        <f t="shared" si="25"/>
        <v>2552.411922681626</v>
      </c>
      <c r="G42" s="32">
        <f t="shared" si="25"/>
        <v>2475.2318349589041</v>
      </c>
      <c r="H42" s="32">
        <f t="shared" si="25"/>
        <v>2468.4601053017186</v>
      </c>
      <c r="I42" s="32">
        <f t="shared" si="25"/>
        <v>2417.2989645235393</v>
      </c>
      <c r="J42" s="32">
        <f t="shared" si="25"/>
        <v>2375.4930085127653</v>
      </c>
      <c r="K42" s="32">
        <f t="shared" si="25"/>
        <v>2273.6993588943392</v>
      </c>
      <c r="L42" s="32">
        <f t="shared" ref="L42" si="26">L43+L52</f>
        <v>2251.3803722836865</v>
      </c>
      <c r="M42" s="32">
        <f t="shared" ref="M42:V42" si="27">M43+M52</f>
        <v>2042.8423544194998</v>
      </c>
      <c r="N42" s="32">
        <f t="shared" si="27"/>
        <v>1766.9967543732469</v>
      </c>
      <c r="O42" s="32">
        <f t="shared" si="27"/>
        <v>1678.5968266799628</v>
      </c>
      <c r="P42" s="32">
        <f t="shared" si="27"/>
        <v>1673.4113709780058</v>
      </c>
      <c r="Q42" s="32">
        <f t="shared" si="27"/>
        <v>1700.937954409656</v>
      </c>
      <c r="R42" s="32">
        <f t="shared" si="27"/>
        <v>1710.8859665634664</v>
      </c>
      <c r="S42" s="32">
        <f t="shared" si="27"/>
        <v>1717.7832789290944</v>
      </c>
      <c r="T42" s="32">
        <f t="shared" si="27"/>
        <v>1715.5913300020561</v>
      </c>
      <c r="U42" s="32">
        <f t="shared" si="27"/>
        <v>1746.8465291899445</v>
      </c>
      <c r="V42" s="32">
        <f t="shared" si="27"/>
        <v>1487.3603149789583</v>
      </c>
      <c r="W42" s="32">
        <f t="shared" ref="W42" si="28">W43+W52</f>
        <v>1629.041237789977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1776.8881114194107</v>
      </c>
      <c r="C43" s="141">
        <f t="shared" si="29"/>
        <v>1716.8453645919315</v>
      </c>
      <c r="D43" s="141">
        <f t="shared" si="29"/>
        <v>1713.2583684907936</v>
      </c>
      <c r="E43" s="141">
        <f t="shared" si="29"/>
        <v>1677.8749233385067</v>
      </c>
      <c r="F43" s="141">
        <f t="shared" si="29"/>
        <v>1565.106465698201</v>
      </c>
      <c r="G43" s="141">
        <f t="shared" si="29"/>
        <v>1459.0823158234459</v>
      </c>
      <c r="H43" s="141">
        <f t="shared" si="29"/>
        <v>1435.5691233274472</v>
      </c>
      <c r="I43" s="141">
        <f t="shared" si="29"/>
        <v>1343.7681027040617</v>
      </c>
      <c r="J43" s="141">
        <f t="shared" si="29"/>
        <v>1324.38526186679</v>
      </c>
      <c r="K43" s="141">
        <f t="shared" si="29"/>
        <v>1317.3422673798345</v>
      </c>
      <c r="L43" s="141">
        <f t="shared" ref="L43" si="30">L44+L46+L48+L49+L51</f>
        <v>1272.5193702205922</v>
      </c>
      <c r="M43" s="141">
        <f t="shared" ref="M43:V43" si="31">M44+M46+M48+M49+M51</f>
        <v>1108.1262257191711</v>
      </c>
      <c r="N43" s="141">
        <f t="shared" si="31"/>
        <v>935.4962214231083</v>
      </c>
      <c r="O43" s="141">
        <f t="shared" si="31"/>
        <v>887.87455552203357</v>
      </c>
      <c r="P43" s="141">
        <f t="shared" si="31"/>
        <v>943.25053429955847</v>
      </c>
      <c r="Q43" s="141">
        <f t="shared" si="31"/>
        <v>937.42705682909718</v>
      </c>
      <c r="R43" s="141">
        <f t="shared" si="31"/>
        <v>956.3731136120781</v>
      </c>
      <c r="S43" s="141">
        <f t="shared" si="31"/>
        <v>979.37354633704172</v>
      </c>
      <c r="T43" s="141">
        <f t="shared" si="31"/>
        <v>990.57791077357365</v>
      </c>
      <c r="U43" s="141">
        <f t="shared" si="31"/>
        <v>1003.4109303242295</v>
      </c>
      <c r="V43" s="141">
        <f t="shared" si="31"/>
        <v>845.76334980667116</v>
      </c>
      <c r="W43" s="141">
        <f t="shared" ref="W43" si="32">W44+W46+W48+W49+W51</f>
        <v>938.64425593880037</v>
      </c>
      <c r="DA43" s="174" t="s">
        <v>399</v>
      </c>
    </row>
    <row r="44" spans="1:105" ht="11.45" customHeight="1" x14ac:dyDescent="0.25">
      <c r="A44" s="111" t="s">
        <v>110</v>
      </c>
      <c r="B44" s="96">
        <v>23.521383856301291</v>
      </c>
      <c r="C44" s="96">
        <v>20.808903995654429</v>
      </c>
      <c r="D44" s="96">
        <v>20.467788199238104</v>
      </c>
      <c r="E44" s="96">
        <v>21.908019406847128</v>
      </c>
      <c r="F44" s="96">
        <v>19.051111124133371</v>
      </c>
      <c r="G44" s="96">
        <v>17.259640434113258</v>
      </c>
      <c r="H44" s="96">
        <v>16.604057759225739</v>
      </c>
      <c r="I44" s="96">
        <v>15.016637004160623</v>
      </c>
      <c r="J44" s="96">
        <v>14.515125251188474</v>
      </c>
      <c r="K44" s="96">
        <v>14.196712585117721</v>
      </c>
      <c r="L44" s="96">
        <v>13.393327898457493</v>
      </c>
      <c r="M44" s="96">
        <v>10.569796237205569</v>
      </c>
      <c r="N44" s="96">
        <v>9.0331116208204207</v>
      </c>
      <c r="O44" s="96">
        <v>7.9708231358400905</v>
      </c>
      <c r="P44" s="96">
        <v>7.5660539556910624</v>
      </c>
      <c r="Q44" s="96">
        <v>8.1644282276798137</v>
      </c>
      <c r="R44" s="96">
        <v>7.5040061385662193</v>
      </c>
      <c r="S44" s="96">
        <v>7.5100954522103542</v>
      </c>
      <c r="T44" s="96">
        <v>6.8291567252056531</v>
      </c>
      <c r="U44" s="96">
        <v>8.2411704689145342</v>
      </c>
      <c r="V44" s="96">
        <v>5.0035252987159256</v>
      </c>
      <c r="W44" s="96">
        <v>5.3301626591789093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9.8435651516386707E-3</v>
      </c>
      <c r="O45" s="96">
        <v>1.3365834853901491E-2</v>
      </c>
      <c r="P45" s="96">
        <v>1.2768514082358823E-2</v>
      </c>
      <c r="Q45" s="96">
        <v>0.15505714161684198</v>
      </c>
      <c r="R45" s="96">
        <v>0.1703948072316285</v>
      </c>
      <c r="S45" s="96">
        <v>2.0437570380804276E-2</v>
      </c>
      <c r="T45" s="96">
        <v>3.5619214611226066E-2</v>
      </c>
      <c r="U45" s="96">
        <v>6.049254612342652E-2</v>
      </c>
      <c r="V45" s="96">
        <v>3.480505218911549E-2</v>
      </c>
      <c r="W45" s="96">
        <v>9.0052843365136845E-2</v>
      </c>
      <c r="DA45" s="171" t="s">
        <v>660</v>
      </c>
    </row>
    <row r="46" spans="1:105" ht="11.45" customHeight="1" x14ac:dyDescent="0.25">
      <c r="A46" s="111" t="s">
        <v>111</v>
      </c>
      <c r="B46" s="96">
        <v>1751.8180553048039</v>
      </c>
      <c r="C46" s="96">
        <v>1694.6314944853339</v>
      </c>
      <c r="D46" s="96">
        <v>1691.3919732499935</v>
      </c>
      <c r="E46" s="96">
        <v>1654.4766690608633</v>
      </c>
      <c r="F46" s="96">
        <v>1544.7309430798884</v>
      </c>
      <c r="G46" s="96">
        <v>1440.5989089373331</v>
      </c>
      <c r="H46" s="96">
        <v>1417.7721695315256</v>
      </c>
      <c r="I46" s="96">
        <v>1327.6474079872021</v>
      </c>
      <c r="J46" s="96">
        <v>1308.7916290746782</v>
      </c>
      <c r="K46" s="96">
        <v>1302.0826009429036</v>
      </c>
      <c r="L46" s="96">
        <v>1258.1363098643444</v>
      </c>
      <c r="M46" s="96">
        <v>1096.7200603694423</v>
      </c>
      <c r="N46" s="96">
        <v>925.80219073743717</v>
      </c>
      <c r="O46" s="96">
        <v>879.24867914077288</v>
      </c>
      <c r="P46" s="96">
        <v>935.01012231818527</v>
      </c>
      <c r="Q46" s="96">
        <v>928.54225522978197</v>
      </c>
      <c r="R46" s="96">
        <v>948.18950205616432</v>
      </c>
      <c r="S46" s="96">
        <v>971.14484281205671</v>
      </c>
      <c r="T46" s="96">
        <v>982.97452649651177</v>
      </c>
      <c r="U46" s="96">
        <v>994.27902458691551</v>
      </c>
      <c r="V46" s="96">
        <v>839.94542001780758</v>
      </c>
      <c r="W46" s="96">
        <v>932.35824735022982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23.0769552103122</v>
      </c>
      <c r="I47" s="96">
        <v>36.179289229110204</v>
      </c>
      <c r="J47" s="96">
        <v>35.803017687485152</v>
      </c>
      <c r="K47" s="96">
        <v>59.157467575158165</v>
      </c>
      <c r="L47" s="96">
        <v>83.559158338921904</v>
      </c>
      <c r="M47" s="96">
        <v>73.131047156289938</v>
      </c>
      <c r="N47" s="96">
        <v>62.271773670158986</v>
      </c>
      <c r="O47" s="96">
        <v>57.313513021775641</v>
      </c>
      <c r="P47" s="96">
        <v>59.783370336324715</v>
      </c>
      <c r="Q47" s="96">
        <v>68.240695118630541</v>
      </c>
      <c r="R47" s="96">
        <v>53.174371194976608</v>
      </c>
      <c r="S47" s="96">
        <v>53.316291512386051</v>
      </c>
      <c r="T47" s="96">
        <v>57.059819337783658</v>
      </c>
      <c r="U47" s="96">
        <v>57.920632242765137</v>
      </c>
      <c r="V47" s="96">
        <v>51.641561286817726</v>
      </c>
      <c r="W47" s="96">
        <v>71.879720284535182</v>
      </c>
      <c r="DA47" s="171" t="s">
        <v>662</v>
      </c>
    </row>
    <row r="48" spans="1:105" ht="11.45" customHeight="1" x14ac:dyDescent="0.25">
      <c r="A48" s="111" t="s">
        <v>112</v>
      </c>
      <c r="B48" s="96">
        <v>1.5486722583054831</v>
      </c>
      <c r="C48" s="96">
        <v>1.4049661109431477</v>
      </c>
      <c r="D48" s="96">
        <v>1.3986070415620393</v>
      </c>
      <c r="E48" s="96">
        <v>1.4902348707961861</v>
      </c>
      <c r="F48" s="96">
        <v>1.3244114941793006</v>
      </c>
      <c r="G48" s="96">
        <v>1.223766451999722</v>
      </c>
      <c r="H48" s="96">
        <v>1.192896036695954</v>
      </c>
      <c r="I48" s="96">
        <v>1.1040577126989868</v>
      </c>
      <c r="J48" s="96">
        <v>1.0785075409232958</v>
      </c>
      <c r="K48" s="96">
        <v>1.0629538518133044</v>
      </c>
      <c r="L48" s="96">
        <v>0.98973245779019337</v>
      </c>
      <c r="M48" s="96">
        <v>0.83583851320516178</v>
      </c>
      <c r="N48" s="96">
        <v>0.65922345903754576</v>
      </c>
      <c r="O48" s="96">
        <v>0.64453057519561663</v>
      </c>
      <c r="P48" s="96">
        <v>0.65425913506650024</v>
      </c>
      <c r="Q48" s="96">
        <v>0.68396738135610957</v>
      </c>
      <c r="R48" s="96">
        <v>0.63465454112567043</v>
      </c>
      <c r="S48" s="96">
        <v>0.61858863189164792</v>
      </c>
      <c r="T48" s="96">
        <v>0.58905872197707265</v>
      </c>
      <c r="U48" s="96">
        <v>0.62119539867722939</v>
      </c>
      <c r="V48" s="96">
        <v>0.49932741126625918</v>
      </c>
      <c r="W48" s="96">
        <v>0.5102287396794023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3.920002808002347E-3</v>
      </c>
      <c r="P49" s="96">
        <v>1.0289138317347011E-2</v>
      </c>
      <c r="Q49" s="96">
        <v>1.7266030798665278E-2</v>
      </c>
      <c r="R49" s="96">
        <v>2.2376243050038554E-2</v>
      </c>
      <c r="S49" s="96">
        <v>2.5536167172111525E-2</v>
      </c>
      <c r="T49" s="96">
        <v>3.928259676466174E-2</v>
      </c>
      <c r="U49" s="96">
        <v>6.9082141787738541E-2</v>
      </c>
      <c r="V49" s="96">
        <v>6.9634119260147787E-2</v>
      </c>
      <c r="W49" s="96">
        <v>0.1204180348120812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5.305993182113688E-4</v>
      </c>
      <c r="N51" s="96">
        <v>1.6956058131325365E-3</v>
      </c>
      <c r="O51" s="96">
        <v>6.6026674169728048E-3</v>
      </c>
      <c r="P51" s="96">
        <v>9.8097522983775273E-3</v>
      </c>
      <c r="Q51" s="96">
        <v>1.9139959480758195E-2</v>
      </c>
      <c r="R51" s="96">
        <v>2.2574633171866768E-2</v>
      </c>
      <c r="S51" s="96">
        <v>7.4483273710799075E-2</v>
      </c>
      <c r="T51" s="96">
        <v>0.14588623311452406</v>
      </c>
      <c r="U51" s="96">
        <v>0.20045772793454217</v>
      </c>
      <c r="V51" s="96">
        <v>0.24544295962124621</v>
      </c>
      <c r="W51" s="96">
        <v>0.32519915490011542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602.42730392284216</v>
      </c>
      <c r="C52" s="130">
        <f t="shared" si="33"/>
        <v>721.85180511473129</v>
      </c>
      <c r="D52" s="130">
        <f t="shared" si="33"/>
        <v>695.28348499170795</v>
      </c>
      <c r="E52" s="130">
        <f t="shared" si="33"/>
        <v>815.10591528784857</v>
      </c>
      <c r="F52" s="130">
        <f t="shared" si="33"/>
        <v>987.30545698342507</v>
      </c>
      <c r="G52" s="130">
        <f t="shared" si="33"/>
        <v>1016.1495191354581</v>
      </c>
      <c r="H52" s="130">
        <f t="shared" si="33"/>
        <v>1032.8909819742712</v>
      </c>
      <c r="I52" s="130">
        <f t="shared" si="33"/>
        <v>1073.5308618194779</v>
      </c>
      <c r="J52" s="130">
        <f t="shared" si="33"/>
        <v>1051.1077466459753</v>
      </c>
      <c r="K52" s="130">
        <f t="shared" si="33"/>
        <v>956.35709151450453</v>
      </c>
      <c r="L52" s="130">
        <f t="shared" ref="L52" si="34">L53+L55</f>
        <v>978.86100206309425</v>
      </c>
      <c r="M52" s="130">
        <f t="shared" ref="M52:V52" si="35">M53+M55</f>
        <v>934.7161287003288</v>
      </c>
      <c r="N52" s="130">
        <f t="shared" si="35"/>
        <v>831.50053295013856</v>
      </c>
      <c r="O52" s="130">
        <f t="shared" si="35"/>
        <v>790.72227115792907</v>
      </c>
      <c r="P52" s="130">
        <f t="shared" si="35"/>
        <v>730.16083667844737</v>
      </c>
      <c r="Q52" s="130">
        <f t="shared" si="35"/>
        <v>763.51089758055866</v>
      </c>
      <c r="R52" s="130">
        <f t="shared" si="35"/>
        <v>754.51285295138814</v>
      </c>
      <c r="S52" s="130">
        <f t="shared" si="35"/>
        <v>738.40973259205271</v>
      </c>
      <c r="T52" s="130">
        <f t="shared" si="35"/>
        <v>725.01341922848246</v>
      </c>
      <c r="U52" s="130">
        <f t="shared" si="35"/>
        <v>743.43559886571495</v>
      </c>
      <c r="V52" s="130">
        <f t="shared" si="35"/>
        <v>641.59696517228713</v>
      </c>
      <c r="W52" s="130">
        <f t="shared" ref="W52" si="36">W53+W55</f>
        <v>690.39698185117652</v>
      </c>
      <c r="DA52" s="176" t="s">
        <v>400</v>
      </c>
    </row>
    <row r="53" spans="1:105" ht="11.45" customHeight="1" x14ac:dyDescent="0.25">
      <c r="A53" s="128" t="s">
        <v>27</v>
      </c>
      <c r="B53" s="97">
        <v>476.48472432268534</v>
      </c>
      <c r="C53" s="97">
        <v>581.76242542427917</v>
      </c>
      <c r="D53" s="97">
        <v>546.49997304088743</v>
      </c>
      <c r="E53" s="97">
        <v>636.0963146837255</v>
      </c>
      <c r="F53" s="97">
        <v>780.81165929680742</v>
      </c>
      <c r="G53" s="97">
        <v>805.84590344550611</v>
      </c>
      <c r="H53" s="97">
        <v>808.0740217623287</v>
      </c>
      <c r="I53" s="97">
        <v>828.35923517642198</v>
      </c>
      <c r="J53" s="97">
        <v>827.12304231915687</v>
      </c>
      <c r="K53" s="97">
        <v>728.09068914490319</v>
      </c>
      <c r="L53" s="97">
        <v>769.31575982867071</v>
      </c>
      <c r="M53" s="97">
        <v>718.12223317468079</v>
      </c>
      <c r="N53" s="97">
        <v>629.51270742477834</v>
      </c>
      <c r="O53" s="97">
        <v>562.54421059937408</v>
      </c>
      <c r="P53" s="97">
        <v>504.35128867513902</v>
      </c>
      <c r="Q53" s="97">
        <v>570.92128093117867</v>
      </c>
      <c r="R53" s="97">
        <v>543.08134488559369</v>
      </c>
      <c r="S53" s="97">
        <v>535.47597120171292</v>
      </c>
      <c r="T53" s="97">
        <v>517.30768071999455</v>
      </c>
      <c r="U53" s="97">
        <v>523.62804704686755</v>
      </c>
      <c r="V53" s="97">
        <v>450.46338748205898</v>
      </c>
      <c r="W53" s="97">
        <v>471.64896441728172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13.152951092972803</v>
      </c>
      <c r="I54" s="97">
        <v>22.573349049419591</v>
      </c>
      <c r="J54" s="97">
        <v>22.626597126706997</v>
      </c>
      <c r="K54" s="97">
        <v>33.07931563149188</v>
      </c>
      <c r="L54" s="97">
        <v>51.094127785790668</v>
      </c>
      <c r="M54" s="97">
        <v>47.885538704003373</v>
      </c>
      <c r="N54" s="97">
        <v>42.342601077687853</v>
      </c>
      <c r="O54" s="97">
        <v>36.669244668094258</v>
      </c>
      <c r="P54" s="97">
        <v>32.247586577685993</v>
      </c>
      <c r="Q54" s="97">
        <v>41.958311373908749</v>
      </c>
      <c r="R54" s="97">
        <v>30.455946790584832</v>
      </c>
      <c r="S54" s="97">
        <v>29.397873231556325</v>
      </c>
      <c r="T54" s="97">
        <v>30.028736257424775</v>
      </c>
      <c r="U54" s="97">
        <v>30.503376612615732</v>
      </c>
      <c r="V54" s="97">
        <v>27.695409817972521</v>
      </c>
      <c r="W54" s="97">
        <v>36.361554940018664</v>
      </c>
      <c r="DA54" s="175" t="s">
        <v>668</v>
      </c>
    </row>
    <row r="55" spans="1:105" ht="11.45" customHeight="1" x14ac:dyDescent="0.25">
      <c r="A55" s="128" t="s">
        <v>116</v>
      </c>
      <c r="B55" s="97">
        <v>125.94257960015682</v>
      </c>
      <c r="C55" s="97">
        <v>140.08937969045209</v>
      </c>
      <c r="D55" s="97">
        <v>148.78351195082053</v>
      </c>
      <c r="E55" s="97">
        <v>179.00960060412311</v>
      </c>
      <c r="F55" s="97">
        <v>206.4937976866176</v>
      </c>
      <c r="G55" s="97">
        <v>210.30361568995201</v>
      </c>
      <c r="H55" s="97">
        <v>224.81696021194253</v>
      </c>
      <c r="I55" s="97">
        <v>245.17162664305582</v>
      </c>
      <c r="J55" s="97">
        <v>223.9847043268185</v>
      </c>
      <c r="K55" s="97">
        <v>228.26640236960131</v>
      </c>
      <c r="L55" s="97">
        <v>209.54524223442354</v>
      </c>
      <c r="M55" s="97">
        <v>216.59389552564804</v>
      </c>
      <c r="N55" s="97">
        <v>201.98782552536022</v>
      </c>
      <c r="O55" s="97">
        <v>228.17806055855493</v>
      </c>
      <c r="P55" s="97">
        <v>225.80954800330832</v>
      </c>
      <c r="Q55" s="97">
        <v>192.58961664937996</v>
      </c>
      <c r="R55" s="97">
        <v>211.43150806579442</v>
      </c>
      <c r="S55" s="97">
        <v>202.93376139033973</v>
      </c>
      <c r="T55" s="97">
        <v>207.70573850848794</v>
      </c>
      <c r="U55" s="97">
        <v>219.80755181884737</v>
      </c>
      <c r="V55" s="97">
        <v>191.13357769022818</v>
      </c>
      <c r="W55" s="97">
        <v>218.74801743389483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3.6593262534161859</v>
      </c>
      <c r="I56" s="98">
        <v>6.6810925383707325</v>
      </c>
      <c r="J56" s="98">
        <v>6.1272766058329102</v>
      </c>
      <c r="K56" s="98">
        <v>10.370818477183418</v>
      </c>
      <c r="L56" s="98">
        <v>13.916953145499667</v>
      </c>
      <c r="M56" s="98">
        <v>14.442827262697202</v>
      </c>
      <c r="N56" s="98">
        <v>13.586206946889822</v>
      </c>
      <c r="O56" s="98">
        <v>14.873705875664363</v>
      </c>
      <c r="P56" s="98">
        <v>14.437978275882148</v>
      </c>
      <c r="Q56" s="98">
        <v>14.153851630082237</v>
      </c>
      <c r="R56" s="98">
        <v>11.857057547910172</v>
      </c>
      <c r="S56" s="98">
        <v>11.14115536943263</v>
      </c>
      <c r="T56" s="98">
        <v>12.056926802525146</v>
      </c>
      <c r="U56" s="98">
        <v>12.804647446295471</v>
      </c>
      <c r="V56" s="98">
        <v>11.751283036997076</v>
      </c>
      <c r="W56" s="98">
        <v>16.864275454881668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8.340548610831755</v>
      </c>
      <c r="C60" s="79">
        <f>IF(C17=0,0,C17/TrRoad_act!C30*100)</f>
        <v>8.3215891591733051</v>
      </c>
      <c r="D60" s="79">
        <f>IF(D17=0,0,D17/TrRoad_act!D30*100)</f>
        <v>8.0583136885983055</v>
      </c>
      <c r="E60" s="79">
        <f>IF(E17=0,0,E17/TrRoad_act!E30*100)</f>
        <v>8.310942043133398</v>
      </c>
      <c r="F60" s="79">
        <f>IF(F17=0,0,F17/TrRoad_act!F30*100)</f>
        <v>8.3636915263056117</v>
      </c>
      <c r="G60" s="79">
        <f>IF(G17=0,0,G17/TrRoad_act!G30*100)</f>
        <v>7.9576622826017092</v>
      </c>
      <c r="H60" s="79">
        <f>IF(H17=0,0,H17/TrRoad_act!H30*100)</f>
        <v>7.8733633269177021</v>
      </c>
      <c r="I60" s="79">
        <f>IF(I17=0,0,I17/TrRoad_act!I30*100)</f>
        <v>7.8616980842463517</v>
      </c>
      <c r="J60" s="79">
        <f>IF(J17=0,0,J17/TrRoad_act!J30*100)</f>
        <v>7.7752687126699058</v>
      </c>
      <c r="K60" s="79">
        <f>IF(K17=0,0,K17/TrRoad_act!K30*100)</f>
        <v>7.5718176290084536</v>
      </c>
      <c r="L60" s="79">
        <f>IF(L17=0,0,L17/TrRoad_act!L30*100)</f>
        <v>7.4802153814852819</v>
      </c>
      <c r="M60" s="79">
        <f>IF(M17=0,0,M17/TrRoad_act!M30*100)</f>
        <v>7.2417568772726426</v>
      </c>
      <c r="N60" s="79">
        <f>IF(N17=0,0,N17/TrRoad_act!N30*100)</f>
        <v>7.2780222508345265</v>
      </c>
      <c r="O60" s="79">
        <f>IF(O17=0,0,O17/TrRoad_act!O30*100)</f>
        <v>7.1708775656490822</v>
      </c>
      <c r="P60" s="79">
        <f>IF(P17=0,0,P17/TrRoad_act!P30*100)</f>
        <v>6.9544294575646193</v>
      </c>
      <c r="Q60" s="79">
        <f>IF(Q17=0,0,Q17/TrRoad_act!Q30*100)</f>
        <v>7.0492051569416958</v>
      </c>
      <c r="R60" s="79">
        <f>IF(R17=0,0,R17/TrRoad_act!R30*100)</f>
        <v>6.9523216791823019</v>
      </c>
      <c r="S60" s="79">
        <f>IF(S17=0,0,S17/TrRoad_act!S30*100)</f>
        <v>6.8138299674270444</v>
      </c>
      <c r="T60" s="79">
        <f>IF(T17=0,0,T17/TrRoad_act!T30*100)</f>
        <v>6.7787839905328937</v>
      </c>
      <c r="U60" s="79">
        <f>IF(U17=0,0,U17/TrRoad_act!U30*100)</f>
        <v>6.8070367227270809</v>
      </c>
      <c r="V60" s="79">
        <f>IF(V17=0,0,V17/TrRoad_act!V30*100)</f>
        <v>6.6196821219029607</v>
      </c>
      <c r="W60" s="79">
        <f>IF(W17=0,0,W17/TrRoad_act!W30*100)</f>
        <v>6.7806007404296658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6.4935814575246251</v>
      </c>
      <c r="C61" s="32">
        <f>IF(C18=0,0,C18/TrRoad_act!C31*100)</f>
        <v>6.4625411845383587</v>
      </c>
      <c r="D61" s="32">
        <f>IF(D18=0,0,D18/TrRoad_act!D31*100)</f>
        <v>6.317715759507049</v>
      </c>
      <c r="E61" s="32">
        <f>IF(E18=0,0,E18/TrRoad_act!E31*100)</f>
        <v>6.5273560007882052</v>
      </c>
      <c r="F61" s="32">
        <f>IF(F18=0,0,F18/TrRoad_act!F31*100)</f>
        <v>6.5053218565834623</v>
      </c>
      <c r="G61" s="32">
        <f>IF(G18=0,0,G18/TrRoad_act!G31*100)</f>
        <v>6.0812241980763737</v>
      </c>
      <c r="H61" s="32">
        <f>IF(H18=0,0,H18/TrRoad_act!H31*100)</f>
        <v>6.0362163413814542</v>
      </c>
      <c r="I61" s="32">
        <f>IF(I18=0,0,I18/TrRoad_act!I31*100)</f>
        <v>6.0494234398109459</v>
      </c>
      <c r="J61" s="32">
        <f>IF(J18=0,0,J18/TrRoad_act!J31*100)</f>
        <v>6.043789708500551</v>
      </c>
      <c r="K61" s="32">
        <f>IF(K18=0,0,K18/TrRoad_act!K31*100)</f>
        <v>5.9893120677688385</v>
      </c>
      <c r="L61" s="32">
        <f>IF(L18=0,0,L18/TrRoad_act!L31*100)</f>
        <v>5.9274041368697743</v>
      </c>
      <c r="M61" s="32">
        <f>IF(M18=0,0,M18/TrRoad_act!M31*100)</f>
        <v>5.7255829167361956</v>
      </c>
      <c r="N61" s="32">
        <f>IF(N18=0,0,N18/TrRoad_act!N31*100)</f>
        <v>5.8550203698989183</v>
      </c>
      <c r="O61" s="32">
        <f>IF(O18=0,0,O18/TrRoad_act!O31*100)</f>
        <v>5.8118864571100799</v>
      </c>
      <c r="P61" s="32">
        <f>IF(P18=0,0,P18/TrRoad_act!P31*100)</f>
        <v>5.7112387998905314</v>
      </c>
      <c r="Q61" s="32">
        <f>IF(Q18=0,0,Q18/TrRoad_act!Q31*100)</f>
        <v>5.8088188474277036</v>
      </c>
      <c r="R61" s="32">
        <f>IF(R18=0,0,R18/TrRoad_act!R31*100)</f>
        <v>5.7594497432310234</v>
      </c>
      <c r="S61" s="32">
        <f>IF(S18=0,0,S18/TrRoad_act!S31*100)</f>
        <v>5.6795392350589164</v>
      </c>
      <c r="T61" s="32">
        <f>IF(T18=0,0,T18/TrRoad_act!T31*100)</f>
        <v>5.6909513887649039</v>
      </c>
      <c r="U61" s="32">
        <f>IF(U18=0,0,U18/TrRoad_act!U31*100)</f>
        <v>5.7439661326146672</v>
      </c>
      <c r="V61" s="32">
        <f>IF(V18=0,0,V18/TrRoad_act!V31*100)</f>
        <v>5.543206708003547</v>
      </c>
      <c r="W61" s="32">
        <f>IF(W18=0,0,W18/TrRoad_act!W31*100)</f>
        <v>5.7173114377223255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4.2526825406013682</v>
      </c>
      <c r="C62" s="141">
        <f>IF(C19=0,0,C19/TrRoad_act!C32*100)</f>
        <v>4.004531715527146</v>
      </c>
      <c r="D62" s="141">
        <f>IF(D19=0,0,D19/TrRoad_act!D32*100)</f>
        <v>3.9859096413194393</v>
      </c>
      <c r="E62" s="141">
        <f>IF(E19=0,0,E19/TrRoad_act!E32*100)</f>
        <v>3.9386936123321279</v>
      </c>
      <c r="F62" s="141">
        <f>IF(F19=0,0,F19/TrRoad_act!F32*100)</f>
        <v>3.9080231915339305</v>
      </c>
      <c r="G62" s="141">
        <f>IF(G19=0,0,G19/TrRoad_act!G32*100)</f>
        <v>3.877273262670005</v>
      </c>
      <c r="H62" s="141">
        <f>IF(H19=0,0,H19/TrRoad_act!H32*100)</f>
        <v>3.84060198742822</v>
      </c>
      <c r="I62" s="141">
        <f>IF(I19=0,0,I19/TrRoad_act!I32*100)</f>
        <v>3.8039363098393877</v>
      </c>
      <c r="J62" s="141">
        <f>IF(J19=0,0,J19/TrRoad_act!J32*100)</f>
        <v>3.7781407133904059</v>
      </c>
      <c r="K62" s="141">
        <f>IF(K19=0,0,K19/TrRoad_act!K32*100)</f>
        <v>3.7393115041619454</v>
      </c>
      <c r="L62" s="141">
        <f>IF(L19=0,0,L19/TrRoad_act!L32*100)</f>
        <v>3.6544719292843419</v>
      </c>
      <c r="M62" s="141">
        <f>IF(M19=0,0,M19/TrRoad_act!M32*100)</f>
        <v>3.5873645337149465</v>
      </c>
      <c r="N62" s="141">
        <f>IF(N19=0,0,N19/TrRoad_act!N32*100)</f>
        <v>3.5270189128928751</v>
      </c>
      <c r="O62" s="141">
        <f>IF(O19=0,0,O19/TrRoad_act!O32*100)</f>
        <v>3.4754554889037643</v>
      </c>
      <c r="P62" s="141">
        <f>IF(P19=0,0,P19/TrRoad_act!P32*100)</f>
        <v>3.4154454763240341</v>
      </c>
      <c r="Q62" s="141">
        <f>IF(Q19=0,0,Q19/TrRoad_act!Q32*100)</f>
        <v>3.3915496899753665</v>
      </c>
      <c r="R62" s="141">
        <f>IF(R19=0,0,R19/TrRoad_act!R32*100)</f>
        <v>3.4292883341006117</v>
      </c>
      <c r="S62" s="141">
        <f>IF(S19=0,0,S19/TrRoad_act!S32*100)</f>
        <v>3.4544067245443921</v>
      </c>
      <c r="T62" s="141">
        <f>IF(T19=0,0,T19/TrRoad_act!T32*100)</f>
        <v>3.4098961524421911</v>
      </c>
      <c r="U62" s="141">
        <f>IF(U19=0,0,U19/TrRoad_act!U32*100)</f>
        <v>3.3901394051913232</v>
      </c>
      <c r="V62" s="141">
        <f>IF(V19=0,0,V19/TrRoad_act!V32*100)</f>
        <v>3.2931685796844676</v>
      </c>
      <c r="W62" s="141">
        <f>IF(W19=0,0,W19/TrRoad_act!W32*100)</f>
        <v>3.0188821364370746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5.968882782628274</v>
      </c>
      <c r="C63" s="130">
        <f>IF(C21=0,0,C21/TrRoad_act!C33*100)</f>
        <v>5.9544629360632539</v>
      </c>
      <c r="D63" s="130">
        <f>IF(D21=0,0,D21/TrRoad_act!D33*100)</f>
        <v>5.8493900968964612</v>
      </c>
      <c r="E63" s="130">
        <f>IF(E21=0,0,E21/TrRoad_act!E33*100)</f>
        <v>6.098962764543943</v>
      </c>
      <c r="F63" s="130">
        <f>IF(F21=0,0,F21/TrRoad_act!F33*100)</f>
        <v>6.1069120984201284</v>
      </c>
      <c r="G63" s="130">
        <f>IF(G21=0,0,G21/TrRoad_act!G33*100)</f>
        <v>5.8548502556770003</v>
      </c>
      <c r="H63" s="130">
        <f>IF(H21=0,0,H21/TrRoad_act!H33*100)</f>
        <v>5.8158403777632435</v>
      </c>
      <c r="I63" s="130">
        <f>IF(I21=0,0,I21/TrRoad_act!I33*100)</f>
        <v>5.820887681428176</v>
      </c>
      <c r="J63" s="130">
        <f>IF(J21=0,0,J21/TrRoad_act!J33*100)</f>
        <v>5.8099588184223814</v>
      </c>
      <c r="K63" s="130">
        <f>IF(K21=0,0,K21/TrRoad_act!K33*100)</f>
        <v>5.749880591568596</v>
      </c>
      <c r="L63" s="130">
        <f>IF(L21=0,0,L21/TrRoad_act!L33*100)</f>
        <v>5.6826349777177274</v>
      </c>
      <c r="M63" s="130">
        <f>IF(M21=0,0,M21/TrRoad_act!M33*100)</f>
        <v>5.4690194359251576</v>
      </c>
      <c r="N63" s="130">
        <f>IF(N21=0,0,N21/TrRoad_act!N33*100)</f>
        <v>5.6499383948430966</v>
      </c>
      <c r="O63" s="130">
        <f>IF(O21=0,0,O21/TrRoad_act!O33*100)</f>
        <v>5.617369109267857</v>
      </c>
      <c r="P63" s="130">
        <f>IF(P21=0,0,P21/TrRoad_act!P33*100)</f>
        <v>5.46547593301222</v>
      </c>
      <c r="Q63" s="130">
        <f>IF(Q21=0,0,Q21/TrRoad_act!Q33*100)</f>
        <v>5.558553412059589</v>
      </c>
      <c r="R63" s="130">
        <f>IF(R21=0,0,R21/TrRoad_act!R33*100)</f>
        <v>5.5010890192315545</v>
      </c>
      <c r="S63" s="130">
        <f>IF(S21=0,0,S21/TrRoad_act!S33*100)</f>
        <v>5.4118010301897881</v>
      </c>
      <c r="T63" s="130">
        <f>IF(T21=0,0,T21/TrRoad_act!T33*100)</f>
        <v>5.4059138772601028</v>
      </c>
      <c r="U63" s="130">
        <f>IF(U21=0,0,U21/TrRoad_act!U33*100)</f>
        <v>5.4937826088039623</v>
      </c>
      <c r="V63" s="130">
        <f>IF(V21=0,0,V21/TrRoad_act!V33*100)</f>
        <v>5.3272265735671978</v>
      </c>
      <c r="W63" s="130">
        <f>IF(W21=0,0,W21/TrRoad_act!W33*100)</f>
        <v>5.4599656484186525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6.8891902935557354</v>
      </c>
      <c r="C64" s="96">
        <f>IF(C22=0,0,C22/TrRoad_act!C34*100)</f>
        <v>6.7536927452482711</v>
      </c>
      <c r="D64" s="96">
        <f>IF(D22=0,0,D22/TrRoad_act!D34*100)</f>
        <v>6.6775157796019089</v>
      </c>
      <c r="E64" s="96">
        <f>IF(E22=0,0,E22/TrRoad_act!E34*100)</f>
        <v>6.6498120828835647</v>
      </c>
      <c r="F64" s="96">
        <f>IF(F22=0,0,F22/TrRoad_act!F34*100)</f>
        <v>6.6340167671738355</v>
      </c>
      <c r="G64" s="96">
        <f>IF(G22=0,0,G22/TrRoad_act!G34*100)</f>
        <v>6.6068279998948185</v>
      </c>
      <c r="H64" s="96">
        <f>IF(H22=0,0,H22/TrRoad_act!H34*100)</f>
        <v>6.5849170721779551</v>
      </c>
      <c r="I64" s="96">
        <f>IF(I22=0,0,I22/TrRoad_act!I34*100)</f>
        <v>6.5587367794589468</v>
      </c>
      <c r="J64" s="96">
        <f>IF(J22=0,0,J22/TrRoad_act!J34*100)</f>
        <v>6.5237217159482244</v>
      </c>
      <c r="K64" s="96">
        <f>IF(K22=0,0,K22/TrRoad_act!K34*100)</f>
        <v>6.5107059442277526</v>
      </c>
      <c r="L64" s="96">
        <f>IF(L22=0,0,L22/TrRoad_act!L34*100)</f>
        <v>6.408058128837979</v>
      </c>
      <c r="M64" s="96">
        <f>IF(M22=0,0,M22/TrRoad_act!M34*100)</f>
        <v>6.3662672524084698</v>
      </c>
      <c r="N64" s="96">
        <f>IF(N22=0,0,N22/TrRoad_act!N34*100)</f>
        <v>6.2537370024223051</v>
      </c>
      <c r="O64" s="96">
        <f>IF(O22=0,0,O22/TrRoad_act!O34*100)</f>
        <v>6.2441180031457302</v>
      </c>
      <c r="P64" s="96">
        <f>IF(P22=0,0,P22/TrRoad_act!P34*100)</f>
        <v>6.2154357464062855</v>
      </c>
      <c r="Q64" s="96">
        <f>IF(Q22=0,0,Q22/TrRoad_act!Q34*100)</f>
        <v>6.1461232456553372</v>
      </c>
      <c r="R64" s="96">
        <f>IF(R22=0,0,R22/TrRoad_act!R34*100)</f>
        <v>6.1645821915950823</v>
      </c>
      <c r="S64" s="96">
        <f>IF(S22=0,0,S22/TrRoad_act!S34*100)</f>
        <v>6.08979997079493</v>
      </c>
      <c r="T64" s="96">
        <f>IF(T22=0,0,T22/TrRoad_act!T34*100)</f>
        <v>6.1214342195017215</v>
      </c>
      <c r="U64" s="96">
        <f>IF(U22=0,0,U22/TrRoad_act!U34*100)</f>
        <v>6.1241949297820417</v>
      </c>
      <c r="V64" s="96">
        <f>IF(V22=0,0,V22/TrRoad_act!V34*100)</f>
        <v>6.073329593476652</v>
      </c>
      <c r="W64" s="96">
        <f>IF(W22=0,0,W22/TrRoad_act!W34*100)</f>
        <v>6.0713973259834342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4.2683275317570217</v>
      </c>
      <c r="C65" s="96">
        <f>IF(C24=0,0,C24/TrRoad_act!C35*100)</f>
        <v>4.6615476271213279</v>
      </c>
      <c r="D65" s="96">
        <f>IF(D24=0,0,D24/TrRoad_act!D35*100)</f>
        <v>4.6288905200296728</v>
      </c>
      <c r="E65" s="96">
        <f>IF(E24=0,0,E24/TrRoad_act!E35*100)</f>
        <v>5.4074280148198097</v>
      </c>
      <c r="F65" s="96">
        <f>IF(F24=0,0,F24/TrRoad_act!F35*100)</f>
        <v>5.5406063765251652</v>
      </c>
      <c r="G65" s="96">
        <f>IF(G24=0,0,G24/TrRoad_act!G35*100)</f>
        <v>5.1629916439911563</v>
      </c>
      <c r="H65" s="96">
        <f>IF(H24=0,0,H24/TrRoad_act!H35*100)</f>
        <v>5.2116978261149374</v>
      </c>
      <c r="I65" s="96">
        <f>IF(I24=0,0,I24/TrRoad_act!I35*100)</f>
        <v>5.2980208195253935</v>
      </c>
      <c r="J65" s="96">
        <f>IF(J24=0,0,J24/TrRoad_act!J35*100)</f>
        <v>5.3688576729274358</v>
      </c>
      <c r="K65" s="96">
        <f>IF(K24=0,0,K24/TrRoad_act!K35*100)</f>
        <v>5.3160683019698673</v>
      </c>
      <c r="L65" s="96">
        <f>IF(L24=0,0,L24/TrRoad_act!L35*100)</f>
        <v>5.3046213056277676</v>
      </c>
      <c r="M65" s="96">
        <f>IF(M24=0,0,M24/TrRoad_act!M35*100)</f>
        <v>5.0506956684199089</v>
      </c>
      <c r="N65" s="96">
        <f>IF(N24=0,0,N24/TrRoad_act!N35*100)</f>
        <v>5.3688107169531225</v>
      </c>
      <c r="O65" s="96">
        <f>IF(O24=0,0,O24/TrRoad_act!O35*100)</f>
        <v>5.3358125336511941</v>
      </c>
      <c r="P65" s="96">
        <f>IF(P24=0,0,P24/TrRoad_act!P35*100)</f>
        <v>5.1506988988420321</v>
      </c>
      <c r="Q65" s="96">
        <f>IF(Q24=0,0,Q24/TrRoad_act!Q35*100)</f>
        <v>5.3128156956994799</v>
      </c>
      <c r="R65" s="96">
        <f>IF(R24=0,0,R24/TrRoad_act!R35*100)</f>
        <v>5.2440027552476582</v>
      </c>
      <c r="S65" s="96">
        <f>IF(S24=0,0,S24/TrRoad_act!S35*100)</f>
        <v>5.1737765456595692</v>
      </c>
      <c r="T65" s="96">
        <f>IF(T24=0,0,T24/TrRoad_act!T35*100)</f>
        <v>5.1778306773696343</v>
      </c>
      <c r="U65" s="96">
        <f>IF(U24=0,0,U24/TrRoad_act!U35*100)</f>
        <v>5.3079779285464941</v>
      </c>
      <c r="V65" s="96">
        <f>IF(V24=0,0,V24/TrRoad_act!V35*100)</f>
        <v>5.1320189157885032</v>
      </c>
      <c r="W65" s="96">
        <f>IF(W24=0,0,W24/TrRoad_act!W35*100)</f>
        <v>5.3271657240557015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7.2550307002477918</v>
      </c>
      <c r="C66" s="96">
        <f>IF(C26=0,0,C26/TrRoad_act!C36*100)</f>
        <v>7.7786273620775015</v>
      </c>
      <c r="D66" s="96">
        <f>IF(D26=0,0,D26/TrRoad_act!D36*100)</f>
        <v>7.9835548570236297</v>
      </c>
      <c r="E66" s="96">
        <f>IF(E26=0,0,E26/TrRoad_act!E36*100)</f>
        <v>6.9694338940575165</v>
      </c>
      <c r="F66" s="96">
        <f>IF(F26=0,0,F26/TrRoad_act!F36*100)</f>
        <v>6.8228571107583162</v>
      </c>
      <c r="G66" s="96">
        <f>IF(G26=0,0,G26/TrRoad_act!G36*100)</f>
        <v>7.1849516292320752</v>
      </c>
      <c r="H66" s="96">
        <f>IF(H26=0,0,H26/TrRoad_act!H36*100)</f>
        <v>8.0239308135771701</v>
      </c>
      <c r="I66" s="96">
        <f>IF(I26=0,0,I26/TrRoad_act!I36*100)</f>
        <v>8.7348092691006887</v>
      </c>
      <c r="J66" s="96">
        <f>IF(J26=0,0,J26/TrRoad_act!J36*100)</f>
        <v>7.3617386169764156</v>
      </c>
      <c r="K66" s="96">
        <f>IF(K26=0,0,K26/TrRoad_act!K36*100)</f>
        <v>6.1874645404356698</v>
      </c>
      <c r="L66" s="96">
        <f>IF(L26=0,0,L26/TrRoad_act!L36*100)</f>
        <v>6.1404183469447879</v>
      </c>
      <c r="M66" s="96">
        <f>IF(M26=0,0,M26/TrRoad_act!M36*100)</f>
        <v>6.0135001774439187</v>
      </c>
      <c r="N66" s="96">
        <f>IF(N26=0,0,N26/TrRoad_act!N36*100)</f>
        <v>6.0416814954966735</v>
      </c>
      <c r="O66" s="96">
        <f>IF(O26=0,0,O26/TrRoad_act!O36*100)</f>
        <v>6.1465931289113547</v>
      </c>
      <c r="P66" s="96">
        <f>IF(P26=0,0,P26/TrRoad_act!P36*100)</f>
        <v>5.7657201765318291</v>
      </c>
      <c r="Q66" s="96">
        <f>IF(Q26=0,0,Q26/TrRoad_act!Q36*100)</f>
        <v>5.9605054952699046</v>
      </c>
      <c r="R66" s="96">
        <f>IF(R26=0,0,R26/TrRoad_act!R36*100)</f>
        <v>5.9609724699026545</v>
      </c>
      <c r="S66" s="96">
        <f>IF(S26=0,0,S26/TrRoad_act!S36*100)</f>
        <v>5.6551496981466176</v>
      </c>
      <c r="T66" s="96">
        <f>IF(T26=0,0,T26/TrRoad_act!T36*100)</f>
        <v>5.3039197619462097</v>
      </c>
      <c r="U66" s="96">
        <f>IF(U26=0,0,U26/TrRoad_act!U36*100)</f>
        <v>5.3350384969117046</v>
      </c>
      <c r="V66" s="96">
        <f>IF(V26=0,0,V26/TrRoad_act!V36*100)</f>
        <v>4.7494905167120525</v>
      </c>
      <c r="W66" s="96">
        <f>IF(W26=0,0,W26/TrRoad_act!W36*100)</f>
        <v>4.5689660115298345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7.9540246746792178</v>
      </c>
      <c r="M67" s="96">
        <f>IF(M27=0,0,M27/TrRoad_act!M37*100)</f>
        <v>7.9540246746792178</v>
      </c>
      <c r="N67" s="96">
        <f>IF(N27=0,0,N27/TrRoad_act!N37*100)</f>
        <v>6.5264831616344141</v>
      </c>
      <c r="O67" s="96">
        <f>IF(O27=0,0,O27/TrRoad_act!O37*100)</f>
        <v>6.1106052297575086</v>
      </c>
      <c r="P67" s="96">
        <f>IF(P27=0,0,P27/TrRoad_act!P37*100)</f>
        <v>5.8823252904162544</v>
      </c>
      <c r="Q67" s="96">
        <f>IF(Q27=0,0,Q27/TrRoad_act!Q37*100)</f>
        <v>5.566663420247437</v>
      </c>
      <c r="R67" s="96">
        <f>IF(R27=0,0,R27/TrRoad_act!R37*100)</f>
        <v>5.3568389963589933</v>
      </c>
      <c r="S67" s="96">
        <f>IF(S27=0,0,S27/TrRoad_act!S37*100)</f>
        <v>5.2494302310960554</v>
      </c>
      <c r="T67" s="96">
        <f>IF(T27=0,0,T27/TrRoad_act!T37*100)</f>
        <v>5.3669077920382033</v>
      </c>
      <c r="U67" s="96">
        <f>IF(U27=0,0,U27/TrRoad_act!U37*100)</f>
        <v>5.2721762332545534</v>
      </c>
      <c r="V67" s="96">
        <f>IF(V27=0,0,V27/TrRoad_act!V37*100)</f>
        <v>5.2248143274502974</v>
      </c>
      <c r="W67" s="96">
        <f>IF(W27=0,0,W27/TrRoad_act!W37*100)</f>
        <v>5.1607880214511672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3.3005281905334187</v>
      </c>
      <c r="N68" s="96">
        <f>IF(N29=0,0,N29/TrRoad_act!N38*100)</f>
        <v>2.8930289657017991</v>
      </c>
      <c r="O68" s="96">
        <f>IF(O29=0,0,O29/TrRoad_act!O38*100)</f>
        <v>2.9811033324137295</v>
      </c>
      <c r="P68" s="96">
        <f>IF(P29=0,0,P29/TrRoad_act!P38*100)</f>
        <v>3.0986172259979154</v>
      </c>
      <c r="Q68" s="96">
        <f>IF(Q29=0,0,Q29/TrRoad_act!Q38*100)</f>
        <v>3.2213438361212154</v>
      </c>
      <c r="R68" s="96">
        <f>IF(R29=0,0,R29/TrRoad_act!R38*100)</f>
        <v>3.2812782850125357</v>
      </c>
      <c r="S68" s="96">
        <f>IF(S29=0,0,S29/TrRoad_act!S38*100)</f>
        <v>3.3301021266944044</v>
      </c>
      <c r="T68" s="96">
        <f>IF(T29=0,0,T29/TrRoad_act!T38*100)</f>
        <v>3.4660812993496299</v>
      </c>
      <c r="U68" s="96">
        <f>IF(U29=0,0,U29/TrRoad_act!U38*100)</f>
        <v>3.4470318482853699</v>
      </c>
      <c r="V68" s="96">
        <f>IF(V29=0,0,V29/TrRoad_act!V38*100)</f>
        <v>3.3964601133367105</v>
      </c>
      <c r="W68" s="96">
        <f>IF(W29=0,0,W29/TrRoad_act!W38*100)</f>
        <v>3.272284875173991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1.2812151420517373</v>
      </c>
      <c r="K69" s="96">
        <f>IF(K32=0,0,K32/TrRoad_act!K39*100)</f>
        <v>1.2812893627829747</v>
      </c>
      <c r="L69" s="96">
        <f>IF(L32=0,0,L32/TrRoad_act!L39*100)</f>
        <v>1.270660170064158</v>
      </c>
      <c r="M69" s="96">
        <f>IF(M32=0,0,M32/TrRoad_act!M39*100)</f>
        <v>1.2748751053956204</v>
      </c>
      <c r="N69" s="96">
        <f>IF(N32=0,0,N32/TrRoad_act!N39*100)</f>
        <v>1.2764320333237997</v>
      </c>
      <c r="O69" s="96">
        <f>IF(O32=0,0,O32/TrRoad_act!O39*100)</f>
        <v>1.2945339195945633</v>
      </c>
      <c r="P69" s="96">
        <f>IF(P32=0,0,P32/TrRoad_act!P39*100)</f>
        <v>1.3076672479101337</v>
      </c>
      <c r="Q69" s="96">
        <f>IF(Q32=0,0,Q32/TrRoad_act!Q39*100)</f>
        <v>1.3117236692299057</v>
      </c>
      <c r="R69" s="96">
        <f>IF(R32=0,0,R32/TrRoad_act!R39*100)</f>
        <v>1.3339865169508547</v>
      </c>
      <c r="S69" s="96">
        <f>IF(S32=0,0,S32/TrRoad_act!S39*100)</f>
        <v>1.3401638291318609</v>
      </c>
      <c r="T69" s="96">
        <f>IF(T32=0,0,T32/TrRoad_act!T39*100)</f>
        <v>1.5057129187234775</v>
      </c>
      <c r="U69" s="96">
        <f>IF(U32=0,0,U32/TrRoad_act!U39*100)</f>
        <v>1.5989132491981115</v>
      </c>
      <c r="V69" s="96">
        <f>IF(V32=0,0,V32/TrRoad_act!V39*100)</f>
        <v>1.62156832950625</v>
      </c>
      <c r="W69" s="96">
        <f>IF(W32=0,0,W32/TrRoad_act!W39*100)</f>
        <v>1.623621641740185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62.697943452202729</v>
      </c>
      <c r="C70" s="130">
        <f>IF(C33=0,0,C33/TrRoad_act!C40*100)</f>
        <v>60.792462309766307</v>
      </c>
      <c r="D70" s="130">
        <f>IF(D33=0,0,D33/TrRoad_act!D40*100)</f>
        <v>60.220771199862085</v>
      </c>
      <c r="E70" s="130">
        <f>IF(E33=0,0,E33/TrRoad_act!E40*100)</f>
        <v>59.565447660836391</v>
      </c>
      <c r="F70" s="130">
        <f>IF(F33=0,0,F33/TrRoad_act!F40*100)</f>
        <v>59.012600973936543</v>
      </c>
      <c r="G70" s="130">
        <f>IF(G33=0,0,G33/TrRoad_act!G40*100)</f>
        <v>57.170594043981552</v>
      </c>
      <c r="H70" s="130">
        <f>IF(H33=0,0,H33/TrRoad_act!H40*100)</f>
        <v>56.898276786211213</v>
      </c>
      <c r="I70" s="130">
        <f>IF(I33=0,0,I33/TrRoad_act!I40*100)</f>
        <v>56.565297103566351</v>
      </c>
      <c r="J70" s="130">
        <f>IF(J33=0,0,J33/TrRoad_act!J40*100)</f>
        <v>56.258205056782693</v>
      </c>
      <c r="K70" s="130">
        <f>IF(K33=0,0,K33/TrRoad_act!K40*100)</f>
        <v>55.891373181521409</v>
      </c>
      <c r="L70" s="130">
        <f>IF(L33=0,0,L33/TrRoad_act!L40*100)</f>
        <v>55.495042008471586</v>
      </c>
      <c r="M70" s="130">
        <f>IF(M33=0,0,M33/TrRoad_act!M40*100)</f>
        <v>55.284982343912013</v>
      </c>
      <c r="N70" s="130">
        <f>IF(N33=0,0,N33/TrRoad_act!N40*100)</f>
        <v>54.00793876674571</v>
      </c>
      <c r="O70" s="130">
        <f>IF(O33=0,0,O33/TrRoad_act!O40*100)</f>
        <v>54.310574110316956</v>
      </c>
      <c r="P70" s="130">
        <f>IF(P33=0,0,P33/TrRoad_act!P40*100)</f>
        <v>54.771222895736074</v>
      </c>
      <c r="Q70" s="130">
        <f>IF(Q33=0,0,Q33/TrRoad_act!Q40*100)</f>
        <v>55.50339700484539</v>
      </c>
      <c r="R70" s="130">
        <f>IF(R33=0,0,R33/TrRoad_act!R40*100)</f>
        <v>55.439666546237845</v>
      </c>
      <c r="S70" s="130">
        <f>IF(S33=0,0,S33/TrRoad_act!S40*100)</f>
        <v>55.801878670606605</v>
      </c>
      <c r="T70" s="130">
        <f>IF(T33=0,0,T33/TrRoad_act!T40*100)</f>
        <v>55.364099634790222</v>
      </c>
      <c r="U70" s="130">
        <f>IF(U33=0,0,U33/TrRoad_act!U40*100)</f>
        <v>57.24778201351851</v>
      </c>
      <c r="V70" s="130">
        <f>IF(V33=0,0,V33/TrRoad_act!V40*100)</f>
        <v>58.532951152343415</v>
      </c>
      <c r="W70" s="130">
        <f>IF(W33=0,0,W33/TrRoad_act!W40*100)</f>
        <v>56.963236753099267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13.498980064729176</v>
      </c>
      <c r="M71" s="97">
        <f>IF(M34=0,0,M34/TrRoad_act!M41*100)</f>
        <v>13.49898006472918</v>
      </c>
      <c r="N71" s="97">
        <f>IF(N34=0,0,N34/TrRoad_act!N41*100)</f>
        <v>13.498980064729176</v>
      </c>
      <c r="O71" s="97">
        <f>IF(O34=0,0,O34/TrRoad_act!O41*100)</f>
        <v>13.382521677226952</v>
      </c>
      <c r="P71" s="97">
        <f>IF(P34=0,0,P34/TrRoad_act!P41*100)</f>
        <v>13.382521677226952</v>
      </c>
      <c r="Q71" s="97">
        <f>IF(Q34=0,0,Q34/TrRoad_act!Q41*100)</f>
        <v>13.259622260014501</v>
      </c>
      <c r="R71" s="97">
        <f>IF(R34=0,0,R34/TrRoad_act!R41*100)</f>
        <v>13.150013149583756</v>
      </c>
      <c r="S71" s="97">
        <f>IF(S34=0,0,S34/TrRoad_act!S41*100)</f>
        <v>13.109272186220821</v>
      </c>
      <c r="T71" s="97">
        <f>IF(T34=0,0,T34/TrRoad_act!T41*100)</f>
        <v>13.109272186220821</v>
      </c>
      <c r="U71" s="97">
        <f>IF(U34=0,0,U34/TrRoad_act!U41*100)</f>
        <v>12.959021382566174</v>
      </c>
      <c r="V71" s="97">
        <f>IF(V34=0,0,V34/TrRoad_act!V41*100)</f>
        <v>12.898744093755537</v>
      </c>
      <c r="W71" s="97">
        <f>IF(W34=0,0,W34/TrRoad_act!W41*100)</f>
        <v>12.898744093755537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62.692372234806072</v>
      </c>
      <c r="C72" s="97">
        <f>IF(C36=0,0,C36/TrRoad_act!C42*100)</f>
        <v>60.844392635945745</v>
      </c>
      <c r="D72" s="97">
        <f>IF(D36=0,0,D36/TrRoad_act!D42*100)</f>
        <v>60.283751469481693</v>
      </c>
      <c r="E72" s="97">
        <f>IF(E36=0,0,E36/TrRoad_act!E42*100)</f>
        <v>59.708082634542869</v>
      </c>
      <c r="F72" s="97">
        <f>IF(F36=0,0,F36/TrRoad_act!F42*100)</f>
        <v>59.141647965178244</v>
      </c>
      <c r="G72" s="97">
        <f>IF(G36=0,0,G36/TrRoad_act!G42*100)</f>
        <v>57.300075487789812</v>
      </c>
      <c r="H72" s="97">
        <f>IF(H36=0,0,H36/TrRoad_act!H42*100)</f>
        <v>56.989987897441239</v>
      </c>
      <c r="I72" s="97">
        <f>IF(I36=0,0,I36/TrRoad_act!I42*100)</f>
        <v>56.633740054065449</v>
      </c>
      <c r="J72" s="97">
        <f>IF(J36=0,0,J36/TrRoad_act!J42*100)</f>
        <v>56.389585394251441</v>
      </c>
      <c r="K72" s="97">
        <f>IF(K36=0,0,K36/TrRoad_act!K42*100)</f>
        <v>56.180208856783395</v>
      </c>
      <c r="L72" s="97">
        <f>IF(L36=0,0,L36/TrRoad_act!L42*100)</f>
        <v>55.81273393841338</v>
      </c>
      <c r="M72" s="97">
        <f>IF(M36=0,0,M36/TrRoad_act!M42*100)</f>
        <v>55.622062262763372</v>
      </c>
      <c r="N72" s="97">
        <f>IF(N36=0,0,N36/TrRoad_act!N42*100)</f>
        <v>54.524593583564275</v>
      </c>
      <c r="O72" s="97">
        <f>IF(O36=0,0,O36/TrRoad_act!O42*100)</f>
        <v>54.358134625273124</v>
      </c>
      <c r="P72" s="97">
        <f>IF(P36=0,0,P36/TrRoad_act!P42*100)</f>
        <v>54.662135228087763</v>
      </c>
      <c r="Q72" s="97">
        <f>IF(Q36=0,0,Q36/TrRoad_act!Q42*100)</f>
        <v>54.8439536606517</v>
      </c>
      <c r="R72" s="97">
        <f>IF(R36=0,0,R36/TrRoad_act!R42*100)</f>
        <v>54.846430875218225</v>
      </c>
      <c r="S72" s="97">
        <f>IF(S36=0,0,S36/TrRoad_act!S42*100)</f>
        <v>54.928801435685195</v>
      </c>
      <c r="T72" s="97">
        <f>IF(T36=0,0,T36/TrRoad_act!T42*100)</f>
        <v>55.039540659909591</v>
      </c>
      <c r="U72" s="97">
        <f>IF(U36=0,0,U36/TrRoad_act!U42*100)</f>
        <v>55.3741848060195</v>
      </c>
      <c r="V72" s="97">
        <f>IF(V36=0,0,V36/TrRoad_act!V42*100)</f>
        <v>55.400646720965263</v>
      </c>
      <c r="W72" s="97">
        <f>IF(W36=0,0,W36/TrRoad_act!W42*100)</f>
        <v>55.47180503131095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45.220053292240955</v>
      </c>
      <c r="M73" s="97">
        <f>IF(M38=0,0,M38/TrRoad_act!M43*100)</f>
        <v>45.220053292240969</v>
      </c>
      <c r="N73" s="97">
        <f>IF(N38=0,0,N38/TrRoad_act!N43*100)</f>
        <v>45.220053292240969</v>
      </c>
      <c r="O73" s="97">
        <f>IF(O38=0,0,O38/TrRoad_act!O43*100)</f>
        <v>45.220053292240962</v>
      </c>
      <c r="P73" s="97">
        <f>IF(P38=0,0,P38/TrRoad_act!P43*100)</f>
        <v>45.80907237111014</v>
      </c>
      <c r="Q73" s="97">
        <f>IF(Q38=0,0,Q38/TrRoad_act!Q43*100)</f>
        <v>45.80907237111014</v>
      </c>
      <c r="R73" s="97">
        <f>IF(R38=0,0,R38/TrRoad_act!R43*100)</f>
        <v>46.097369968446408</v>
      </c>
      <c r="S73" s="97">
        <f>IF(S38=0,0,S38/TrRoad_act!S43*100)</f>
        <v>46.097369968446408</v>
      </c>
      <c r="T73" s="97">
        <f>IF(T38=0,0,T38/TrRoad_act!T43*100)</f>
        <v>46.097369968446408</v>
      </c>
      <c r="U73" s="97">
        <f>IF(U38=0,0,U38/TrRoad_act!U43*100)</f>
        <v>46.097369968446408</v>
      </c>
      <c r="V73" s="97">
        <f>IF(V38=0,0,V38/TrRoad_act!V43*100)</f>
        <v>46.289598000467628</v>
      </c>
      <c r="W73" s="97">
        <f>IF(W38=0,0,W38/TrRoad_act!W43*100)</f>
        <v>46.289598000467635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64.343159728178463</v>
      </c>
      <c r="C74" s="97">
        <f>IF(C39=0,0,C39/TrRoad_act!C44*100)</f>
        <v>57.341979265527989</v>
      </c>
      <c r="D74" s="97">
        <f>IF(D39=0,0,D39/TrRoad_act!D44*100)</f>
        <v>57.475149506458557</v>
      </c>
      <c r="E74" s="97">
        <f>IF(E39=0,0,E39/TrRoad_act!E44*100)</f>
        <v>55.057312267386273</v>
      </c>
      <c r="F74" s="97">
        <f>IF(F39=0,0,F39/TrRoad_act!F44*100)</f>
        <v>55.151347252332883</v>
      </c>
      <c r="G74" s="97">
        <f>IF(G39=0,0,G39/TrRoad_act!G44*100)</f>
        <v>55.11209514587032</v>
      </c>
      <c r="H74" s="97">
        <f>IF(H39=0,0,H39/TrRoad_act!H44*100)</f>
        <v>55.322817100234303</v>
      </c>
      <c r="I74" s="97">
        <f>IF(I39=0,0,I39/TrRoad_act!I44*100)</f>
        <v>55.476101510241904</v>
      </c>
      <c r="J74" s="97">
        <f>IF(J39=0,0,J39/TrRoad_act!J44*100)</f>
        <v>54.220243391749669</v>
      </c>
      <c r="K74" s="97">
        <f>IF(K39=0,0,K39/TrRoad_act!K44*100)</f>
        <v>51.501071891458764</v>
      </c>
      <c r="L74" s="97">
        <f>IF(L39=0,0,L39/TrRoad_act!L44*100)</f>
        <v>51.526646548662747</v>
      </c>
      <c r="M74" s="97">
        <f>IF(M39=0,0,M39/TrRoad_act!M44*100)</f>
        <v>51.01404415921138</v>
      </c>
      <c r="N74" s="97">
        <f>IF(N39=0,0,N39/TrRoad_act!N44*100)</f>
        <v>48.967235502952775</v>
      </c>
      <c r="O74" s="97">
        <f>IF(O39=0,0,O39/TrRoad_act!O44*100)</f>
        <v>55.116705112626121</v>
      </c>
      <c r="P74" s="97">
        <f>IF(P39=0,0,P39/TrRoad_act!P44*100)</f>
        <v>58.196156387553003</v>
      </c>
      <c r="Q74" s="97">
        <f>IF(Q39=0,0,Q39/TrRoad_act!Q44*100)</f>
        <v>68.593080220235024</v>
      </c>
      <c r="R74" s="97">
        <f>IF(R39=0,0,R39/TrRoad_act!R44*100)</f>
        <v>68.194109546889408</v>
      </c>
      <c r="S74" s="97">
        <f>IF(S39=0,0,S39/TrRoad_act!S44*100)</f>
        <v>76.302203779915658</v>
      </c>
      <c r="T74" s="97">
        <f>IF(T39=0,0,T39/TrRoad_act!T44*100)</f>
        <v>65.87698440561384</v>
      </c>
      <c r="U74" s="97">
        <f>IF(U39=0,0,U39/TrRoad_act!U44*100)</f>
        <v>112.00784185672002</v>
      </c>
      <c r="V74" s="97">
        <f>IF(V39=0,0,V39/TrRoad_act!V44*100)</f>
        <v>119.47389051442956</v>
      </c>
      <c r="W74" s="97">
        <f>IF(W39=0,0,W39/TrRoad_act!W44*100)</f>
        <v>80.400348030048036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25.467378938200568</v>
      </c>
      <c r="M75" s="97">
        <f>IF(M41=0,0,M41/TrRoad_act!M45*100)</f>
        <v>25.467378938200568</v>
      </c>
      <c r="N75" s="97">
        <f>IF(N41=0,0,N41/TrRoad_act!N45*100)</f>
        <v>24.927188461982794</v>
      </c>
      <c r="O75" s="97">
        <f>IF(O41=0,0,O41/TrRoad_act!O45*100)</f>
        <v>24.927188461982794</v>
      </c>
      <c r="P75" s="97">
        <f>IF(P41=0,0,P41/TrRoad_act!P45*100)</f>
        <v>24.927188461982798</v>
      </c>
      <c r="Q75" s="97">
        <f>IF(Q41=0,0,Q41/TrRoad_act!Q45*100)</f>
        <v>24.927188461982798</v>
      </c>
      <c r="R75" s="97">
        <f>IF(R41=0,0,R41/TrRoad_act!R45*100)</f>
        <v>24.927188461982801</v>
      </c>
      <c r="S75" s="97">
        <f>IF(S41=0,0,S41/TrRoad_act!S45*100)</f>
        <v>25.41283349039476</v>
      </c>
      <c r="T75" s="97">
        <f>IF(T41=0,0,T41/TrRoad_act!T45*100)</f>
        <v>25.957338296419287</v>
      </c>
      <c r="U75" s="97">
        <f>IF(U41=0,0,U41/TrRoad_act!U45*100)</f>
        <v>26.214836188093333</v>
      </c>
      <c r="V75" s="97">
        <f>IF(V41=0,0,V41/TrRoad_act!V45*100)</f>
        <v>26.337110477309551</v>
      </c>
      <c r="W75" s="97">
        <f>IF(W41=0,0,W41/TrRoad_act!W45*100)</f>
        <v>26.440458635580843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13.874355179102253</v>
      </c>
      <c r="C76" s="32">
        <f>IF(C42=0,0,C42/TrRoad_act!C46*100)</f>
        <v>13.768071025498918</v>
      </c>
      <c r="D76" s="32">
        <f>IF(D42=0,0,D42/TrRoad_act!D46*100)</f>
        <v>13.587149941826857</v>
      </c>
      <c r="E76" s="32">
        <f>IF(E42=0,0,E42/TrRoad_act!E46*100)</f>
        <v>14.290380900321759</v>
      </c>
      <c r="F76" s="32">
        <f>IF(F42=0,0,F42/TrRoad_act!F46*100)</f>
        <v>14.939210012153387</v>
      </c>
      <c r="G76" s="32">
        <f>IF(G42=0,0,G42/TrRoad_act!G46*100)</f>
        <v>14.899634369951013</v>
      </c>
      <c r="H76" s="32">
        <f>IF(H42=0,0,H42/TrRoad_act!H46*100)</f>
        <v>14.662421417605994</v>
      </c>
      <c r="I76" s="32">
        <f>IF(I42=0,0,I42/TrRoad_act!I46*100)</f>
        <v>14.717001670215652</v>
      </c>
      <c r="J76" s="32">
        <f>IF(J42=0,0,J42/TrRoad_act!J46*100)</f>
        <v>14.406893187803846</v>
      </c>
      <c r="K76" s="32">
        <f>IF(K42=0,0,K42/TrRoad_act!K46*100)</f>
        <v>13.731278376622102</v>
      </c>
      <c r="L76" s="32">
        <f>IF(L42=0,0,L42/TrRoad_act!L46*100)</f>
        <v>13.68949903016223</v>
      </c>
      <c r="M76" s="32">
        <f>IF(M42=0,0,M42/TrRoad_act!M46*100)</f>
        <v>13.820867707462774</v>
      </c>
      <c r="N76" s="32">
        <f>IF(N42=0,0,N42/TrRoad_act!N46*100)</f>
        <v>13.95901558500014</v>
      </c>
      <c r="O76" s="32">
        <f>IF(O42=0,0,O42/TrRoad_act!O46*100)</f>
        <v>13.902548132725389</v>
      </c>
      <c r="P76" s="32">
        <f>IF(P42=0,0,P42/TrRoad_act!P46*100)</f>
        <v>12.919458273780956</v>
      </c>
      <c r="Q76" s="32">
        <f>IF(Q42=0,0,Q42/TrRoad_act!Q46*100)</f>
        <v>12.844638816511559</v>
      </c>
      <c r="R76" s="32">
        <f>IF(R42=0,0,R42/TrRoad_act!R46*100)</f>
        <v>12.54749249965019</v>
      </c>
      <c r="S76" s="32">
        <f>IF(S42=0,0,S42/TrRoad_act!S46*100)</f>
        <v>12.092266494550916</v>
      </c>
      <c r="T76" s="32">
        <f>IF(T42=0,0,T42/TrRoad_act!T46*100)</f>
        <v>11.765013305710365</v>
      </c>
      <c r="U76" s="32">
        <f>IF(U42=0,0,U42/TrRoad_act!U46*100)</f>
        <v>11.681085303934063</v>
      </c>
      <c r="V76" s="32">
        <f>IF(V42=0,0,V42/TrRoad_act!V46*100)</f>
        <v>11.714932761342062</v>
      </c>
      <c r="W76" s="32">
        <f>IF(W42=0,0,W42/TrRoad_act!W46*100)</f>
        <v>11.554219343256614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11.595345912564555</v>
      </c>
      <c r="C77" s="141">
        <f>IF(C43=0,0,C43/TrRoad_act!C47*100)</f>
        <v>10.986833197376573</v>
      </c>
      <c r="D77" s="141">
        <f>IF(D43=0,0,D43/TrRoad_act!D47*100)</f>
        <v>10.866652541529593</v>
      </c>
      <c r="E77" s="141">
        <f>IF(E43=0,0,E43/TrRoad_act!E47*100)</f>
        <v>10.814771961549873</v>
      </c>
      <c r="F77" s="141">
        <f>IF(F43=0,0,F43/TrRoad_act!F47*100)</f>
        <v>10.639376598378178</v>
      </c>
      <c r="G77" s="141">
        <f>IF(G43=0,0,G43/TrRoad_act!G47*100)</f>
        <v>10.317814709466299</v>
      </c>
      <c r="H77" s="141">
        <f>IF(H43=0,0,H43/TrRoad_act!H47*100)</f>
        <v>10.010307389372375</v>
      </c>
      <c r="I77" s="141">
        <f>IF(I43=0,0,I43/TrRoad_act!I47*100)</f>
        <v>9.7151040821684997</v>
      </c>
      <c r="J77" s="141">
        <f>IF(J43=0,0,J43/TrRoad_act!J47*100)</f>
        <v>9.4396410114345812</v>
      </c>
      <c r="K77" s="141">
        <f>IF(K43=0,0,K43/TrRoad_act!K47*100)</f>
        <v>9.1760096699581872</v>
      </c>
      <c r="L77" s="141">
        <f>IF(L43=0,0,L43/TrRoad_act!L47*100)</f>
        <v>8.9556992364566312</v>
      </c>
      <c r="M77" s="141">
        <f>IF(M43=0,0,M43/TrRoad_act!M47*100)</f>
        <v>8.7945211182558189</v>
      </c>
      <c r="N77" s="141">
        <f>IF(N43=0,0,N43/TrRoad_act!N47*100)</f>
        <v>8.564722897753418</v>
      </c>
      <c r="O77" s="141">
        <f>IF(O43=0,0,O43/TrRoad_act!O47*100)</f>
        <v>8.5154817020105806</v>
      </c>
      <c r="P77" s="141">
        <f>IF(P43=0,0,P43/TrRoad_act!P47*100)</f>
        <v>8.2963358562848679</v>
      </c>
      <c r="Q77" s="141">
        <f>IF(Q43=0,0,Q43/TrRoad_act!Q47*100)</f>
        <v>8.1775750601150339</v>
      </c>
      <c r="R77" s="141">
        <f>IF(R43=0,0,R43/TrRoad_act!R47*100)</f>
        <v>8.0417545776788071</v>
      </c>
      <c r="S77" s="141">
        <f>IF(S43=0,0,S43/TrRoad_act!S47*100)</f>
        <v>7.8561255307064606</v>
      </c>
      <c r="T77" s="141">
        <f>IF(T43=0,0,T43/TrRoad_act!T47*100)</f>
        <v>7.7044284151824423</v>
      </c>
      <c r="U77" s="141">
        <f>IF(U43=0,0,U43/TrRoad_act!U47*100)</f>
        <v>7.5718233588009483</v>
      </c>
      <c r="V77" s="141">
        <f>IF(V43=0,0,V43/TrRoad_act!V47*100)</f>
        <v>7.5163488420762326</v>
      </c>
      <c r="W77" s="141">
        <f>IF(W43=0,0,W43/TrRoad_act!W47*100)</f>
        <v>7.5118787008365233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12.2021763925156</v>
      </c>
      <c r="C78" s="96">
        <f>IF(C44=0,0,C44/TrRoad_act!C48*100)</f>
        <v>12.017892174233157</v>
      </c>
      <c r="D78" s="96">
        <f>IF(D44=0,0,D44/TrRoad_act!D48*100)</f>
        <v>12.007888571511439</v>
      </c>
      <c r="E78" s="96">
        <f>IF(E44=0,0,E44/TrRoad_act!E48*100)</f>
        <v>11.559986909735841</v>
      </c>
      <c r="F78" s="96">
        <f>IF(F44=0,0,F44/TrRoad_act!F48*100)</f>
        <v>11.517963660273617</v>
      </c>
      <c r="G78" s="96">
        <f>IF(G44=0,0,G44/TrRoad_act!G48*100)</f>
        <v>11.25783094179676</v>
      </c>
      <c r="H78" s="96">
        <f>IF(H44=0,0,H44/TrRoad_act!H48*100)</f>
        <v>10.968689868494636</v>
      </c>
      <c r="I78" s="96">
        <f>IF(I44=0,0,I44/TrRoad_act!I48*100)</f>
        <v>10.672451382943464</v>
      </c>
      <c r="J78" s="96">
        <f>IF(J44=0,0,J44/TrRoad_act!J48*100)</f>
        <v>10.42127735664365</v>
      </c>
      <c r="K78" s="96">
        <f>IF(K44=0,0,K44/TrRoad_act!K48*100)</f>
        <v>10.188681472420537</v>
      </c>
      <c r="L78" s="96">
        <f>IF(L44=0,0,L44/TrRoad_act!L48*100)</f>
        <v>9.9573011646852425</v>
      </c>
      <c r="M78" s="96">
        <f>IF(M44=0,0,M44/TrRoad_act!M48*100)</f>
        <v>9.8240222067355276</v>
      </c>
      <c r="N78" s="96">
        <f>IF(N44=0,0,N44/TrRoad_act!N48*100)</f>
        <v>9.6751829356412777</v>
      </c>
      <c r="O78" s="96">
        <f>IF(O44=0,0,O44/TrRoad_act!O48*100)</f>
        <v>9.5891069713512476</v>
      </c>
      <c r="P78" s="96">
        <f>IF(P44=0,0,P44/TrRoad_act!P48*100)</f>
        <v>9.4503811406875631</v>
      </c>
      <c r="Q78" s="96">
        <f>IF(Q44=0,0,Q44/TrRoad_act!Q48*100)</f>
        <v>9.0940556413810345</v>
      </c>
      <c r="R78" s="96">
        <f>IF(R44=0,0,R44/TrRoad_act!R48*100)</f>
        <v>8.9447807546370779</v>
      </c>
      <c r="S78" s="96">
        <f>IF(S44=0,0,S44/TrRoad_act!S48*100)</f>
        <v>8.628000614651036</v>
      </c>
      <c r="T78" s="96">
        <f>IF(T44=0,0,T44/TrRoad_act!T48*100)</f>
        <v>8.5040276913388677</v>
      </c>
      <c r="U78" s="96">
        <f>IF(U44=0,0,U44/TrRoad_act!U48*100)</f>
        <v>8.3746544153566678</v>
      </c>
      <c r="V78" s="96">
        <f>IF(V44=0,0,V44/TrRoad_act!V48*100)</f>
        <v>8.1654479865917136</v>
      </c>
      <c r="W78" s="96">
        <f>IF(W44=0,0,W44/TrRoad_act!W48*100)</f>
        <v>8.1329472128242077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11.583504879890548</v>
      </c>
      <c r="C79" s="96">
        <f>IF(C46=0,0,C46/TrRoad_act!C49*100)</f>
        <v>10.971425257116605</v>
      </c>
      <c r="D79" s="96">
        <f>IF(D46=0,0,D46/TrRoad_act!D49*100)</f>
        <v>10.850381536065159</v>
      </c>
      <c r="E79" s="96">
        <f>IF(E46=0,0,E46/TrRoad_act!E49*100)</f>
        <v>10.801632350801084</v>
      </c>
      <c r="F79" s="96">
        <f>IF(F46=0,0,F46/TrRoad_act!F49*100)</f>
        <v>10.625657161032029</v>
      </c>
      <c r="G79" s="96">
        <f>IF(G46=0,0,G46/TrRoad_act!G49*100)</f>
        <v>10.303946695278656</v>
      </c>
      <c r="H79" s="96">
        <f>IF(H46=0,0,H46/TrRoad_act!H49*100)</f>
        <v>9.9966978566721192</v>
      </c>
      <c r="I79" s="96">
        <f>IF(I46=0,0,I46/TrRoad_act!I49*100)</f>
        <v>9.7020682544592916</v>
      </c>
      <c r="J79" s="96">
        <f>IF(J46=0,0,J46/TrRoad_act!J49*100)</f>
        <v>9.42675772894723</v>
      </c>
      <c r="K79" s="96">
        <f>IF(K46=0,0,K46/TrRoad_act!K49*100)</f>
        <v>9.163200457078327</v>
      </c>
      <c r="L79" s="96">
        <f>IF(L46=0,0,L46/TrRoad_act!L49*100)</f>
        <v>8.9434232203064994</v>
      </c>
      <c r="M79" s="96">
        <f>IF(M46=0,0,M46/TrRoad_act!M49*100)</f>
        <v>8.7831238099930005</v>
      </c>
      <c r="N79" s="96">
        <f>IF(N46=0,0,N46/TrRoad_act!N49*100)</f>
        <v>8.5529687458116612</v>
      </c>
      <c r="O79" s="96">
        <f>IF(O46=0,0,O46/TrRoad_act!O49*100)</f>
        <v>8.5047953727599666</v>
      </c>
      <c r="P79" s="96">
        <f>IF(P46=0,0,P46/TrRoad_act!P49*100)</f>
        <v>8.2863381385266948</v>
      </c>
      <c r="Q79" s="96">
        <f>IF(Q46=0,0,Q46/TrRoad_act!Q49*100)</f>
        <v>8.1687705333409806</v>
      </c>
      <c r="R79" s="96">
        <f>IF(R46=0,0,R46/TrRoad_act!R49*100)</f>
        <v>8.0340513319165829</v>
      </c>
      <c r="S79" s="96">
        <f>IF(S46=0,0,S46/TrRoad_act!S49*100)</f>
        <v>7.8508726618347806</v>
      </c>
      <c r="T79" s="96">
        <f>IF(T46=0,0,T46/TrRoad_act!T49*100)</f>
        <v>7.7012344152068177</v>
      </c>
      <c r="U79" s="96">
        <f>IF(U46=0,0,U46/TrRoad_act!U49*100)</f>
        <v>7.5685168226118575</v>
      </c>
      <c r="V79" s="96">
        <f>IF(V46=0,0,V46/TrRoad_act!V49*100)</f>
        <v>7.5169829523869387</v>
      </c>
      <c r="W79" s="96">
        <f>IF(W46=0,0,W46/TrRoad_act!W49*100)</f>
        <v>7.5133809604918529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19.357790767796594</v>
      </c>
      <c r="C80" s="96">
        <f>IF(C48=0,0,C48/TrRoad_act!C50*100)</f>
        <v>19.048750832997122</v>
      </c>
      <c r="D80" s="96">
        <f>IF(D48=0,0,D48/TrRoad_act!D50*100)</f>
        <v>18.821264437724423</v>
      </c>
      <c r="E80" s="96">
        <f>IF(E48=0,0,E48/TrRoad_act!E50*100)</f>
        <v>18.10943391742558</v>
      </c>
      <c r="F80" s="96">
        <f>IF(F48=0,0,F48/TrRoad_act!F50*100)</f>
        <v>17.993112636411457</v>
      </c>
      <c r="G80" s="96">
        <f>IF(G48=0,0,G48/TrRoad_act!G50*100)</f>
        <v>17.391180257802294</v>
      </c>
      <c r="H80" s="96">
        <f>IF(H48=0,0,H48/TrRoad_act!H50*100)</f>
        <v>16.736021454612068</v>
      </c>
      <c r="I80" s="96">
        <f>IF(I48=0,0,I48/TrRoad_act!I50*100)</f>
        <v>16.075099903226679</v>
      </c>
      <c r="J80" s="96">
        <f>IF(J48=0,0,J48/TrRoad_act!J50*100)</f>
        <v>15.493956494191941</v>
      </c>
      <c r="K80" s="96">
        <f>IF(K48=0,0,K48/TrRoad_act!K50*100)</f>
        <v>14.918129299547866</v>
      </c>
      <c r="L80" s="96">
        <f>IF(L48=0,0,L48/TrRoad_act!L50*100)</f>
        <v>14.530566760999955</v>
      </c>
      <c r="M80" s="96">
        <f>IF(M48=0,0,M48/TrRoad_act!M50*100)</f>
        <v>14.189289188254758</v>
      </c>
      <c r="N80" s="96">
        <f>IF(N48=0,0,N48/TrRoad_act!N50*100)</f>
        <v>13.553996667315374</v>
      </c>
      <c r="O80" s="96">
        <f>IF(O48=0,0,O48/TrRoad_act!O50*100)</f>
        <v>13.517895674658634</v>
      </c>
      <c r="P80" s="96">
        <f>IF(P48=0,0,P48/TrRoad_act!P50*100)</f>
        <v>13.130110403199492</v>
      </c>
      <c r="Q80" s="96">
        <f>IF(Q48=0,0,Q48/TrRoad_act!Q50*100)</f>
        <v>12.742475414167915</v>
      </c>
      <c r="R80" s="96">
        <f>IF(R48=0,0,R48/TrRoad_act!R50*100)</f>
        <v>12.541953458655907</v>
      </c>
      <c r="S80" s="96">
        <f>IF(S48=0,0,S48/TrRoad_act!S50*100)</f>
        <v>12.181077391387454</v>
      </c>
      <c r="T80" s="96">
        <f>IF(T48=0,0,T48/TrRoad_act!T50*100)</f>
        <v>11.643564875751261</v>
      </c>
      <c r="U80" s="96">
        <f>IF(U48=0,0,U48/TrRoad_act!U50*100)</f>
        <v>10.75150874061087</v>
      </c>
      <c r="V80" s="96">
        <f>IF(V48=0,0,V48/TrRoad_act!V50*100)</f>
        <v>10.540670975073155</v>
      </c>
      <c r="W80" s="96">
        <f>IF(W48=0,0,W48/TrRoad_act!W50*100)</f>
        <v>10.496124019386832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8.8834915396954592</v>
      </c>
      <c r="P81" s="96">
        <f>IF(P49=0,0,P49/TrRoad_act!P51*100)</f>
        <v>8.8005550606957073</v>
      </c>
      <c r="Q81" s="96">
        <f>IF(Q49=0,0,Q49/TrRoad_act!Q51*100)</f>
        <v>9.6299155098693046</v>
      </c>
      <c r="R81" s="96">
        <f>IF(R49=0,0,R49/TrRoad_act!R51*100)</f>
        <v>9.056452837786793</v>
      </c>
      <c r="S81" s="96">
        <f>IF(S49=0,0,S49/TrRoad_act!S51*100)</f>
        <v>8.9502344588518294</v>
      </c>
      <c r="T81" s="96">
        <f>IF(T49=0,0,T49/TrRoad_act!T51*100)</f>
        <v>9.1499319330724926</v>
      </c>
      <c r="U81" s="96">
        <f>IF(U49=0,0,U49/TrRoad_act!U51*100)</f>
        <v>10.198668397149513</v>
      </c>
      <c r="V81" s="96">
        <f>IF(V49=0,0,V49/TrRoad_act!V51*100)</f>
        <v>10.185018257936321</v>
      </c>
      <c r="W81" s="96">
        <f>IF(W49=0,0,W49/TrRoad_act!W51*100)</f>
        <v>11.331245059611092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1.6514689086655814</v>
      </c>
      <c r="N82" s="96">
        <f>IF(N51=0,0,N51/TrRoad_act!N52*100)</f>
        <v>1.6472914875411704</v>
      </c>
      <c r="O82" s="96">
        <f>IF(O51=0,0,O51/TrRoad_act!O52*100)</f>
        <v>1.707148831878665</v>
      </c>
      <c r="P82" s="96">
        <f>IF(P51=0,0,P51/TrRoad_act!P52*100)</f>
        <v>1.7286070990691158</v>
      </c>
      <c r="Q82" s="96">
        <f>IF(Q51=0,0,Q51/TrRoad_act!Q52*100)</f>
        <v>1.7634603571108929</v>
      </c>
      <c r="R82" s="96">
        <f>IF(R51=0,0,R51/TrRoad_act!R52*100)</f>
        <v>1.7933812872721289</v>
      </c>
      <c r="S82" s="96">
        <f>IF(S51=0,0,S51/TrRoad_act!S52*100)</f>
        <v>1.8324367627887705</v>
      </c>
      <c r="T82" s="96">
        <f>IF(T51=0,0,T51/TrRoad_act!T52*100)</f>
        <v>1.9186367491788152</v>
      </c>
      <c r="U82" s="96">
        <f>IF(U51=0,0,U51/TrRoad_act!U52*100)</f>
        <v>2.0034216866334611</v>
      </c>
      <c r="V82" s="96">
        <f>IF(V51=0,0,V51/TrRoad_act!V52*100)</f>
        <v>2.1070400325198158</v>
      </c>
      <c r="W82" s="96">
        <f>IF(W51=0,0,W51/TrRoad_act!W52*100)</f>
        <v>2.2121098937370802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33.012121904295597</v>
      </c>
      <c r="C83" s="130">
        <f>IF(C52=0,0,C52/TrRoad_act!C53*100)</f>
        <v>34.599438585901844</v>
      </c>
      <c r="D83" s="130">
        <f>IF(D52=0,0,D52/TrRoad_act!D53*100)</f>
        <v>35.466157834798132</v>
      </c>
      <c r="E83" s="130">
        <f>IF(E52=0,0,E52/TrRoad_act!E53*100)</f>
        <v>42.222335965478877</v>
      </c>
      <c r="F83" s="130">
        <f>IF(F52=0,0,F52/TrRoad_act!F53*100)</f>
        <v>41.574056597823301</v>
      </c>
      <c r="G83" s="130">
        <f>IF(G52=0,0,G52/TrRoad_act!G53*100)</f>
        <v>41.117801981773987</v>
      </c>
      <c r="H83" s="130">
        <f>IF(H52=0,0,H52/TrRoad_act!H53*100)</f>
        <v>41.408837955050267</v>
      </c>
      <c r="I83" s="130">
        <f>IF(I52=0,0,I52/TrRoad_act!I53*100)</f>
        <v>41.393579371522613</v>
      </c>
      <c r="J83" s="130">
        <f>IF(J52=0,0,J52/TrRoad_act!J53*100)</f>
        <v>42.753195263503606</v>
      </c>
      <c r="K83" s="130">
        <f>IF(K52=0,0,K52/TrRoad_act!K53*100)</f>
        <v>43.428000629332345</v>
      </c>
      <c r="L83" s="130">
        <f>IF(L52=0,0,L52/TrRoad_act!L53*100)</f>
        <v>43.757877898163663</v>
      </c>
      <c r="M83" s="130">
        <f>IF(M52=0,0,M52/TrRoad_act!M53*100)</f>
        <v>42.863787550365174</v>
      </c>
      <c r="N83" s="130">
        <f>IF(N52=0,0,N52/TrRoad_act!N53*100)</f>
        <v>47.903158150737745</v>
      </c>
      <c r="O83" s="130">
        <f>IF(O52=0,0,O52/TrRoad_act!O53*100)</f>
        <v>47.99730641507081</v>
      </c>
      <c r="P83" s="130">
        <f>IF(P52=0,0,P52/TrRoad_act!P53*100)</f>
        <v>46.12046985034722</v>
      </c>
      <c r="Q83" s="130">
        <f>IF(Q52=0,0,Q52/TrRoad_act!Q53*100)</f>
        <v>42.917755696106525</v>
      </c>
      <c r="R83" s="130">
        <f>IF(R52=0,0,R52/TrRoad_act!R53*100)</f>
        <v>43.295893194978945</v>
      </c>
      <c r="S83" s="130">
        <f>IF(S52=0,0,S52/TrRoad_act!S53*100)</f>
        <v>42.455226692241716</v>
      </c>
      <c r="T83" s="130">
        <f>IF(T52=0,0,T52/TrRoad_act!T53*100)</f>
        <v>42.032406811941961</v>
      </c>
      <c r="U83" s="130">
        <f>IF(U52=0,0,U52/TrRoad_act!U53*100)</f>
        <v>43.665185236058193</v>
      </c>
      <c r="V83" s="130">
        <f>IF(V52=0,0,V52/TrRoad_act!V53*100)</f>
        <v>44.433133356937631</v>
      </c>
      <c r="W83" s="130">
        <f>IF(W52=0,0,W52/TrRoad_act!W53*100)</f>
        <v>43.05196258920455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31.765648288179023</v>
      </c>
      <c r="C84" s="97">
        <f>IF(C53=0,0,C53/TrRoad_act!C54*100)</f>
        <v>33.473096974929753</v>
      </c>
      <c r="D84" s="97">
        <f>IF(D53=0,0,D53/TrRoad_act!D54*100)</f>
        <v>34.284816376467212</v>
      </c>
      <c r="E84" s="97">
        <f>IF(E53=0,0,E53/TrRoad_act!E54*100)</f>
        <v>40.880225879416805</v>
      </c>
      <c r="F84" s="97">
        <f>IF(F53=0,0,F53/TrRoad_act!F54*100)</f>
        <v>40.414682158219847</v>
      </c>
      <c r="G84" s="97">
        <f>IF(G53=0,0,G53/TrRoad_act!G54*100)</f>
        <v>40.03208660931476</v>
      </c>
      <c r="H84" s="97">
        <f>IF(H53=0,0,H53/TrRoad_act!H54*100)</f>
        <v>40.302943728794446</v>
      </c>
      <c r="I84" s="97">
        <f>IF(I53=0,0,I53/TrRoad_act!I54*100)</f>
        <v>40.250691699534599</v>
      </c>
      <c r="J84" s="97">
        <f>IF(J53=0,0,J53/TrRoad_act!J54*100)</f>
        <v>41.626725833878055</v>
      </c>
      <c r="K84" s="97">
        <f>IF(K53=0,0,K53/TrRoad_act!K54*100)</f>
        <v>42.110508336894341</v>
      </c>
      <c r="L84" s="97">
        <f>IF(L53=0,0,L53/TrRoad_act!L54*100)</f>
        <v>42.52712879097129</v>
      </c>
      <c r="M84" s="97">
        <f>IF(M53=0,0,M53/TrRoad_act!M54*100)</f>
        <v>41.53396374636673</v>
      </c>
      <c r="N84" s="97">
        <f>IF(N53=0,0,N53/TrRoad_act!N54*100)</f>
        <v>46.253689009902892</v>
      </c>
      <c r="O84" s="97">
        <f>IF(O53=0,0,O53/TrRoad_act!O54*100)</f>
        <v>45.997073638542446</v>
      </c>
      <c r="P84" s="97">
        <f>IF(P53=0,0,P53/TrRoad_act!P54*100)</f>
        <v>44.009711053677051</v>
      </c>
      <c r="Q84" s="97">
        <f>IF(Q53=0,0,Q53/TrRoad_act!Q54*100)</f>
        <v>41.251537639536032</v>
      </c>
      <c r="R84" s="97">
        <f>IF(R53=0,0,R53/TrRoad_act!R54*100)</f>
        <v>41.393395189450736</v>
      </c>
      <c r="S84" s="97">
        <f>IF(S53=0,0,S53/TrRoad_act!S54*100)</f>
        <v>40.566361454675217</v>
      </c>
      <c r="T84" s="97">
        <f>IF(T53=0,0,T53/TrRoad_act!T54*100)</f>
        <v>40.039294173374188</v>
      </c>
      <c r="U84" s="97">
        <f>IF(U53=0,0,U53/TrRoad_act!U54*100)</f>
        <v>41.459069441557212</v>
      </c>
      <c r="V84" s="97">
        <f>IF(V53=0,0,V53/TrRoad_act!V54*100)</f>
        <v>42.13876403012712</v>
      </c>
      <c r="W84" s="97">
        <f>IF(W53=0,0,W53/TrRoad_act!W54*100)</f>
        <v>40.659393484248426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38.767433095030476</v>
      </c>
      <c r="C85" s="98">
        <f>IF(C55=0,0,C55/TrRoad_act!C55*100)</f>
        <v>40.219654858086187</v>
      </c>
      <c r="D85" s="98">
        <f>IF(D55=0,0,D55/TrRoad_act!D55*100)</f>
        <v>40.605314204182136</v>
      </c>
      <c r="E85" s="98">
        <f>IF(E55=0,0,E55/TrRoad_act!E55*100)</f>
        <v>47.798501978911652</v>
      </c>
      <c r="F85" s="98">
        <f>IF(F55=0,0,F55/TrRoad_act!F55*100)</f>
        <v>46.632442981409405</v>
      </c>
      <c r="G85" s="98">
        <f>IF(G55=0,0,G55/TrRoad_act!G55*100)</f>
        <v>45.886477137466706</v>
      </c>
      <c r="H85" s="98">
        <f>IF(H55=0,0,H55/TrRoad_act!H55*100)</f>
        <v>45.939771899973678</v>
      </c>
      <c r="I85" s="98">
        <f>IF(I55=0,0,I55/TrRoad_act!I55*100)</f>
        <v>45.786083809590167</v>
      </c>
      <c r="J85" s="98">
        <f>IF(J55=0,0,J55/TrRoad_act!J55*100)</f>
        <v>47.499892629978554</v>
      </c>
      <c r="K85" s="98">
        <f>IF(K55=0,0,K55/TrRoad_act!K55*100)</f>
        <v>48.242250677163803</v>
      </c>
      <c r="L85" s="98">
        <f>IF(L55=0,0,L55/TrRoad_act!L55*100)</f>
        <v>48.959881515417997</v>
      </c>
      <c r="M85" s="98">
        <f>IF(M55=0,0,M55/TrRoad_act!M55*100)</f>
        <v>47.954417176200664</v>
      </c>
      <c r="N85" s="98">
        <f>IF(N55=0,0,N55/TrRoad_act!N55*100)</f>
        <v>53.892908919650971</v>
      </c>
      <c r="O85" s="98">
        <f>IF(O55=0,0,O55/TrRoad_act!O55*100)</f>
        <v>53.760993549883437</v>
      </c>
      <c r="P85" s="98">
        <f>IF(P55=0,0,P55/TrRoad_act!P55*100)</f>
        <v>51.653751730325972</v>
      </c>
      <c r="Q85" s="98">
        <f>IF(Q55=0,0,Q55/TrRoad_act!Q55*100)</f>
        <v>48.755707738320019</v>
      </c>
      <c r="R85" s="98">
        <f>IF(R55=0,0,R55/TrRoad_act!R55*100)</f>
        <v>49.091435333861483</v>
      </c>
      <c r="S85" s="98">
        <f>IF(S55=0,0,S55/TrRoad_act!S55*100)</f>
        <v>48.40203940174451</v>
      </c>
      <c r="T85" s="98">
        <f>IF(T55=0,0,T55/TrRoad_act!T55*100)</f>
        <v>47.98101386845844</v>
      </c>
      <c r="U85" s="98">
        <f>IF(U55=0,0,U55/TrRoad_act!U55*100)</f>
        <v>50.003761506355346</v>
      </c>
      <c r="V85" s="98">
        <f>IF(V55=0,0,V55/TrRoad_act!V55*100)</f>
        <v>50.97430174998334</v>
      </c>
      <c r="W85" s="98">
        <f>IF(W55=0,0,W55/TrRoad_act!W55*100)</f>
        <v>49.307940676483426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39.533874389690837</v>
      </c>
      <c r="C88" s="29">
        <f>IF(TrRoad_act!C4=0,0,C18/TrRoad_act!C4*1000)</f>
        <v>38.968878505262403</v>
      </c>
      <c r="D88" s="29">
        <f>IF(TrRoad_act!D4=0,0,D18/TrRoad_act!D4*1000)</f>
        <v>39.761390747255028</v>
      </c>
      <c r="E88" s="29">
        <f>IF(TrRoad_act!E4=0,0,E18/TrRoad_act!E4*1000)</f>
        <v>40.62444771750296</v>
      </c>
      <c r="F88" s="29">
        <f>IF(TrRoad_act!F4=0,0,F18/TrRoad_act!F4*1000)</f>
        <v>41.016424384416972</v>
      </c>
      <c r="G88" s="29">
        <f>IF(TrRoad_act!G4=0,0,G18/TrRoad_act!G4*1000)</f>
        <v>39.950661118131393</v>
      </c>
      <c r="H88" s="29">
        <f>IF(TrRoad_act!H4=0,0,H18/TrRoad_act!H4*1000)</f>
        <v>39.800840339381402</v>
      </c>
      <c r="I88" s="29">
        <f>IF(TrRoad_act!I4=0,0,I18/TrRoad_act!I4*1000)</f>
        <v>39.556618849135639</v>
      </c>
      <c r="J88" s="29">
        <f>IF(TrRoad_act!J4=0,0,J18/TrRoad_act!J4*1000)</f>
        <v>39.975397444517021</v>
      </c>
      <c r="K88" s="29">
        <f>IF(TrRoad_act!K4=0,0,K18/TrRoad_act!K4*1000)</f>
        <v>41.040711284161574</v>
      </c>
      <c r="L88" s="29">
        <f>IF(TrRoad_act!L4=0,0,L18/TrRoad_act!L4*1000)</f>
        <v>42.478704700368887</v>
      </c>
      <c r="M88" s="29">
        <f>IF(TrRoad_act!M4=0,0,M18/TrRoad_act!M4*1000)</f>
        <v>40.361963403923845</v>
      </c>
      <c r="N88" s="29">
        <f>IF(TrRoad_act!N4=0,0,N18/TrRoad_act!N4*1000)</f>
        <v>38.69151074157265</v>
      </c>
      <c r="O88" s="29">
        <f>IF(TrRoad_act!O4=0,0,O18/TrRoad_act!O4*1000)</f>
        <v>38.703236908824429</v>
      </c>
      <c r="P88" s="29">
        <f>IF(TrRoad_act!P4=0,0,P18/TrRoad_act!P4*1000)</f>
        <v>39.053421742998829</v>
      </c>
      <c r="Q88" s="29">
        <f>IF(TrRoad_act!Q4=0,0,Q18/TrRoad_act!Q4*1000)</f>
        <v>39.164275779739071</v>
      </c>
      <c r="R88" s="29">
        <f>IF(TrRoad_act!R4=0,0,R18/TrRoad_act!R4*1000)</f>
        <v>37.692911371887995</v>
      </c>
      <c r="S88" s="29">
        <f>IF(TrRoad_act!S4=0,0,S18/TrRoad_act!S4*1000)</f>
        <v>37.439128373937862</v>
      </c>
      <c r="T88" s="29">
        <f>IF(TrRoad_act!T4=0,0,T18/TrRoad_act!T4*1000)</f>
        <v>36.597955556736252</v>
      </c>
      <c r="U88" s="29">
        <f>IF(TrRoad_act!U4=0,0,U18/TrRoad_act!U4*1000)</f>
        <v>36.940335545962789</v>
      </c>
      <c r="V88" s="29">
        <f>IF(TrRoad_act!V4=0,0,V18/TrRoad_act!V4*1000)</f>
        <v>36.720990845392656</v>
      </c>
      <c r="W88" s="29">
        <f>IF(TrRoad_act!W4=0,0,W18/TrRoad_act!W4*1000)</f>
        <v>36.892526501162507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35.28721653036915</v>
      </c>
      <c r="C89" s="152">
        <f>IF(TrRoad_act!C5=0,0,C19/TrRoad_act!C5*1000)</f>
        <v>33.228788367330935</v>
      </c>
      <c r="D89" s="152">
        <f>IF(TrRoad_act!D5=0,0,D19/TrRoad_act!D5*1000)</f>
        <v>33.08001427655033</v>
      </c>
      <c r="E89" s="152">
        <f>IF(TrRoad_act!E5=0,0,E19/TrRoad_act!E5*1000)</f>
        <v>32.674434929422404</v>
      </c>
      <c r="F89" s="152">
        <f>IF(TrRoad_act!F5=0,0,F19/TrRoad_act!F5*1000)</f>
        <v>32.415659603752303</v>
      </c>
      <c r="G89" s="152">
        <f>IF(TrRoad_act!G5=0,0,G19/TrRoad_act!G5*1000)</f>
        <v>32.189748576356031</v>
      </c>
      <c r="H89" s="152">
        <f>IF(TrRoad_act!H5=0,0,H19/TrRoad_act!H5*1000)</f>
        <v>31.876405969237165</v>
      </c>
      <c r="I89" s="152">
        <f>IF(TrRoad_act!I5=0,0,I19/TrRoad_act!I5*1000)</f>
        <v>31.521492342806429</v>
      </c>
      <c r="J89" s="152">
        <f>IF(TrRoad_act!J5=0,0,J19/TrRoad_act!J5*1000)</f>
        <v>31.2912681120103</v>
      </c>
      <c r="K89" s="152">
        <f>IF(TrRoad_act!K5=0,0,K19/TrRoad_act!K5*1000)</f>
        <v>30.954822404290969</v>
      </c>
      <c r="L89" s="152">
        <f>IF(TrRoad_act!L5=0,0,L19/TrRoad_act!L5*1000)</f>
        <v>30.304565196244592</v>
      </c>
      <c r="M89" s="152">
        <f>IF(TrRoad_act!M5=0,0,M19/TrRoad_act!M5*1000)</f>
        <v>29.774161981033494</v>
      </c>
      <c r="N89" s="152">
        <f>IF(TrRoad_act!N5=0,0,N19/TrRoad_act!N5*1000)</f>
        <v>29.455100453694882</v>
      </c>
      <c r="O89" s="152">
        <f>IF(TrRoad_act!O5=0,0,O19/TrRoad_act!O5*1000)</f>
        <v>29.039419159628185</v>
      </c>
      <c r="P89" s="152">
        <f>IF(TrRoad_act!P5=0,0,P19/TrRoad_act!P5*1000)</f>
        <v>28.47617149517782</v>
      </c>
      <c r="Q89" s="152">
        <f>IF(TrRoad_act!Q5=0,0,Q19/TrRoad_act!Q5*1000)</f>
        <v>28.228153691486913</v>
      </c>
      <c r="R89" s="152">
        <f>IF(TrRoad_act!R5=0,0,R19/TrRoad_act!R5*1000)</f>
        <v>28.501783022201483</v>
      </c>
      <c r="S89" s="152">
        <f>IF(TrRoad_act!S5=0,0,S19/TrRoad_act!S5*1000)</f>
        <v>28.744936556465706</v>
      </c>
      <c r="T89" s="152">
        <f>IF(TrRoad_act!T5=0,0,T19/TrRoad_act!T5*1000)</f>
        <v>28.404622871240651</v>
      </c>
      <c r="U89" s="152">
        <f>IF(TrRoad_act!U5=0,0,U19/TrRoad_act!U5*1000)</f>
        <v>28.21302494981423</v>
      </c>
      <c r="V89" s="152">
        <f>IF(TrRoad_act!V5=0,0,V19/TrRoad_act!V5*1000)</f>
        <v>27.436799945501708</v>
      </c>
      <c r="W89" s="152">
        <f>IF(TrRoad_act!W5=0,0,W19/TrRoad_act!W5*1000)</f>
        <v>25.148698972279675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41.664492665735992</v>
      </c>
      <c r="C90" s="116">
        <f>IF(TrRoad_act!C6=0,0,C21/TrRoad_act!C6*1000)</f>
        <v>40.633275161136524</v>
      </c>
      <c r="D90" s="116">
        <f>IF(TrRoad_act!D6=0,0,D21/TrRoad_act!D6*1000)</f>
        <v>40.840894101954738</v>
      </c>
      <c r="E90" s="116">
        <f>IF(TrRoad_act!E6=0,0,E21/TrRoad_act!E6*1000)</f>
        <v>42.166839352498521</v>
      </c>
      <c r="F90" s="116">
        <f>IF(TrRoad_act!F6=0,0,F21/TrRoad_act!F6*1000)</f>
        <v>42.828005319373624</v>
      </c>
      <c r="G90" s="116">
        <f>IF(TrRoad_act!G6=0,0,G21/TrRoad_act!G6*1000)</f>
        <v>40.854377059452723</v>
      </c>
      <c r="H90" s="116">
        <f>IF(TrRoad_act!H6=0,0,H21/TrRoad_act!H6*1000)</f>
        <v>40.556535076334605</v>
      </c>
      <c r="I90" s="116">
        <f>IF(TrRoad_act!I6=0,0,I21/TrRoad_act!I6*1000)</f>
        <v>40.317666672231887</v>
      </c>
      <c r="J90" s="116">
        <f>IF(TrRoad_act!J6=0,0,J21/TrRoad_act!J6*1000)</f>
        <v>40.714980817640438</v>
      </c>
      <c r="K90" s="116">
        <f>IF(TrRoad_act!K6=0,0,K21/TrRoad_act!K6*1000)</f>
        <v>41.701825830098798</v>
      </c>
      <c r="L90" s="116">
        <f>IF(TrRoad_act!L6=0,0,L21/TrRoad_act!L6*1000)</f>
        <v>43.264734954662089</v>
      </c>
      <c r="M90" s="116">
        <f>IF(TrRoad_act!M6=0,0,M21/TrRoad_act!M6*1000)</f>
        <v>40.847435237187618</v>
      </c>
      <c r="N90" s="116">
        <f>IF(TrRoad_act!N6=0,0,N21/TrRoad_act!N6*1000)</f>
        <v>39.538648803269346</v>
      </c>
      <c r="O90" s="116">
        <f>IF(TrRoad_act!O6=0,0,O21/TrRoad_act!O6*1000)</f>
        <v>39.72395820828747</v>
      </c>
      <c r="P90" s="116">
        <f>IF(TrRoad_act!P6=0,0,P21/TrRoad_act!P6*1000)</f>
        <v>39.477277035001421</v>
      </c>
      <c r="Q90" s="116">
        <f>IF(TrRoad_act!Q6=0,0,Q21/TrRoad_act!Q6*1000)</f>
        <v>39.461916523769254</v>
      </c>
      <c r="R90" s="116">
        <f>IF(TrRoad_act!R6=0,0,R21/TrRoad_act!R6*1000)</f>
        <v>37.659679609017466</v>
      </c>
      <c r="S90" s="116">
        <f>IF(TrRoad_act!S6=0,0,S21/TrRoad_act!S6*1000)</f>
        <v>37.650284162351156</v>
      </c>
      <c r="T90" s="116">
        <f>IF(TrRoad_act!T6=0,0,T21/TrRoad_act!T6*1000)</f>
        <v>36.75536900364208</v>
      </c>
      <c r="U90" s="116">
        <f>IF(TrRoad_act!U6=0,0,U21/TrRoad_act!U6*1000)</f>
        <v>37.303633528056494</v>
      </c>
      <c r="V90" s="116">
        <f>IF(TrRoad_act!V6=0,0,V21/TrRoad_act!V6*1000)</f>
        <v>36.492542290813908</v>
      </c>
      <c r="W90" s="116">
        <f>IF(TrRoad_act!W6=0,0,W21/TrRoad_act!W6*1000)</f>
        <v>36.998853180019147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48.854753552880538</v>
      </c>
      <c r="C91" s="87">
        <f>IF(TrRoad_act!C7=0,0,C22/TrRoad_act!C7*1000)</f>
        <v>46.890860649615981</v>
      </c>
      <c r="D91" s="87">
        <f>IF(TrRoad_act!D7=0,0,D22/TrRoad_act!D7*1000)</f>
        <v>47.484380098353896</v>
      </c>
      <c r="E91" s="87">
        <f>IF(TrRoad_act!E7=0,0,E22/TrRoad_act!E7*1000)</f>
        <v>46.903393078584131</v>
      </c>
      <c r="F91" s="87">
        <f>IF(TrRoad_act!F7=0,0,F22/TrRoad_act!F7*1000)</f>
        <v>47.545203183923611</v>
      </c>
      <c r="G91" s="87">
        <f>IF(TrRoad_act!G7=0,0,G22/TrRoad_act!G7*1000)</f>
        <v>47.197286992351074</v>
      </c>
      <c r="H91" s="87">
        <f>IF(TrRoad_act!H7=0,0,H22/TrRoad_act!H7*1000)</f>
        <v>47.099337785671665</v>
      </c>
      <c r="I91" s="87">
        <f>IF(TrRoad_act!I7=0,0,I22/TrRoad_act!I7*1000)</f>
        <v>46.65334015538496</v>
      </c>
      <c r="J91" s="87">
        <f>IF(TrRoad_act!J7=0,0,J22/TrRoad_act!J7*1000)</f>
        <v>47.010678754862525</v>
      </c>
      <c r="K91" s="87">
        <f>IF(TrRoad_act!K7=0,0,K22/TrRoad_act!K7*1000)</f>
        <v>48.582897369925156</v>
      </c>
      <c r="L91" s="87">
        <f>IF(TrRoad_act!L7=0,0,L22/TrRoad_act!L7*1000)</f>
        <v>50.240948325741272</v>
      </c>
      <c r="M91" s="87">
        <f>IF(TrRoad_act!M7=0,0,M22/TrRoad_act!M7*1000)</f>
        <v>49.02005705979775</v>
      </c>
      <c r="N91" s="87">
        <f>IF(TrRoad_act!N7=0,0,N22/TrRoad_act!N7*1000)</f>
        <v>45.117414872164034</v>
      </c>
      <c r="O91" s="87">
        <f>IF(TrRoad_act!O7=0,0,O22/TrRoad_act!O7*1000)</f>
        <v>45.539397356817936</v>
      </c>
      <c r="P91" s="87">
        <f>IF(TrRoad_act!P7=0,0,P22/TrRoad_act!P7*1000)</f>
        <v>46.323330254989543</v>
      </c>
      <c r="Q91" s="87">
        <f>IF(TrRoad_act!Q7=0,0,Q22/TrRoad_act!Q7*1000)</f>
        <v>45.025443154179968</v>
      </c>
      <c r="R91" s="87">
        <f>IF(TrRoad_act!R7=0,0,R22/TrRoad_act!R7*1000)</f>
        <v>43.574492099669556</v>
      </c>
      <c r="S91" s="87">
        <f>IF(TrRoad_act!S7=0,0,S22/TrRoad_act!S7*1000)</f>
        <v>43.762904322540599</v>
      </c>
      <c r="T91" s="87">
        <f>IF(TrRoad_act!T7=0,0,T22/TrRoad_act!T7*1000)</f>
        <v>42.992478911123641</v>
      </c>
      <c r="U91" s="87">
        <f>IF(TrRoad_act!U7=0,0,U22/TrRoad_act!U7*1000)</f>
        <v>42.938385650553023</v>
      </c>
      <c r="V91" s="87">
        <f>IF(TrRoad_act!V7=0,0,V22/TrRoad_act!V7*1000)</f>
        <v>42.97424351494206</v>
      </c>
      <c r="W91" s="87">
        <f>IF(TrRoad_act!W7=0,0,W22/TrRoad_act!W7*1000)</f>
        <v>42.453778916195148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28.951190422576744</v>
      </c>
      <c r="C92" s="87">
        <f>IF(TrRoad_act!C8=0,0,C24/TrRoad_act!C8*1000)</f>
        <v>30.956159325138437</v>
      </c>
      <c r="D92" s="87">
        <f>IF(TrRoad_act!D8=0,0,D24/TrRoad_act!D8*1000)</f>
        <v>31.48348511174024</v>
      </c>
      <c r="E92" s="87">
        <f>IF(TrRoad_act!E8=0,0,E24/TrRoad_act!E8*1000)</f>
        <v>36.480071238073599</v>
      </c>
      <c r="F92" s="87">
        <f>IF(TrRoad_act!F8=0,0,F24/TrRoad_act!F8*1000)</f>
        <v>37.980220573821349</v>
      </c>
      <c r="G92" s="87">
        <f>IF(TrRoad_act!G8=0,0,G24/TrRoad_act!G8*1000)</f>
        <v>35.277313038446231</v>
      </c>
      <c r="H92" s="87">
        <f>IF(TrRoad_act!H8=0,0,H24/TrRoad_act!H8*1000)</f>
        <v>35.654451576982709</v>
      </c>
      <c r="I92" s="87">
        <f>IF(TrRoad_act!I8=0,0,I24/TrRoad_act!I8*1000)</f>
        <v>36.045100742639342</v>
      </c>
      <c r="J92" s="87">
        <f>IF(TrRoad_act!J8=0,0,J24/TrRoad_act!J8*1000)</f>
        <v>37.004371138857685</v>
      </c>
      <c r="K92" s="87">
        <f>IF(TrRoad_act!K8=0,0,K24/TrRoad_act!K8*1000)</f>
        <v>37.941624807789623</v>
      </c>
      <c r="L92" s="87">
        <f>IF(TrRoad_act!L8=0,0,L24/TrRoad_act!L8*1000)</f>
        <v>39.779178790859</v>
      </c>
      <c r="M92" s="87">
        <f>IF(TrRoad_act!M8=0,0,M24/TrRoad_act!M8*1000)</f>
        <v>37.19719481787746</v>
      </c>
      <c r="N92" s="87">
        <f>IF(TrRoad_act!N8=0,0,N24/TrRoad_act!N8*1000)</f>
        <v>37.046973040194487</v>
      </c>
      <c r="O92" s="87">
        <f>IF(TrRoad_act!O8=0,0,O24/TrRoad_act!O8*1000)</f>
        <v>37.220892473287584</v>
      </c>
      <c r="P92" s="87">
        <f>IF(TrRoad_act!P8=0,0,P24/TrRoad_act!P8*1000)</f>
        <v>36.716763954761177</v>
      </c>
      <c r="Q92" s="87">
        <f>IF(TrRoad_act!Q8=0,0,Q24/TrRoad_act!Q8*1000)</f>
        <v>37.226441505906358</v>
      </c>
      <c r="R92" s="87">
        <f>IF(TrRoad_act!R8=0,0,R24/TrRoad_act!R8*1000)</f>
        <v>35.453706068751409</v>
      </c>
      <c r="S92" s="87">
        <f>IF(TrRoad_act!S8=0,0,S24/TrRoad_act!S8*1000)</f>
        <v>35.561561165350938</v>
      </c>
      <c r="T92" s="87">
        <f>IF(TrRoad_act!T8=0,0,T24/TrRoad_act!T8*1000)</f>
        <v>34.782211091992778</v>
      </c>
      <c r="U92" s="87">
        <f>IF(TrRoad_act!U8=0,0,U24/TrRoad_act!U8*1000)</f>
        <v>35.595562254155155</v>
      </c>
      <c r="V92" s="87">
        <f>IF(TrRoad_act!V8=0,0,V24/TrRoad_act!V8*1000)</f>
        <v>34.73279081140943</v>
      </c>
      <c r="W92" s="87">
        <f>IF(TrRoad_act!W8=0,0,W24/TrRoad_act!W8*1000)</f>
        <v>35.62820551026585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52.208422129830033</v>
      </c>
      <c r="C93" s="87">
        <f>IF(TrRoad_act!C9=0,0,C26/TrRoad_act!C9*1000)</f>
        <v>54.723071502558945</v>
      </c>
      <c r="D93" s="87">
        <f>IF(TrRoad_act!D9=0,0,D26/TrRoad_act!D9*1000)</f>
        <v>57.465770652596831</v>
      </c>
      <c r="E93" s="87">
        <f>IF(TrRoad_act!E9=0,0,E26/TrRoad_act!E9*1000)</f>
        <v>49.675338627754329</v>
      </c>
      <c r="F93" s="87">
        <f>IF(TrRoad_act!F9=0,0,F26/TrRoad_act!F9*1000)</f>
        <v>49.328819325398221</v>
      </c>
      <c r="G93" s="87">
        <f>IF(TrRoad_act!G9=0,0,G26/TrRoad_act!G9*1000)</f>
        <v>51.68623707704905</v>
      </c>
      <c r="H93" s="87">
        <f>IF(TrRoad_act!H9=0,0,H26/TrRoad_act!H9*1000)</f>
        <v>57.685120868862384</v>
      </c>
      <c r="I93" s="87">
        <f>IF(TrRoad_act!I9=0,0,I26/TrRoad_act!I9*1000)</f>
        <v>62.371740409640886</v>
      </c>
      <c r="J93" s="87">
        <f>IF(TrRoad_act!J9=0,0,J26/TrRoad_act!J9*1000)</f>
        <v>53.185082795912578</v>
      </c>
      <c r="K93" s="87">
        <f>IF(TrRoad_act!K9=0,0,K26/TrRoad_act!K9*1000)</f>
        <v>46.263366580746656</v>
      </c>
      <c r="L93" s="87">
        <f>IF(TrRoad_act!L9=0,0,L26/TrRoad_act!L9*1000)</f>
        <v>48.195946512182473</v>
      </c>
      <c r="M93" s="87">
        <f>IF(TrRoad_act!M9=0,0,M26/TrRoad_act!M9*1000)</f>
        <v>46.303190824377666</v>
      </c>
      <c r="N93" s="87">
        <f>IF(TrRoad_act!N9=0,0,N26/TrRoad_act!N9*1000)</f>
        <v>43.587725116949116</v>
      </c>
      <c r="O93" s="87">
        <f>IF(TrRoad_act!O9=0,0,O26/TrRoad_act!O9*1000)</f>
        <v>44.810757606651975</v>
      </c>
      <c r="P93" s="87">
        <f>IF(TrRoad_act!P9=0,0,P26/TrRoad_act!P9*1000)</f>
        <v>42.933968182383651</v>
      </c>
      <c r="Q93" s="87">
        <f>IF(TrRoad_act!Q9=0,0,Q26/TrRoad_act!Q9*1000)</f>
        <v>43.624227432077895</v>
      </c>
      <c r="R93" s="87">
        <f>IF(TrRoad_act!R9=0,0,R26/TrRoad_act!R9*1000)</f>
        <v>42.070079232073375</v>
      </c>
      <c r="S93" s="87">
        <f>IF(TrRoad_act!S9=0,0,S26/TrRoad_act!S9*1000)</f>
        <v>40.560080546558858</v>
      </c>
      <c r="T93" s="87">
        <f>IF(TrRoad_act!T9=0,0,T26/TrRoad_act!T9*1000)</f>
        <v>37.177216945988611</v>
      </c>
      <c r="U93" s="87">
        <f>IF(TrRoad_act!U9=0,0,U26/TrRoad_act!U9*1000)</f>
        <v>37.346120060317666</v>
      </c>
      <c r="V93" s="87">
        <f>IF(TrRoad_act!V9=0,0,V26/TrRoad_act!V9*1000)</f>
        <v>33.541172665237688</v>
      </c>
      <c r="W93" s="87">
        <f>IF(TrRoad_act!W9=0,0,W26/TrRoad_act!W9*1000)</f>
        <v>31.91865228042462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62.430884366072341</v>
      </c>
      <c r="M94" s="87">
        <f>IF(TrRoad_act!M10=0,0,M27/TrRoad_act!M10*1000)</f>
        <v>61.24498403025364</v>
      </c>
      <c r="N94" s="87">
        <f>IF(TrRoad_act!N10=0,0,N27/TrRoad_act!N10*1000)</f>
        <v>47.085327858106787</v>
      </c>
      <c r="O94" s="87">
        <f>IF(TrRoad_act!O10=0,0,O27/TrRoad_act!O10*1000)</f>
        <v>44.548393563362644</v>
      </c>
      <c r="P94" s="87">
        <f>IF(TrRoad_act!P10=0,0,P27/TrRoad_act!P10*1000)</f>
        <v>43.802258716113379</v>
      </c>
      <c r="Q94" s="87">
        <f>IF(TrRoad_act!Q10=0,0,Q27/TrRoad_act!Q10*1000)</f>
        <v>40.741744349605106</v>
      </c>
      <c r="R94" s="87">
        <f>IF(TrRoad_act!R10=0,0,R27/TrRoad_act!R10*1000)</f>
        <v>37.806354944290426</v>
      </c>
      <c r="S94" s="87">
        <f>IF(TrRoad_act!S10=0,0,S27/TrRoad_act!S10*1000)</f>
        <v>37.650163896912801</v>
      </c>
      <c r="T94" s="87">
        <f>IF(TrRoad_act!T10=0,0,T27/TrRoad_act!T10*1000)</f>
        <v>37.618724315035095</v>
      </c>
      <c r="U94" s="87">
        <f>IF(TrRoad_act!U10=0,0,U27/TrRoad_act!U10*1000)</f>
        <v>36.906074192389568</v>
      </c>
      <c r="V94" s="87">
        <f>IF(TrRoad_act!V10=0,0,V27/TrRoad_act!V10*1000)</f>
        <v>36.897936501647472</v>
      </c>
      <c r="W94" s="87">
        <f>IF(TrRoad_act!W10=0,0,W27/TrRoad_act!W10*1000)</f>
        <v>36.053102153527526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25.413649641308588</v>
      </c>
      <c r="N95" s="87">
        <f>IF(TrRoad_act!N11=0,0,N29/TrRoad_act!N11*1000)</f>
        <v>20.871764161413338</v>
      </c>
      <c r="O95" s="87">
        <f>IF(TrRoad_act!O11=0,0,O29/TrRoad_act!O11*1000)</f>
        <v>21.733258738216485</v>
      </c>
      <c r="P95" s="87">
        <f>IF(TrRoad_act!P11=0,0,P29/TrRoad_act!P11*1000)</f>
        <v>23.073602137661073</v>
      </c>
      <c r="Q95" s="87">
        <f>IF(TrRoad_act!Q11=0,0,Q29/TrRoad_act!Q11*1000)</f>
        <v>23.576630581985686</v>
      </c>
      <c r="R95" s="87">
        <f>IF(TrRoad_act!R11=0,0,R29/TrRoad_act!R11*1000)</f>
        <v>23.157905548121679</v>
      </c>
      <c r="S95" s="87">
        <f>IF(TrRoad_act!S11=0,0,S29/TrRoad_act!S11*1000)</f>
        <v>23.884285597472108</v>
      </c>
      <c r="T95" s="87">
        <f>IF(TrRoad_act!T11=0,0,T29/TrRoad_act!T11*1000)</f>
        <v>24.295099134582667</v>
      </c>
      <c r="U95" s="87">
        <f>IF(TrRoad_act!U11=0,0,U29/TrRoad_act!U11*1000)</f>
        <v>24.129772509106356</v>
      </c>
      <c r="V95" s="87">
        <f>IF(TrRoad_act!V11=0,0,V29/TrRoad_act!V11*1000)</f>
        <v>23.985994858009335</v>
      </c>
      <c r="W95" s="87">
        <f>IF(TrRoad_act!W11=0,0,W29/TrRoad_act!W11*1000)</f>
        <v>22.860078807677358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9.9760986192844943</v>
      </c>
      <c r="K96" s="87">
        <f>IF(TrRoad_act!K12=0,0,K32/TrRoad_act!K12*1000)</f>
        <v>10.325259029066656</v>
      </c>
      <c r="L96" s="87">
        <f>IF(TrRoad_act!L12=0,0,L32/TrRoad_act!L12*1000)</f>
        <v>10.749077514379653</v>
      </c>
      <c r="M96" s="87">
        <f>IF(TrRoad_act!M12=0,0,M32/TrRoad_act!M12*1000)</f>
        <v>10.579873069724565</v>
      </c>
      <c r="N96" s="87">
        <f>IF(TrRoad_act!N12=0,0,N32/TrRoad_act!N12*1000)</f>
        <v>9.9250635552449467</v>
      </c>
      <c r="O96" s="87">
        <f>IF(TrRoad_act!O12=0,0,O32/TrRoad_act!O12*1000)</f>
        <v>10.171628256117804</v>
      </c>
      <c r="P96" s="87">
        <f>IF(TrRoad_act!P12=0,0,P32/TrRoad_act!P12*1000)</f>
        <v>10.494794526398659</v>
      </c>
      <c r="Q96" s="87">
        <f>IF(TrRoad_act!Q12=0,0,Q32/TrRoad_act!Q12*1000)</f>
        <v>10.347042576681087</v>
      </c>
      <c r="R96" s="87">
        <f>IF(TrRoad_act!R12=0,0,R32/TrRoad_act!R12*1000)</f>
        <v>10.14698173710905</v>
      </c>
      <c r="S96" s="87">
        <f>IF(TrRoad_act!S12=0,0,S32/TrRoad_act!S12*1000)</f>
        <v>10.359572166546821</v>
      </c>
      <c r="T96" s="87">
        <f>IF(TrRoad_act!T12=0,0,T32/TrRoad_act!T12*1000)</f>
        <v>11.374998072642054</v>
      </c>
      <c r="U96" s="87">
        <f>IF(TrRoad_act!U12=0,0,U32/TrRoad_act!U12*1000)</f>
        <v>12.06318692691241</v>
      </c>
      <c r="V96" s="87">
        <f>IF(TrRoad_act!V12=0,0,V32/TrRoad_act!V12*1000)</f>
        <v>12.342288561258002</v>
      </c>
      <c r="W96" s="87">
        <f>IF(TrRoad_act!W12=0,0,W32/TrRoad_act!W12*1000)</f>
        <v>12.224769370938194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27.302435906448832</v>
      </c>
      <c r="C97" s="116">
        <f>IF(TrRoad_act!C13=0,0,C33/TrRoad_act!C13*1000)</f>
        <v>28.92528972213448</v>
      </c>
      <c r="D97" s="116">
        <f>IF(TrRoad_act!D13=0,0,D33/TrRoad_act!D13*1000)</f>
        <v>32.550410174015653</v>
      </c>
      <c r="E97" s="116">
        <f>IF(TrRoad_act!E13=0,0,E33/TrRoad_act!E13*1000)</f>
        <v>30.153352902405715</v>
      </c>
      <c r="F97" s="116">
        <f>IF(TrRoad_act!F13=0,0,F33/TrRoad_act!F13*1000)</f>
        <v>28.754285934587966</v>
      </c>
      <c r="G97" s="116">
        <f>IF(TrRoad_act!G13=0,0,G33/TrRoad_act!G13*1000)</f>
        <v>30.552465991066484</v>
      </c>
      <c r="H97" s="116">
        <f>IF(TrRoad_act!H13=0,0,H33/TrRoad_act!H13*1000)</f>
        <v>32.075604145615863</v>
      </c>
      <c r="I97" s="116">
        <f>IF(TrRoad_act!I13=0,0,I33/TrRoad_act!I13*1000)</f>
        <v>31.799564190123622</v>
      </c>
      <c r="J97" s="116">
        <f>IF(TrRoad_act!J13=0,0,J33/TrRoad_act!J13*1000)</f>
        <v>32.768208330978922</v>
      </c>
      <c r="K97" s="116">
        <f>IF(TrRoad_act!K13=0,0,K33/TrRoad_act!K13*1000)</f>
        <v>35.018796400913587</v>
      </c>
      <c r="L97" s="116">
        <f>IF(TrRoad_act!L13=0,0,L33/TrRoad_act!L13*1000)</f>
        <v>35.634771056382533</v>
      </c>
      <c r="M97" s="116">
        <f>IF(TrRoad_act!M13=0,0,M33/TrRoad_act!M13*1000)</f>
        <v>36.976594713833457</v>
      </c>
      <c r="N97" s="116">
        <f>IF(TrRoad_act!N13=0,0,N33/TrRoad_act!N13*1000)</f>
        <v>29.883802311002764</v>
      </c>
      <c r="O97" s="116">
        <f>IF(TrRoad_act!O13=0,0,O33/TrRoad_act!O13*1000)</f>
        <v>27.912803732259203</v>
      </c>
      <c r="P97" s="116">
        <f>IF(TrRoad_act!P13=0,0,P33/TrRoad_act!P13*1000)</f>
        <v>36.351993374635029</v>
      </c>
      <c r="Q97" s="116">
        <f>IF(TrRoad_act!Q13=0,0,Q33/TrRoad_act!Q13*1000)</f>
        <v>38.240753429715838</v>
      </c>
      <c r="R97" s="116">
        <f>IF(TrRoad_act!R13=0,0,R33/TrRoad_act!R13*1000)</f>
        <v>41.656589726596145</v>
      </c>
      <c r="S97" s="116">
        <f>IF(TrRoad_act!S13=0,0,S33/TrRoad_act!S13*1000)</f>
        <v>36.923519608315978</v>
      </c>
      <c r="T97" s="116">
        <f>IF(TrRoad_act!T13=0,0,T33/TrRoad_act!T13*1000)</f>
        <v>36.547759005781444</v>
      </c>
      <c r="U97" s="116">
        <f>IF(TrRoad_act!U13=0,0,U33/TrRoad_act!U13*1000)</f>
        <v>34.107218014618617</v>
      </c>
      <c r="V97" s="116">
        <f>IF(TrRoad_act!V13=0,0,V33/TrRoad_act!V13*1000)</f>
        <v>46.073170107571883</v>
      </c>
      <c r="W97" s="116">
        <f>IF(TrRoad_act!W13=0,0,W33/TrRoad_act!W13*1000)</f>
        <v>38.9514357886897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20.456184839381621</v>
      </c>
      <c r="M98" s="101">
        <f>IF(TrRoad_act!M14=0,0,M34/TrRoad_act!M14*1000)</f>
        <v>20.530606632045004</v>
      </c>
      <c r="N98" s="101">
        <f>IF(TrRoad_act!N14=0,0,N34/TrRoad_act!N14*1000)</f>
        <v>19.420148930912198</v>
      </c>
      <c r="O98" s="101">
        <f>IF(TrRoad_act!O14=0,0,O34/TrRoad_act!O14*1000)</f>
        <v>17.882588032986209</v>
      </c>
      <c r="P98" s="101">
        <f>IF(TrRoad_act!P14=0,0,P34/TrRoad_act!P14*1000)</f>
        <v>20.339735059624569</v>
      </c>
      <c r="Q98" s="101">
        <f>IF(TrRoad_act!Q14=0,0,Q34/TrRoad_act!Q14*1000)</f>
        <v>20.2182678834379</v>
      </c>
      <c r="R98" s="101">
        <f>IF(TrRoad_act!R14=0,0,R34/TrRoad_act!R14*1000)</f>
        <v>20.193898119371596</v>
      </c>
      <c r="S98" s="101">
        <f>IF(TrRoad_act!S14=0,0,S34/TrRoad_act!S14*1000)</f>
        <v>19.919083893148589</v>
      </c>
      <c r="T98" s="101">
        <f>IF(TrRoad_act!T14=0,0,T34/TrRoad_act!T14*1000)</f>
        <v>19.914940864323761</v>
      </c>
      <c r="U98" s="101">
        <f>IF(TrRoad_act!U14=0,0,U34/TrRoad_act!U14*1000)</f>
        <v>19.500259429382243</v>
      </c>
      <c r="V98" s="101">
        <f>IF(TrRoad_act!V14=0,0,V34/TrRoad_act!V14*1000)</f>
        <v>19.878998594218157</v>
      </c>
      <c r="W98" s="101">
        <f>IF(TrRoad_act!W14=0,0,W34/TrRoad_act!W14*1000)</f>
        <v>19.655324859343843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27.300009865058669</v>
      </c>
      <c r="C99" s="101">
        <f>IF(TrRoad_act!C15=0,0,C36/TrRoad_act!C15*1000)</f>
        <v>28.949998373059849</v>
      </c>
      <c r="D99" s="101">
        <f>IF(TrRoad_act!D15=0,0,D36/TrRoad_act!D15*1000)</f>
        <v>32.584452142727486</v>
      </c>
      <c r="E99" s="101">
        <f>IF(TrRoad_act!E15=0,0,E36/TrRoad_act!E15*1000)</f>
        <v>30.225557894851775</v>
      </c>
      <c r="F99" s="101">
        <f>IF(TrRoad_act!F15=0,0,F36/TrRoad_act!F15*1000)</f>
        <v>28.817164947272072</v>
      </c>
      <c r="G99" s="101">
        <f>IF(TrRoad_act!G15=0,0,G36/TrRoad_act!G15*1000)</f>
        <v>30.621662008259918</v>
      </c>
      <c r="H99" s="101">
        <f>IF(TrRoad_act!H15=0,0,H36/TrRoad_act!H15*1000)</f>
        <v>32.127304996076099</v>
      </c>
      <c r="I99" s="101">
        <f>IF(TrRoad_act!I15=0,0,I36/TrRoad_act!I15*1000)</f>
        <v>31.838041067453069</v>
      </c>
      <c r="J99" s="101">
        <f>IF(TrRoad_act!J15=0,0,J36/TrRoad_act!J15*1000)</f>
        <v>32.844732248946535</v>
      </c>
      <c r="K99" s="101">
        <f>IF(TrRoad_act!K15=0,0,K36/TrRoad_act!K15*1000)</f>
        <v>35.199766685405791</v>
      </c>
      <c r="L99" s="101">
        <f>IF(TrRoad_act!L15=0,0,L36/TrRoad_act!L15*1000)</f>
        <v>35.835031213557293</v>
      </c>
      <c r="M99" s="101">
        <f>IF(TrRoad_act!M15=0,0,M36/TrRoad_act!M15*1000)</f>
        <v>37.198167489602248</v>
      </c>
      <c r="N99" s="101">
        <f>IF(TrRoad_act!N15=0,0,N36/TrRoad_act!N15*1000)</f>
        <v>30.165415123126717</v>
      </c>
      <c r="O99" s="101">
        <f>IF(TrRoad_act!O15=0,0,O36/TrRoad_act!O15*1000)</f>
        <v>27.932487780182868</v>
      </c>
      <c r="P99" s="101">
        <f>IF(TrRoad_act!P15=0,0,P36/TrRoad_act!P15*1000)</f>
        <v>36.274927051958898</v>
      </c>
      <c r="Q99" s="101">
        <f>IF(TrRoad_act!Q15=0,0,Q36/TrRoad_act!Q15*1000)</f>
        <v>37.780854495921425</v>
      </c>
      <c r="R99" s="101">
        <f>IF(TrRoad_act!R15=0,0,R36/TrRoad_act!R15*1000)</f>
        <v>41.204589245999493</v>
      </c>
      <c r="S99" s="101">
        <f>IF(TrRoad_act!S15=0,0,S36/TrRoad_act!S15*1000)</f>
        <v>36.34057354314119</v>
      </c>
      <c r="T99" s="101">
        <f>IF(TrRoad_act!T15=0,0,T36/TrRoad_act!T15*1000)</f>
        <v>36.32838422112799</v>
      </c>
      <c r="U99" s="101">
        <f>IF(TrRoad_act!U15=0,0,U36/TrRoad_act!U15*1000)</f>
        <v>32.986155702794328</v>
      </c>
      <c r="V99" s="101">
        <f>IF(TrRoad_act!V15=0,0,V36/TrRoad_act!V15*1000)</f>
        <v>43.60235555378938</v>
      </c>
      <c r="W99" s="101">
        <f>IF(TrRoad_act!W15=0,0,W36/TrRoad_act!W15*1000)</f>
        <v>37.926507702993739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29.033912278769204</v>
      </c>
      <c r="M100" s="101">
        <f>IF(TrRoad_act!M16=0,0,M38/TrRoad_act!M16*1000)</f>
        <v>30.241653182636778</v>
      </c>
      <c r="N100" s="101">
        <f>IF(TrRoad_act!N16=0,0,N38/TrRoad_act!N16*1000)</f>
        <v>25.017732179145426</v>
      </c>
      <c r="O100" s="101">
        <f>IF(TrRoad_act!O16=0,0,O38/TrRoad_act!O16*1000)</f>
        <v>23.23679049533596</v>
      </c>
      <c r="P100" s="101">
        <f>IF(TrRoad_act!P16=0,0,P38/TrRoad_act!P16*1000)</f>
        <v>30.399850859211639</v>
      </c>
      <c r="Q100" s="101">
        <f>IF(TrRoad_act!Q16=0,0,Q38/TrRoad_act!Q16*1000)</f>
        <v>31.556913430326919</v>
      </c>
      <c r="R100" s="101">
        <f>IF(TrRoad_act!R16=0,0,R38/TrRoad_act!R16*1000)</f>
        <v>34.631664532412458</v>
      </c>
      <c r="S100" s="101">
        <f>IF(TrRoad_act!S16=0,0,S38/TrRoad_act!S16*1000)</f>
        <v>30.497750172924704</v>
      </c>
      <c r="T100" s="101">
        <f>IF(TrRoad_act!T16=0,0,T38/TrRoad_act!T16*1000)</f>
        <v>30.426179937526364</v>
      </c>
      <c r="U100" s="101">
        <f>IF(TrRoad_act!U16=0,0,U38/TrRoad_act!U16*1000)</f>
        <v>27.45999834751866</v>
      </c>
      <c r="V100" s="101">
        <f>IF(TrRoad_act!V16=0,0,V38/TrRoad_act!V16*1000)</f>
        <v>36.431623634721383</v>
      </c>
      <c r="W100" s="101">
        <f>IF(TrRoad_act!W16=0,0,W38/TrRoad_act!W16*1000)</f>
        <v>31.648560816477357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28.018861509169241</v>
      </c>
      <c r="C101" s="101">
        <f>IF(TrRoad_act!C17=0,0,C39/TrRoad_act!C17*1000)</f>
        <v>27.283536485896974</v>
      </c>
      <c r="D101" s="101">
        <f>IF(TrRoad_act!D17=0,0,D39/TrRoad_act!D17*1000)</f>
        <v>31.066352256418519</v>
      </c>
      <c r="E101" s="101">
        <f>IF(TrRoad_act!E17=0,0,E39/TrRoad_act!E17*1000)</f>
        <v>27.871234614223972</v>
      </c>
      <c r="F101" s="101">
        <f>IF(TrRoad_act!F17=0,0,F39/TrRoad_act!F17*1000)</f>
        <v>26.872864140859203</v>
      </c>
      <c r="G101" s="101">
        <f>IF(TrRoad_act!G17=0,0,G39/TrRoad_act!G17*1000)</f>
        <v>29.452386157563129</v>
      </c>
      <c r="H101" s="101">
        <f>IF(TrRoad_act!H17=0,0,H39/TrRoad_act!H17*1000)</f>
        <v>31.187460882074742</v>
      </c>
      <c r="I101" s="101">
        <f>IF(TrRoad_act!I17=0,0,I39/TrRoad_act!I17*1000)</f>
        <v>31.187246268021941</v>
      </c>
      <c r="J101" s="101">
        <f>IF(TrRoad_act!J17=0,0,J39/TrRoad_act!J17*1000)</f>
        <v>31.581175215668051</v>
      </c>
      <c r="K101" s="101">
        <f>IF(TrRoad_act!K17=0,0,K39/TrRoad_act!K17*1000)</f>
        <v>32.268048686842349</v>
      </c>
      <c r="L101" s="101">
        <f>IF(TrRoad_act!L17=0,0,L39/TrRoad_act!L17*1000)</f>
        <v>33.083113065895333</v>
      </c>
      <c r="M101" s="101">
        <f>IF(TrRoad_act!M17=0,0,M39/TrRoad_act!M17*1000)</f>
        <v>34.116479716119635</v>
      </c>
      <c r="N101" s="101">
        <f>IF(TrRoad_act!N17=0,0,N39/TrRoad_act!N17*1000)</f>
        <v>27.090839001205087</v>
      </c>
      <c r="O101" s="101">
        <f>IF(TrRoad_act!O17=0,0,O39/TrRoad_act!O17*1000)</f>
        <v>28.322287044165407</v>
      </c>
      <c r="P101" s="101">
        <f>IF(TrRoad_act!P17=0,0,P39/TrRoad_act!P17*1000)</f>
        <v>38.620176816256574</v>
      </c>
      <c r="Q101" s="101">
        <f>IF(TrRoad_act!Q17=0,0,Q39/TrRoad_act!Q17*1000)</f>
        <v>47.252340691241308</v>
      </c>
      <c r="R101" s="101">
        <f>IF(TrRoad_act!R17=0,0,R39/TrRoad_act!R17*1000)</f>
        <v>51.232326844915967</v>
      </c>
      <c r="S101" s="101">
        <f>IF(TrRoad_act!S17=0,0,S39/TrRoad_act!S17*1000)</f>
        <v>50.481091440060858</v>
      </c>
      <c r="T101" s="101">
        <f>IF(TrRoad_act!T17=0,0,T39/TrRoad_act!T17*1000)</f>
        <v>43.481547486089205</v>
      </c>
      <c r="U101" s="101">
        <f>IF(TrRoad_act!U17=0,0,U39/TrRoad_act!U17*1000)</f>
        <v>66.722573422301522</v>
      </c>
      <c r="V101" s="101">
        <f>IF(TrRoad_act!V17=0,0,V39/TrRoad_act!V17*1000)</f>
        <v>94.030365382599243</v>
      </c>
      <c r="W101" s="101">
        <f>IF(TrRoad_act!W17=0,0,W39/TrRoad_act!W17*1000)</f>
        <v>54.970347858048257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16.351543004235292</v>
      </c>
      <c r="M102" s="101">
        <f>IF(TrRoad_act!M18=0,0,M41/TrRoad_act!M18*1000)</f>
        <v>17.031727856278309</v>
      </c>
      <c r="N102" s="101">
        <f>IF(TrRoad_act!N18=0,0,N41/TrRoad_act!N18*1000)</f>
        <v>13.790822423200748</v>
      </c>
      <c r="O102" s="101">
        <f>IF(TrRoad_act!O18=0,0,O41/TrRoad_act!O18*1000)</f>
        <v>12.809092731171907</v>
      </c>
      <c r="P102" s="101">
        <f>IF(TrRoad_act!P18=0,0,P41/TrRoad_act!P18*1000)</f>
        <v>16.542199445663517</v>
      </c>
      <c r="Q102" s="101">
        <f>IF(TrRoad_act!Q18=0,0,Q41/TrRoad_act!Q18*1000)</f>
        <v>17.171819633971161</v>
      </c>
      <c r="R102" s="101">
        <f>IF(TrRoad_act!R18=0,0,R41/TrRoad_act!R18*1000)</f>
        <v>18.72709937991079</v>
      </c>
      <c r="S102" s="101">
        <f>IF(TrRoad_act!S18=0,0,S41/TrRoad_act!S18*1000)</f>
        <v>16.812981901282079</v>
      </c>
      <c r="T102" s="101">
        <f>IF(TrRoad_act!T18=0,0,T41/TrRoad_act!T18*1000)</f>
        <v>17.132922035393833</v>
      </c>
      <c r="U102" s="101">
        <f>IF(TrRoad_act!U18=0,0,U41/TrRoad_act!U18*1000)</f>
        <v>15.616061369623866</v>
      </c>
      <c r="V102" s="101">
        <f>IF(TrRoad_act!V18=0,0,V41/TrRoad_act!V18*1000)</f>
        <v>20.728278878674331</v>
      </c>
      <c r="W102" s="101">
        <f>IF(TrRoad_act!W18=0,0,W41/TrRoad_act!W18*1000)</f>
        <v>18.077548721319214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111.91651042495911</v>
      </c>
      <c r="C103" s="29">
        <f>IF(TrRoad_act!C19=0,0,C42/TrRoad_act!C19*1000)</f>
        <v>102.43311615977591</v>
      </c>
      <c r="D103" s="29">
        <f>IF(TrRoad_act!D19=0,0,D42/TrRoad_act!D19*1000)</f>
        <v>106.24386099998495</v>
      </c>
      <c r="E103" s="29">
        <f>IF(TrRoad_act!E19=0,0,E42/TrRoad_act!E19*1000)</f>
        <v>113.49991036575499</v>
      </c>
      <c r="F103" s="29">
        <f>IF(TrRoad_act!F19=0,0,F42/TrRoad_act!F19*1000)</f>
        <v>98.337541020593065</v>
      </c>
      <c r="G103" s="29">
        <f>IF(TrRoad_act!G19=0,0,G42/TrRoad_act!G19*1000)</f>
        <v>94.772719182044113</v>
      </c>
      <c r="H103" s="29">
        <f>IF(TrRoad_act!H19=0,0,H42/TrRoad_act!H19*1000)</f>
        <v>92.372008958899741</v>
      </c>
      <c r="I103" s="29">
        <f>IF(TrRoad_act!I19=0,0,I42/TrRoad_act!I19*1000)</f>
        <v>86.002914178313063</v>
      </c>
      <c r="J103" s="29">
        <f>IF(TrRoad_act!J19=0,0,J42/TrRoad_act!J19*1000)</f>
        <v>91.603420997007447</v>
      </c>
      <c r="K103" s="29">
        <f>IF(TrRoad_act!K19=0,0,K42/TrRoad_act!K19*1000)</f>
        <v>97.915328370707968</v>
      </c>
      <c r="L103" s="29">
        <f>IF(TrRoad_act!L19=0,0,L42/TrRoad_act!L19*1000)</f>
        <v>106.04559732176637</v>
      </c>
      <c r="M103" s="29">
        <f>IF(TrRoad_act!M19=0,0,M42/TrRoad_act!M19*1000)</f>
        <v>96.707199143677244</v>
      </c>
      <c r="N103" s="29">
        <f>IF(TrRoad_act!N19=0,0,N42/TrRoad_act!N19*1000)</f>
        <v>96.767555341675134</v>
      </c>
      <c r="O103" s="29">
        <f>IF(TrRoad_act!O19=0,0,O42/TrRoad_act!O19*1000)</f>
        <v>95.960606000812348</v>
      </c>
      <c r="P103" s="29">
        <f>IF(TrRoad_act!P19=0,0,P42/TrRoad_act!P19*1000)</f>
        <v>90.275946245229875</v>
      </c>
      <c r="Q103" s="29">
        <f>IF(TrRoad_act!Q19=0,0,Q42/TrRoad_act!Q19*1000)</f>
        <v>93.397964697920912</v>
      </c>
      <c r="R103" s="29">
        <f>IF(TrRoad_act!R19=0,0,R42/TrRoad_act!R19*1000)</f>
        <v>93.357710922291957</v>
      </c>
      <c r="S103" s="29">
        <f>IF(TrRoad_act!S19=0,0,S42/TrRoad_act!S19*1000)</f>
        <v>91.519405376436708</v>
      </c>
      <c r="T103" s="29">
        <f>IF(TrRoad_act!T19=0,0,T42/TrRoad_act!T19*1000)</f>
        <v>91.533042089869255</v>
      </c>
      <c r="U103" s="29">
        <f>IF(TrRoad_act!U19=0,0,U42/TrRoad_act!U19*1000)</f>
        <v>92.972483569476694</v>
      </c>
      <c r="V103" s="29">
        <f>IF(TrRoad_act!V19=0,0,V42/TrRoad_act!V19*1000)</f>
        <v>94.078179243755983</v>
      </c>
      <c r="W103" s="29">
        <f>IF(TrRoad_act!W19=0,0,W42/TrRoad_act!W19*1000)</f>
        <v>92.228020089579033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737.91945229865678</v>
      </c>
      <c r="C104" s="152">
        <f>IF(TrRoad_act!C20=0,0,C43/TrRoad_act!C20*1000)</f>
        <v>688.11555235387402</v>
      </c>
      <c r="D104" s="152">
        <f>IF(TrRoad_act!D20=0,0,D43/TrRoad_act!D20*1000)</f>
        <v>685.28265888541375</v>
      </c>
      <c r="E104" s="152">
        <f>IF(TrRoad_act!E20=0,0,E43/TrRoad_act!E20*1000)</f>
        <v>691.25140676284661</v>
      </c>
      <c r="F104" s="152">
        <f>IF(TrRoad_act!F20=0,0,F43/TrRoad_act!F20*1000)</f>
        <v>673.36707571417469</v>
      </c>
      <c r="G104" s="152">
        <f>IF(TrRoad_act!G20=0,0,G43/TrRoad_act!G20*1000)</f>
        <v>646.62738851713152</v>
      </c>
      <c r="H104" s="152">
        <f>IF(TrRoad_act!H20=0,0,H43/TrRoad_act!H20*1000)</f>
        <v>627.34481351634361</v>
      </c>
      <c r="I104" s="152">
        <f>IF(TrRoad_act!I20=0,0,I43/TrRoad_act!I20*1000)</f>
        <v>602.62755257668243</v>
      </c>
      <c r="J104" s="152">
        <f>IF(TrRoad_act!J20=0,0,J43/TrRoad_act!J20*1000)</f>
        <v>586.90394010173134</v>
      </c>
      <c r="K104" s="152">
        <f>IF(TrRoad_act!K20=0,0,K43/TrRoad_act!K20*1000)</f>
        <v>572.84675542383934</v>
      </c>
      <c r="L104" s="152">
        <f>IF(TrRoad_act!L20=0,0,L43/TrRoad_act!L20*1000)</f>
        <v>557.89994778452467</v>
      </c>
      <c r="M104" s="152">
        <f>IF(TrRoad_act!M20=0,0,M43/TrRoad_act!M20*1000)</f>
        <v>535.97290883321307</v>
      </c>
      <c r="N104" s="152">
        <f>IF(TrRoad_act!N20=0,0,N43/TrRoad_act!N20*1000)</f>
        <v>519.51820485948815</v>
      </c>
      <c r="O104" s="152">
        <f>IF(TrRoad_act!O20=0,0,O43/TrRoad_act!O20*1000)</f>
        <v>512.36376460663928</v>
      </c>
      <c r="P104" s="152">
        <f>IF(TrRoad_act!P20=0,0,P43/TrRoad_act!P20*1000)</f>
        <v>499.87724476172053</v>
      </c>
      <c r="Q104" s="152">
        <f>IF(TrRoad_act!Q20=0,0,Q43/TrRoad_act!Q20*1000)</f>
        <v>496.4139382846875</v>
      </c>
      <c r="R104" s="152">
        <f>IF(TrRoad_act!R20=0,0,R43/TrRoad_act!R20*1000)</f>
        <v>491.91492425118764</v>
      </c>
      <c r="S104" s="152">
        <f>IF(TrRoad_act!S20=0,0,S43/TrRoad_act!S20*1000)</f>
        <v>483.62971171903706</v>
      </c>
      <c r="T104" s="152">
        <f>IF(TrRoad_act!T20=0,0,T43/TrRoad_act!T20*1000)</f>
        <v>475.12838408396919</v>
      </c>
      <c r="U104" s="152">
        <f>IF(TrRoad_act!U20=0,0,U43/TrRoad_act!U20*1000)</f>
        <v>460.9451933867648</v>
      </c>
      <c r="V104" s="152">
        <f>IF(TrRoad_act!V20=0,0,V43/TrRoad_act!V20*1000)</f>
        <v>449.67484701491765</v>
      </c>
      <c r="W104" s="152">
        <f>IF(TrRoad_act!W20=0,0,W43/TrRoad_act!W20*1000)</f>
        <v>458.95162916947436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958.21046817544266</v>
      </c>
      <c r="C105" s="87">
        <f>IF(TrRoad_act!C21=0,0,C44/TrRoad_act!C21*1000)</f>
        <v>926.28536070510461</v>
      </c>
      <c r="D105" s="87">
        <f>IF(TrRoad_act!D21=0,0,D44/TrRoad_act!D21*1000)</f>
        <v>933.27920165861667</v>
      </c>
      <c r="E105" s="87">
        <f>IF(TrRoad_act!E21=0,0,E44/TrRoad_act!E21*1000)</f>
        <v>912.66830854634884</v>
      </c>
      <c r="F105" s="87">
        <f>IF(TrRoad_act!F21=0,0,F44/TrRoad_act!F21*1000)</f>
        <v>898.93728278427784</v>
      </c>
      <c r="G105" s="87">
        <f>IF(TrRoad_act!G21=0,0,G44/TrRoad_act!G21*1000)</f>
        <v>868.44017780255308</v>
      </c>
      <c r="H105" s="87">
        <f>IF(TrRoad_act!H21=0,0,H44/TrRoad_act!H21*1000)</f>
        <v>846.20152665763521</v>
      </c>
      <c r="I105" s="87">
        <f>IF(TrRoad_act!I21=0,0,I44/TrRoad_act!I21*1000)</f>
        <v>813.36022530520643</v>
      </c>
      <c r="J105" s="87">
        <f>IF(TrRoad_act!J21=0,0,J44/TrRoad_act!J21*1000)</f>
        <v>796.51148951593427</v>
      </c>
      <c r="K105" s="87">
        <f>IF(TrRoad_act!K21=0,0,K44/TrRoad_act!K21*1000)</f>
        <v>782.62679295731527</v>
      </c>
      <c r="L105" s="87">
        <f>IF(TrRoad_act!L21=0,0,L44/TrRoad_act!L21*1000)</f>
        <v>763.62768062911778</v>
      </c>
      <c r="M105" s="87">
        <f>IF(TrRoad_act!M21=0,0,M44/TrRoad_act!M21*1000)</f>
        <v>737.03267387147321</v>
      </c>
      <c r="N105" s="87">
        <f>IF(TrRoad_act!N21=0,0,N44/TrRoad_act!N21*1000)</f>
        <v>724.72312415264616</v>
      </c>
      <c r="O105" s="87">
        <f>IF(TrRoad_act!O21=0,0,O44/TrRoad_act!O21*1000)</f>
        <v>714.34287132837073</v>
      </c>
      <c r="P105" s="87">
        <f>IF(TrRoad_act!P21=0,0,P44/TrRoad_act!P21*1000)</f>
        <v>708.28436601632757</v>
      </c>
      <c r="Q105" s="87">
        <f>IF(TrRoad_act!Q21=0,0,Q44/TrRoad_act!Q21*1000)</f>
        <v>690.3162611830877</v>
      </c>
      <c r="R105" s="87">
        <f>IF(TrRoad_act!R21=0,0,R44/TrRoad_act!R21*1000)</f>
        <v>678.8874331884133</v>
      </c>
      <c r="S105" s="87">
        <f>IF(TrRoad_act!S21=0,0,S44/TrRoad_act!S21*1000)</f>
        <v>653.82245365345511</v>
      </c>
      <c r="T105" s="87">
        <f>IF(TrRoad_act!T21=0,0,T44/TrRoad_act!T21*1000)</f>
        <v>640.54333524203389</v>
      </c>
      <c r="U105" s="87">
        <f>IF(TrRoad_act!U21=0,0,U44/TrRoad_act!U21*1000)</f>
        <v>617.61169838772628</v>
      </c>
      <c r="V105" s="87">
        <f>IF(TrRoad_act!V21=0,0,V44/TrRoad_act!V21*1000)</f>
        <v>587.73916826068489</v>
      </c>
      <c r="W105" s="87">
        <f>IF(TrRoad_act!W21=0,0,W44/TrRoad_act!W21*1000)</f>
        <v>597.34445891317546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735.31807827178773</v>
      </c>
      <c r="C106" s="87">
        <f>IF(TrRoad_act!C22=0,0,C46/TrRoad_act!C22*1000)</f>
        <v>685.65033828067067</v>
      </c>
      <c r="D106" s="87">
        <f>IF(TrRoad_act!D22=0,0,D46/TrRoad_act!D22*1000)</f>
        <v>682.78896321356865</v>
      </c>
      <c r="E106" s="87">
        <f>IF(TrRoad_act!E22=0,0,E46/TrRoad_act!E22*1000)</f>
        <v>688.72151036485377</v>
      </c>
      <c r="F106" s="87">
        <f>IF(TrRoad_act!F22=0,0,F46/TrRoad_act!F22*1000)</f>
        <v>670.99336417834627</v>
      </c>
      <c r="G106" s="87">
        <f>IF(TrRoad_act!G22=0,0,G46/TrRoad_act!G22*1000)</f>
        <v>644.37337505062737</v>
      </c>
      <c r="H106" s="87">
        <f>IF(TrRoad_act!H22=0,0,H46/TrRoad_act!H22*1000)</f>
        <v>625.18155463615415</v>
      </c>
      <c r="I106" s="87">
        <f>IF(TrRoad_act!I22=0,0,I46/TrRoad_act!I22*1000)</f>
        <v>600.61348806993897</v>
      </c>
      <c r="J106" s="87">
        <f>IF(TrRoad_act!J22=0,0,J46/TrRoad_act!J22*1000)</f>
        <v>584.95303902269177</v>
      </c>
      <c r="K106" s="87">
        <f>IF(TrRoad_act!K22=0,0,K46/TrRoad_act!K22*1000)</f>
        <v>570.94424575003552</v>
      </c>
      <c r="L106" s="87">
        <f>IF(TrRoad_act!L22=0,0,L46/TrRoad_act!L22*1000)</f>
        <v>556.08556886656083</v>
      </c>
      <c r="M106" s="87">
        <f>IF(TrRoad_act!M22=0,0,M46/TrRoad_act!M22*1000)</f>
        <v>534.36543048590397</v>
      </c>
      <c r="N106" s="87">
        <f>IF(TrRoad_act!N22=0,0,N46/TrRoad_act!N22*1000)</f>
        <v>517.91016982891358</v>
      </c>
      <c r="O106" s="87">
        <f>IF(TrRoad_act!O22=0,0,O46/TrRoad_act!O22*1000)</f>
        <v>510.88406471670646</v>
      </c>
      <c r="P106" s="87">
        <f>IF(TrRoad_act!P22=0,0,P46/TrRoad_act!P22*1000)</f>
        <v>498.53669282750758</v>
      </c>
      <c r="Q106" s="87">
        <f>IF(TrRoad_act!Q22=0,0,Q46/TrRoad_act!Q22*1000)</f>
        <v>495.04861964727996</v>
      </c>
      <c r="R106" s="87">
        <f>IF(TrRoad_act!R22=0,0,R46/TrRoad_act!R22*1000)</f>
        <v>490.72496369380519</v>
      </c>
      <c r="S106" s="87">
        <f>IF(TrRoad_act!S22=0,0,S46/TrRoad_act!S22*1000)</f>
        <v>482.63398085929413</v>
      </c>
      <c r="T106" s="87">
        <f>IF(TrRoad_act!T22=0,0,T46/TrRoad_act!T22*1000)</f>
        <v>474.36136734500457</v>
      </c>
      <c r="U106" s="87">
        <f>IF(TrRoad_act!U22=0,0,U46/TrRoad_act!U22*1000)</f>
        <v>460.10752574109517</v>
      </c>
      <c r="V106" s="87">
        <f>IF(TrRoad_act!V22=0,0,V46/TrRoad_act!V22*1000)</f>
        <v>449.26367419335475</v>
      </c>
      <c r="W106" s="87">
        <f>IF(TrRoad_act!W22=0,0,W46/TrRoad_act!W22*1000)</f>
        <v>458.60944175468876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1506.2554619595924</v>
      </c>
      <c r="C107" s="87">
        <f>IF(TrRoad_act!C23=0,0,C48/TrRoad_act!C23*1000)</f>
        <v>1459.3296796339955</v>
      </c>
      <c r="D107" s="87">
        <f>IF(TrRoad_act!D23=0,0,D48/TrRoad_act!D23*1000)</f>
        <v>1451.9759123555075</v>
      </c>
      <c r="E107" s="87">
        <f>IF(TrRoad_act!E23=0,0,E48/TrRoad_act!E23*1000)</f>
        <v>1415.4386971340473</v>
      </c>
      <c r="F107" s="87">
        <f>IF(TrRoad_act!F23=0,0,F48/TrRoad_act!F23*1000)</f>
        <v>1392.9136868383634</v>
      </c>
      <c r="G107" s="87">
        <f>IF(TrRoad_act!G23=0,0,G48/TrRoad_act!G23*1000)</f>
        <v>1334.5814920484524</v>
      </c>
      <c r="H107" s="87">
        <f>IF(TrRoad_act!H23=0,0,H48/TrRoad_act!H23*1000)</f>
        <v>1286.9730267550008</v>
      </c>
      <c r="I107" s="87">
        <f>IF(TrRoad_act!I23=0,0,I48/TrRoad_act!I23*1000)</f>
        <v>1226.1029707004234</v>
      </c>
      <c r="J107" s="87">
        <f>IF(TrRoad_act!J23=0,0,J48/TrRoad_act!J23*1000)</f>
        <v>1187.0039869405909</v>
      </c>
      <c r="K107" s="87">
        <f>IF(TrRoad_act!K23=0,0,K48/TrRoad_act!K23*1000)</f>
        <v>1149.957713134364</v>
      </c>
      <c r="L107" s="87">
        <f>IF(TrRoad_act!L23=0,0,L48/TrRoad_act!L23*1000)</f>
        <v>1120.0251763778419</v>
      </c>
      <c r="M107" s="87">
        <f>IF(TrRoad_act!M23=0,0,M48/TrRoad_act!M23*1000)</f>
        <v>1072.4185878760597</v>
      </c>
      <c r="N107" s="87">
        <f>IF(TrRoad_act!N23=0,0,N48/TrRoad_act!N23*1000)</f>
        <v>1021.6715834185388</v>
      </c>
      <c r="O107" s="87">
        <f>IF(TrRoad_act!O23=0,0,O48/TrRoad_act!O23*1000)</f>
        <v>1012.9235900235414</v>
      </c>
      <c r="P107" s="87">
        <f>IF(TrRoad_act!P23=0,0,P48/TrRoad_act!P23*1000)</f>
        <v>987.50225595490861</v>
      </c>
      <c r="Q107" s="87">
        <f>IF(TrRoad_act!Q23=0,0,Q48/TrRoad_act!Q23*1000)</f>
        <v>967.26238908188475</v>
      </c>
      <c r="R107" s="87">
        <f>IF(TrRoad_act!R23=0,0,R48/TrRoad_act!R23*1000)</f>
        <v>953.21972038760282</v>
      </c>
      <c r="S107" s="87">
        <f>IF(TrRoad_act!S23=0,0,S48/TrRoad_act!S23*1000)</f>
        <v>925.84344825243966</v>
      </c>
      <c r="T107" s="87">
        <f>IF(TrRoad_act!T23=0,0,T48/TrRoad_act!T23*1000)</f>
        <v>881.73687741721756</v>
      </c>
      <c r="U107" s="87">
        <f>IF(TrRoad_act!U23=0,0,U48/TrRoad_act!U23*1000)</f>
        <v>801.06135830436961</v>
      </c>
      <c r="V107" s="87">
        <f>IF(TrRoad_act!V23=0,0,V48/TrRoad_act!V23*1000)</f>
        <v>770.66798722103931</v>
      </c>
      <c r="W107" s="87">
        <f>IF(TrRoad_act!W23=0,0,W48/TrRoad_act!W23*1000)</f>
        <v>779.43503527808411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665.36115020406692</v>
      </c>
      <c r="P108" s="87">
        <f>IF(TrRoad_act!P24=0,0,P49/TrRoad_act!P24*1000)</f>
        <v>661.64097387362528</v>
      </c>
      <c r="Q108" s="87">
        <f>IF(TrRoad_act!Q24=0,0,Q49/TrRoad_act!Q24*1000)</f>
        <v>730.99258817295731</v>
      </c>
      <c r="R108" s="87">
        <f>IF(TrRoad_act!R24=0,0,R49/TrRoad_act!R24*1000)</f>
        <v>688.4247545925266</v>
      </c>
      <c r="S108" s="87">
        <f>IF(TrRoad_act!S24=0,0,S49/TrRoad_act!S24*1000)</f>
        <v>680.45848104243169</v>
      </c>
      <c r="T108" s="87">
        <f>IF(TrRoad_act!T24=0,0,T49/TrRoad_act!T24*1000)</f>
        <v>693.02670845635157</v>
      </c>
      <c r="U108" s="87">
        <f>IF(TrRoad_act!U24=0,0,U49/TrRoad_act!U24*1000)</f>
        <v>759.46843333364507</v>
      </c>
      <c r="V108" s="87">
        <f>IF(TrRoad_act!V24=0,0,V49/TrRoad_act!V24*1000)</f>
        <v>743.64308261158931</v>
      </c>
      <c r="W108" s="87">
        <f>IF(TrRoad_act!W24=0,0,W49/TrRoad_act!W24*1000)</f>
        <v>841.03392372773226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98.701762104374836</v>
      </c>
      <c r="N109" s="87">
        <f>IF(TrRoad_act!N25=0,0,N51/TrRoad_act!N25*1000)</f>
        <v>98.475137108487473</v>
      </c>
      <c r="O109" s="87">
        <f>IF(TrRoad_act!O25=0,0,O51/TrRoad_act!O25*1000)</f>
        <v>102.09394613044924</v>
      </c>
      <c r="P109" s="87">
        <f>IF(TrRoad_act!P25=0,0,P51/TrRoad_act!P25*1000)</f>
        <v>103.38591020052138</v>
      </c>
      <c r="Q109" s="87">
        <f>IF(TrRoad_act!Q25=0,0,Q51/TrRoad_act!Q25*1000)</f>
        <v>105.50867164747667</v>
      </c>
      <c r="R109" s="87">
        <f>IF(TrRoad_act!R25=0,0,R51/TrRoad_act!R25*1000)</f>
        <v>107.28143479366557</v>
      </c>
      <c r="S109" s="87">
        <f>IF(TrRoad_act!S25=0,0,S51/TrRoad_act!S25*1000)</f>
        <v>109.60644356638129</v>
      </c>
      <c r="T109" s="87">
        <f>IF(TrRoad_act!T25=0,0,T51/TrRoad_act!T25*1000)</f>
        <v>114.75286994514143</v>
      </c>
      <c r="U109" s="87">
        <f>IF(TrRoad_act!U25=0,0,U51/TrRoad_act!U25*1000)</f>
        <v>119.73854669263226</v>
      </c>
      <c r="V109" s="87">
        <f>IF(TrRoad_act!V25=0,0,V51/TrRoad_act!V25*1000)</f>
        <v>124.34866831882192</v>
      </c>
      <c r="W109" s="87">
        <f>IF(TrRoad_act!W25=0,0,W51/TrRoad_act!W25*1000)</f>
        <v>132.20664494731349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31.956015542345305</v>
      </c>
      <c r="C110" s="116">
        <f>IF(TrRoad_act!C26=0,0,C52/TrRoad_act!C26*1000)</f>
        <v>33.869550604393261</v>
      </c>
      <c r="D110" s="116">
        <f>IF(TrRoad_act!D26=0,0,D52/TrRoad_act!D26*1000)</f>
        <v>34.47140246276291</v>
      </c>
      <c r="E110" s="116">
        <f>IF(TrRoad_act!E26=0,0,E52/TrRoad_act!E26*1000)</f>
        <v>41.720487396749419</v>
      </c>
      <c r="F110" s="116">
        <f>IF(TrRoad_act!F26=0,0,F52/TrRoad_act!F26*1000)</f>
        <v>41.779527576689951</v>
      </c>
      <c r="G110" s="116">
        <f>IF(TrRoad_act!G26=0,0,G52/TrRoad_act!G26*1000)</f>
        <v>42.586018436597428</v>
      </c>
      <c r="H110" s="116">
        <f>IF(TrRoad_act!H26=0,0,H52/TrRoad_act!H26*1000)</f>
        <v>42.271471617909945</v>
      </c>
      <c r="I110" s="116">
        <f>IF(TrRoad_act!I26=0,0,I52/TrRoad_act!I26*1000)</f>
        <v>41.485385148063123</v>
      </c>
      <c r="J110" s="116">
        <f>IF(TrRoad_act!J26=0,0,J52/TrRoad_act!J26*1000)</f>
        <v>44.395872085185985</v>
      </c>
      <c r="K110" s="116">
        <f>IF(TrRoad_act!K26=0,0,K52/TrRoad_act!K26*1000)</f>
        <v>45.711830279906472</v>
      </c>
      <c r="L110" s="116">
        <f>IF(TrRoad_act!L26=0,0,L52/TrRoad_act!L26*1000)</f>
        <v>51.656582435540763</v>
      </c>
      <c r="M110" s="116">
        <f>IF(TrRoad_act!M26=0,0,M52/TrRoad_act!M26*1000)</f>
        <v>49.049751910604776</v>
      </c>
      <c r="N110" s="116">
        <f>IF(TrRoad_act!N26=0,0,N52/TrRoad_act!N26*1000)</f>
        <v>50.517910736943008</v>
      </c>
      <c r="O110" s="116">
        <f>IF(TrRoad_act!O26=0,0,O52/TrRoad_act!O26*1000)</f>
        <v>50.173805974904269</v>
      </c>
      <c r="P110" s="116">
        <f>IF(TrRoad_act!P26=0,0,P52/TrRoad_act!P26*1000)</f>
        <v>43.854397226337817</v>
      </c>
      <c r="Q110" s="116">
        <f>IF(TrRoad_act!Q26=0,0,Q52/TrRoad_act!Q26*1000)</f>
        <v>46.774223282553713</v>
      </c>
      <c r="R110" s="116">
        <f>IF(TrRoad_act!R26=0,0,R52/TrRoad_act!R26*1000)</f>
        <v>46.057571232390231</v>
      </c>
      <c r="S110" s="116">
        <f>IF(TrRoad_act!S26=0,0,S52/TrRoad_act!S26*1000)</f>
        <v>44.098488606186322</v>
      </c>
      <c r="T110" s="116">
        <f>IF(TrRoad_act!T26=0,0,T52/TrRoad_act!T26*1000)</f>
        <v>43.523437341126332</v>
      </c>
      <c r="U110" s="116">
        <f>IF(TrRoad_act!U26=0,0,U52/TrRoad_act!U26*1000)</f>
        <v>44.752925527673668</v>
      </c>
      <c r="V110" s="116">
        <f>IF(TrRoad_act!V26=0,0,V52/TrRoad_act!V26*1000)</f>
        <v>46.061954567613405</v>
      </c>
      <c r="W110" s="116">
        <f>IF(TrRoad_act!W26=0,0,W52/TrRoad_act!W26*1000)</f>
        <v>44.205210772901559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33.508067814534833</v>
      </c>
      <c r="C111" s="101">
        <f>IF(TrRoad_act!C27=0,0,C53/TrRoad_act!C27*1000)</f>
        <v>35.579623596372031</v>
      </c>
      <c r="D111" s="101">
        <f>IF(TrRoad_act!D27=0,0,D53/TrRoad_act!D27*1000)</f>
        <v>36.638507176246144</v>
      </c>
      <c r="E111" s="101">
        <f>IF(TrRoad_act!E27=0,0,E53/TrRoad_act!E27*1000)</f>
        <v>44.798669954484495</v>
      </c>
      <c r="F111" s="101">
        <f>IF(TrRoad_act!F27=0,0,F53/TrRoad_act!F27*1000)</f>
        <v>44.78415023210826</v>
      </c>
      <c r="G111" s="101">
        <f>IF(TrRoad_act!G27=0,0,G53/TrRoad_act!G27*1000)</f>
        <v>46.193516964488744</v>
      </c>
      <c r="H111" s="101">
        <f>IF(TrRoad_act!H27=0,0,H53/TrRoad_act!H27*1000)</f>
        <v>46.070354718490805</v>
      </c>
      <c r="I111" s="101">
        <f>IF(TrRoad_act!I27=0,0,I53/TrRoad_act!I27*1000)</f>
        <v>45.218583720531797</v>
      </c>
      <c r="J111" s="101">
        <f>IF(TrRoad_act!J27=0,0,J53/TrRoad_act!J27*1000)</f>
        <v>48.330199971903518</v>
      </c>
      <c r="K111" s="101">
        <f>IF(TrRoad_act!K27=0,0,K53/TrRoad_act!K27*1000)</f>
        <v>50.477723873052078</v>
      </c>
      <c r="L111" s="101">
        <f>IF(TrRoad_act!L27=0,0,L53/TrRoad_act!L27*1000)</f>
        <v>59.724847436431233</v>
      </c>
      <c r="M111" s="101">
        <f>IF(TrRoad_act!M27=0,0,M53/TrRoad_act!M27*1000)</f>
        <v>56.665527749915633</v>
      </c>
      <c r="N111" s="101">
        <f>IF(TrRoad_act!N27=0,0,N53/TrRoad_act!N27*1000)</f>
        <v>56.307040020105404</v>
      </c>
      <c r="O111" s="101">
        <f>IF(TrRoad_act!O27=0,0,O53/TrRoad_act!O27*1000)</f>
        <v>57.561057055087907</v>
      </c>
      <c r="P111" s="101">
        <f>IF(TrRoad_act!P27=0,0,P53/TrRoad_act!P27*1000)</f>
        <v>48.175689051021017</v>
      </c>
      <c r="Q111" s="101">
        <f>IF(TrRoad_act!Q27=0,0,Q53/TrRoad_act!Q27*1000)</f>
        <v>52.907170876765697</v>
      </c>
      <c r="R111" s="101">
        <f>IF(TrRoad_act!R27=0,0,R53/TrRoad_act!R27*1000)</f>
        <v>52.309896444383909</v>
      </c>
      <c r="S111" s="101">
        <f>IF(TrRoad_act!S27=0,0,S53/TrRoad_act!S27*1000)</f>
        <v>49.334436263286619</v>
      </c>
      <c r="T111" s="101">
        <f>IF(TrRoad_act!T27=0,0,T53/TrRoad_act!T27*1000)</f>
        <v>49.127035206077359</v>
      </c>
      <c r="U111" s="101">
        <f>IF(TrRoad_act!U27=0,0,U53/TrRoad_act!U27*1000)</f>
        <v>50.285993186100796</v>
      </c>
      <c r="V111" s="101">
        <f>IF(TrRoad_act!V27=0,0,V53/TrRoad_act!V27*1000)</f>
        <v>51.646799757172545</v>
      </c>
      <c r="W111" s="101">
        <f>IF(TrRoad_act!W27=0,0,W53/TrRoad_act!W27*1000)</f>
        <v>50.234206456202124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27.191054014538285</v>
      </c>
      <c r="C112" s="88">
        <f>IF(TrRoad_act!C28=0,0,C55/TrRoad_act!C28*1000)</f>
        <v>28.234110217843135</v>
      </c>
      <c r="D112" s="88">
        <f>IF(TrRoad_act!D28=0,0,D55/TrRoad_act!D28*1000)</f>
        <v>28.318876149355429</v>
      </c>
      <c r="E112" s="88">
        <f>IF(TrRoad_act!E28=0,0,E55/TrRoad_act!E28*1000)</f>
        <v>33.533036775317882</v>
      </c>
      <c r="F112" s="88">
        <f>IF(TrRoad_act!F28=0,0,F55/TrRoad_act!F28*1000)</f>
        <v>33.325222189757277</v>
      </c>
      <c r="G112" s="88">
        <f>IF(TrRoad_act!G28=0,0,G55/TrRoad_act!G28*1000)</f>
        <v>32.77745114991987</v>
      </c>
      <c r="H112" s="88">
        <f>IF(TrRoad_act!H28=0,0,H55/TrRoad_act!H28*1000)</f>
        <v>32.607185802019472</v>
      </c>
      <c r="I112" s="88">
        <f>IF(TrRoad_act!I28=0,0,I55/TrRoad_act!I28*1000)</f>
        <v>32.437289186744955</v>
      </c>
      <c r="J112" s="88">
        <f>IF(TrRoad_act!J28=0,0,J55/TrRoad_act!J28*1000)</f>
        <v>34.134648475182189</v>
      </c>
      <c r="K112" s="88">
        <f>IF(TrRoad_act!K28=0,0,K55/TrRoad_act!K28*1000)</f>
        <v>35.131770934106676</v>
      </c>
      <c r="L112" s="88">
        <f>IF(TrRoad_act!L28=0,0,L55/TrRoad_act!L28*1000)</f>
        <v>34.530585233101505</v>
      </c>
      <c r="M112" s="88">
        <f>IF(TrRoad_act!M28=0,0,M55/TrRoad_act!M28*1000)</f>
        <v>33.930323438585731</v>
      </c>
      <c r="N112" s="88">
        <f>IF(TrRoad_act!N28=0,0,N55/TrRoad_act!N28*1000)</f>
        <v>38.258752240047485</v>
      </c>
      <c r="O112" s="88">
        <f>IF(TrRoad_act!O28=0,0,O55/TrRoad_act!O28*1000)</f>
        <v>38.114399024548</v>
      </c>
      <c r="P112" s="88">
        <f>IF(TrRoad_act!P28=0,0,P55/TrRoad_act!P28*1000)</f>
        <v>36.534855535729108</v>
      </c>
      <c r="Q112" s="88">
        <f>IF(TrRoad_act!Q28=0,0,Q55/TrRoad_act!Q28*1000)</f>
        <v>34.811689469676658</v>
      </c>
      <c r="R112" s="88">
        <f>IF(TrRoad_act!R28=0,0,R55/TrRoad_act!R28*1000)</f>
        <v>35.238875287139471</v>
      </c>
      <c r="S112" s="88">
        <f>IF(TrRoad_act!S28=0,0,S55/TrRoad_act!S28*1000)</f>
        <v>34.45068125435288</v>
      </c>
      <c r="T112" s="88">
        <f>IF(TrRoad_act!T28=0,0,T55/TrRoad_act!T28*1000)</f>
        <v>33.894539573839417</v>
      </c>
      <c r="U112" s="88">
        <f>IF(TrRoad_act!U28=0,0,U55/TrRoad_act!U28*1000)</f>
        <v>35.458550059501114</v>
      </c>
      <c r="V112" s="88">
        <f>IF(TrRoad_act!V28=0,0,V55/TrRoad_act!V28*1000)</f>
        <v>36.707043919767273</v>
      </c>
      <c r="W112" s="88">
        <f>IF(TrRoad_act!W28=0,0,W55/TrRoad_act!W28*1000)</f>
        <v>35.117678188135308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103.44543646278929</v>
      </c>
      <c r="C116" s="152">
        <f>IF(C19=0,0,1000000*C19/TrRoad_act!C59)</f>
        <v>102.4233599146463</v>
      </c>
      <c r="D116" s="152">
        <f>IF(D19=0,0,1000000*D19/TrRoad_act!D59)</f>
        <v>107.55219805984005</v>
      </c>
      <c r="E116" s="152">
        <f>IF(E19=0,0,1000000*E19/TrRoad_act!E59)</f>
        <v>110.56989265974552</v>
      </c>
      <c r="F116" s="152">
        <f>IF(F19=0,0,1000000*F19/TrRoad_act!F59)</f>
        <v>115.78073941023408</v>
      </c>
      <c r="G116" s="152">
        <f>IF(G19=0,0,1000000*G19/TrRoad_act!G59)</f>
        <v>119.05828100432952</v>
      </c>
      <c r="H116" s="152">
        <f>IF(H19=0,0,1000000*H19/TrRoad_act!H59)</f>
        <v>130.60938515890436</v>
      </c>
      <c r="I116" s="152">
        <f>IF(I19=0,0,1000000*I19/TrRoad_act!I59)</f>
        <v>127.45222506940071</v>
      </c>
      <c r="J116" s="152">
        <f>IF(J19=0,0,1000000*J19/TrRoad_act!J59)</f>
        <v>128.39532665707546</v>
      </c>
      <c r="K116" s="152">
        <f>IF(K19=0,0,1000000*K19/TrRoad_act!K59)</f>
        <v>119.262172828461</v>
      </c>
      <c r="L116" s="152">
        <f>IF(L19=0,0,1000000*L19/TrRoad_act!L59)</f>
        <v>120.94564667441709</v>
      </c>
      <c r="M116" s="152">
        <f>IF(M19=0,0,1000000*M19/TrRoad_act!M59)</f>
        <v>116.45702843663554</v>
      </c>
      <c r="N116" s="152">
        <f>IF(N19=0,0,1000000*N19/TrRoad_act!N59)</f>
        <v>114.94271941601724</v>
      </c>
      <c r="O116" s="152">
        <f>IF(O19=0,0,1000000*O19/TrRoad_act!O59)</f>
        <v>109.75730341763345</v>
      </c>
      <c r="P116" s="152">
        <f>IF(P19=0,0,1000000*P19/TrRoad_act!P59)</f>
        <v>105.8582778602655</v>
      </c>
      <c r="Q116" s="152">
        <f>IF(Q19=0,0,1000000*Q19/TrRoad_act!Q59)</f>
        <v>98.318493530472765</v>
      </c>
      <c r="R116" s="152">
        <f>IF(R19=0,0,1000000*R19/TrRoad_act!R59)</f>
        <v>101.17613253145235</v>
      </c>
      <c r="S116" s="152">
        <f>IF(S19=0,0,1000000*S19/TrRoad_act!S59)</f>
        <v>90.723256223410473</v>
      </c>
      <c r="T116" s="152">
        <f>IF(T19=0,0,1000000*T19/TrRoad_act!T59)</f>
        <v>82.671945713443648</v>
      </c>
      <c r="U116" s="152">
        <f>IF(U19=0,0,1000000*U19/TrRoad_act!U59)</f>
        <v>82.002625781679669</v>
      </c>
      <c r="V116" s="152">
        <f>IF(V19=0,0,1000000*V19/TrRoad_act!V59)</f>
        <v>77.62134075897302</v>
      </c>
      <c r="W116" s="152">
        <f>IF(W19=0,0,1000000*W19/TrRoad_act!W59)</f>
        <v>74.572038998687276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859.18645927018747</v>
      </c>
      <c r="C117" s="116">
        <f>IF(C21=0,0,1000000*C21/TrRoad_act!C60)</f>
        <v>828.7421960978528</v>
      </c>
      <c r="D117" s="116">
        <f>IF(D21=0,0,1000000*D21/TrRoad_act!D60)</f>
        <v>816.81788203909468</v>
      </c>
      <c r="E117" s="116">
        <f>IF(E21=0,0,1000000*E21/TrRoad_act!E60)</f>
        <v>866.51472698654288</v>
      </c>
      <c r="F117" s="116">
        <f>IF(F21=0,0,1000000*F21/TrRoad_act!F60)</f>
        <v>867.00596134341731</v>
      </c>
      <c r="G117" s="116">
        <f>IF(G21=0,0,1000000*G21/TrRoad_act!G60)</f>
        <v>826.81477382225751</v>
      </c>
      <c r="H117" s="116">
        <f>IF(H21=0,0,1000000*H21/TrRoad_act!H60)</f>
        <v>813.02144908269838</v>
      </c>
      <c r="I117" s="116">
        <f>IF(I21=0,0,1000000*I21/TrRoad_act!I60)</f>
        <v>797.33042562577816</v>
      </c>
      <c r="J117" s="116">
        <f>IF(J21=0,0,1000000*J21/TrRoad_act!J60)</f>
        <v>803.5851477165877</v>
      </c>
      <c r="K117" s="116">
        <f>IF(K21=0,0,1000000*K21/TrRoad_act!K60)</f>
        <v>804.65717329784536</v>
      </c>
      <c r="L117" s="116">
        <f>IF(L21=0,0,1000000*L21/TrRoad_act!L60)</f>
        <v>771.79418493291075</v>
      </c>
      <c r="M117" s="116">
        <f>IF(M21=0,0,1000000*M21/TrRoad_act!M60)</f>
        <v>721.12847293646792</v>
      </c>
      <c r="N117" s="116">
        <f>IF(N21=0,0,1000000*N21/TrRoad_act!N60)</f>
        <v>762.46532197816941</v>
      </c>
      <c r="O117" s="116">
        <f>IF(O21=0,0,1000000*O21/TrRoad_act!O60)</f>
        <v>751.48598579789746</v>
      </c>
      <c r="P117" s="116">
        <f>IF(P21=0,0,1000000*P21/TrRoad_act!P60)</f>
        <v>700.02609190413671</v>
      </c>
      <c r="Q117" s="116">
        <f>IF(Q21=0,0,1000000*Q21/TrRoad_act!Q60)</f>
        <v>705.75686114498842</v>
      </c>
      <c r="R117" s="116">
        <f>IF(R21=0,0,1000000*R21/TrRoad_act!R60)</f>
        <v>702.39357994829368</v>
      </c>
      <c r="S117" s="116">
        <f>IF(S21=0,0,1000000*S21/TrRoad_act!S60)</f>
        <v>686.04717000634651</v>
      </c>
      <c r="T117" s="116">
        <f>IF(T21=0,0,1000000*T21/TrRoad_act!T60)</f>
        <v>664.15010440543494</v>
      </c>
      <c r="U117" s="116">
        <f>IF(U21=0,0,1000000*U21/TrRoad_act!U60)</f>
        <v>665.54107171252519</v>
      </c>
      <c r="V117" s="116">
        <f>IF(V21=0,0,1000000*V21/TrRoad_act!V60)</f>
        <v>558.50241242552102</v>
      </c>
      <c r="W117" s="116">
        <f>IF(W21=0,0,1000000*W21/TrRoad_act!W60)</f>
        <v>595.07713328616467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933.49552850341604</v>
      </c>
      <c r="C118" s="87">
        <f>IF(C22=0,0,1000000*C22/TrRoad_act!C61)</f>
        <v>834.97377833871394</v>
      </c>
      <c r="D118" s="87">
        <f>IF(D22=0,0,1000000*D22/TrRoad_act!D61)</f>
        <v>803.02443245719712</v>
      </c>
      <c r="E118" s="87">
        <f>IF(E22=0,0,1000000*E22/TrRoad_act!E61)</f>
        <v>776.79383672476524</v>
      </c>
      <c r="F118" s="87">
        <f>IF(F22=0,0,1000000*F22/TrRoad_act!F61)</f>
        <v>732.78295241321541</v>
      </c>
      <c r="G118" s="87">
        <f>IF(G22=0,0,1000000*G22/TrRoad_act!G61)</f>
        <v>690.91873322750655</v>
      </c>
      <c r="H118" s="87">
        <f>IF(H22=0,0,1000000*H22/TrRoad_act!H61)</f>
        <v>640.94676819153187</v>
      </c>
      <c r="I118" s="87">
        <f>IF(I22=0,0,1000000*I22/TrRoad_act!I61)</f>
        <v>606.303165108352</v>
      </c>
      <c r="J118" s="87">
        <f>IF(J22=0,0,1000000*J22/TrRoad_act!J61)</f>
        <v>584.41135458580857</v>
      </c>
      <c r="K118" s="87">
        <f>IF(K22=0,0,1000000*K22/TrRoad_act!K61)</f>
        <v>584.96413856424056</v>
      </c>
      <c r="L118" s="87">
        <f>IF(L22=0,0,1000000*L22/TrRoad_act!L61)</f>
        <v>533.57399662171747</v>
      </c>
      <c r="M118" s="87">
        <f>IF(M22=0,0,1000000*M22/TrRoad_act!M61)</f>
        <v>493.31894721459611</v>
      </c>
      <c r="N118" s="87">
        <f>IF(N22=0,0,1000000*N22/TrRoad_act!N61)</f>
        <v>514.7421118865916</v>
      </c>
      <c r="O118" s="87">
        <f>IF(O22=0,0,1000000*O22/TrRoad_act!O61)</f>
        <v>503.39462705186594</v>
      </c>
      <c r="P118" s="87">
        <f>IF(P22=0,0,1000000*P22/TrRoad_act!P61)</f>
        <v>474.97477911319027</v>
      </c>
      <c r="Q118" s="87">
        <f>IF(Q22=0,0,1000000*Q22/TrRoad_act!Q61)</f>
        <v>482.54712615931982</v>
      </c>
      <c r="R118" s="87">
        <f>IF(R22=0,0,1000000*R22/TrRoad_act!R61)</f>
        <v>480.71036549583084</v>
      </c>
      <c r="S118" s="87">
        <f>IF(S22=0,0,1000000*S22/TrRoad_act!S61)</f>
        <v>466.64307727027199</v>
      </c>
      <c r="T118" s="87">
        <f>IF(T22=0,0,1000000*T22/TrRoad_act!T61)</f>
        <v>452.4219704107706</v>
      </c>
      <c r="U118" s="87">
        <f>IF(U22=0,0,1000000*U22/TrRoad_act!U61)</f>
        <v>448.86461977280436</v>
      </c>
      <c r="V118" s="87">
        <f>IF(V22=0,0,1000000*V22/TrRoad_act!V61)</f>
        <v>379.545119034621</v>
      </c>
      <c r="W118" s="87">
        <f>IF(W22=0,0,1000000*W22/TrRoad_act!W61)</f>
        <v>419.77222354838767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691.17945901235055</v>
      </c>
      <c r="C119" s="87">
        <f>IF(C24=0,0,1000000*C24/TrRoad_act!C62)</f>
        <v>808.28360469472273</v>
      </c>
      <c r="D119" s="87">
        <f>IF(D24=0,0,1000000*D24/TrRoad_act!D62)</f>
        <v>840.85468442216677</v>
      </c>
      <c r="E119" s="87">
        <f>IF(E24=0,0,1000000*E24/TrRoad_act!E62)</f>
        <v>1045.1173154459227</v>
      </c>
      <c r="F119" s="87">
        <f>IF(F24=0,0,1000000*F24/TrRoad_act!F62)</f>
        <v>1123.4926949848473</v>
      </c>
      <c r="G119" s="87">
        <f>IF(G24=0,0,1000000*G24/TrRoad_act!G62)</f>
        <v>1063.3193418481396</v>
      </c>
      <c r="H119" s="87">
        <f>IF(H24=0,0,1000000*H24/TrRoad_act!H62)</f>
        <v>1089.341562125305</v>
      </c>
      <c r="I119" s="87">
        <f>IF(I24=0,0,1000000*I24/TrRoad_act!I62)</f>
        <v>1077.4757656610211</v>
      </c>
      <c r="J119" s="87">
        <f>IF(J24=0,0,1000000*J24/TrRoad_act!J62)</f>
        <v>1098.7057946770572</v>
      </c>
      <c r="K119" s="87">
        <f>IF(K24=0,0,1000000*K24/TrRoad_act!K62)</f>
        <v>1081.40170192916</v>
      </c>
      <c r="L119" s="87">
        <f>IF(L24=0,0,1000000*L24/TrRoad_act!L62)</f>
        <v>1064.6431769977978</v>
      </c>
      <c r="M119" s="87">
        <f>IF(M24=0,0,1000000*M24/TrRoad_act!M62)</f>
        <v>982.45886234833449</v>
      </c>
      <c r="N119" s="87">
        <f>IF(N24=0,0,1000000*N24/TrRoad_act!N62)</f>
        <v>1022.0669104830092</v>
      </c>
      <c r="O119" s="87">
        <f>IF(O24=0,0,1000000*O24/TrRoad_act!O62)</f>
        <v>1002.4015491057618</v>
      </c>
      <c r="P119" s="87">
        <f>IF(P24=0,0,1000000*P24/TrRoad_act!P62)</f>
        <v>915.63068110147253</v>
      </c>
      <c r="Q119" s="87">
        <f>IF(Q24=0,0,1000000*Q24/TrRoad_act!Q62)</f>
        <v>902.22269133488453</v>
      </c>
      <c r="R119" s="87">
        <f>IF(R24=0,0,1000000*R24/TrRoad_act!R62)</f>
        <v>884.49071308861824</v>
      </c>
      <c r="S119" s="87">
        <f>IF(S24=0,0,1000000*S24/TrRoad_act!S62)</f>
        <v>857.51158065980303</v>
      </c>
      <c r="T119" s="87">
        <f>IF(T24=0,0,1000000*T24/TrRoad_act!T62)</f>
        <v>827.73033322942183</v>
      </c>
      <c r="U119" s="87">
        <f>IF(U24=0,0,1000000*U24/TrRoad_act!U62)</f>
        <v>837.31187125073484</v>
      </c>
      <c r="V119" s="87">
        <f>IF(V24=0,0,1000000*V24/TrRoad_act!V62)</f>
        <v>695.67518961669396</v>
      </c>
      <c r="W119" s="87">
        <f>IF(W24=0,0,1000000*W24/TrRoad_act!W62)</f>
        <v>731.75353498715765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1238.0099217839622</v>
      </c>
      <c r="C120" s="87">
        <f>IF(C26=0,0,1000000*C26/TrRoad_act!C63)</f>
        <v>1265.8984896164463</v>
      </c>
      <c r="D120" s="87">
        <f>IF(D26=0,0,1000000*D26/TrRoad_act!D63)</f>
        <v>1290.8641519579855</v>
      </c>
      <c r="E120" s="87">
        <f>IF(E26=0,0,1000000*E26/TrRoad_act!E63)</f>
        <v>1242.2512247828981</v>
      </c>
      <c r="F120" s="87">
        <f>IF(F26=0,0,1000000*F26/TrRoad_act!F63)</f>
        <v>1229.7779527865184</v>
      </c>
      <c r="G120" s="87">
        <f>IF(G26=0,0,1000000*G26/TrRoad_act!G63)</f>
        <v>1181.3775589689062</v>
      </c>
      <c r="H120" s="87">
        <f>IF(H26=0,0,1000000*H26/TrRoad_act!H63)</f>
        <v>1291.9446594326071</v>
      </c>
      <c r="I120" s="87">
        <f>IF(I26=0,0,1000000*I26/TrRoad_act!I63)</f>
        <v>1339.944087840124</v>
      </c>
      <c r="J120" s="87">
        <f>IF(J26=0,0,1000000*J26/TrRoad_act!J63)</f>
        <v>1196.3154261239283</v>
      </c>
      <c r="K120" s="87">
        <f>IF(K26=0,0,1000000*K26/TrRoad_act!K63)</f>
        <v>998.33342371986907</v>
      </c>
      <c r="L120" s="87">
        <f>IF(L26=0,0,1000000*L26/TrRoad_act!L63)</f>
        <v>964.03307748338193</v>
      </c>
      <c r="M120" s="87">
        <f>IF(M26=0,0,1000000*M26/TrRoad_act!M63)</f>
        <v>858.30300079132678</v>
      </c>
      <c r="N120" s="87">
        <f>IF(N26=0,0,1000000*N26/TrRoad_act!N63)</f>
        <v>902.26622460085571</v>
      </c>
      <c r="O120" s="87">
        <f>IF(O26=0,0,1000000*O26/TrRoad_act!O63)</f>
        <v>880.156228758721</v>
      </c>
      <c r="P120" s="87">
        <f>IF(P26=0,0,1000000*P26/TrRoad_act!P63)</f>
        <v>780.92833291116756</v>
      </c>
      <c r="Q120" s="87">
        <f>IF(Q26=0,0,1000000*Q26/TrRoad_act!Q63)</f>
        <v>808.02282850273434</v>
      </c>
      <c r="R120" s="87">
        <f>IF(R26=0,0,1000000*R26/TrRoad_act!R63)</f>
        <v>810.78955229562916</v>
      </c>
      <c r="S120" s="87">
        <f>IF(S26=0,0,1000000*S26/TrRoad_act!S63)</f>
        <v>763.56535028704332</v>
      </c>
      <c r="T120" s="87">
        <f>IF(T26=0,0,1000000*T26/TrRoad_act!T63)</f>
        <v>697.77735528008816</v>
      </c>
      <c r="U120" s="87">
        <f>IF(U26=0,0,1000000*U26/TrRoad_act!U63)</f>
        <v>699.65463602983664</v>
      </c>
      <c r="V120" s="87">
        <f>IF(V26=0,0,1000000*V26/TrRoad_act!V63)</f>
        <v>515.46406841923124</v>
      </c>
      <c r="W120" s="87">
        <f>IF(W26=0,0,1000000*W26/TrRoad_act!W63)</f>
        <v>532.46713217456124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976.24138775595407</v>
      </c>
      <c r="M121" s="87">
        <f>IF(M27=0,0,1000000*M27/TrRoad_act!M64)</f>
        <v>905.44635083948106</v>
      </c>
      <c r="N121" s="87">
        <f>IF(N27=0,0,1000000*N27/TrRoad_act!N64)</f>
        <v>777.35354204570353</v>
      </c>
      <c r="O121" s="87">
        <f>IF(O27=0,0,1000000*O27/TrRoad_act!O64)</f>
        <v>702.76138066806857</v>
      </c>
      <c r="P121" s="87">
        <f>IF(P27=0,0,1000000*P27/TrRoad_act!P64)</f>
        <v>652.81660744937153</v>
      </c>
      <c r="Q121" s="87">
        <f>IF(Q27=0,0,1000000*Q27/TrRoad_act!Q64)</f>
        <v>618.3296038002137</v>
      </c>
      <c r="R121" s="87">
        <f>IF(R27=0,0,1000000*R27/TrRoad_act!R64)</f>
        <v>597.0135110429959</v>
      </c>
      <c r="S121" s="87">
        <f>IF(S27=0,0,1000000*S27/TrRoad_act!S64)</f>
        <v>580.76283050956886</v>
      </c>
      <c r="T121" s="87">
        <f>IF(T27=0,0,1000000*T27/TrRoad_act!T64)</f>
        <v>578.53361511311869</v>
      </c>
      <c r="U121" s="87">
        <f>IF(U27=0,0,1000000*U27/TrRoad_act!U64)</f>
        <v>566.52700455729143</v>
      </c>
      <c r="V121" s="87">
        <f>IF(V27=0,0,1000000*V27/TrRoad_act!V64)</f>
        <v>464.62949167962392</v>
      </c>
      <c r="W121" s="87">
        <f>IF(W27=0,0,1000000*W27/TrRoad_act!W64)</f>
        <v>492.8053762271968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288.67922919417271</v>
      </c>
      <c r="N122" s="87">
        <f>IF(N29=0,0,1000000*N29/TrRoad_act!N65)</f>
        <v>271.42480886436795</v>
      </c>
      <c r="O122" s="87">
        <f>IF(O29=0,0,1000000*O29/TrRoad_act!O65)</f>
        <v>282.16849885229226</v>
      </c>
      <c r="P122" s="87">
        <f>IF(P29=0,0,1000000*P29/TrRoad_act!P65)</f>
        <v>283.02052071032188</v>
      </c>
      <c r="Q122" s="87">
        <f>IF(Q29=0,0,1000000*Q29/TrRoad_act!Q65)</f>
        <v>294.48962352080696</v>
      </c>
      <c r="R122" s="87">
        <f>IF(R29=0,0,1000000*R29/TrRoad_act!R65)</f>
        <v>300.9722593047245</v>
      </c>
      <c r="S122" s="87">
        <f>IF(S29=0,0,1000000*S29/TrRoad_act!S65)</f>
        <v>303.21594500235449</v>
      </c>
      <c r="T122" s="87">
        <f>IF(T29=0,0,1000000*T29/TrRoad_act!T65)</f>
        <v>307.50419677888601</v>
      </c>
      <c r="U122" s="87">
        <f>IF(U29=0,0,1000000*U29/TrRoad_act!U65)</f>
        <v>304.84833746061685</v>
      </c>
      <c r="V122" s="87">
        <f>IF(V29=0,0,1000000*V29/TrRoad_act!V65)</f>
        <v>248.58233741719681</v>
      </c>
      <c r="W122" s="87">
        <f>IF(W29=0,0,1000000*W29/TrRoad_act!W65)</f>
        <v>257.1688477166914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158.8468602336946</v>
      </c>
      <c r="K123" s="87">
        <f>IF(K32=0,0,1000000*K32/TrRoad_act!K66)</f>
        <v>158.87943621959138</v>
      </c>
      <c r="L123" s="87">
        <f>IF(L32=0,0,1000000*L32/TrRoad_act!L66)</f>
        <v>158.16177620477143</v>
      </c>
      <c r="M123" s="87">
        <f>IF(M32=0,0,1000000*M32/TrRoad_act!M66)</f>
        <v>159.20401869500799</v>
      </c>
      <c r="N123" s="87">
        <f>IF(N32=0,0,1000000*N32/TrRoad_act!N66)</f>
        <v>159.84082582655941</v>
      </c>
      <c r="O123" s="87">
        <f>IF(O32=0,0,1000000*O32/TrRoad_act!O66)</f>
        <v>162.30944151935242</v>
      </c>
      <c r="P123" s="87">
        <f>IF(P32=0,0,1000000*P32/TrRoad_act!P66)</f>
        <v>164.26118573378767</v>
      </c>
      <c r="Q123" s="87">
        <f>IF(Q32=0,0,1000000*Q32/TrRoad_act!Q66)</f>
        <v>164.86165836495303</v>
      </c>
      <c r="R123" s="87">
        <f>IF(R32=0,0,1000000*R32/TrRoad_act!R66)</f>
        <v>167.60262548692151</v>
      </c>
      <c r="S123" s="87">
        <f>IF(S32=0,0,1000000*S32/TrRoad_act!S66)</f>
        <v>168.23151955205901</v>
      </c>
      <c r="T123" s="87">
        <f>IF(T32=0,0,1000000*T32/TrRoad_act!T66)</f>
        <v>188.67184096944973</v>
      </c>
      <c r="U123" s="87">
        <f>IF(U32=0,0,1000000*U32/TrRoad_act!U66)</f>
        <v>200.26663714588611</v>
      </c>
      <c r="V123" s="87">
        <f>IF(V32=0,0,1000000*V32/TrRoad_act!V66)</f>
        <v>180.21735062391835</v>
      </c>
      <c r="W123" s="87">
        <f>IF(W32=0,0,1000000*W32/TrRoad_act!W66)</f>
        <v>202.76895790772417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16316.587201725562</v>
      </c>
      <c r="C124" s="116">
        <f>IF(C33=0,0,1000000*C33/TrRoad_act!C67)</f>
        <v>15548.039884840977</v>
      </c>
      <c r="D124" s="116">
        <f>IF(D33=0,0,1000000*D33/TrRoad_act!D67)</f>
        <v>15122.311473746646</v>
      </c>
      <c r="E124" s="116">
        <f>IF(E33=0,0,1000000*E33/TrRoad_act!E67)</f>
        <v>14673.526972366368</v>
      </c>
      <c r="F124" s="116">
        <f>IF(F33=0,0,1000000*F33/TrRoad_act!F67)</f>
        <v>14257.113608576206</v>
      </c>
      <c r="G124" s="116">
        <f>IF(G33=0,0,1000000*G33/TrRoad_act!G67)</f>
        <v>13275.90047356128</v>
      </c>
      <c r="H124" s="116">
        <f>IF(H33=0,0,1000000*H33/TrRoad_act!H67)</f>
        <v>12967.831599776324</v>
      </c>
      <c r="I124" s="116">
        <f>IF(I33=0,0,1000000*I33/TrRoad_act!I67)</f>
        <v>13159.413381699283</v>
      </c>
      <c r="J124" s="116">
        <f>IF(J33=0,0,1000000*J33/TrRoad_act!J67)</f>
        <v>13368.215623302181</v>
      </c>
      <c r="K124" s="116">
        <f>IF(K33=0,0,1000000*K33/TrRoad_act!K67)</f>
        <v>13556.47642704811</v>
      </c>
      <c r="L124" s="116">
        <f>IF(L33=0,0,1000000*L33/TrRoad_act!L67)</f>
        <v>13746.25790014974</v>
      </c>
      <c r="M124" s="116">
        <f>IF(M33=0,0,1000000*M33/TrRoad_act!M67)</f>
        <v>13961.987934933564</v>
      </c>
      <c r="N124" s="116">
        <f>IF(N33=0,0,1000000*N33/TrRoad_act!N67)</f>
        <v>13779.478483437073</v>
      </c>
      <c r="O124" s="116">
        <f>IF(O33=0,0,1000000*O33/TrRoad_act!O67)</f>
        <v>13568.911773962649</v>
      </c>
      <c r="P124" s="116">
        <f>IF(P33=0,0,1000000*P33/TrRoad_act!P67)</f>
        <v>13552.341275887065</v>
      </c>
      <c r="Q124" s="116">
        <f>IF(Q33=0,0,1000000*Q33/TrRoad_act!Q67)</f>
        <v>14001.959516523966</v>
      </c>
      <c r="R124" s="116">
        <f>IF(R33=0,0,1000000*R33/TrRoad_act!R67)</f>
        <v>14685.872578123872</v>
      </c>
      <c r="S124" s="116">
        <f>IF(S33=0,0,1000000*S33/TrRoad_act!S67)</f>
        <v>14915.644351319332</v>
      </c>
      <c r="T124" s="116">
        <f>IF(T33=0,0,1000000*T33/TrRoad_act!T67)</f>
        <v>15592.100167261511</v>
      </c>
      <c r="U124" s="116">
        <f>IF(U33=0,0,1000000*U33/TrRoad_act!U67)</f>
        <v>12736.258052426703</v>
      </c>
      <c r="V124" s="116">
        <f>IF(V33=0,0,1000000*V33/TrRoad_act!V67)</f>
        <v>11520.172198240387</v>
      </c>
      <c r="W124" s="116">
        <f>IF(W33=0,0,1000000*W33/TrRoad_act!W67)</f>
        <v>14276.321510431764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1588.9692377080007</v>
      </c>
      <c r="M125" s="101">
        <f>IF(M34=0,0,1000000*M34/TrRoad_act!M68)</f>
        <v>1637.9874267089788</v>
      </c>
      <c r="N125" s="101">
        <f>IF(N34=0,0,1000000*N34/TrRoad_act!N68)</f>
        <v>1672.36942577838</v>
      </c>
      <c r="O125" s="101">
        <f>IF(O34=0,0,1000000*O34/TrRoad_act!O68)</f>
        <v>1638.1880102236594</v>
      </c>
      <c r="P125" s="101">
        <f>IF(P34=0,0,1000000*P34/TrRoad_act!P68)</f>
        <v>1638.0225593121565</v>
      </c>
      <c r="Q125" s="101">
        <f>IF(Q34=0,0,1000000*Q34/TrRoad_act!Q68)</f>
        <v>1673.0372484216819</v>
      </c>
      <c r="R125" s="101">
        <f>IF(R34=0,0,1000000*R34/TrRoad_act!R68)</f>
        <v>1729.044725498577</v>
      </c>
      <c r="S125" s="101">
        <f>IF(S34=0,0,1000000*S34/TrRoad_act!S68)</f>
        <v>1722.6758720869122</v>
      </c>
      <c r="T125" s="101">
        <f>IF(T34=0,0,1000000*T34/TrRoad_act!T68)</f>
        <v>1801.5905699657421</v>
      </c>
      <c r="U125" s="101">
        <f>IF(U34=0,0,1000000*U34/TrRoad_act!U68)</f>
        <v>1376.4868626847672</v>
      </c>
      <c r="V125" s="101">
        <f>IF(V34=0,0,1000000*V34/TrRoad_act!V68)</f>
        <v>1192.6049805754099</v>
      </c>
      <c r="W125" s="101">
        <f>IF(W34=0,0,1000000*W34/TrRoad_act!W68)</f>
        <v>1521.749194553709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16293.849539182074</v>
      </c>
      <c r="C126" s="101">
        <f>IF(C36=0,0,1000000*C36/TrRoad_act!C69)</f>
        <v>15474.455222591481</v>
      </c>
      <c r="D126" s="101">
        <f>IF(D36=0,0,1000000*D36/TrRoad_act!D69)</f>
        <v>15014.1898199599</v>
      </c>
      <c r="E126" s="101">
        <f>IF(E36=0,0,1000000*E36/TrRoad_act!E69)</f>
        <v>14537.530644698914</v>
      </c>
      <c r="F126" s="101">
        <f>IF(F36=0,0,1000000*F36/TrRoad_act!F69)</f>
        <v>14118.946390884479</v>
      </c>
      <c r="G126" s="101">
        <f>IF(G36=0,0,1000000*G36/TrRoad_act!G69)</f>
        <v>13023.542288476487</v>
      </c>
      <c r="H126" s="101">
        <f>IF(H36=0,0,1000000*H36/TrRoad_act!H69)</f>
        <v>12743.171839669931</v>
      </c>
      <c r="I126" s="101">
        <f>IF(I36=0,0,1000000*I36/TrRoad_act!I69)</f>
        <v>12913.778269082357</v>
      </c>
      <c r="J126" s="101">
        <f>IF(J36=0,0,1000000*J36/TrRoad_act!J69)</f>
        <v>13137.312519620784</v>
      </c>
      <c r="K126" s="101">
        <f>IF(K36=0,0,1000000*K36/TrRoad_act!K69)</f>
        <v>13359.413236618971</v>
      </c>
      <c r="L126" s="101">
        <f>IF(L36=0,0,1000000*L36/TrRoad_act!L69)</f>
        <v>13533.793965171384</v>
      </c>
      <c r="M126" s="101">
        <f>IF(M36=0,0,1000000*M36/TrRoad_act!M69)</f>
        <v>13736.442841931857</v>
      </c>
      <c r="N126" s="101">
        <f>IF(N36=0,0,1000000*N36/TrRoad_act!N69)</f>
        <v>13515.371675201621</v>
      </c>
      <c r="O126" s="101">
        <f>IF(O36=0,0,1000000*O36/TrRoad_act!O69)</f>
        <v>13223.3373542552</v>
      </c>
      <c r="P126" s="101">
        <f>IF(P36=0,0,1000000*P36/TrRoad_act!P69)</f>
        <v>13267.045430487136</v>
      </c>
      <c r="Q126" s="101">
        <f>IF(Q36=0,0,1000000*Q36/TrRoad_act!Q69)</f>
        <v>13565.477054851555</v>
      </c>
      <c r="R126" s="101">
        <f>IF(R36=0,0,1000000*R36/TrRoad_act!R69)</f>
        <v>14266.280225050454</v>
      </c>
      <c r="S126" s="101">
        <f>IF(S36=0,0,1000000*S36/TrRoad_act!S69)</f>
        <v>14432.055545807649</v>
      </c>
      <c r="T126" s="101">
        <f>IF(T36=0,0,1000000*T36/TrRoad_act!T69)</f>
        <v>15163.394897984193</v>
      </c>
      <c r="U126" s="101">
        <f>IF(U36=0,0,1000000*U36/TrRoad_act!U69)</f>
        <v>12092.276100053838</v>
      </c>
      <c r="V126" s="101">
        <f>IF(V36=0,0,1000000*V36/TrRoad_act!V69)</f>
        <v>10614.891156430451</v>
      </c>
      <c r="W126" s="101">
        <f>IF(W36=0,0,1000000*W36/TrRoad_act!W69)</f>
        <v>13461.025551433755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7763.2960643321594</v>
      </c>
      <c r="M127" s="101">
        <f>IF(M38=0,0,1000000*M38/TrRoad_act!M70)</f>
        <v>8002.7863607591062</v>
      </c>
      <c r="N127" s="101">
        <f>IF(N38=0,0,1000000*N38/TrRoad_act!N70)</f>
        <v>8170.7679879203542</v>
      </c>
      <c r="O127" s="101">
        <f>IF(O38=0,0,1000000*O38/TrRoad_act!O70)</f>
        <v>8073.417338455135</v>
      </c>
      <c r="P127" s="101">
        <f>IF(P38=0,0,1000000*P38/TrRoad_act!P70)</f>
        <v>8177.7525716295977</v>
      </c>
      <c r="Q127" s="101">
        <f>IF(Q38=0,0,1000000*Q38/TrRoad_act!Q70)</f>
        <v>8429.9791646997091</v>
      </c>
      <c r="R127" s="101">
        <f>IF(R38=0,0,1000000*R38/TrRoad_act!R70)</f>
        <v>8840.0909638104313</v>
      </c>
      <c r="S127" s="101">
        <f>IF(S38=0,0,1000000*S38/TrRoad_act!S70)</f>
        <v>8834.9009286131659</v>
      </c>
      <c r="T127" s="101">
        <f>IF(T38=0,0,1000000*T38/TrRoad_act!T70)</f>
        <v>9239.6221816752914</v>
      </c>
      <c r="U127" s="101">
        <f>IF(U38=0,0,1000000*U38/TrRoad_act!U70)</f>
        <v>7141.2881631847249</v>
      </c>
      <c r="V127" s="101">
        <f>IF(V38=0,0,1000000*V38/TrRoad_act!V70)</f>
        <v>6242.1348559125936</v>
      </c>
      <c r="W127" s="101">
        <f>IF(W38=0,0,1000000*W38/TrRoad_act!W70)</f>
        <v>7964.8868183474724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27263.385273577576</v>
      </c>
      <c r="C128" s="101">
        <f>IF(C39=0,0,1000000*C39/TrRoad_act!C71)</f>
        <v>23389.572260412813</v>
      </c>
      <c r="D128" s="101">
        <f>IF(D39=0,0,1000000*D39/TrRoad_act!D71)</f>
        <v>22546.430241904993</v>
      </c>
      <c r="E128" s="101">
        <f>IF(E39=0,0,1000000*E39/TrRoad_act!E71)</f>
        <v>21599.229644659164</v>
      </c>
      <c r="F128" s="101">
        <f>IF(F39=0,0,1000000*F39/TrRoad_act!F71)</f>
        <v>20782.763527343835</v>
      </c>
      <c r="G128" s="101">
        <f>IF(G39=0,0,1000000*G39/TrRoad_act!G71)</f>
        <v>19531.633690821414</v>
      </c>
      <c r="H128" s="101">
        <f>IF(H39=0,0,1000000*H39/TrRoad_act!H71)</f>
        <v>18848.056625169782</v>
      </c>
      <c r="I128" s="101">
        <f>IF(I39=0,0,1000000*I39/TrRoad_act!I71)</f>
        <v>19044.50587324033</v>
      </c>
      <c r="J128" s="101">
        <f>IF(J39=0,0,1000000*J39/TrRoad_act!J71)</f>
        <v>18658.90847721944</v>
      </c>
      <c r="K128" s="101">
        <f>IF(K39=0,0,1000000*K39/TrRoad_act!K71)</f>
        <v>17945.718719579432</v>
      </c>
      <c r="L128" s="101">
        <f>IF(L39=0,0,1000000*L39/TrRoad_act!L71)</f>
        <v>18729.882979475631</v>
      </c>
      <c r="M128" s="101">
        <f>IF(M39=0,0,1000000*M39/TrRoad_act!M71)</f>
        <v>19310.660667753094</v>
      </c>
      <c r="N128" s="101">
        <f>IF(N39=0,0,1000000*N39/TrRoad_act!N71)</f>
        <v>19118.05642674449</v>
      </c>
      <c r="O128" s="101">
        <f>IF(O39=0,0,1000000*O39/TrRoad_act!O71)</f>
        <v>20637.208291495866</v>
      </c>
      <c r="P128" s="101">
        <f>IF(P39=0,0,1000000*P39/TrRoad_act!P71)</f>
        <v>21147.214031530981</v>
      </c>
      <c r="Q128" s="101">
        <f>IF(Q39=0,0,1000000*Q39/TrRoad_act!Q71)</f>
        <v>25956.182437092084</v>
      </c>
      <c r="R128" s="101">
        <f>IF(R39=0,0,1000000*R39/TrRoad_act!R71)</f>
        <v>27096.753978912599</v>
      </c>
      <c r="S128" s="101">
        <f>IF(S39=0,0,1000000*S39/TrRoad_act!S71)</f>
        <v>30592.962869257382</v>
      </c>
      <c r="T128" s="101">
        <f>IF(T39=0,0,1000000*T39/TrRoad_act!T71)</f>
        <v>27829.23987778532</v>
      </c>
      <c r="U128" s="101">
        <f>IF(U39=0,0,1000000*U39/TrRoad_act!U71)</f>
        <v>37378.586408266056</v>
      </c>
      <c r="V128" s="101">
        <f>IF(V39=0,0,1000000*V39/TrRoad_act!V71)</f>
        <v>35271.409475092987</v>
      </c>
      <c r="W128" s="101">
        <f>IF(W39=0,0,1000000*W39/TrRoad_act!W71)</f>
        <v>30225.315926200172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10469.654509922198</v>
      </c>
      <c r="M129" s="101">
        <f>IF(M41=0,0,1000000*M41/TrRoad_act!M72)</f>
        <v>10479.796260806392</v>
      </c>
      <c r="N129" s="101">
        <f>IF(N41=0,0,1000000*N41/TrRoad_act!N72)</f>
        <v>10262.747435568959</v>
      </c>
      <c r="O129" s="101">
        <f>IF(O41=0,0,1000000*O41/TrRoad_act!O72)</f>
        <v>10273.52231981769</v>
      </c>
      <c r="P129" s="101">
        <f>IF(P41=0,0,1000000*P41/TrRoad_act!P72)</f>
        <v>10278.489710320056</v>
      </c>
      <c r="Q129" s="101">
        <f>IF(Q41=0,0,1000000*Q41/TrRoad_act!Q72)</f>
        <v>10288.443418864295</v>
      </c>
      <c r="R129" s="101">
        <f>IF(R41=0,0,1000000*R41/TrRoad_act!R72)</f>
        <v>10263.350932130917</v>
      </c>
      <c r="S129" s="101">
        <f>IF(S41=0,0,1000000*S41/TrRoad_act!S72)</f>
        <v>10458.593177097613</v>
      </c>
      <c r="T129" s="101">
        <f>IF(T41=0,0,1000000*T41/TrRoad_act!T72)</f>
        <v>10654.821478222311</v>
      </c>
      <c r="U129" s="101">
        <f>IF(U41=0,0,1000000*U41/TrRoad_act!U72)</f>
        <v>10634.412666126755</v>
      </c>
      <c r="V129" s="101">
        <f>IF(V41=0,0,1000000*V41/TrRoad_act!V72)</f>
        <v>9745.7666823110121</v>
      </c>
      <c r="W129" s="101">
        <f>IF(W41=0,0,1000000*W41/TrRoad_act!W72)</f>
        <v>10662.23919257544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1364.8873197435746</v>
      </c>
      <c r="C131" s="152">
        <f>IF(C43=0,0,1000000*C43/TrRoad_act!C74)</f>
        <v>1196.4012497435076</v>
      </c>
      <c r="D131" s="152">
        <f>IF(D43=0,0,1000000*D43/TrRoad_act!D74)</f>
        <v>1225.2025916963341</v>
      </c>
      <c r="E131" s="152">
        <f>IF(E43=0,0,1000000*E43/TrRoad_act!E74)</f>
        <v>1301.7408189308844</v>
      </c>
      <c r="F131" s="152">
        <f>IF(F43=0,0,1000000*F43/TrRoad_act!F74)</f>
        <v>1220.6005146436369</v>
      </c>
      <c r="G131" s="152">
        <f>IF(G43=0,0,1000000*G43/TrRoad_act!G74)</f>
        <v>1127.4898159362322</v>
      </c>
      <c r="H131" s="152">
        <f>IF(H43=0,0,1000000*H43/TrRoad_act!H74)</f>
        <v>1094.2279858313234</v>
      </c>
      <c r="I131" s="152">
        <f>IF(I43=0,0,1000000*I43/TrRoad_act!I74)</f>
        <v>1009.3077407915283</v>
      </c>
      <c r="J131" s="152">
        <f>IF(J43=0,0,1000000*J43/TrRoad_act!J74)</f>
        <v>992.51503280326415</v>
      </c>
      <c r="K131" s="152">
        <f>IF(K43=0,0,1000000*K43/TrRoad_act!K74)</f>
        <v>985.02232913318471</v>
      </c>
      <c r="L131" s="152">
        <f>IF(L43=0,0,1000000*L43/TrRoad_act!L74)</f>
        <v>951.50670024039084</v>
      </c>
      <c r="M131" s="152">
        <f>IF(M43=0,0,1000000*M43/TrRoad_act!M74)</f>
        <v>838.40281704485403</v>
      </c>
      <c r="N131" s="152">
        <f>IF(N43=0,0,1000000*N43/TrRoad_act!N74)</f>
        <v>797.5884013067614</v>
      </c>
      <c r="O131" s="152">
        <f>IF(O43=0,0,1000000*O43/TrRoad_act!O74)</f>
        <v>762.14894178697125</v>
      </c>
      <c r="P131" s="152">
        <f>IF(P43=0,0,1000000*P43/TrRoad_act!P74)</f>
        <v>748.77495826435018</v>
      </c>
      <c r="Q131" s="152">
        <f>IF(Q43=0,0,1000000*Q43/TrRoad_act!Q74)</f>
        <v>765.35716330367507</v>
      </c>
      <c r="R131" s="152">
        <f>IF(R43=0,0,1000000*R43/TrRoad_act!R74)</f>
        <v>782.6851122887457</v>
      </c>
      <c r="S131" s="152">
        <f>IF(S43=0,0,1000000*S43/TrRoad_act!S74)</f>
        <v>789.23563303906781</v>
      </c>
      <c r="T131" s="152">
        <f>IF(T43=0,0,1000000*T43/TrRoad_act!T74)</f>
        <v>781.4304067091025</v>
      </c>
      <c r="U131" s="152">
        <f>IF(U43=0,0,1000000*U43/TrRoad_act!U74)</f>
        <v>718.4232166338362</v>
      </c>
      <c r="V131" s="152">
        <f>IF(V43=0,0,1000000*V43/TrRoad_act!V74)</f>
        <v>655.43234975989515</v>
      </c>
      <c r="W131" s="152">
        <f>IF(W43=0,0,1000000*W43/TrRoad_act!W74)</f>
        <v>727.76660459217248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1023.2472204420452</v>
      </c>
      <c r="C132" s="87">
        <f>IF(C44=0,0,1000000*C44/TrRoad_act!C75)</f>
        <v>917.98588299163714</v>
      </c>
      <c r="D132" s="87">
        <f>IF(D44=0,0,1000000*D44/TrRoad_act!D75)</f>
        <v>956.34932245762559</v>
      </c>
      <c r="E132" s="87">
        <f>IF(E44=0,0,1000000*E44/TrRoad_act!E75)</f>
        <v>995.77380150207387</v>
      </c>
      <c r="F132" s="87">
        <f>IF(F44=0,0,1000000*F44/TrRoad_act!F75)</f>
        <v>936.63279862995921</v>
      </c>
      <c r="G132" s="87">
        <f>IF(G44=0,0,1000000*G44/TrRoad_act!G75)</f>
        <v>863.58653227825766</v>
      </c>
      <c r="H132" s="87">
        <f>IF(H44=0,0,1000000*H44/TrRoad_act!H75)</f>
        <v>841.73465270332247</v>
      </c>
      <c r="I132" s="87">
        <f>IF(I44=0,0,1000000*I44/TrRoad_act!I75)</f>
        <v>770.51860044951638</v>
      </c>
      <c r="J132" s="87">
        <f>IF(J44=0,0,1000000*J44/TrRoad_act!J75)</f>
        <v>763.31117223330216</v>
      </c>
      <c r="K132" s="87">
        <f>IF(K44=0,0,1000000*K44/TrRoad_act!K75)</f>
        <v>765.11520264714216</v>
      </c>
      <c r="L132" s="87">
        <f>IF(L44=0,0,1000000*L44/TrRoad_act!L75)</f>
        <v>741.76605551935597</v>
      </c>
      <c r="M132" s="87">
        <f>IF(M44=0,0,1000000*M44/TrRoad_act!M75)</f>
        <v>655.69455565791372</v>
      </c>
      <c r="N132" s="87">
        <f>IF(N44=0,0,1000000*N44/TrRoad_act!N75)</f>
        <v>640.69165336693527</v>
      </c>
      <c r="O132" s="87">
        <f>IF(O44=0,0,1000000*O44/TrRoad_act!O75)</f>
        <v>617.79748378856698</v>
      </c>
      <c r="P132" s="87">
        <f>IF(P44=0,0,1000000*P44/TrRoad_act!P75)</f>
        <v>627.57580919799796</v>
      </c>
      <c r="Q132" s="87">
        <f>IF(Q44=0,0,1000000*Q44/TrRoad_act!Q75)</f>
        <v>643.62855559162892</v>
      </c>
      <c r="R132" s="87">
        <f>IF(R44=0,0,1000000*R44/TrRoad_act!R75)</f>
        <v>632.6088466166093</v>
      </c>
      <c r="S132" s="87">
        <f>IF(S44=0,0,1000000*S44/TrRoad_act!S75)</f>
        <v>605.45755016207306</v>
      </c>
      <c r="T132" s="87">
        <f>IF(T44=0,0,1000000*T44/TrRoad_act!T75)</f>
        <v>578.98742901277262</v>
      </c>
      <c r="U132" s="87">
        <f>IF(U44=0,0,1000000*U44/TrRoad_act!U75)</f>
        <v>513.0210700270502</v>
      </c>
      <c r="V132" s="87">
        <f>IF(V44=0,0,1000000*V44/TrRoad_act!V75)</f>
        <v>443.0250840017643</v>
      </c>
      <c r="W132" s="87">
        <f>IF(W44=0,0,1000000*W44/TrRoad_act!W75)</f>
        <v>488.15483644829277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1370.734636165804</v>
      </c>
      <c r="C133" s="87">
        <f>IF(C46=0,0,1000000*C46/TrRoad_act!C76)</f>
        <v>1200.600143313636</v>
      </c>
      <c r="D133" s="87">
        <f>IF(D46=0,0,1000000*D46/TrRoad_act!D76)</f>
        <v>1229.1065595898551</v>
      </c>
      <c r="E133" s="87">
        <f>IF(E46=0,0,1000000*E46/TrRoad_act!E76)</f>
        <v>1306.7658720076956</v>
      </c>
      <c r="F133" s="87">
        <f>IF(F46=0,0,1000000*F46/TrRoad_act!F76)</f>
        <v>1224.9124317199642</v>
      </c>
      <c r="G133" s="87">
        <f>IF(G46=0,0,1000000*G46/TrRoad_act!G76)</f>
        <v>1131.3855744989089</v>
      </c>
      <c r="H133" s="87">
        <f>IF(H46=0,0,1000000*H46/TrRoad_act!H76)</f>
        <v>1097.8465195704591</v>
      </c>
      <c r="I133" s="87">
        <f>IF(I46=0,0,1000000*I46/TrRoad_act!I76)</f>
        <v>1012.6403203380448</v>
      </c>
      <c r="J133" s="87">
        <f>IF(J46=0,0,1000000*J46/TrRoad_act!J76)</f>
        <v>995.61799691048975</v>
      </c>
      <c r="K133" s="87">
        <f>IF(K46=0,0,1000000*K46/TrRoad_act!K76)</f>
        <v>987.9088244880412</v>
      </c>
      <c r="L133" s="87">
        <f>IF(L46=0,0,1000000*L46/TrRoad_act!L76)</f>
        <v>954.17955126896254</v>
      </c>
      <c r="M133" s="87">
        <f>IF(M46=0,0,1000000*M46/TrRoad_act!M76)</f>
        <v>840.49061343077608</v>
      </c>
      <c r="N133" s="87">
        <f>IF(N46=0,0,1000000*N46/TrRoad_act!N76)</f>
        <v>799.35881415550512</v>
      </c>
      <c r="O133" s="87">
        <f>IF(O46=0,0,1000000*O46/TrRoad_act!O76)</f>
        <v>763.64835483430988</v>
      </c>
      <c r="P133" s="87">
        <f>IF(P46=0,0,1000000*P46/TrRoad_act!P76)</f>
        <v>749.84612066552347</v>
      </c>
      <c r="Q133" s="87">
        <f>IF(Q46=0,0,1000000*Q46/TrRoad_act!Q76)</f>
        <v>766.56607666449713</v>
      </c>
      <c r="R133" s="87">
        <f>IF(R46=0,0,1000000*R46/TrRoad_act!R76)</f>
        <v>784.13251345797357</v>
      </c>
      <c r="S133" s="87">
        <f>IF(S46=0,0,1000000*S46/TrRoad_act!S76)</f>
        <v>791.32495203628366</v>
      </c>
      <c r="T133" s="87">
        <f>IF(T46=0,0,1000000*T46/TrRoad_act!T76)</f>
        <v>783.86685759849172</v>
      </c>
      <c r="U133" s="87">
        <f>IF(U46=0,0,1000000*U46/TrRoad_act!U76)</f>
        <v>721.4241477118012</v>
      </c>
      <c r="V133" s="87">
        <f>IF(V46=0,0,1000000*V46/TrRoad_act!V76)</f>
        <v>658.06588138986876</v>
      </c>
      <c r="W133" s="87">
        <f>IF(W46=0,0,1000000*W46/TrRoad_act!W76)</f>
        <v>730.82001250243377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1809.1965634409848</v>
      </c>
      <c r="C134" s="87">
        <f>IF(C48=0,0,1000000*C48/TrRoad_act!C77)</f>
        <v>1647.0880550329985</v>
      </c>
      <c r="D134" s="87">
        <f>IF(D48=0,0,1000000*D48/TrRoad_act!D77)</f>
        <v>1685.0687247735414</v>
      </c>
      <c r="E134" s="87">
        <f>IF(E48=0,0,1000000*E48/TrRoad_act!E77)</f>
        <v>1730.818665268509</v>
      </c>
      <c r="F134" s="87">
        <f>IF(F48=0,0,1000000*F48/TrRoad_act!F77)</f>
        <v>1639.1231363605204</v>
      </c>
      <c r="G134" s="87">
        <f>IF(G48=0,0,1000000*G48/TrRoad_act!G77)</f>
        <v>1516.4392218088253</v>
      </c>
      <c r="H134" s="87">
        <f>IF(H48=0,0,1000000*H48/TrRoad_act!H77)</f>
        <v>1474.5315657551964</v>
      </c>
      <c r="I134" s="87">
        <f>IF(I48=0,0,1000000*I48/TrRoad_act!I77)</f>
        <v>1359.6769860824961</v>
      </c>
      <c r="J134" s="87">
        <f>IF(J48=0,0,1000000*J48/TrRoad_act!J77)</f>
        <v>1339.7609204016096</v>
      </c>
      <c r="K134" s="87">
        <f>IF(K48=0,0,1000000*K48/TrRoad_act!K77)</f>
        <v>1330.3552588401808</v>
      </c>
      <c r="L134" s="87">
        <f>IF(L48=0,0,1000000*L48/TrRoad_act!L77)</f>
        <v>1295.461332186117</v>
      </c>
      <c r="M134" s="87">
        <f>IF(M48=0,0,1000000*M48/TrRoad_act!M77)</f>
        <v>1146.5548877985759</v>
      </c>
      <c r="N134" s="87">
        <f>IF(N48=0,0,1000000*N48/TrRoad_act!N77)</f>
        <v>1080.6941951435176</v>
      </c>
      <c r="O134" s="87">
        <f>IF(O48=0,0,1000000*O48/TrRoad_act!O77)</f>
        <v>1046.3158688240528</v>
      </c>
      <c r="P134" s="87">
        <f>IF(P48=0,0,1000000*P48/TrRoad_act!P77)</f>
        <v>1035.2201504216778</v>
      </c>
      <c r="Q134" s="87">
        <f>IF(Q48=0,0,1000000*Q48/TrRoad_act!Q77)</f>
        <v>1052.25750977863</v>
      </c>
      <c r="R134" s="87">
        <f>IF(R48=0,0,1000000*R48/TrRoad_act!R77)</f>
        <v>1042.1256832933832</v>
      </c>
      <c r="S134" s="87">
        <f>IF(S48=0,0,1000000*S48/TrRoad_act!S77)</f>
        <v>1012.4200194625989</v>
      </c>
      <c r="T134" s="87">
        <f>IF(T48=0,0,1000000*T48/TrRoad_act!T77)</f>
        <v>950.09471286624625</v>
      </c>
      <c r="U134" s="87">
        <f>IF(U48=0,0,1000000*U48/TrRoad_act!U77)</f>
        <v>808.8481753609758</v>
      </c>
      <c r="V134" s="87">
        <f>IF(V48=0,0,1000000*V48/TrRoad_act!V77)</f>
        <v>721.57140356395837</v>
      </c>
      <c r="W134" s="87">
        <f>IF(W48=0,0,1000000*W48/TrRoad_act!W77)</f>
        <v>776.60386556986657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784.00056160046938</v>
      </c>
      <c r="P135" s="87">
        <f>IF(P49=0,0,1000000*P49/TrRoad_act!P78)</f>
        <v>791.47217825746236</v>
      </c>
      <c r="Q135" s="87">
        <f>IF(Q49=0,0,1000000*Q49/TrRoad_act!Q78)</f>
        <v>908.73846308764621</v>
      </c>
      <c r="R135" s="87">
        <f>IF(R49=0,0,1000000*R49/TrRoad_act!R78)</f>
        <v>860.62473269379052</v>
      </c>
      <c r="S135" s="87">
        <f>IF(S49=0,0,1000000*S49/TrRoad_act!S78)</f>
        <v>851.2055724037175</v>
      </c>
      <c r="T135" s="87">
        <f>IF(T49=0,0,1000000*T49/TrRoad_act!T78)</f>
        <v>853.96949488395092</v>
      </c>
      <c r="U135" s="87">
        <f>IF(U49=0,0,1000000*U49/TrRoad_act!U78)</f>
        <v>874.45749098403212</v>
      </c>
      <c r="V135" s="87">
        <f>IF(V49=0,0,1000000*V49/TrRoad_act!V78)</f>
        <v>791.2968097744066</v>
      </c>
      <c r="W135" s="87">
        <f>IF(W49=0,0,1000000*W49/TrRoad_act!W78)</f>
        <v>955.69868898477137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106.11986364227376</v>
      </c>
      <c r="N136" s="87">
        <f>IF(N51=0,0,1000000*N51/TrRoad_act!N79)</f>
        <v>105.97536332078353</v>
      </c>
      <c r="O136" s="87">
        <f>IF(O51=0,0,1000000*O51/TrRoad_act!O79)</f>
        <v>110.04445694954674</v>
      </c>
      <c r="P136" s="87">
        <f>IF(P51=0,0,1000000*P51/TrRoad_act!P79)</f>
        <v>111.47445793610827</v>
      </c>
      <c r="Q136" s="87">
        <f>IF(Q51=0,0,1000000*Q51/TrRoad_act!Q79)</f>
        <v>113.92833024260831</v>
      </c>
      <c r="R136" s="87">
        <f>IF(R51=0,0,1000000*R51/TrRoad_act!R79)</f>
        <v>115.76734959931676</v>
      </c>
      <c r="S136" s="87">
        <f>IF(S51=0,0,1000000*S51/TrRoad_act!S79)</f>
        <v>118.22741858856995</v>
      </c>
      <c r="T136" s="87">
        <f>IF(T51=0,0,1000000*T51/TrRoad_act!T79)</f>
        <v>123.73726303182704</v>
      </c>
      <c r="U136" s="87">
        <f>IF(U51=0,0,1000000*U51/TrRoad_act!U79)</f>
        <v>128.74613226367512</v>
      </c>
      <c r="V136" s="87">
        <f>IF(V51=0,0,1000000*V51/TrRoad_act!V79)</f>
        <v>127.1066595656376</v>
      </c>
      <c r="W136" s="87">
        <f>IF(W51=0,0,1000000*W51/TrRoad_act!W79)</f>
        <v>142.13249777102945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6040.2192179638459</v>
      </c>
      <c r="C137" s="116">
        <f>IF(C52=0,0,1000000*C52/TrRoad_act!C80)</f>
        <v>7027.4419057305004</v>
      </c>
      <c r="D137" s="116">
        <f>IF(D52=0,0,1000000*D52/TrRoad_act!D80)</f>
        <v>6846.2389100870241</v>
      </c>
      <c r="E137" s="116">
        <f>IF(E52=0,0,1000000*E52/TrRoad_act!E80)</f>
        <v>8333.4790083717435</v>
      </c>
      <c r="F137" s="116">
        <f>IF(F52=0,0,1000000*F52/TrRoad_act!F80)</f>
        <v>10688.941472424405</v>
      </c>
      <c r="G137" s="116">
        <f>IF(G52=0,0,1000000*G52/TrRoad_act!G80)</f>
        <v>11113.110875635226</v>
      </c>
      <c r="H137" s="116">
        <f>IF(H52=0,0,1000000*H52/TrRoad_act!H80)</f>
        <v>11345.587956527106</v>
      </c>
      <c r="I137" s="116">
        <f>IF(I52=0,0,1000000*I52/TrRoad_act!I80)</f>
        <v>11729.116673981207</v>
      </c>
      <c r="J137" s="116">
        <f>IF(J52=0,0,1000000*J52/TrRoad_act!J80)</f>
        <v>11023.79413151659</v>
      </c>
      <c r="K137" s="116">
        <f>IF(K52=0,0,1000000*K52/TrRoad_act!K80)</f>
        <v>9910.9497022074156</v>
      </c>
      <c r="L137" s="116">
        <f>IF(L52=0,0,1000000*L52/TrRoad_act!L80)</f>
        <v>10278.482496409835</v>
      </c>
      <c r="M137" s="116">
        <f>IF(M52=0,0,1000000*M52/TrRoad_act!M80)</f>
        <v>10353.179764743405</v>
      </c>
      <c r="N137" s="116">
        <f>IF(N52=0,0,1000000*N52/TrRoad_act!N80)</f>
        <v>11275.80663597595</v>
      </c>
      <c r="O137" s="116">
        <f>IF(O52=0,0,1000000*O52/TrRoad_act!O80)</f>
        <v>11633.229923907682</v>
      </c>
      <c r="P137" s="116">
        <f>IF(P52=0,0,1000000*P52/TrRoad_act!P80)</f>
        <v>9530.8815647885058</v>
      </c>
      <c r="Q137" s="116">
        <f>IF(Q52=0,0,1000000*Q52/TrRoad_act!Q80)</f>
        <v>9970.1083517962743</v>
      </c>
      <c r="R137" s="116">
        <f>IF(R52=0,0,1000000*R52/TrRoad_act!R80)</f>
        <v>10095.843352530785</v>
      </c>
      <c r="S137" s="116">
        <f>IF(S52=0,0,1000000*S52/TrRoad_act!S80)</f>
        <v>8761.5953462594352</v>
      </c>
      <c r="T137" s="116">
        <f>IF(T52=0,0,1000000*T52/TrRoad_act!T80)</f>
        <v>8002.8856130481317</v>
      </c>
      <c r="U137" s="116">
        <f>IF(U52=0,0,1000000*U52/TrRoad_act!U80)</f>
        <v>7028.7945434973517</v>
      </c>
      <c r="V137" s="116">
        <f>IF(V52=0,0,1000000*V52/TrRoad_act!V80)</f>
        <v>6535.1046087402046</v>
      </c>
      <c r="W137" s="116">
        <f>IF(W52=0,0,1000000*W52/TrRoad_act!W80)</f>
        <v>7244.7634932334677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4967.8328953300388</v>
      </c>
      <c r="C138" s="101">
        <f>IF(C53=0,0,1000000*C53/TrRoad_act!C81)</f>
        <v>5898.9710652323465</v>
      </c>
      <c r="D138" s="101">
        <f>IF(D53=0,0,1000000*D53/TrRoad_act!D81)</f>
        <v>5619.7681451256349</v>
      </c>
      <c r="E138" s="101">
        <f>IF(E53=0,0,1000000*E53/TrRoad_act!E81)</f>
        <v>6810.0884822410526</v>
      </c>
      <c r="F138" s="101">
        <f>IF(F53=0,0,1000000*F53/TrRoad_act!F81)</f>
        <v>8958.6798455294174</v>
      </c>
      <c r="G138" s="101">
        <f>IF(G53=0,0,1000000*G53/TrRoad_act!G81)</f>
        <v>9365.4007024871407</v>
      </c>
      <c r="H138" s="101">
        <f>IF(H53=0,0,1000000*H53/TrRoad_act!H81)</f>
        <v>9475.3174381736917</v>
      </c>
      <c r="I138" s="101">
        <f>IF(I53=0,0,1000000*I53/TrRoad_act!I81)</f>
        <v>9719.4461282976281</v>
      </c>
      <c r="J138" s="101">
        <f>IF(J53=0,0,1000000*J53/TrRoad_act!J81)</f>
        <v>9210.6217338243096</v>
      </c>
      <c r="K138" s="101">
        <f>IF(K53=0,0,1000000*K53/TrRoad_act!K81)</f>
        <v>8007.3320555263854</v>
      </c>
      <c r="L138" s="101">
        <f>IF(L53=0,0,1000000*L53/TrRoad_act!L81)</f>
        <v>8529.0941122259756</v>
      </c>
      <c r="M138" s="101">
        <f>IF(M53=0,0,1000000*M53/TrRoad_act!M81)</f>
        <v>8451.5792015285679</v>
      </c>
      <c r="N138" s="101">
        <f>IF(N53=0,0,1000000*N53/TrRoad_act!N81)</f>
        <v>9079.5538549432204</v>
      </c>
      <c r="O138" s="101">
        <f>IF(O53=0,0,1000000*O53/TrRoad_act!O81)</f>
        <v>8932.3924322679995</v>
      </c>
      <c r="P138" s="101">
        <f>IF(P53=0,0,1000000*P53/TrRoad_act!P81)</f>
        <v>7057.1213101870653</v>
      </c>
      <c r="Q138" s="101">
        <f>IF(Q53=0,0,1000000*Q53/TrRoad_act!Q81)</f>
        <v>7936.8479130743708</v>
      </c>
      <c r="R138" s="101">
        <f>IF(R53=0,0,1000000*R53/TrRoad_act!R81)</f>
        <v>7795.2768112417989</v>
      </c>
      <c r="S138" s="101">
        <f>IF(S53=0,0,1000000*S53/TrRoad_act!S81)</f>
        <v>6748.7046594204157</v>
      </c>
      <c r="T138" s="101">
        <f>IF(T53=0,0,1000000*T53/TrRoad_act!T81)</f>
        <v>6050.3114667664067</v>
      </c>
      <c r="U138" s="101">
        <f>IF(U53=0,0,1000000*U53/TrRoad_act!U81)</f>
        <v>5205.1536516319165</v>
      </c>
      <c r="V138" s="101">
        <f>IF(V53=0,0,1000000*V53/TrRoad_act!V81)</f>
        <v>4804.1228961676834</v>
      </c>
      <c r="W138" s="101">
        <f>IF(W53=0,0,1000000*W53/TrRoad_act!W81)</f>
        <v>5236.0643051753696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32952.009314536059</v>
      </c>
      <c r="C139" s="88">
        <f>IF(C55=0,0,1000000*C55/TrRoad_act!C82)</f>
        <v>34184.816908358247</v>
      </c>
      <c r="D139" s="88">
        <f>IF(D55=0,0,1000000*D55/TrRoad_act!D82)</f>
        <v>34512.528868202397</v>
      </c>
      <c r="E139" s="88">
        <f>IF(E55=0,0,1000000*E55/TrRoad_act!E82)</f>
        <v>40628.597504340243</v>
      </c>
      <c r="F139" s="88">
        <f>IF(F55=0,0,1000000*F55/TrRoad_act!F82)</f>
        <v>39634.126235435237</v>
      </c>
      <c r="G139" s="88">
        <f>IF(G55=0,0,1000000*G55/TrRoad_act!G82)</f>
        <v>39002.896084931752</v>
      </c>
      <c r="H139" s="88">
        <f>IF(H55=0,0,1000000*H55/TrRoad_act!H82)</f>
        <v>39051.061353472731</v>
      </c>
      <c r="I139" s="88">
        <f>IF(I55=0,0,1000000*I55/TrRoad_act!I82)</f>
        <v>38916.131213183464</v>
      </c>
      <c r="J139" s="88">
        <f>IF(J55=0,0,1000000*J55/TrRoad_act!J82)</f>
        <v>40372.152906780553</v>
      </c>
      <c r="K139" s="88">
        <f>IF(K55=0,0,1000000*K55/TrRoad_act!K82)</f>
        <v>41003.485246919583</v>
      </c>
      <c r="L139" s="88">
        <f>IF(L55=0,0,1000000*L55/TrRoad_act!L82)</f>
        <v>41617.724376250953</v>
      </c>
      <c r="M139" s="88">
        <f>IF(M55=0,0,1000000*M55/TrRoad_act!M82)</f>
        <v>40759.107174566809</v>
      </c>
      <c r="N139" s="88">
        <f>IF(N55=0,0,1000000*N55/TrRoad_act!N82)</f>
        <v>45812.616358666419</v>
      </c>
      <c r="O139" s="88">
        <f>IF(O55=0,0,1000000*O55/TrRoad_act!O82)</f>
        <v>45699.5915398668</v>
      </c>
      <c r="P139" s="88">
        <f>IF(P55=0,0,1000000*P55/TrRoad_act!P82)</f>
        <v>43906.192495296193</v>
      </c>
      <c r="Q139" s="88">
        <f>IF(Q55=0,0,1000000*Q55/TrRoad_act!Q82)</f>
        <v>41443.859834168274</v>
      </c>
      <c r="R139" s="88">
        <f>IF(R55=0,0,1000000*R55/TrRoad_act!R82)</f>
        <v>41727.157699979158</v>
      </c>
      <c r="S139" s="88">
        <f>IF(S55=0,0,1000000*S55/TrRoad_act!S82)</f>
        <v>41138.001498143065</v>
      </c>
      <c r="T139" s="88">
        <f>IF(T55=0,0,1000000*T55/TrRoad_act!T82)</f>
        <v>40782.591499801281</v>
      </c>
      <c r="U139" s="88">
        <f>IF(U55=0,0,1000000*U55/TrRoad_act!U82)</f>
        <v>42499.526647108927</v>
      </c>
      <c r="V139" s="88">
        <f>IF(V55=0,0,1000000*V55/TrRoad_act!V82)</f>
        <v>43331.121670874672</v>
      </c>
      <c r="W139" s="88">
        <f>IF(W55=0,0,1000000*W55/TrRoad_act!W82)</f>
        <v>41913.779926019321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0.58372965670297239</v>
      </c>
      <c r="C142" s="46">
        <f t="shared" si="41"/>
        <v>0.57897711260569973</v>
      </c>
      <c r="D142" s="46">
        <f t="shared" si="41"/>
        <v>0.59627833795016172</v>
      </c>
      <c r="E142" s="46">
        <f t="shared" si="41"/>
        <v>0.60494584219553493</v>
      </c>
      <c r="F142" s="46">
        <f t="shared" si="41"/>
        <v>0.60641920619568634</v>
      </c>
      <c r="G142" s="46">
        <f t="shared" si="41"/>
        <v>0.60158649557733401</v>
      </c>
      <c r="H142" s="46">
        <f t="shared" si="41"/>
        <v>0.60338463913376139</v>
      </c>
      <c r="I142" s="46">
        <f t="shared" si="41"/>
        <v>0.60859242908085642</v>
      </c>
      <c r="J142" s="46">
        <f t="shared" si="41"/>
        <v>0.6163769548353043</v>
      </c>
      <c r="K142" s="46">
        <f t="shared" si="41"/>
        <v>0.62931518606731474</v>
      </c>
      <c r="L142" s="46">
        <f t="shared" ref="L142" si="42">IF(L18=0,0,L18/L$17)</f>
        <v>0.63388866761504825</v>
      </c>
      <c r="M142" s="46">
        <f t="shared" ref="M142:V142" si="43">IF(M18=0,0,M18/M$17)</f>
        <v>0.64255578610938957</v>
      </c>
      <c r="N142" s="46">
        <f t="shared" si="43"/>
        <v>0.6632188998178471</v>
      </c>
      <c r="O142" s="46">
        <f t="shared" si="43"/>
        <v>0.67434730671313703</v>
      </c>
      <c r="P142" s="46">
        <f t="shared" si="43"/>
        <v>0.67959998053073756</v>
      </c>
      <c r="Q142" s="46">
        <f t="shared" si="43"/>
        <v>0.67876416065956258</v>
      </c>
      <c r="R142" s="46">
        <f t="shared" si="43"/>
        <v>0.68284151222570366</v>
      </c>
      <c r="S142" s="46">
        <f t="shared" si="43"/>
        <v>0.68609514535416027</v>
      </c>
      <c r="T142" s="46">
        <f t="shared" si="43"/>
        <v>0.68916960296539986</v>
      </c>
      <c r="U142" s="46">
        <f t="shared" si="43"/>
        <v>0.69273617033580326</v>
      </c>
      <c r="V142" s="46">
        <f t="shared" si="43"/>
        <v>0.69132593605620529</v>
      </c>
      <c r="W142" s="46">
        <f t="shared" ref="W142" si="44">IF(W18=0,0,W18/W$17)</f>
        <v>0.68958618689501994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9.7199507822293245E-3</v>
      </c>
      <c r="C143" s="154">
        <f t="shared" si="45"/>
        <v>9.7516696127766846E-3</v>
      </c>
      <c r="D143" s="154">
        <f t="shared" si="45"/>
        <v>1.0148979358599397E-2</v>
      </c>
      <c r="E143" s="154">
        <f t="shared" si="45"/>
        <v>1.0011055214020429E-2</v>
      </c>
      <c r="F143" s="154">
        <f t="shared" si="45"/>
        <v>1.0356257767325412E-2</v>
      </c>
      <c r="G143" s="154">
        <f t="shared" si="45"/>
        <v>1.1276263144655014E-2</v>
      </c>
      <c r="H143" s="154">
        <f t="shared" si="45"/>
        <v>1.1724977566357136E-2</v>
      </c>
      <c r="I143" s="154">
        <f t="shared" si="45"/>
        <v>1.1074735559312538E-2</v>
      </c>
      <c r="J143" s="154">
        <f t="shared" si="45"/>
        <v>1.1093125604250152E-2</v>
      </c>
      <c r="K143" s="154">
        <f t="shared" si="45"/>
        <v>1.0368635915654288E-2</v>
      </c>
      <c r="L143" s="154">
        <f t="shared" ref="L143" si="46">IF(L19=0,0,L19/L$17)</f>
        <v>9.7945362999666361E-3</v>
      </c>
      <c r="M143" s="154">
        <f t="shared" ref="M143:V143" si="47">IF(M19=0,0,M19/M$17)</f>
        <v>1.0127342804050605E-2</v>
      </c>
      <c r="N143" s="154">
        <f t="shared" si="47"/>
        <v>1.0971619947733701E-2</v>
      </c>
      <c r="O143" s="154">
        <f t="shared" si="47"/>
        <v>1.0826674538535926E-2</v>
      </c>
      <c r="P143" s="154">
        <f t="shared" si="47"/>
        <v>1.0330100951421461E-2</v>
      </c>
      <c r="Q143" s="154">
        <f t="shared" si="47"/>
        <v>9.7962876489583062E-3</v>
      </c>
      <c r="R143" s="154">
        <f t="shared" si="47"/>
        <v>1.0354967403334246E-2</v>
      </c>
      <c r="S143" s="154">
        <f t="shared" si="47"/>
        <v>9.8231122321901509E-3</v>
      </c>
      <c r="T143" s="154">
        <f t="shared" si="47"/>
        <v>9.2278682456995945E-3</v>
      </c>
      <c r="U143" s="154">
        <f t="shared" si="47"/>
        <v>9.5333563276464584E-3</v>
      </c>
      <c r="V143" s="154">
        <f t="shared" si="47"/>
        <v>9.8598852379002608E-3</v>
      </c>
      <c r="W143" s="154">
        <f t="shared" ref="W143" si="48">IF(W19=0,0,W19/W$17)</f>
        <v>8.6974461467865354E-3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0.517544740513733</v>
      </c>
      <c r="C144" s="156">
        <f t="shared" si="49"/>
        <v>0.51350034686719925</v>
      </c>
      <c r="D144" s="156">
        <f t="shared" si="49"/>
        <v>0.53191729945493271</v>
      </c>
      <c r="E144" s="156">
        <f t="shared" si="49"/>
        <v>0.5445858521615361</v>
      </c>
      <c r="F144" s="156">
        <f t="shared" si="49"/>
        <v>0.54813694255683465</v>
      </c>
      <c r="G144" s="156">
        <f t="shared" si="49"/>
        <v>0.55895350930641252</v>
      </c>
      <c r="H144" s="156">
        <f t="shared" si="49"/>
        <v>0.56040591840247733</v>
      </c>
      <c r="I144" s="156">
        <f t="shared" si="49"/>
        <v>0.56534315452539119</v>
      </c>
      <c r="J144" s="156">
        <f t="shared" si="49"/>
        <v>0.57203739333806081</v>
      </c>
      <c r="K144" s="156">
        <f t="shared" si="49"/>
        <v>0.58468947531218141</v>
      </c>
      <c r="L144" s="156">
        <f t="shared" ref="L144" si="50">IF(L21=0,0,L21/L$17)</f>
        <v>0.58887592838349012</v>
      </c>
      <c r="M144" s="156">
        <f t="shared" ref="M144:V144" si="51">IF(M21=0,0,M21/M$17)</f>
        <v>0.59457928752624656</v>
      </c>
      <c r="N144" s="156">
        <f t="shared" si="51"/>
        <v>0.61892738055459517</v>
      </c>
      <c r="O144" s="156">
        <f t="shared" si="51"/>
        <v>0.63090509005108741</v>
      </c>
      <c r="P144" s="156">
        <f t="shared" si="51"/>
        <v>0.62989636095530799</v>
      </c>
      <c r="Q144" s="156">
        <f t="shared" si="51"/>
        <v>0.62951368034347865</v>
      </c>
      <c r="R144" s="156">
        <f t="shared" si="51"/>
        <v>0.63153591227822459</v>
      </c>
      <c r="S144" s="156">
        <f t="shared" si="51"/>
        <v>0.63429141780193377</v>
      </c>
      <c r="T144" s="156">
        <f t="shared" si="51"/>
        <v>0.63570266211008419</v>
      </c>
      <c r="U144" s="156">
        <f t="shared" si="51"/>
        <v>0.6432836106706471</v>
      </c>
      <c r="V144" s="156">
        <f t="shared" si="51"/>
        <v>0.64513309051200862</v>
      </c>
      <c r="W144" s="156">
        <f t="shared" ref="W144" si="52">IF(W21=0,0,W21/W$17)</f>
        <v>0.63878039496210126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0.38360276867168147</v>
      </c>
      <c r="C145" s="103">
        <f t="shared" si="53"/>
        <v>0.35519744390828517</v>
      </c>
      <c r="D145" s="103">
        <f t="shared" si="53"/>
        <v>0.35715566126436521</v>
      </c>
      <c r="E145" s="103">
        <f t="shared" si="53"/>
        <v>0.32649295058139244</v>
      </c>
      <c r="F145" s="103">
        <f t="shared" si="53"/>
        <v>0.30465739330389657</v>
      </c>
      <c r="G145" s="103">
        <f t="shared" si="53"/>
        <v>0.29734117369707835</v>
      </c>
      <c r="H145" s="103">
        <f t="shared" si="53"/>
        <v>0.27306591523211993</v>
      </c>
      <c r="I145" s="103">
        <f t="shared" si="53"/>
        <v>0.2565450665727107</v>
      </c>
      <c r="J145" s="103">
        <f t="shared" si="53"/>
        <v>0.23909939992336543</v>
      </c>
      <c r="K145" s="103">
        <f t="shared" si="53"/>
        <v>0.23643571840136576</v>
      </c>
      <c r="L145" s="103">
        <f t="shared" ref="L145" si="54">IF(L22=0,0,L22/L$17)</f>
        <v>0.22386397638130484</v>
      </c>
      <c r="M145" s="103">
        <f t="shared" ref="M145:V145" si="55">IF(M22=0,0,M22/M$17)</f>
        <v>0.2165886165489713</v>
      </c>
      <c r="N145" s="103">
        <f t="shared" si="55"/>
        <v>0.21288672677675538</v>
      </c>
      <c r="O145" s="103">
        <f t="shared" si="55"/>
        <v>0.21145076200320442</v>
      </c>
      <c r="P145" s="103">
        <f t="shared" si="55"/>
        <v>0.20770527684639334</v>
      </c>
      <c r="Q145" s="103">
        <f t="shared" si="55"/>
        <v>0.20025765083039507</v>
      </c>
      <c r="R145" s="103">
        <f t="shared" si="55"/>
        <v>0.19351088308064751</v>
      </c>
      <c r="S145" s="103">
        <f t="shared" si="55"/>
        <v>0.18654874408227379</v>
      </c>
      <c r="T145" s="103">
        <f t="shared" si="55"/>
        <v>0.18370269674211162</v>
      </c>
      <c r="U145" s="103">
        <f t="shared" si="55"/>
        <v>0.18458077977609413</v>
      </c>
      <c r="V145" s="103">
        <f t="shared" si="55"/>
        <v>0.17976693568289578</v>
      </c>
      <c r="W145" s="103">
        <f t="shared" ref="W145" si="56">IF(W22=0,0,W22/W$17)</f>
        <v>0.18216319702104514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0.13025986403869241</v>
      </c>
      <c r="C146" s="103">
        <f t="shared" si="57"/>
        <v>0.15464462902884649</v>
      </c>
      <c r="D146" s="103">
        <f t="shared" si="57"/>
        <v>0.17139807863509737</v>
      </c>
      <c r="E146" s="103">
        <f t="shared" si="57"/>
        <v>0.21474852674869988</v>
      </c>
      <c r="F146" s="103">
        <f t="shared" si="57"/>
        <v>0.2401989291739135</v>
      </c>
      <c r="G146" s="103">
        <f t="shared" si="57"/>
        <v>0.25780791209202297</v>
      </c>
      <c r="H146" s="103">
        <f t="shared" si="57"/>
        <v>0.28371896246629508</v>
      </c>
      <c r="I146" s="103">
        <f t="shared" si="57"/>
        <v>0.30506307115147208</v>
      </c>
      <c r="J146" s="103">
        <f t="shared" si="57"/>
        <v>0.32885312577033016</v>
      </c>
      <c r="K146" s="103">
        <f t="shared" si="57"/>
        <v>0.34305266475159857</v>
      </c>
      <c r="L146" s="103">
        <f t="shared" ref="L146" si="58">IF(L24=0,0,L24/L$17)</f>
        <v>0.35997657973326153</v>
      </c>
      <c r="M146" s="103">
        <f t="shared" ref="M146:V146" si="59">IF(M24=0,0,M24/M$17)</f>
        <v>0.37332598847478315</v>
      </c>
      <c r="N146" s="103">
        <f t="shared" si="59"/>
        <v>0.39966298457394406</v>
      </c>
      <c r="O146" s="103">
        <f t="shared" si="59"/>
        <v>0.41252576089890702</v>
      </c>
      <c r="P146" s="103">
        <f t="shared" si="59"/>
        <v>0.41514054773374881</v>
      </c>
      <c r="Q146" s="103">
        <f t="shared" si="59"/>
        <v>0.42184703510152283</v>
      </c>
      <c r="R146" s="103">
        <f t="shared" si="59"/>
        <v>0.43043653582955765</v>
      </c>
      <c r="S146" s="103">
        <f t="shared" si="59"/>
        <v>0.43997007792733378</v>
      </c>
      <c r="T146" s="103">
        <f t="shared" si="59"/>
        <v>0.44377381754253581</v>
      </c>
      <c r="U146" s="103">
        <f t="shared" si="59"/>
        <v>0.44966220747687513</v>
      </c>
      <c r="V146" s="103">
        <f t="shared" si="59"/>
        <v>0.45626323797435731</v>
      </c>
      <c r="W146" s="103">
        <f t="shared" ref="W146" si="60">IF(W24=0,0,W24/W$17)</f>
        <v>0.44628927757278641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3.6821078033591041E-3</v>
      </c>
      <c r="C147" s="103">
        <f t="shared" si="61"/>
        <v>3.6582739300675842E-3</v>
      </c>
      <c r="D147" s="103">
        <f t="shared" si="61"/>
        <v>3.3635595554701763E-3</v>
      </c>
      <c r="E147" s="103">
        <f t="shared" si="61"/>
        <v>3.3443748314438133E-3</v>
      </c>
      <c r="F147" s="103">
        <f t="shared" si="61"/>
        <v>3.2806200790246195E-3</v>
      </c>
      <c r="G147" s="103">
        <f t="shared" si="61"/>
        <v>3.8044235173112528E-3</v>
      </c>
      <c r="H147" s="103">
        <f t="shared" si="61"/>
        <v>3.6210407040622693E-3</v>
      </c>
      <c r="I147" s="103">
        <f t="shared" si="61"/>
        <v>3.7350168012084163E-3</v>
      </c>
      <c r="J147" s="103">
        <f t="shared" si="61"/>
        <v>4.0841493745793402E-3</v>
      </c>
      <c r="K147" s="103">
        <f t="shared" si="61"/>
        <v>5.2003409905866712E-3</v>
      </c>
      <c r="L147" s="103">
        <f t="shared" ref="L147" si="62">IF(L26=0,0,L26/L$17)</f>
        <v>5.0165623018571274E-3</v>
      </c>
      <c r="M147" s="103">
        <f t="shared" ref="M147:V147" si="63">IF(M26=0,0,M26/M$17)</f>
        <v>4.6556008899838073E-3</v>
      </c>
      <c r="N147" s="103">
        <f t="shared" si="63"/>
        <v>6.362801633885304E-3</v>
      </c>
      <c r="O147" s="103">
        <f t="shared" si="63"/>
        <v>6.9057588196599715E-3</v>
      </c>
      <c r="P147" s="103">
        <f t="shared" si="63"/>
        <v>7.0207392351952927E-3</v>
      </c>
      <c r="Q147" s="103">
        <f t="shared" si="63"/>
        <v>7.3343391779266479E-3</v>
      </c>
      <c r="R147" s="103">
        <f t="shared" si="63"/>
        <v>7.4100160152114685E-3</v>
      </c>
      <c r="S147" s="103">
        <f t="shared" si="63"/>
        <v>7.2996511103959518E-3</v>
      </c>
      <c r="T147" s="103">
        <f t="shared" si="63"/>
        <v>7.1066229690593006E-3</v>
      </c>
      <c r="U147" s="103">
        <f t="shared" si="63"/>
        <v>7.0679642536804789E-3</v>
      </c>
      <c r="V147" s="103">
        <f t="shared" si="63"/>
        <v>6.2812518298494902E-3</v>
      </c>
      <c r="W147" s="103">
        <f t="shared" ref="W147" si="64">IF(W26=0,0,W26/W$17)</f>
        <v>6.2472959434253647E-3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3.1750568637864158E-7</v>
      </c>
      <c r="M148" s="103">
        <f t="shared" ref="M148:V148" si="67">IF(M27=0,0,M27/M$17)</f>
        <v>3.1685906491586177E-7</v>
      </c>
      <c r="N148" s="103">
        <f t="shared" si="67"/>
        <v>1.0371189778979171E-6</v>
      </c>
      <c r="O148" s="103">
        <f t="shared" si="67"/>
        <v>3.1357685493303003E-6</v>
      </c>
      <c r="P148" s="103">
        <f t="shared" si="67"/>
        <v>3.2497829831132572E-6</v>
      </c>
      <c r="Q148" s="103">
        <f t="shared" si="67"/>
        <v>3.85362543576519E-6</v>
      </c>
      <c r="R148" s="103">
        <f t="shared" si="67"/>
        <v>4.3162246553570265E-6</v>
      </c>
      <c r="S148" s="103">
        <f t="shared" si="67"/>
        <v>4.9879987098243678E-6</v>
      </c>
      <c r="T148" s="103">
        <f t="shared" si="67"/>
        <v>5.7650214579827531E-6</v>
      </c>
      <c r="U148" s="103">
        <f t="shared" si="67"/>
        <v>1.0164300023045803E-5</v>
      </c>
      <c r="V148" s="103">
        <f t="shared" si="67"/>
        <v>1.272813151018701E-5</v>
      </c>
      <c r="W148" s="103">
        <f t="shared" ref="W148" si="68">IF(W27=0,0,W27/W$17)</f>
        <v>1.4649034300133727E-5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9.0920425582875905E-7</v>
      </c>
      <c r="N149" s="103">
        <f t="shared" si="71"/>
        <v>3.2591327447260835E-6</v>
      </c>
      <c r="O149" s="103">
        <f t="shared" si="71"/>
        <v>5.9120835071039836E-6</v>
      </c>
      <c r="P149" s="103">
        <f t="shared" si="71"/>
        <v>1.1325412520170315E-5</v>
      </c>
      <c r="Q149" s="103">
        <f t="shared" si="71"/>
        <v>4.0600219093682267E-5</v>
      </c>
      <c r="R149" s="103">
        <f t="shared" si="71"/>
        <v>1.0093000846107641E-4</v>
      </c>
      <c r="S149" s="103">
        <f t="shared" si="71"/>
        <v>2.4030959911505967E-4</v>
      </c>
      <c r="T149" s="103">
        <f t="shared" si="71"/>
        <v>5.4036554184545079E-4</v>
      </c>
      <c r="U149" s="103">
        <f t="shared" si="71"/>
        <v>9.3977378478162345E-4</v>
      </c>
      <c r="V149" s="103">
        <f t="shared" si="71"/>
        <v>1.4295216703860039E-3</v>
      </c>
      <c r="W149" s="103">
        <f t="shared" ref="W149" si="72">IF(W29=0,0,W29/W$17)</f>
        <v>2.1287621191111582E-3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7.1826978591019169E-7</v>
      </c>
      <c r="K150" s="103">
        <f t="shared" si="73"/>
        <v>7.5116863038630751E-7</v>
      </c>
      <c r="L150" s="103">
        <f t="shared" ref="L150" si="74">IF(L32=0,0,L32/L$17)</f>
        <v>1.8492461380310386E-5</v>
      </c>
      <c r="M150" s="103">
        <f t="shared" ref="M150:V150" si="75">IF(M32=0,0,M32/M$17)</f>
        <v>7.8555491875765222E-6</v>
      </c>
      <c r="N150" s="103">
        <f t="shared" si="75"/>
        <v>1.0571318287825789E-5</v>
      </c>
      <c r="O150" s="103">
        <f t="shared" si="75"/>
        <v>1.3760477259502116E-5</v>
      </c>
      <c r="P150" s="103">
        <f t="shared" si="75"/>
        <v>1.5221944467231217E-5</v>
      </c>
      <c r="Q150" s="103">
        <f t="shared" si="75"/>
        <v>3.0201389104609452E-5</v>
      </c>
      <c r="R150" s="103">
        <f t="shared" si="75"/>
        <v>7.3231119691457623E-5</v>
      </c>
      <c r="S150" s="103">
        <f t="shared" si="75"/>
        <v>2.2764708410530558E-4</v>
      </c>
      <c r="T150" s="103">
        <f t="shared" si="75"/>
        <v>5.7339429307409285E-4</v>
      </c>
      <c r="U150" s="103">
        <f t="shared" si="75"/>
        <v>1.022721079192715E-3</v>
      </c>
      <c r="V150" s="103">
        <f t="shared" si="75"/>
        <v>1.3794152230098685E-3</v>
      </c>
      <c r="W150" s="103">
        <f t="shared" ref="W150" si="76">IF(W32=0,0,W32/W$17)</f>
        <v>1.9372132714331751E-3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5.6464965407010091E-2</v>
      </c>
      <c r="C151" s="156">
        <f t="shared" si="77"/>
        <v>5.5725096125723794E-2</v>
      </c>
      <c r="D151" s="156">
        <f t="shared" si="77"/>
        <v>5.4212059136629576E-2</v>
      </c>
      <c r="E151" s="156">
        <f t="shared" si="77"/>
        <v>5.0348934819978458E-2</v>
      </c>
      <c r="F151" s="156">
        <f t="shared" si="77"/>
        <v>4.7926005871526248E-2</v>
      </c>
      <c r="G151" s="156">
        <f t="shared" si="77"/>
        <v>3.1356723126266452E-2</v>
      </c>
      <c r="H151" s="156">
        <f t="shared" si="77"/>
        <v>3.1253743164926968E-2</v>
      </c>
      <c r="I151" s="156">
        <f t="shared" si="77"/>
        <v>3.2174538996152642E-2</v>
      </c>
      <c r="J151" s="156">
        <f t="shared" si="77"/>
        <v>3.3246435892993309E-2</v>
      </c>
      <c r="K151" s="156">
        <f t="shared" si="77"/>
        <v>3.4257074839479103E-2</v>
      </c>
      <c r="L151" s="156">
        <f t="shared" ref="L151" si="78">IF(L33=0,0,L33/L$17)</f>
        <v>3.5218202931591447E-2</v>
      </c>
      <c r="M151" s="156">
        <f t="shared" ref="M151:V151" si="79">IF(M33=0,0,M33/M$17)</f>
        <v>3.7849155779092487E-2</v>
      </c>
      <c r="N151" s="156">
        <f t="shared" si="79"/>
        <v>3.3319899315518195E-2</v>
      </c>
      <c r="O151" s="156">
        <f t="shared" si="79"/>
        <v>3.2615542123513634E-2</v>
      </c>
      <c r="P151" s="156">
        <f t="shared" si="79"/>
        <v>3.9373518624008071E-2</v>
      </c>
      <c r="Q151" s="156">
        <f t="shared" si="79"/>
        <v>3.9454192667125514E-2</v>
      </c>
      <c r="R151" s="156">
        <f t="shared" si="79"/>
        <v>4.0950632544144855E-2</v>
      </c>
      <c r="S151" s="156">
        <f t="shared" si="79"/>
        <v>4.1980615320036406E-2</v>
      </c>
      <c r="T151" s="156">
        <f t="shared" si="79"/>
        <v>4.4239072609616042E-2</v>
      </c>
      <c r="U151" s="156">
        <f t="shared" si="79"/>
        <v>3.9919203337509694E-2</v>
      </c>
      <c r="V151" s="156">
        <f t="shared" si="79"/>
        <v>3.6332960306296423E-2</v>
      </c>
      <c r="W151" s="156">
        <f t="shared" ref="W151" si="80">IF(W33=0,0,W33/W$17)</f>
        <v>4.2108345786132095E-2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1.5503545786336139E-6</v>
      </c>
      <c r="M152" s="103">
        <f t="shared" ref="M152:V152" si="83">IF(M34=0,0,M34/M$17)</f>
        <v>1.7196308667755298E-6</v>
      </c>
      <c r="N152" s="103">
        <f t="shared" si="83"/>
        <v>1.9124735132558165E-6</v>
      </c>
      <c r="O152" s="103">
        <f t="shared" si="83"/>
        <v>2.2246928530558087E-6</v>
      </c>
      <c r="P152" s="103">
        <f t="shared" si="83"/>
        <v>2.1953700584189639E-6</v>
      </c>
      <c r="Q152" s="103">
        <f t="shared" si="83"/>
        <v>2.5277325294611769E-6</v>
      </c>
      <c r="R152" s="103">
        <f t="shared" si="83"/>
        <v>2.8847222961403522E-6</v>
      </c>
      <c r="S152" s="103">
        <f t="shared" si="83"/>
        <v>2.5183913517493658E-6</v>
      </c>
      <c r="T152" s="103">
        <f t="shared" si="83"/>
        <v>2.6112937381448386E-6</v>
      </c>
      <c r="U152" s="103">
        <f t="shared" si="83"/>
        <v>2.1790704338313906E-6</v>
      </c>
      <c r="V152" s="103">
        <f t="shared" si="83"/>
        <v>1.9800244625406989E-6</v>
      </c>
      <c r="W152" s="103">
        <f t="shared" ref="W152" si="84">IF(W34=0,0,W34/W$17)</f>
        <v>2.3197545113673752E-6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5.6269402227098031E-2</v>
      </c>
      <c r="C153" s="103">
        <f t="shared" si="85"/>
        <v>5.4945755313558928E-2</v>
      </c>
      <c r="D153" s="103">
        <f t="shared" si="85"/>
        <v>5.3051829324073423E-2</v>
      </c>
      <c r="E153" s="103">
        <f t="shared" si="85"/>
        <v>4.8921645508898375E-2</v>
      </c>
      <c r="F153" s="103">
        <f t="shared" si="85"/>
        <v>4.6477484645300583E-2</v>
      </c>
      <c r="G153" s="103">
        <f t="shared" si="85"/>
        <v>2.956789339016707E-2</v>
      </c>
      <c r="H153" s="103">
        <f t="shared" si="85"/>
        <v>2.9582078843632981E-2</v>
      </c>
      <c r="I153" s="103">
        <f t="shared" si="85"/>
        <v>3.0308915771627282E-2</v>
      </c>
      <c r="J153" s="103">
        <f t="shared" si="85"/>
        <v>3.1305893951633801E-2</v>
      </c>
      <c r="K153" s="103">
        <f t="shared" si="85"/>
        <v>3.2308545988452009E-2</v>
      </c>
      <c r="L153" s="103">
        <f t="shared" ref="L153" si="86">IF(L36=0,0,L36/L$17)</f>
        <v>3.315310156065962E-2</v>
      </c>
      <c r="M153" s="103">
        <f t="shared" ref="M153:V153" si="87">IF(M36=0,0,M36/M$17)</f>
        <v>3.5624970230083972E-2</v>
      </c>
      <c r="N153" s="103">
        <f t="shared" si="87"/>
        <v>3.0988858594382662E-2</v>
      </c>
      <c r="O153" s="103">
        <f t="shared" si="87"/>
        <v>3.016614017250346E-2</v>
      </c>
      <c r="P153" s="103">
        <f t="shared" si="87"/>
        <v>3.7007843398057599E-2</v>
      </c>
      <c r="Q153" s="103">
        <f t="shared" si="87"/>
        <v>3.6748605870652311E-2</v>
      </c>
      <c r="R153" s="103">
        <f t="shared" si="87"/>
        <v>3.8334009353279096E-2</v>
      </c>
      <c r="S153" s="103">
        <f t="shared" si="87"/>
        <v>3.9227048296586173E-2</v>
      </c>
      <c r="T153" s="103">
        <f t="shared" si="87"/>
        <v>4.1143564761749789E-2</v>
      </c>
      <c r="U153" s="103">
        <f t="shared" si="87"/>
        <v>3.6645851184716499E-2</v>
      </c>
      <c r="V153" s="103">
        <f t="shared" si="87"/>
        <v>3.193799075871348E-2</v>
      </c>
      <c r="W153" s="103">
        <f t="shared" ref="W153" si="88">IF(W36=0,0,W36/W$17)</f>
        <v>3.7343812610566032E-2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3.787317373112502E-6</v>
      </c>
      <c r="M154" s="103">
        <f t="shared" ref="M154:V154" si="91">IF(M38=0,0,M38/M$17)</f>
        <v>4.2008376321366703E-6</v>
      </c>
      <c r="N154" s="103">
        <f t="shared" si="91"/>
        <v>3.1146183211649204E-6</v>
      </c>
      <c r="O154" s="103">
        <f t="shared" si="91"/>
        <v>3.1325331473392999E-6</v>
      </c>
      <c r="P154" s="103">
        <f t="shared" si="91"/>
        <v>6.2630196701331532E-6</v>
      </c>
      <c r="Q154" s="103">
        <f t="shared" si="91"/>
        <v>6.3682779858588784E-6</v>
      </c>
      <c r="R154" s="103">
        <f t="shared" si="91"/>
        <v>8.1937368610865056E-6</v>
      </c>
      <c r="S154" s="103">
        <f t="shared" si="91"/>
        <v>8.0723753858393037E-6</v>
      </c>
      <c r="T154" s="103">
        <f t="shared" si="91"/>
        <v>8.3701618822484554E-6</v>
      </c>
      <c r="U154" s="103">
        <f t="shared" si="91"/>
        <v>6.2806305908661224E-6</v>
      </c>
      <c r="V154" s="103">
        <f t="shared" si="91"/>
        <v>5.1817575452442044E-6</v>
      </c>
      <c r="W154" s="103">
        <f t="shared" ref="W154" si="92">IF(W38=0,0,W38/W$17)</f>
        <v>6.0708368355045541E-6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1.95563179912063E-4</v>
      </c>
      <c r="C155" s="103">
        <f t="shared" si="93"/>
        <v>7.7934081216486574E-4</v>
      </c>
      <c r="D155" s="103">
        <f t="shared" si="93"/>
        <v>1.1602298125561541E-3</v>
      </c>
      <c r="E155" s="103">
        <f t="shared" si="93"/>
        <v>1.4272893110800831E-3</v>
      </c>
      <c r="F155" s="103">
        <f t="shared" si="93"/>
        <v>1.4485212262256566E-3</v>
      </c>
      <c r="G155" s="103">
        <f t="shared" si="93"/>
        <v>1.7888297360993813E-3</v>
      </c>
      <c r="H155" s="103">
        <f t="shared" si="93"/>
        <v>1.6716643212939927E-3</v>
      </c>
      <c r="I155" s="103">
        <f t="shared" si="93"/>
        <v>1.86562322452536E-3</v>
      </c>
      <c r="J155" s="103">
        <f t="shared" si="93"/>
        <v>1.940541941359508E-3</v>
      </c>
      <c r="K155" s="103">
        <f t="shared" si="93"/>
        <v>1.9485288510270977E-3</v>
      </c>
      <c r="L155" s="103">
        <f t="shared" ref="L155" si="94">IF(L39=0,0,L39/L$17)</f>
        <v>2.0376307134914733E-3</v>
      </c>
      <c r="M155" s="103">
        <f t="shared" ref="M155:V155" si="95">IF(M39=0,0,M39/M$17)</f>
        <v>2.1962607832436472E-3</v>
      </c>
      <c r="N155" s="103">
        <f t="shared" si="95"/>
        <v>2.2810249300492138E-3</v>
      </c>
      <c r="O155" s="103">
        <f t="shared" si="95"/>
        <v>2.3982035774061626E-3</v>
      </c>
      <c r="P155" s="103">
        <f t="shared" si="95"/>
        <v>2.3119534584957048E-3</v>
      </c>
      <c r="Q155" s="103">
        <f t="shared" si="95"/>
        <v>2.6520005106790367E-3</v>
      </c>
      <c r="R155" s="103">
        <f t="shared" si="95"/>
        <v>2.5617852379320964E-3</v>
      </c>
      <c r="S155" s="103">
        <f t="shared" si="95"/>
        <v>2.6722623786471656E-3</v>
      </c>
      <c r="T155" s="103">
        <f t="shared" si="95"/>
        <v>2.8992043613407289E-3</v>
      </c>
      <c r="U155" s="103">
        <f t="shared" si="95"/>
        <v>3.0572609832199642E-3</v>
      </c>
      <c r="V155" s="103">
        <f t="shared" si="95"/>
        <v>4.1430788248393328E-3</v>
      </c>
      <c r="W155" s="103">
        <f t="shared" ref="W155" si="96">IF(W39=0,0,W39/W$17)</f>
        <v>4.4981179907356986E-3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2.2132985488607492E-5</v>
      </c>
      <c r="M156" s="103">
        <f t="shared" ref="M156:V156" si="99">IF(M41=0,0,M41/M$17)</f>
        <v>2.2004297265956132E-5</v>
      </c>
      <c r="N156" s="103">
        <f t="shared" si="99"/>
        <v>4.4988699251897552E-5</v>
      </c>
      <c r="O156" s="103">
        <f t="shared" si="99"/>
        <v>4.5841147603617815E-5</v>
      </c>
      <c r="P156" s="103">
        <f t="shared" si="99"/>
        <v>4.5263377726218532E-5</v>
      </c>
      <c r="Q156" s="103">
        <f t="shared" si="99"/>
        <v>4.4690275278846661E-5</v>
      </c>
      <c r="R156" s="103">
        <f t="shared" si="99"/>
        <v>4.3759493776436066E-5</v>
      </c>
      <c r="S156" s="103">
        <f t="shared" si="99"/>
        <v>7.0713878065473669E-5</v>
      </c>
      <c r="T156" s="103">
        <f t="shared" si="99"/>
        <v>1.8532203090513809E-4</v>
      </c>
      <c r="U156" s="103">
        <f t="shared" si="99"/>
        <v>2.0763146854853166E-4</v>
      </c>
      <c r="V156" s="103">
        <f t="shared" si="99"/>
        <v>2.4472894073583184E-4</v>
      </c>
      <c r="W156" s="103">
        <f t="shared" ref="W156" si="100">IF(W41=0,0,W41/W$17)</f>
        <v>2.5802459348348846E-4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0.41627034329702767</v>
      </c>
      <c r="C157" s="46">
        <f t="shared" si="101"/>
        <v>0.42102288739430027</v>
      </c>
      <c r="D157" s="46">
        <f t="shared" si="101"/>
        <v>0.40372166204983834</v>
      </c>
      <c r="E157" s="46">
        <f t="shared" si="101"/>
        <v>0.39505415780446512</v>
      </c>
      <c r="F157" s="46">
        <f t="shared" si="101"/>
        <v>0.39358079380431366</v>
      </c>
      <c r="G157" s="46">
        <f t="shared" si="101"/>
        <v>0.39841350442266604</v>
      </c>
      <c r="H157" s="46">
        <f t="shared" si="101"/>
        <v>0.39661536086623866</v>
      </c>
      <c r="I157" s="46">
        <f t="shared" si="101"/>
        <v>0.39140757091914363</v>
      </c>
      <c r="J157" s="46">
        <f t="shared" si="101"/>
        <v>0.38362304516469581</v>
      </c>
      <c r="K157" s="46">
        <f t="shared" si="101"/>
        <v>0.37068481393268526</v>
      </c>
      <c r="L157" s="46">
        <f t="shared" ref="L157" si="102">IF(L42=0,0,L42/L$17)</f>
        <v>0.3661113323849518</v>
      </c>
      <c r="M157" s="46">
        <f t="shared" ref="M157:V157" si="103">IF(M42=0,0,M42/M$17)</f>
        <v>0.35744421389061037</v>
      </c>
      <c r="N157" s="46">
        <f t="shared" si="103"/>
        <v>0.3367811001821529</v>
      </c>
      <c r="O157" s="46">
        <f t="shared" si="103"/>
        <v>0.32565269328686308</v>
      </c>
      <c r="P157" s="46">
        <f t="shared" si="103"/>
        <v>0.3204000194692625</v>
      </c>
      <c r="Q157" s="46">
        <f t="shared" si="103"/>
        <v>0.32123583934043748</v>
      </c>
      <c r="R157" s="46">
        <f t="shared" si="103"/>
        <v>0.31715848777429634</v>
      </c>
      <c r="S157" s="46">
        <f t="shared" si="103"/>
        <v>0.31390485464583978</v>
      </c>
      <c r="T157" s="46">
        <f t="shared" si="103"/>
        <v>0.31083039703460008</v>
      </c>
      <c r="U157" s="46">
        <f t="shared" si="103"/>
        <v>0.30726382966419669</v>
      </c>
      <c r="V157" s="46">
        <f t="shared" si="103"/>
        <v>0.30867406394379465</v>
      </c>
      <c r="W157" s="46">
        <f t="shared" ref="W157" si="104">IF(W42=0,0,W42/W$17)</f>
        <v>0.31041381310498006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0.31087337953239291</v>
      </c>
      <c r="C158" s="154">
        <f t="shared" si="105"/>
        <v>0.29640055419302447</v>
      </c>
      <c r="D158" s="154">
        <f t="shared" si="105"/>
        <v>0.2871777025787618</v>
      </c>
      <c r="E158" s="154">
        <f t="shared" si="105"/>
        <v>0.26588710770274498</v>
      </c>
      <c r="F158" s="154">
        <f t="shared" si="105"/>
        <v>0.24133872737539225</v>
      </c>
      <c r="G158" s="154">
        <f t="shared" si="105"/>
        <v>0.23485400053365502</v>
      </c>
      <c r="H158" s="154">
        <f t="shared" si="105"/>
        <v>0.23065747130126363</v>
      </c>
      <c r="I158" s="154">
        <f t="shared" si="105"/>
        <v>0.21758210989913379</v>
      </c>
      <c r="J158" s="154">
        <f t="shared" si="105"/>
        <v>0.21387758469837267</v>
      </c>
      <c r="K158" s="154">
        <f t="shared" si="105"/>
        <v>0.21476839994660363</v>
      </c>
      <c r="L158" s="154">
        <f t="shared" ref="L158" si="106">IF(L43=0,0,L43/L$17)</f>
        <v>0.20693249699274577</v>
      </c>
      <c r="M158" s="154">
        <f t="shared" ref="M158:V158" si="107">IF(M43=0,0,M43/M$17)</f>
        <v>0.19389323252812293</v>
      </c>
      <c r="N158" s="154">
        <f t="shared" si="107"/>
        <v>0.17830108962416974</v>
      </c>
      <c r="O158" s="154">
        <f t="shared" si="107"/>
        <v>0.17225026028346782</v>
      </c>
      <c r="P158" s="154">
        <f t="shared" si="107"/>
        <v>0.18059963903397122</v>
      </c>
      <c r="Q158" s="154">
        <f t="shared" si="107"/>
        <v>0.17704065374062741</v>
      </c>
      <c r="R158" s="154">
        <f t="shared" si="107"/>
        <v>0.17728934387746648</v>
      </c>
      <c r="S158" s="154">
        <f t="shared" si="107"/>
        <v>0.17896909026764349</v>
      </c>
      <c r="T158" s="154">
        <f t="shared" si="107"/>
        <v>0.17947265174106791</v>
      </c>
      <c r="U158" s="154">
        <f t="shared" si="107"/>
        <v>0.17649626342464608</v>
      </c>
      <c r="V158" s="154">
        <f t="shared" si="107"/>
        <v>0.17552250634254396</v>
      </c>
      <c r="W158" s="154">
        <f t="shared" ref="W158" si="108">IF(W43=0,0,W43/W$17)</f>
        <v>0.17885866599075884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4.1151561787680343E-3</v>
      </c>
      <c r="C159" s="103">
        <f t="shared" si="109"/>
        <v>3.5925021575413702E-3</v>
      </c>
      <c r="D159" s="103">
        <f t="shared" si="109"/>
        <v>3.4308266050401474E-3</v>
      </c>
      <c r="E159" s="103">
        <f t="shared" si="109"/>
        <v>3.4716890005078165E-3</v>
      </c>
      <c r="F159" s="103">
        <f t="shared" si="109"/>
        <v>2.937672940820956E-3</v>
      </c>
      <c r="G159" s="103">
        <f t="shared" si="109"/>
        <v>2.778113037053912E-3</v>
      </c>
      <c r="H159" s="103">
        <f t="shared" si="109"/>
        <v>2.667826936264888E-3</v>
      </c>
      <c r="I159" s="103">
        <f t="shared" si="109"/>
        <v>2.4314846857726355E-3</v>
      </c>
      <c r="J159" s="103">
        <f t="shared" si="109"/>
        <v>2.3440761685483064E-3</v>
      </c>
      <c r="K159" s="103">
        <f t="shared" si="109"/>
        <v>2.3145125772605396E-3</v>
      </c>
      <c r="L159" s="103">
        <f t="shared" ref="L159" si="110">IF(L44=0,0,L44/L$17)</f>
        <v>2.1779745361282547E-3</v>
      </c>
      <c r="M159" s="103">
        <f t="shared" ref="M159:V159" si="111">IF(M44=0,0,M44/M$17)</f>
        <v>1.8494390909892192E-3</v>
      </c>
      <c r="N159" s="103">
        <f t="shared" si="111"/>
        <v>1.7216677179507057E-3</v>
      </c>
      <c r="O159" s="103">
        <f t="shared" si="111"/>
        <v>1.5463629983344768E-3</v>
      </c>
      <c r="P159" s="103">
        <f t="shared" si="111"/>
        <v>1.4486359282309242E-3</v>
      </c>
      <c r="Q159" s="103">
        <f t="shared" si="111"/>
        <v>1.5419180621222292E-3</v>
      </c>
      <c r="R159" s="103">
        <f t="shared" si="111"/>
        <v>1.3910683035977857E-3</v>
      </c>
      <c r="S159" s="103">
        <f t="shared" si="111"/>
        <v>1.3723823314732494E-3</v>
      </c>
      <c r="T159" s="103">
        <f t="shared" si="111"/>
        <v>1.2373048634517396E-3</v>
      </c>
      <c r="U159" s="103">
        <f t="shared" si="111"/>
        <v>1.4495913389531779E-3</v>
      </c>
      <c r="V159" s="103">
        <f t="shared" si="111"/>
        <v>1.0383889313478713E-3</v>
      </c>
      <c r="W159" s="103">
        <f t="shared" ref="W159" si="112">IF(W44=0,0,W44/W$17)</f>
        <v>1.0156625118650422E-3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0.30648727721152763</v>
      </c>
      <c r="C160" s="103">
        <f t="shared" si="113"/>
        <v>0.29256549510956864</v>
      </c>
      <c r="D160" s="103">
        <f t="shared" si="113"/>
        <v>0.28351244037171724</v>
      </c>
      <c r="E160" s="103">
        <f t="shared" si="113"/>
        <v>0.26217926627270721</v>
      </c>
      <c r="F160" s="103">
        <f t="shared" si="113"/>
        <v>0.23819683076574635</v>
      </c>
      <c r="G160" s="103">
        <f t="shared" si="113"/>
        <v>0.2318789099554068</v>
      </c>
      <c r="H160" s="103">
        <f t="shared" si="113"/>
        <v>0.22779797795278739</v>
      </c>
      <c r="I160" s="103">
        <f t="shared" si="113"/>
        <v>0.21497185686330431</v>
      </c>
      <c r="J160" s="103">
        <f t="shared" si="113"/>
        <v>0.21135933822260838</v>
      </c>
      <c r="K160" s="103">
        <f t="shared" si="113"/>
        <v>0.21228059231639906</v>
      </c>
      <c r="L160" s="103">
        <f t="shared" ref="L160" si="114">IF(L46=0,0,L46/L$17)</f>
        <v>0.20459357574441947</v>
      </c>
      <c r="M160" s="103">
        <f t="shared" ref="M160:V160" si="115">IF(M46=0,0,M46/M$17)</f>
        <v>0.1918974506225247</v>
      </c>
      <c r="N160" s="103">
        <f t="shared" si="115"/>
        <v>0.17645345390472672</v>
      </c>
      <c r="O160" s="103">
        <f t="shared" si="115"/>
        <v>0.17057681503987529</v>
      </c>
      <c r="P160" s="103">
        <f t="shared" si="115"/>
        <v>0.17902188702089408</v>
      </c>
      <c r="Q160" s="103">
        <f t="shared" si="115"/>
        <v>0.17536268736229479</v>
      </c>
      <c r="R160" s="103">
        <f t="shared" si="115"/>
        <v>0.17577229252727083</v>
      </c>
      <c r="S160" s="103">
        <f t="shared" si="115"/>
        <v>0.17746539069411843</v>
      </c>
      <c r="T160" s="103">
        <f t="shared" si="115"/>
        <v>0.17809507252839904</v>
      </c>
      <c r="U160" s="103">
        <f t="shared" si="115"/>
        <v>0.17488999505355987</v>
      </c>
      <c r="V160" s="103">
        <f t="shared" si="115"/>
        <v>0.17431510285491389</v>
      </c>
      <c r="W160" s="103">
        <f t="shared" ref="W160" si="116">IF(W46=0,0,W46/W$17)</f>
        <v>0.17766086703397124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2.7094614209721094E-4</v>
      </c>
      <c r="C161" s="103">
        <f t="shared" si="117"/>
        <v>2.4255692591449384E-4</v>
      </c>
      <c r="D161" s="103">
        <f t="shared" si="117"/>
        <v>2.3443560200442915E-4</v>
      </c>
      <c r="E161" s="103">
        <f t="shared" si="117"/>
        <v>2.3615242952995289E-4</v>
      </c>
      <c r="F161" s="103">
        <f t="shared" si="117"/>
        <v>2.042236688249735E-4</v>
      </c>
      <c r="G161" s="103">
        <f t="shared" si="117"/>
        <v>1.9697754119431669E-4</v>
      </c>
      <c r="H161" s="103">
        <f t="shared" si="117"/>
        <v>1.9166641221136623E-4</v>
      </c>
      <c r="I161" s="103">
        <f t="shared" si="117"/>
        <v>1.7876835005687112E-4</v>
      </c>
      <c r="J161" s="103">
        <f t="shared" si="117"/>
        <v>1.7417030721598068E-4</v>
      </c>
      <c r="K161" s="103">
        <f t="shared" si="117"/>
        <v>1.7329505294404947E-4</v>
      </c>
      <c r="L161" s="103">
        <f t="shared" ref="L161" si="118">IF(L48=0,0,L48/L$17)</f>
        <v>1.609467121980143E-4</v>
      </c>
      <c r="M161" s="103">
        <f t="shared" ref="M161:V161" si="119">IF(M48=0,0,M48/M$17)</f>
        <v>1.4624997354581174E-4</v>
      </c>
      <c r="N161" s="103">
        <f t="shared" si="119"/>
        <v>1.2564482716285314E-4</v>
      </c>
      <c r="O161" s="103">
        <f t="shared" si="119"/>
        <v>1.2504081646176095E-4</v>
      </c>
      <c r="P161" s="103">
        <f t="shared" si="119"/>
        <v>1.2526784701524815E-4</v>
      </c>
      <c r="Q161" s="103">
        <f t="shared" si="119"/>
        <v>1.2917275157615452E-4</v>
      </c>
      <c r="R161" s="103">
        <f t="shared" si="119"/>
        <v>1.1765019905260926E-4</v>
      </c>
      <c r="S161" s="103">
        <f t="shared" si="119"/>
        <v>1.1303985605248855E-4</v>
      </c>
      <c r="T161" s="103">
        <f t="shared" si="119"/>
        <v>1.0672550812471648E-4</v>
      </c>
      <c r="U161" s="103">
        <f t="shared" si="119"/>
        <v>1.0926596811905076E-4</v>
      </c>
      <c r="V161" s="103">
        <f t="shared" si="119"/>
        <v>1.0362614876965521E-4</v>
      </c>
      <c r="W161" s="103">
        <f t="shared" ref="W161" si="120">IF(W48=0,0,W48/W$17)</f>
        <v>9.7224087988404136E-5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7.6049200846095499E-7</v>
      </c>
      <c r="P162" s="103">
        <f t="shared" si="123"/>
        <v>1.9700117821437021E-6</v>
      </c>
      <c r="Q162" s="103">
        <f t="shared" si="123"/>
        <v>3.2608290509997444E-6</v>
      </c>
      <c r="R162" s="103">
        <f t="shared" si="123"/>
        <v>4.1480353141683655E-6</v>
      </c>
      <c r="S162" s="103">
        <f t="shared" si="123"/>
        <v>4.6664366469854374E-6</v>
      </c>
      <c r="T162" s="103">
        <f t="shared" si="123"/>
        <v>7.117210803866251E-6</v>
      </c>
      <c r="U162" s="103">
        <f t="shared" si="123"/>
        <v>1.2151292682219084E-5</v>
      </c>
      <c r="V162" s="103">
        <f t="shared" si="123"/>
        <v>1.4451270727551154E-5</v>
      </c>
      <c r="W162" s="103">
        <f t="shared" ref="W162" si="124">IF(W49=0,0,W49/W$17)</f>
        <v>2.2945656921083707E-5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9.2841063226756339E-8</v>
      </c>
      <c r="N163" s="103">
        <f t="shared" si="127"/>
        <v>3.2317432944271599E-7</v>
      </c>
      <c r="O163" s="103">
        <f t="shared" si="127"/>
        <v>1.2809367878213897E-6</v>
      </c>
      <c r="P163" s="103">
        <f t="shared" si="127"/>
        <v>1.87822604883573E-6</v>
      </c>
      <c r="Q163" s="103">
        <f t="shared" si="127"/>
        <v>3.614735583272501E-6</v>
      </c>
      <c r="R163" s="103">
        <f t="shared" si="127"/>
        <v>4.184812231074628E-6</v>
      </c>
      <c r="S163" s="103">
        <f t="shared" si="127"/>
        <v>1.3610949352301719E-5</v>
      </c>
      <c r="T163" s="103">
        <f t="shared" si="127"/>
        <v>2.6431630288557933E-5</v>
      </c>
      <c r="U163" s="103">
        <f t="shared" si="127"/>
        <v>3.5259771331780025E-5</v>
      </c>
      <c r="V163" s="103">
        <f t="shared" si="127"/>
        <v>5.0937136785012696E-5</v>
      </c>
      <c r="W163" s="103">
        <f t="shared" ref="W163" si="128">IF(W51=0,0,W51/W$17)</f>
        <v>6.1966700013076228E-5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0.10539696376463475</v>
      </c>
      <c r="C164" s="156">
        <f t="shared" si="129"/>
        <v>0.12462233320127576</v>
      </c>
      <c r="D164" s="156">
        <f t="shared" si="129"/>
        <v>0.11654395947107651</v>
      </c>
      <c r="E164" s="156">
        <f t="shared" si="129"/>
        <v>0.12916705010172014</v>
      </c>
      <c r="F164" s="156">
        <f t="shared" si="129"/>
        <v>0.15224206642892141</v>
      </c>
      <c r="G164" s="156">
        <f t="shared" si="129"/>
        <v>0.16355950388901105</v>
      </c>
      <c r="H164" s="156">
        <f t="shared" si="129"/>
        <v>0.16595788956497501</v>
      </c>
      <c r="I164" s="156">
        <f t="shared" si="129"/>
        <v>0.17382546102000984</v>
      </c>
      <c r="J164" s="156">
        <f t="shared" si="129"/>
        <v>0.16974546046632316</v>
      </c>
      <c r="K164" s="156">
        <f t="shared" si="129"/>
        <v>0.15591641398608164</v>
      </c>
      <c r="L164" s="156">
        <f t="shared" ref="L164" si="130">IF(L52=0,0,L52/L$17)</f>
        <v>0.15917883539220604</v>
      </c>
      <c r="M164" s="156">
        <f t="shared" ref="M164:V164" si="131">IF(M52=0,0,M52/M$17)</f>
        <v>0.16355098136248747</v>
      </c>
      <c r="N164" s="156">
        <f t="shared" si="131"/>
        <v>0.15848001055798316</v>
      </c>
      <c r="O164" s="156">
        <f t="shared" si="131"/>
        <v>0.15340243300339526</v>
      </c>
      <c r="P164" s="156">
        <f t="shared" si="131"/>
        <v>0.13980038043529125</v>
      </c>
      <c r="Q164" s="156">
        <f t="shared" si="131"/>
        <v>0.14419518559981004</v>
      </c>
      <c r="R164" s="156">
        <f t="shared" si="131"/>
        <v>0.13986914389682983</v>
      </c>
      <c r="S164" s="156">
        <f t="shared" si="131"/>
        <v>0.13493576437819629</v>
      </c>
      <c r="T164" s="156">
        <f t="shared" si="131"/>
        <v>0.13135774529353214</v>
      </c>
      <c r="U164" s="156">
        <f t="shared" si="131"/>
        <v>0.13076756623955058</v>
      </c>
      <c r="V164" s="156">
        <f t="shared" si="131"/>
        <v>0.13315155760125072</v>
      </c>
      <c r="W164" s="156">
        <f t="shared" ref="W164" si="132">IF(W52=0,0,W52/W$17)</f>
        <v>0.1315551471142212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8.3362827177355395E-2</v>
      </c>
      <c r="C165" s="104">
        <f t="shared" si="133"/>
        <v>0.10043694607604896</v>
      </c>
      <c r="D165" s="104">
        <f t="shared" si="133"/>
        <v>9.1604751276065738E-2</v>
      </c>
      <c r="E165" s="104">
        <f t="shared" si="133"/>
        <v>0.10080001016709242</v>
      </c>
      <c r="F165" s="104">
        <f t="shared" si="133"/>
        <v>0.12040081381332478</v>
      </c>
      <c r="G165" s="104">
        <f t="shared" si="133"/>
        <v>0.12970901791173189</v>
      </c>
      <c r="H165" s="104">
        <f t="shared" si="133"/>
        <v>0.12983583127778558</v>
      </c>
      <c r="I165" s="104">
        <f t="shared" si="133"/>
        <v>0.13412742107915038</v>
      </c>
      <c r="J165" s="104">
        <f t="shared" si="133"/>
        <v>0.13357372936198117</v>
      </c>
      <c r="K165" s="104">
        <f t="shared" si="133"/>
        <v>0.11870178024021741</v>
      </c>
      <c r="L165" s="104">
        <f t="shared" ref="L165" si="134">IF(L53=0,0,L53/L$17)</f>
        <v>0.12510334607293364</v>
      </c>
      <c r="M165" s="104">
        <f t="shared" ref="M165:V165" si="135">IF(M53=0,0,M53/M$17)</f>
        <v>0.12565269001750004</v>
      </c>
      <c r="N165" s="104">
        <f t="shared" si="135"/>
        <v>0.11998210051062699</v>
      </c>
      <c r="O165" s="104">
        <f t="shared" si="135"/>
        <v>0.10913522196807168</v>
      </c>
      <c r="P165" s="104">
        <f t="shared" si="135"/>
        <v>9.6565713316756258E-2</v>
      </c>
      <c r="Q165" s="104">
        <f t="shared" si="135"/>
        <v>0.10782308455272115</v>
      </c>
      <c r="R165" s="104">
        <f t="shared" si="135"/>
        <v>0.10067465713586851</v>
      </c>
      <c r="S165" s="104">
        <f t="shared" si="135"/>
        <v>9.7851986899769927E-2</v>
      </c>
      <c r="T165" s="104">
        <f t="shared" si="135"/>
        <v>9.3725672877497765E-2</v>
      </c>
      <c r="U165" s="104">
        <f t="shared" si="135"/>
        <v>9.2104232608123976E-2</v>
      </c>
      <c r="V165" s="104">
        <f t="shared" si="135"/>
        <v>9.3485326367567179E-2</v>
      </c>
      <c r="W165" s="104">
        <f t="shared" ref="W165" si="136">IF(W53=0,0,W53/W$17)</f>
        <v>8.987271168801364E-2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2.2034136587279356E-2</v>
      </c>
      <c r="C166" s="105">
        <f t="shared" si="137"/>
        <v>2.4185387125226811E-2</v>
      </c>
      <c r="D166" s="105">
        <f t="shared" si="137"/>
        <v>2.4939208195010776E-2</v>
      </c>
      <c r="E166" s="105">
        <f t="shared" si="137"/>
        <v>2.8367039934627723E-2</v>
      </c>
      <c r="F166" s="105">
        <f t="shared" si="137"/>
        <v>3.1841252615596609E-2</v>
      </c>
      <c r="G166" s="105">
        <f t="shared" si="137"/>
        <v>3.3850485977279167E-2</v>
      </c>
      <c r="H166" s="105">
        <f t="shared" si="137"/>
        <v>3.6122058287189417E-2</v>
      </c>
      <c r="I166" s="105">
        <f t="shared" si="137"/>
        <v>3.9698039940859457E-2</v>
      </c>
      <c r="J166" s="105">
        <f t="shared" si="137"/>
        <v>3.6171731104341992E-2</v>
      </c>
      <c r="K166" s="105">
        <f t="shared" si="137"/>
        <v>3.7214633745864228E-2</v>
      </c>
      <c r="L166" s="105">
        <f t="shared" ref="L166" si="138">IF(L55=0,0,L55/L$17)</f>
        <v>3.4075489319272401E-2</v>
      </c>
      <c r="M166" s="105">
        <f t="shared" ref="M166:V166" si="139">IF(M55=0,0,M55/M$17)</f>
        <v>3.7898291344987421E-2</v>
      </c>
      <c r="N166" s="105">
        <f t="shared" si="139"/>
        <v>3.8497910047356171E-2</v>
      </c>
      <c r="O166" s="105">
        <f t="shared" si="139"/>
        <v>4.4267211035323564E-2</v>
      </c>
      <c r="P166" s="105">
        <f t="shared" si="139"/>
        <v>4.3234667118534992E-2</v>
      </c>
      <c r="Q166" s="105">
        <f t="shared" si="139"/>
        <v>3.6372101047088878E-2</v>
      </c>
      <c r="R166" s="105">
        <f t="shared" si="139"/>
        <v>3.9194486760961322E-2</v>
      </c>
      <c r="S166" s="105">
        <f t="shared" si="139"/>
        <v>3.7083777478426352E-2</v>
      </c>
      <c r="T166" s="105">
        <f t="shared" si="139"/>
        <v>3.763207241603439E-2</v>
      </c>
      <c r="U166" s="105">
        <f t="shared" si="139"/>
        <v>3.8663333631426593E-2</v>
      </c>
      <c r="V166" s="105">
        <f t="shared" si="139"/>
        <v>3.9666231233683541E-2</v>
      </c>
      <c r="W166" s="105">
        <f t="shared" ref="W166" si="140">IF(W55=0,0,W55/W$17)</f>
        <v>4.1682435426207559E-2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17265.00756708</v>
      </c>
      <c r="C4" s="146">
        <f t="shared" si="0"/>
        <v>17527.374016920003</v>
      </c>
      <c r="D4" s="146">
        <f t="shared" si="0"/>
        <v>18048.9675384</v>
      </c>
      <c r="E4" s="146">
        <f t="shared" si="0"/>
        <v>19129.39867404</v>
      </c>
      <c r="F4" s="146">
        <f t="shared" si="0"/>
        <v>19687.635303839998</v>
      </c>
      <c r="G4" s="146">
        <f t="shared" si="0"/>
        <v>18865.844807040001</v>
      </c>
      <c r="H4" s="146">
        <f t="shared" si="0"/>
        <v>18708.340104359999</v>
      </c>
      <c r="I4" s="146">
        <f t="shared" si="0"/>
        <v>18427.167186839997</v>
      </c>
      <c r="J4" s="146">
        <f t="shared" si="0"/>
        <v>18485.942168879999</v>
      </c>
      <c r="K4" s="146">
        <f t="shared" si="0"/>
        <v>18055.412836560001</v>
      </c>
      <c r="L4" s="146">
        <f t="shared" ref="L4" si="1">L5+L9+L10+L15</f>
        <v>17802.742435559994</v>
      </c>
      <c r="M4" s="146">
        <f t="shared" ref="M4:V4" si="2">M5+M9+M10+M15</f>
        <v>16541.817485040003</v>
      </c>
      <c r="N4" s="146">
        <f t="shared" si="2"/>
        <v>15172.075815839999</v>
      </c>
      <c r="O4" s="146">
        <f t="shared" si="2"/>
        <v>14927.912615520001</v>
      </c>
      <c r="P4" s="146">
        <f t="shared" si="2"/>
        <v>15141.413939399998</v>
      </c>
      <c r="Q4" s="146">
        <f t="shared" si="2"/>
        <v>15170.504739120001</v>
      </c>
      <c r="R4" s="146">
        <f t="shared" si="2"/>
        <v>15672.15890964</v>
      </c>
      <c r="S4" s="146">
        <f t="shared" si="2"/>
        <v>15976.817248679999</v>
      </c>
      <c r="T4" s="146">
        <f t="shared" si="2"/>
        <v>16054.524151920001</v>
      </c>
      <c r="U4" s="146">
        <f t="shared" si="2"/>
        <v>16515.352871999999</v>
      </c>
      <c r="V4" s="146">
        <f t="shared" si="2"/>
        <v>13949.88469812</v>
      </c>
      <c r="W4" s="146">
        <f t="shared" ref="W4" si="3">W5+W9+W10+W15</f>
        <v>14946.42010428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17262.382087080001</v>
      </c>
      <c r="C5" s="101">
        <f t="shared" si="4"/>
        <v>17516.771116920001</v>
      </c>
      <c r="D5" s="101">
        <f t="shared" si="4"/>
        <v>18032.7097584</v>
      </c>
      <c r="E5" s="101">
        <f t="shared" si="4"/>
        <v>19108.243364040001</v>
      </c>
      <c r="F5" s="101">
        <f t="shared" si="4"/>
        <v>19665.571173839999</v>
      </c>
      <c r="G5" s="101">
        <f t="shared" si="4"/>
        <v>18839.741477039999</v>
      </c>
      <c r="H5" s="101">
        <f t="shared" si="4"/>
        <v>18683.902944359997</v>
      </c>
      <c r="I5" s="101">
        <f t="shared" si="4"/>
        <v>18400.104546839997</v>
      </c>
      <c r="J5" s="101">
        <f t="shared" si="4"/>
        <v>18457.718258879999</v>
      </c>
      <c r="K5" s="101">
        <f t="shared" si="4"/>
        <v>18027.340396560001</v>
      </c>
      <c r="L5" s="101">
        <f t="shared" ref="L5" si="5">SUM(L6:L8)</f>
        <v>17773.306765559995</v>
      </c>
      <c r="M5" s="101">
        <f t="shared" ref="M5:V5" si="6">SUM(M6:M8)</f>
        <v>16512.331325040002</v>
      </c>
      <c r="N5" s="101">
        <f t="shared" si="6"/>
        <v>15143.952885839999</v>
      </c>
      <c r="O5" s="101">
        <f t="shared" si="6"/>
        <v>14898.830375520001</v>
      </c>
      <c r="P5" s="101">
        <f t="shared" si="6"/>
        <v>15112.988069399998</v>
      </c>
      <c r="Q5" s="101">
        <f t="shared" si="6"/>
        <v>15137.433789120001</v>
      </c>
      <c r="R5" s="101">
        <f t="shared" si="6"/>
        <v>15639.592859640001</v>
      </c>
      <c r="S5" s="101">
        <f t="shared" si="6"/>
        <v>15942.345706079999</v>
      </c>
      <c r="T5" s="101">
        <f t="shared" si="6"/>
        <v>16016.772173040001</v>
      </c>
      <c r="U5" s="101">
        <f t="shared" si="6"/>
        <v>16474.230382679998</v>
      </c>
      <c r="V5" s="101">
        <f t="shared" si="6"/>
        <v>13902.686646120001</v>
      </c>
      <c r="W5" s="101">
        <f t="shared" ref="W5" si="7">SUM(W6:W8)</f>
        <v>14890.51111356</v>
      </c>
      <c r="DA5" s="175"/>
    </row>
    <row r="6" spans="1:105" ht="11.45" customHeight="1" x14ac:dyDescent="0.25">
      <c r="A6" s="128" t="s">
        <v>52</v>
      </c>
      <c r="B6" s="101">
        <v>59.692650479999998</v>
      </c>
      <c r="C6" s="101">
        <v>59.692650479999998</v>
      </c>
      <c r="D6" s="101">
        <v>56.707995239999995</v>
      </c>
      <c r="E6" s="101">
        <v>59.692650479999998</v>
      </c>
      <c r="F6" s="101">
        <v>59.705144280000006</v>
      </c>
      <c r="G6" s="101">
        <v>65.675817720000012</v>
      </c>
      <c r="H6" s="101">
        <v>62.690481000000013</v>
      </c>
      <c r="I6" s="101">
        <v>63.857174759999992</v>
      </c>
      <c r="J6" s="101">
        <v>69.662475719999989</v>
      </c>
      <c r="K6" s="101">
        <v>87.077924280000005</v>
      </c>
      <c r="L6" s="101">
        <v>84.175500959999994</v>
      </c>
      <c r="M6" s="101">
        <v>72.56489904</v>
      </c>
      <c r="N6" s="101">
        <v>89.980574759999996</v>
      </c>
      <c r="O6" s="101">
        <v>95.785875720000007</v>
      </c>
      <c r="P6" s="101">
        <v>98.68829903999999</v>
      </c>
      <c r="Q6" s="101">
        <v>104.49360000000001</v>
      </c>
      <c r="R6" s="101">
        <v>107.39625048000002</v>
      </c>
      <c r="S6" s="101">
        <v>107.28289764000003</v>
      </c>
      <c r="T6" s="101">
        <v>105.30342540000001</v>
      </c>
      <c r="U6" s="101">
        <v>107.89259508000002</v>
      </c>
      <c r="V6" s="101">
        <v>81.345314520000017</v>
      </c>
      <c r="W6" s="101">
        <v>88.047443160000014</v>
      </c>
      <c r="DA6" s="175" t="s">
        <v>740</v>
      </c>
    </row>
    <row r="7" spans="1:105" ht="11.45" customHeight="1" x14ac:dyDescent="0.25">
      <c r="A7" s="128" t="s">
        <v>53</v>
      </c>
      <c r="B7" s="101">
        <v>6591.1508308799994</v>
      </c>
      <c r="C7" s="101">
        <v>6193.7568831599992</v>
      </c>
      <c r="D7" s="101">
        <v>6417.2909631600023</v>
      </c>
      <c r="E7" s="101">
        <v>6224.8031722800015</v>
      </c>
      <c r="F7" s="101">
        <v>5982.6411691200001</v>
      </c>
      <c r="G7" s="101">
        <v>5613.1892308799997</v>
      </c>
      <c r="H7" s="101">
        <v>5190.9580522799997</v>
      </c>
      <c r="I7" s="101">
        <v>4839.0804831599999</v>
      </c>
      <c r="J7" s="101">
        <v>4537.2096831600002</v>
      </c>
      <c r="K7" s="101">
        <v>4433.5367722800002</v>
      </c>
      <c r="L7" s="101">
        <v>4207.8960831599998</v>
      </c>
      <c r="M7" s="101">
        <v>3790.1555445600002</v>
      </c>
      <c r="N7" s="101">
        <v>3430.3500000000004</v>
      </c>
      <c r="O7" s="101">
        <v>3341.9233108800004</v>
      </c>
      <c r="P7" s="101">
        <v>3320.5787999999984</v>
      </c>
      <c r="Q7" s="101">
        <v>3189.4630891200004</v>
      </c>
      <c r="R7" s="101">
        <v>3140.6760277199992</v>
      </c>
      <c r="S7" s="101">
        <v>3133.6169911199991</v>
      </c>
      <c r="T7" s="101">
        <v>3098.7159865199997</v>
      </c>
      <c r="U7" s="101">
        <v>3211.548555599999</v>
      </c>
      <c r="V7" s="101">
        <v>2658.0851589600002</v>
      </c>
      <c r="W7" s="101">
        <v>2888.9676723600001</v>
      </c>
      <c r="DA7" s="175" t="s">
        <v>741</v>
      </c>
    </row>
    <row r="8" spans="1:105" ht="11.45" customHeight="1" x14ac:dyDescent="0.25">
      <c r="A8" s="128" t="s">
        <v>54</v>
      </c>
      <c r="B8" s="101">
        <v>10611.538605720001</v>
      </c>
      <c r="C8" s="101">
        <v>11263.321583280002</v>
      </c>
      <c r="D8" s="101">
        <v>11558.710799999997</v>
      </c>
      <c r="E8" s="101">
        <v>12823.747541279999</v>
      </c>
      <c r="F8" s="101">
        <v>13623.224860439997</v>
      </c>
      <c r="G8" s="101">
        <v>13160.87642844</v>
      </c>
      <c r="H8" s="101">
        <v>13430.254411079999</v>
      </c>
      <c r="I8" s="101">
        <v>13497.166888919999</v>
      </c>
      <c r="J8" s="101">
        <v>13850.846099999999</v>
      </c>
      <c r="K8" s="101">
        <v>13506.725699999999</v>
      </c>
      <c r="L8" s="101">
        <v>13481.235181439997</v>
      </c>
      <c r="M8" s="101">
        <v>12649.610881440001</v>
      </c>
      <c r="N8" s="101">
        <v>11623.622311079998</v>
      </c>
      <c r="O8" s="101">
        <v>11461.12118892</v>
      </c>
      <c r="P8" s="101">
        <v>11693.72097036</v>
      </c>
      <c r="Q8" s="101">
        <v>11843.4771</v>
      </c>
      <c r="R8" s="101">
        <v>12391.520581440001</v>
      </c>
      <c r="S8" s="101">
        <v>12701.44581732</v>
      </c>
      <c r="T8" s="101">
        <v>12812.752761120002</v>
      </c>
      <c r="U8" s="101">
        <v>13154.789231999999</v>
      </c>
      <c r="V8" s="101">
        <v>11163.25617264</v>
      </c>
      <c r="W8" s="101">
        <v>11913.49599804</v>
      </c>
      <c r="DA8" s="175" t="s">
        <v>742</v>
      </c>
    </row>
    <row r="9" spans="1:105" ht="11.45" customHeight="1" x14ac:dyDescent="0.25">
      <c r="A9" s="92" t="s">
        <v>55</v>
      </c>
      <c r="B9" s="101">
        <v>2.6254799999999996</v>
      </c>
      <c r="C9" s="101">
        <v>10.6029</v>
      </c>
      <c r="D9" s="101">
        <v>16.257780000000004</v>
      </c>
      <c r="E9" s="101">
        <v>21.155310000000004</v>
      </c>
      <c r="F9" s="101">
        <v>22.064129999999999</v>
      </c>
      <c r="G9" s="101">
        <v>26.103330000000003</v>
      </c>
      <c r="H9" s="101">
        <v>24.437159999999995</v>
      </c>
      <c r="I9" s="101">
        <v>27.062639999999995</v>
      </c>
      <c r="J9" s="101">
        <v>28.223910000000004</v>
      </c>
      <c r="K9" s="101">
        <v>28.072440000000011</v>
      </c>
      <c r="L9" s="101">
        <v>29.435669999999998</v>
      </c>
      <c r="M9" s="101">
        <v>29.486160000000012</v>
      </c>
      <c r="N9" s="101">
        <v>28.12293</v>
      </c>
      <c r="O9" s="101">
        <v>29.082240000000006</v>
      </c>
      <c r="P9" s="101">
        <v>28.425870000000007</v>
      </c>
      <c r="Q9" s="101">
        <v>33.070950000000018</v>
      </c>
      <c r="R9" s="101">
        <v>32.566050000000004</v>
      </c>
      <c r="S9" s="101">
        <v>34.471542599999999</v>
      </c>
      <c r="T9" s="101">
        <v>37.751978879999996</v>
      </c>
      <c r="U9" s="101">
        <v>41.12248932</v>
      </c>
      <c r="V9" s="101">
        <v>47.198052000000011</v>
      </c>
      <c r="W9" s="101">
        <v>55.908990719999998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17265.00756708</v>
      </c>
      <c r="C17" s="79">
        <f t="shared" si="12"/>
        <v>17527.374016919999</v>
      </c>
      <c r="D17" s="79">
        <f t="shared" si="12"/>
        <v>18048.9675384</v>
      </c>
      <c r="E17" s="79">
        <f t="shared" si="12"/>
        <v>19129.398674040003</v>
      </c>
      <c r="F17" s="79">
        <f t="shared" si="12"/>
        <v>19687.635303839998</v>
      </c>
      <c r="G17" s="79">
        <f t="shared" si="12"/>
        <v>18865.844807040001</v>
      </c>
      <c r="H17" s="79">
        <f t="shared" si="12"/>
        <v>18708.340104359999</v>
      </c>
      <c r="I17" s="79">
        <f t="shared" si="12"/>
        <v>18427.167186840001</v>
      </c>
      <c r="J17" s="79">
        <f t="shared" si="12"/>
        <v>18485.942168879999</v>
      </c>
      <c r="K17" s="79">
        <f t="shared" si="12"/>
        <v>18055.412836559997</v>
      </c>
      <c r="L17" s="79">
        <f t="shared" ref="L17" si="13">SUM(L18,L33)</f>
        <v>17802.742435559998</v>
      </c>
      <c r="M17" s="79">
        <f t="shared" ref="M17:V17" si="14">SUM(M18,M33)</f>
        <v>16541.817485040003</v>
      </c>
      <c r="N17" s="79">
        <f t="shared" si="14"/>
        <v>15172.075815840002</v>
      </c>
      <c r="O17" s="79">
        <f t="shared" si="14"/>
        <v>14927.912615520001</v>
      </c>
      <c r="P17" s="79">
        <f t="shared" si="14"/>
        <v>15141.413939399996</v>
      </c>
      <c r="Q17" s="79">
        <f t="shared" si="14"/>
        <v>15170.504739120002</v>
      </c>
      <c r="R17" s="79">
        <f t="shared" si="14"/>
        <v>15672.158909640002</v>
      </c>
      <c r="S17" s="79">
        <f t="shared" si="14"/>
        <v>15976.817248679999</v>
      </c>
      <c r="T17" s="79">
        <f t="shared" si="14"/>
        <v>16054.524151920001</v>
      </c>
      <c r="U17" s="79">
        <f t="shared" si="14"/>
        <v>16515.352871999999</v>
      </c>
      <c r="V17" s="79">
        <f t="shared" si="14"/>
        <v>13949.884698119999</v>
      </c>
      <c r="W17" s="79">
        <f t="shared" ref="W17" si="15">SUM(W18,W33)</f>
        <v>14946.420104280001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9888.8149371402233</v>
      </c>
      <c r="C18" s="32">
        <f t="shared" si="16"/>
        <v>9966.3430149716733</v>
      </c>
      <c r="D18" s="32">
        <f t="shared" si="16"/>
        <v>10581.419474955181</v>
      </c>
      <c r="E18" s="32">
        <f t="shared" si="16"/>
        <v>11400.217152726431</v>
      </c>
      <c r="F18" s="32">
        <f t="shared" si="16"/>
        <v>11773.423157851812</v>
      </c>
      <c r="G18" s="32">
        <f t="shared" si="16"/>
        <v>11190.671238900271</v>
      </c>
      <c r="H18" s="32">
        <f t="shared" si="16"/>
        <v>11177.782415220621</v>
      </c>
      <c r="I18" s="32">
        <f t="shared" si="16"/>
        <v>11134.22258177243</v>
      </c>
      <c r="J18" s="32">
        <f t="shared" si="16"/>
        <v>11319.864270570719</v>
      </c>
      <c r="K18" s="32">
        <f t="shared" si="16"/>
        <v>11323.1195559557</v>
      </c>
      <c r="L18" s="32">
        <f t="shared" ref="L18" si="17">SUM(L19,L20,L27)</f>
        <v>11282.092174264237</v>
      </c>
      <c r="M18" s="32">
        <f t="shared" ref="M18:V18" si="18">SUM(M19,M20,M27)</f>
        <v>10626.827552957819</v>
      </c>
      <c r="N18" s="32">
        <f t="shared" si="18"/>
        <v>10058.97234943808</v>
      </c>
      <c r="O18" s="32">
        <f t="shared" si="18"/>
        <v>10059.8815255543</v>
      </c>
      <c r="P18" s="32">
        <f t="shared" si="18"/>
        <v>10281.999343792337</v>
      </c>
      <c r="Q18" s="32">
        <f t="shared" si="18"/>
        <v>10281.755555338821</v>
      </c>
      <c r="R18" s="32">
        <f t="shared" si="18"/>
        <v>10662.897584976425</v>
      </c>
      <c r="S18" s="32">
        <f t="shared" si="18"/>
        <v>10940.816407623141</v>
      </c>
      <c r="T18" s="32">
        <f t="shared" si="18"/>
        <v>11041.861437944504</v>
      </c>
      <c r="U18" s="32">
        <f t="shared" si="18"/>
        <v>11412.748816221723</v>
      </c>
      <c r="V18" s="32">
        <f t="shared" si="18"/>
        <v>9620.2144413691676</v>
      </c>
      <c r="W18" s="32">
        <f t="shared" ref="W18" si="19">SUM(W19,W20,W27)</f>
        <v>10283.248860955453</v>
      </c>
      <c r="DA18" s="173" t="s">
        <v>402</v>
      </c>
    </row>
    <row r="19" spans="1:105" ht="11.45" customHeight="1" x14ac:dyDescent="0.25">
      <c r="A19" s="136" t="s">
        <v>180</v>
      </c>
      <c r="B19" s="141">
        <v>161.1966689697548</v>
      </c>
      <c r="C19" s="141">
        <v>163.88778964682999</v>
      </c>
      <c r="D19" s="141">
        <v>175.67500085764004</v>
      </c>
      <c r="E19" s="141">
        <v>183.29795102415173</v>
      </c>
      <c r="F19" s="141">
        <v>194.86559544716042</v>
      </c>
      <c r="G19" s="141">
        <v>203.26494348678031</v>
      </c>
      <c r="H19" s="141">
        <v>211.73080700786264</v>
      </c>
      <c r="I19" s="141">
        <v>198.44947725572459</v>
      </c>
      <c r="J19" s="141">
        <v>199.30511684270627</v>
      </c>
      <c r="K19" s="141">
        <v>184.52929392114137</v>
      </c>
      <c r="L19" s="141">
        <v>174.75718233289365</v>
      </c>
      <c r="M19" s="141">
        <v>167.93357875320919</v>
      </c>
      <c r="N19" s="141">
        <v>166.84021022972252</v>
      </c>
      <c r="O19" s="141">
        <v>161.64914034898422</v>
      </c>
      <c r="P19" s="141">
        <v>156.27757403371265</v>
      </c>
      <c r="Q19" s="141">
        <v>147.64342074018282</v>
      </c>
      <c r="R19" s="141">
        <v>158.39213782974909</v>
      </c>
      <c r="S19" s="141">
        <v>155.54333918511233</v>
      </c>
      <c r="T19" s="141">
        <v>147.0063493982893</v>
      </c>
      <c r="U19" s="141">
        <v>156.10074836913461</v>
      </c>
      <c r="V19" s="141">
        <v>136.89002583012964</v>
      </c>
      <c r="W19" s="141">
        <v>130.19615660080967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8727.1795255560373</v>
      </c>
      <c r="C20" s="130">
        <f t="shared" si="20"/>
        <v>8804.4668367434042</v>
      </c>
      <c r="D20" s="130">
        <f t="shared" si="20"/>
        <v>9407.5738696679473</v>
      </c>
      <c r="E20" s="130">
        <f t="shared" si="20"/>
        <v>10237.988259793654</v>
      </c>
      <c r="F20" s="130">
        <f t="shared" si="20"/>
        <v>10621.389449417631</v>
      </c>
      <c r="G20" s="130">
        <f t="shared" si="20"/>
        <v>10391.397740620361</v>
      </c>
      <c r="H20" s="130">
        <f t="shared" si="20"/>
        <v>10379.715059467178</v>
      </c>
      <c r="I20" s="130">
        <f t="shared" si="20"/>
        <v>10343.808732730062</v>
      </c>
      <c r="J20" s="130">
        <f t="shared" si="20"/>
        <v>10507.370608496563</v>
      </c>
      <c r="K20" s="130">
        <f t="shared" si="20"/>
        <v>10523.633488797615</v>
      </c>
      <c r="L20" s="130">
        <f t="shared" ref="L20" si="21">SUM(L21:L26)</f>
        <v>10487.322546997953</v>
      </c>
      <c r="M20" s="130">
        <f t="shared" ref="M20:V20" si="22">SUM(M21:M26)</f>
        <v>9839.7827492900997</v>
      </c>
      <c r="N20" s="130">
        <f t="shared" si="22"/>
        <v>9393.4563961919157</v>
      </c>
      <c r="O20" s="130">
        <f t="shared" si="22"/>
        <v>9418.1617473519855</v>
      </c>
      <c r="P20" s="130">
        <f t="shared" si="22"/>
        <v>9535.9227097644998</v>
      </c>
      <c r="Q20" s="130">
        <f t="shared" si="22"/>
        <v>9541.6896197646165</v>
      </c>
      <c r="R20" s="130">
        <f t="shared" si="22"/>
        <v>9866.3153600449677</v>
      </c>
      <c r="S20" s="130">
        <f t="shared" si="22"/>
        <v>10121.358589245569</v>
      </c>
      <c r="T20" s="130">
        <f t="shared" si="22"/>
        <v>10193.48347988619</v>
      </c>
      <c r="U20" s="130">
        <f t="shared" si="22"/>
        <v>10606.994846295245</v>
      </c>
      <c r="V20" s="130">
        <f t="shared" si="22"/>
        <v>8988.2490777331514</v>
      </c>
      <c r="W20" s="130">
        <f t="shared" ref="W20" si="23">SUM(W21:W26)</f>
        <v>9536.3532516998293</v>
      </c>
      <c r="DA20" s="176" t="s">
        <v>404</v>
      </c>
    </row>
    <row r="21" spans="1:105" ht="11.45" customHeight="1" x14ac:dyDescent="0.25">
      <c r="A21" s="111" t="s">
        <v>110</v>
      </c>
      <c r="B21" s="96">
        <v>6361.707986269058</v>
      </c>
      <c r="C21" s="96">
        <v>5969.4930490736078</v>
      </c>
      <c r="D21" s="96">
        <v>6182.229649108991</v>
      </c>
      <c r="E21" s="96">
        <v>5977.9401457686072</v>
      </c>
      <c r="F21" s="96">
        <v>5732.4996815790564</v>
      </c>
      <c r="G21" s="96">
        <v>5359.8462622325251</v>
      </c>
      <c r="H21" s="96">
        <v>4931.0513620368929</v>
      </c>
      <c r="I21" s="96">
        <v>4597.0609484286242</v>
      </c>
      <c r="J21" s="96">
        <v>4295.7896213209324</v>
      </c>
      <c r="K21" s="96">
        <v>4207.8163925566596</v>
      </c>
      <c r="L21" s="96">
        <v>3994.2511355404899</v>
      </c>
      <c r="M21" s="96">
        <v>3591.5147929748655</v>
      </c>
      <c r="N21" s="96">
        <v>3237.2672786472135</v>
      </c>
      <c r="O21" s="96">
        <v>3157.0944321170923</v>
      </c>
      <c r="P21" s="96">
        <v>3142.24197151611</v>
      </c>
      <c r="Q21" s="96">
        <v>3018.1560257815245</v>
      </c>
      <c r="R21" s="96">
        <v>2959.9902414561971</v>
      </c>
      <c r="S21" s="96">
        <v>2953.8921972467738</v>
      </c>
      <c r="T21" s="96">
        <v>2926.5115304679421</v>
      </c>
      <c r="U21" s="96">
        <v>3022.356121741645</v>
      </c>
      <c r="V21" s="96">
        <v>2495.7998876542083</v>
      </c>
      <c r="W21" s="96">
        <v>2726.8864590807375</v>
      </c>
      <c r="DA21" s="171" t="s">
        <v>750</v>
      </c>
    </row>
    <row r="22" spans="1:105" ht="11.45" customHeight="1" x14ac:dyDescent="0.25">
      <c r="A22" s="111" t="s">
        <v>111</v>
      </c>
      <c r="B22" s="96">
        <v>2309.8702808249668</v>
      </c>
      <c r="C22" s="96">
        <v>2778.9928761332867</v>
      </c>
      <c r="D22" s="96">
        <v>3172.3311644227342</v>
      </c>
      <c r="E22" s="96">
        <v>4204.2924715353456</v>
      </c>
      <c r="F22" s="96">
        <v>4832.6835476122296</v>
      </c>
      <c r="G22" s="96">
        <v>4969.1086935233943</v>
      </c>
      <c r="H22" s="96">
        <v>5389.124693637069</v>
      </c>
      <c r="I22" s="96">
        <v>5685.8073873741314</v>
      </c>
      <c r="J22" s="96">
        <v>6144.7677890355762</v>
      </c>
      <c r="K22" s="96">
        <v>6231.5473587038105</v>
      </c>
      <c r="L22" s="96">
        <v>6411.5675986716742</v>
      </c>
      <c r="M22" s="96">
        <v>6177.9595112875686</v>
      </c>
      <c r="N22" s="96">
        <v>6067.9476710195286</v>
      </c>
      <c r="O22" s="96">
        <v>6166.9305603497796</v>
      </c>
      <c r="P22" s="96">
        <v>6296.6569150268397</v>
      </c>
      <c r="Q22" s="96">
        <v>6420.501366970293</v>
      </c>
      <c r="R22" s="96">
        <v>6799.6962282613458</v>
      </c>
      <c r="S22" s="96">
        <v>7059.4596250074874</v>
      </c>
      <c r="T22" s="96">
        <v>7157.8266721579585</v>
      </c>
      <c r="U22" s="96">
        <v>7469.0256949442801</v>
      </c>
      <c r="V22" s="96">
        <v>6401.3936931097987</v>
      </c>
      <c r="W22" s="96">
        <v>6706.0245048952038</v>
      </c>
      <c r="DA22" s="171" t="s">
        <v>751</v>
      </c>
    </row>
    <row r="23" spans="1:105" ht="11.45" customHeight="1" x14ac:dyDescent="0.25">
      <c r="A23" s="111" t="s">
        <v>112</v>
      </c>
      <c r="B23" s="96">
        <v>55.60125846201268</v>
      </c>
      <c r="C23" s="96">
        <v>55.980911536509737</v>
      </c>
      <c r="D23" s="96">
        <v>53.013056136222865</v>
      </c>
      <c r="E23" s="96">
        <v>55.755642489701778</v>
      </c>
      <c r="F23" s="96">
        <v>56.206220226343341</v>
      </c>
      <c r="G23" s="96">
        <v>62.442784864442345</v>
      </c>
      <c r="H23" s="96">
        <v>59.539003793217248</v>
      </c>
      <c r="I23" s="96">
        <v>60.940396927305756</v>
      </c>
      <c r="J23" s="96">
        <v>66.813198140054922</v>
      </c>
      <c r="K23" s="96">
        <v>84.269737537146909</v>
      </c>
      <c r="L23" s="96">
        <v>81.499226804399513</v>
      </c>
      <c r="M23" s="96">
        <v>70.293294695632483</v>
      </c>
      <c r="N23" s="96">
        <v>88.195819326171971</v>
      </c>
      <c r="O23" s="96">
        <v>94.040451362638152</v>
      </c>
      <c r="P23" s="96">
        <v>96.873412672520089</v>
      </c>
      <c r="Q23" s="96">
        <v>102.59756288384352</v>
      </c>
      <c r="R23" s="96">
        <v>105.60280328877953</v>
      </c>
      <c r="S23" s="96">
        <v>105.53196306227257</v>
      </c>
      <c r="T23" s="96">
        <v>103.62515892269944</v>
      </c>
      <c r="U23" s="96">
        <v>106.15714529177677</v>
      </c>
      <c r="V23" s="96">
        <v>79.960192357314114</v>
      </c>
      <c r="W23" s="96">
        <v>86.615315943677402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4.5859813902119377E-3</v>
      </c>
      <c r="M24" s="96">
        <v>4.2534153610614975E-3</v>
      </c>
      <c r="N24" s="96">
        <v>1.2780907701229711E-2</v>
      </c>
      <c r="O24" s="96">
        <v>3.7964772360741549E-2</v>
      </c>
      <c r="P24" s="96">
        <v>3.9866638576198855E-2</v>
      </c>
      <c r="Q24" s="96">
        <v>4.7926868817036089E-2</v>
      </c>
      <c r="R24" s="96">
        <v>5.4688226980433741E-2</v>
      </c>
      <c r="S24" s="96">
        <v>6.4112357667705372E-2</v>
      </c>
      <c r="T24" s="96">
        <v>7.473712107415921E-2</v>
      </c>
      <c r="U24" s="96">
        <v>0.13572687960110175</v>
      </c>
      <c r="V24" s="96">
        <v>0.1440541520858542</v>
      </c>
      <c r="W24" s="96">
        <v>0.18056979799473943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1.089691667181265E-2</v>
      </c>
      <c r="N25" s="96">
        <v>3.2846291297785594E-2</v>
      </c>
      <c r="O25" s="96">
        <v>5.833875011485589E-2</v>
      </c>
      <c r="P25" s="96">
        <v>0.11054391045560917</v>
      </c>
      <c r="Q25" s="96">
        <v>0.38673726013563792</v>
      </c>
      <c r="R25" s="96">
        <v>0.97139881166506414</v>
      </c>
      <c r="S25" s="96">
        <v>2.4106915713665855</v>
      </c>
      <c r="T25" s="96">
        <v>5.4453812165164059</v>
      </c>
      <c r="U25" s="96">
        <v>9.3201574379411838</v>
      </c>
      <c r="V25" s="96">
        <v>10.951250459744665</v>
      </c>
      <c r="W25" s="96">
        <v>16.646401982216858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1000.4387426144317</v>
      </c>
      <c r="C27" s="130">
        <f t="shared" si="24"/>
        <v>997.98838858143893</v>
      </c>
      <c r="D27" s="130">
        <f t="shared" si="24"/>
        <v>998.17060442959337</v>
      </c>
      <c r="E27" s="130">
        <f t="shared" si="24"/>
        <v>978.93094190862553</v>
      </c>
      <c r="F27" s="130">
        <f t="shared" si="24"/>
        <v>957.16811298702214</v>
      </c>
      <c r="G27" s="130">
        <f t="shared" si="24"/>
        <v>596.008554793131</v>
      </c>
      <c r="H27" s="130">
        <f t="shared" si="24"/>
        <v>586.33654874557931</v>
      </c>
      <c r="I27" s="130">
        <f t="shared" si="24"/>
        <v>591.96437178664394</v>
      </c>
      <c r="J27" s="130">
        <f t="shared" si="24"/>
        <v>613.1885452314491</v>
      </c>
      <c r="K27" s="130">
        <f t="shared" si="24"/>
        <v>614.95677323694372</v>
      </c>
      <c r="L27" s="130">
        <f t="shared" ref="L27" si="25">SUM(L28:L32)</f>
        <v>620.01244493338913</v>
      </c>
      <c r="M27" s="130">
        <f t="shared" ref="M27:V27" si="26">SUM(M28:M32)</f>
        <v>619.11122491450988</v>
      </c>
      <c r="N27" s="130">
        <f t="shared" si="26"/>
        <v>498.67574301644129</v>
      </c>
      <c r="O27" s="130">
        <f t="shared" si="26"/>
        <v>480.0706378533302</v>
      </c>
      <c r="P27" s="130">
        <f t="shared" si="26"/>
        <v>589.79905999412472</v>
      </c>
      <c r="Q27" s="130">
        <f t="shared" si="26"/>
        <v>592.42251483402151</v>
      </c>
      <c r="R27" s="130">
        <f t="shared" si="26"/>
        <v>638.19008710170692</v>
      </c>
      <c r="S27" s="130">
        <f t="shared" si="26"/>
        <v>663.91447919246002</v>
      </c>
      <c r="T27" s="130">
        <f t="shared" si="26"/>
        <v>701.37160866002546</v>
      </c>
      <c r="U27" s="130">
        <f t="shared" si="26"/>
        <v>649.65322155734361</v>
      </c>
      <c r="V27" s="130">
        <f t="shared" si="26"/>
        <v>495.07533780588801</v>
      </c>
      <c r="W27" s="130">
        <f t="shared" ref="W27" si="27">SUM(W28:W32)</f>
        <v>616.6994526548134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2.7661911649644291E-2</v>
      </c>
      <c r="M28" s="97">
        <v>2.8515255302367544E-2</v>
      </c>
      <c r="N28" s="97">
        <v>2.9082075803790956E-2</v>
      </c>
      <c r="O28" s="97">
        <v>3.3216079965920117E-2</v>
      </c>
      <c r="P28" s="97">
        <v>3.3212367279794645E-2</v>
      </c>
      <c r="Q28" s="97">
        <v>3.8096378009639997E-2</v>
      </c>
      <c r="R28" s="97">
        <v>4.4125424420330663E-2</v>
      </c>
      <c r="S28" s="97">
        <v>3.9877280333044489E-2</v>
      </c>
      <c r="T28" s="97">
        <v>4.159972264777196E-2</v>
      </c>
      <c r="U28" s="97">
        <v>3.5680458568793504E-2</v>
      </c>
      <c r="V28" s="97">
        <v>2.7489731703936759E-2</v>
      </c>
      <c r="W28" s="97">
        <v>3.4725494879782694E-2</v>
      </c>
      <c r="DA28" s="175" t="s">
        <v>756</v>
      </c>
    </row>
    <row r="29" spans="1:105" ht="11.45" customHeight="1" x14ac:dyDescent="0.25">
      <c r="A29" s="111" t="s">
        <v>111</v>
      </c>
      <c r="B29" s="97">
        <v>997.81326261443166</v>
      </c>
      <c r="C29" s="97">
        <v>987.38548858143895</v>
      </c>
      <c r="D29" s="97">
        <v>981.91282442959334</v>
      </c>
      <c r="E29" s="97">
        <v>957.77563190862554</v>
      </c>
      <c r="F29" s="97">
        <v>935.10398298702216</v>
      </c>
      <c r="G29" s="97">
        <v>569.90522479313097</v>
      </c>
      <c r="H29" s="97">
        <v>561.89938874557936</v>
      </c>
      <c r="I29" s="97">
        <v>564.90173178664395</v>
      </c>
      <c r="J29" s="97">
        <v>584.96463523144905</v>
      </c>
      <c r="K29" s="97">
        <v>586.88433323694369</v>
      </c>
      <c r="L29" s="97">
        <v>590.49217012757742</v>
      </c>
      <c r="M29" s="97">
        <v>589.53737609175312</v>
      </c>
      <c r="N29" s="97">
        <v>470.49333962161705</v>
      </c>
      <c r="O29" s="97">
        <v>450.95969597689106</v>
      </c>
      <c r="P29" s="97">
        <v>561.31759307708296</v>
      </c>
      <c r="Q29" s="97">
        <v>559.31286602498619</v>
      </c>
      <c r="R29" s="97">
        <v>605.57038521665334</v>
      </c>
      <c r="S29" s="97">
        <v>629.41044755253949</v>
      </c>
      <c r="T29" s="97">
        <v>663.62298449723914</v>
      </c>
      <c r="U29" s="97">
        <v>608.69870663041638</v>
      </c>
      <c r="V29" s="97">
        <v>448.09144282826873</v>
      </c>
      <c r="W29" s="97">
        <v>561.1349746842784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6.1528875552342169E-2</v>
      </c>
      <c r="M30" s="97">
        <v>6.3426982815383254E-2</v>
      </c>
      <c r="N30" s="97">
        <v>4.3172226721723078E-2</v>
      </c>
      <c r="O30" s="97">
        <v>4.265785104535668E-2</v>
      </c>
      <c r="P30" s="97">
        <v>8.6418262914452579E-2</v>
      </c>
      <c r="Q30" s="97">
        <v>8.9083663199314225E-2</v>
      </c>
      <c r="R30" s="97">
        <v>0.11677189093317318</v>
      </c>
      <c r="S30" s="97">
        <v>0.11670333392098006</v>
      </c>
      <c r="T30" s="97">
        <v>0.12204944022400124</v>
      </c>
      <c r="U30" s="97">
        <v>9.433180336351682E-2</v>
      </c>
      <c r="V30" s="97">
        <v>6.5963655221990755E-2</v>
      </c>
      <c r="W30" s="97">
        <v>8.4168807642788376E-2</v>
      </c>
      <c r="DA30" s="175" t="s">
        <v>758</v>
      </c>
    </row>
    <row r="31" spans="1:105" ht="11.45" customHeight="1" x14ac:dyDescent="0.25">
      <c r="A31" s="111" t="s">
        <v>113</v>
      </c>
      <c r="B31" s="97">
        <v>2.6254799999999996</v>
      </c>
      <c r="C31" s="97">
        <v>10.6029</v>
      </c>
      <c r="D31" s="97">
        <v>16.257780000000004</v>
      </c>
      <c r="E31" s="97">
        <v>21.155310000000004</v>
      </c>
      <c r="F31" s="97">
        <v>22.064129999999999</v>
      </c>
      <c r="G31" s="97">
        <v>26.103330000000003</v>
      </c>
      <c r="H31" s="97">
        <v>24.437159999999995</v>
      </c>
      <c r="I31" s="97">
        <v>27.062639999999995</v>
      </c>
      <c r="J31" s="97">
        <v>28.223910000000004</v>
      </c>
      <c r="K31" s="97">
        <v>28.072440000000011</v>
      </c>
      <c r="L31" s="97">
        <v>29.431084018609788</v>
      </c>
      <c r="M31" s="97">
        <v>29.481906584638949</v>
      </c>
      <c r="N31" s="97">
        <v>28.110149092298769</v>
      </c>
      <c r="O31" s="97">
        <v>29.035067945427844</v>
      </c>
      <c r="P31" s="97">
        <v>28.361836286847542</v>
      </c>
      <c r="Q31" s="97">
        <v>32.982468767826433</v>
      </c>
      <c r="R31" s="97">
        <v>32.458804569700106</v>
      </c>
      <c r="S31" s="97">
        <v>34.347451025666508</v>
      </c>
      <c r="T31" s="97">
        <v>37.584974999914508</v>
      </c>
      <c r="U31" s="97">
        <v>40.824502664994988</v>
      </c>
      <c r="V31" s="97">
        <v>46.890441590693342</v>
      </c>
      <c r="W31" s="97">
        <v>55.445583668012418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7376.1926299397765</v>
      </c>
      <c r="C33" s="32">
        <f t="shared" si="28"/>
        <v>7561.0310019483268</v>
      </c>
      <c r="D33" s="32">
        <f t="shared" si="28"/>
        <v>7467.5480634448177</v>
      </c>
      <c r="E33" s="32">
        <f t="shared" si="28"/>
        <v>7729.1815213135715</v>
      </c>
      <c r="F33" s="32">
        <f t="shared" si="28"/>
        <v>7914.2121459881855</v>
      </c>
      <c r="G33" s="32">
        <f t="shared" si="28"/>
        <v>7675.1735681397295</v>
      </c>
      <c r="H33" s="32">
        <f t="shared" si="28"/>
        <v>7530.5576891393785</v>
      </c>
      <c r="I33" s="32">
        <f t="shared" si="28"/>
        <v>7292.9446050675697</v>
      </c>
      <c r="J33" s="32">
        <f t="shared" si="28"/>
        <v>7166.0778983092814</v>
      </c>
      <c r="K33" s="32">
        <f t="shared" si="28"/>
        <v>6732.2932806042982</v>
      </c>
      <c r="L33" s="32">
        <f t="shared" ref="L33" si="29">L34+L40</f>
        <v>6520.6502612957602</v>
      </c>
      <c r="M33" s="32">
        <f t="shared" ref="M33:V33" si="30">M34+M40</f>
        <v>5914.9899320821842</v>
      </c>
      <c r="N33" s="32">
        <f t="shared" si="30"/>
        <v>5113.1034664019235</v>
      </c>
      <c r="O33" s="32">
        <f t="shared" si="30"/>
        <v>4868.0310899657015</v>
      </c>
      <c r="P33" s="32">
        <f t="shared" si="30"/>
        <v>4859.4145956076591</v>
      </c>
      <c r="Q33" s="32">
        <f t="shared" si="30"/>
        <v>4888.7491837811813</v>
      </c>
      <c r="R33" s="32">
        <f t="shared" si="30"/>
        <v>5009.2613246635774</v>
      </c>
      <c r="S33" s="32">
        <f t="shared" si="30"/>
        <v>5036.0008410568589</v>
      </c>
      <c r="T33" s="32">
        <f t="shared" si="30"/>
        <v>5012.6627139754964</v>
      </c>
      <c r="U33" s="32">
        <f t="shared" si="30"/>
        <v>5102.6040557782762</v>
      </c>
      <c r="V33" s="32">
        <f t="shared" si="30"/>
        <v>4329.670256750831</v>
      </c>
      <c r="W33" s="32">
        <f t="shared" ref="W33" si="31">W34+W40</f>
        <v>4663.1712433245484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5507.2108366162374</v>
      </c>
      <c r="C34" s="141">
        <f t="shared" si="32"/>
        <v>5321.5443909464484</v>
      </c>
      <c r="D34" s="141">
        <f t="shared" si="32"/>
        <v>5310.487508277025</v>
      </c>
      <c r="E34" s="141">
        <f t="shared" si="32"/>
        <v>5200.3816057333424</v>
      </c>
      <c r="F34" s="141">
        <f t="shared" si="32"/>
        <v>4851.1771349002165</v>
      </c>
      <c r="G34" s="141">
        <f t="shared" si="32"/>
        <v>4522.6521963629239</v>
      </c>
      <c r="H34" s="141">
        <f t="shared" si="32"/>
        <v>4378.2560136221891</v>
      </c>
      <c r="I34" s="141">
        <f t="shared" si="32"/>
        <v>4053.1618065440816</v>
      </c>
      <c r="J34" s="141">
        <f t="shared" si="32"/>
        <v>3994.3080227298283</v>
      </c>
      <c r="K34" s="141">
        <f t="shared" si="32"/>
        <v>3900.0735732976545</v>
      </c>
      <c r="L34" s="141">
        <f t="shared" ref="L34" si="33">SUM(L35:L39)</f>
        <v>3685.5050855979343</v>
      </c>
      <c r="M34" s="141">
        <f t="shared" ref="M34:V34" si="34">SUM(M35:M39)</f>
        <v>3208.4777360874359</v>
      </c>
      <c r="N34" s="141">
        <f t="shared" si="34"/>
        <v>2706.9551662444346</v>
      </c>
      <c r="O34" s="141">
        <f t="shared" si="34"/>
        <v>2574.7872691210719</v>
      </c>
      <c r="P34" s="141">
        <f t="shared" si="34"/>
        <v>2738.9880629630434</v>
      </c>
      <c r="Q34" s="141">
        <f t="shared" si="34"/>
        <v>2694.1020505346282</v>
      </c>
      <c r="R34" s="141">
        <f t="shared" si="34"/>
        <v>2799.7191249697835</v>
      </c>
      <c r="S34" s="141">
        <f t="shared" si="34"/>
        <v>2870.9136490257479</v>
      </c>
      <c r="T34" s="141">
        <f t="shared" si="34"/>
        <v>2893.9348041964249</v>
      </c>
      <c r="U34" s="141">
        <f t="shared" si="34"/>
        <v>2930.5151052992414</v>
      </c>
      <c r="V34" s="141">
        <f t="shared" si="34"/>
        <v>2461.5479314884656</v>
      </c>
      <c r="W34" s="141">
        <f t="shared" ref="W34" si="35">SUM(W35:W39)</f>
        <v>2686.3994842289494</v>
      </c>
      <c r="DA34" s="174" t="s">
        <v>411</v>
      </c>
    </row>
    <row r="35" spans="1:105" ht="11.45" customHeight="1" x14ac:dyDescent="0.25">
      <c r="A35" s="111" t="s">
        <v>110</v>
      </c>
      <c r="B35" s="96">
        <v>68.246175641186639</v>
      </c>
      <c r="C35" s="96">
        <v>60.376044439561134</v>
      </c>
      <c r="D35" s="96">
        <v>59.38631319337108</v>
      </c>
      <c r="E35" s="96">
        <v>63.565075487243178</v>
      </c>
      <c r="F35" s="96">
        <v>55.275892093783469</v>
      </c>
      <c r="G35" s="96">
        <v>50.078025160694956</v>
      </c>
      <c r="H35" s="96">
        <v>48.175883235244143</v>
      </c>
      <c r="I35" s="96">
        <v>43.57005747565065</v>
      </c>
      <c r="J35" s="96">
        <v>42.114944996361402</v>
      </c>
      <c r="K35" s="96">
        <v>41.191085802200028</v>
      </c>
      <c r="L35" s="96">
        <v>38.860103374966442</v>
      </c>
      <c r="M35" s="96">
        <v>30.667760659951071</v>
      </c>
      <c r="N35" s="96">
        <v>26.18058275596352</v>
      </c>
      <c r="O35" s="96">
        <v>23.0881835838439</v>
      </c>
      <c r="P35" s="96">
        <v>21.915498172440632</v>
      </c>
      <c r="Q35" s="96">
        <v>23.238808960148017</v>
      </c>
      <c r="R35" s="96">
        <v>21.278124197967944</v>
      </c>
      <c r="S35" s="96">
        <v>21.730885836413265</v>
      </c>
      <c r="T35" s="96">
        <v>19.711125714604226</v>
      </c>
      <c r="U35" s="96">
        <v>23.735847592709273</v>
      </c>
      <c r="V35" s="96">
        <v>14.416505284213807</v>
      </c>
      <c r="W35" s="96">
        <v>15.203929201356429</v>
      </c>
      <c r="DA35" s="171" t="s">
        <v>761</v>
      </c>
    </row>
    <row r="36" spans="1:105" ht="11.45" customHeight="1" x14ac:dyDescent="0.25">
      <c r="A36" s="111" t="s">
        <v>111</v>
      </c>
      <c r="B36" s="96">
        <v>5434.8732689570634</v>
      </c>
      <c r="C36" s="96">
        <v>5257.4566075633966</v>
      </c>
      <c r="D36" s="96">
        <v>5247.4062559798767</v>
      </c>
      <c r="E36" s="96">
        <v>5132.879522255801</v>
      </c>
      <c r="F36" s="96">
        <v>4792.4023187527764</v>
      </c>
      <c r="G36" s="96">
        <v>4469.341138346671</v>
      </c>
      <c r="H36" s="96">
        <v>4326.9286531801617</v>
      </c>
      <c r="I36" s="96">
        <v>4006.6749712357368</v>
      </c>
      <c r="J36" s="96">
        <v>3949.3438001535219</v>
      </c>
      <c r="K36" s="96">
        <v>3856.0743007526012</v>
      </c>
      <c r="L36" s="96">
        <v>3644.0302369429196</v>
      </c>
      <c r="M36" s="96">
        <v>3175.6017980659326</v>
      </c>
      <c r="N36" s="96">
        <v>2679.0330002813648</v>
      </c>
      <c r="O36" s="96">
        <v>2549.9871117487</v>
      </c>
      <c r="P36" s="96">
        <v>2715.3199296114612</v>
      </c>
      <c r="Q36" s="96">
        <v>2669.0157337581663</v>
      </c>
      <c r="R36" s="96">
        <v>2776.7117682682092</v>
      </c>
      <c r="S36" s="96">
        <v>2847.4885527288625</v>
      </c>
      <c r="T36" s="96">
        <v>2872.5751946857326</v>
      </c>
      <c r="U36" s="96">
        <v>2904.9758799462684</v>
      </c>
      <c r="V36" s="96">
        <v>2445.6487114395673</v>
      </c>
      <c r="W36" s="96">
        <v>2669.5647593649201</v>
      </c>
      <c r="DA36" s="171" t="s">
        <v>762</v>
      </c>
    </row>
    <row r="37" spans="1:105" ht="11.45" customHeight="1" x14ac:dyDescent="0.25">
      <c r="A37" s="111" t="s">
        <v>112</v>
      </c>
      <c r="B37" s="96">
        <v>4.0913920179873138</v>
      </c>
      <c r="C37" s="96">
        <v>3.7117389434902628</v>
      </c>
      <c r="D37" s="96">
        <v>3.6949391037771386</v>
      </c>
      <c r="E37" s="96">
        <v>3.9370079902982176</v>
      </c>
      <c r="F37" s="96">
        <v>3.4989240536566646</v>
      </c>
      <c r="G37" s="96">
        <v>3.2330328555576675</v>
      </c>
      <c r="H37" s="96">
        <v>3.1514772067827699</v>
      </c>
      <c r="I37" s="96">
        <v>2.9167778326942426</v>
      </c>
      <c r="J37" s="96">
        <v>2.8492775799450603</v>
      </c>
      <c r="K37" s="96">
        <v>2.8081867428530964</v>
      </c>
      <c r="L37" s="96">
        <v>2.6147452800481448</v>
      </c>
      <c r="M37" s="96">
        <v>2.2081773615521318</v>
      </c>
      <c r="N37" s="96">
        <v>1.7415832071062884</v>
      </c>
      <c r="O37" s="96">
        <v>1.7027665063165041</v>
      </c>
      <c r="P37" s="96">
        <v>1.7284681045654433</v>
      </c>
      <c r="Q37" s="96">
        <v>1.8069534529571705</v>
      </c>
      <c r="R37" s="96">
        <v>1.676675300287308</v>
      </c>
      <c r="S37" s="96">
        <v>1.6342312438064936</v>
      </c>
      <c r="T37" s="96">
        <v>1.5562170370765467</v>
      </c>
      <c r="U37" s="96">
        <v>1.6411179848597313</v>
      </c>
      <c r="V37" s="96">
        <v>1.3191585074639214</v>
      </c>
      <c r="W37" s="96">
        <v>1.3479584086798144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9.2072822114213117E-3</v>
      </c>
      <c r="P38" s="96">
        <v>2.4167074576265414E-2</v>
      </c>
      <c r="Q38" s="96">
        <v>4.0554363356544859E-2</v>
      </c>
      <c r="R38" s="96">
        <v>5.25572033194667E-2</v>
      </c>
      <c r="S38" s="96">
        <v>5.9979216665786261E-2</v>
      </c>
      <c r="T38" s="96">
        <v>9.2266759011334326E-2</v>
      </c>
      <c r="U38" s="96">
        <v>0.16225977540390302</v>
      </c>
      <c r="V38" s="96">
        <v>0.16355625722081499</v>
      </c>
      <c r="W38" s="96">
        <v>0.28283725399283532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1868.9817933235393</v>
      </c>
      <c r="C40" s="130">
        <f t="shared" si="36"/>
        <v>2239.4866110018784</v>
      </c>
      <c r="D40" s="130">
        <f t="shared" si="36"/>
        <v>2157.0605551677922</v>
      </c>
      <c r="E40" s="130">
        <f t="shared" si="36"/>
        <v>2528.799915580229</v>
      </c>
      <c r="F40" s="130">
        <f t="shared" si="36"/>
        <v>3063.035011087969</v>
      </c>
      <c r="G40" s="130">
        <f t="shared" si="36"/>
        <v>3152.5213717768052</v>
      </c>
      <c r="H40" s="130">
        <f t="shared" si="36"/>
        <v>3152.3016755171893</v>
      </c>
      <c r="I40" s="130">
        <f t="shared" si="36"/>
        <v>3239.7827985234881</v>
      </c>
      <c r="J40" s="130">
        <f t="shared" si="36"/>
        <v>3171.7698755794531</v>
      </c>
      <c r="K40" s="130">
        <f t="shared" si="36"/>
        <v>2832.2197073066436</v>
      </c>
      <c r="L40" s="130">
        <f t="shared" ref="L40" si="37">SUM(L41:L42)</f>
        <v>2835.1451756978258</v>
      </c>
      <c r="M40" s="130">
        <f t="shared" ref="M40:V40" si="38">SUM(M41:M42)</f>
        <v>2706.5121959947483</v>
      </c>
      <c r="N40" s="130">
        <f t="shared" si="38"/>
        <v>2406.1483001574888</v>
      </c>
      <c r="O40" s="130">
        <f t="shared" si="38"/>
        <v>2293.2438208446301</v>
      </c>
      <c r="P40" s="130">
        <f t="shared" si="38"/>
        <v>2120.4265326446157</v>
      </c>
      <c r="Q40" s="130">
        <f t="shared" si="38"/>
        <v>2194.6471332465535</v>
      </c>
      <c r="R40" s="130">
        <f t="shared" si="38"/>
        <v>2209.5421996937939</v>
      </c>
      <c r="S40" s="130">
        <f t="shared" si="38"/>
        <v>2165.087192031111</v>
      </c>
      <c r="T40" s="130">
        <f t="shared" si="38"/>
        <v>2118.7279097790715</v>
      </c>
      <c r="U40" s="130">
        <f t="shared" si="38"/>
        <v>2172.0889504790343</v>
      </c>
      <c r="V40" s="130">
        <f t="shared" si="38"/>
        <v>1868.1223252623656</v>
      </c>
      <c r="W40" s="130">
        <f t="shared" ref="W40" si="39">SUM(W41:W42)</f>
        <v>1976.771759095599</v>
      </c>
      <c r="DA40" s="176" t="s">
        <v>412</v>
      </c>
    </row>
    <row r="41" spans="1:105" ht="11.45" customHeight="1" x14ac:dyDescent="0.25">
      <c r="A41" s="128" t="s">
        <v>27</v>
      </c>
      <c r="B41" s="97">
        <v>1478.2551666515162</v>
      </c>
      <c r="C41" s="97">
        <v>1804.8706857698817</v>
      </c>
      <c r="D41" s="97">
        <v>1695.4717905615421</v>
      </c>
      <c r="E41" s="97">
        <v>1973.4371652855061</v>
      </c>
      <c r="F41" s="97">
        <v>2422.4047710616101</v>
      </c>
      <c r="G41" s="97">
        <v>2500.0714807523232</v>
      </c>
      <c r="H41" s="97">
        <v>2466.1780741607386</v>
      </c>
      <c r="I41" s="97">
        <v>2499.8852818950718</v>
      </c>
      <c r="J41" s="97">
        <v>2495.8848960982264</v>
      </c>
      <c r="K41" s="97">
        <v>2156.2163514018293</v>
      </c>
      <c r="L41" s="97">
        <v>2228.2242938165136</v>
      </c>
      <c r="M41" s="97">
        <v>2079.354921375686</v>
      </c>
      <c r="N41" s="97">
        <v>1821.6475767292129</v>
      </c>
      <c r="O41" s="97">
        <v>1631.4843807545622</v>
      </c>
      <c r="P41" s="97">
        <v>1464.6634009367378</v>
      </c>
      <c r="Q41" s="97">
        <v>1641.0646612583021</v>
      </c>
      <c r="R41" s="97">
        <v>1590.3786724074398</v>
      </c>
      <c r="S41" s="97">
        <v>1570.0662054108557</v>
      </c>
      <c r="T41" s="97">
        <v>1511.7433581448324</v>
      </c>
      <c r="U41" s="97">
        <v>1529.879248299027</v>
      </c>
      <c r="V41" s="97">
        <v>1311.6033219430419</v>
      </c>
      <c r="W41" s="97">
        <v>1350.4438425655592</v>
      </c>
      <c r="DA41" s="175" t="s">
        <v>766</v>
      </c>
    </row>
    <row r="42" spans="1:105" ht="11.45" customHeight="1" x14ac:dyDescent="0.25">
      <c r="A42" s="138" t="s">
        <v>116</v>
      </c>
      <c r="B42" s="98">
        <v>390.72662667202303</v>
      </c>
      <c r="C42" s="98">
        <v>434.61592523199675</v>
      </c>
      <c r="D42" s="98">
        <v>461.58876460625021</v>
      </c>
      <c r="E42" s="98">
        <v>555.3627502947229</v>
      </c>
      <c r="F42" s="98">
        <v>640.63024002635893</v>
      </c>
      <c r="G42" s="98">
        <v>652.4498910244821</v>
      </c>
      <c r="H42" s="98">
        <v>686.12360135645054</v>
      </c>
      <c r="I42" s="98">
        <v>739.89751662841616</v>
      </c>
      <c r="J42" s="98">
        <v>675.88497948122688</v>
      </c>
      <c r="K42" s="98">
        <v>676.0033559048145</v>
      </c>
      <c r="L42" s="98">
        <v>606.92088188131231</v>
      </c>
      <c r="M42" s="98">
        <v>627.15727461906204</v>
      </c>
      <c r="N42" s="98">
        <v>584.50072342827582</v>
      </c>
      <c r="O42" s="98">
        <v>661.75944009006776</v>
      </c>
      <c r="P42" s="98">
        <v>655.76313170787785</v>
      </c>
      <c r="Q42" s="98">
        <v>553.58247198825165</v>
      </c>
      <c r="R42" s="98">
        <v>619.16352728635388</v>
      </c>
      <c r="S42" s="98">
        <v>595.02098662025537</v>
      </c>
      <c r="T42" s="98">
        <v>606.9845516342391</v>
      </c>
      <c r="U42" s="98">
        <v>642.2097021800073</v>
      </c>
      <c r="V42" s="98">
        <v>556.5190033193237</v>
      </c>
      <c r="W42" s="98">
        <v>626.32791653003972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3.0205791887160829</v>
      </c>
      <c r="C47" s="145">
        <f>IF(C4=0,0,C4/TrRoad_ene!C4)</f>
        <v>3.0259704684576003</v>
      </c>
      <c r="D47" s="145">
        <f>IF(D4=0,0,D4/TrRoad_ene!D4)</f>
        <v>3.0253820012928276</v>
      </c>
      <c r="E47" s="145">
        <f>IF(E4=0,0,E4/TrRoad_ene!E4)</f>
        <v>3.0313704643806045</v>
      </c>
      <c r="F47" s="145">
        <f>IF(F4=0,0,F4/TrRoad_ene!F4)</f>
        <v>3.0358246888590887</v>
      </c>
      <c r="G47" s="145">
        <f>IF(G4=0,0,G4/TrRoad_ene!G4)</f>
        <v>3.036647815089109</v>
      </c>
      <c r="H47" s="145">
        <f>IF(H4=0,0,H4/TrRoad_ene!H4)</f>
        <v>3.0059286944773698</v>
      </c>
      <c r="I47" s="145">
        <f>IF(I4=0,0,I4/TrRoad_ene!I4)</f>
        <v>2.9837156484876979</v>
      </c>
      <c r="J47" s="145">
        <f>IF(J4=0,0,J4/TrRoad_ene!J4)</f>
        <v>2.9853312142577488</v>
      </c>
      <c r="K47" s="145">
        <f>IF(K4=0,0,K4/TrRoad_ene!K4)</f>
        <v>2.9436026014682466</v>
      </c>
      <c r="L47" s="145">
        <f>IF(L4=0,0,L4/TrRoad_ene!L4)</f>
        <v>2.8950175782947238</v>
      </c>
      <c r="M47" s="145">
        <f>IF(M4=0,0,M4/TrRoad_ene!M4)</f>
        <v>2.8943872905661729</v>
      </c>
      <c r="N47" s="145">
        <f>IF(N4=0,0,N4/TrRoad_ene!N4)</f>
        <v>2.8917248278240488</v>
      </c>
      <c r="O47" s="145">
        <f>IF(O4=0,0,O4/TrRoad_ene!O4)</f>
        <v>2.8960587027976525</v>
      </c>
      <c r="P47" s="145">
        <f>IF(P4=0,0,P4/TrRoad_ene!P4)</f>
        <v>2.8990536368476039</v>
      </c>
      <c r="Q47" s="145">
        <f>IF(Q4=0,0,Q4/TrRoad_ene!Q4)</f>
        <v>2.8650720682993267</v>
      </c>
      <c r="R47" s="145">
        <f>IF(R4=0,0,R4/TrRoad_ene!R4)</f>
        <v>2.9052539544315108</v>
      </c>
      <c r="S47" s="145">
        <f>IF(S4=0,0,S4/TrRoad_ene!S4)</f>
        <v>2.9195769674022167</v>
      </c>
      <c r="T47" s="145">
        <f>IF(T4=0,0,T4/TrRoad_ene!T4)</f>
        <v>2.9087545670546668</v>
      </c>
      <c r="U47" s="145">
        <f>IF(U4=0,0,U4/TrRoad_ene!U4)</f>
        <v>2.904989354765763</v>
      </c>
      <c r="V47" s="145">
        <f>IF(V4=0,0,V4/TrRoad_ene!V4)</f>
        <v>2.8950399966648113</v>
      </c>
      <c r="W47" s="145">
        <f>IF(W4=0,0,W4/TrRoad_ene!W4)</f>
        <v>2.8480403989850633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2.9014524000000006</v>
      </c>
      <c r="L48" s="97">
        <f>IF(L7=0,0,(L7+L12)/(TrRoad_ene!L7+TrRoad_ene!L12))</f>
        <v>2.9014523999999997</v>
      </c>
      <c r="M48" s="97">
        <f>IF(M7=0,0,(M7+M12)/(TrRoad_ene!M7+TrRoad_ene!M12))</f>
        <v>2.9014524000000002</v>
      </c>
      <c r="N48" s="97">
        <f>IF(N7=0,0,(N7+N12)/(TrRoad_ene!N7+TrRoad_ene!N12))</f>
        <v>2.898290628405376</v>
      </c>
      <c r="O48" s="97">
        <f>IF(O7=0,0,(O7+O12)/(TrRoad_ene!O7+TrRoad_ene!O12))</f>
        <v>2.8965871140748258</v>
      </c>
      <c r="P48" s="97">
        <f>IF(P7=0,0,(P7+P12)/(TrRoad_ene!P7+TrRoad_ene!P12))</f>
        <v>2.8965558930433151</v>
      </c>
      <c r="Q48" s="97">
        <f>IF(Q7=0,0,(Q7+Q12)/(TrRoad_ene!Q7+TrRoad_ene!Q12))</f>
        <v>2.8463486127983364</v>
      </c>
      <c r="R48" s="97">
        <f>IF(R7=0,0,(R7+R12)/(TrRoad_ene!R7+TrRoad_ene!R12))</f>
        <v>2.8355686022977493</v>
      </c>
      <c r="S48" s="97">
        <f>IF(S7=0,0,(S7+S12)/(TrRoad_ene!S7+TrRoad_ene!S12))</f>
        <v>2.8935565432816808</v>
      </c>
      <c r="T48" s="97">
        <f>IF(T7=0,0,(T7+T12)/(TrRoad_ene!T7+TrRoad_ene!T12))</f>
        <v>2.8863191324710225</v>
      </c>
      <c r="U48" s="97">
        <f>IF(U7=0,0,(U7+U12)/(TrRoad_ene!U7+TrRoad_ene!U12))</f>
        <v>2.8801549103055484</v>
      </c>
      <c r="V48" s="97">
        <f>IF(V7=0,0,(V7+V12)/(TrRoad_ene!V7+TrRoad_ene!V12))</f>
        <v>2.8812695896458385</v>
      </c>
      <c r="W48" s="97">
        <f>IF(W7=0,0,(W7+W12)/(TrRoad_ene!W7+TrRoad_ene!W12))</f>
        <v>2.852432500380492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3.1024187999999997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3.0519209970173904</v>
      </c>
      <c r="I49" s="97">
        <f>IF(I8=0,0,(I8+I13+I14)/(TrRoad_ene!I8+TrRoad_ene!I13+TrRoad_ene!I14))</f>
        <v>3.0178757907644402</v>
      </c>
      <c r="J49" s="97">
        <f>IF(J8=0,0,(J8+J13+J14)/(TrRoad_ene!J8+TrRoad_ene!J13+TrRoad_ene!J14))</f>
        <v>3.0175497095330037</v>
      </c>
      <c r="K49" s="97">
        <f>IF(K8=0,0,(K8+K13+K14)/(TrRoad_ene!K8+TrRoad_ene!K13+TrRoad_ene!K14))</f>
        <v>2.9614667287315131</v>
      </c>
      <c r="L49" s="97">
        <f>IF(L8=0,0,(L8+L13+L14)/(TrRoad_ene!L8+TrRoad_ene!L13+TrRoad_ene!L14))</f>
        <v>2.896371568304732</v>
      </c>
      <c r="M49" s="97">
        <f>IF(M8=0,0,(M8+M13+M14)/(TrRoad_ene!M8+TrRoad_ene!M13+TrRoad_ene!M14))</f>
        <v>2.8955445540005855</v>
      </c>
      <c r="N49" s="97">
        <f>IF(N8=0,0,(N8+N13+N14)/(TrRoad_ene!N8+TrRoad_ene!N13+TrRoad_ene!N14))</f>
        <v>2.8937423426784195</v>
      </c>
      <c r="O49" s="97">
        <f>IF(O8=0,0,(O8+O13+O14)/(TrRoad_ene!O8+TrRoad_ene!O13+TrRoad_ene!O14))</f>
        <v>2.9001887318620949</v>
      </c>
      <c r="P49" s="97">
        <f>IF(P8=0,0,(P8+P13+P14)/(TrRoad_ene!P8+TrRoad_ene!P13+TrRoad_ene!P14))</f>
        <v>2.9040540469009324</v>
      </c>
      <c r="Q49" s="97">
        <f>IF(Q8=0,0,(Q8+Q13+Q14)/(TrRoad_ene!Q8+TrRoad_ene!Q13+TrRoad_ene!Q14))</f>
        <v>2.8744149431279005</v>
      </c>
      <c r="R49" s="97">
        <f>IF(R8=0,0,(R8+R13+R14)/(TrRoad_ene!R8+TrRoad_ene!R13+TrRoad_ene!R14))</f>
        <v>2.9284354680650488</v>
      </c>
      <c r="S49" s="97">
        <f>IF(S8=0,0,(S8+S13+S14)/(TrRoad_ene!S8+TrRoad_ene!S13+TrRoad_ene!S14))</f>
        <v>2.9320946033998867</v>
      </c>
      <c r="T49" s="97">
        <f>IF(T8=0,0,(T8+T13+T14)/(TrRoad_ene!T8+TrRoad_ene!T13+TrRoad_ene!T14))</f>
        <v>2.9223292336212201</v>
      </c>
      <c r="U49" s="97">
        <f>IF(U8=0,0,(U8+U13+U14)/(TrRoad_ene!U8+TrRoad_ene!U13+TrRoad_ene!U14))</f>
        <v>2.92169080118448</v>
      </c>
      <c r="V49" s="97">
        <f>IF(V8=0,0,(V8+V13+V14)/(TrRoad_ene!V8+TrRoad_ene!V13+TrRoad_ene!V14))</f>
        <v>2.9116757507740414</v>
      </c>
      <c r="W49" s="97">
        <f>IF(W8=0,0,(W8+W13+W14)/(TrRoad_ene!W8+TrRoad_ene!W13+TrRoad_ene!W14))</f>
        <v>2.8632392827025939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2.3487948000000007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251.93287556353232</v>
      </c>
      <c r="C54" s="62">
        <f>IF(TrRoad_act!C30=0,0,C17/TrRoad_act!C30*1000
)</f>
        <v>251.80883046295327</v>
      </c>
      <c r="D54" s="62">
        <f>IF(TrRoad_act!D30=0,0,D17/TrRoad_act!D30*1000
)</f>
        <v>243.7947719425693</v>
      </c>
      <c r="E54" s="62">
        <f>IF(TrRoad_act!E30=0,0,E17/TrRoad_act!E30*1000
)</f>
        <v>251.93544240733584</v>
      </c>
      <c r="F54" s="62">
        <f>IF(TrRoad_act!F30=0,0,F17/TrRoad_act!F30*1000
)</f>
        <v>253.9070122556013</v>
      </c>
      <c r="G54" s="62">
        <f>IF(TrRoad_act!G30=0,0,G17/TrRoad_act!G30*1000
)</f>
        <v>241.64617783679495</v>
      </c>
      <c r="H54" s="62">
        <f>IF(TrRoad_act!H30=0,0,H17/TrRoad_act!H30*1000
)</f>
        <v>236.66768746427729</v>
      </c>
      <c r="I54" s="62">
        <f>IF(TrRoad_act!I30=0,0,I17/TrRoad_act!I30*1000
)</f>
        <v>234.570715976516</v>
      </c>
      <c r="J54" s="62">
        <f>IF(TrRoad_act!J30=0,0,J17/TrRoad_act!J30*1000
)</f>
        <v>232.11752387175133</v>
      </c>
      <c r="K54" s="62">
        <f>IF(TrRoad_act!K30=0,0,K17/TrRoad_act!K30*1000
)</f>
        <v>222.88422070592412</v>
      </c>
      <c r="L54" s="62">
        <f>IF(TrRoad_act!L30=0,0,L17/TrRoad_act!L30*1000
)</f>
        <v>216.55355018830468</v>
      </c>
      <c r="M54" s="62">
        <f>IF(TrRoad_act!M30=0,0,M17/TrRoad_act!M30*1000
)</f>
        <v>209.60449066948115</v>
      </c>
      <c r="N54" s="62">
        <f>IF(TrRoad_act!N30=0,0,N17/TrRoad_act!N30*1000
)</f>
        <v>210.46037640194072</v>
      </c>
      <c r="O54" s="62">
        <f>IF(TrRoad_act!O30=0,0,O17/TrRoad_act!O30*1000
)</f>
        <v>207.67282380694471</v>
      </c>
      <c r="P54" s="62">
        <f>IF(TrRoad_act!P30=0,0,P17/TrRoad_act!P30*1000
)</f>
        <v>201.61264011152809</v>
      </c>
      <c r="Q54" s="62">
        <f>IF(TrRoad_act!Q30=0,0,Q17/TrRoad_act!Q30*1000
)</f>
        <v>201.96480798865221</v>
      </c>
      <c r="R54" s="62">
        <f>IF(TrRoad_act!R30=0,0,R17/TrRoad_act!R30*1000
)</f>
        <v>201.98260050924304</v>
      </c>
      <c r="S54" s="62">
        <f>IF(TrRoad_act!S30=0,0,S17/TrRoad_act!S30*1000
)</f>
        <v>198.93501032694991</v>
      </c>
      <c r="T54" s="62">
        <f>IF(TrRoad_act!T30=0,0,T17/TrRoad_act!T30*1000
)</f>
        <v>197.17818891539613</v>
      </c>
      <c r="U54" s="62">
        <f>IF(TrRoad_act!U30=0,0,U17/TrRoad_act!U30*1000
)</f>
        <v>197.74369217021794</v>
      </c>
      <c r="V54" s="62">
        <f>IF(TrRoad_act!V30=0,0,V17/TrRoad_act!V30*1000
)</f>
        <v>191.64244508116053</v>
      </c>
      <c r="W54" s="62">
        <f>IF(TrRoad_act!W30=0,0,W17/TrRoad_act!W30*1000
)</f>
        <v>193.11424838131728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192.45989150544312</v>
      </c>
      <c r="C55" s="29">
        <f>IF(TrRoad_act!C31=0,0,C18/TrRoad_act!C31*1000
)</f>
        <v>192.05498716881522</v>
      </c>
      <c r="D55" s="29">
        <f>IF(TrRoad_act!D31=0,0,D18/TrRoad_act!D31*1000
)</f>
        <v>187.92425477148231</v>
      </c>
      <c r="E55" s="29">
        <f>IF(TrRoad_act!E31=0,0,E18/TrRoad_act!E31*1000
)</f>
        <v>194.92683169791451</v>
      </c>
      <c r="F55" s="29">
        <f>IF(TrRoad_act!F31=0,0,F18/TrRoad_act!F31*1000
)</f>
        <v>194.75191072656628</v>
      </c>
      <c r="G55" s="29">
        <f>IF(TrRoad_act!G31=0,0,G18/TrRoad_act!G31*1000
)</f>
        <v>182.08209517828945</v>
      </c>
      <c r="H55" s="29">
        <f>IF(TrRoad_act!H31=0,0,H18/TrRoad_act!H31*1000
)</f>
        <v>179.66753778330019</v>
      </c>
      <c r="I55" s="29">
        <f>IF(TrRoad_act!I31=0,0,I18/TrRoad_act!I31*1000
)</f>
        <v>179.20337893369404</v>
      </c>
      <c r="J55" s="29">
        <f>IF(TrRoad_act!J31=0,0,J18/TrRoad_act!J31*1000
)</f>
        <v>179.2483238543833</v>
      </c>
      <c r="K55" s="29">
        <f>IF(TrRoad_act!K31=0,0,K18/TrRoad_act!K31*1000
)</f>
        <v>175.68981205711171</v>
      </c>
      <c r="L55" s="29">
        <f>IF(TrRoad_act!L31=0,0,L18/TrRoad_act!L31*1000
)</f>
        <v>171.55583390227531</v>
      </c>
      <c r="M55" s="29">
        <f>IF(TrRoad_act!M31=0,0,M18/TrRoad_act!M31*1000
)</f>
        <v>165.68604094583847</v>
      </c>
      <c r="N55" s="29">
        <f>IF(TrRoad_act!N31=0,0,N18/TrRoad_act!N31*1000
)</f>
        <v>169.25327869110779</v>
      </c>
      <c r="O55" s="29">
        <f>IF(TrRoad_act!O31=0,0,O18/TrRoad_act!O31*1000
)</f>
        <v>168.20334822935621</v>
      </c>
      <c r="P55" s="29">
        <f>IF(TrRoad_act!P31=0,0,P18/TrRoad_act!P31*1000
)</f>
        <v>165.44145904462923</v>
      </c>
      <c r="Q55" s="29">
        <f>IF(TrRoad_act!Q31=0,0,Q18/TrRoad_act!Q31*1000
)</f>
        <v>166.17730997739889</v>
      </c>
      <c r="R55" s="29">
        <f>IF(TrRoad_act!R31=0,0,R18/TrRoad_act!R31*1000
)</f>
        <v>166.72149264577237</v>
      </c>
      <c r="S55" s="29">
        <f>IF(TrRoad_act!S31=0,0,S18/TrRoad_act!S31*1000
)</f>
        <v>165.50386847795411</v>
      </c>
      <c r="T55" s="29">
        <f>IF(TrRoad_act!T31=0,0,T18/TrRoad_act!T31*1000
)</f>
        <v>165.20024816955973</v>
      </c>
      <c r="U55" s="29">
        <f>IF(TrRoad_act!U31=0,0,U18/TrRoad_act!U31*1000
)</f>
        <v>166.4527417319369</v>
      </c>
      <c r="V55" s="29">
        <f>IF(TrRoad_act!V31=0,0,V18/TrRoad_act!V31*1000
)</f>
        <v>160.08363106914911</v>
      </c>
      <c r="W55" s="29">
        <f>IF(TrRoad_act!W31=0,0,W18/TrRoad_act!W31*1000
)</f>
        <v>162.45856137759435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123.38955963865938</v>
      </c>
      <c r="C56" s="152">
        <f>IF(TrRoad_act!C32=0,0,C19/TrRoad_act!C32*1000
)</f>
        <v>116.18958156892353</v>
      </c>
      <c r="D56" s="152">
        <f>IF(TrRoad_act!D32=0,0,D19/TrRoad_act!D32*1000
)</f>
        <v>115.64927094989427</v>
      </c>
      <c r="E56" s="152">
        <f>IF(TrRoad_act!E32=0,0,E19/TrRoad_act!E32*1000
)</f>
        <v>114.27932034365725</v>
      </c>
      <c r="F56" s="152">
        <f>IF(TrRoad_act!F32=0,0,F19/TrRoad_act!F32*1000
)</f>
        <v>113.38943268331784</v>
      </c>
      <c r="G56" s="152">
        <f>IF(TrRoad_act!G32=0,0,G19/TrRoad_act!G32*1000
)</f>
        <v>112.49723813429716</v>
      </c>
      <c r="H56" s="152">
        <f>IF(TrRoad_act!H32=0,0,H19/TrRoad_act!H32*1000
)</f>
        <v>111.43323853868381</v>
      </c>
      <c r="I56" s="152">
        <f>IF(TrRoad_act!I32=0,0,I19/TrRoad_act!I32*1000
)</f>
        <v>110.36940135630635</v>
      </c>
      <c r="J56" s="152">
        <f>IF(TrRoad_act!J32=0,0,J19/TrRoad_act!J32*1000
)</f>
        <v>109.62095440404306</v>
      </c>
      <c r="K56" s="152">
        <f>IF(TrRoad_act!K32=0,0,K19/TrRoad_act!K32*1000
)</f>
        <v>108.4943433809829</v>
      </c>
      <c r="L56" s="152">
        <f>IF(TrRoad_act!L32=0,0,L19/TrRoad_act!L32*1000
)</f>
        <v>106.03276349954683</v>
      </c>
      <c r="M56" s="152">
        <f>IF(TrRoad_act!M32=0,0,M19/TrRoad_act!M32*1000
)</f>
        <v>104.08567436022112</v>
      </c>
      <c r="N56" s="152">
        <f>IF(TrRoad_act!N32=0,0,N19/TrRoad_act!N32*1000
)</f>
        <v>102.22325861445937</v>
      </c>
      <c r="O56" s="152">
        <f>IF(TrRoad_act!O32=0,0,O19/TrRoad_act!O32*1000
)</f>
        <v>100.66959584699266</v>
      </c>
      <c r="P56" s="152">
        <f>IF(TrRoad_act!P32=0,0,P19/TrRoad_act!P32*1000
)</f>
        <v>98.930287218145139</v>
      </c>
      <c r="Q56" s="152">
        <f>IF(TrRoad_act!Q32=0,0,Q19/TrRoad_act!Q32*1000
)</f>
        <v>96.535327552980107</v>
      </c>
      <c r="R56" s="152">
        <f>IF(TrRoad_act!R32=0,0,R19/TrRoad_act!R32*1000
)</f>
        <v>97.239823284016467</v>
      </c>
      <c r="S56" s="152">
        <f>IF(TrRoad_act!S32=0,0,S19/TrRoad_act!S32*1000
)</f>
        <v>99.955211809616657</v>
      </c>
      <c r="T56" s="152">
        <f>IF(TrRoad_act!T32=0,0,T19/TrRoad_act!T32*1000
)</f>
        <v>98.420485045332214</v>
      </c>
      <c r="U56" s="152">
        <f>IF(TrRoad_act!U32=0,0,U19/TrRoad_act!U32*1000
)</f>
        <v>97.641266544821235</v>
      </c>
      <c r="V56" s="152">
        <f>IF(TrRoad_act!V32=0,0,V19/TrRoad_act!V32*1000
)</f>
        <v>94.885064822220357</v>
      </c>
      <c r="W56" s="152">
        <f>IF(TrRoad_act!W32=0,0,W19/TrRoad_act!W32*1000
)</f>
        <v>86.111575207912054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176.09317075162423</v>
      </c>
      <c r="C57" s="116">
        <f>IF(TrRoad_act!C33=0,0,C20/TrRoad_act!C33*1000
)</f>
        <v>176.25958695695448</v>
      </c>
      <c r="D57" s="116">
        <f>IF(TrRoad_act!D33=0,0,D20/TrRoad_act!D33*1000
)</f>
        <v>173.40913129922669</v>
      </c>
      <c r="E57" s="116">
        <f>IF(TrRoad_act!E33=0,0,E20/TrRoad_act!E33*1000
)</f>
        <v>181.69457105734665</v>
      </c>
      <c r="F57" s="116">
        <f>IF(TrRoad_act!F33=0,0,F20/TrRoad_act!F33*1000
)</f>
        <v>182.4723485547122</v>
      </c>
      <c r="G57" s="116">
        <f>IF(TrRoad_act!G33=0,0,G20/TrRoad_act!G33*1000
)</f>
        <v>175.19924956295065</v>
      </c>
      <c r="H57" s="116">
        <f>IF(TrRoad_act!H33=0,0,H20/TrRoad_act!H33*1000
)</f>
        <v>173.07670333811586</v>
      </c>
      <c r="I57" s="116">
        <f>IF(TrRoad_act!I33=0,0,I20/TrRoad_act!I33*1000
)</f>
        <v>172.44730782021318</v>
      </c>
      <c r="J57" s="116">
        <f>IF(TrRoad_act!J33=0,0,J20/TrRoad_act!J33*1000
)</f>
        <v>172.34298773501143</v>
      </c>
      <c r="K57" s="116">
        <f>IF(TrRoad_act!K33=0,0,K20/TrRoad_act!K33*1000
)</f>
        <v>168.72172956888647</v>
      </c>
      <c r="L57" s="116">
        <f>IF(TrRoad_act!L33=0,0,L20/TrRoad_act!L33*1000
)</f>
        <v>164.5715956514758</v>
      </c>
      <c r="M57" s="116">
        <f>IF(TrRoad_act!M33=0,0,M20/TrRoad_act!M33*1000
)</f>
        <v>158.36478596402722</v>
      </c>
      <c r="N57" s="116">
        <f>IF(TrRoad_act!N33=0,0,N20/TrRoad_act!N33*1000
)</f>
        <v>163.4336198819843</v>
      </c>
      <c r="O57" s="116">
        <f>IF(TrRoad_act!O33=0,0,O20/TrRoad_act!O33*1000
)</f>
        <v>162.68344172093867</v>
      </c>
      <c r="P57" s="116">
        <f>IF(TrRoad_act!P33=0,0,P20/TrRoad_act!P33*1000
)</f>
        <v>158.42051739875649</v>
      </c>
      <c r="Q57" s="116">
        <f>IF(TrRoad_act!Q33=0,0,Q20/TrRoad_act!Q33*1000
)</f>
        <v>159.11730567216495</v>
      </c>
      <c r="R57" s="116">
        <f>IF(TrRoad_act!R33=0,0,R20/TrRoad_act!R33*1000
)</f>
        <v>159.31654820722989</v>
      </c>
      <c r="S57" s="116">
        <f>IF(TrRoad_act!S33=0,0,S20/TrRoad_act!S33*1000
)</f>
        <v>157.80525405427832</v>
      </c>
      <c r="T57" s="116">
        <f>IF(TrRoad_act!T33=0,0,T20/TrRoad_act!T33*1000
)</f>
        <v>157.05340488278514</v>
      </c>
      <c r="U57" s="116">
        <f>IF(TrRoad_act!U33=0,0,U20/TrRoad_act!U33*1000
)</f>
        <v>159.33751113876826</v>
      </c>
      <c r="V57" s="116">
        <f>IF(TrRoad_act!V33=0,0,V20/TrRoad_act!V33*1000
)</f>
        <v>154.03198023209967</v>
      </c>
      <c r="W57" s="116">
        <f>IF(TrRoad_act!W33=0,0,W20/TrRoad_act!W33*1000
)</f>
        <v>155.32080126351758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199.88657711293993</v>
      </c>
      <c r="C58" s="87">
        <f>IF(TrRoad_act!C34=0,0,C21/TrRoad_act!C34*1000
)</f>
        <v>195.95518024563188</v>
      </c>
      <c r="D58" s="87">
        <f>IF(TrRoad_act!D34=0,0,D21/TrRoad_act!D34*1000
)</f>
        <v>193.74494184763827</v>
      </c>
      <c r="E58" s="87">
        <f>IF(TrRoad_act!E34=0,0,E21/TrRoad_act!E34*1000
)</f>
        <v>192.94113227431518</v>
      </c>
      <c r="F58" s="87">
        <f>IF(TrRoad_act!F34=0,0,F21/TrRoad_act!F34*1000
)</f>
        <v>192.48283870756768</v>
      </c>
      <c r="G58" s="87">
        <f>IF(TrRoad_act!G34=0,0,G21/TrRoad_act!G34*1000
)</f>
        <v>191.69396956682019</v>
      </c>
      <c r="H58" s="87">
        <f>IF(TrRoad_act!H34=0,0,H21/TrRoad_act!H34*1000
)</f>
        <v>191.05823442871701</v>
      </c>
      <c r="I58" s="87">
        <f>IF(TrRoad_act!I34=0,0,I21/TrRoad_act!I34*1000
)</f>
        <v>190.29862569729431</v>
      </c>
      <c r="J58" s="87">
        <f>IF(TrRoad_act!J34=0,0,J21/TrRoad_act!J34*1000
)</f>
        <v>189.28268029670096</v>
      </c>
      <c r="K58" s="87">
        <f>IF(TrRoad_act!K34=0,0,K21/TrRoad_act!K34*1000
)</f>
        <v>188.90503387573884</v>
      </c>
      <c r="L58" s="87">
        <f>IF(TrRoad_act!L34=0,0,L21/TrRoad_act!L34*1000
)</f>
        <v>185.92675637256463</v>
      </c>
      <c r="M58" s="87">
        <f>IF(TrRoad_act!M34=0,0,M21/TrRoad_act!M34*1000
)</f>
        <v>184.71421398541963</v>
      </c>
      <c r="N58" s="87">
        <f>IF(TrRoad_act!N34=0,0,N21/TrRoad_act!N34*1000
)</f>
        <v>181.25147346632491</v>
      </c>
      <c r="O58" s="87">
        <f>IF(TrRoad_act!O34=0,0,O21/TrRoad_act!O34*1000
)</f>
        <v>180.86631746674558</v>
      </c>
      <c r="P58" s="87">
        <f>IF(TrRoad_act!P34=0,0,P21/TrRoad_act!P34*1000
)</f>
        <v>180.03357039085202</v>
      </c>
      <c r="Q58" s="87">
        <f>IF(TrRoad_act!Q34=0,0,Q21/TrRoad_act!Q34*1000
)</f>
        <v>174.94009374358677</v>
      </c>
      <c r="R58" s="87">
        <f>IF(TrRoad_act!R34=0,0,R21/TrRoad_act!R34*1000
)</f>
        <v>174.80095708770864</v>
      </c>
      <c r="S58" s="87">
        <f>IF(TrRoad_act!S34=0,0,S21/TrRoad_act!S34*1000
)</f>
        <v>176.21180552770258</v>
      </c>
      <c r="T58" s="87">
        <f>IF(TrRoad_act!T34=0,0,T21/TrRoad_act!T34*1000
)</f>
        <v>176.68412705910637</v>
      </c>
      <c r="U58" s="87">
        <f>IF(TrRoad_act!U34=0,0,U21/TrRoad_act!U34*1000
)</f>
        <v>176.3863009868009</v>
      </c>
      <c r="V58" s="87">
        <f>IF(TrRoad_act!V34=0,0,V21/TrRoad_act!V34*1000
)</f>
        <v>174.98899865580404</v>
      </c>
      <c r="W58" s="87">
        <f>IF(TrRoad_act!W34=0,0,W21/TrRoad_act!W34*1000
)</f>
        <v>173.1825105535836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132.4213957908058</v>
      </c>
      <c r="C59" s="87">
        <f>IF(TrRoad_act!C35=0,0,C22/TrRoad_act!C35*1000
)</f>
        <v>144.62072995476598</v>
      </c>
      <c r="D59" s="87">
        <f>IF(TrRoad_act!D35=0,0,D22/TrRoad_act!D35*1000
)</f>
        <v>143.60756972481835</v>
      </c>
      <c r="E59" s="87">
        <f>IF(TrRoad_act!E35=0,0,E22/TrRoad_act!E35*1000
)</f>
        <v>167.76106332823656</v>
      </c>
      <c r="F59" s="87">
        <f>IF(TrRoad_act!F35=0,0,F22/TrRoad_act!F35*1000
)</f>
        <v>171.89281385931551</v>
      </c>
      <c r="G59" s="87">
        <f>IF(TrRoad_act!G35=0,0,G22/TrRoad_act!G35*1000
)</f>
        <v>160.17762340561069</v>
      </c>
      <c r="H59" s="87">
        <f>IF(TrRoad_act!H35=0,0,H22/TrRoad_act!H35*1000
)</f>
        <v>159.05690025630062</v>
      </c>
      <c r="I59" s="87">
        <f>IF(TrRoad_act!I35=0,0,I22/TrRoad_act!I35*1000
)</f>
        <v>159.88768770211664</v>
      </c>
      <c r="J59" s="87">
        <f>IF(TrRoad_act!J35=0,0,J22/TrRoad_act!J35*1000
)</f>
        <v>162.00794911466224</v>
      </c>
      <c r="K59" s="87">
        <f>IF(TrRoad_act!K35=0,0,K22/TrRoad_act!K35*1000
)</f>
        <v>157.43359403947994</v>
      </c>
      <c r="L59" s="87">
        <f>IF(TrRoad_act!L35=0,0,L22/TrRoad_act!L35*1000
)</f>
        <v>153.64154330243792</v>
      </c>
      <c r="M59" s="87">
        <f>IF(TrRoad_act!M35=0,0,M22/TrRoad_act!M35*1000
)</f>
        <v>146.24514336607615</v>
      </c>
      <c r="N59" s="87">
        <f>IF(TrRoad_act!N35=0,0,N22/TrRoad_act!N35*1000
)</f>
        <v>155.3595490147294</v>
      </c>
      <c r="O59" s="87">
        <f>IF(TrRoad_act!O35=0,0,O22/TrRoad_act!O35*1000
)</f>
        <v>154.74863385423728</v>
      </c>
      <c r="P59" s="87">
        <f>IF(TrRoad_act!P35=0,0,P22/TrRoad_act!P35*1000
)</f>
        <v>149.57907981550377</v>
      </c>
      <c r="Q59" s="87">
        <f>IF(TrRoad_act!Q35=0,0,Q22/TrRoad_act!Q35*1000
)</f>
        <v>152.71236825803038</v>
      </c>
      <c r="R59" s="87">
        <f>IF(TrRoad_act!R35=0,0,R22/TrRoad_act!R35*1000
)</f>
        <v>153.56723663098083</v>
      </c>
      <c r="S59" s="87">
        <f>IF(TrRoad_act!S35=0,0,S22/TrRoad_act!S35*1000
)</f>
        <v>151.70002288725328</v>
      </c>
      <c r="T59" s="87">
        <f>IF(TrRoad_act!T35=0,0,T22/TrRoad_act!T35*1000
)</f>
        <v>151.31325955218045</v>
      </c>
      <c r="U59" s="87">
        <f>IF(TrRoad_act!U35=0,0,U22/TrRoad_act!U35*1000
)</f>
        <v>155.08270286724542</v>
      </c>
      <c r="V59" s="87">
        <f>IF(TrRoad_act!V35=0,0,V22/TrRoad_act!V35*1000
)</f>
        <v>149.42775029615072</v>
      </c>
      <c r="W59" s="87">
        <f>IF(TrRoad_act!W35=0,0,W22/TrRoad_act!W35*1000
)</f>
        <v>152.52950166583096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191.66853760088193</v>
      </c>
      <c r="C60" s="87">
        <f>IF(TrRoad_act!C36=0,0,C23/TrRoad_act!C36*1000
)</f>
        <v>205.50128491953581</v>
      </c>
      <c r="D60" s="87">
        <f>IF(TrRoad_act!D36=0,0,D23/TrRoad_act!D36*1000
)</f>
        <v>210.91520456968908</v>
      </c>
      <c r="E60" s="87">
        <f>IF(TrRoad_act!E36=0,0,E23/TrRoad_act!E36*1000
)</f>
        <v>184.12343897240851</v>
      </c>
      <c r="F60" s="87">
        <f>IF(TrRoad_act!F36=0,0,F23/TrRoad_act!F36*1000
)</f>
        <v>180.25106973484768</v>
      </c>
      <c r="G60" s="87">
        <f>IF(TrRoad_act!G36=0,0,G23/TrRoad_act!G36*1000
)</f>
        <v>189.81713908680649</v>
      </c>
      <c r="H60" s="87">
        <f>IF(TrRoad_act!H36=0,0,H23/TrRoad_act!H36*1000
)</f>
        <v>211.98188517609771</v>
      </c>
      <c r="I60" s="87">
        <f>IF(TrRoad_act!I36=0,0,I23/TrRoad_act!I36*1000
)</f>
        <v>230.76237551606457</v>
      </c>
      <c r="J60" s="87">
        <f>IF(TrRoad_act!J36=0,0,J23/TrRoad_act!J36*1000
)</f>
        <v>194.48762289422379</v>
      </c>
      <c r="K60" s="87">
        <f>IF(TrRoad_act!K36=0,0,K23/TrRoad_act!K36*1000
)</f>
        <v>163.46481895412418</v>
      </c>
      <c r="L60" s="87">
        <f>IF(TrRoad_act!L36=0,0,L23/TrRoad_act!L36*1000
)</f>
        <v>162.22191930577705</v>
      </c>
      <c r="M60" s="87">
        <f>IF(TrRoad_act!M36=0,0,M23/TrRoad_act!M36*1000
)</f>
        <v>158.8689052458391</v>
      </c>
      <c r="N60" s="87">
        <f>IF(TrRoad_act!N36=0,0,N23/TrRoad_act!N36*1000
)</f>
        <v>159.61341925852994</v>
      </c>
      <c r="O60" s="87">
        <f>IF(TrRoad_act!O36=0,0,O23/TrRoad_act!O36*1000
)</f>
        <v>162.38504906751547</v>
      </c>
      <c r="P60" s="87">
        <f>IF(TrRoad_act!P36=0,0,P23/TrRoad_act!P36*1000
)</f>
        <v>152.32287775350287</v>
      </c>
      <c r="Q60" s="87">
        <f>IF(TrRoad_act!Q36=0,0,Q23/TrRoad_act!Q36*1000
)</f>
        <v>157.46885421193102</v>
      </c>
      <c r="R60" s="87">
        <f>IF(TrRoad_act!R36=0,0,R23/TrRoad_act!R36*1000
)</f>
        <v>157.48119107839702</v>
      </c>
      <c r="S60" s="87">
        <f>IF(TrRoad_act!S36=0,0,S23/TrRoad_act!S36*1000
)</f>
        <v>149.40174857162364</v>
      </c>
      <c r="T60" s="87">
        <f>IF(TrRoad_act!T36=0,0,T23/TrRoad_act!T36*1000
)</f>
        <v>140.12270744628643</v>
      </c>
      <c r="U60" s="87">
        <f>IF(TrRoad_act!U36=0,0,U23/TrRoad_act!U36*1000
)</f>
        <v>140.94482421866925</v>
      </c>
      <c r="V60" s="87">
        <f>IF(TrRoad_act!V36=0,0,V23/TrRoad_act!V36*1000
)</f>
        <v>125.47540310978484</v>
      </c>
      <c r="W60" s="87">
        <f>IF(TrRoad_act!W36=0,0,W23/TrRoad_act!W36*1000
)</f>
        <v>120.70617892053136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186.82371794958237</v>
      </c>
      <c r="M61" s="87">
        <f>IF(TrRoad_act!M37=0,0,M24/TrRoad_act!M37*1000
)</f>
        <v>186.82371794958237</v>
      </c>
      <c r="N61" s="87">
        <f>IF(TrRoad_act!N37=0,0,N24/TrRoad_act!N37*1000
)</f>
        <v>153.29369712334474</v>
      </c>
      <c r="O61" s="87">
        <f>IF(TrRoad_act!O37=0,0,O24/TrRoad_act!O37*1000
)</f>
        <v>143.52557788507244</v>
      </c>
      <c r="P61" s="87">
        <f>IF(TrRoad_act!P37=0,0,P24/TrRoad_act!P37*1000
)</f>
        <v>138.1637505403819</v>
      </c>
      <c r="Q61" s="87">
        <f>IF(TrRoad_act!Q37=0,0,Q24/TrRoad_act!Q37*1000
)</f>
        <v>130.74950094827398</v>
      </c>
      <c r="R61" s="87">
        <f>IF(TrRoad_act!R37=0,0,R24/TrRoad_act!R37*1000
)</f>
        <v>125.82115579085223</v>
      </c>
      <c r="S61" s="87">
        <f>IF(TrRoad_act!S37=0,0,S24/TrRoad_act!S37*1000
)</f>
        <v>123.29834429761216</v>
      </c>
      <c r="T61" s="87">
        <f>IF(TrRoad_act!T37=0,0,T24/TrRoad_act!T37*1000
)</f>
        <v>126.05765114018816</v>
      </c>
      <c r="U61" s="87">
        <f>IF(TrRoad_act!U37=0,0,U24/TrRoad_act!U37*1000
)</f>
        <v>123.83260121351883</v>
      </c>
      <c r="V61" s="87">
        <f>IF(TrRoad_act!V37=0,0,V24/TrRoad_act!V37*1000
)</f>
        <v>122.72016723280755</v>
      </c>
      <c r="W61" s="87">
        <f>IF(TrRoad_act!W37=0,0,W24/TrRoad_act!W37*1000
)</f>
        <v>121.21632068686793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69.214810511704513</v>
      </c>
      <c r="N62" s="87">
        <f>IF(TrRoad_act!N38=0,0,N25/TrRoad_act!N38*1000
)</f>
        <v>55.57110491603995</v>
      </c>
      <c r="O62" s="87">
        <f>IF(TrRoad_act!O38=0,0,O25/TrRoad_act!O38*1000
)</f>
        <v>57.069210839817842</v>
      </c>
      <c r="P62" s="87">
        <f>IF(TrRoad_act!P38=0,0,P25/TrRoad_act!P38*1000
)</f>
        <v>57.907996926371496</v>
      </c>
      <c r="Q62" s="87">
        <f>IF(TrRoad_act!Q38=0,0,Q25/TrRoad_act!Q38*1000
)</f>
        <v>57.950907549947779</v>
      </c>
      <c r="R62" s="87">
        <f>IF(TrRoad_act!R38=0,0,R25/TrRoad_act!R38*1000
)</f>
        <v>58.543084009273379</v>
      </c>
      <c r="S62" s="87">
        <f>IF(TrRoad_act!S38=0,0,S25/TrRoad_act!S38*1000
)</f>
        <v>61.046074778036285</v>
      </c>
      <c r="T62" s="87">
        <f>IF(TrRoad_act!T38=0,0,T25/TrRoad_act!T38*1000
)</f>
        <v>63.283286804599953</v>
      </c>
      <c r="U62" s="87">
        <f>IF(TrRoad_act!U38=0,0,U25/TrRoad_act!U38*1000
)</f>
        <v>60.131481833968664</v>
      </c>
      <c r="V62" s="87">
        <f>IF(TrRoad_act!V38=0,0,V25/TrRoad_act!V38*1000
)</f>
        <v>53.998716504638317</v>
      </c>
      <c r="W62" s="87">
        <f>IF(TrRoad_act!W38=0,0,W25/TrRoad_act!W38*1000
)</f>
        <v>48.758833819552244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1943.5162847585655</v>
      </c>
      <c r="C64" s="116">
        <f>IF(TrRoad_act!C40=0,0,C27/TrRoad_act!C40*1000
)</f>
        <v>1879.6293913162483</v>
      </c>
      <c r="D64" s="116">
        <f>IF(TrRoad_act!D40=0,0,D27/TrRoad_act!D40*1000
)</f>
        <v>1858.5876219923659</v>
      </c>
      <c r="E64" s="116">
        <f>IF(TrRoad_act!E40=0,0,E27/TrRoad_act!E40*1000
)</f>
        <v>1835.2442636905066</v>
      </c>
      <c r="F64" s="116">
        <f>IF(TrRoad_act!F40=0,0,F27/TrRoad_act!F40*1000
)</f>
        <v>1817.3763608502641</v>
      </c>
      <c r="G64" s="116">
        <f>IF(TrRoad_act!G40=0,0,G27/TrRoad_act!G40*1000
)</f>
        <v>1749.092169955198</v>
      </c>
      <c r="H64" s="116">
        <f>IF(TrRoad_act!H40=0,0,H27/TrRoad_act!H40*1000
)</f>
        <v>1715.092148532282</v>
      </c>
      <c r="I64" s="116">
        <f>IF(TrRoad_act!I40=0,0,I27/TrRoad_act!I40*1000
)</f>
        <v>1685.1251654613479</v>
      </c>
      <c r="J64" s="116">
        <f>IF(TrRoad_act!J40=0,0,J27/TrRoad_act!J40*1000
)</f>
        <v>1675.6593812340723</v>
      </c>
      <c r="K64" s="116">
        <f>IF(TrRoad_act!K40=0,0,K27/TrRoad_act!K40*1000
)</f>
        <v>1635.7270953136513</v>
      </c>
      <c r="L64" s="116">
        <f>IF(TrRoad_act!L40=0,0,L27/TrRoad_act!L40*1000
)</f>
        <v>1588.7358519540824</v>
      </c>
      <c r="M64" s="116">
        <f>IF(TrRoad_act!M40=0,0,M27/TrRoad_act!M40*1000
)</f>
        <v>1582.3154699907248</v>
      </c>
      <c r="N64" s="116">
        <f>IF(TrRoad_act!N40=0,0,N27/TrRoad_act!N40*1000
)</f>
        <v>1540.5795376500475</v>
      </c>
      <c r="O64" s="116">
        <f>IF(TrRoad_act!O40=0,0,O27/TrRoad_act!O40*1000
)</f>
        <v>1550.8622080075818</v>
      </c>
      <c r="P64" s="116">
        <f>IF(TrRoad_act!P40=0,0,P27/TrRoad_act!P40*1000
)</f>
        <v>1570.8767230144249</v>
      </c>
      <c r="Q64" s="116">
        <f>IF(TrRoad_act!Q40=0,0,Q27/TrRoad_act!Q40*1000
)</f>
        <v>1573.9592306756861</v>
      </c>
      <c r="R64" s="116">
        <f>IF(TrRoad_act!R40=0,0,R27/TrRoad_act!R40*1000
)</f>
        <v>1601.6415376743134</v>
      </c>
      <c r="S64" s="116">
        <f>IF(TrRoad_act!S40=0,0,S27/TrRoad_act!S40*1000
)</f>
        <v>1612.6563171135078</v>
      </c>
      <c r="T64" s="116">
        <f>IF(TrRoad_act!T40=0,0,T27/TrRoad_act!T40*1000
)</f>
        <v>1590.3036271002552</v>
      </c>
      <c r="U64" s="116">
        <f>IF(TrRoad_act!U40=0,0,U27/TrRoad_act!U40*1000
)</f>
        <v>1638.7589777699559</v>
      </c>
      <c r="V64" s="116">
        <f>IF(TrRoad_act!V40=0,0,V27/TrRoad_act!V40*1000
)</f>
        <v>1655.2167763486727</v>
      </c>
      <c r="W64" s="116">
        <f>IF(TrRoad_act!W40=0,0,W27/TrRoad_act!W40*1000
)</f>
        <v>1589.6774054101497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391.66648106360628</v>
      </c>
      <c r="M65" s="101">
        <f>IF(TrRoad_act!M41=0,0,M28/TrRoad_act!M41*1000
)</f>
        <v>391.66648106360634</v>
      </c>
      <c r="N65" s="101">
        <f>IF(TrRoad_act!N41=0,0,N28/TrRoad_act!N41*1000
)</f>
        <v>391.23967414635575</v>
      </c>
      <c r="O65" s="101">
        <f>IF(TrRoad_act!O41=0,0,O28/TrRoad_act!O41*1000
)</f>
        <v>387.63639844082616</v>
      </c>
      <c r="P65" s="101">
        <f>IF(TrRoad_act!P41=0,0,P28/TrRoad_act!P41*1000
)</f>
        <v>387.63222027951639</v>
      </c>
      <c r="Q65" s="101">
        <f>IF(TrRoad_act!Q41=0,0,Q28/TrRoad_act!Q41*1000
)</f>
        <v>377.41507426022213</v>
      </c>
      <c r="R65" s="101">
        <f>IF(TrRoad_act!R41=0,0,R28/TrRoad_act!R41*1000
)</f>
        <v>372.87764406762238</v>
      </c>
      <c r="S65" s="101">
        <f>IF(TrRoad_act!S41=0,0,S28/TrRoad_act!S41*1000
)</f>
        <v>379.32420312099799</v>
      </c>
      <c r="T65" s="101">
        <f>IF(TrRoad_act!T41=0,0,T28/TrRoad_act!T41*1000
)</f>
        <v>378.37543123859382</v>
      </c>
      <c r="U65" s="101">
        <f>IF(TrRoad_act!U41=0,0,U28/TrRoad_act!U41*1000
)</f>
        <v>373.23989067752564</v>
      </c>
      <c r="V65" s="101">
        <f>IF(TrRoad_act!V41=0,0,V28/TrRoad_act!V41*1000
)</f>
        <v>371.64759101961715</v>
      </c>
      <c r="W65" s="101">
        <f>IF(TrRoad_act!W41=0,0,W28/TrRoad_act!W41*1000
)</f>
        <v>367.92796867119222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1944.9799423786039</v>
      </c>
      <c r="C66" s="101">
        <f>IF(TrRoad_act!C42=0,0,C29/TrRoad_act!C42*1000
)</f>
        <v>1887.6478758833964</v>
      </c>
      <c r="D66" s="101">
        <f>IF(TrRoad_act!D42=0,0,D29/TrRoad_act!D42*1000
)</f>
        <v>1870.2544389344762</v>
      </c>
      <c r="E66" s="101">
        <f>IF(TrRoad_act!E42=0,0,E29/TrRoad_act!E42*1000
)</f>
        <v>1852.3947807735935</v>
      </c>
      <c r="F66" s="101">
        <f>IF(TrRoad_act!F42=0,0,F29/TrRoad_act!F42*1000
)</f>
        <v>1834.8216051015074</v>
      </c>
      <c r="G66" s="101">
        <f>IF(TrRoad_act!G42=0,0,G29/TrRoad_act!G42*1000
)</f>
        <v>1777.6883143473829</v>
      </c>
      <c r="H66" s="101">
        <f>IF(TrRoad_act!H42=0,0,H29/TrRoad_act!H42*1000
)</f>
        <v>1739.2894068396786</v>
      </c>
      <c r="I66" s="101">
        <f>IF(TrRoad_act!I42=0,0,I29/TrRoad_act!I42*1000
)</f>
        <v>1709.1359304961056</v>
      </c>
      <c r="J66" s="101">
        <f>IF(TrRoad_act!J42=0,0,J29/TrRoad_act!J42*1000
)</f>
        <v>1701.5837702710994</v>
      </c>
      <c r="K66" s="101">
        <f>IF(TrRoad_act!K42=0,0,K29/TrRoad_act!K42*1000
)</f>
        <v>1663.7581934255152</v>
      </c>
      <c r="L66" s="101">
        <f>IF(TrRoad_act!L42=0,0,L29/TrRoad_act!L42*1000
)</f>
        <v>1616.5441572857712</v>
      </c>
      <c r="M66" s="101">
        <f>IF(TrRoad_act!M42=0,0,M29/TrRoad_act!M42*1000
)</f>
        <v>1610.5615946722598</v>
      </c>
      <c r="N66" s="101">
        <f>IF(TrRoad_act!N42=0,0,N29/TrRoad_act!N42*1000
)</f>
        <v>1577.8012517009201</v>
      </c>
      <c r="O66" s="101">
        <f>IF(TrRoad_act!O42=0,0,O29/TrRoad_act!O42*1000
)</f>
        <v>1576.4884952525993</v>
      </c>
      <c r="P66" s="101">
        <f>IF(TrRoad_act!P42=0,0,P29/TrRoad_act!P42*1000
)</f>
        <v>1587.4179502137426</v>
      </c>
      <c r="Q66" s="101">
        <f>IF(TrRoad_act!Q42=0,0,Q29/TrRoad_act!Q42*1000
)</f>
        <v>1576.4427994239136</v>
      </c>
      <c r="R66" s="101">
        <f>IF(TrRoad_act!R42=0,0,R29/TrRoad_act!R42*1000
)</f>
        <v>1606.1423347176703</v>
      </c>
      <c r="S66" s="101">
        <f>IF(TrRoad_act!S42=0,0,S29/TrRoad_act!S42*1000
)</f>
        <v>1610.5644226079648</v>
      </c>
      <c r="T66" s="101">
        <f>IF(TrRoad_act!T42=0,0,T29/TrRoad_act!T42*1000
)</f>
        <v>1608.4365867553754</v>
      </c>
      <c r="U66" s="101">
        <f>IF(TrRoad_act!U42=0,0,U29/TrRoad_act!U42*1000
)</f>
        <v>1617.8624637083653</v>
      </c>
      <c r="V66" s="101">
        <f>IF(TrRoad_act!V42=0,0,V29/TrRoad_act!V42*1000
)</f>
        <v>1613.0871963463394</v>
      </c>
      <c r="W66" s="101">
        <f>IF(TrRoad_act!W42=0,0,W29/TrRoad_act!W42*1000
)</f>
        <v>1588.2905124806896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1194.6553836721528</v>
      </c>
      <c r="M67" s="101">
        <f>IF(TrRoad_act!M43=0,0,M30/TrRoad_act!M43*1000
)</f>
        <v>1194.6553836721532</v>
      </c>
      <c r="N67" s="101">
        <f>IF(TrRoad_act!N43=0,0,N30/TrRoad_act!N43*1000
)</f>
        <v>1194.655383672153</v>
      </c>
      <c r="O67" s="101">
        <f>IF(TrRoad_act!O43=0,0,O30/TrRoad_act!O43*1000
)</f>
        <v>1194.655383672153</v>
      </c>
      <c r="P67" s="101">
        <f>IF(TrRoad_act!P43=0,0,P30/TrRoad_act!P43*1000
)</f>
        <v>1210.2165067232268</v>
      </c>
      <c r="Q67" s="101">
        <f>IF(TrRoad_act!Q43=0,0,Q30/TrRoad_act!Q43*1000
)</f>
        <v>1210.2165067232268</v>
      </c>
      <c r="R67" s="101">
        <f>IF(TrRoad_act!R43=0,0,R30/TrRoad_act!R43*1000
)</f>
        <v>1217.8329567643548</v>
      </c>
      <c r="S67" s="101">
        <f>IF(TrRoad_act!S43=0,0,S30/TrRoad_act!S43*1000
)</f>
        <v>1217.832956764355</v>
      </c>
      <c r="T67" s="101">
        <f>IF(TrRoad_act!T43=0,0,T30/TrRoad_act!T43*1000
)</f>
        <v>1217.8329567643548</v>
      </c>
      <c r="U67" s="101">
        <f>IF(TrRoad_act!U43=0,0,U30/TrRoad_act!U43*1000
)</f>
        <v>1217.832956764355</v>
      </c>
      <c r="V67" s="101">
        <f>IF(TrRoad_act!V43=0,0,V30/TrRoad_act!V43*1000
)</f>
        <v>1222.9113730117381</v>
      </c>
      <c r="W67" s="101">
        <f>IF(TrRoad_act!W43=0,0,W30/TrRoad_act!W43*1000
)</f>
        <v>1222.9113730117385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1511.2887898511503</v>
      </c>
      <c r="C68" s="101">
        <f>IF(TrRoad_act!C44=0,0,C31/TrRoad_act!C44*1000
)</f>
        <v>1346.8454272057998</v>
      </c>
      <c r="D68" s="101">
        <f>IF(TrRoad_act!D44=0,0,D31/TrRoad_act!D44*1000
)</f>
        <v>1349.9733228999244</v>
      </c>
      <c r="E68" s="101">
        <f>IF(TrRoad_act!E44=0,0,E31/TrRoad_act!E44*1000
)</f>
        <v>1293.1832875561308</v>
      </c>
      <c r="F68" s="101">
        <f>IF(TrRoad_act!F44=0,0,F31/TrRoad_act!F44*1000
)</f>
        <v>1295.3919763927377</v>
      </c>
      <c r="G68" s="101">
        <f>IF(TrRoad_act!G44=0,0,G31/TrRoad_act!G44*1000
)</f>
        <v>1294.4700249572547</v>
      </c>
      <c r="H68" s="101">
        <f>IF(TrRoad_act!H44=0,0,H31/TrRoad_act!H44*1000
)</f>
        <v>1299.4194512638142</v>
      </c>
      <c r="I68" s="101">
        <f>IF(TrRoad_act!I44=0,0,I31/TrRoad_act!I44*1000
)</f>
        <v>1303.0197875152835</v>
      </c>
      <c r="J68" s="101">
        <f>IF(TrRoad_act!J44=0,0,J31/TrRoad_act!J44*1000
)</f>
        <v>1273.5222573327601</v>
      </c>
      <c r="K68" s="101">
        <f>IF(TrRoad_act!K44=0,0,K31/TrRoad_act!K44*1000
)</f>
        <v>1209.6544985308453</v>
      </c>
      <c r="L68" s="101">
        <f>IF(TrRoad_act!L44=0,0,L31/TrRoad_act!L44*1000
)</f>
        <v>1210.25519474937</v>
      </c>
      <c r="M68" s="101">
        <f>IF(TrRoad_act!M44=0,0,M31/TrRoad_act!M44*1000
)</f>
        <v>1198.2152164812608</v>
      </c>
      <c r="N68" s="101">
        <f>IF(TrRoad_act!N44=0,0,N31/TrRoad_act!N44*1000
)</f>
        <v>1150.1398811971089</v>
      </c>
      <c r="O68" s="101">
        <f>IF(TrRoad_act!O44=0,0,O31/TrRoad_act!O44*1000
)</f>
        <v>1294.5783036166965</v>
      </c>
      <c r="P68" s="101">
        <f>IF(TrRoad_act!P44=0,0,P31/TrRoad_act!P44*1000
)</f>
        <v>1366.9082950307127</v>
      </c>
      <c r="Q68" s="101">
        <f>IF(TrRoad_act!Q44=0,0,Q31/TrRoad_act!Q44*1000
)</f>
        <v>1611.1107013727092</v>
      </c>
      <c r="R68" s="101">
        <f>IF(TrRoad_act!R44=0,0,R31/TrRoad_act!R44*1000
)</f>
        <v>1601.7396989436418</v>
      </c>
      <c r="S68" s="101">
        <f>IF(TrRoad_act!S44=0,0,S31/TrRoad_act!S44*1000
)</f>
        <v>1792.1821946680627</v>
      </c>
      <c r="T68" s="101">
        <f>IF(TrRoad_act!T44=0,0,T31/TrRoad_act!T44*1000
)</f>
        <v>1547.3151841158688</v>
      </c>
      <c r="U68" s="101">
        <f>IF(TrRoad_act!U44=0,0,U31/TrRoad_act!U44*1000
)</f>
        <v>2630.8343651228638</v>
      </c>
      <c r="V68" s="101">
        <f>IF(TrRoad_act!V44=0,0,V31/TrRoad_act!V44*1000
)</f>
        <v>2806.1965277606146</v>
      </c>
      <c r="W68" s="101">
        <f>IF(TrRoad_act!W44=0,0,W31/TrRoad_act!W44*1000
)</f>
        <v>1888.4391937116709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430.12336976154842</v>
      </c>
      <c r="C70" s="29">
        <f>IF(TrRoad_act!C46=0,0,C33/TrRoad_act!C46*1000
)</f>
        <v>426.87059776817438</v>
      </c>
      <c r="D70" s="29">
        <f>IF(TrRoad_act!D46=0,0,D33/TrRoad_act!D46*1000
)</f>
        <v>421.26191450283073</v>
      </c>
      <c r="E70" s="29">
        <f>IF(TrRoad_act!E46=0,0,E33/TrRoad_act!E46*1000
)</f>
        <v>443.05574385465167</v>
      </c>
      <c r="F70" s="29">
        <f>IF(TrRoad_act!F46=0,0,F33/TrRoad_act!F46*1000
)</f>
        <v>463.21707040701784</v>
      </c>
      <c r="G70" s="29">
        <f>IF(TrRoad_act!G46=0,0,G33/TrRoad_act!G46*1000
)</f>
        <v>462.00633926919784</v>
      </c>
      <c r="H70" s="29">
        <f>IF(TrRoad_act!H46=0,0,H33/TrRoad_act!H46*1000
)</f>
        <v>447.30806104828105</v>
      </c>
      <c r="I70" s="29">
        <f>IF(TrRoad_act!I46=0,0,I33/TrRoad_act!I46*1000
)</f>
        <v>444.00911723686994</v>
      </c>
      <c r="J70" s="29">
        <f>IF(TrRoad_act!J46=0,0,J33/TrRoad_act!J46*1000
)</f>
        <v>434.60838860165774</v>
      </c>
      <c r="K70" s="29">
        <f>IF(TrRoad_act!K46=0,0,K33/TrRoad_act!K46*1000
)</f>
        <v>406.57527032946655</v>
      </c>
      <c r="L70" s="29">
        <f>IF(TrRoad_act!L46=0,0,L33/TrRoad_act!L46*1000
)</f>
        <v>396.48757947325481</v>
      </c>
      <c r="M70" s="29">
        <f>IF(TrRoad_act!M46=0,0,M33/TrRoad_act!M46*1000
)</f>
        <v>400.17915805114831</v>
      </c>
      <c r="N70" s="29">
        <f>IF(TrRoad_act!N46=0,0,N33/TrRoad_act!N46*1000
)</f>
        <v>403.92768576724967</v>
      </c>
      <c r="O70" s="29">
        <f>IF(TrRoad_act!O46=0,0,O33/TrRoad_act!O46*1000
)</f>
        <v>403.18220232615244</v>
      </c>
      <c r="P70" s="29">
        <f>IF(TrRoad_act!P46=0,0,P33/TrRoad_act!P46*1000
)</f>
        <v>375.16778714288097</v>
      </c>
      <c r="Q70" s="29">
        <f>IF(TrRoad_act!Q46=0,0,Q33/TrRoad_act!Q46*1000
)</f>
        <v>369.17406285979973</v>
      </c>
      <c r="R70" s="29">
        <f>IF(TrRoad_act!R46=0,0,R33/TrRoad_act!R46*1000
)</f>
        <v>367.37497488657095</v>
      </c>
      <c r="S70" s="29">
        <f>IF(TrRoad_act!S46=0,0,S33/TrRoad_act!S46*1000
)</f>
        <v>354.50725934884213</v>
      </c>
      <c r="T70" s="29">
        <f>IF(TrRoad_act!T46=0,0,T33/TrRoad_act!T46*1000
)</f>
        <v>343.75344812968518</v>
      </c>
      <c r="U70" s="29">
        <f>IF(TrRoad_act!U46=0,0,U33/TrRoad_act!U46*1000
)</f>
        <v>341.20887125319348</v>
      </c>
      <c r="V70" s="29">
        <f>IF(TrRoad_act!V46=0,0,V33/TrRoad_act!V46*1000
)</f>
        <v>341.01888712377115</v>
      </c>
      <c r="W70" s="29">
        <f>IF(TrRoad_act!W46=0,0,W33/TrRoad_act!W46*1000
)</f>
        <v>330.742415419964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359.38118024200389</v>
      </c>
      <c r="C71" s="152">
        <f>IF(TrRoad_act!C47=0,0,C34/TrRoad_act!C47*1000
)</f>
        <v>340.54855365299744</v>
      </c>
      <c r="D71" s="152">
        <f>IF(TrRoad_act!D47=0,0,D34/TrRoad_act!D47*1000
)</f>
        <v>336.82732061839499</v>
      </c>
      <c r="E71" s="152">
        <f>IF(TrRoad_act!E47=0,0,E34/TrRoad_act!E47*1000
)</f>
        <v>335.1914996568442</v>
      </c>
      <c r="F71" s="152">
        <f>IF(TrRoad_act!F47=0,0,F34/TrRoad_act!F47*1000
)</f>
        <v>329.77629071783076</v>
      </c>
      <c r="G71" s="152">
        <f>IF(TrRoad_act!G47=0,0,G34/TrRoad_act!G47*1000
)</f>
        <v>319.81668786862286</v>
      </c>
      <c r="H71" s="152">
        <f>IF(TrRoad_act!H47=0,0,H34/TrRoad_act!H47*1000
)</f>
        <v>305.29835041408404</v>
      </c>
      <c r="I71" s="152">
        <f>IF(TrRoad_act!I47=0,0,I34/TrRoad_act!I47*1000
)</f>
        <v>293.03336441167068</v>
      </c>
      <c r="J71" s="152">
        <f>IF(TrRoad_act!J47=0,0,J34/TrRoad_act!J47*1000
)</f>
        <v>284.6968696292779</v>
      </c>
      <c r="K71" s="152">
        <f>IF(TrRoad_act!K47=0,0,K34/TrRoad_act!K47*1000
)</f>
        <v>271.6614634502501</v>
      </c>
      <c r="L71" s="152">
        <f>IF(TrRoad_act!L47=0,0,L34/TrRoad_act!L47*1000
)</f>
        <v>259.37738830116814</v>
      </c>
      <c r="M71" s="152">
        <f>IF(TrRoad_act!M47=0,0,M34/TrRoad_act!M47*1000
)</f>
        <v>254.63728366469979</v>
      </c>
      <c r="N71" s="152">
        <f>IF(TrRoad_act!N47=0,0,N34/TrRoad_act!N47*1000
)</f>
        <v>247.82912388739371</v>
      </c>
      <c r="O71" s="152">
        <f>IF(TrRoad_act!O47=0,0,O34/TrRoad_act!O47*1000
)</f>
        <v>246.94427540925486</v>
      </c>
      <c r="P71" s="152">
        <f>IF(TrRoad_act!P47=0,0,P34/TrRoad_act!P47*1000
)</f>
        <v>240.90699183722873</v>
      </c>
      <c r="Q71" s="152">
        <f>IF(TrRoad_act!Q47=0,0,Q34/TrRoad_act!Q47*1000
)</f>
        <v>235.01798435793677</v>
      </c>
      <c r="R71" s="152">
        <f>IF(TrRoad_act!R47=0,0,R34/TrRoad_act!R47*1000
)</f>
        <v>235.41705396135802</v>
      </c>
      <c r="S71" s="152">
        <f>IF(TrRoad_act!S47=0,0,S34/TrRoad_act!S47*1000
)</f>
        <v>230.29270189010194</v>
      </c>
      <c r="T71" s="152">
        <f>IF(TrRoad_act!T47=0,0,T34/TrRoad_act!T47*1000
)</f>
        <v>225.08187689875533</v>
      </c>
      <c r="U71" s="152">
        <f>IF(TrRoad_act!U47=0,0,U34/TrRoad_act!U47*1000
)</f>
        <v>221.13913708767188</v>
      </c>
      <c r="V71" s="152">
        <f>IF(TrRoad_act!V47=0,0,V34/TrRoad_act!V47*1000
)</f>
        <v>218.75921850701764</v>
      </c>
      <c r="W71" s="152">
        <f>IF(TrRoad_act!W47=0,0,W34/TrRoad_act!W47*1000
)</f>
        <v>214.98993830558734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354.04033979287732</v>
      </c>
      <c r="C72" s="87">
        <f>IF(TrRoad_act!C48=0,0,C35/TrRoad_act!C48*1000
)</f>
        <v>348.69342091870016</v>
      </c>
      <c r="D72" s="87">
        <f>IF(TrRoad_act!D48=0,0,D35/TrRoad_act!D48*1000
)</f>
        <v>348.40317114744443</v>
      </c>
      <c r="E72" s="87">
        <f>IF(TrRoad_act!E48=0,0,E35/TrRoad_act!E48*1000
)</f>
        <v>335.40751763221635</v>
      </c>
      <c r="F72" s="87">
        <f>IF(TrRoad_act!F48=0,0,F35/TrRoad_act!F48*1000
)</f>
        <v>334.1882330521367</v>
      </c>
      <c r="G72" s="87">
        <f>IF(TrRoad_act!G48=0,0,G35/TrRoad_act!G48*1000
)</f>
        <v>326.64060604870463</v>
      </c>
      <c r="H72" s="87">
        <f>IF(TrRoad_act!H48=0,0,H35/TrRoad_act!H48*1000
)</f>
        <v>318.25131543799444</v>
      </c>
      <c r="I72" s="87">
        <f>IF(TrRoad_act!I48=0,0,I35/TrRoad_act!I48*1000
)</f>
        <v>309.65609678924631</v>
      </c>
      <c r="J72" s="87">
        <f>IF(TrRoad_act!J48=0,0,J35/TrRoad_act!J48*1000
)</f>
        <v>302.36840197499373</v>
      </c>
      <c r="K72" s="87">
        <f>IF(TrRoad_act!K48=0,0,K35/TrRoad_act!K48*1000
)</f>
        <v>295.61974310990109</v>
      </c>
      <c r="L72" s="87">
        <f>IF(TrRoad_act!L48=0,0,L35/TrRoad_act!L48*1000
)</f>
        <v>288.9063536179878</v>
      </c>
      <c r="M72" s="87">
        <f>IF(TrRoad_act!M48=0,0,M35/TrRoad_act!M48*1000
)</f>
        <v>285.03932809386095</v>
      </c>
      <c r="N72" s="87">
        <f>IF(TrRoad_act!N48=0,0,N35/TrRoad_act!N48*1000
)</f>
        <v>280.41492030476729</v>
      </c>
      <c r="O72" s="87">
        <f>IF(TrRoad_act!O48=0,0,O35/TrRoad_act!O48*1000
)</f>
        <v>277.75683688701105</v>
      </c>
      <c r="P72" s="87">
        <f>IF(TrRoad_act!P48=0,0,P35/TrRoad_act!P48*1000
)</f>
        <v>273.7355718456397</v>
      </c>
      <c r="Q72" s="87">
        <f>IF(TrRoad_act!Q48=0,0,Q35/TrRoad_act!Q48*1000
)</f>
        <v>258.84852659555798</v>
      </c>
      <c r="R72" s="87">
        <f>IF(TrRoad_act!R48=0,0,R35/TrRoad_act!R48*1000
)</f>
        <v>253.63539462286067</v>
      </c>
      <c r="S72" s="87">
        <f>IF(TrRoad_act!S48=0,0,S35/TrRoad_act!S48*1000
)</f>
        <v>249.65607633961869</v>
      </c>
      <c r="T72" s="87">
        <f>IF(TrRoad_act!T48=0,0,T35/TrRoad_act!T48*1000
)</f>
        <v>245.45337828574748</v>
      </c>
      <c r="U72" s="87">
        <f>IF(TrRoad_act!U48=0,0,U35/TrRoad_act!U48*1000
)</f>
        <v>241.20302036501548</v>
      </c>
      <c r="V72" s="87">
        <f>IF(TrRoad_act!V48=0,0,V35/TrRoad_act!V48*1000
)</f>
        <v>235.26856969601545</v>
      </c>
      <c r="W72" s="87">
        <f>IF(TrRoad_act!W48=0,0,W35/TrRoad_act!W48*1000
)</f>
        <v>231.98682953738708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359.36883309264181</v>
      </c>
      <c r="C73" s="87">
        <f>IF(TrRoad_act!C49=0,0,C36/TrRoad_act!C49*1000
)</f>
        <v>340.37955980473396</v>
      </c>
      <c r="D73" s="87">
        <f>IF(TrRoad_act!D49=0,0,D36/TrRoad_act!D49*1000
)</f>
        <v>336.62427664661419</v>
      </c>
      <c r="E73" s="87">
        <f>IF(TrRoad_act!E49=0,0,E36/TrRoad_act!E49*1000
)</f>
        <v>335.11187275813484</v>
      </c>
      <c r="F73" s="87">
        <f>IF(TrRoad_act!F49=0,0,F36/TrRoad_act!F49*1000
)</f>
        <v>329.65238538740397</v>
      </c>
      <c r="G73" s="87">
        <f>IF(TrRoad_act!G49=0,0,G36/TrRoad_act!G49*1000
)</f>
        <v>319.67157941630376</v>
      </c>
      <c r="H73" s="87">
        <f>IF(TrRoad_act!H49=0,0,H36/TrRoad_act!H49*1000
)</f>
        <v>305.09132089616384</v>
      </c>
      <c r="I73" s="87">
        <f>IF(TrRoad_act!I49=0,0,I36/TrRoad_act!I49*1000
)</f>
        <v>292.796369054769</v>
      </c>
      <c r="J73" s="87">
        <f>IF(TrRoad_act!J49=0,0,J36/TrRoad_act!J49*1000
)</f>
        <v>284.45710046822717</v>
      </c>
      <c r="K73" s="87">
        <f>IF(TrRoad_act!K49=0,0,K36/TrRoad_act!K49*1000
)</f>
        <v>271.36513282334863</v>
      </c>
      <c r="L73" s="87">
        <f>IF(TrRoad_act!L49=0,0,L36/TrRoad_act!L49*1000
)</f>
        <v>259.03476738612096</v>
      </c>
      <c r="M73" s="87">
        <f>IF(TrRoad_act!M49=0,0,M36/TrRoad_act!M49*1000
)</f>
        <v>254.31926315138108</v>
      </c>
      <c r="N73" s="87">
        <f>IF(TrRoad_act!N49=0,0,N36/TrRoad_act!N49*1000
)</f>
        <v>247.50087815360342</v>
      </c>
      <c r="O73" s="87">
        <f>IF(TrRoad_act!O49=0,0,O36/TrRoad_act!O49*1000
)</f>
        <v>246.65511706871342</v>
      </c>
      <c r="P73" s="87">
        <f>IF(TrRoad_act!P49=0,0,P36/TrRoad_act!P49*1000
)</f>
        <v>240.63973805177983</v>
      </c>
      <c r="Q73" s="87">
        <f>IF(TrRoad_act!Q49=0,0,Q36/TrRoad_act!Q49*1000
)</f>
        <v>234.80436088018183</v>
      </c>
      <c r="R73" s="87">
        <f>IF(TrRoad_act!R49=0,0,R36/TrRoad_act!R49*1000
)</f>
        <v>235.27200872639767</v>
      </c>
      <c r="S73" s="87">
        <f>IF(TrRoad_act!S49=0,0,S36/TrRoad_act!S49*1000
)</f>
        <v>230.19501363745459</v>
      </c>
      <c r="T73" s="87">
        <f>IF(TrRoad_act!T49=0,0,T36/TrRoad_act!T49*1000
)</f>
        <v>225.05542466528703</v>
      </c>
      <c r="U73" s="87">
        <f>IF(TrRoad_act!U49=0,0,U36/TrRoad_act!U49*1000
)</f>
        <v>221.12865979235053</v>
      </c>
      <c r="V73" s="87">
        <f>IF(TrRoad_act!V49=0,0,V36/TrRoad_act!V49*1000
)</f>
        <v>218.87016981446908</v>
      </c>
      <c r="W73" s="87">
        <f>IF(TrRoad_act!W49=0,0,W36/TrRoad_act!W49*1000
)</f>
        <v>215.12607511990021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511.40782181951403</v>
      </c>
      <c r="C74" s="87">
        <f>IF(TrRoad_act!C50=0,0,C37/TrRoad_act!C50*1000
)</f>
        <v>503.24338602170781</v>
      </c>
      <c r="D74" s="87">
        <f>IF(TrRoad_act!D50=0,0,D37/TrRoad_act!D50*1000
)</f>
        <v>497.23348937102588</v>
      </c>
      <c r="E74" s="87">
        <f>IF(TrRoad_act!E50=0,0,E37/TrRoad_act!E50*1000
)</f>
        <v>478.4278467097626</v>
      </c>
      <c r="F74" s="87">
        <f>IF(TrRoad_act!F50=0,0,F37/TrRoad_act!F50*1000
)</f>
        <v>475.35478875246446</v>
      </c>
      <c r="G74" s="87">
        <f>IF(TrRoad_act!G50=0,0,G37/TrRoad_act!G50*1000
)</f>
        <v>459.45251300624358</v>
      </c>
      <c r="H74" s="87">
        <f>IF(TrRoad_act!H50=0,0,H37/TrRoad_act!H50*1000
)</f>
        <v>442.14406389113157</v>
      </c>
      <c r="I74" s="87">
        <f>IF(TrRoad_act!I50=0,0,I37/TrRoad_act!I50*1000
)</f>
        <v>424.68337041417391</v>
      </c>
      <c r="J74" s="87">
        <f>IF(TrRoad_act!J50=0,0,J37/TrRoad_act!J50*1000
)</f>
        <v>409.33031238476059</v>
      </c>
      <c r="K74" s="87">
        <f>IF(TrRoad_act!K50=0,0,K37/TrRoad_act!K50*1000
)</f>
        <v>394.11770187099972</v>
      </c>
      <c r="L74" s="87">
        <f>IF(TrRoad_act!L50=0,0,L37/TrRoad_act!L50*1000
)</f>
        <v>383.8788003333637</v>
      </c>
      <c r="M74" s="87">
        <f>IF(TrRoad_act!M50=0,0,M37/TrRoad_act!M50*1000
)</f>
        <v>374.86268779205955</v>
      </c>
      <c r="N74" s="87">
        <f>IF(TrRoad_act!N50=0,0,N37/TrRoad_act!N50*1000
)</f>
        <v>358.07908018677801</v>
      </c>
      <c r="O74" s="87">
        <f>IF(TrRoad_act!O50=0,0,O37/TrRoad_act!O50*1000
)</f>
        <v>357.12533860326943</v>
      </c>
      <c r="P74" s="87">
        <f>IF(TrRoad_act!P50=0,0,P37/TrRoad_act!P50*1000
)</f>
        <v>346.88055274988966</v>
      </c>
      <c r="Q74" s="87">
        <f>IF(TrRoad_act!Q50=0,0,Q37/TrRoad_act!Q50*1000
)</f>
        <v>336.63973716408123</v>
      </c>
      <c r="R74" s="87">
        <f>IF(TrRoad_act!R50=0,0,R37/TrRoad_act!R50*1000
)</f>
        <v>331.3422061738205</v>
      </c>
      <c r="S74" s="87">
        <f>IF(TrRoad_act!S50=0,0,S37/TrRoad_act!S50*1000
)</f>
        <v>321.80832672846691</v>
      </c>
      <c r="T74" s="87">
        <f>IF(TrRoad_act!T50=0,0,T37/TrRoad_act!T50*1000
)</f>
        <v>307.60794053152887</v>
      </c>
      <c r="U74" s="87">
        <f>IF(TrRoad_act!U50=0,0,U37/TrRoad_act!U50*1000
)</f>
        <v>284.0409699776464</v>
      </c>
      <c r="V74" s="87">
        <f>IF(TrRoad_act!V50=0,0,V37/TrRoad_act!V50*1000
)</f>
        <v>278.47090861453302</v>
      </c>
      <c r="W74" s="87">
        <f>IF(TrRoad_act!W50=0,0,W37/TrRoad_act!W50*1000
)</f>
        <v>277.29403559996706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208.65498734280689</v>
      </c>
      <c r="P75" s="87">
        <f>IF(TrRoad_act!P51=0,0,P38/TrRoad_act!P51*1000
)</f>
        <v>206.70697963675767</v>
      </c>
      <c r="Q75" s="87">
        <f>IF(TrRoad_act!Q51=0,0,Q38/TrRoad_act!Q51*1000
)</f>
        <v>226.18695474020379</v>
      </c>
      <c r="R75" s="87">
        <f>IF(TrRoad_act!R51=0,0,R38/TrRoad_act!R51*1000
)</f>
        <v>212.71749331838862</v>
      </c>
      <c r="S75" s="87">
        <f>IF(TrRoad_act!S51=0,0,S38/TrRoad_act!S51*1000
)</f>
        <v>210.22264155731992</v>
      </c>
      <c r="T75" s="87">
        <f>IF(TrRoad_act!T51=0,0,T38/TrRoad_act!T51*1000
)</f>
        <v>214.91312544754621</v>
      </c>
      <c r="U75" s="87">
        <f>IF(TrRoad_act!U51=0,0,U38/TrRoad_act!U51*1000
)</f>
        <v>239.54579298149113</v>
      </c>
      <c r="V75" s="87">
        <f>IF(TrRoad_act!V51=0,0,V38/TrRoad_act!V51*1000
)</f>
        <v>239.22517922145892</v>
      </c>
      <c r="W75" s="87">
        <f>IF(TrRoad_act!W51=0,0,W38/TrRoad_act!W51*1000
)</f>
        <v>266.14769473540224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1024.1742762377846</v>
      </c>
      <c r="C77" s="116">
        <f>IF(TrRoad_act!C53=0,0,C40/TrRoad_act!C53*1000
)</f>
        <v>1073.4194873834729</v>
      </c>
      <c r="D77" s="116">
        <f>IF(TrRoad_act!D53=0,0,D40/TrRoad_act!D53*1000
)</f>
        <v>1100.3087483044501</v>
      </c>
      <c r="E77" s="116">
        <f>IF(TrRoad_act!E53=0,0,E40/TrRoad_act!E53*1000
)</f>
        <v>1309.9136887921786</v>
      </c>
      <c r="F77" s="116">
        <f>IF(TrRoad_act!F53=0,0,F40/TrRoad_act!F53*1000
)</f>
        <v>1289.8013478135101</v>
      </c>
      <c r="G77" s="116">
        <f>IF(TrRoad_act!G53=0,0,G40/TrRoad_act!G53*1000
)</f>
        <v>1275.6464188293289</v>
      </c>
      <c r="H77" s="116">
        <f>IF(TrRoad_act!H53=0,0,H40/TrRoad_act!H53*1000
)</f>
        <v>1263.7650201710858</v>
      </c>
      <c r="I77" s="116">
        <f>IF(TrRoad_act!I53=0,0,I40/TrRoad_act!I53*1000
)</f>
        <v>1249.2068107840441</v>
      </c>
      <c r="J77" s="116">
        <f>IF(TrRoad_act!J53=0,0,J40/TrRoad_act!J53*1000
)</f>
        <v>1290.0989194899309</v>
      </c>
      <c r="K77" s="116">
        <f>IF(TrRoad_act!K53=0,0,K40/TrRoad_act!K53*1000
)</f>
        <v>1286.1057895909894</v>
      </c>
      <c r="L77" s="116">
        <f>IF(TrRoad_act!L53=0,0,L40/TrRoad_act!L53*1000
)</f>
        <v>1267.3907343359126</v>
      </c>
      <c r="M77" s="116">
        <f>IF(TrRoad_act!M53=0,0,M40/TrRoad_act!M53*1000
)</f>
        <v>1241.14006605298</v>
      </c>
      <c r="N77" s="116">
        <f>IF(TrRoad_act!N53=0,0,N40/TrRoad_act!N53*1000
)</f>
        <v>1386.1939708881071</v>
      </c>
      <c r="O77" s="116">
        <f>IF(TrRoad_act!O53=0,0,O40/TrRoad_act!O53*1000
)</f>
        <v>1392.0124722472062</v>
      </c>
      <c r="P77" s="116">
        <f>IF(TrRoad_act!P53=0,0,P40/TrRoad_act!P53*1000
)</f>
        <v>1339.3633711387329</v>
      </c>
      <c r="Q77" s="116">
        <f>IF(TrRoad_act!Q53=0,0,Q40/TrRoad_act!Q53*1000
)</f>
        <v>1233.6343829840116</v>
      </c>
      <c r="R77" s="116">
        <f>IF(TrRoad_act!R53=0,0,R40/TrRoad_act!R53*1000
)</f>
        <v>1267.8922925373256</v>
      </c>
      <c r="S77" s="116">
        <f>IF(TrRoad_act!S53=0,0,S40/TrRoad_act!S53*1000
)</f>
        <v>1244.8274107044076</v>
      </c>
      <c r="T77" s="116">
        <f>IF(TrRoad_act!T53=0,0,T40/TrRoad_act!T53*1000
)</f>
        <v>1228.3253118599771</v>
      </c>
      <c r="U77" s="116">
        <f>IF(TrRoad_act!U53=0,0,U40/TrRoad_act!U53*1000
)</f>
        <v>1275.7617003620758</v>
      </c>
      <c r="V77" s="116">
        <f>IF(TrRoad_act!V53=0,0,V40/TrRoad_act!V53*1000
)</f>
        <v>1293.748769263045</v>
      </c>
      <c r="W77" s="116">
        <f>IF(TrRoad_act!W53=0,0,W40/TrRoad_act!W53*1000
)</f>
        <v>1232.68070482853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985.50344443434415</v>
      </c>
      <c r="C78" s="101">
        <f>IF(TrRoad_act!C54=0,0,C41/TrRoad_act!C54*1000
)</f>
        <v>1038.475653492452</v>
      </c>
      <c r="D78" s="101">
        <f>IF(TrRoad_act!D54=0,0,D41/TrRoad_act!D54*1000
)</f>
        <v>1063.6585888089976</v>
      </c>
      <c r="E78" s="101">
        <f>IF(TrRoad_act!E54=0,0,E41/TrRoad_act!E54*1000
)</f>
        <v>1268.2758131654923</v>
      </c>
      <c r="F78" s="101">
        <f>IF(TrRoad_act!F54=0,0,F41/TrRoad_act!F54*1000
)</f>
        <v>1253.8326972368584</v>
      </c>
      <c r="G78" s="101">
        <f>IF(TrRoad_act!G54=0,0,G41/TrRoad_act!G54*1000
)</f>
        <v>1241.9629809996638</v>
      </c>
      <c r="H78" s="101">
        <f>IF(TrRoad_act!H54=0,0,H41/TrRoad_act!H54*1000
)</f>
        <v>1230.0140020751812</v>
      </c>
      <c r="I78" s="101">
        <f>IF(TrRoad_act!I54=0,0,I41/TrRoad_act!I54*1000
)</f>
        <v>1214.7158804154867</v>
      </c>
      <c r="J78" s="101">
        <f>IF(TrRoad_act!J54=0,0,J41/TrRoad_act!J54*1000
)</f>
        <v>1256.1071444882871</v>
      </c>
      <c r="K78" s="101">
        <f>IF(TrRoad_act!K54=0,0,K41/TrRoad_act!K54*1000
)</f>
        <v>1247.0886936968359</v>
      </c>
      <c r="L78" s="101">
        <f>IF(TrRoad_act!L54=0,0,L41/TrRoad_act!L54*1000
)</f>
        <v>1231.7436671180287</v>
      </c>
      <c r="M78" s="101">
        <f>IF(TrRoad_act!M54=0,0,M41/TrRoad_act!M54*1000
)</f>
        <v>1202.6344253184998</v>
      </c>
      <c r="N78" s="101">
        <f>IF(TrRoad_act!N54=0,0,N41/TrRoad_act!N54*1000
)</f>
        <v>1338.4625839303549</v>
      </c>
      <c r="O78" s="101">
        <f>IF(TrRoad_act!O54=0,0,O41/TrRoad_act!O54*1000
)</f>
        <v>1334.0019466513181</v>
      </c>
      <c r="P78" s="101">
        <f>IF(TrRoad_act!P54=0,0,P41/TrRoad_act!P54*1000
)</f>
        <v>1278.0657948837154</v>
      </c>
      <c r="Q78" s="101">
        <f>IF(TrRoad_act!Q54=0,0,Q41/TrRoad_act!Q54*1000
)</f>
        <v>1185.7403621808539</v>
      </c>
      <c r="R78" s="101">
        <f>IF(TrRoad_act!R54=0,0,R41/TrRoad_act!R54*1000
)</f>
        <v>1212.1788661642072</v>
      </c>
      <c r="S78" s="101">
        <f>IF(TrRoad_act!S54=0,0,S41/TrRoad_act!S54*1000
)</f>
        <v>1189.4440950082239</v>
      </c>
      <c r="T78" s="101">
        <f>IF(TrRoad_act!T54=0,0,T41/TrRoad_act!T54*1000
)</f>
        <v>1170.0799985641117</v>
      </c>
      <c r="U78" s="101">
        <f>IF(TrRoad_act!U54=0,0,U41/TrRoad_act!U54*1000
)</f>
        <v>1211.3058181306628</v>
      </c>
      <c r="V78" s="101">
        <f>IF(TrRoad_act!V54=0,0,V41/TrRoad_act!V54*1000
)</f>
        <v>1226.9441739411056</v>
      </c>
      <c r="W78" s="101">
        <f>IF(TrRoad_act!W54=0,0,W41/TrRoad_act!W54*1000
)</f>
        <v>1164.1757263496199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1202.7281326176476</v>
      </c>
      <c r="C79" s="88">
        <f>IF(TrRoad_act!C55=0,0,C42/TrRoad_act!C55*1000
)</f>
        <v>1247.7821336123791</v>
      </c>
      <c r="D79" s="88">
        <f>IF(TrRoad_act!D55=0,0,D42/TrRoad_act!D55*1000
)</f>
        <v>1259.7469016696168</v>
      </c>
      <c r="E79" s="88">
        <f>IF(TrRoad_act!E55=0,0,E42/TrRoad_act!E55*1000
)</f>
        <v>1482.9097115121272</v>
      </c>
      <c r="F79" s="88">
        <f>IF(TrRoad_act!F55=0,0,F42/TrRoad_act!F55*1000
)</f>
        <v>1446.733677954526</v>
      </c>
      <c r="G79" s="88">
        <f>IF(TrRoad_act!G55=0,0,G42/TrRoad_act!G55*1000
)</f>
        <v>1423.5906933704689</v>
      </c>
      <c r="H79" s="88">
        <f>IF(TrRoad_act!H55=0,0,H42/TrRoad_act!H55*1000
)</f>
        <v>1402.0455445971913</v>
      </c>
      <c r="I79" s="88">
        <f>IF(TrRoad_act!I55=0,0,I42/TrRoad_act!I55*1000
)</f>
        <v>1381.7671388287388</v>
      </c>
      <c r="J79" s="88">
        <f>IF(TrRoad_act!J55=0,0,J42/TrRoad_act!J55*1000
)</f>
        <v>1433.3328720844063</v>
      </c>
      <c r="K79" s="88">
        <f>IF(TrRoad_act!K55=0,0,K42/TrRoad_act!K55*1000
)</f>
        <v>1428.6782029954591</v>
      </c>
      <c r="L79" s="88">
        <f>IF(TrRoad_act!L55=0,0,L42/TrRoad_act!L55*1000
)</f>
        <v>1418.060088088251</v>
      </c>
      <c r="M79" s="88">
        <f>IF(TrRoad_act!M55=0,0,M42/TrRoad_act!M55*1000
)</f>
        <v>1388.5415149481998</v>
      </c>
      <c r="N79" s="88">
        <f>IF(TrRoad_act!N55=0,0,N42/TrRoad_act!N55*1000
)</f>
        <v>1559.5219251090552</v>
      </c>
      <c r="O79" s="88">
        <f>IF(TrRoad_act!O55=0,0,O42/TrRoad_act!O55*1000
)</f>
        <v>1559.1702770708273</v>
      </c>
      <c r="P79" s="88">
        <f>IF(TrRoad_act!P55=0,0,P42/TrRoad_act!P55*1000
)</f>
        <v>1500.0528675006917</v>
      </c>
      <c r="Q79" s="88">
        <f>IF(TrRoad_act!Q55=0,0,Q42/TrRoad_act!Q55*1000
)</f>
        <v>1401.4413488580367</v>
      </c>
      <c r="R79" s="88">
        <f>IF(TrRoad_act!R55=0,0,R42/TrRoad_act!R55*1000
)</f>
        <v>1437.6110040990172</v>
      </c>
      <c r="S79" s="88">
        <f>IF(TrRoad_act!S55=0,0,S42/TrRoad_act!S55*1000
)</f>
        <v>1419.1935852340375</v>
      </c>
      <c r="T79" s="88">
        <f>IF(TrRoad_act!T55=0,0,T42/TrRoad_act!T55*1000
)</f>
        <v>1402.1631948658126</v>
      </c>
      <c r="U79" s="88">
        <f>IF(TrRoad_act!U55=0,0,U42/TrRoad_act!U55*1000
)</f>
        <v>1460.95530017741</v>
      </c>
      <c r="V79" s="88">
        <f>IF(TrRoad_act!V55=0,0,V42/TrRoad_act!V55*1000
)</f>
        <v>1484.2063831806527</v>
      </c>
      <c r="W79" s="88">
        <f>IF(TrRoad_act!W55=0,0,W42/TrRoad_act!W55*1000
)</f>
        <v>1411.8043269407649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117.17239901584558</v>
      </c>
      <c r="C82" s="29">
        <f>IF(TrRoad_act!C4=0,0,C18/TrRoad_act!C4*1000)</f>
        <v>115.80842965019971</v>
      </c>
      <c r="D82" s="29">
        <f>IF(TrRoad_act!D4=0,0,D18/TrRoad_act!D4*1000)</f>
        <v>118.27264804706313</v>
      </c>
      <c r="E82" s="29">
        <f>IF(TrRoad_act!E4=0,0,E18/TrRoad_act!E4*1000)</f>
        <v>121.31703682309036</v>
      </c>
      <c r="F82" s="29">
        <f>IF(TrRoad_act!F4=0,0,F18/TrRoad_act!F4*1000)</f>
        <v>122.79218762947067</v>
      </c>
      <c r="G82" s="29">
        <f>IF(TrRoad_act!G4=0,0,G18/TrRoad_act!G4*1000)</f>
        <v>119.61900833138515</v>
      </c>
      <c r="H82" s="29">
        <f>IF(TrRoad_act!H4=0,0,H18/TrRoad_act!H4*1000)</f>
        <v>118.46691008172745</v>
      </c>
      <c r="I82" s="29">
        <f>IF(TrRoad_act!I4=0,0,I18/TrRoad_act!I4*1000)</f>
        <v>117.17942755184106</v>
      </c>
      <c r="J82" s="29">
        <f>IF(TrRoad_act!J4=0,0,J18/TrRoad_act!J4*1000)</f>
        <v>118.56009776885868</v>
      </c>
      <c r="K82" s="29">
        <f>IF(TrRoad_act!K4=0,0,K18/TrRoad_act!K4*1000)</f>
        <v>120.38836465054308</v>
      </c>
      <c r="L82" s="29">
        <f>IF(TrRoad_act!L4=0,0,L18/TrRoad_act!L4*1000)</f>
        <v>122.9453811429965</v>
      </c>
      <c r="M82" s="29">
        <f>IF(TrRoad_act!M4=0,0,M18/TrRoad_act!M4*1000)</f>
        <v>116.79883111375925</v>
      </c>
      <c r="N82" s="29">
        <f>IF(TrRoad_act!N4=0,0,N18/TrRoad_act!N4*1000)</f>
        <v>111.84700712896824</v>
      </c>
      <c r="O82" s="29">
        <f>IF(TrRoad_act!O4=0,0,O18/TrRoad_act!O4*1000)</f>
        <v>112.01206498819533</v>
      </c>
      <c r="P82" s="29">
        <f>IF(TrRoad_act!P4=0,0,P18/TrRoad_act!P4*1000)</f>
        <v>113.12878519404256</v>
      </c>
      <c r="Q82" s="29">
        <f>IF(TrRoad_act!Q4=0,0,Q18/TrRoad_act!Q4*1000)</f>
        <v>112.0402299887875</v>
      </c>
      <c r="R82" s="29">
        <f>IF(TrRoad_act!R4=0,0,R18/TrRoad_act!R4*1000)</f>
        <v>109.1114381798661</v>
      </c>
      <c r="S82" s="29">
        <f>IF(TrRoad_act!S4=0,0,S18/TrRoad_act!S4*1000)</f>
        <v>109.09900120207858</v>
      </c>
      <c r="T82" s="29">
        <f>IF(TrRoad_act!T4=0,0,T18/TrRoad_act!T4*1000)</f>
        <v>106.23867482697821</v>
      </c>
      <c r="U82" s="29">
        <f>IF(TrRoad_act!U4=0,0,U18/TrRoad_act!U4*1000)</f>
        <v>107.04833542123052</v>
      </c>
      <c r="V82" s="29">
        <f>IF(TrRoad_act!V4=0,0,V18/TrRoad_act!V4*1000)</f>
        <v>106.04745340814878</v>
      </c>
      <c r="W82" s="29">
        <f>IF(TrRoad_act!W4=0,0,W18/TrRoad_act!W4*1000)</f>
        <v>104.83086055832113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102.38417909135924</v>
      </c>
      <c r="C83" s="152">
        <f>IF(TrRoad_act!C5=0,0,C19/TrRoad_act!C5*1000)</f>
        <v>96.41174775748442</v>
      </c>
      <c r="D83" s="152">
        <f>IF(TrRoad_act!D5=0,0,D19/TrRoad_act!D5*1000)</f>
        <v>95.980086814731237</v>
      </c>
      <c r="E83" s="152">
        <f>IF(TrRoad_act!E5=0,0,E19/TrRoad_act!E5*1000)</f>
        <v>94.803317644616456</v>
      </c>
      <c r="F83" s="152">
        <f>IF(TrRoad_act!F5=0,0,F19/TrRoad_act!F5*1000)</f>
        <v>94.052493354890174</v>
      </c>
      <c r="G83" s="152">
        <f>IF(TrRoad_act!G5=0,0,G19/TrRoad_act!G5*1000)</f>
        <v>93.39702326226481</v>
      </c>
      <c r="H83" s="152">
        <f>IF(TrRoad_act!H5=0,0,H19/TrRoad_act!H5*1000)</f>
        <v>92.487874602817499</v>
      </c>
      <c r="I83" s="152">
        <f>IF(TrRoad_act!I5=0,0,I19/TrRoad_act!I5*1000)</f>
        <v>91.458109609617324</v>
      </c>
      <c r="J83" s="152">
        <f>IF(TrRoad_act!J5=0,0,J19/TrRoad_act!J5*1000)</f>
        <v>90.790124962635758</v>
      </c>
      <c r="K83" s="152">
        <f>IF(TrRoad_act!K5=0,0,K19/TrRoad_act!K5*1000)</f>
        <v>89.813943756503818</v>
      </c>
      <c r="L83" s="152">
        <f>IF(TrRoad_act!L5=0,0,L19/TrRoad_act!L5*1000)</f>
        <v>87.927253419600333</v>
      </c>
      <c r="M83" s="152">
        <f>IF(TrRoad_act!M5=0,0,M19/TrRoad_act!M5*1000)</f>
        <v>86.388313737858397</v>
      </c>
      <c r="N83" s="152">
        <f>IF(TrRoad_act!N5=0,0,N19/TrRoad_act!N5*1000)</f>
        <v>85.36944160368283</v>
      </c>
      <c r="O83" s="152">
        <f>IF(TrRoad_act!O5=0,0,O19/TrRoad_act!O5*1000)</f>
        <v>84.115207337996608</v>
      </c>
      <c r="P83" s="152">
        <f>IF(TrRoad_act!P5=0,0,P19/TrRoad_act!P5*1000)</f>
        <v>82.482822355669398</v>
      </c>
      <c r="Q83" s="152">
        <f>IF(TrRoad_act!Q5=0,0,Q19/TrRoad_act!Q5*1000)</f>
        <v>80.347166101622008</v>
      </c>
      <c r="R83" s="152">
        <f>IF(TrRoad_act!R5=0,0,R19/TrRoad_act!R5*1000)</f>
        <v>80.818761047257581</v>
      </c>
      <c r="S83" s="152">
        <f>IF(TrRoad_act!S5=0,0,S19/TrRoad_act!S5*1000)</f>
        <v>83.17509925917814</v>
      </c>
      <c r="T83" s="152">
        <f>IF(TrRoad_act!T5=0,0,T19/TrRoad_act!T5*1000)</f>
        <v>81.984806443885873</v>
      </c>
      <c r="U83" s="152">
        <f>IF(TrRoad_act!U5=0,0,U19/TrRoad_act!U5*1000)</f>
        <v>81.257882343780409</v>
      </c>
      <c r="V83" s="152">
        <f>IF(TrRoad_act!V5=0,0,V19/TrRoad_act!V5*1000)</f>
        <v>79.052817320170689</v>
      </c>
      <c r="W83" s="152">
        <f>IF(TrRoad_act!W5=0,0,W19/TrRoad_act!W5*1000)</f>
        <v>71.734966290816018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122.91802148670475</v>
      </c>
      <c r="C84" s="116">
        <f>IF(TrRoad_act!C6=0,0,C20/TrRoad_act!C6*1000)</f>
        <v>120.27960159485525</v>
      </c>
      <c r="D84" s="116">
        <f>IF(TrRoad_act!D6=0,0,D20/TrRoad_act!D6*1000)</f>
        <v>121.07559677822326</v>
      </c>
      <c r="E84" s="116">
        <f>IF(TrRoad_act!E6=0,0,E20/TrRoad_act!E6*1000)</f>
        <v>125.61948785022892</v>
      </c>
      <c r="F84" s="116">
        <f>IF(TrRoad_act!F6=0,0,F20/TrRoad_act!F6*1000)</f>
        <v>127.96854758334494</v>
      </c>
      <c r="G84" s="116">
        <f>IF(TrRoad_act!G6=0,0,G20/TrRoad_act!G6*1000)</f>
        <v>122.25173812494543</v>
      </c>
      <c r="H84" s="116">
        <f>IF(TrRoad_act!H6=0,0,H20/TrRoad_act!H6*1000)</f>
        <v>120.69436115659509</v>
      </c>
      <c r="I84" s="116">
        <f>IF(TrRoad_act!I6=0,0,I20/TrRoad_act!I6*1000)</f>
        <v>119.44351885369585</v>
      </c>
      <c r="J84" s="116">
        <f>IF(TrRoad_act!J6=0,0,J20/TrRoad_act!J6*1000)</f>
        <v>120.77437481030532</v>
      </c>
      <c r="K84" s="116">
        <f>IF(TrRoad_act!K6=0,0,K20/TrRoad_act!K6*1000)</f>
        <v>122.36783126508854</v>
      </c>
      <c r="L84" s="116">
        <f>IF(TrRoad_act!L6=0,0,L20/TrRoad_act!L6*1000)</f>
        <v>125.29656567500541</v>
      </c>
      <c r="M84" s="116">
        <f>IF(TrRoad_act!M6=0,0,M20/TrRoad_act!M6*1000)</f>
        <v>118.28071584504063</v>
      </c>
      <c r="N84" s="116">
        <f>IF(TrRoad_act!N6=0,0,N20/TrRoad_act!N6*1000)</f>
        <v>114.37194616243686</v>
      </c>
      <c r="O84" s="116">
        <f>IF(TrRoad_act!O6=0,0,O20/TrRoad_act!O6*1000)</f>
        <v>115.04371734164397</v>
      </c>
      <c r="P84" s="116">
        <f>IF(TrRoad_act!P6=0,0,P20/TrRoad_act!P6*1000)</f>
        <v>114.42755818580949</v>
      </c>
      <c r="Q84" s="116">
        <f>IF(TrRoad_act!Q6=0,0,Q20/TrRoad_act!Q6*1000)</f>
        <v>112.96237291341396</v>
      </c>
      <c r="R84" s="116">
        <f>IF(TrRoad_act!R6=0,0,R20/TrRoad_act!R6*1000)</f>
        <v>109.06586206701623</v>
      </c>
      <c r="S84" s="116">
        <f>IF(TrRoad_act!S6=0,0,S20/TrRoad_act!S6*1000)</f>
        <v>109.78623612197424</v>
      </c>
      <c r="T84" s="116">
        <f>IF(TrRoad_act!T6=0,0,T20/TrRoad_act!T6*1000)</f>
        <v>106.7822385041564</v>
      </c>
      <c r="U84" s="116">
        <f>IF(TrRoad_act!U6=0,0,U20/TrRoad_act!U6*1000)</f>
        <v>108.19263422014535</v>
      </c>
      <c r="V84" s="116">
        <f>IF(TrRoad_act!V6=0,0,V20/TrRoad_act!V6*1000)</f>
        <v>105.51491428294523</v>
      </c>
      <c r="W84" s="116">
        <f>IF(TrRoad_act!W6=0,0,W20/TrRoad_act!W6*1000)</f>
        <v>105.25142266080388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141.74974194741378</v>
      </c>
      <c r="C85" s="87">
        <f>IF(TrRoad_act!C7=0,0,C21/TrRoad_act!C7*1000)</f>
        <v>136.05160016989385</v>
      </c>
      <c r="D85" s="87">
        <f>IF(TrRoad_act!D7=0,0,D21/TrRoad_act!D7*1000)</f>
        <v>137.77366859888116</v>
      </c>
      <c r="E85" s="87">
        <f>IF(TrRoad_act!E7=0,0,E21/TrRoad_act!E7*1000)</f>
        <v>136.08796241600135</v>
      </c>
      <c r="F85" s="87">
        <f>IF(TrRoad_act!F7=0,0,F21/TrRoad_act!F7*1000)</f>
        <v>137.95014388648283</v>
      </c>
      <c r="G85" s="87">
        <f>IF(TrRoad_act!G7=0,0,G21/TrRoad_act!G7*1000)</f>
        <v>136.94068161744582</v>
      </c>
      <c r="H85" s="87">
        <f>IF(TrRoad_act!H7=0,0,H21/TrRoad_act!H7*1000)</f>
        <v>136.65648665664776</v>
      </c>
      <c r="I85" s="87">
        <f>IF(TrRoad_act!I7=0,0,I21/TrRoad_act!I7*1000)</f>
        <v>135.36244576185808</v>
      </c>
      <c r="J85" s="87">
        <f>IF(TrRoad_act!J7=0,0,J21/TrRoad_act!J7*1000)</f>
        <v>136.39924669892488</v>
      </c>
      <c r="K85" s="87">
        <f>IF(TrRoad_act!K7=0,0,K21/TrRoad_act!K7*1000)</f>
        <v>140.96096417292307</v>
      </c>
      <c r="L85" s="87">
        <f>IF(TrRoad_act!L7=0,0,L21/TrRoad_act!L7*1000)</f>
        <v>145.77172009799799</v>
      </c>
      <c r="M85" s="87">
        <f>IF(TrRoad_act!M7=0,0,M21/TrRoad_act!M7*1000)</f>
        <v>142.2293622042871</v>
      </c>
      <c r="N85" s="87">
        <f>IF(TrRoad_act!N7=0,0,N21/TrRoad_act!N7*1000)</f>
        <v>130.76338070187032</v>
      </c>
      <c r="O85" s="87">
        <f>IF(TrRoad_act!O7=0,0,O21/TrRoad_act!O7*1000)</f>
        <v>131.90883156649201</v>
      </c>
      <c r="P85" s="87">
        <f>IF(TrRoad_act!P7=0,0,P21/TrRoad_act!P7*1000)</f>
        <v>134.17811523548167</v>
      </c>
      <c r="Q85" s="87">
        <f>IF(TrRoad_act!Q7=0,0,Q21/TrRoad_act!Q7*1000)</f>
        <v>128.15810766253045</v>
      </c>
      <c r="R85" s="87">
        <f>IF(TrRoad_act!R7=0,0,R21/TrRoad_act!R7*1000)</f>
        <v>123.55846165889433</v>
      </c>
      <c r="S85" s="87">
        <f>IF(TrRoad_act!S7=0,0,S21/TrRoad_act!S7*1000)</f>
        <v>126.63043815549749</v>
      </c>
      <c r="T85" s="87">
        <f>IF(TrRoad_act!T7=0,0,T21/TrRoad_act!T7*1000)</f>
        <v>124.09001443353311</v>
      </c>
      <c r="U85" s="87">
        <f>IF(TrRoad_act!U7=0,0,U21/TrRoad_act!U7*1000)</f>
        <v>123.66920227203362</v>
      </c>
      <c r="V85" s="87">
        <f>IF(TrRoad_act!V7=0,0,V21/TrRoad_act!V7*1000)</f>
        <v>123.82038097763748</v>
      </c>
      <c r="W85" s="87">
        <f>IF(TrRoad_act!W7=0,0,W21/TrRoad_act!W7*1000)</f>
        <v>121.09653874452313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89.818717449382021</v>
      </c>
      <c r="C86" s="87">
        <f>IF(TrRoad_act!C8=0,0,C22/TrRoad_act!C8*1000)</f>
        <v>96.038970666104817</v>
      </c>
      <c r="D86" s="87">
        <f>IF(TrRoad_act!D8=0,0,D22/TrRoad_act!D8*1000)</f>
        <v>97.674956100183024</v>
      </c>
      <c r="E86" s="87">
        <f>IF(TrRoad_act!E8=0,0,E22/TrRoad_act!E8*1000)</f>
        <v>113.1764588343388</v>
      </c>
      <c r="F86" s="87">
        <f>IF(TrRoad_act!F8=0,0,F22/TrRoad_act!F8*1000)</f>
        <v>117.83055033637015</v>
      </c>
      <c r="G86" s="87">
        <f>IF(TrRoad_act!G8=0,0,G22/TrRoad_act!G8*1000)</f>
        <v>109.44499918396072</v>
      </c>
      <c r="H86" s="87">
        <f>IF(TrRoad_act!H8=0,0,H22/TrRoad_act!H8*1000)</f>
        <v>108.81456940493332</v>
      </c>
      <c r="I86" s="87">
        <f>IF(TrRoad_act!I8=0,0,I22/TrRoad_act!I8*1000)</f>
        <v>108.77963690687662</v>
      </c>
      <c r="J86" s="87">
        <f>IF(TrRoad_act!J8=0,0,J22/TrRoad_act!J8*1000)</f>
        <v>111.66252938151149</v>
      </c>
      <c r="K86" s="87">
        <f>IF(TrRoad_act!K8=0,0,K22/TrRoad_act!K8*1000)</f>
        <v>112.36285950228314</v>
      </c>
      <c r="L86" s="87">
        <f>IF(TrRoad_act!L8=0,0,L22/TrRoad_act!L8*1000)</f>
        <v>115.21528246035462</v>
      </c>
      <c r="M86" s="87">
        <f>IF(TrRoad_act!M8=0,0,M22/TrRoad_act!M8*1000)</f>
        <v>107.70613487900393</v>
      </c>
      <c r="N86" s="87">
        <f>IF(TrRoad_act!N8=0,0,N22/TrRoad_act!N8*1000)</f>
        <v>107.20439455447668</v>
      </c>
      <c r="O86" s="87">
        <f>IF(TrRoad_act!O8=0,0,O22/TrRoad_act!O8*1000)</f>
        <v>107.94761294087931</v>
      </c>
      <c r="P86" s="87">
        <f>IF(TrRoad_act!P8=0,0,P22/TrRoad_act!P8*1000)</f>
        <v>106.62746695193049</v>
      </c>
      <c r="Q86" s="87">
        <f>IF(TrRoad_act!Q8=0,0,Q22/TrRoad_act!Q8*1000)</f>
        <v>107.00423974405393</v>
      </c>
      <c r="R86" s="87">
        <f>IF(TrRoad_act!R8=0,0,R22/TrRoad_act!R8*1000)</f>
        <v>103.82389032608469</v>
      </c>
      <c r="S86" s="87">
        <f>IF(TrRoad_act!S8=0,0,S22/TrRoad_act!S8*1000)</f>
        <v>104.26986158140048</v>
      </c>
      <c r="T86" s="87">
        <f>IF(TrRoad_act!T8=0,0,T22/TrRoad_act!T8*1000)</f>
        <v>101.64507228411475</v>
      </c>
      <c r="U86" s="87">
        <f>IF(TrRoad_act!U8=0,0,U22/TrRoad_act!U8*1000)</f>
        <v>103.99922680095457</v>
      </c>
      <c r="V86" s="87">
        <f>IF(TrRoad_act!V8=0,0,V22/TrRoad_act!V8*1000)</f>
        <v>101.13062476228828</v>
      </c>
      <c r="W86" s="87">
        <f>IF(TrRoad_act!W8=0,0,W22/TrRoad_act!W8*1000)</f>
        <v>102.01207758919423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137.92790593887182</v>
      </c>
      <c r="C87" s="87">
        <f>IF(TrRoad_act!C9=0,0,C23/TrRoad_act!C9*1000)</f>
        <v>144.57128468892265</v>
      </c>
      <c r="D87" s="87">
        <f>IF(TrRoad_act!D9=0,0,D23/TrRoad_act!D9*1000)</f>
        <v>151.81714148659253</v>
      </c>
      <c r="E87" s="87">
        <f>IF(TrRoad_act!E9=0,0,E23/TrRoad_act!E9*1000)</f>
        <v>131.23582660077625</v>
      </c>
      <c r="F87" s="87">
        <f>IF(TrRoad_act!F9=0,0,F23/TrRoad_act!F9*1000)</f>
        <v>130.32036737424528</v>
      </c>
      <c r="G87" s="87">
        <f>IF(TrRoad_act!G9=0,0,G23/TrRoad_act!G9*1000)</f>
        <v>136.54836049573325</v>
      </c>
      <c r="H87" s="87">
        <f>IF(TrRoad_act!H9=0,0,H23/TrRoad_act!H9*1000)</f>
        <v>152.39663641791819</v>
      </c>
      <c r="I87" s="87">
        <f>IF(TrRoad_act!I9=0,0,I23/TrRoad_act!I9*1000)</f>
        <v>164.77807973341032</v>
      </c>
      <c r="J87" s="87">
        <f>IF(TrRoad_act!J9=0,0,J23/TrRoad_act!J9*1000)</f>
        <v>140.50811723410382</v>
      </c>
      <c r="K87" s="87">
        <f>IF(TrRoad_act!K9=0,0,K23/TrRoad_act!K9*1000)</f>
        <v>122.22183727937045</v>
      </c>
      <c r="L87" s="87">
        <f>IF(TrRoad_act!L9=0,0,L23/TrRoad_act!L9*1000)</f>
        <v>127.32746376889675</v>
      </c>
      <c r="M87" s="87">
        <f>IF(TrRoad_act!M9=0,0,M23/TrRoad_act!M9*1000)</f>
        <v>122.32704778575129</v>
      </c>
      <c r="N87" s="87">
        <f>IF(TrRoad_act!N9=0,0,N23/TrRoad_act!N9*1000)</f>
        <v>115.15313822489448</v>
      </c>
      <c r="O87" s="87">
        <f>IF(TrRoad_act!O9=0,0,O23/TrRoad_act!O9*1000)</f>
        <v>118.38423204689177</v>
      </c>
      <c r="P87" s="87">
        <f>IF(TrRoad_act!P9=0,0,P23/TrRoad_act!P9*1000)</f>
        <v>113.42599686916846</v>
      </c>
      <c r="Q87" s="87">
        <f>IF(TrRoad_act!Q9=0,0,Q23/TrRoad_act!Q9*1000)</f>
        <v>115.24957262536559</v>
      </c>
      <c r="R87" s="87">
        <f>IF(TrRoad_act!R9=0,0,R23/TrRoad_act!R9*1000)</f>
        <v>111.1437138769011</v>
      </c>
      <c r="S87" s="87">
        <f>IF(TrRoad_act!S9=0,0,S23/TrRoad_act!S9*1000)</f>
        <v>107.15449244160192</v>
      </c>
      <c r="T87" s="87">
        <f>IF(TrRoad_act!T9=0,0,T23/TrRoad_act!T9*1000)</f>
        <v>98.217403874872502</v>
      </c>
      <c r="U87" s="87">
        <f>IF(TrRoad_act!U9=0,0,U23/TrRoad_act!U9*1000)</f>
        <v>98.66362408064748</v>
      </c>
      <c r="V87" s="87">
        <f>IF(TrRoad_act!V9=0,0,V23/TrRoad_act!V9*1000)</f>
        <v>88.611444662049635</v>
      </c>
      <c r="W87" s="87">
        <f>IF(TrRoad_act!W9=0,0,W23/TrRoad_act!W9*1000)</f>
        <v>84.324955435007226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146.63733655843203</v>
      </c>
      <c r="M88" s="87">
        <f>IF(TrRoad_act!M10=0,0,M24/TrRoad_act!M10*1000)</f>
        <v>143.85190001634282</v>
      </c>
      <c r="N88" s="87">
        <f>IF(TrRoad_act!N10=0,0,N24/TrRoad_act!N10*1000)</f>
        <v>110.5937732294164</v>
      </c>
      <c r="O88" s="87">
        <f>IF(TrRoad_act!O10=0,0,O24/TrRoad_act!O10*1000)</f>
        <v>104.63503514997967</v>
      </c>
      <c r="P88" s="87">
        <f>IF(TrRoad_act!P10=0,0,P24/TrRoad_act!P10*1000)</f>
        <v>102.88251750066181</v>
      </c>
      <c r="Q88" s="87">
        <f>IF(TrRoad_act!Q10=0,0,Q24/TrRoad_act!Q10*1000)</f>
        <v>95.693997271281873</v>
      </c>
      <c r="R88" s="87">
        <f>IF(TrRoad_act!R10=0,0,R24/TrRoad_act!R10*1000)</f>
        <v>88.799369900103642</v>
      </c>
      <c r="S88" s="87">
        <f>IF(TrRoad_act!S10=0,0,S24/TrRoad_act!S10*1000)</f>
        <v>88.432509180216542</v>
      </c>
      <c r="T88" s="87">
        <f>IF(TrRoad_act!T10=0,0,T24/TrRoad_act!T10*1000)</f>
        <v>88.358664053788004</v>
      </c>
      <c r="U88" s="87">
        <f>IF(TrRoad_act!U10=0,0,U24/TrRoad_act!U10*1000)</f>
        <v>86.684795151498818</v>
      </c>
      <c r="V88" s="87">
        <f>IF(TrRoad_act!V10=0,0,V24/TrRoad_act!V10*1000)</f>
        <v>86.665681385799772</v>
      </c>
      <c r="W88" s="87">
        <f>IF(TrRoad_act!W10=0,0,W24/TrRoad_act!W10*1000)</f>
        <v>84.68133886207427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53.294528717530468</v>
      </c>
      <c r="N89" s="87">
        <f>IF(TrRoad_act!N11=0,0,N25/TrRoad_act!N11*1000)</f>
        <v>40.09178648909171</v>
      </c>
      <c r="O89" s="87">
        <f>IF(TrRoad_act!O11=0,0,O25/TrRoad_act!O11*1000)</f>
        <v>41.60539863485203</v>
      </c>
      <c r="P89" s="87">
        <f>IF(TrRoad_act!P11=0,0,P25/TrRoad_act!P11*1000)</f>
        <v>43.120720767234744</v>
      </c>
      <c r="Q89" s="87">
        <f>IF(TrRoad_act!Q11=0,0,Q25/TrRoad_act!Q11*1000)</f>
        <v>42.413576715270956</v>
      </c>
      <c r="R89" s="87">
        <f>IF(TrRoad_act!R11=0,0,R25/TrRoad_act!R11*1000)</f>
        <v>41.317288331651703</v>
      </c>
      <c r="S89" s="87">
        <f>IF(TrRoad_act!S11=0,0,S25/TrRoad_act!S11*1000)</f>
        <v>43.78369879156137</v>
      </c>
      <c r="T89" s="87">
        <f>IF(TrRoad_act!T11=0,0,T25/TrRoad_act!T11*1000)</f>
        <v>44.357693709275431</v>
      </c>
      <c r="U89" s="87">
        <f>IF(TrRoad_act!U11=0,0,U25/TrRoad_act!U11*1000)</f>
        <v>42.092995978869887</v>
      </c>
      <c r="V89" s="87">
        <f>IF(TrRoad_act!V11=0,0,V25/TrRoad_act!V11*1000)</f>
        <v>38.13420129191303</v>
      </c>
      <c r="W89" s="87">
        <f>IF(TrRoad_act!W11=0,0,W25/TrRoad_act!W11*1000)</f>
        <v>34.062767338560093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84.632327435448076</v>
      </c>
      <c r="C91" s="116">
        <f>IF(TrRoad_act!C13=0,0,C27/TrRoad_act!C13*1000)</f>
        <v>89.43349660197498</v>
      </c>
      <c r="D91" s="116">
        <f>IF(TrRoad_act!D13=0,0,D27/TrRoad_act!D13*1000)</f>
        <v>100.46000447157743</v>
      </c>
      <c r="E91" s="116">
        <f>IF(TrRoad_act!E13=0,0,E27/TrRoad_act!E13*1000)</f>
        <v>92.904141777415347</v>
      </c>
      <c r="F91" s="116">
        <f>IF(TrRoad_act!F13=0,0,F27/TrRoad_act!F13*1000)</f>
        <v>88.552883059211965</v>
      </c>
      <c r="G91" s="116">
        <f>IF(TrRoad_act!G13=0,0,G27/TrRoad_act!G13*1000)</f>
        <v>93.473016909157849</v>
      </c>
      <c r="H91" s="116">
        <f>IF(TrRoad_act!H13=0,0,H27/TrRoad_act!H13*1000)</f>
        <v>96.685910253976431</v>
      </c>
      <c r="I91" s="116">
        <f>IF(TrRoad_act!I13=0,0,I27/TrRoad_act!I13*1000)</f>
        <v>94.733429525471877</v>
      </c>
      <c r="J91" s="116">
        <f>IF(TrRoad_act!J13=0,0,J27/TrRoad_act!J13*1000)</f>
        <v>97.600617795425677</v>
      </c>
      <c r="K91" s="116">
        <f>IF(TrRoad_act!K13=0,0,K27/TrRoad_act!K13*1000)</f>
        <v>102.48664661040142</v>
      </c>
      <c r="L91" s="116">
        <f>IF(TrRoad_act!L13=0,0,L27/TrRoad_act!L13*1000)</f>
        <v>102.01675015365903</v>
      </c>
      <c r="M91" s="116">
        <f>IF(TrRoad_act!M13=0,0,M27/TrRoad_act!M13*1000)</f>
        <v>105.83097861786494</v>
      </c>
      <c r="N91" s="116">
        <f>IF(TrRoad_act!N13=0,0,N27/TrRoad_act!N13*1000)</f>
        <v>85.243716754947229</v>
      </c>
      <c r="O91" s="116">
        <f>IF(TrRoad_act!O13=0,0,O27/TrRoad_act!O13*1000)</f>
        <v>79.706232417952862</v>
      </c>
      <c r="P91" s="116">
        <f>IF(TrRoad_act!P13=0,0,P27/TrRoad_act!P13*1000)</f>
        <v>104.2600424242752</v>
      </c>
      <c r="Q91" s="116">
        <f>IF(TrRoad_act!Q13=0,0,Q27/TrRoad_act!Q13*1000)</f>
        <v>108.44270818854505</v>
      </c>
      <c r="R91" s="116">
        <f>IF(TrRoad_act!R13=0,0,R27/TrRoad_act!R13*1000)</f>
        <v>120.34510411120253</v>
      </c>
      <c r="S91" s="116">
        <f>IF(TrRoad_act!S13=0,0,S27/TrRoad_act!S13*1000)</f>
        <v>106.70778218400784</v>
      </c>
      <c r="T91" s="116">
        <f>IF(TrRoad_act!T13=0,0,T27/TrRoad_act!T13*1000)</f>
        <v>104.98144843442368</v>
      </c>
      <c r="U91" s="116">
        <f>IF(TrRoad_act!U13=0,0,U27/TrRoad_act!U13*1000)</f>
        <v>97.634367240663977</v>
      </c>
      <c r="V91" s="116">
        <f>IF(TrRoad_act!V13=0,0,V27/TrRoad_act!V13*1000)</f>
        <v>130.28744083505174</v>
      </c>
      <c r="W91" s="116">
        <f>IF(TrRoad_act!W13=0,0,W27/TrRoad_act!W13*1000)</f>
        <v>108.70206981030678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59.352646597067427</v>
      </c>
      <c r="M92" s="101">
        <f>IF(TrRoad_act!M14=0,0,M28/TrRoad_act!M14*1000)</f>
        <v>59.568577886002892</v>
      </c>
      <c r="N92" s="101">
        <f>IF(TrRoad_act!N14=0,0,N28/TrRoad_act!N14*1000)</f>
        <v>56.285235648699512</v>
      </c>
      <c r="O92" s="101">
        <f>IF(TrRoad_act!O14=0,0,O28/TrRoad_act!O14*1000)</f>
        <v>51.798474062656545</v>
      </c>
      <c r="P92" s="101">
        <f>IF(TrRoad_act!P14=0,0,P28/TrRoad_act!P14*1000)</f>
        <v>58.91517944989527</v>
      </c>
      <c r="Q92" s="101">
        <f>IF(TrRoad_act!Q14=0,0,Q28/TrRoad_act!Q14*1000)</f>
        <v>57.548238743208621</v>
      </c>
      <c r="R92" s="101">
        <f>IF(TrRoad_act!R14=0,0,R28/TrRoad_act!R14*1000)</f>
        <v>57.261183465289669</v>
      </c>
      <c r="S92" s="101">
        <f>IF(TrRoad_act!S14=0,0,S28/TrRoad_act!S14*1000)</f>
        <v>57.636995535196824</v>
      </c>
      <c r="T92" s="101">
        <f>IF(TrRoad_act!T14=0,0,T28/TrRoad_act!T14*1000)</f>
        <v>57.480874838726663</v>
      </c>
      <c r="U92" s="101">
        <f>IF(TrRoad_act!U14=0,0,U28/TrRoad_act!U14*1000)</f>
        <v>56.16376794776734</v>
      </c>
      <c r="V92" s="101">
        <f>IF(TrRoad_act!V14=0,0,V28/TrRoad_act!V14*1000)</f>
        <v>57.276754122133156</v>
      </c>
      <c r="W92" s="101">
        <f>IF(TrRoad_act!W14=0,0,W28/TrRoad_act!W14*1000)</f>
        <v>56.065487434329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84.696063845543478</v>
      </c>
      <c r="C93" s="101">
        <f>IF(TrRoad_act!C15=0,0,C29/TrRoad_act!C15*1000)</f>
        <v>89.815019212550297</v>
      </c>
      <c r="D93" s="101">
        <f>IF(TrRoad_act!D15=0,0,D29/TrRoad_act!D15*1000)</f>
        <v>101.09061691529801</v>
      </c>
      <c r="E93" s="101">
        <f>IF(TrRoad_act!E15=0,0,E29/TrRoad_act!E15*1000)</f>
        <v>93.772339053476571</v>
      </c>
      <c r="F93" s="101">
        <f>IF(TrRoad_act!F15=0,0,F29/TrRoad_act!F15*1000)</f>
        <v>89.402914295117895</v>
      </c>
      <c r="G93" s="101">
        <f>IF(TrRoad_act!G15=0,0,G29/TrRoad_act!G15*1000)</f>
        <v>95.001219901671334</v>
      </c>
      <c r="H93" s="101">
        <f>IF(TrRoad_act!H15=0,0,H29/TrRoad_act!H15*1000)</f>
        <v>98.04999669510633</v>
      </c>
      <c r="I93" s="101">
        <f>IF(TrRoad_act!I15=0,0,I29/TrRoad_act!I15*1000)</f>
        <v>96.083253362830661</v>
      </c>
      <c r="J93" s="101">
        <f>IF(TrRoad_act!J15=0,0,J29/TrRoad_act!J15*1000)</f>
        <v>99.110612257497877</v>
      </c>
      <c r="K93" s="101">
        <f>IF(TrRoad_act!K15=0,0,K29/TrRoad_act!K15*1000)</f>
        <v>104.24293789794119</v>
      </c>
      <c r="L93" s="101">
        <f>IF(TrRoad_act!L15=0,0,L29/TrRoad_act!L15*1000)</f>
        <v>103.79156555625995</v>
      </c>
      <c r="M93" s="101">
        <f>IF(TrRoad_act!M15=0,0,M29/TrRoad_act!M15*1000)</f>
        <v>107.70895129331942</v>
      </c>
      <c r="N93" s="101">
        <f>IF(TrRoad_act!N15=0,0,N29/TrRoad_act!N15*1000)</f>
        <v>87.290939026263757</v>
      </c>
      <c r="O93" s="101">
        <f>IF(TrRoad_act!O15=0,0,O29/TrRoad_act!O15*1000)</f>
        <v>81.009486312962025</v>
      </c>
      <c r="P93" s="101">
        <f>IF(TrRoad_act!P15=0,0,P29/TrRoad_act!P15*1000)</f>
        <v>105.34434870627734</v>
      </c>
      <c r="Q93" s="101">
        <f>IF(TrRoad_act!Q15=0,0,Q29/TrRoad_act!Q15*1000)</f>
        <v>108.59785272721746</v>
      </c>
      <c r="R93" s="101">
        <f>IF(TrRoad_act!R15=0,0,R29/TrRoad_act!R15*1000)</f>
        <v>120.66498059503662</v>
      </c>
      <c r="S93" s="101">
        <f>IF(TrRoad_act!S15=0,0,S29/TrRoad_act!S15*1000)</f>
        <v>106.55399957030097</v>
      </c>
      <c r="T93" s="101">
        <f>IF(TrRoad_act!T15=0,0,T29/TrRoad_act!T15*1000)</f>
        <v>106.16349921962616</v>
      </c>
      <c r="U93" s="101">
        <f>IF(TrRoad_act!U15=0,0,U29/TrRoad_act!U15*1000)</f>
        <v>96.375347683293128</v>
      </c>
      <c r="V93" s="101">
        <f>IF(TrRoad_act!V15=0,0,V29/TrRoad_act!V15*1000)</f>
        <v>126.95592134259637</v>
      </c>
      <c r="W93" s="101">
        <f>IF(TrRoad_act!W15=0,0,W29/TrRoad_act!W15*1000)</f>
        <v>108.59266671093422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76.703845059041839</v>
      </c>
      <c r="M94" s="101">
        <f>IF(TrRoad_act!M16=0,0,M30/TrRoad_act!M16*1000)</f>
        <v>79.894540486935185</v>
      </c>
      <c r="N94" s="101">
        <f>IF(TrRoad_act!N16=0,0,N30/TrRoad_act!N16*1000)</f>
        <v>66.093616126304681</v>
      </c>
      <c r="O94" s="101">
        <f>IF(TrRoad_act!O16=0,0,O30/TrRoad_act!O16*1000)</f>
        <v>61.388598295345616</v>
      </c>
      <c r="P94" s="101">
        <f>IF(TrRoad_act!P16=0,0,P30/TrRoad_act!P16*1000)</f>
        <v>80.312478309306144</v>
      </c>
      <c r="Q94" s="101">
        <f>IF(TrRoad_act!Q16=0,0,Q30/TrRoad_act!Q16*1000)</f>
        <v>83.369288129708522</v>
      </c>
      <c r="R94" s="101">
        <f>IF(TrRoad_act!R16=0,0,R30/TrRoad_act!R16*1000)</f>
        <v>91.492383283576146</v>
      </c>
      <c r="S94" s="101">
        <f>IF(TrRoad_act!S16=0,0,S30/TrRoad_act!S16*1000)</f>
        <v>80.571115647544744</v>
      </c>
      <c r="T94" s="101">
        <f>IF(TrRoad_act!T16=0,0,T30/TrRoad_act!T16*1000)</f>
        <v>80.382036332496739</v>
      </c>
      <c r="U94" s="101">
        <f>IF(TrRoad_act!U16=0,0,U30/TrRoad_act!U16*1000)</f>
        <v>72.545767802357801</v>
      </c>
      <c r="V94" s="101">
        <f>IF(TrRoad_act!V16=0,0,V30/TrRoad_act!V16*1000)</f>
        <v>96.2476426771603</v>
      </c>
      <c r="W94" s="101">
        <f>IF(TrRoad_act!W16=0,0,W30/TrRoad_act!W16*1000)</f>
        <v>83.611408683075709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65.81055621465687</v>
      </c>
      <c r="C95" s="101">
        <f>IF(TrRoad_act!C17=0,0,C31/TrRoad_act!C17*1000)</f>
        <v>64.083428623685094</v>
      </c>
      <c r="D95" s="101">
        <f>IF(TrRoad_act!D17=0,0,D31/TrRoad_act!D17*1000)</f>
        <v>72.968486634844112</v>
      </c>
      <c r="E95" s="101">
        <f>IF(TrRoad_act!E17=0,0,E31/TrRoad_act!E17*1000)</f>
        <v>65.463810931469283</v>
      </c>
      <c r="F95" s="101">
        <f>IF(TrRoad_act!F17=0,0,F31/TrRoad_act!F17*1000)</f>
        <v>63.118843555156566</v>
      </c>
      <c r="G95" s="101">
        <f>IF(TrRoad_act!G17=0,0,G31/TrRoad_act!G17*1000)</f>
        <v>69.177611454476278</v>
      </c>
      <c r="H95" s="101">
        <f>IF(TrRoad_act!H17=0,0,H31/TrRoad_act!H17*1000)</f>
        <v>73.252945945020571</v>
      </c>
      <c r="I95" s="101">
        <f>IF(TrRoad_act!I17=0,0,I31/TrRoad_act!I17*1000)</f>
        <v>73.252441860649355</v>
      </c>
      <c r="J95" s="101">
        <f>IF(TrRoad_act!J17=0,0,J31/TrRoad_act!J17*1000)</f>
        <v>74.177700124449984</v>
      </c>
      <c r="K95" s="101">
        <f>IF(TrRoad_act!K17=0,0,K31/TrRoad_act!K17*1000)</f>
        <v>75.791024961802151</v>
      </c>
      <c r="L95" s="101">
        <f>IF(TrRoad_act!L17=0,0,L31/TrRoad_act!L17*1000)</f>
        <v>77.70544393698701</v>
      </c>
      <c r="M95" s="101">
        <f>IF(TrRoad_act!M17=0,0,M31/TrRoad_act!M17*1000)</f>
        <v>80.132610151527288</v>
      </c>
      <c r="N95" s="101">
        <f>IF(TrRoad_act!N17=0,0,N31/TrRoad_act!N17*1000)</f>
        <v>63.630821773667705</v>
      </c>
      <c r="O95" s="101">
        <f>IF(TrRoad_act!O17=0,0,O31/TrRoad_act!O17*1000)</f>
        <v>66.523240533443072</v>
      </c>
      <c r="P95" s="101">
        <f>IF(TrRoad_act!P17=0,0,P31/TrRoad_act!P17*1000)</f>
        <v>90.71087048110401</v>
      </c>
      <c r="Q95" s="101">
        <f>IF(TrRoad_act!Q17=0,0,Q31/TrRoad_act!Q17*1000)</f>
        <v>110.98605210341601</v>
      </c>
      <c r="R95" s="101">
        <f>IF(TrRoad_act!R17=0,0,R31/TrRoad_act!R17*1000)</f>
        <v>120.33422288523904</v>
      </c>
      <c r="S95" s="101">
        <f>IF(TrRoad_act!S17=0,0,S31/TrRoad_act!S17*1000)</f>
        <v>118.56972507273949</v>
      </c>
      <c r="T95" s="101">
        <f>IF(TrRoad_act!T17=0,0,T31/TrRoad_act!T17*1000)</f>
        <v>102.12923263127941</v>
      </c>
      <c r="U95" s="101">
        <f>IF(TrRoad_act!U17=0,0,U31/TrRoad_act!U17*1000)</f>
        <v>156.71763349692003</v>
      </c>
      <c r="V95" s="101">
        <f>IF(TrRoad_act!V17=0,0,V31/TrRoad_act!V17*1000)</f>
        <v>220.85803325274912</v>
      </c>
      <c r="W95" s="101">
        <f>IF(TrRoad_act!W17=0,0,W31/TrRoad_act!W17*1000)</f>
        <v>129.1140672031749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346.95599164451886</v>
      </c>
      <c r="C97" s="29">
        <f>IF(TrRoad_act!C19=0,0,C33/TrRoad_act!C19*1000)</f>
        <v>317.5875941182972</v>
      </c>
      <c r="D97" s="29">
        <f>IF(TrRoad_act!D19=0,0,D33/TrRoad_act!D19*1000)</f>
        <v>329.40309395752922</v>
      </c>
      <c r="E97" s="29">
        <f>IF(TrRoad_act!E19=0,0,E33/TrRoad_act!E19*1000)</f>
        <v>351.8925602144281</v>
      </c>
      <c r="F97" s="29">
        <f>IF(TrRoad_act!F19=0,0,F33/TrRoad_act!F19*1000)</f>
        <v>304.9132291836836</v>
      </c>
      <c r="G97" s="29">
        <f>IF(TrRoad_act!G19=0,0,G33/TrRoad_act!G19*1000)</f>
        <v>293.87027872434868</v>
      </c>
      <c r="H97" s="29">
        <f>IF(TrRoad_act!H19=0,0,H33/TrRoad_act!H19*1000)</f>
        <v>281.80027736023288</v>
      </c>
      <c r="I97" s="29">
        <f>IF(TrRoad_act!I19=0,0,I33/TrRoad_act!I19*1000)</f>
        <v>259.46914228726536</v>
      </c>
      <c r="J97" s="29">
        <f>IF(TrRoad_act!J19=0,0,J33/TrRoad_act!J19*1000)</f>
        <v>276.3372690484801</v>
      </c>
      <c r="K97" s="29">
        <f>IF(TrRoad_act!K19=0,0,K33/TrRoad_act!K19*1000)</f>
        <v>289.92166650336554</v>
      </c>
      <c r="L97" s="29">
        <f>IF(TrRoad_act!L19=0,0,L33/TrRoad_act!L19*1000)</f>
        <v>307.13879378100472</v>
      </c>
      <c r="M97" s="29">
        <f>IF(TrRoad_act!M19=0,0,M33/TrRoad_act!M19*1000)</f>
        <v>280.01284977139863</v>
      </c>
      <c r="N97" s="29">
        <f>IF(TrRoad_act!N19=0,0,N33/TrRoad_act!N19*1000)</f>
        <v>280.01326059495693</v>
      </c>
      <c r="O97" s="29">
        <f>IF(TrRoad_act!O19=0,0,O33/TrRoad_act!O19*1000)</f>
        <v>278.29149084467292</v>
      </c>
      <c r="P97" s="29">
        <f>IF(TrRoad_act!P19=0,0,P33/TrRoad_act!P19*1000)</f>
        <v>262.15206758155125</v>
      </c>
      <c r="Q97" s="29">
        <f>IF(TrRoad_act!Q19=0,0,Q33/TrRoad_act!Q19*1000)</f>
        <v>268.43967030076425</v>
      </c>
      <c r="R97" s="29">
        <f>IF(TrRoad_act!R19=0,0,R33/TrRoad_act!R19*1000)</f>
        <v>273.33976654300398</v>
      </c>
      <c r="S97" s="29">
        <f>IF(TrRoad_act!S19=0,0,S33/TrRoad_act!S19*1000)</f>
        <v>268.3061408864624</v>
      </c>
      <c r="T97" s="29">
        <f>IF(TrRoad_act!T19=0,0,T33/TrRoad_act!T19*1000)</f>
        <v>267.44380153756521</v>
      </c>
      <c r="U97" s="29">
        <f>IF(TrRoad_act!U19=0,0,U33/TrRoad_act!U19*1000)</f>
        <v>271.57610231356881</v>
      </c>
      <c r="V97" s="29">
        <f>IF(TrRoad_act!V19=0,0,V33/TrRoad_act!V19*1000)</f>
        <v>273.85932674069369</v>
      </c>
      <c r="W97" s="29">
        <f>IF(TrRoad_act!W19=0,0,W33/TrRoad_act!W19*1000)</f>
        <v>264.00501174171677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2287.0759155469732</v>
      </c>
      <c r="C98" s="152">
        <f>IF(TrRoad_act!C20=0,0,C34/TrRoad_act!C20*1000)</f>
        <v>2132.8871740421073</v>
      </c>
      <c r="D98" s="152">
        <f>IF(TrRoad_act!D20=0,0,D34/TrRoad_act!D20*1000)</f>
        <v>2124.1308763345523</v>
      </c>
      <c r="E98" s="152">
        <f>IF(TrRoad_act!E20=0,0,E34/TrRoad_act!E20*1000)</f>
        <v>2142.4547507475727</v>
      </c>
      <c r="F98" s="152">
        <f>IF(TrRoad_act!F20=0,0,F34/TrRoad_act!F20*1000)</f>
        <v>2087.1570290535933</v>
      </c>
      <c r="G98" s="152">
        <f>IF(TrRoad_act!G20=0,0,G34/TrRoad_act!G20*1000)</f>
        <v>2004.3219955379805</v>
      </c>
      <c r="H98" s="152">
        <f>IF(TrRoad_act!H20=0,0,H34/TrRoad_act!H20*1000)</f>
        <v>1913.3012529736034</v>
      </c>
      <c r="I98" s="152">
        <f>IF(TrRoad_act!I20=0,0,I34/TrRoad_act!I20*1000)</f>
        <v>1817.6848927726537</v>
      </c>
      <c r="J98" s="152">
        <f>IF(TrRoad_act!J20=0,0,J34/TrRoad_act!J20*1000)</f>
        <v>1770.0854758952196</v>
      </c>
      <c r="K98" s="152">
        <f>IF(TrRoad_act!K20=0,0,K34/TrRoad_act!K20*1000)</f>
        <v>1695.9483861559274</v>
      </c>
      <c r="L98" s="152">
        <f>IF(TrRoad_act!L20=0,0,L34/TrRoad_act!L20*1000)</f>
        <v>1615.8049479893214</v>
      </c>
      <c r="M98" s="152">
        <f>IF(TrRoad_act!M20=0,0,M34/TrRoad_act!M20*1000)</f>
        <v>1551.8603433659664</v>
      </c>
      <c r="N98" s="152">
        <f>IF(TrRoad_act!N20=0,0,N34/TrRoad_act!N20*1000)</f>
        <v>1503.2797101661151</v>
      </c>
      <c r="O98" s="152">
        <f>IF(TrRoad_act!O20=0,0,O34/TrRoad_act!O20*1000)</f>
        <v>1485.8266745716899</v>
      </c>
      <c r="P98" s="152">
        <f>IF(TrRoad_act!P20=0,0,P34/TrRoad_act!P20*1000)</f>
        <v>1451.5314400175994</v>
      </c>
      <c r="Q98" s="152">
        <f>IF(TrRoad_act!Q20=0,0,Q34/TrRoad_act!Q20*1000)</f>
        <v>1426.6601324379815</v>
      </c>
      <c r="R98" s="152">
        <f>IF(TrRoad_act!R20=0,0,R34/TrRoad_act!R20*1000)</f>
        <v>1440.048451469474</v>
      </c>
      <c r="S98" s="152">
        <f>IF(TrRoad_act!S20=0,0,S34/TrRoad_act!S20*1000)</f>
        <v>1417.7012904234059</v>
      </c>
      <c r="T98" s="152">
        <f>IF(TrRoad_act!T20=0,0,T34/TrRoad_act!T20*1000)</f>
        <v>1388.0690778663047</v>
      </c>
      <c r="U98" s="152">
        <f>IF(TrRoad_act!U20=0,0,U34/TrRoad_act!U20*1000)</f>
        <v>1346.215006346913</v>
      </c>
      <c r="V98" s="152">
        <f>IF(TrRoad_act!V20=0,0,V34/TrRoad_act!V20*1000)</f>
        <v>1308.7540264838653</v>
      </c>
      <c r="W98" s="152">
        <f>IF(TrRoad_act!W20=0,0,W34/TrRoad_act!W20*1000)</f>
        <v>1313.5193787062378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2780.2020625927616</v>
      </c>
      <c r="C99" s="87">
        <f>IF(TrRoad_act!C21=0,0,C35/TrRoad_act!C21*1000)</f>
        <v>2687.5728829026912</v>
      </c>
      <c r="D99" s="87">
        <f>IF(TrRoad_act!D21=0,0,D35/TrRoad_act!D21*1000)</f>
        <v>2707.8651795224773</v>
      </c>
      <c r="E99" s="87">
        <f>IF(TrRoad_act!E21=0,0,E35/TrRoad_act!E21*1000)</f>
        <v>2648.0636542357443</v>
      </c>
      <c r="F99" s="87">
        <f>IF(TrRoad_act!F21=0,0,F35/TrRoad_act!F21*1000)</f>
        <v>2608.2237365839219</v>
      </c>
      <c r="G99" s="87">
        <f>IF(TrRoad_act!G21=0,0,G35/TrRoad_act!G21*1000)</f>
        <v>2519.7378381416443</v>
      </c>
      <c r="H99" s="87">
        <f>IF(TrRoad_act!H21=0,0,H35/TrRoad_act!H21*1000)</f>
        <v>2455.2134504044602</v>
      </c>
      <c r="I99" s="87">
        <f>IF(TrRoad_act!I21=0,0,I35/TrRoad_act!I21*1000)</f>
        <v>2359.9259777763318</v>
      </c>
      <c r="J99" s="87">
        <f>IF(TrRoad_act!J21=0,0,J35/TrRoad_act!J21*1000)</f>
        <v>2311.0401728835827</v>
      </c>
      <c r="K99" s="87">
        <f>IF(TrRoad_act!K21=0,0,K35/TrRoad_act!K21*1000)</f>
        <v>2270.7543867303061</v>
      </c>
      <c r="L99" s="87">
        <f>IF(TrRoad_act!L21=0,0,L35/TrRoad_act!L21*1000)</f>
        <v>2215.6293666677871</v>
      </c>
      <c r="M99" s="87">
        <f>IF(TrRoad_act!M21=0,0,M35/TrRoad_act!M21*1000)</f>
        <v>2138.465220482803</v>
      </c>
      <c r="N99" s="87">
        <f>IF(TrRoad_act!N21=0,0,N35/TrRoad_act!N21*1000)</f>
        <v>2100.4582389202801</v>
      </c>
      <c r="O99" s="87">
        <f>IF(TrRoad_act!O21=0,0,O35/TrRoad_act!O21*1000)</f>
        <v>2069.1563561209696</v>
      </c>
      <c r="P99" s="87">
        <f>IF(TrRoad_act!P21=0,0,P35/TrRoad_act!P21*1000)</f>
        <v>2051.585254335042</v>
      </c>
      <c r="Q99" s="87">
        <f>IF(TrRoad_act!Q21=0,0,Q35/TrRoad_act!Q21*1000)</f>
        <v>1964.8807324106156</v>
      </c>
      <c r="R99" s="87">
        <f>IF(TrRoad_act!R21=0,0,R35/TrRoad_act!R21*1000)</f>
        <v>1925.0318900435755</v>
      </c>
      <c r="S99" s="87">
        <f>IF(TrRoad_act!S21=0,0,S35/TrRoad_act!S21*1000)</f>
        <v>1891.8722389134387</v>
      </c>
      <c r="T99" s="87">
        <f>IF(TrRoad_act!T21=0,0,T35/TrRoad_act!T21*1000)</f>
        <v>1848.8124836858822</v>
      </c>
      <c r="U99" s="87">
        <f>IF(TrRoad_act!U21=0,0,U35/TrRoad_act!U21*1000)</f>
        <v>1778.8173657735588</v>
      </c>
      <c r="V99" s="87">
        <f>IF(TrRoad_act!V21=0,0,V35/TrRoad_act!V21*1000)</f>
        <v>1693.4349921532501</v>
      </c>
      <c r="W99" s="87">
        <f>IF(TrRoad_act!W21=0,0,W35/TrRoad_act!W21*1000)</f>
        <v>1703.8847485261413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2281.264630010266</v>
      </c>
      <c r="C100" s="87">
        <f>IF(TrRoad_act!C22=0,0,C36/TrRoad_act!C22*1000)</f>
        <v>2127.1744997083129</v>
      </c>
      <c r="D100" s="87">
        <f>IF(TrRoad_act!D22=0,0,D36/TrRoad_act!D22*1000)</f>
        <v>2118.297315906284</v>
      </c>
      <c r="E100" s="87">
        <f>IF(TrRoad_act!E22=0,0,E36/TrRoad_act!E22*1000)</f>
        <v>2136.7025617203171</v>
      </c>
      <c r="F100" s="87">
        <f>IF(TrRoad_act!F22=0,0,F36/TrRoad_act!F22*1000)</f>
        <v>2081.7024277021487</v>
      </c>
      <c r="G100" s="87">
        <f>IF(TrRoad_act!G22=0,0,G36/TrRoad_act!G22*1000)</f>
        <v>1999.1160729765177</v>
      </c>
      <c r="H100" s="87">
        <f>IF(TrRoad_act!H22=0,0,H36/TrRoad_act!H22*1000)</f>
        <v>1908.0047135420534</v>
      </c>
      <c r="I100" s="87">
        <f>IF(TrRoad_act!I22=0,0,I36/TrRoad_act!I22*1000)</f>
        <v>1812.5769052528558</v>
      </c>
      <c r="J100" s="87">
        <f>IF(TrRoad_act!J22=0,0,J36/TrRoad_act!J22*1000)</f>
        <v>1765.1248729933716</v>
      </c>
      <c r="K100" s="87">
        <f>IF(TrRoad_act!K22=0,0,K36/TrRoad_act!K22*1000)</f>
        <v>1690.832387749439</v>
      </c>
      <c r="L100" s="87">
        <f>IF(TrRoad_act!L22=0,0,L36/TrRoad_act!L22*1000)</f>
        <v>1610.6304312096697</v>
      </c>
      <c r="M100" s="87">
        <f>IF(TrRoad_act!M22=0,0,M36/TrRoad_act!M22*1000)</f>
        <v>1547.278912089638</v>
      </c>
      <c r="N100" s="87">
        <f>IF(TrRoad_act!N22=0,0,N36/TrRoad_act!N22*1000)</f>
        <v>1498.6985881376988</v>
      </c>
      <c r="O100" s="87">
        <f>IF(TrRoad_act!O22=0,0,O36/TrRoad_act!O22*1000)</f>
        <v>1481.660207779297</v>
      </c>
      <c r="P100" s="87">
        <f>IF(TrRoad_act!P22=0,0,P36/TrRoad_act!P22*1000)</f>
        <v>1447.7775003343302</v>
      </c>
      <c r="Q100" s="87">
        <f>IF(TrRoad_act!Q22=0,0,Q36/TrRoad_act!Q22*1000)</f>
        <v>1422.9751498889821</v>
      </c>
      <c r="R100" s="87">
        <f>IF(TrRoad_act!R22=0,0,R36/TrRoad_act!R22*1000)</f>
        <v>1437.0563887458725</v>
      </c>
      <c r="S100" s="87">
        <f>IF(TrRoad_act!S22=0,0,S36/TrRoad_act!S22*1000)</f>
        <v>1415.1284906949404</v>
      </c>
      <c r="T100" s="87">
        <f>IF(TrRoad_act!T22=0,0,T36/TrRoad_act!T22*1000)</f>
        <v>1386.2400910928409</v>
      </c>
      <c r="U100" s="87">
        <f>IF(TrRoad_act!U22=0,0,U36/TrRoad_act!U22*1000)</f>
        <v>1344.2919255135089</v>
      </c>
      <c r="V100" s="87">
        <f>IF(TrRoad_act!V22=0,0,V36/TrRoad_act!V22*1000)</f>
        <v>1308.1101458524404</v>
      </c>
      <c r="W100" s="87">
        <f>IF(TrRoad_act!W22=0,0,W36/TrRoad_act!W22*1000)</f>
        <v>1313.1085690503323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3979.3323222915592</v>
      </c>
      <c r="C101" s="87">
        <f>IF(TrRoad_act!C23=0,0,C37/TrRoad_act!C23*1000)</f>
        <v>3855.3604681984079</v>
      </c>
      <c r="D101" s="87">
        <f>IF(TrRoad_act!D23=0,0,D37/TrRoad_act!D23*1000)</f>
        <v>3835.9327651553749</v>
      </c>
      <c r="E101" s="87">
        <f>IF(TrRoad_act!E23=0,0,E37/TrRoad_act!E23*1000)</f>
        <v>3739.4061631484842</v>
      </c>
      <c r="F101" s="87">
        <f>IF(TrRoad_act!F23=0,0,F37/TrRoad_act!F23*1000)</f>
        <v>3679.8979961786167</v>
      </c>
      <c r="G101" s="87">
        <f>IF(TrRoad_act!G23=0,0,G37/TrRoad_act!G23*1000)</f>
        <v>3525.791874063239</v>
      </c>
      <c r="H101" s="87">
        <f>IF(TrRoad_act!H23=0,0,H37/TrRoad_act!H23*1000)</f>
        <v>3400.0164597716557</v>
      </c>
      <c r="I101" s="87">
        <f>IF(TrRoad_act!I23=0,0,I37/TrRoad_act!I23*1000)</f>
        <v>3239.2056360867045</v>
      </c>
      <c r="J101" s="87">
        <f>IF(TrRoad_act!J23=0,0,J37/TrRoad_act!J23*1000)</f>
        <v>3135.9111725819284</v>
      </c>
      <c r="K101" s="87">
        <f>IF(TrRoad_act!K23=0,0,K37/TrRoad_act!K23*1000)</f>
        <v>3038.0397035644532</v>
      </c>
      <c r="L101" s="87">
        <f>IF(TrRoad_act!L23=0,0,L37/TrRoad_act!L23*1000)</f>
        <v>2958.9618087374711</v>
      </c>
      <c r="M101" s="87">
        <f>IF(TrRoad_act!M23=0,0,M37/TrRoad_act!M23*1000)</f>
        <v>2833.1913526869967</v>
      </c>
      <c r="N101" s="87">
        <f>IF(TrRoad_act!N23=0,0,N37/TrRoad_act!N23*1000)</f>
        <v>2699.124323423202</v>
      </c>
      <c r="O101" s="87">
        <f>IF(TrRoad_act!O23=0,0,O37/TrRoad_act!O23*1000)</f>
        <v>2676.0132551143656</v>
      </c>
      <c r="P101" s="87">
        <f>IF(TrRoad_act!P23=0,0,P37/TrRoad_act!P23*1000)</f>
        <v>2608.8533749413996</v>
      </c>
      <c r="Q101" s="87">
        <f>IF(TrRoad_act!Q23=0,0,Q37/TrRoad_act!Q23*1000)</f>
        <v>2555.3822616536704</v>
      </c>
      <c r="R101" s="87">
        <f>IF(TrRoad_act!R23=0,0,R37/TrRoad_act!R23*1000)</f>
        <v>2518.2833452761729</v>
      </c>
      <c r="S101" s="87">
        <f>IF(TrRoad_act!S23=0,0,S37/TrRoad_act!S23*1000)</f>
        <v>2445.958771309432</v>
      </c>
      <c r="T101" s="87">
        <f>IF(TrRoad_act!T23=0,0,T37/TrRoad_act!T23*1000)</f>
        <v>2329.4349097317263</v>
      </c>
      <c r="U101" s="87">
        <f>IF(TrRoad_act!U23=0,0,U37/TrRoad_act!U23*1000)</f>
        <v>2116.3006115126518</v>
      </c>
      <c r="V101" s="87">
        <f>IF(TrRoad_act!V23=0,0,V37/TrRoad_act!V23*1000)</f>
        <v>2036.005251934037</v>
      </c>
      <c r="W101" s="87">
        <f>IF(TrRoad_act!W23=0,0,W37/TrRoad_act!W23*1000)</f>
        <v>2059.1666601981406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1562.7968097213313</v>
      </c>
      <c r="P102" s="87">
        <f>IF(TrRoad_act!P24=0,0,P38/TrRoad_act!P24*1000)</f>
        <v>1554.0588789013073</v>
      </c>
      <c r="Q102" s="87">
        <f>IF(TrRoad_act!Q24=0,0,Q38/TrRoad_act!Q24*1000)</f>
        <v>1716.951589939184</v>
      </c>
      <c r="R102" s="87">
        <f>IF(TrRoad_act!R24=0,0,R38/TrRoad_act!R24*1000)</f>
        <v>1616.9684837782029</v>
      </c>
      <c r="S102" s="87">
        <f>IF(TrRoad_act!S24=0,0,S38/TrRoad_act!S24*1000)</f>
        <v>1598.2573418883624</v>
      </c>
      <c r="T102" s="87">
        <f>IF(TrRoad_act!T24=0,0,T38/TrRoad_act!T24*1000)</f>
        <v>1627.7775290833947</v>
      </c>
      <c r="U102" s="87">
        <f>IF(TrRoad_act!U24=0,0,U38/TrRoad_act!U24*1000)</f>
        <v>1783.8355069782126</v>
      </c>
      <c r="V102" s="87">
        <f>IF(TrRoad_act!V24=0,0,V38/TrRoad_act!V24*1000)</f>
        <v>1746.6650054940715</v>
      </c>
      <c r="W102" s="87">
        <f>IF(TrRoad_act!W24=0,0,W38/TrRoad_act!W24*1000)</f>
        <v>1975.4161066752943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99.140943391664266</v>
      </c>
      <c r="C104" s="116">
        <f>IF(TrRoad_act!C26=0,0,C40/TrRoad_act!C26*1000)</f>
        <v>105.07753054262102</v>
      </c>
      <c r="D104" s="116">
        <f>IF(TrRoad_act!D26=0,0,D40/TrRoad_act!D26*1000)</f>
        <v>106.94472706284193</v>
      </c>
      <c r="E104" s="116">
        <f>IF(TrRoad_act!E26=0,0,E40/TrRoad_act!E26*1000)</f>
        <v>129.43442444483847</v>
      </c>
      <c r="F104" s="116">
        <f>IF(TrRoad_act!F26=0,0,F40/TrRoad_act!F26*1000)</f>
        <v>129.61759180904133</v>
      </c>
      <c r="G104" s="116">
        <f>IF(TrRoad_act!G26=0,0,G40/TrRoad_act!G26*1000)</f>
        <v>132.11966421484647</v>
      </c>
      <c r="H104" s="116">
        <f>IF(TrRoad_act!H26=0,0,H40/TrRoad_act!H26*1000)</f>
        <v>129.00919180552407</v>
      </c>
      <c r="I104" s="116">
        <f>IF(TrRoad_act!I26=0,0,I40/TrRoad_act!I26*1000)</f>
        <v>125.19773950887836</v>
      </c>
      <c r="J104" s="116">
        <f>IF(TrRoad_act!J26=0,0,J40/TrRoad_act!J26*1000)</f>
        <v>133.96675091511736</v>
      </c>
      <c r="K104" s="116">
        <f>IF(TrRoad_act!K26=0,0,K40/TrRoad_act!K26*1000)</f>
        <v>135.37406448336472</v>
      </c>
      <c r="L104" s="116">
        <f>IF(TrRoad_act!L26=0,0,L40/TrRoad_act!L26*1000)</f>
        <v>149.61665668208988</v>
      </c>
      <c r="M104" s="116">
        <f>IF(TrRoad_act!M26=0,0,M40/TrRoad_act!M26*1000)</f>
        <v>142.02574201983151</v>
      </c>
      <c r="N104" s="116">
        <f>IF(TrRoad_act!N26=0,0,N40/TrRoad_act!N26*1000)</f>
        <v>146.18581736314076</v>
      </c>
      <c r="O104" s="116">
        <f>IF(TrRoad_act!O26=0,0,O40/TrRoad_act!O26*1000)</f>
        <v>145.51350672305244</v>
      </c>
      <c r="P104" s="116">
        <f>IF(TrRoad_act!P26=0,0,P40/TrRoad_act!P26*1000)</f>
        <v>127.35553973954735</v>
      </c>
      <c r="Q104" s="116">
        <f>IF(TrRoad_act!Q26=0,0,Q40/TrRoad_act!Q26*1000)</f>
        <v>134.44852635657332</v>
      </c>
      <c r="R104" s="116">
        <f>IF(TrRoad_act!R26=0,0,R40/TrRoad_act!R26*1000)</f>
        <v>134.87662516986404</v>
      </c>
      <c r="S104" s="116">
        <f>IF(TrRoad_act!S26=0,0,S40/TrRoad_act!S26*1000)</f>
        <v>129.30094046029029</v>
      </c>
      <c r="T104" s="116">
        <f>IF(TrRoad_act!T26=0,0,T40/TrRoad_act!T26*1000)</f>
        <v>127.18981328965492</v>
      </c>
      <c r="U104" s="116">
        <f>IF(TrRoad_act!U26=0,0,U40/TrRoad_act!U26*1000)</f>
        <v>130.75421084029824</v>
      </c>
      <c r="V104" s="116">
        <f>IF(TrRoad_act!V26=0,0,V40/TrRoad_act!V26*1000)</f>
        <v>134.11747614777556</v>
      </c>
      <c r="W104" s="116">
        <f>IF(TrRoad_act!W26=0,0,W40/TrRoad_act!W26*1000)</f>
        <v>126.57009598511968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103.95605953948778</v>
      </c>
      <c r="C105" s="101">
        <f>IF(TrRoad_act!C27=0,0,C41/TrRoad_act!C27*1000)</f>
        <v>110.38289314230821</v>
      </c>
      <c r="D105" s="101">
        <f>IF(TrRoad_act!D27=0,0,D41/TrRoad_act!D27*1000)</f>
        <v>113.66799346752092</v>
      </c>
      <c r="E105" s="101">
        <f>IF(TrRoad_act!E27=0,0,E41/TrRoad_act!E27*1000)</f>
        <v>138.98423588178787</v>
      </c>
      <c r="F105" s="101">
        <f>IF(TrRoad_act!F27=0,0,F41/TrRoad_act!F27*1000)</f>
        <v>138.93918962211703</v>
      </c>
      <c r="G105" s="101">
        <f>IF(TrRoad_act!G27=0,0,G41/TrRoad_act!G27*1000)</f>
        <v>143.31163546874882</v>
      </c>
      <c r="H105" s="101">
        <f>IF(TrRoad_act!H27=0,0,H41/TrRoad_act!H27*1000)</f>
        <v>140.60308290540129</v>
      </c>
      <c r="I105" s="101">
        <f>IF(TrRoad_act!I27=0,0,I41/TrRoad_act!I27*1000)</f>
        <v>136.46406910284799</v>
      </c>
      <c r="J105" s="101">
        <f>IF(TrRoad_act!J27=0,0,J41/TrRoad_act!J27*1000)</f>
        <v>145.83878088688948</v>
      </c>
      <c r="K105" s="101">
        <f>IF(TrRoad_act!K27=0,0,K41/TrRoad_act!K27*1000)</f>
        <v>149.48809979214013</v>
      </c>
      <c r="L105" s="101">
        <f>IF(TrRoad_act!L27=0,0,L41/TrRoad_act!L27*1000)</f>
        <v>172.98535003621717</v>
      </c>
      <c r="M105" s="101">
        <f>IF(TrRoad_act!M27=0,0,M41/TrRoad_act!M27*1000)</f>
        <v>164.07756027583727</v>
      </c>
      <c r="N105" s="101">
        <f>IF(TrRoad_act!N27=0,0,N41/TrRoad_act!N27*1000)</f>
        <v>162.93806589706736</v>
      </c>
      <c r="O105" s="101">
        <f>IF(TrRoad_act!O27=0,0,O41/TrRoad_act!O27*1000)</f>
        <v>166.93792906523711</v>
      </c>
      <c r="P105" s="101">
        <f>IF(TrRoad_act!P27=0,0,P41/TrRoad_act!P27*1000)</f>
        <v>139.90480475085852</v>
      </c>
      <c r="Q105" s="101">
        <f>IF(TrRoad_act!Q27=0,0,Q41/TrRoad_act!Q27*1000)</f>
        <v>152.0771625667966</v>
      </c>
      <c r="R105" s="101">
        <f>IF(TrRoad_act!R27=0,0,R41/TrRoad_act!R27*1000)</f>
        <v>153.1861560785436</v>
      </c>
      <c r="S105" s="101">
        <f>IF(TrRoad_act!S27=0,0,S41/TrRoad_act!S27*1000)</f>
        <v>144.65323432935836</v>
      </c>
      <c r="T105" s="101">
        <f>IF(TrRoad_act!T27=0,0,T41/TrRoad_act!T27*1000)</f>
        <v>143.56537114385873</v>
      </c>
      <c r="U105" s="101">
        <f>IF(TrRoad_act!U27=0,0,U41/TrRoad_act!U27*1000)</f>
        <v>146.92012372025613</v>
      </c>
      <c r="V105" s="101">
        <f>IF(TrRoad_act!V27=0,0,V41/TrRoad_act!V27*1000)</f>
        <v>150.37873445804195</v>
      </c>
      <c r="W105" s="101">
        <f>IF(TrRoad_act!W27=0,0,W41/TrRoad_act!W27*1000)</f>
        <v>143.83255326079021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84.35803716651904</v>
      </c>
      <c r="C106" s="88">
        <f>IF(TrRoad_act!C28=0,0,C42/TrRoad_act!C28*1000)</f>
        <v>87.594034341108639</v>
      </c>
      <c r="D106" s="88">
        <f>IF(TrRoad_act!D28=0,0,D42/TrRoad_act!D28*1000)</f>
        <v>87.857013760631872</v>
      </c>
      <c r="E106" s="88">
        <f>IF(TrRoad_act!E28=0,0,E42/TrRoad_act!E28*1000)</f>
        <v>104.03352371283756</v>
      </c>
      <c r="F106" s="88">
        <f>IF(TrRoad_act!F28=0,0,F42/TrRoad_act!F28*1000)</f>
        <v>103.38879583568014</v>
      </c>
      <c r="G106" s="88">
        <f>IF(TrRoad_act!G28=0,0,G42/TrRoad_act!G28*1000)</f>
        <v>101.68938066359303</v>
      </c>
      <c r="H106" s="88">
        <f>IF(TrRoad_act!H28=0,0,H42/TrRoad_act!H28*1000)</f>
        <v>99.514555002830562</v>
      </c>
      <c r="I106" s="88">
        <f>IF(TrRoad_act!I28=0,0,I42/TrRoad_act!I28*1000)</f>
        <v>97.891709754702731</v>
      </c>
      <c r="J106" s="88">
        <f>IF(TrRoad_act!J28=0,0,J42/TrRoad_act!J28*1000)</f>
        <v>103.0029985912972</v>
      </c>
      <c r="K106" s="88">
        <f>IF(TrRoad_act!K28=0,0,K42/TrRoad_act!K28*1000)</f>
        <v>104.04157074277374</v>
      </c>
      <c r="L106" s="88">
        <f>IF(TrRoad_act!L28=0,0,L42/TrRoad_act!L28*1000)</f>
        <v>100.01340530607843</v>
      </c>
      <c r="M106" s="88">
        <f>IF(TrRoad_act!M28=0,0,M42/TrRoad_act!M28*1000)</f>
        <v>98.246763248075339</v>
      </c>
      <c r="N106" s="88">
        <f>IF(TrRoad_act!N28=0,0,N42/TrRoad_act!N28*1000)</f>
        <v>110.71097133506827</v>
      </c>
      <c r="O106" s="88">
        <f>IF(TrRoad_act!O28=0,0,O42/TrRoad_act!O28*1000)</f>
        <v>110.53895057268974</v>
      </c>
      <c r="P106" s="88">
        <f>IF(TrRoad_act!P28=0,0,P42/TrRoad_act!P28*1000)</f>
        <v>106.09919507147502</v>
      </c>
      <c r="Q106" s="88">
        <f>IF(TrRoad_act!Q28=0,0,Q42/TrRoad_act!Q28*1000)</f>
        <v>100.06324040716677</v>
      </c>
      <c r="R106" s="88">
        <f>IF(TrRoad_act!R28=0,0,R42/TrRoad_act!R28*1000)</f>
        <v>103.19477224558018</v>
      </c>
      <c r="S106" s="88">
        <f>IF(TrRoad_act!S28=0,0,S42/TrRoad_act!S28*1000)</f>
        <v>101.01265658933772</v>
      </c>
      <c r="T106" s="88">
        <f>IF(TrRoad_act!T28=0,0,T42/TrRoad_act!T28*1000)</f>
        <v>99.05100385676225</v>
      </c>
      <c r="U106" s="88">
        <f>IF(TrRoad_act!U28=0,0,U42/TrRoad_act!U28*1000)</f>
        <v>103.59891953218379</v>
      </c>
      <c r="V106" s="88">
        <f>IF(TrRoad_act!V28=0,0,V42/TrRoad_act!V28*1000)</f>
        <v>106.87900966378407</v>
      </c>
      <c r="W106" s="88">
        <f>IF(TrRoad_act!W28=0,0,W42/TrRoad_act!W28*1000)</f>
        <v>100.55031570557709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300.14200989400746</v>
      </c>
      <c r="C110" s="152">
        <f>IF(C19=0,0,1000000*C19/TrRoad_act!C59)</f>
        <v>297.17650344041431</v>
      </c>
      <c r="D110" s="152">
        <f>IF(D19=0,0,1000000*D19/TrRoad_act!D59)</f>
        <v>312.05758318599834</v>
      </c>
      <c r="E110" s="152">
        <f>IF(E19=0,0,1000000*E19/TrRoad_act!E59)</f>
        <v>320.81328042536109</v>
      </c>
      <c r="F110" s="152">
        <f>IF(F19=0,0,1000000*F19/TrRoad_act!F59)</f>
        <v>335.93230423559828</v>
      </c>
      <c r="G110" s="152">
        <f>IF(G19=0,0,1000000*G19/TrRoad_act!G59)</f>
        <v>345.44193515988633</v>
      </c>
      <c r="H110" s="152">
        <f>IF(H19=0,0,1000000*H19/TrRoad_act!H59)</f>
        <v>378.95691403182747</v>
      </c>
      <c r="I110" s="152">
        <f>IF(I19=0,0,1000000*I19/TrRoad_act!I59)</f>
        <v>369.79656431295285</v>
      </c>
      <c r="J110" s="152">
        <f>IF(J19=0,0,1000000*J19/TrRoad_act!J59)</f>
        <v>372.53292867795562</v>
      </c>
      <c r="K110" s="152">
        <f>IF(K19=0,0,1000000*K19/TrRoad_act!K59)</f>
        <v>346.033517582353</v>
      </c>
      <c r="L110" s="152">
        <f>IF(L19=0,0,1000000*L19/TrRoad_act!L59)</f>
        <v>350.91803681303946</v>
      </c>
      <c r="M110" s="152">
        <f>IF(M19=0,0,1000000*M19/TrRoad_act!M59)</f>
        <v>337.89452465434448</v>
      </c>
      <c r="N110" s="152">
        <f>IF(N19=0,0,1000000*N19/TrRoad_act!N59)</f>
        <v>333.13740648687144</v>
      </c>
      <c r="O110" s="152">
        <f>IF(O19=0,0,1000000*O19/TrRoad_act!O59)</f>
        <v>317.92159075511785</v>
      </c>
      <c r="P110" s="152">
        <f>IF(P19=0,0,1000000*P19/TrRoad_act!P59)</f>
        <v>306.62441856356878</v>
      </c>
      <c r="Q110" s="152">
        <f>IF(Q19=0,0,1000000*Q19/TrRoad_act!Q59)</f>
        <v>279.84870767288334</v>
      </c>
      <c r="R110" s="152">
        <f>IF(R19=0,0,1000000*R19/TrRoad_act!R59)</f>
        <v>286.89186470810216</v>
      </c>
      <c r="S110" s="152">
        <f>IF(S19=0,0,1000000*S19/TrRoad_act!S59)</f>
        <v>262.51287167306987</v>
      </c>
      <c r="T110" s="152">
        <f>IF(T19=0,0,1000000*T19/TrRoad_act!T59)</f>
        <v>238.61761863131809</v>
      </c>
      <c r="U110" s="152">
        <f>IF(U19=0,0,1000000*U19/TrRoad_act!U59)</f>
        <v>236.18026530305309</v>
      </c>
      <c r="V110" s="152">
        <f>IF(V19=0,0,1000000*V19/TrRoad_act!V59)</f>
        <v>223.64800863636603</v>
      </c>
      <c r="W110" s="152">
        <f>IF(W19=0,0,1000000*W19/TrRoad_act!W59)</f>
        <v>212.71170765949711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2534.7602455869992</v>
      </c>
      <c r="C111" s="116">
        <f>IF(C20=0,0,1000000*C20/TrRoad_act!C60)</f>
        <v>2453.1810634559502</v>
      </c>
      <c r="D111" s="116">
        <f>IF(D20=0,0,1000000*D20/TrRoad_act!D60)</f>
        <v>2421.5119355644651</v>
      </c>
      <c r="E111" s="116">
        <f>IF(E20=0,0,1000000*E20/TrRoad_act!E60)</f>
        <v>2581.439298989827</v>
      </c>
      <c r="F111" s="116">
        <f>IF(F20=0,0,1000000*F20/TrRoad_act!F60)</f>
        <v>2590.5827925408857</v>
      </c>
      <c r="G111" s="116">
        <f>IF(G20=0,0,1000000*G20/TrRoad_act!G60)</f>
        <v>2474.142319195324</v>
      </c>
      <c r="H111" s="116">
        <f>IF(H20=0,0,1000000*H20/TrRoad_act!H60)</f>
        <v>2419.5139998757991</v>
      </c>
      <c r="I111" s="116">
        <f>IF(I20=0,0,1000000*I20/TrRoad_act!I60)</f>
        <v>2362.1394685384935</v>
      </c>
      <c r="J111" s="116">
        <f>IF(J20=0,0,1000000*J20/TrRoad_act!J60)</f>
        <v>2383.704765992868</v>
      </c>
      <c r="K111" s="116">
        <f>IF(K20=0,0,1000000*K20/TrRoad_act!K60)</f>
        <v>2361.1472938742686</v>
      </c>
      <c r="L111" s="116">
        <f>IF(L20=0,0,1000000*L20/TrRoad_act!L60)</f>
        <v>2235.1497329492654</v>
      </c>
      <c r="M111" s="116">
        <f>IF(M20=0,0,1000000*M20/TrRoad_act!M60)</f>
        <v>2088.1504921883834</v>
      </c>
      <c r="N111" s="116">
        <f>IF(N20=0,0,1000000*N20/TrRoad_act!N60)</f>
        <v>2205.5544485071414</v>
      </c>
      <c r="O111" s="116">
        <f>IF(O20=0,0,1000000*O20/TrRoad_act!O60)</f>
        <v>2176.36270995531</v>
      </c>
      <c r="P111" s="116">
        <f>IF(P20=0,0,1000000*P20/TrRoad_act!P60)</f>
        <v>2029.0729852498432</v>
      </c>
      <c r="Q111" s="116">
        <f>IF(Q20=0,0,1000000*Q20/TrRoad_act!Q60)</f>
        <v>2020.2761740383348</v>
      </c>
      <c r="R111" s="116">
        <f>IF(R20=0,0,1000000*R20/TrRoad_act!R60)</f>
        <v>2034.1957792188714</v>
      </c>
      <c r="S111" s="116">
        <f>IF(S20=0,0,1000000*S20/TrRoad_act!S60)</f>
        <v>2000.477241349605</v>
      </c>
      <c r="T111" s="116">
        <f>IF(T20=0,0,1000000*T20/TrRoad_act!T60)</f>
        <v>1929.4986494123932</v>
      </c>
      <c r="U111" s="116">
        <f>IF(U20=0,0,1000000*U20/TrRoad_act!U60)</f>
        <v>1930.2849325956342</v>
      </c>
      <c r="V111" s="116">
        <f>IF(V20=0,0,1000000*V20/TrRoad_act!V60)</f>
        <v>1614.859652809972</v>
      </c>
      <c r="W111" s="116">
        <f>IF(W20=0,0,1000000*W20/TrRoad_act!W60)</f>
        <v>1692.8285470509074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2708.4928415655049</v>
      </c>
      <c r="C112" s="87">
        <f>IF(C21=0,0,1000000*C21/TrRoad_act!C61)</f>
        <v>2422.6366730979298</v>
      </c>
      <c r="D112" s="87">
        <f>IF(D21=0,0,1000000*D21/TrRoad_act!D61)</f>
        <v>2329.9371668115723</v>
      </c>
      <c r="E112" s="87">
        <f>IF(E21=0,0,1000000*E21/TrRoad_act!E61)</f>
        <v>2253.8303418702785</v>
      </c>
      <c r="F112" s="87">
        <f>IF(F21=0,0,1000000*F21/TrRoad_act!F61)</f>
        <v>2126.1348559584098</v>
      </c>
      <c r="G112" s="87">
        <f>IF(G21=0,0,1000000*G21/TrRoad_act!G61)</f>
        <v>2004.6678167279085</v>
      </c>
      <c r="H112" s="87">
        <f>IF(H21=0,0,1000000*H21/TrRoad_act!H61)</f>
        <v>1859.676538841564</v>
      </c>
      <c r="I112" s="87">
        <f>IF(I21=0,0,1000000*I21/TrRoad_act!I61)</f>
        <v>1759.1597735312241</v>
      </c>
      <c r="J112" s="87">
        <f>IF(J21=0,0,1000000*J21/TrRoad_act!J61)</f>
        <v>1695.6417273502454</v>
      </c>
      <c r="K112" s="87">
        <f>IF(K21=0,0,1000000*K21/TrRoad_act!K61)</f>
        <v>1697.245603751149</v>
      </c>
      <c r="L112" s="87">
        <f>IF(L21=0,0,1000000*L21/TrRoad_act!L61)</f>
        <v>1548.1395530756738</v>
      </c>
      <c r="M112" s="87">
        <f>IF(M21=0,0,1000000*M21/TrRoad_act!M61)</f>
        <v>1431.3414433612634</v>
      </c>
      <c r="N112" s="87">
        <f>IF(N21=0,0,1000000*N21/TrRoad_act!N61)</f>
        <v>1491.8722389264999</v>
      </c>
      <c r="O112" s="87">
        <f>IF(O21=0,0,1000000*O21/TrRoad_act!O61)</f>
        <v>1458.1263900129377</v>
      </c>
      <c r="P112" s="87">
        <f>IF(P21=0,0,1000000*P21/TrRoad_act!P61)</f>
        <v>1375.7909954872582</v>
      </c>
      <c r="Q112" s="87">
        <f>IF(Q21=0,0,1000000*Q21/TrRoad_act!Q61)</f>
        <v>1373.4973431534036</v>
      </c>
      <c r="R112" s="87">
        <f>IF(R21=0,0,1000000*R21/TrRoad_act!R61)</f>
        <v>1363.0872191990534</v>
      </c>
      <c r="S112" s="87">
        <f>IF(S21=0,0,1000000*S21/TrRoad_act!S61)</f>
        <v>1350.2581296124945</v>
      </c>
      <c r="T112" s="87">
        <f>IF(T21=0,0,1000000*T21/TrRoad_act!T61)</f>
        <v>1305.834189146846</v>
      </c>
      <c r="U112" s="87">
        <f>IF(U21=0,0,1000000*U21/TrRoad_act!U61)</f>
        <v>1292.7996387010755</v>
      </c>
      <c r="V112" s="87">
        <f>IF(V21=0,0,1000000*V21/TrRoad_act!V61)</f>
        <v>1093.5718093729633</v>
      </c>
      <c r="W112" s="87">
        <f>IF(W21=0,0,1000000*W21/TrRoad_act!W61)</f>
        <v>1197.3719332064065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2144.3281478137455</v>
      </c>
      <c r="C113" s="87">
        <f>IF(C22=0,0,1000000*C22/TrRoad_act!C62)</f>
        <v>2507.6342509366759</v>
      </c>
      <c r="D113" s="87">
        <f>IF(D22=0,0,1000000*D22/TrRoad_act!D62)</f>
        <v>2608.6833810193971</v>
      </c>
      <c r="E113" s="87">
        <f>IF(E22=0,0,1000000*E22/TrRoad_act!E62)</f>
        <v>3242.3916076449609</v>
      </c>
      <c r="F113" s="87">
        <f>IF(F22=0,0,1000000*F22/TrRoad_act!F62)</f>
        <v>3485.5448585836562</v>
      </c>
      <c r="G113" s="87">
        <f>IF(G22=0,0,1000000*G22/TrRoad_act!G62)</f>
        <v>3298.8619165532955</v>
      </c>
      <c r="H113" s="87">
        <f>IF(H22=0,0,1000000*H22/TrRoad_act!H62)</f>
        <v>3324.5843863739419</v>
      </c>
      <c r="I113" s="87">
        <f>IF(I22=0,0,1000000*I22/TrRoad_act!I62)</f>
        <v>3251.6880283237747</v>
      </c>
      <c r="J113" s="87">
        <f>IF(J22=0,0,1000000*J22/TrRoad_act!J62)</f>
        <v>3315.399351589982</v>
      </c>
      <c r="K113" s="87">
        <f>IF(K22=0,0,1000000*K22/TrRoad_act!K62)</f>
        <v>3202.5351606568402</v>
      </c>
      <c r="L113" s="87">
        <f>IF(L22=0,0,1000000*L22/TrRoad_act!L62)</f>
        <v>3083.602228246044</v>
      </c>
      <c r="M113" s="87">
        <f>IF(M22=0,0,1000000*M22/TrRoad_act!M62)</f>
        <v>2844.7534084023318</v>
      </c>
      <c r="N113" s="87">
        <f>IF(N22=0,0,1000000*N22/TrRoad_act!N62)</f>
        <v>2957.5982959151979</v>
      </c>
      <c r="O113" s="87">
        <f>IF(O22=0,0,1000000*O22/TrRoad_act!O62)</f>
        <v>2907.1536775176392</v>
      </c>
      <c r="P113" s="87">
        <f>IF(P22=0,0,1000000*P22/TrRoad_act!P62)</f>
        <v>2659.0409849193879</v>
      </c>
      <c r="Q113" s="87">
        <f>IF(Q22=0,0,1000000*Q22/TrRoad_act!Q62)</f>
        <v>2593.3623860020634</v>
      </c>
      <c r="R113" s="87">
        <f>IF(R22=0,0,1000000*R22/TrRoad_act!R62)</f>
        <v>2590.1739753828565</v>
      </c>
      <c r="S113" s="87">
        <f>IF(S22=0,0,1000000*S22/TrRoad_act!S62)</f>
        <v>2514.3050780055146</v>
      </c>
      <c r="T113" s="87">
        <f>IF(T22=0,0,1000000*T22/TrRoad_act!T62)</f>
        <v>2418.9005503513736</v>
      </c>
      <c r="U113" s="87">
        <f>IF(U22=0,0,1000000*U22/TrRoad_act!U62)</f>
        <v>2446.3663919558353</v>
      </c>
      <c r="V113" s="87">
        <f>IF(V22=0,0,1000000*V22/TrRoad_act!V62)</f>
        <v>2025.5805800220608</v>
      </c>
      <c r="W113" s="87">
        <f>IF(W22=0,0,1000000*W22/TrRoad_act!W62)</f>
        <v>2095.1854666317167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3270.6622624713341</v>
      </c>
      <c r="C114" s="87">
        <f>IF(C23=0,0,1000000*C23/TrRoad_act!C63)</f>
        <v>3344.3402554817931</v>
      </c>
      <c r="D114" s="87">
        <f>IF(D23=0,0,1000000*D23/TrRoad_act!D63)</f>
        <v>3410.296309824565</v>
      </c>
      <c r="E114" s="87">
        <f>IF(E23=0,0,1000000*E23/TrRoad_act!E63)</f>
        <v>3281.8672370181753</v>
      </c>
      <c r="F114" s="87">
        <f>IF(F23=0,0,1000000*F23/TrRoad_act!F63)</f>
        <v>3248.9144639504821</v>
      </c>
      <c r="G114" s="87">
        <f>IF(G23=0,0,1000000*G23/TrRoad_act!G63)</f>
        <v>3121.0468768152323</v>
      </c>
      <c r="H114" s="87">
        <f>IF(H23=0,0,1000000*H23/TrRoad_act!H63)</f>
        <v>3413.1508709709497</v>
      </c>
      <c r="I114" s="87">
        <f>IF(I23=0,0,1000000*I23/TrRoad_act!I63)</f>
        <v>3539.9591592974589</v>
      </c>
      <c r="J114" s="87">
        <f>IF(J23=0,0,1000000*J23/TrRoad_act!J63)</f>
        <v>3160.5107918663634</v>
      </c>
      <c r="K114" s="87">
        <f>IF(K23=0,0,1000000*K23/TrRoad_act!K63)</f>
        <v>2637.4679207895501</v>
      </c>
      <c r="L114" s="87">
        <f>IF(L23=0,0,1000000*L23/TrRoad_act!L63)</f>
        <v>2546.8508376374843</v>
      </c>
      <c r="M114" s="87">
        <f>IF(M23=0,0,1000000*M23/TrRoad_act!M63)</f>
        <v>2267.5256353429836</v>
      </c>
      <c r="N114" s="87">
        <f>IF(N23=0,0,1000000*N23/TrRoad_act!N63)</f>
        <v>2383.6707925992423</v>
      </c>
      <c r="O114" s="87">
        <f>IF(O23=0,0,1000000*O23/TrRoad_act!O63)</f>
        <v>2325.2590401957855</v>
      </c>
      <c r="P114" s="87">
        <f>IF(P23=0,0,1000000*P23/TrRoad_act!P63)</f>
        <v>2063.1117596106928</v>
      </c>
      <c r="Q114" s="87">
        <f>IF(Q23=0,0,1000000*Q23/TrRoad_act!Q63)</f>
        <v>2134.6919163547818</v>
      </c>
      <c r="R114" s="87">
        <f>IF(R23=0,0,1000000*R23/TrRoad_act!R63)</f>
        <v>2142.0012431548962</v>
      </c>
      <c r="S114" s="87">
        <f>IF(S23=0,0,1000000*S23/TrRoad_act!S63)</f>
        <v>2017.2410028151116</v>
      </c>
      <c r="T114" s="87">
        <f>IF(T23=0,0,1000000*T23/TrRoad_act!T63)</f>
        <v>1843.4376198156911</v>
      </c>
      <c r="U114" s="87">
        <f>IF(U23=0,0,1000000*U23/TrRoad_act!U63)</f>
        <v>1848.3971530118536</v>
      </c>
      <c r="V114" s="87">
        <f>IF(V23=0,0,1000000*V23/TrRoad_act!V63)</f>
        <v>1361.7894708059696</v>
      </c>
      <c r="W114" s="87">
        <f>IF(W23=0,0,1000000*W23/TrRoad_act!W63)</f>
        <v>1406.7093684517142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2292.9906951059688</v>
      </c>
      <c r="M115" s="87">
        <f>IF(M24=0,0,1000000*M24/TrRoad_act!M64)</f>
        <v>2126.7076805307488</v>
      </c>
      <c r="N115" s="87">
        <f>IF(N24=0,0,1000000*N24/TrRoad_act!N64)</f>
        <v>1825.8439573185301</v>
      </c>
      <c r="O115" s="87">
        <f>IF(O24=0,0,1000000*O24/TrRoad_act!O64)</f>
        <v>1650.6422765539803</v>
      </c>
      <c r="P115" s="87">
        <f>IF(P24=0,0,1000000*P24/TrRoad_act!P64)</f>
        <v>1533.3322529307252</v>
      </c>
      <c r="Q115" s="87">
        <f>IF(Q24=0,0,1000000*Q24/TrRoad_act!Q64)</f>
        <v>1452.3293580920028</v>
      </c>
      <c r="R115" s="87">
        <f>IF(R24=0,0,1000000*R24/TrRoad_act!R64)</f>
        <v>1402.2622302675318</v>
      </c>
      <c r="S115" s="87">
        <f>IF(S24=0,0,1000000*S24/TrRoad_act!S64)</f>
        <v>1364.0927163341569</v>
      </c>
      <c r="T115" s="87">
        <f>IF(T24=0,0,1000000*T24/TrRoad_act!T64)</f>
        <v>1358.8567468028946</v>
      </c>
      <c r="U115" s="87">
        <f>IF(U24=0,0,1000000*U24/TrRoad_act!U64)</f>
        <v>1330.6556823637425</v>
      </c>
      <c r="V115" s="87">
        <f>IF(V24=0,0,1000000*V24/TrRoad_act!V64)</f>
        <v>1091.3193339837439</v>
      </c>
      <c r="W115" s="87">
        <f>IF(W24=0,0,1000000*W24/TrRoad_act!W64)</f>
        <v>1157.4987050944835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605.3842595451473</v>
      </c>
      <c r="N116" s="87">
        <f>IF(N25=0,0,1000000*N25/TrRoad_act!N65)</f>
        <v>521.36970313945392</v>
      </c>
      <c r="O116" s="87">
        <f>IF(O25=0,0,1000000*O25/TrRoad_act!O65)</f>
        <v>540.17361217459154</v>
      </c>
      <c r="P116" s="87">
        <f>IF(P25=0,0,1000000*P25/TrRoad_act!P65)</f>
        <v>528.91823184501993</v>
      </c>
      <c r="Q116" s="87">
        <f>IF(Q25=0,0,1000000*Q25/TrRoad_act!Q65)</f>
        <v>529.77706867895608</v>
      </c>
      <c r="R116" s="87">
        <f>IF(R25=0,0,1000000*R25/TrRoad_act!R65)</f>
        <v>536.98110097571271</v>
      </c>
      <c r="S116" s="87">
        <f>IF(S25=0,0,1000000*S25/TrRoad_act!S65)</f>
        <v>555.84311076010727</v>
      </c>
      <c r="T116" s="87">
        <f>IF(T25=0,0,1000000*T25/TrRoad_act!T65)</f>
        <v>561.43738700035124</v>
      </c>
      <c r="U116" s="87">
        <f>IF(U25=0,0,1000000*U25/TrRoad_act!U65)</f>
        <v>531.79033652523015</v>
      </c>
      <c r="V116" s="87">
        <f>IF(V25=0,0,1000000*V25/TrRoad_act!V65)</f>
        <v>395.20932730944298</v>
      </c>
      <c r="W116" s="87">
        <f>IF(W25=0,0,1000000*W25/TrRoad_act!W65)</f>
        <v>383.19564425811694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50578.298413267526</v>
      </c>
      <c r="C118" s="116">
        <f>IF(C27=0,0,1000000*C27/TrRoad_act!C67)</f>
        <v>48072.658409510543</v>
      </c>
      <c r="D118" s="116">
        <f>IF(D27=0,0,1000000*D27/TrRoad_act!D67)</f>
        <v>46671.838239565783</v>
      </c>
      <c r="E118" s="116">
        <f>IF(E27=0,0,1000000*E27/TrRoad_act!E67)</f>
        <v>45209.94513040343</v>
      </c>
      <c r="F118" s="116">
        <f>IF(F27=0,0,1000000*F27/TrRoad_act!F67)</f>
        <v>43906.794173716611</v>
      </c>
      <c r="G118" s="116">
        <f>IF(G27=0,0,1000000*G27/TrRoad_act!G67)</f>
        <v>40616.638598414269</v>
      </c>
      <c r="H118" s="116">
        <f>IF(H27=0,0,1000000*H27/TrRoad_act!H67)</f>
        <v>39089.103249705287</v>
      </c>
      <c r="I118" s="116">
        <f>IF(I27=0,0,1000000*I27/TrRoad_act!I67)</f>
        <v>39202.93852891682</v>
      </c>
      <c r="J118" s="116">
        <f>IF(J27=0,0,1000000*J27/TrRoad_act!J67)</f>
        <v>39817.438002042152</v>
      </c>
      <c r="K118" s="116">
        <f>IF(K27=0,0,1000000*K27/TrRoad_act!K67)</f>
        <v>39674.630531415722</v>
      </c>
      <c r="L118" s="116">
        <f>IF(L27=0,0,1000000*L27/TrRoad_act!L67)</f>
        <v>39353.376384220195</v>
      </c>
      <c r="M118" s="116">
        <f>IF(M27=0,0,1000000*M27/TrRoad_act!M67)</f>
        <v>39960.70644255534</v>
      </c>
      <c r="N118" s="116">
        <f>IF(N27=0,0,1000000*N27/TrRoad_act!N67)</f>
        <v>39306.041066953672</v>
      </c>
      <c r="O118" s="116">
        <f>IF(O27=0,0,1000000*O27/TrRoad_act!O67)</f>
        <v>38746.621295668294</v>
      </c>
      <c r="P118" s="116">
        <f>IF(P27=0,0,1000000*P27/TrRoad_act!P67)</f>
        <v>38869.056280092576</v>
      </c>
      <c r="Q118" s="116">
        <f>IF(Q27=0,0,1000000*Q27/TrRoad_act!Q67)</f>
        <v>39706.602870912975</v>
      </c>
      <c r="R118" s="116">
        <f>IF(R27=0,0,1000000*R27/TrRoad_act!R67)</f>
        <v>42427.2096198449</v>
      </c>
      <c r="S118" s="116">
        <f>IF(S27=0,0,1000000*S27/TrRoad_act!S67)</f>
        <v>43105.731670721987</v>
      </c>
      <c r="T118" s="116">
        <f>IF(T27=0,0,1000000*T27/TrRoad_act!T67)</f>
        <v>44787.459045978641</v>
      </c>
      <c r="U118" s="116">
        <f>IF(U27=0,0,1000000*U27/TrRoad_act!U67)</f>
        <v>36458.4556685192</v>
      </c>
      <c r="V118" s="116">
        <f>IF(V27=0,0,1000000*V27/TrRoad_act!V67)</f>
        <v>32577.175613995394</v>
      </c>
      <c r="W118" s="116">
        <f>IF(W27=0,0,1000000*W27/TrRoad_act!W67)</f>
        <v>39841.039644344819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4610.3186082740485</v>
      </c>
      <c r="M119" s="101">
        <f>IF(M28=0,0,1000000*M28/TrRoad_act!M68)</f>
        <v>4752.5425503945908</v>
      </c>
      <c r="N119" s="101">
        <f>IF(N28=0,0,1000000*N28/TrRoad_act!N68)</f>
        <v>4847.0126339651588</v>
      </c>
      <c r="O119" s="101">
        <f>IF(O28=0,0,1000000*O28/TrRoad_act!O68)</f>
        <v>4745.1542808457307</v>
      </c>
      <c r="P119" s="101">
        <f>IF(P28=0,0,1000000*P28/TrRoad_act!P68)</f>
        <v>4744.6238971135199</v>
      </c>
      <c r="Q119" s="101">
        <f>IF(Q28=0,0,1000000*Q28/TrRoad_act!Q68)</f>
        <v>4762.0472512050001</v>
      </c>
      <c r="R119" s="101">
        <f>IF(R28=0,0,1000000*R28/TrRoad_act!R68)</f>
        <v>4902.8249355922953</v>
      </c>
      <c r="S119" s="101">
        <f>IF(S28=0,0,1000000*S28/TrRoad_act!S68)</f>
        <v>4984.660041630561</v>
      </c>
      <c r="T119" s="101">
        <f>IF(T28=0,0,1000000*T28/TrRoad_act!T68)</f>
        <v>5199.965330971495</v>
      </c>
      <c r="U119" s="101">
        <f>IF(U28=0,0,1000000*U28/TrRoad_act!U68)</f>
        <v>3964.4953965326113</v>
      </c>
      <c r="V119" s="101">
        <f>IF(V28=0,0,1000000*V28/TrRoad_act!V68)</f>
        <v>3436.2164629920949</v>
      </c>
      <c r="W119" s="101">
        <f>IF(W28=0,0,1000000*W28/TrRoad_act!W68)</f>
        <v>4340.6868599728368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50550.345134729803</v>
      </c>
      <c r="C120" s="101">
        <f>IF(C29=0,0,1000000*C29/TrRoad_act!C69)</f>
        <v>48008.240802326</v>
      </c>
      <c r="D120" s="101">
        <f>IF(D29=0,0,1000000*D29/TrRoad_act!D69)</f>
        <v>46580.304764212204</v>
      </c>
      <c r="E120" s="101">
        <f>IF(E29=0,0,1000000*E29/TrRoad_act!E69)</f>
        <v>45101.508377690028</v>
      </c>
      <c r="F120" s="101">
        <f>IF(F29=0,0,1000000*F29/TrRoad_act!F69)</f>
        <v>43802.884719272166</v>
      </c>
      <c r="G120" s="101">
        <f>IF(G29=0,0,1000000*G29/TrRoad_act!G69)</f>
        <v>40404.482438364481</v>
      </c>
      <c r="H120" s="101">
        <f>IF(H29=0,0,1000000*H29/TrRoad_act!H69)</f>
        <v>38891.153706089382</v>
      </c>
      <c r="I120" s="101">
        <f>IF(I29=0,0,1000000*I29/TrRoad_act!I69)</f>
        <v>38972.17880556357</v>
      </c>
      <c r="J120" s="101">
        <f>IF(J29=0,0,1000000*J29/TrRoad_act!J69)</f>
        <v>39642.493577625981</v>
      </c>
      <c r="K120" s="101">
        <f>IF(K29=0,0,1000000*K29/TrRoad_act!K69)</f>
        <v>39563.457815622467</v>
      </c>
      <c r="L120" s="101">
        <f>IF(L29=0,0,1000000*L29/TrRoad_act!L69)</f>
        <v>39198.896052016556</v>
      </c>
      <c r="M120" s="101">
        <f>IF(M29=0,0,1000000*M29/TrRoad_act!M69)</f>
        <v>39774.482262296122</v>
      </c>
      <c r="N120" s="101">
        <f>IF(N29=0,0,1000000*N29/TrRoad_act!N69)</f>
        <v>39110.003293567504</v>
      </c>
      <c r="O120" s="101">
        <f>IF(O29=0,0,1000000*O29/TrRoad_act!O69)</f>
        <v>38350.17399242206</v>
      </c>
      <c r="P120" s="101">
        <f>IF(P29=0,0,1000000*P29/TrRoad_act!P69)</f>
        <v>38528.216972824695</v>
      </c>
      <c r="Q120" s="101">
        <f>IF(Q29=0,0,1000000*Q29/TrRoad_act!Q69)</f>
        <v>38992.809957123965</v>
      </c>
      <c r="R120" s="101">
        <f>IF(R29=0,0,1000000*R29/TrRoad_act!R69)</f>
        <v>41777.881008392782</v>
      </c>
      <c r="S120" s="101">
        <f>IF(S29=0,0,1000000*S29/TrRoad_act!S69)</f>
        <v>42316.152181830003</v>
      </c>
      <c r="T120" s="101">
        <f>IF(T29=0,0,1000000*T29/TrRoad_act!T69)</f>
        <v>44312.432191322056</v>
      </c>
      <c r="U120" s="101">
        <f>IF(U29=0,0,1000000*U29/TrRoad_act!U69)</f>
        <v>35329.891846910235</v>
      </c>
      <c r="V120" s="101">
        <f>IF(V29=0,0,1000000*V29/TrRoad_act!V69)</f>
        <v>30907.121177284364</v>
      </c>
      <c r="W120" s="101">
        <f>IF(W29=0,0,1000000*W29/TrRoad_act!W69)</f>
        <v>38542.137144328481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20509.625184114058</v>
      </c>
      <c r="M121" s="101">
        <f>IF(M30=0,0,1000000*M30/TrRoad_act!M70)</f>
        <v>21142.327605127753</v>
      </c>
      <c r="N121" s="101">
        <f>IF(N30=0,0,1000000*N30/TrRoad_act!N70)</f>
        <v>21586.113360861538</v>
      </c>
      <c r="O121" s="101">
        <f>IF(O30=0,0,1000000*O30/TrRoad_act!O70)</f>
        <v>21328.925522678339</v>
      </c>
      <c r="P121" s="101">
        <f>IF(P30=0,0,1000000*P30/TrRoad_act!P70)</f>
        <v>21604.565728613146</v>
      </c>
      <c r="Q121" s="101">
        <f>IF(Q30=0,0,1000000*Q30/TrRoad_act!Q70)</f>
        <v>22270.915799828555</v>
      </c>
      <c r="R121" s="101">
        <f>IF(R30=0,0,1000000*R30/TrRoad_act!R70)</f>
        <v>23354.378186634636</v>
      </c>
      <c r="S121" s="101">
        <f>IF(S30=0,0,1000000*S30/TrRoad_act!S70)</f>
        <v>23340.666784196012</v>
      </c>
      <c r="T121" s="101">
        <f>IF(T30=0,0,1000000*T30/TrRoad_act!T70)</f>
        <v>24409.888044800249</v>
      </c>
      <c r="U121" s="101">
        <f>IF(U30=0,0,1000000*U30/TrRoad_act!U70)</f>
        <v>18866.360672703366</v>
      </c>
      <c r="V121" s="101">
        <f>IF(V30=0,0,1000000*V30/TrRoad_act!V70)</f>
        <v>16490.91380549769</v>
      </c>
      <c r="W121" s="101">
        <f>IF(W30=0,0,1000000*W30/TrRoad_act!W70)</f>
        <v>21042.201910697095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64036.097560975599</v>
      </c>
      <c r="C122" s="101">
        <f>IF(C31=0,0,1000000*C31/TrRoad_act!C71)</f>
        <v>54937.305699481862</v>
      </c>
      <c r="D122" s="101">
        <f>IF(D31=0,0,1000000*D31/TrRoad_act!D71)</f>
        <v>52956.938110749201</v>
      </c>
      <c r="E122" s="101">
        <f>IF(E31=0,0,1000000*E31/TrRoad_act!E71)</f>
        <v>50732.158273381305</v>
      </c>
      <c r="F122" s="101">
        <f>IF(F31=0,0,1000000*F31/TrRoad_act!F71)</f>
        <v>48814.446902654869</v>
      </c>
      <c r="G122" s="101">
        <f>IF(G31=0,0,1000000*G31/TrRoad_act!G71)</f>
        <v>45875.799648506159</v>
      </c>
      <c r="H122" s="101">
        <f>IF(H31=0,0,1000000*H31/TrRoad_act!H71)</f>
        <v>44270.217391304344</v>
      </c>
      <c r="I122" s="101">
        <f>IF(I31=0,0,1000000*I31/TrRoad_act!I71)</f>
        <v>44731.63636363636</v>
      </c>
      <c r="J122" s="101">
        <f>IF(J31=0,0,1000000*J31/TrRoad_act!J71)</f>
        <v>43825.94720496895</v>
      </c>
      <c r="K122" s="101">
        <f>IF(K31=0,0,1000000*K31/TrRoad_act!K71)</f>
        <v>42150.810810810828</v>
      </c>
      <c r="L122" s="101">
        <f>IF(L31=0,0,1000000*L31/TrRoad_act!L71)</f>
        <v>43992.651746800882</v>
      </c>
      <c r="M122" s="101">
        <f>IF(M31=0,0,1000000*M31/TrRoad_act!M71)</f>
        <v>45356.779360982997</v>
      </c>
      <c r="N122" s="101">
        <f>IF(N31=0,0,1000000*N31/TrRoad_act!N71)</f>
        <v>44904.391521244041</v>
      </c>
      <c r="O122" s="101">
        <f>IF(O31=0,0,1000000*O31/TrRoad_act!O71)</f>
        <v>48472.567521582372</v>
      </c>
      <c r="P122" s="101">
        <f>IF(P31=0,0,1000000*P31/TrRoad_act!P71)</f>
        <v>49670.466351747011</v>
      </c>
      <c r="Q122" s="101">
        <f>IF(Q31=0,0,1000000*Q31/TrRoad_act!Q71)</f>
        <v>60965.746336093223</v>
      </c>
      <c r="R122" s="101">
        <f>IF(R31=0,0,1000000*R31/TrRoad_act!R71)</f>
        <v>63644.714842549227</v>
      </c>
      <c r="S122" s="101">
        <f>IF(S31=0,0,1000000*S31/TrRoad_act!S71)</f>
        <v>71856.592103904826</v>
      </c>
      <c r="T122" s="101">
        <f>IF(T31=0,0,1000000*T31/TrRoad_act!T71)</f>
        <v>65365.173912894788</v>
      </c>
      <c r="U122" s="101">
        <f>IF(U31=0,0,1000000*U31/TrRoad_act!U71)</f>
        <v>87794.629387085995</v>
      </c>
      <c r="V122" s="101">
        <f>IF(V31=0,0,1000000*V31/TrRoad_act!V71)</f>
        <v>82845.303163769146</v>
      </c>
      <c r="W122" s="101">
        <f>IF(W31=0,0,1000000*W31/TrRoad_act!W71)</f>
        <v>70993.064875816155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4230.2732455379028</v>
      </c>
      <c r="C125" s="152">
        <f>IF(C34=0,0,1000000*C34/TrRoad_act!C74)</f>
        <v>3708.3726299410514</v>
      </c>
      <c r="D125" s="152">
        <f>IF(D34=0,0,1000000*D34/TrRoad_act!D74)</f>
        <v>3797.6893491222318</v>
      </c>
      <c r="E125" s="152">
        <f>IF(E34=0,0,1000000*E34/TrRoad_act!E74)</f>
        <v>4034.5969273626783</v>
      </c>
      <c r="F125" s="152">
        <f>IF(F34=0,0,1000000*F34/TrRoad_act!F74)</f>
        <v>3783.3524027038684</v>
      </c>
      <c r="G125" s="152">
        <f>IF(G34=0,0,1000000*G34/TrRoad_act!G74)</f>
        <v>3494.8297550594498</v>
      </c>
      <c r="H125" s="152">
        <f>IF(H34=0,0,1000000*H34/TrRoad_act!H74)</f>
        <v>3337.2201877226667</v>
      </c>
      <c r="I125" s="152">
        <f>IF(I34=0,0,1000000*I34/TrRoad_act!I74)</f>
        <v>3044.3404466837933</v>
      </c>
      <c r="J125" s="152">
        <f>IF(J34=0,0,1000000*J34/TrRoad_act!J74)</f>
        <v>2993.3969158022746</v>
      </c>
      <c r="K125" s="152">
        <f>IF(K34=0,0,1000000*K34/TrRoad_act!K74)</f>
        <v>2916.2197631458498</v>
      </c>
      <c r="L125" s="152">
        <f>IF(L34=0,0,1000000*L34/TrRoad_act!L74)</f>
        <v>2755.7794912847307</v>
      </c>
      <c r="M125" s="152">
        <f>IF(M34=0,0,1000000*M34/TrRoad_act!M74)</f>
        <v>2427.5183728420479</v>
      </c>
      <c r="N125" s="152">
        <f>IF(N34=0,0,1000000*N34/TrRoad_act!N74)</f>
        <v>2307.9046114901234</v>
      </c>
      <c r="O125" s="152">
        <f>IF(O34=0,0,1000000*O34/TrRoad_act!O74)</f>
        <v>2210.1899196034478</v>
      </c>
      <c r="P125" s="152">
        <f>IF(P34=0,0,1000000*P34/TrRoad_act!P74)</f>
        <v>2174.2745940288896</v>
      </c>
      <c r="Q125" s="152">
        <f>IF(Q34=0,0,1000000*Q34/TrRoad_act!Q74)</f>
        <v>2199.5847975867764</v>
      </c>
      <c r="R125" s="152">
        <f>IF(R34=0,0,1000000*R34/TrRoad_act!R74)</f>
        <v>2291.2589725862508</v>
      </c>
      <c r="S125" s="152">
        <f>IF(S34=0,0,1000000*S34/TrRoad_act!S74)</f>
        <v>2313.5476342645402</v>
      </c>
      <c r="T125" s="152">
        <f>IF(T34=0,0,1000000*T34/TrRoad_act!T74)</f>
        <v>2282.9185129585958</v>
      </c>
      <c r="U125" s="152">
        <f>IF(U34=0,0,1000000*U34/TrRoad_act!U74)</f>
        <v>2098.193297199613</v>
      </c>
      <c r="V125" s="152">
        <f>IF(V34=0,0,1000000*V34/TrRoad_act!V74)</f>
        <v>1907.5999748048773</v>
      </c>
      <c r="W125" s="152">
        <f>IF(W34=0,0,1000000*W34/TrRoad_act!W74)</f>
        <v>2082.8677306079808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2968.9031035449011</v>
      </c>
      <c r="C126" s="87">
        <f>IF(C35=0,0,1000000*C35/TrRoad_act!C75)</f>
        <v>2663.4923433722047</v>
      </c>
      <c r="D126" s="87">
        <f>IF(D35=0,0,1000000*D35/TrRoad_act!D75)</f>
        <v>2774.8020368830521</v>
      </c>
      <c r="E126" s="87">
        <f>IF(E35=0,0,1000000*E35/TrRoad_act!E75)</f>
        <v>2889.190286225316</v>
      </c>
      <c r="F126" s="87">
        <f>IF(F35=0,0,1000000*F35/TrRoad_act!F75)</f>
        <v>2717.5954815036121</v>
      </c>
      <c r="G126" s="87">
        <f>IF(G35=0,0,1000000*G35/TrRoad_act!G75)</f>
        <v>2505.6552166864285</v>
      </c>
      <c r="H126" s="87">
        <f>IF(H35=0,0,1000000*H35/TrRoad_act!H75)</f>
        <v>2442.2530282492212</v>
      </c>
      <c r="I126" s="87">
        <f>IF(I35=0,0,1000000*I35/TrRoad_act!I75)</f>
        <v>2235.6230425188901</v>
      </c>
      <c r="J126" s="87">
        <f>IF(J35=0,0,1000000*J35/TrRoad_act!J75)</f>
        <v>2214.7110326231282</v>
      </c>
      <c r="K126" s="87">
        <f>IF(K35=0,0,1000000*K35/TrRoad_act!K75)</f>
        <v>2219.9453409970374</v>
      </c>
      <c r="L126" s="87">
        <f>IF(L35=0,0,1000000*L35/TrRoad_act!L75)</f>
        <v>2152.1989020251685</v>
      </c>
      <c r="M126" s="87">
        <f>IF(M35=0,0,1000000*M35/TrRoad_act!M75)</f>
        <v>1902.4665421805876</v>
      </c>
      <c r="N126" s="87">
        <f>IF(N35=0,0,1000000*N35/TrRoad_act!N75)</f>
        <v>1856.9106146509341</v>
      </c>
      <c r="O126" s="87">
        <f>IF(O35=0,0,1000000*O35/TrRoad_act!O75)</f>
        <v>1789.5042306498142</v>
      </c>
      <c r="P126" s="87">
        <f>IF(P35=0,0,1000000*P35/TrRoad_act!P75)</f>
        <v>1817.8084084638879</v>
      </c>
      <c r="Q126" s="87">
        <f>IF(Q35=0,0,1000000*Q35/TrRoad_act!Q75)</f>
        <v>1831.9912463656301</v>
      </c>
      <c r="R126" s="87">
        <f>IF(R35=0,0,1000000*R35/TrRoad_act!R75)</f>
        <v>1793.8057830018499</v>
      </c>
      <c r="S126" s="87">
        <f>IF(S35=0,0,1000000*S35/TrRoad_act!S75)</f>
        <v>1751.925655950763</v>
      </c>
      <c r="T126" s="87">
        <f>IF(T35=0,0,1000000*T35/TrRoad_act!T75)</f>
        <v>1671.1424938197731</v>
      </c>
      <c r="U126" s="87">
        <f>IF(U35=0,0,1000000*U35/TrRoad_act!U75)</f>
        <v>1477.5801539286151</v>
      </c>
      <c r="V126" s="87">
        <f>IF(V35=0,0,1000000*V35/TrRoad_act!V75)</f>
        <v>1276.4747019845765</v>
      </c>
      <c r="W126" s="87">
        <f>IF(W35=0,0,1000000*W35/TrRoad_act!W75)</f>
        <v>1392.4287207030341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4252.5929050519508</v>
      </c>
      <c r="C127" s="87">
        <f>IF(C36=0,0,1000000*C36/TrRoad_act!C76)</f>
        <v>3724.7644558989182</v>
      </c>
      <c r="D127" s="87">
        <f>IF(D36=0,0,1000000*D36/TrRoad_act!D76)</f>
        <v>3813.2032976748865</v>
      </c>
      <c r="E127" s="87">
        <f>IF(E36=0,0,1000000*E36/TrRoad_act!E76)</f>
        <v>4054.1350085150689</v>
      </c>
      <c r="F127" s="87">
        <f>IF(F36=0,0,1000000*F36/TrRoad_act!F76)</f>
        <v>3800.1913565217342</v>
      </c>
      <c r="G127" s="87">
        <f>IF(G36=0,0,1000000*G36/TrRoad_act!G76)</f>
        <v>3510.0318763742162</v>
      </c>
      <c r="H127" s="87">
        <f>IF(H36=0,0,1000000*H36/TrRoad_act!H76)</f>
        <v>3350.5408445795465</v>
      </c>
      <c r="I127" s="87">
        <f>IF(I36=0,0,1000000*I36/TrRoad_act!I76)</f>
        <v>3056.022707500133</v>
      </c>
      <c r="J127" s="87">
        <f>IF(J36=0,0,1000000*J36/TrRoad_act!J76)</f>
        <v>3004.3267973830798</v>
      </c>
      <c r="K127" s="87">
        <f>IF(K36=0,0,1000000*K36/TrRoad_act!K76)</f>
        <v>2925.6591147415943</v>
      </c>
      <c r="L127" s="87">
        <f>IF(L36=0,0,1000000*L36/TrRoad_act!L76)</f>
        <v>2763.658523353191</v>
      </c>
      <c r="M127" s="87">
        <f>IF(M36=0,0,1000000*M36/TrRoad_act!M76)</f>
        <v>2433.6780184080958</v>
      </c>
      <c r="N127" s="87">
        <f>IF(N36=0,0,1000000*N36/TrRoad_act!N76)</f>
        <v>2313.1384475149953</v>
      </c>
      <c r="O127" s="87">
        <f>IF(O36=0,0,1000000*O36/TrRoad_act!O76)</f>
        <v>2214.7243537954923</v>
      </c>
      <c r="P127" s="87">
        <f>IF(P36=0,0,1000000*P36/TrRoad_act!P76)</f>
        <v>2177.5936612716782</v>
      </c>
      <c r="Q127" s="87">
        <f>IF(Q36=0,0,1000000*Q36/TrRoad_act!Q76)</f>
        <v>2203.4289856593582</v>
      </c>
      <c r="R127" s="87">
        <f>IF(R36=0,0,1000000*R36/TrRoad_act!R76)</f>
        <v>2296.2814640733241</v>
      </c>
      <c r="S127" s="87">
        <f>IF(S36=0,0,1000000*S36/TrRoad_act!S76)</f>
        <v>2320.239621401261</v>
      </c>
      <c r="T127" s="87">
        <f>IF(T36=0,0,1000000*T36/TrRoad_act!T76)</f>
        <v>2290.7170332268743</v>
      </c>
      <c r="U127" s="87">
        <f>IF(U36=0,0,1000000*U36/TrRoad_act!U76)</f>
        <v>2107.7782961219232</v>
      </c>
      <c r="V127" s="87">
        <f>IF(V36=0,0,1000000*V36/TrRoad_act!V76)</f>
        <v>1916.074469254627</v>
      </c>
      <c r="W127" s="87">
        <f>IF(W36=0,0,1000000*W36/TrRoad_act!W76)</f>
        <v>2092.5125683821693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4779.6635724150865</v>
      </c>
      <c r="C128" s="87">
        <f>IF(C37=0,0,1000000*C37/TrRoad_act!C77)</f>
        <v>4351.3938376204724</v>
      </c>
      <c r="D128" s="87">
        <f>IF(D37=0,0,1000000*D37/TrRoad_act!D77)</f>
        <v>4451.7338599724562</v>
      </c>
      <c r="E128" s="87">
        <f>IF(E37=0,0,1000000*E37/TrRoad_act!E77)</f>
        <v>4572.5992918678485</v>
      </c>
      <c r="F128" s="87">
        <f>IF(F37=0,0,1000000*F37/TrRoad_act!F77)</f>
        <v>4330.3515515552781</v>
      </c>
      <c r="G128" s="87">
        <f>IF(G37=0,0,1000000*G37/TrRoad_act!G77)</f>
        <v>4006.236500071459</v>
      </c>
      <c r="H128" s="87">
        <f>IF(H37=0,0,1000000*H37/TrRoad_act!H77)</f>
        <v>3895.5218872469345</v>
      </c>
      <c r="I128" s="87">
        <f>IF(I37=0,0,1000000*I37/TrRoad_act!I77)</f>
        <v>3592.090926963353</v>
      </c>
      <c r="J128" s="87">
        <f>IF(J37=0,0,1000000*J37/TrRoad_act!J77)</f>
        <v>3539.475254590137</v>
      </c>
      <c r="K128" s="87">
        <f>IF(K37=0,0,1000000*K37/TrRoad_act!K77)</f>
        <v>3514.6267119563158</v>
      </c>
      <c r="L128" s="87">
        <f>IF(L37=0,0,1000000*L37/TrRoad_act!L77)</f>
        <v>3422.4414660316033</v>
      </c>
      <c r="M128" s="87">
        <f>IF(M37=0,0,1000000*M37/TrRoad_act!M77)</f>
        <v>3029.0498786723347</v>
      </c>
      <c r="N128" s="87">
        <f>IF(N37=0,0,1000000*N37/TrRoad_act!N77)</f>
        <v>2855.0544378791615</v>
      </c>
      <c r="O128" s="87">
        <f>IF(O37=0,0,1000000*O37/TrRoad_act!O77)</f>
        <v>2764.2313414228961</v>
      </c>
      <c r="P128" s="87">
        <f>IF(P37=0,0,1000000*P37/TrRoad_act!P77)</f>
        <v>2734.9178869706379</v>
      </c>
      <c r="Q128" s="87">
        <f>IF(Q37=0,0,1000000*Q37/TrRoad_act!Q77)</f>
        <v>2779.9283891648779</v>
      </c>
      <c r="R128" s="87">
        <f>IF(R37=0,0,1000000*R37/TrRoad_act!R77)</f>
        <v>2753.1614126228374</v>
      </c>
      <c r="S128" s="87">
        <f>IF(S37=0,0,1000000*S37/TrRoad_act!S77)</f>
        <v>2674.6828867536724</v>
      </c>
      <c r="T128" s="87">
        <f>IF(T37=0,0,1000000*T37/TrRoad_act!T77)</f>
        <v>2510.0274791557204</v>
      </c>
      <c r="U128" s="87">
        <f>IF(U37=0,0,1000000*U37/TrRoad_act!U77)</f>
        <v>2136.8723761194419</v>
      </c>
      <c r="V128" s="87">
        <f>IF(V37=0,0,1000000*V37/TrRoad_act!V77)</f>
        <v>1906.2984211906378</v>
      </c>
      <c r="W128" s="87">
        <f>IF(W37=0,0,1000000*W37/TrRoad_act!W77)</f>
        <v>2051.6870756161557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1841.4564422842625</v>
      </c>
      <c r="P129" s="87">
        <f>IF(P38=0,0,1000000*P38/TrRoad_act!P78)</f>
        <v>1859.0057366358012</v>
      </c>
      <c r="Q129" s="87">
        <f>IF(Q38=0,0,1000000*Q38/TrRoad_act!Q78)</f>
        <v>2134.4401766602559</v>
      </c>
      <c r="R129" s="87">
        <f>IF(R38=0,0,1000000*R38/TrRoad_act!R78)</f>
        <v>2021.4308969025656</v>
      </c>
      <c r="S129" s="87">
        <f>IF(S38=0,0,1000000*S38/TrRoad_act!S78)</f>
        <v>1999.3072221928753</v>
      </c>
      <c r="T129" s="87">
        <f>IF(T38=0,0,1000000*T38/TrRoad_act!T78)</f>
        <v>2005.7991089420507</v>
      </c>
      <c r="U129" s="87">
        <f>IF(U38=0,0,1000000*U38/TrRoad_act!U78)</f>
        <v>2053.9212076443418</v>
      </c>
      <c r="V129" s="87">
        <f>IF(V38=0,0,1000000*V38/TrRoad_act!V78)</f>
        <v>1858.5938320547159</v>
      </c>
      <c r="W129" s="87">
        <f>IF(W38=0,0,1000000*W38/TrRoad_act!W78)</f>
        <v>2244.7401110542487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18739.289657932335</v>
      </c>
      <c r="C131" s="116">
        <f>IF(C40=0,0,1000000*C40/TrRoad_act!C80)</f>
        <v>21802.067884246131</v>
      </c>
      <c r="D131" s="116">
        <f>IF(D40=0,0,1000000*D40/TrRoad_act!D80)</f>
        <v>21239.900303945491</v>
      </c>
      <c r="E131" s="116">
        <f>IF(E40=0,0,1000000*E40/TrRoad_act!E80)</f>
        <v>25853.941944977854</v>
      </c>
      <c r="F131" s="116">
        <f>IF(F40=0,0,1000000*F40/TrRoad_act!F80)</f>
        <v>33161.572976149153</v>
      </c>
      <c r="G131" s="116">
        <f>IF(G40=0,0,1000000*G40/TrRoad_act!G80)</f>
        <v>34477.524107055186</v>
      </c>
      <c r="H131" s="116">
        <f>IF(H40=0,0,1000000*H40/TrRoad_act!H80)</f>
        <v>34625.838108032709</v>
      </c>
      <c r="I131" s="116">
        <f>IF(I40=0,0,1000000*I40/TrRoad_act!I80)</f>
        <v>35397.017257459418</v>
      </c>
      <c r="J131" s="116">
        <f>IF(J40=0,0,1000000*J40/TrRoad_act!J80)</f>
        <v>33264.84677950952</v>
      </c>
      <c r="K131" s="116">
        <f>IF(K40=0,0,1000000*K40/TrRoad_act!K80)</f>
        <v>29350.947793218751</v>
      </c>
      <c r="L131" s="116">
        <f>IF(L40=0,0,1000000*L40/TrRoad_act!L80)</f>
        <v>29770.304467919294</v>
      </c>
      <c r="M131" s="116">
        <f>IF(M40=0,0,1000000*M40/TrRoad_act!M80)</f>
        <v>29978.093284391834</v>
      </c>
      <c r="N131" s="116">
        <f>IF(N40=0,0,1000000*N40/TrRoad_act!N80)</f>
        <v>32629.279110377924</v>
      </c>
      <c r="O131" s="116">
        <f>IF(O40=0,0,1000000*O40/TrRoad_act!O80)</f>
        <v>33738.562340477998</v>
      </c>
      <c r="P131" s="116">
        <f>IF(P40=0,0,1000000*P40/TrRoad_act!P80)</f>
        <v>27678.195178757545</v>
      </c>
      <c r="Q131" s="116">
        <f>IF(Q40=0,0,1000000*Q40/TrRoad_act!Q80)</f>
        <v>28658.228431007487</v>
      </c>
      <c r="R131" s="116">
        <f>IF(R40=0,0,1000000*R40/TrRoad_act!R80)</f>
        <v>29565.025753579899</v>
      </c>
      <c r="S131" s="116">
        <f>IF(S40=0,0,1000000*S40/TrRoad_act!S80)</f>
        <v>25689.826431940852</v>
      </c>
      <c r="T131" s="116">
        <f>IF(T40=0,0,1000000*T40/TrRoad_act!T80)</f>
        <v>23387.066580337236</v>
      </c>
      <c r="U131" s="116">
        <f>IF(U40=0,0,1000000*U40/TrRoad_act!U80)</f>
        <v>20535.96436115188</v>
      </c>
      <c r="V131" s="116">
        <f>IF(V40=0,0,1000000*V40/TrRoad_act!V80)</f>
        <v>19028.105618040536</v>
      </c>
      <c r="W131" s="116">
        <f>IF(W40=0,0,1000000*W40/TrRoad_act!W80)</f>
        <v>20743.491427715737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15412.298169730344</v>
      </c>
      <c r="C132" s="101">
        <f>IF(C41=0,0,1000000*C41/TrRoad_act!C81)</f>
        <v>18301.078733432856</v>
      </c>
      <c r="D132" s="101">
        <f>IF(D41=0,0,1000000*D41/TrRoad_act!D81)</f>
        <v>17434.874345078893</v>
      </c>
      <c r="E132" s="101">
        <f>IF(E41=0,0,1000000*E41/TrRoad_act!E81)</f>
        <v>21127.746536968109</v>
      </c>
      <c r="F132" s="101">
        <f>IF(F41=0,0,1000000*F41/TrRoad_act!F81)</f>
        <v>27793.576775951562</v>
      </c>
      <c r="G132" s="101">
        <f>IF(G41=0,0,1000000*G41/TrRoad_act!G81)</f>
        <v>29055.395208929316</v>
      </c>
      <c r="H132" s="101">
        <f>IF(H41=0,0,1000000*H41/TrRoad_act!H81)</f>
        <v>28917.920242967313</v>
      </c>
      <c r="I132" s="101">
        <f>IF(I41=0,0,1000000*I41/TrRoad_act!I81)</f>
        <v>29332.08117022859</v>
      </c>
      <c r="J132" s="101">
        <f>IF(J41=0,0,1000000*J41/TrRoad_act!J81)</f>
        <v>27793.508937519924</v>
      </c>
      <c r="K132" s="101">
        <f>IF(K41=0,0,1000000*K41/TrRoad_act!K81)</f>
        <v>23713.447468346705</v>
      </c>
      <c r="L132" s="101">
        <f>IF(L41=0,0,1000000*L41/TrRoad_act!L81)</f>
        <v>24703.425690046603</v>
      </c>
      <c r="M132" s="101">
        <f>IF(M41=0,0,1000000*M41/TrRoad_act!M81)</f>
        <v>24471.924129690662</v>
      </c>
      <c r="N132" s="101">
        <f>IF(N41=0,0,1000000*N41/TrRoad_act!N81)</f>
        <v>26273.889442678279</v>
      </c>
      <c r="O132" s="101">
        <f>IF(O41=0,0,1000000*O41/TrRoad_act!O81)</f>
        <v>25905.623880633906</v>
      </c>
      <c r="P132" s="101">
        <f>IF(P41=0,0,1000000*P41/TrRoad_act!P81)</f>
        <v>20494.261700319556</v>
      </c>
      <c r="Q132" s="101">
        <f>IF(Q41=0,0,1000000*Q41/TrRoad_act!Q81)</f>
        <v>22813.794242674459</v>
      </c>
      <c r="R132" s="101">
        <f>IF(R41=0,0,1000000*R41/TrRoad_act!R81)</f>
        <v>22827.965097425498</v>
      </c>
      <c r="S132" s="101">
        <f>IF(S41=0,0,1000000*S41/TrRoad_act!S81)</f>
        <v>19787.840511826274</v>
      </c>
      <c r="T132" s="101">
        <f>IF(T41=0,0,1000000*T41/TrRoad_act!T81)</f>
        <v>17681.002071845152</v>
      </c>
      <c r="U132" s="101">
        <f>IF(U41=0,0,1000000*U41/TrRoad_act!U81)</f>
        <v>15207.849542724776</v>
      </c>
      <c r="V132" s="101">
        <f>IF(V41=0,0,1000000*V41/TrRoad_act!V81)</f>
        <v>13988.048140509798</v>
      </c>
      <c r="W132" s="101">
        <f>IF(W41=0,0,1000000*W41/TrRoad_act!W81)</f>
        <v>14992.105005334981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102230.9331951918</v>
      </c>
      <c r="C133" s="88">
        <f>IF(C42=0,0,1000000*C42/TrRoad_act!C82)</f>
        <v>106055.6186510485</v>
      </c>
      <c r="D133" s="88">
        <f>IF(D42=0,0,1000000*D42/TrRoad_act!D82)</f>
        <v>107072.31839625382</v>
      </c>
      <c r="E133" s="88">
        <f>IF(E42=0,0,1000000*E42/TrRoad_act!E82)</f>
        <v>126046.92471509826</v>
      </c>
      <c r="F133" s="88">
        <f>IF(F42=0,0,1000000*F42/TrRoad_act!F82)</f>
        <v>122961.65835438752</v>
      </c>
      <c r="G133" s="88">
        <f>IF(G42=0,0,1000000*G42/TrRoad_act!G82)</f>
        <v>121003.31806833867</v>
      </c>
      <c r="H133" s="88">
        <f>IF(H42=0,0,1000000*H42/TrRoad_act!H82)</f>
        <v>119180.75410047777</v>
      </c>
      <c r="I133" s="88">
        <f>IF(I42=0,0,1000000*I42/TrRoad_act!I82)</f>
        <v>117444.05025847876</v>
      </c>
      <c r="J133" s="88">
        <f>IF(J42=0,0,1000000*J42/TrRoad_act!J82)</f>
        <v>121824.97827707767</v>
      </c>
      <c r="K133" s="88">
        <f>IF(K42=0,0,1000000*K42/TrRoad_act!K82)</f>
        <v>121430.45732078579</v>
      </c>
      <c r="L133" s="88">
        <f>IF(L42=0,0,1000000*L42/TrRoad_act!L82)</f>
        <v>120540.39362091606</v>
      </c>
      <c r="M133" s="88">
        <f>IF(M42=0,0,1000000*M42/TrRoad_act!M82)</f>
        <v>118019.81080524315</v>
      </c>
      <c r="N133" s="88">
        <f>IF(N42=0,0,1000000*N42/TrRoad_act!N82)</f>
        <v>132569.90778595506</v>
      </c>
      <c r="O133" s="88">
        <f>IF(O42=0,0,1000000*O42/TrRoad_act!O82)</f>
        <v>132537.44043462203</v>
      </c>
      <c r="P133" s="88">
        <f>IF(P42=0,0,1000000*P42/TrRoad_act!P82)</f>
        <v>127505.95599997626</v>
      </c>
      <c r="Q133" s="88">
        <f>IF(Q42=0,0,1000000*Q42/TrRoad_act!Q82)</f>
        <v>119126.85000823149</v>
      </c>
      <c r="R133" s="88">
        <f>IF(R42=0,0,1000000*R42/TrRoad_act!R82)</f>
        <v>122195.28859016259</v>
      </c>
      <c r="S133" s="88">
        <f>IF(S42=0,0,1000000*S42/TrRoad_act!S82)</f>
        <v>120620.51218736172</v>
      </c>
      <c r="T133" s="88">
        <f>IF(T42=0,0,1000000*T42/TrRoad_act!T82)</f>
        <v>119180.15936270157</v>
      </c>
      <c r="U133" s="88">
        <f>IF(U42=0,0,1000000*U42/TrRoad_act!U82)</f>
        <v>124170.47605955285</v>
      </c>
      <c r="V133" s="88">
        <f>IF(V42=0,0,1000000*V42/TrRoad_act!V82)</f>
        <v>126166.17622292534</v>
      </c>
      <c r="W133" s="88">
        <f>IF(W42=0,0,1000000*W42/TrRoad_act!W82)</f>
        <v>120009.18117072996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0.57276632510695746</v>
      </c>
      <c r="C136" s="46">
        <f t="shared" si="40"/>
        <v>0.56861586940238129</v>
      </c>
      <c r="D136" s="46">
        <f t="shared" si="40"/>
        <v>0.58626175998392871</v>
      </c>
      <c r="E136" s="46">
        <f t="shared" si="40"/>
        <v>0.59595271900508617</v>
      </c>
      <c r="F136" s="46">
        <f t="shared" si="40"/>
        <v>0.59801103464952188</v>
      </c>
      <c r="G136" s="46">
        <f t="shared" si="40"/>
        <v>0.59317095806514575</v>
      </c>
      <c r="H136" s="46">
        <f t="shared" si="40"/>
        <v>0.5974759039480807</v>
      </c>
      <c r="I136" s="46">
        <f t="shared" si="40"/>
        <v>0.6042286624351072</v>
      </c>
      <c r="J136" s="46">
        <f t="shared" si="40"/>
        <v>0.61234986927672241</v>
      </c>
      <c r="K136" s="46">
        <f t="shared" si="40"/>
        <v>0.62713157868247527</v>
      </c>
      <c r="L136" s="46">
        <f t="shared" si="41"/>
        <v>0.6337277649834937</v>
      </c>
      <c r="M136" s="46">
        <f t="shared" si="40"/>
        <v>0.64242200487149914</v>
      </c>
      <c r="N136" s="46">
        <f t="shared" si="40"/>
        <v>0.66299249170217545</v>
      </c>
      <c r="O136" s="46">
        <f t="shared" si="40"/>
        <v>0.67389740177708513</v>
      </c>
      <c r="P136" s="46">
        <f t="shared" si="40"/>
        <v>0.67906467552790373</v>
      </c>
      <c r="Q136" s="46">
        <f t="shared" si="40"/>
        <v>0.67774643837824189</v>
      </c>
      <c r="R136" s="46">
        <f t="shared" si="40"/>
        <v>0.68037196703114322</v>
      </c>
      <c r="S136" s="46">
        <f t="shared" si="40"/>
        <v>0.6847932374345127</v>
      </c>
      <c r="T136" s="46">
        <f t="shared" si="40"/>
        <v>0.68777257634409428</v>
      </c>
      <c r="U136" s="46">
        <f t="shared" si="40"/>
        <v>0.69103875071121301</v>
      </c>
      <c r="V136" s="46">
        <f t="shared" si="40"/>
        <v>0.68962680692734812</v>
      </c>
      <c r="W136" s="46">
        <f t="shared" si="42"/>
        <v>0.68800748200639561</v>
      </c>
      <c r="DA136" s="211"/>
    </row>
    <row r="137" spans="1:105" ht="11.45" customHeight="1" x14ac:dyDescent="0.25">
      <c r="A137" s="153" t="s">
        <v>180</v>
      </c>
      <c r="B137" s="154">
        <f t="shared" si="40"/>
        <v>9.3366115446781531E-3</v>
      </c>
      <c r="C137" s="154">
        <f t="shared" si="40"/>
        <v>9.3503903943980074E-3</v>
      </c>
      <c r="D137" s="154">
        <f t="shared" si="40"/>
        <v>9.7332437705305568E-3</v>
      </c>
      <c r="E137" s="154">
        <f t="shared" si="40"/>
        <v>9.5820027669191975E-3</v>
      </c>
      <c r="F137" s="154">
        <f t="shared" si="40"/>
        <v>9.8978669829968176E-3</v>
      </c>
      <c r="G137" s="154">
        <f t="shared" si="40"/>
        <v>1.077422959670111E-2</v>
      </c>
      <c r="H137" s="154">
        <f t="shared" si="40"/>
        <v>1.1317455521268749E-2</v>
      </c>
      <c r="I137" s="154">
        <f t="shared" si="40"/>
        <v>1.0769396904232238E-2</v>
      </c>
      <c r="J137" s="154">
        <f t="shared" si="40"/>
        <v>1.0781442191149161E-2</v>
      </c>
      <c r="K137" s="154">
        <f t="shared" si="40"/>
        <v>1.0220164755662202E-2</v>
      </c>
      <c r="L137" s="154">
        <f t="shared" si="41"/>
        <v>9.8163068395476973E-3</v>
      </c>
      <c r="M137" s="154">
        <f t="shared" si="40"/>
        <v>1.0152063333130354E-2</v>
      </c>
      <c r="N137" s="154">
        <f t="shared" si="40"/>
        <v>1.0996531539575978E-2</v>
      </c>
      <c r="O137" s="154">
        <f t="shared" si="40"/>
        <v>1.0828649960137332E-2</v>
      </c>
      <c r="P137" s="154">
        <f t="shared" si="40"/>
        <v>1.0321200824386511E-2</v>
      </c>
      <c r="Q137" s="154">
        <f t="shared" si="40"/>
        <v>9.7322681927290433E-3</v>
      </c>
      <c r="R137" s="154">
        <f t="shared" si="40"/>
        <v>1.0106593401903391E-2</v>
      </c>
      <c r="S137" s="154">
        <f t="shared" si="40"/>
        <v>9.7355647726372584E-3</v>
      </c>
      <c r="T137" s="154">
        <f t="shared" si="40"/>
        <v>9.1566930297780538E-3</v>
      </c>
      <c r="U137" s="154">
        <f t="shared" si="40"/>
        <v>9.4518566802037022E-3</v>
      </c>
      <c r="V137" s="154">
        <f t="shared" si="40"/>
        <v>9.8129861853681177E-3</v>
      </c>
      <c r="W137" s="154">
        <f t="shared" si="42"/>
        <v>8.7108589008231593E-3</v>
      </c>
      <c r="DA137" s="212"/>
    </row>
    <row r="138" spans="1:105" ht="11.45" customHeight="1" x14ac:dyDescent="0.25">
      <c r="A138" s="155" t="s">
        <v>20</v>
      </c>
      <c r="B138" s="156">
        <f t="shared" si="40"/>
        <v>0.50548367799134708</v>
      </c>
      <c r="C138" s="156">
        <f t="shared" si="40"/>
        <v>0.50232663650835763</v>
      </c>
      <c r="D138" s="156">
        <f t="shared" si="40"/>
        <v>0.52122504235507683</v>
      </c>
      <c r="E138" s="156">
        <f t="shared" si="40"/>
        <v>0.53519655448905223</v>
      </c>
      <c r="F138" s="156">
        <f t="shared" si="40"/>
        <v>0.53949543891368046</v>
      </c>
      <c r="G138" s="156">
        <f t="shared" si="40"/>
        <v>0.55080479283613604</v>
      </c>
      <c r="H138" s="156">
        <f t="shared" si="40"/>
        <v>0.55481753066100048</v>
      </c>
      <c r="I138" s="156">
        <f t="shared" si="40"/>
        <v>0.56133471997351969</v>
      </c>
      <c r="J138" s="156">
        <f t="shared" si="40"/>
        <v>0.56839789460042267</v>
      </c>
      <c r="K138" s="156">
        <f t="shared" si="40"/>
        <v>0.58285200034244289</v>
      </c>
      <c r="L138" s="156">
        <f t="shared" si="41"/>
        <v>0.58908466405996551</v>
      </c>
      <c r="M138" s="156">
        <f t="shared" si="40"/>
        <v>0.59484290394262584</v>
      </c>
      <c r="N138" s="156">
        <f t="shared" si="40"/>
        <v>0.61912796312189056</v>
      </c>
      <c r="O138" s="156">
        <f t="shared" si="40"/>
        <v>0.63090949082594905</v>
      </c>
      <c r="P138" s="156">
        <f t="shared" si="40"/>
        <v>0.62979076775325094</v>
      </c>
      <c r="Q138" s="156">
        <f t="shared" si="40"/>
        <v>0.62896322725239151</v>
      </c>
      <c r="R138" s="156">
        <f t="shared" si="40"/>
        <v>0.62954411175451785</v>
      </c>
      <c r="S138" s="156">
        <f t="shared" si="40"/>
        <v>0.63350280795643399</v>
      </c>
      <c r="T138" s="156">
        <f t="shared" si="40"/>
        <v>0.63492903205524942</v>
      </c>
      <c r="U138" s="156">
        <f t="shared" si="40"/>
        <v>0.64225057305788857</v>
      </c>
      <c r="V138" s="156">
        <f t="shared" si="40"/>
        <v>0.64432425588037168</v>
      </c>
      <c r="W138" s="156">
        <f t="shared" si="42"/>
        <v>0.63803594340085723</v>
      </c>
      <c r="DA138" s="213"/>
    </row>
    <row r="139" spans="1:105" ht="11.45" customHeight="1" x14ac:dyDescent="0.25">
      <c r="A139" s="157" t="s">
        <v>110</v>
      </c>
      <c r="B139" s="103">
        <f t="shared" si="40"/>
        <v>0.36847409197776576</v>
      </c>
      <c r="C139" s="103">
        <f t="shared" si="40"/>
        <v>0.34058114143687329</v>
      </c>
      <c r="D139" s="103">
        <f t="shared" si="40"/>
        <v>0.34252539021725292</v>
      </c>
      <c r="E139" s="103">
        <f t="shared" si="40"/>
        <v>0.31250015997006275</v>
      </c>
      <c r="F139" s="103">
        <f t="shared" si="40"/>
        <v>0.2911725858951153</v>
      </c>
      <c r="G139" s="103">
        <f t="shared" si="40"/>
        <v>0.28410316723438955</v>
      </c>
      <c r="H139" s="103">
        <f t="shared" si="40"/>
        <v>0.26357503308846231</v>
      </c>
      <c r="I139" s="103">
        <f t="shared" si="40"/>
        <v>0.24947192923455291</v>
      </c>
      <c r="J139" s="103">
        <f t="shared" si="40"/>
        <v>0.23238142703662909</v>
      </c>
      <c r="K139" s="103">
        <f t="shared" si="40"/>
        <v>0.23305013464086222</v>
      </c>
      <c r="L139" s="103">
        <f t="shared" si="41"/>
        <v>0.22436156395557311</v>
      </c>
      <c r="M139" s="103">
        <f t="shared" si="40"/>
        <v>0.21711730263152401</v>
      </c>
      <c r="N139" s="103">
        <f t="shared" si="40"/>
        <v>0.21337009634946794</v>
      </c>
      <c r="O139" s="103">
        <f t="shared" si="40"/>
        <v>0.21148934304684885</v>
      </c>
      <c r="P139" s="103">
        <f t="shared" si="40"/>
        <v>0.20752632376951097</v>
      </c>
      <c r="Q139" s="103">
        <f t="shared" si="40"/>
        <v>0.19894895243654226</v>
      </c>
      <c r="R139" s="103">
        <f t="shared" si="40"/>
        <v>0.18886933564944242</v>
      </c>
      <c r="S139" s="103">
        <f t="shared" si="40"/>
        <v>0.18488614792729283</v>
      </c>
      <c r="T139" s="103">
        <f t="shared" si="40"/>
        <v>0.18228578454117267</v>
      </c>
      <c r="U139" s="103">
        <f t="shared" si="40"/>
        <v>0.18300281835731916</v>
      </c>
      <c r="V139" s="103">
        <f t="shared" si="40"/>
        <v>0.1789118649841287</v>
      </c>
      <c r="W139" s="103">
        <f t="shared" si="42"/>
        <v>0.18244411973271624</v>
      </c>
      <c r="DA139" s="191"/>
    </row>
    <row r="140" spans="1:105" ht="11.45" customHeight="1" x14ac:dyDescent="0.25">
      <c r="A140" s="157" t="s">
        <v>111</v>
      </c>
      <c r="B140" s="103">
        <f t="shared" si="40"/>
        <v>0.13378912646579461</v>
      </c>
      <c r="C140" s="103">
        <f t="shared" si="40"/>
        <v>0.1585515818542238</v>
      </c>
      <c r="D140" s="103">
        <f t="shared" si="40"/>
        <v>0.17576247271061102</v>
      </c>
      <c r="E140" s="103">
        <f t="shared" si="40"/>
        <v>0.21978173716672436</v>
      </c>
      <c r="F140" s="103">
        <f t="shared" si="40"/>
        <v>0.24546795351647099</v>
      </c>
      <c r="G140" s="103">
        <f t="shared" si="40"/>
        <v>0.26339179317690115</v>
      </c>
      <c r="H140" s="103">
        <f t="shared" si="40"/>
        <v>0.28806001299822037</v>
      </c>
      <c r="I140" s="103">
        <f t="shared" si="40"/>
        <v>0.30855569549695755</v>
      </c>
      <c r="J140" s="103">
        <f t="shared" si="40"/>
        <v>0.33240219691804146</v>
      </c>
      <c r="K140" s="103">
        <f t="shared" si="40"/>
        <v>0.34513458180727341</v>
      </c>
      <c r="L140" s="103">
        <f t="shared" si="41"/>
        <v>0.36014493957205834</v>
      </c>
      <c r="M140" s="103">
        <f t="shared" si="40"/>
        <v>0.37347525547750465</v>
      </c>
      <c r="N140" s="103">
        <f t="shared" si="40"/>
        <v>0.39994182369458298</v>
      </c>
      <c r="O140" s="103">
        <f t="shared" si="40"/>
        <v>0.41311405815292951</v>
      </c>
      <c r="P140" s="103">
        <f t="shared" si="40"/>
        <v>0.41585659966947286</v>
      </c>
      <c r="Q140" s="103">
        <f t="shared" si="40"/>
        <v>0.42322265985085</v>
      </c>
      <c r="R140" s="103">
        <f t="shared" si="40"/>
        <v>0.43387106189172364</v>
      </c>
      <c r="S140" s="103">
        <f t="shared" si="40"/>
        <v>0.44185644206393726</v>
      </c>
      <c r="T140" s="103">
        <f t="shared" si="40"/>
        <v>0.44584483503996825</v>
      </c>
      <c r="U140" s="103">
        <f t="shared" si="40"/>
        <v>0.45224741807407626</v>
      </c>
      <c r="V140" s="103">
        <f t="shared" si="40"/>
        <v>0.45888506117706501</v>
      </c>
      <c r="W140" s="103">
        <f t="shared" si="42"/>
        <v>0.44867094984001499</v>
      </c>
      <c r="DA140" s="191"/>
    </row>
    <row r="141" spans="1:105" ht="11.45" customHeight="1" x14ac:dyDescent="0.25">
      <c r="A141" s="157" t="s">
        <v>112</v>
      </c>
      <c r="B141" s="103">
        <f t="shared" si="40"/>
        <v>3.2204595477867159E-3</v>
      </c>
      <c r="C141" s="103">
        <f t="shared" si="40"/>
        <v>3.1939132172605395E-3</v>
      </c>
      <c r="D141" s="103">
        <f t="shared" si="40"/>
        <v>2.9371794272129515E-3</v>
      </c>
      <c r="E141" s="103">
        <f t="shared" si="40"/>
        <v>2.9146573522651435E-3</v>
      </c>
      <c r="F141" s="103">
        <f t="shared" si="40"/>
        <v>2.8548995020941156E-3</v>
      </c>
      <c r="G141" s="103">
        <f t="shared" si="40"/>
        <v>3.3098324248454075E-3</v>
      </c>
      <c r="H141" s="103">
        <f t="shared" si="40"/>
        <v>3.1824845743178261E-3</v>
      </c>
      <c r="I141" s="103">
        <f t="shared" si="40"/>
        <v>3.3070952420091531E-3</v>
      </c>
      <c r="J141" s="103">
        <f t="shared" si="40"/>
        <v>3.6142706457521559E-3</v>
      </c>
      <c r="K141" s="103">
        <f t="shared" si="40"/>
        <v>4.6672838943073638E-3</v>
      </c>
      <c r="L141" s="103">
        <f t="shared" si="41"/>
        <v>4.5779029326183645E-3</v>
      </c>
      <c r="M141" s="103">
        <f t="shared" si="40"/>
        <v>4.2494299528575948E-3</v>
      </c>
      <c r="N141" s="103">
        <f t="shared" si="40"/>
        <v>5.8130357636424065E-3</v>
      </c>
      <c r="O141" s="103">
        <f t="shared" si="40"/>
        <v>6.2996383878123558E-3</v>
      </c>
      <c r="P141" s="103">
        <f t="shared" si="40"/>
        <v>6.3979105954195224E-3</v>
      </c>
      <c r="Q141" s="103">
        <f t="shared" si="40"/>
        <v>6.7629630423090932E-3</v>
      </c>
      <c r="R141" s="103">
        <f t="shared" si="40"/>
        <v>6.7382422484130672E-3</v>
      </c>
      <c r="S141" s="103">
        <f t="shared" si="40"/>
        <v>6.6053182820872284E-3</v>
      </c>
      <c r="T141" s="103">
        <f t="shared" si="40"/>
        <v>6.454576787335466E-3</v>
      </c>
      <c r="U141" s="103">
        <f t="shared" si="40"/>
        <v>6.4277854741907918E-3</v>
      </c>
      <c r="V141" s="103">
        <f t="shared" si="40"/>
        <v>5.7319608073957921E-3</v>
      </c>
      <c r="W141" s="103">
        <f t="shared" si="42"/>
        <v>5.7950542898813984E-3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2.5759971570737845E-7</v>
      </c>
      <c r="M142" s="103">
        <f t="shared" si="40"/>
        <v>2.5713107794280634E-7</v>
      </c>
      <c r="N142" s="103">
        <f t="shared" si="40"/>
        <v>8.4239677262132738E-7</v>
      </c>
      <c r="O142" s="103">
        <f t="shared" si="40"/>
        <v>2.5432070335989891E-6</v>
      </c>
      <c r="P142" s="103">
        <f t="shared" si="40"/>
        <v>2.6329534834564228E-6</v>
      </c>
      <c r="Q142" s="103">
        <f t="shared" si="40"/>
        <v>3.1592138588143106E-6</v>
      </c>
      <c r="R142" s="103">
        <f t="shared" si="40"/>
        <v>3.4895145777774632E-6</v>
      </c>
      <c r="S142" s="103">
        <f t="shared" si="40"/>
        <v>4.0128366413531028E-6</v>
      </c>
      <c r="T142" s="103">
        <f t="shared" si="40"/>
        <v>4.6552062438562663E-6</v>
      </c>
      <c r="U142" s="103">
        <f t="shared" si="40"/>
        <v>8.2182246212378576E-6</v>
      </c>
      <c r="V142" s="103">
        <f t="shared" si="40"/>
        <v>1.032654786783063E-5</v>
      </c>
      <c r="W142" s="103">
        <f t="shared" si="42"/>
        <v>1.2081140282082137E-5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6.5874966167820094E-7</v>
      </c>
      <c r="N143" s="103">
        <f t="shared" si="40"/>
        <v>2.1649174243838998E-6</v>
      </c>
      <c r="O143" s="103">
        <f t="shared" si="40"/>
        <v>3.9080313247682896E-6</v>
      </c>
      <c r="P143" s="103">
        <f t="shared" si="40"/>
        <v>7.3007653643203722E-6</v>
      </c>
      <c r="Q143" s="103">
        <f t="shared" si="40"/>
        <v>2.549270883112828E-5</v>
      </c>
      <c r="R143" s="103">
        <f t="shared" si="40"/>
        <v>6.1982450360910596E-5</v>
      </c>
      <c r="S143" s="103">
        <f t="shared" si="40"/>
        <v>1.508868464753677E-4</v>
      </c>
      <c r="T143" s="103">
        <f t="shared" si="40"/>
        <v>3.3918048052923317E-4</v>
      </c>
      <c r="U143" s="103">
        <f t="shared" si="40"/>
        <v>5.6433292768103709E-4</v>
      </c>
      <c r="V143" s="103">
        <f t="shared" si="40"/>
        <v>7.8504236391434452E-4</v>
      </c>
      <c r="W143" s="103">
        <f t="shared" si="42"/>
        <v>1.1137383979626036E-3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5.7946035570932225E-2</v>
      </c>
      <c r="C145" s="156">
        <f t="shared" si="40"/>
        <v>5.6938842499625657E-2</v>
      </c>
      <c r="D145" s="156">
        <f t="shared" si="40"/>
        <v>5.5303473858321253E-2</v>
      </c>
      <c r="E145" s="156">
        <f t="shared" si="40"/>
        <v>5.1174161749114815E-2</v>
      </c>
      <c r="F145" s="156">
        <f t="shared" si="40"/>
        <v>4.8617728752844695E-2</v>
      </c>
      <c r="G145" s="156">
        <f t="shared" si="40"/>
        <v>3.1591935632308589E-2</v>
      </c>
      <c r="H145" s="156">
        <f t="shared" si="40"/>
        <v>3.1340917765811459E-2</v>
      </c>
      <c r="I145" s="156">
        <f t="shared" si="40"/>
        <v>3.2124545557355277E-2</v>
      </c>
      <c r="J145" s="156">
        <f t="shared" si="40"/>
        <v>3.3170532485150589E-2</v>
      </c>
      <c r="K145" s="156">
        <f t="shared" si="40"/>
        <v>3.4059413584370202E-2</v>
      </c>
      <c r="L145" s="156">
        <f t="shared" si="41"/>
        <v>3.4826794083980477E-2</v>
      </c>
      <c r="M145" s="156">
        <f t="shared" si="40"/>
        <v>3.7427037595742924E-2</v>
      </c>
      <c r="N145" s="156">
        <f t="shared" si="40"/>
        <v>3.2867997040708967E-2</v>
      </c>
      <c r="O145" s="156">
        <f t="shared" si="40"/>
        <v>3.215926099099873E-2</v>
      </c>
      <c r="P145" s="156">
        <f t="shared" si="40"/>
        <v>3.8952706950266265E-2</v>
      </c>
      <c r="Q145" s="156">
        <f t="shared" si="40"/>
        <v>3.9050942933121308E-2</v>
      </c>
      <c r="R145" s="156">
        <f t="shared" si="40"/>
        <v>4.0721261874721922E-2</v>
      </c>
      <c r="S145" s="156">
        <f t="shared" si="40"/>
        <v>4.1554864705441411E-2</v>
      </c>
      <c r="T145" s="156">
        <f t="shared" si="40"/>
        <v>4.368685125906685E-2</v>
      </c>
      <c r="U145" s="156">
        <f t="shared" si="40"/>
        <v>3.9336320973120752E-2</v>
      </c>
      <c r="V145" s="156">
        <f t="shared" si="40"/>
        <v>3.5489564861608383E-2</v>
      </c>
      <c r="W145" s="156">
        <f t="shared" si="42"/>
        <v>4.1260679704715218E-2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1.5538005871719597E-6</v>
      </c>
      <c r="M146" s="103">
        <f t="shared" si="40"/>
        <v>1.7238284322841799E-6</v>
      </c>
      <c r="N146" s="103">
        <f t="shared" si="40"/>
        <v>1.9168158765347446E-6</v>
      </c>
      <c r="O146" s="103">
        <f t="shared" si="40"/>
        <v>2.2250987677531406E-6</v>
      </c>
      <c r="P146" s="103">
        <f t="shared" si="40"/>
        <v>2.1934785887711317E-6</v>
      </c>
      <c r="Q146" s="103">
        <f t="shared" si="40"/>
        <v>2.5112136125175397E-6</v>
      </c>
      <c r="R146" s="103">
        <f t="shared" si="40"/>
        <v>2.8155294158731987E-6</v>
      </c>
      <c r="S146" s="103">
        <f t="shared" si="40"/>
        <v>2.4959464524349578E-6</v>
      </c>
      <c r="T146" s="103">
        <f t="shared" si="40"/>
        <v>2.591152640472184E-6</v>
      </c>
      <c r="U146" s="103">
        <f t="shared" si="40"/>
        <v>2.1604417928778184E-6</v>
      </c>
      <c r="V146" s="103">
        <f t="shared" si="40"/>
        <v>1.970606374090067E-6</v>
      </c>
      <c r="W146" s="103">
        <f t="shared" si="42"/>
        <v>2.3233319174428147E-6</v>
      </c>
      <c r="DA146" s="191"/>
    </row>
    <row r="147" spans="1:105" ht="11.45" customHeight="1" x14ac:dyDescent="0.25">
      <c r="A147" s="157" t="s">
        <v>111</v>
      </c>
      <c r="B147" s="103">
        <f t="shared" si="40"/>
        <v>5.7793966132804311E-2</v>
      </c>
      <c r="C147" s="103">
        <f t="shared" si="40"/>
        <v>5.6333908754857928E-2</v>
      </c>
      <c r="D147" s="103">
        <f t="shared" si="40"/>
        <v>5.4402714301553766E-2</v>
      </c>
      <c r="E147" s="103">
        <f t="shared" si="40"/>
        <v>5.0068256103021014E-2</v>
      </c>
      <c r="F147" s="103">
        <f t="shared" si="40"/>
        <v>4.7497018740723713E-2</v>
      </c>
      <c r="G147" s="103">
        <f t="shared" si="40"/>
        <v>3.0208306631488057E-2</v>
      </c>
      <c r="H147" s="103">
        <f t="shared" si="40"/>
        <v>3.0034700332106326E-2</v>
      </c>
      <c r="I147" s="103">
        <f t="shared" si="40"/>
        <v>3.0655918300349271E-2</v>
      </c>
      <c r="J147" s="103">
        <f t="shared" si="40"/>
        <v>3.1643755556922747E-2</v>
      </c>
      <c r="K147" s="103">
        <f t="shared" si="40"/>
        <v>3.2504620002295093E-2</v>
      </c>
      <c r="L147" s="103">
        <f t="shared" si="41"/>
        <v>3.3168607155047179E-2</v>
      </c>
      <c r="M147" s="103">
        <f t="shared" si="40"/>
        <v>3.5639214168873258E-2</v>
      </c>
      <c r="N147" s="103">
        <f t="shared" si="40"/>
        <v>3.1010479075672098E-2</v>
      </c>
      <c r="O147" s="103">
        <f t="shared" si="40"/>
        <v>3.0209159685731606E-2</v>
      </c>
      <c r="P147" s="103">
        <f t="shared" si="40"/>
        <v>3.7071676088087063E-2</v>
      </c>
      <c r="Q147" s="103">
        <f t="shared" si="40"/>
        <v>3.6868441468706881E-2</v>
      </c>
      <c r="R147" s="103">
        <f t="shared" ref="R147:V147" si="43">IF(R29=0,0,R29/R$17)</f>
        <v>3.8639882910079783E-2</v>
      </c>
      <c r="S147" s="103">
        <f t="shared" si="43"/>
        <v>3.9395233591004566E-2</v>
      </c>
      <c r="T147" s="103">
        <f t="shared" si="43"/>
        <v>4.1335574833457449E-2</v>
      </c>
      <c r="U147" s="103">
        <f t="shared" si="43"/>
        <v>3.6856536541971165E-2</v>
      </c>
      <c r="V147" s="103">
        <f t="shared" si="43"/>
        <v>3.2121515878095912E-2</v>
      </c>
      <c r="W147" s="103">
        <f t="shared" ref="W147" si="44">IF(W29=0,0,W29/W$17)</f>
        <v>3.754310201167127E-2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3.4561459154428716E-6</v>
      </c>
      <c r="M148" s="103">
        <f t="shared" ref="M148:V148" si="47">IF(M30=0,0,M30/M$17)</f>
        <v>3.8343418353361113E-6</v>
      </c>
      <c r="N148" s="103">
        <f t="shared" si="47"/>
        <v>2.8455056015901439E-6</v>
      </c>
      <c r="O148" s="103">
        <f t="shared" si="47"/>
        <v>2.8575898147345051E-6</v>
      </c>
      <c r="P148" s="103">
        <f t="shared" si="47"/>
        <v>5.7074103686961909E-6</v>
      </c>
      <c r="Q148" s="103">
        <f t="shared" si="47"/>
        <v>5.8721621153181034E-6</v>
      </c>
      <c r="R148" s="103">
        <f t="shared" si="47"/>
        <v>7.4509128963302152E-6</v>
      </c>
      <c r="S148" s="103">
        <f t="shared" si="47"/>
        <v>7.3045420814725823E-6</v>
      </c>
      <c r="T148" s="103">
        <f t="shared" si="47"/>
        <v>7.6021836006522218E-6</v>
      </c>
      <c r="U148" s="103">
        <f t="shared" si="47"/>
        <v>5.711764325874394E-6</v>
      </c>
      <c r="V148" s="103">
        <f t="shared" si="47"/>
        <v>4.7286165190225957E-6</v>
      </c>
      <c r="W148" s="103">
        <f t="shared" ref="W148" si="48">IF(W30=0,0,W30/W$17)</f>
        <v>5.6313690539640398E-6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1.5206943812791173E-4</v>
      </c>
      <c r="C149" s="103">
        <f t="shared" si="49"/>
        <v>6.049337447677286E-4</v>
      </c>
      <c r="D149" s="103">
        <f t="shared" si="49"/>
        <v>9.0075955676749029E-4</v>
      </c>
      <c r="E149" s="103">
        <f t="shared" si="49"/>
        <v>1.1059056460937953E-3</v>
      </c>
      <c r="F149" s="103">
        <f t="shared" si="49"/>
        <v>1.1207100121209822E-3</v>
      </c>
      <c r="G149" s="103">
        <f t="shared" si="49"/>
        <v>1.3836290008205332E-3</v>
      </c>
      <c r="H149" s="103">
        <f t="shared" si="49"/>
        <v>1.306217433705136E-3</v>
      </c>
      <c r="I149" s="103">
        <f t="shared" si="49"/>
        <v>1.4686272570060106E-3</v>
      </c>
      <c r="J149" s="103">
        <f t="shared" si="49"/>
        <v>1.5267769282278347E-3</v>
      </c>
      <c r="K149" s="103">
        <f t="shared" si="49"/>
        <v>1.5547935820751084E-3</v>
      </c>
      <c r="L149" s="103">
        <f t="shared" si="46"/>
        <v>1.6531769824306853E-3</v>
      </c>
      <c r="M149" s="103">
        <f t="shared" ref="M149:V149" si="50">IF(M31=0,0,M31/M$17)</f>
        <v>1.7822652566020409E-3</v>
      </c>
      <c r="N149" s="103">
        <f t="shared" si="50"/>
        <v>1.8527556435587486E-3</v>
      </c>
      <c r="O149" s="103">
        <f t="shared" si="50"/>
        <v>1.9450186166846363E-3</v>
      </c>
      <c r="P149" s="103">
        <f t="shared" si="50"/>
        <v>1.8731299732217366E-3</v>
      </c>
      <c r="Q149" s="103">
        <f t="shared" si="50"/>
        <v>2.1741180886865898E-3</v>
      </c>
      <c r="R149" s="103">
        <f t="shared" si="50"/>
        <v>2.0711125223299375E-3</v>
      </c>
      <c r="S149" s="103">
        <f t="shared" si="50"/>
        <v>2.1498306259029338E-3</v>
      </c>
      <c r="T149" s="103">
        <f t="shared" si="50"/>
        <v>2.3410830893682778E-3</v>
      </c>
      <c r="U149" s="103">
        <f t="shared" si="50"/>
        <v>2.4719122250308396E-3</v>
      </c>
      <c r="V149" s="103">
        <f t="shared" si="50"/>
        <v>3.3613497606193609E-3</v>
      </c>
      <c r="W149" s="103">
        <f t="shared" ref="W149" si="51">IF(W31=0,0,W31/W$17)</f>
        <v>3.7096229920725449E-3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0.42723367489304259</v>
      </c>
      <c r="C151" s="46">
        <f t="shared" si="55"/>
        <v>0.43138413059761876</v>
      </c>
      <c r="D151" s="46">
        <f t="shared" si="55"/>
        <v>0.41373824001607123</v>
      </c>
      <c r="E151" s="46">
        <f t="shared" si="55"/>
        <v>0.40404728099491372</v>
      </c>
      <c r="F151" s="46">
        <f t="shared" si="55"/>
        <v>0.40198896535047807</v>
      </c>
      <c r="G151" s="46">
        <f t="shared" si="55"/>
        <v>0.40682904193485431</v>
      </c>
      <c r="H151" s="46">
        <f t="shared" si="55"/>
        <v>0.4025240960519193</v>
      </c>
      <c r="I151" s="46">
        <f t="shared" si="55"/>
        <v>0.3957713375648928</v>
      </c>
      <c r="J151" s="46">
        <f t="shared" si="55"/>
        <v>0.38765013072327759</v>
      </c>
      <c r="K151" s="46">
        <f t="shared" si="55"/>
        <v>0.37286842131752479</v>
      </c>
      <c r="L151" s="46">
        <f t="shared" ref="L151" si="56">IF(L33=0,0,L33/L$17)</f>
        <v>0.36627223501650624</v>
      </c>
      <c r="M151" s="46">
        <f t="shared" ref="M151:V151" si="57">IF(M33=0,0,M33/M$17)</f>
        <v>0.35757799512850086</v>
      </c>
      <c r="N151" s="46">
        <f t="shared" si="57"/>
        <v>0.33700750829782461</v>
      </c>
      <c r="O151" s="46">
        <f t="shared" si="57"/>
        <v>0.32610259822291487</v>
      </c>
      <c r="P151" s="46">
        <f t="shared" si="57"/>
        <v>0.32093532447209627</v>
      </c>
      <c r="Q151" s="46">
        <f t="shared" si="57"/>
        <v>0.32225356162175811</v>
      </c>
      <c r="R151" s="46">
        <f t="shared" si="57"/>
        <v>0.31962803296885678</v>
      </c>
      <c r="S151" s="46">
        <f t="shared" si="57"/>
        <v>0.3152067625654873</v>
      </c>
      <c r="T151" s="46">
        <f t="shared" si="57"/>
        <v>0.31222742365590572</v>
      </c>
      <c r="U151" s="46">
        <f t="shared" si="57"/>
        <v>0.30896124928878699</v>
      </c>
      <c r="V151" s="46">
        <f t="shared" si="57"/>
        <v>0.31037319307265193</v>
      </c>
      <c r="W151" s="46">
        <f t="shared" ref="W151" si="58">IF(W33=0,0,W33/W$17)</f>
        <v>0.31199251799360439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0.31898108444024637</v>
      </c>
      <c r="C152" s="154">
        <f t="shared" si="59"/>
        <v>0.30361332997226576</v>
      </c>
      <c r="D152" s="154">
        <f t="shared" si="59"/>
        <v>0.29422666404483916</v>
      </c>
      <c r="E152" s="154">
        <f t="shared" si="59"/>
        <v>0.27185285300110568</v>
      </c>
      <c r="F152" s="154">
        <f t="shared" si="59"/>
        <v>0.24640730387534215</v>
      </c>
      <c r="G152" s="154">
        <f t="shared" si="59"/>
        <v>0.23972699036913764</v>
      </c>
      <c r="H152" s="154">
        <f t="shared" si="59"/>
        <v>0.23402696279836349</v>
      </c>
      <c r="I152" s="154">
        <f t="shared" si="59"/>
        <v>0.21995577320417972</v>
      </c>
      <c r="J152" s="154">
        <f t="shared" si="59"/>
        <v>0.21607273171361596</v>
      </c>
      <c r="K152" s="154">
        <f t="shared" si="59"/>
        <v>0.21600578223282071</v>
      </c>
      <c r="L152" s="154">
        <f t="shared" ref="L152" si="60">IF(L34=0,0,L34/L$17)</f>
        <v>0.20701895221695399</v>
      </c>
      <c r="M152" s="154">
        <f t="shared" ref="M152:V152" si="61">IF(M34=0,0,M34/M$17)</f>
        <v>0.19396162114526419</v>
      </c>
      <c r="N152" s="154">
        <f t="shared" si="61"/>
        <v>0.1784169285140475</v>
      </c>
      <c r="O152" s="154">
        <f t="shared" si="61"/>
        <v>0.17248140014191671</v>
      </c>
      <c r="P152" s="154">
        <f t="shared" si="61"/>
        <v>0.18089381044103339</v>
      </c>
      <c r="Q152" s="154">
        <f t="shared" si="61"/>
        <v>0.17758816182215606</v>
      </c>
      <c r="R152" s="154">
        <f t="shared" si="61"/>
        <v>0.17864284947032191</v>
      </c>
      <c r="S152" s="154">
        <f t="shared" si="61"/>
        <v>0.17969246341995568</v>
      </c>
      <c r="T152" s="154">
        <f t="shared" si="61"/>
        <v>0.18025665393828144</v>
      </c>
      <c r="U152" s="154">
        <f t="shared" si="61"/>
        <v>0.17744187048328916</v>
      </c>
      <c r="V152" s="154">
        <f t="shared" si="61"/>
        <v>0.17645650733014331</v>
      </c>
      <c r="W152" s="154">
        <f t="shared" ref="W152" si="62">IF(W34=0,0,W34/W$17)</f>
        <v>0.17973531223437791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3.9528610327003175E-3</v>
      </c>
      <c r="C153" s="103">
        <f t="shared" si="63"/>
        <v>3.444671425467232E-3</v>
      </c>
      <c r="D153" s="103">
        <f t="shared" si="63"/>
        <v>3.2902886587293147E-3</v>
      </c>
      <c r="E153" s="103">
        <f t="shared" si="63"/>
        <v>3.3228998240026042E-3</v>
      </c>
      <c r="F153" s="103">
        <f t="shared" si="63"/>
        <v>2.8076450645650734E-3</v>
      </c>
      <c r="G153" s="103">
        <f t="shared" si="63"/>
        <v>2.6544279184363786E-3</v>
      </c>
      <c r="H153" s="103">
        <f t="shared" si="63"/>
        <v>2.5751019580842827E-3</v>
      </c>
      <c r="I153" s="103">
        <f t="shared" si="63"/>
        <v>2.3644468535981358E-3</v>
      </c>
      <c r="J153" s="103">
        <f t="shared" si="63"/>
        <v>2.2782146893902677E-3</v>
      </c>
      <c r="K153" s="103">
        <f t="shared" si="63"/>
        <v>2.2813704773780156E-3</v>
      </c>
      <c r="L153" s="103">
        <f t="shared" ref="L153" si="64">IF(L35=0,0,L35/L$17)</f>
        <v>2.1828155698835213E-3</v>
      </c>
      <c r="M153" s="103">
        <f t="shared" ref="M153:V153" si="65">IF(M35=0,0,M35/M$17)</f>
        <v>1.8539535143394135E-3</v>
      </c>
      <c r="N153" s="103">
        <f t="shared" si="65"/>
        <v>1.725576847475965E-3</v>
      </c>
      <c r="O153" s="103">
        <f t="shared" si="65"/>
        <v>1.5466451458082604E-3</v>
      </c>
      <c r="P153" s="103">
        <f t="shared" si="65"/>
        <v>1.4473878238949374E-3</v>
      </c>
      <c r="Q153" s="103">
        <f t="shared" si="65"/>
        <v>1.53184151481937E-3</v>
      </c>
      <c r="R153" s="103">
        <f t="shared" si="65"/>
        <v>1.3577021724096795E-3</v>
      </c>
      <c r="S153" s="103">
        <f t="shared" si="65"/>
        <v>1.3601511175956316E-3</v>
      </c>
      <c r="T153" s="103">
        <f t="shared" si="65"/>
        <v>1.2277614414530574E-3</v>
      </c>
      <c r="U153" s="103">
        <f t="shared" si="65"/>
        <v>1.4371989370539483E-3</v>
      </c>
      <c r="V153" s="103">
        <f t="shared" si="65"/>
        <v>1.033449780854224E-3</v>
      </c>
      <c r="W153" s="103">
        <f t="shared" ref="W153" si="66">IF(W35=0,0,W35/W$17)</f>
        <v>1.0172288143434887E-3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0.31479124743159637</v>
      </c>
      <c r="C154" s="103">
        <f t="shared" si="67"/>
        <v>0.29995689043253865</v>
      </c>
      <c r="D154" s="103">
        <f t="shared" si="67"/>
        <v>0.29073165790872973</v>
      </c>
      <c r="E154" s="103">
        <f t="shared" si="67"/>
        <v>0.26832414388547898</v>
      </c>
      <c r="F154" s="103">
        <f t="shared" si="67"/>
        <v>0.24342193690564945</v>
      </c>
      <c r="G154" s="103">
        <f t="shared" si="67"/>
        <v>0.23690119282010028</v>
      </c>
      <c r="H154" s="103">
        <f t="shared" si="67"/>
        <v>0.23128340777660794</v>
      </c>
      <c r="I154" s="103">
        <f t="shared" si="67"/>
        <v>0.21743303952314252</v>
      </c>
      <c r="J154" s="103">
        <f t="shared" si="67"/>
        <v>0.21364038489755804</v>
      </c>
      <c r="K154" s="103">
        <f t="shared" si="67"/>
        <v>0.21356888018337214</v>
      </c>
      <c r="L154" s="103">
        <f t="shared" ref="L154" si="68">IF(L36=0,0,L36/L$17)</f>
        <v>0.20468926347348429</v>
      </c>
      <c r="M154" s="103">
        <f t="shared" ref="M154:V154" si="69">IF(M36=0,0,M36/M$17)</f>
        <v>0.19197417701760194</v>
      </c>
      <c r="N154" s="103">
        <f t="shared" si="69"/>
        <v>0.17657656294364096</v>
      </c>
      <c r="O154" s="103">
        <f t="shared" si="69"/>
        <v>0.17082007226499787</v>
      </c>
      <c r="P154" s="103">
        <f t="shared" si="69"/>
        <v>0.17933067152637797</v>
      </c>
      <c r="Q154" s="103">
        <f t="shared" si="69"/>
        <v>0.1759345374235049</v>
      </c>
      <c r="R154" s="103">
        <f t="shared" si="69"/>
        <v>0.17717480943612968</v>
      </c>
      <c r="S154" s="103">
        <f t="shared" si="69"/>
        <v>0.17822627050228801</v>
      </c>
      <c r="T154" s="103">
        <f t="shared" si="69"/>
        <v>0.1789262121694335</v>
      </c>
      <c r="U154" s="103">
        <f t="shared" si="69"/>
        <v>0.17589547752693446</v>
      </c>
      <c r="V154" s="103">
        <f t="shared" si="69"/>
        <v>0.17531676887402253</v>
      </c>
      <c r="W154" s="103">
        <f t="shared" ref="W154" si="70">IF(W36=0,0,W36/W$17)</f>
        <v>0.17860897397099612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2.369759759496754E-4</v>
      </c>
      <c r="C155" s="103">
        <f t="shared" si="71"/>
        <v>2.1176811425985126E-4</v>
      </c>
      <c r="D155" s="103">
        <f t="shared" si="71"/>
        <v>2.0471747738013199E-4</v>
      </c>
      <c r="E155" s="103">
        <f t="shared" si="71"/>
        <v>2.0580929162405015E-4</v>
      </c>
      <c r="F155" s="103">
        <f t="shared" si="71"/>
        <v>1.7772190512764185E-4</v>
      </c>
      <c r="G155" s="103">
        <f t="shared" si="71"/>
        <v>1.7136963060096971E-4</v>
      </c>
      <c r="H155" s="103">
        <f t="shared" si="71"/>
        <v>1.6845306367122942E-4</v>
      </c>
      <c r="I155" s="103">
        <f t="shared" si="71"/>
        <v>1.5828682743907035E-4</v>
      </c>
      <c r="J155" s="103">
        <f t="shared" si="71"/>
        <v>1.5413212666767141E-4</v>
      </c>
      <c r="K155" s="103">
        <f t="shared" si="71"/>
        <v>1.5553157207055728E-4</v>
      </c>
      <c r="L155" s="103">
        <f t="shared" ref="L155" si="72">IF(L37=0,0,L37/L$17)</f>
        <v>1.4687317358618495E-4</v>
      </c>
      <c r="M155" s="103">
        <f t="shared" ref="M155:V155" si="73">IF(M37=0,0,M37/M$17)</f>
        <v>1.3349061332281964E-4</v>
      </c>
      <c r="N155" s="103">
        <f t="shared" si="73"/>
        <v>1.1478872293058506E-4</v>
      </c>
      <c r="O155" s="103">
        <f t="shared" si="73"/>
        <v>1.1406594814510103E-4</v>
      </c>
      <c r="P155" s="103">
        <f t="shared" si="73"/>
        <v>1.1415499975651129E-4</v>
      </c>
      <c r="Q155" s="103">
        <f t="shared" si="73"/>
        <v>1.1910964625307429E-4</v>
      </c>
      <c r="R155" s="103">
        <f t="shared" si="73"/>
        <v>1.0698432232307055E-4</v>
      </c>
      <c r="S155" s="103">
        <f t="shared" si="73"/>
        <v>1.0228765957384368E-4</v>
      </c>
      <c r="T155" s="103">
        <f t="shared" si="73"/>
        <v>9.6933239649487512E-5</v>
      </c>
      <c r="U155" s="103">
        <f t="shared" si="73"/>
        <v>9.9369235255158849E-5</v>
      </c>
      <c r="V155" s="103">
        <f t="shared" si="73"/>
        <v>9.4564115475571066E-5</v>
      </c>
      <c r="W155" s="103">
        <f t="shared" ref="W155" si="74">IF(W37=0,0,W37/W$17)</f>
        <v>9.0186037812079036E-5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6.1678296547963707E-7</v>
      </c>
      <c r="P156" s="103">
        <f t="shared" si="77"/>
        <v>1.5960910039834149E-6</v>
      </c>
      <c r="Q156" s="103">
        <f t="shared" si="77"/>
        <v>2.6732375787054597E-6</v>
      </c>
      <c r="R156" s="103">
        <f t="shared" si="77"/>
        <v>3.3535394595277217E-6</v>
      </c>
      <c r="S156" s="103">
        <f t="shared" si="77"/>
        <v>3.7541404982110395E-6</v>
      </c>
      <c r="T156" s="103">
        <f t="shared" si="77"/>
        <v>5.7470877453754934E-6</v>
      </c>
      <c r="U156" s="103">
        <f t="shared" si="77"/>
        <v>9.8247840455771902E-6</v>
      </c>
      <c r="V156" s="103">
        <f t="shared" si="77"/>
        <v>1.1724559791010831E-5</v>
      </c>
      <c r="W156" s="103">
        <f t="shared" ref="W156" si="78">IF(W38=0,0,W38/W$17)</f>
        <v>1.8923411226200117E-5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0.10825259045279624</v>
      </c>
      <c r="C158" s="156">
        <f t="shared" si="83"/>
        <v>0.12777080062535304</v>
      </c>
      <c r="D158" s="156">
        <f t="shared" si="83"/>
        <v>0.11951157597123202</v>
      </c>
      <c r="E158" s="156">
        <f t="shared" si="83"/>
        <v>0.13219442799380809</v>
      </c>
      <c r="F158" s="156">
        <f t="shared" si="83"/>
        <v>0.15558166147513591</v>
      </c>
      <c r="G158" s="156">
        <f t="shared" si="83"/>
        <v>0.16710205156571661</v>
      </c>
      <c r="H158" s="156">
        <f t="shared" si="83"/>
        <v>0.16849713325355584</v>
      </c>
      <c r="I158" s="156">
        <f t="shared" si="83"/>
        <v>0.17581556436071305</v>
      </c>
      <c r="J158" s="156">
        <f t="shared" si="83"/>
        <v>0.17157739900966162</v>
      </c>
      <c r="K158" s="156">
        <f t="shared" si="83"/>
        <v>0.15686263908470405</v>
      </c>
      <c r="L158" s="156">
        <f t="shared" ref="L158" si="84">IF(L40=0,0,L40/L$17)</f>
        <v>0.15925328279955225</v>
      </c>
      <c r="M158" s="156">
        <f t="shared" ref="M158:V158" si="85">IF(M40=0,0,M40/M$17)</f>
        <v>0.16361637398323664</v>
      </c>
      <c r="N158" s="156">
        <f t="shared" si="85"/>
        <v>0.15859057978377711</v>
      </c>
      <c r="O158" s="156">
        <f t="shared" si="85"/>
        <v>0.15362119808099822</v>
      </c>
      <c r="P158" s="156">
        <f t="shared" si="85"/>
        <v>0.14004151403106288</v>
      </c>
      <c r="Q158" s="156">
        <f t="shared" si="85"/>
        <v>0.14466539979960211</v>
      </c>
      <c r="R158" s="156">
        <f t="shared" si="85"/>
        <v>0.14098518349853487</v>
      </c>
      <c r="S158" s="156">
        <f t="shared" si="85"/>
        <v>0.13551429914553162</v>
      </c>
      <c r="T158" s="156">
        <f t="shared" si="85"/>
        <v>0.13197076971762428</v>
      </c>
      <c r="U158" s="156">
        <f t="shared" si="85"/>
        <v>0.13151937880549783</v>
      </c>
      <c r="V158" s="156">
        <f t="shared" si="85"/>
        <v>0.13391668574250862</v>
      </c>
      <c r="W158" s="156">
        <f t="shared" ref="W158" si="86">IF(W40=0,0,W40/W$17)</f>
        <v>0.13225720575922645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8.5621460686190184E-2</v>
      </c>
      <c r="C159" s="103">
        <f t="shared" si="87"/>
        <v>0.10297439217235595</v>
      </c>
      <c r="D159" s="103">
        <f t="shared" si="87"/>
        <v>9.3937328379274251E-2</v>
      </c>
      <c r="E159" s="103">
        <f t="shared" si="87"/>
        <v>0.10316253003622143</v>
      </c>
      <c r="F159" s="103">
        <f t="shared" si="87"/>
        <v>0.12304193640711789</v>
      </c>
      <c r="G159" s="103">
        <f t="shared" si="87"/>
        <v>0.13251839535006635</v>
      </c>
      <c r="H159" s="103">
        <f t="shared" si="87"/>
        <v>0.13182238832540752</v>
      </c>
      <c r="I159" s="103">
        <f t="shared" si="87"/>
        <v>0.13566302712445119</v>
      </c>
      <c r="J159" s="103">
        <f t="shared" si="87"/>
        <v>0.13501529288022454</v>
      </c>
      <c r="K159" s="103">
        <f t="shared" si="87"/>
        <v>0.11942215727328902</v>
      </c>
      <c r="L159" s="103">
        <f t="shared" ref="L159" si="88">IF(L41=0,0,L41/L$17)</f>
        <v>0.12516185648823175</v>
      </c>
      <c r="M159" s="103">
        <f t="shared" ref="M159:V159" si="89">IF(M41=0,0,M41/M$17)</f>
        <v>0.12570292975703556</v>
      </c>
      <c r="N159" s="103">
        <f t="shared" si="89"/>
        <v>0.12006581029784799</v>
      </c>
      <c r="O159" s="103">
        <f t="shared" si="89"/>
        <v>0.10929085819127639</v>
      </c>
      <c r="P159" s="103">
        <f t="shared" si="89"/>
        <v>9.6732273934172469E-2</v>
      </c>
      <c r="Q159" s="103">
        <f t="shared" si="89"/>
        <v>0.10817469092023733</v>
      </c>
      <c r="R159" s="103">
        <f t="shared" si="89"/>
        <v>0.10147795728571844</v>
      </c>
      <c r="S159" s="103">
        <f t="shared" si="89"/>
        <v>9.8271525609431004E-2</v>
      </c>
      <c r="T159" s="103">
        <f t="shared" si="89"/>
        <v>9.4163074771919625E-2</v>
      </c>
      <c r="U159" s="103">
        <f t="shared" si="89"/>
        <v>9.2633760850049554E-2</v>
      </c>
      <c r="V159" s="103">
        <f t="shared" si="89"/>
        <v>9.4022520639170909E-2</v>
      </c>
      <c r="W159" s="103">
        <f t="shared" ref="W159" si="90">IF(W41=0,0,W41/W$17)</f>
        <v>9.0352327389677148E-2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2.263112976660606E-2</v>
      </c>
      <c r="C160" s="105">
        <f t="shared" si="91"/>
        <v>2.4796408452997097E-2</v>
      </c>
      <c r="D160" s="105">
        <f t="shared" si="91"/>
        <v>2.5574247591957772E-2</v>
      </c>
      <c r="E160" s="105">
        <f t="shared" si="91"/>
        <v>2.9031897957586657E-2</v>
      </c>
      <c r="F160" s="105">
        <f t="shared" si="91"/>
        <v>3.253972506801802E-2</v>
      </c>
      <c r="G160" s="105">
        <f t="shared" si="91"/>
        <v>3.4583656215650259E-2</v>
      </c>
      <c r="H160" s="105">
        <f t="shared" si="91"/>
        <v>3.667474492814831E-2</v>
      </c>
      <c r="I160" s="105">
        <f t="shared" si="91"/>
        <v>4.015253723626188E-2</v>
      </c>
      <c r="J160" s="105">
        <f t="shared" si="91"/>
        <v>3.6562106129437083E-2</v>
      </c>
      <c r="K160" s="105">
        <f t="shared" si="91"/>
        <v>3.7440481811415058E-2</v>
      </c>
      <c r="L160" s="105">
        <f t="shared" ref="L160" si="92">IF(L42=0,0,L42/L$17)</f>
        <v>3.4091426311320512E-2</v>
      </c>
      <c r="M160" s="105">
        <f t="shared" ref="M160:V160" si="93">IF(M42=0,0,M42/M$17)</f>
        <v>3.7913444226201083E-2</v>
      </c>
      <c r="N160" s="105">
        <f t="shared" si="93"/>
        <v>3.8524769485929103E-2</v>
      </c>
      <c r="O160" s="105">
        <f t="shared" si="93"/>
        <v>4.4330339889721813E-2</v>
      </c>
      <c r="P160" s="105">
        <f t="shared" si="93"/>
        <v>4.3309240096890418E-2</v>
      </c>
      <c r="Q160" s="105">
        <f t="shared" si="93"/>
        <v>3.6490708879364772E-2</v>
      </c>
      <c r="R160" s="105">
        <f t="shared" si="93"/>
        <v>3.9507226212816417E-2</v>
      </c>
      <c r="S160" s="105">
        <f t="shared" si="93"/>
        <v>3.7242773536100615E-2</v>
      </c>
      <c r="T160" s="105">
        <f t="shared" si="93"/>
        <v>3.7807694945704656E-2</v>
      </c>
      <c r="U160" s="105">
        <f t="shared" si="93"/>
        <v>3.8885617955448266E-2</v>
      </c>
      <c r="V160" s="105">
        <f t="shared" si="93"/>
        <v>3.9894165103337723E-2</v>
      </c>
      <c r="W160" s="105">
        <f t="shared" ref="W160" si="94">IF(W42=0,0,W42/W$17)</f>
        <v>4.1904878369549294E-2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5401441</v>
      </c>
      <c r="C3" s="54">
        <f>TrRoad_act!C57</f>
        <v>5698970</v>
      </c>
      <c r="D3" s="54">
        <f>TrRoad_act!D57</f>
        <v>5969248</v>
      </c>
      <c r="E3" s="54">
        <f>TrRoad_act!E57</f>
        <v>5945765</v>
      </c>
      <c r="F3" s="54">
        <f>TrRoad_act!F57</f>
        <v>6076484</v>
      </c>
      <c r="G3" s="54">
        <f>TrRoad_act!G57</f>
        <v>6188629</v>
      </c>
      <c r="H3" s="54">
        <f>TrRoad_act!H57</f>
        <v>6266706</v>
      </c>
      <c r="I3" s="54">
        <f>TrRoad_act!I57</f>
        <v>6353648</v>
      </c>
      <c r="J3" s="54">
        <f>TrRoad_act!J57</f>
        <v>6388122</v>
      </c>
      <c r="K3" s="54">
        <f>TrRoad_act!K57</f>
        <v>6439638</v>
      </c>
      <c r="L3" s="54">
        <f>TrRoad_act!L57</f>
        <v>6638362</v>
      </c>
      <c r="M3" s="54">
        <f>TrRoad_act!M57</f>
        <v>6636687</v>
      </c>
      <c r="N3" s="54">
        <f>TrRoad_act!N57</f>
        <v>6019150</v>
      </c>
      <c r="O3" s="54">
        <f>TrRoad_act!O57</f>
        <v>6081257</v>
      </c>
      <c r="P3" s="54">
        <f>TrRoad_act!P57</f>
        <v>6560825</v>
      </c>
      <c r="Q3" s="54">
        <f>TrRoad_act!Q57</f>
        <v>6566869</v>
      </c>
      <c r="R3" s="54">
        <f>TrRoad_act!R57</f>
        <v>6714016</v>
      </c>
      <c r="S3" s="54">
        <f>TrRoad_act!S57</f>
        <v>6992583</v>
      </c>
      <c r="T3" s="54">
        <f>TrRoad_act!T57</f>
        <v>7272946</v>
      </c>
      <c r="U3" s="54">
        <f>TrRoad_act!U57</f>
        <v>7676254</v>
      </c>
      <c r="V3" s="54">
        <f>TrRoad_act!V57</f>
        <v>7581805</v>
      </c>
      <c r="W3" s="54">
        <f>TrRoad_act!W57</f>
        <v>7645997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3999848</v>
      </c>
      <c r="C4" s="28">
        <f>TrRoad_act!C58</f>
        <v>4161243</v>
      </c>
      <c r="D4" s="28">
        <f>TrRoad_act!D58</f>
        <v>4469344</v>
      </c>
      <c r="E4" s="28">
        <f>TrRoad_act!E58</f>
        <v>4559007</v>
      </c>
      <c r="F4" s="28">
        <f>TrRoad_act!F58</f>
        <v>4701874</v>
      </c>
      <c r="G4" s="28">
        <f>TrRoad_act!G58</f>
        <v>4803094</v>
      </c>
      <c r="H4" s="28">
        <f>TrRoad_act!H58</f>
        <v>4863720</v>
      </c>
      <c r="I4" s="28">
        <f>TrRoad_act!I58</f>
        <v>4930745</v>
      </c>
      <c r="J4" s="28">
        <f>TrRoad_act!J58</f>
        <v>4958400</v>
      </c>
      <c r="K4" s="28">
        <f>TrRoad_act!K58</f>
        <v>5005770</v>
      </c>
      <c r="L4" s="28">
        <f>TrRoad_act!L58</f>
        <v>5205755</v>
      </c>
      <c r="M4" s="28">
        <f>TrRoad_act!M58</f>
        <v>5224693</v>
      </c>
      <c r="N4" s="28">
        <f>TrRoad_act!N58</f>
        <v>4772502</v>
      </c>
      <c r="O4" s="28">
        <f>TrRoad_act!O58</f>
        <v>4848324</v>
      </c>
      <c r="P4" s="28">
        <f>TrRoad_act!P58</f>
        <v>5224490</v>
      </c>
      <c r="Q4" s="28">
        <f>TrRoad_act!Q58</f>
        <v>5265466</v>
      </c>
      <c r="R4" s="28">
        <f>TrRoad_act!R58</f>
        <v>5417368</v>
      </c>
      <c r="S4" s="28">
        <f>TrRoad_act!S58</f>
        <v>5667391</v>
      </c>
      <c r="T4" s="28">
        <f>TrRoad_act!T58</f>
        <v>5914705</v>
      </c>
      <c r="U4" s="28">
        <f>TrRoad_act!U58</f>
        <v>6173799</v>
      </c>
      <c r="V4" s="28">
        <f>TrRoad_act!V58</f>
        <v>6193238</v>
      </c>
      <c r="W4" s="28">
        <f>TrRoad_act!W58</f>
        <v>6260941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537068</v>
      </c>
      <c r="C5" s="137">
        <f>TrRoad_act!C59</f>
        <v>551483</v>
      </c>
      <c r="D5" s="137">
        <f>TrRoad_act!D59</f>
        <v>562957</v>
      </c>
      <c r="E5" s="137">
        <f>TrRoad_act!E59</f>
        <v>571354</v>
      </c>
      <c r="F5" s="137">
        <f>TrRoad_act!F59</f>
        <v>580074</v>
      </c>
      <c r="G5" s="137">
        <f>TrRoad_act!G59</f>
        <v>588420</v>
      </c>
      <c r="H5" s="137">
        <f>TrRoad_act!H59</f>
        <v>558720</v>
      </c>
      <c r="I5" s="137">
        <f>TrRoad_act!I59</f>
        <v>536645</v>
      </c>
      <c r="J5" s="137">
        <f>TrRoad_act!J59</f>
        <v>535000</v>
      </c>
      <c r="K5" s="137">
        <f>TrRoad_act!K59</f>
        <v>533270</v>
      </c>
      <c r="L5" s="137">
        <f>TrRoad_act!L59</f>
        <v>498000</v>
      </c>
      <c r="M5" s="137">
        <f>TrRoad_act!M59</f>
        <v>497000</v>
      </c>
      <c r="N5" s="137">
        <f>TrRoad_act!N59</f>
        <v>500815</v>
      </c>
      <c r="O5" s="137">
        <f>TrRoad_act!O59</f>
        <v>508456</v>
      </c>
      <c r="P5" s="137">
        <f>TrRoad_act!P59</f>
        <v>509671</v>
      </c>
      <c r="Q5" s="137">
        <f>TrRoad_act!Q59</f>
        <v>527583</v>
      </c>
      <c r="R5" s="137">
        <f>TrRoad_act!R59</f>
        <v>552097</v>
      </c>
      <c r="S5" s="137">
        <f>TrRoad_act!S59</f>
        <v>592517</v>
      </c>
      <c r="T5" s="137">
        <f>TrRoad_act!T59</f>
        <v>616075</v>
      </c>
      <c r="U5" s="137">
        <f>TrRoad_act!U59</f>
        <v>660939</v>
      </c>
      <c r="V5" s="137">
        <f>TrRoad_act!V59</f>
        <v>612078</v>
      </c>
      <c r="W5" s="137">
        <f>TrRoad_act!W59</f>
        <v>612078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3443000</v>
      </c>
      <c r="C6" s="110">
        <f>TrRoad_act!C60</f>
        <v>3589000</v>
      </c>
      <c r="D6" s="110">
        <f>TrRoad_act!D60</f>
        <v>3885000</v>
      </c>
      <c r="E6" s="110">
        <f>TrRoad_act!E60</f>
        <v>3966000</v>
      </c>
      <c r="F6" s="110">
        <f>TrRoad_act!F60</f>
        <v>4100000</v>
      </c>
      <c r="G6" s="110">
        <f>TrRoad_act!G60</f>
        <v>4200000</v>
      </c>
      <c r="H6" s="110">
        <f>TrRoad_act!H60</f>
        <v>4290000</v>
      </c>
      <c r="I6" s="110">
        <f>TrRoad_act!I60</f>
        <v>4379000</v>
      </c>
      <c r="J6" s="110">
        <f>TrRoad_act!J60</f>
        <v>4408000</v>
      </c>
      <c r="K6" s="110">
        <f>TrRoad_act!K60</f>
        <v>4457000</v>
      </c>
      <c r="L6" s="110">
        <f>TrRoad_act!L60</f>
        <v>4692000</v>
      </c>
      <c r="M6" s="110">
        <f>TrRoad_act!M60</f>
        <v>4712200</v>
      </c>
      <c r="N6" s="110">
        <f>TrRoad_act!N60</f>
        <v>4259000</v>
      </c>
      <c r="O6" s="110">
        <f>TrRoad_act!O60</f>
        <v>4327478</v>
      </c>
      <c r="P6" s="110">
        <f>TrRoad_act!P60</f>
        <v>4699645</v>
      </c>
      <c r="Q6" s="110">
        <f>TrRoad_act!Q60</f>
        <v>4722963</v>
      </c>
      <c r="R6" s="110">
        <f>TrRoad_act!R60</f>
        <v>4850229</v>
      </c>
      <c r="S6" s="110">
        <f>TrRoad_act!S60</f>
        <v>5059472</v>
      </c>
      <c r="T6" s="110">
        <f>TrRoad_act!T60</f>
        <v>5282970</v>
      </c>
      <c r="U6" s="110">
        <f>TrRoad_act!U60</f>
        <v>5495041</v>
      </c>
      <c r="V6" s="110">
        <f>TrRoad_act!V60</f>
        <v>5565963</v>
      </c>
      <c r="W6" s="110">
        <f>TrRoad_act!W60</f>
        <v>5633384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2348800</v>
      </c>
      <c r="C7" s="84">
        <f>TrRoad_act!C61</f>
        <v>2464048</v>
      </c>
      <c r="D7" s="84">
        <f>TrRoad_act!D61</f>
        <v>2653389</v>
      </c>
      <c r="E7" s="84">
        <f>TrRoad_act!E61</f>
        <v>2652347</v>
      </c>
      <c r="F7" s="84">
        <f>TrRoad_act!F61</f>
        <v>2696207</v>
      </c>
      <c r="G7" s="84">
        <f>TrRoad_act!G61</f>
        <v>2673683</v>
      </c>
      <c r="H7" s="84">
        <f>TrRoad_act!H61</f>
        <v>2651564</v>
      </c>
      <c r="I7" s="84">
        <f>TrRoad_act!I61</f>
        <v>2613214</v>
      </c>
      <c r="J7" s="84">
        <f>TrRoad_act!J61</f>
        <v>2533430</v>
      </c>
      <c r="K7" s="84">
        <f>TrRoad_act!K61</f>
        <v>2479203</v>
      </c>
      <c r="L7" s="84">
        <f>TrRoad_act!L61</f>
        <v>2580033</v>
      </c>
      <c r="M7" s="84">
        <f>TrRoad_act!M61</f>
        <v>2509195</v>
      </c>
      <c r="N7" s="84">
        <f>TrRoad_act!N61</f>
        <v>2169936</v>
      </c>
      <c r="O7" s="84">
        <f>TrRoad_act!O61</f>
        <v>2165172</v>
      </c>
      <c r="P7" s="84">
        <f>TrRoad_act!P61</f>
        <v>2283953</v>
      </c>
      <c r="Q7" s="84">
        <f>TrRoad_act!Q61</f>
        <v>2197424</v>
      </c>
      <c r="R7" s="84">
        <f>TrRoad_act!R61</f>
        <v>2171534</v>
      </c>
      <c r="S7" s="84">
        <f>TrRoad_act!S61</f>
        <v>2187650</v>
      </c>
      <c r="T7" s="84">
        <f>TrRoad_act!T61</f>
        <v>2241105</v>
      </c>
      <c r="U7" s="84">
        <f>TrRoad_act!U61</f>
        <v>2337838</v>
      </c>
      <c r="V7" s="84">
        <f>TrRoad_act!V61</f>
        <v>2282246</v>
      </c>
      <c r="W7" s="84">
        <f>TrRoad_act!W61</f>
        <v>2277393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1077200</v>
      </c>
      <c r="C8" s="84">
        <f>TrRoad_act!C62</f>
        <v>1108213</v>
      </c>
      <c r="D8" s="84">
        <f>TrRoad_act!D62</f>
        <v>1216066</v>
      </c>
      <c r="E8" s="84">
        <f>TrRoad_act!E62</f>
        <v>1296664</v>
      </c>
      <c r="F8" s="84">
        <f>TrRoad_act!F62</f>
        <v>1386493</v>
      </c>
      <c r="G8" s="84">
        <f>TrRoad_act!G62</f>
        <v>1506310</v>
      </c>
      <c r="H8" s="84">
        <f>TrRoad_act!H62</f>
        <v>1620992</v>
      </c>
      <c r="I8" s="84">
        <f>TrRoad_act!I62</f>
        <v>1748571</v>
      </c>
      <c r="J8" s="84">
        <f>TrRoad_act!J62</f>
        <v>1853402</v>
      </c>
      <c r="K8" s="84">
        <f>TrRoad_act!K62</f>
        <v>1945817</v>
      </c>
      <c r="L8" s="84">
        <f>TrRoad_act!L62</f>
        <v>2079246</v>
      </c>
      <c r="M8" s="84">
        <f>TrRoad_act!M62</f>
        <v>2171703</v>
      </c>
      <c r="N8" s="84">
        <f>TrRoad_act!N62</f>
        <v>2051647</v>
      </c>
      <c r="O8" s="84">
        <f>TrRoad_act!O62</f>
        <v>2121295</v>
      </c>
      <c r="P8" s="84">
        <f>TrRoad_act!P62</f>
        <v>2368018</v>
      </c>
      <c r="Q8" s="84">
        <f>TrRoad_act!Q62</f>
        <v>2475744</v>
      </c>
      <c r="R8" s="84">
        <f>TrRoad_act!R62</f>
        <v>2625189</v>
      </c>
      <c r="S8" s="84">
        <f>TrRoad_act!S62</f>
        <v>2807718</v>
      </c>
      <c r="T8" s="84">
        <f>TrRoad_act!T62</f>
        <v>2959124</v>
      </c>
      <c r="U8" s="84">
        <f>TrRoad_act!U62</f>
        <v>3053110</v>
      </c>
      <c r="V8" s="84">
        <f>TrRoad_act!V62</f>
        <v>3160276</v>
      </c>
      <c r="W8" s="84">
        <f>TrRoad_act!W62</f>
        <v>3200683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17000</v>
      </c>
      <c r="C9" s="84">
        <f>TrRoad_act!C63</f>
        <v>16739</v>
      </c>
      <c r="D9" s="84">
        <f>TrRoad_act!D63</f>
        <v>15545</v>
      </c>
      <c r="E9" s="84">
        <f>TrRoad_act!E63</f>
        <v>16989</v>
      </c>
      <c r="F9" s="84">
        <f>TrRoad_act!F63</f>
        <v>17300</v>
      </c>
      <c r="G9" s="84">
        <f>TrRoad_act!G63</f>
        <v>20007</v>
      </c>
      <c r="H9" s="84">
        <f>TrRoad_act!H63</f>
        <v>17444</v>
      </c>
      <c r="I9" s="84">
        <f>TrRoad_act!I63</f>
        <v>17215</v>
      </c>
      <c r="J9" s="84">
        <f>TrRoad_act!J63</f>
        <v>21140</v>
      </c>
      <c r="K9" s="84">
        <f>TrRoad_act!K63</f>
        <v>31951</v>
      </c>
      <c r="L9" s="84">
        <f>TrRoad_act!L63</f>
        <v>32000</v>
      </c>
      <c r="M9" s="84">
        <f>TrRoad_act!M63</f>
        <v>31000</v>
      </c>
      <c r="N9" s="84">
        <f>TrRoad_act!N63</f>
        <v>37000</v>
      </c>
      <c r="O9" s="84">
        <f>TrRoad_act!O63</f>
        <v>40443</v>
      </c>
      <c r="P9" s="84">
        <f>TrRoad_act!P63</f>
        <v>46955</v>
      </c>
      <c r="Q9" s="84">
        <f>TrRoad_act!Q63</f>
        <v>48062</v>
      </c>
      <c r="R9" s="84">
        <f>TrRoad_act!R63</f>
        <v>49301</v>
      </c>
      <c r="S9" s="84">
        <f>TrRoad_act!S63</f>
        <v>52315</v>
      </c>
      <c r="T9" s="84">
        <f>TrRoad_act!T63</f>
        <v>56213</v>
      </c>
      <c r="U9" s="84">
        <f>TrRoad_act!U63</f>
        <v>57432</v>
      </c>
      <c r="V9" s="84">
        <f>TrRoad_act!V63</f>
        <v>58717</v>
      </c>
      <c r="W9" s="84">
        <f>TrRoad_act!W63</f>
        <v>61573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2</v>
      </c>
      <c r="N10" s="84">
        <f>TrRoad_act!N64</f>
        <v>7</v>
      </c>
      <c r="O10" s="84">
        <f>TrRoad_act!O64</f>
        <v>23</v>
      </c>
      <c r="P10" s="84">
        <f>TrRoad_act!P64</f>
        <v>26</v>
      </c>
      <c r="Q10" s="84">
        <f>TrRoad_act!Q64</f>
        <v>33</v>
      </c>
      <c r="R10" s="84">
        <f>TrRoad_act!R64</f>
        <v>39</v>
      </c>
      <c r="S10" s="84">
        <f>TrRoad_act!S64</f>
        <v>47</v>
      </c>
      <c r="T10" s="84">
        <f>TrRoad_act!T64</f>
        <v>55</v>
      </c>
      <c r="U10" s="84">
        <f>TrRoad_act!U64</f>
        <v>102</v>
      </c>
      <c r="V10" s="84">
        <f>TrRoad_act!V64</f>
        <v>132</v>
      </c>
      <c r="W10" s="84">
        <f>TrRoad_act!W64</f>
        <v>156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18</v>
      </c>
      <c r="N11" s="84">
        <f>TrRoad_act!N65</f>
        <v>63</v>
      </c>
      <c r="O11" s="84">
        <f>TrRoad_act!O65</f>
        <v>108</v>
      </c>
      <c r="P11" s="84">
        <f>TrRoad_act!P65</f>
        <v>209</v>
      </c>
      <c r="Q11" s="84">
        <f>TrRoad_act!Q65</f>
        <v>730</v>
      </c>
      <c r="R11" s="84">
        <f>TrRoad_act!R65</f>
        <v>1809</v>
      </c>
      <c r="S11" s="84">
        <f>TrRoad_act!S65</f>
        <v>4337</v>
      </c>
      <c r="T11" s="84">
        <f>TrRoad_act!T65</f>
        <v>9699</v>
      </c>
      <c r="U11" s="84">
        <f>TrRoad_act!U65</f>
        <v>17526</v>
      </c>
      <c r="V11" s="84">
        <f>TrRoad_act!V65</f>
        <v>27710</v>
      </c>
      <c r="W11" s="84">
        <f>TrRoad_act!W65</f>
        <v>43441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28</v>
      </c>
      <c r="K12" s="84">
        <f>TrRoad_act!K66</f>
        <v>29</v>
      </c>
      <c r="L12" s="84">
        <f>TrRoad_act!L66</f>
        <v>719</v>
      </c>
      <c r="M12" s="84">
        <f>TrRoad_act!M66</f>
        <v>282</v>
      </c>
      <c r="N12" s="84">
        <f>TrRoad_act!N66</f>
        <v>347</v>
      </c>
      <c r="O12" s="84">
        <f>TrRoad_act!O66</f>
        <v>437</v>
      </c>
      <c r="P12" s="84">
        <f>TrRoad_act!P66</f>
        <v>484</v>
      </c>
      <c r="Q12" s="84">
        <f>TrRoad_act!Q66</f>
        <v>970</v>
      </c>
      <c r="R12" s="84">
        <f>TrRoad_act!R66</f>
        <v>2357</v>
      </c>
      <c r="S12" s="84">
        <f>TrRoad_act!S66</f>
        <v>7405</v>
      </c>
      <c r="T12" s="84">
        <f>TrRoad_act!T66</f>
        <v>16774</v>
      </c>
      <c r="U12" s="84">
        <f>TrRoad_act!U66</f>
        <v>29033</v>
      </c>
      <c r="V12" s="84">
        <f>TrRoad_act!V66</f>
        <v>36882</v>
      </c>
      <c r="W12" s="84">
        <f>TrRoad_act!W66</f>
        <v>50138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19780</v>
      </c>
      <c r="C13" s="110">
        <f>TrRoad_act!C67</f>
        <v>20760</v>
      </c>
      <c r="D13" s="110">
        <f>TrRoad_act!D67</f>
        <v>21387</v>
      </c>
      <c r="E13" s="110">
        <f>TrRoad_act!E67</f>
        <v>21653</v>
      </c>
      <c r="F13" s="110">
        <f>TrRoad_act!F67</f>
        <v>21800</v>
      </c>
      <c r="G13" s="110">
        <f>TrRoad_act!G67</f>
        <v>14674</v>
      </c>
      <c r="H13" s="110">
        <f>TrRoad_act!H67</f>
        <v>15000</v>
      </c>
      <c r="I13" s="110">
        <f>TrRoad_act!I67</f>
        <v>15100</v>
      </c>
      <c r="J13" s="110">
        <f>TrRoad_act!J67</f>
        <v>15400</v>
      </c>
      <c r="K13" s="110">
        <f>TrRoad_act!K67</f>
        <v>15500</v>
      </c>
      <c r="L13" s="110">
        <f>TrRoad_act!L67</f>
        <v>15755</v>
      </c>
      <c r="M13" s="110">
        <f>TrRoad_act!M67</f>
        <v>15493</v>
      </c>
      <c r="N13" s="110">
        <f>TrRoad_act!N67</f>
        <v>12687</v>
      </c>
      <c r="O13" s="110">
        <f>TrRoad_act!O67</f>
        <v>12390</v>
      </c>
      <c r="P13" s="110">
        <f>TrRoad_act!P67</f>
        <v>15174</v>
      </c>
      <c r="Q13" s="110">
        <f>TrRoad_act!Q67</f>
        <v>14920</v>
      </c>
      <c r="R13" s="110">
        <f>TrRoad_act!R67</f>
        <v>15042</v>
      </c>
      <c r="S13" s="110">
        <f>TrRoad_act!S67</f>
        <v>15402</v>
      </c>
      <c r="T13" s="110">
        <f>TrRoad_act!T67</f>
        <v>15660</v>
      </c>
      <c r="U13" s="110">
        <f>TrRoad_act!U67</f>
        <v>17819</v>
      </c>
      <c r="V13" s="110">
        <f>TrRoad_act!V67</f>
        <v>15197</v>
      </c>
      <c r="W13" s="110">
        <f>TrRoad_act!W67</f>
        <v>15479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6</v>
      </c>
      <c r="M14" s="102">
        <f>TrRoad_act!M68</f>
        <v>6</v>
      </c>
      <c r="N14" s="102">
        <f>TrRoad_act!N68</f>
        <v>6</v>
      </c>
      <c r="O14" s="102">
        <f>TrRoad_act!O68</f>
        <v>7</v>
      </c>
      <c r="P14" s="102">
        <f>TrRoad_act!P68</f>
        <v>7</v>
      </c>
      <c r="Q14" s="102">
        <f>TrRoad_act!Q68</f>
        <v>8</v>
      </c>
      <c r="R14" s="102">
        <f>TrRoad_act!R68</f>
        <v>9</v>
      </c>
      <c r="S14" s="102">
        <f>TrRoad_act!S68</f>
        <v>8</v>
      </c>
      <c r="T14" s="102">
        <f>TrRoad_act!T68</f>
        <v>8</v>
      </c>
      <c r="U14" s="102">
        <f>TrRoad_act!U68</f>
        <v>9</v>
      </c>
      <c r="V14" s="102">
        <f>TrRoad_act!V68</f>
        <v>8</v>
      </c>
      <c r="W14" s="102">
        <f>TrRoad_act!W68</f>
        <v>8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19739</v>
      </c>
      <c r="C15" s="102">
        <f>TrRoad_act!C69</f>
        <v>20567</v>
      </c>
      <c r="D15" s="102">
        <f>TrRoad_act!D69</f>
        <v>21080</v>
      </c>
      <c r="E15" s="102">
        <f>TrRoad_act!E69</f>
        <v>21236</v>
      </c>
      <c r="F15" s="102">
        <f>TrRoad_act!F69</f>
        <v>21348</v>
      </c>
      <c r="G15" s="102">
        <f>TrRoad_act!G69</f>
        <v>14105</v>
      </c>
      <c r="H15" s="102">
        <f>TrRoad_act!H69</f>
        <v>14448</v>
      </c>
      <c r="I15" s="102">
        <f>TrRoad_act!I69</f>
        <v>14495</v>
      </c>
      <c r="J15" s="102">
        <f>TrRoad_act!J69</f>
        <v>14756</v>
      </c>
      <c r="K15" s="102">
        <f>TrRoad_act!K69</f>
        <v>14834</v>
      </c>
      <c r="L15" s="102">
        <f>TrRoad_act!L69</f>
        <v>15064</v>
      </c>
      <c r="M15" s="102">
        <f>TrRoad_act!M69</f>
        <v>14822</v>
      </c>
      <c r="N15" s="102">
        <f>TrRoad_act!N69</f>
        <v>12030</v>
      </c>
      <c r="O15" s="102">
        <f>TrRoad_act!O69</f>
        <v>11759</v>
      </c>
      <c r="P15" s="102">
        <f>TrRoad_act!P69</f>
        <v>14569</v>
      </c>
      <c r="Q15" s="102">
        <f>TrRoad_act!Q69</f>
        <v>14344</v>
      </c>
      <c r="R15" s="102">
        <f>TrRoad_act!R69</f>
        <v>14495</v>
      </c>
      <c r="S15" s="102">
        <f>TrRoad_act!S69</f>
        <v>14874</v>
      </c>
      <c r="T15" s="102">
        <f>TrRoad_act!T69</f>
        <v>14976</v>
      </c>
      <c r="U15" s="102">
        <f>TrRoad_act!U69</f>
        <v>17229</v>
      </c>
      <c r="V15" s="102">
        <f>TrRoad_act!V69</f>
        <v>14498</v>
      </c>
      <c r="W15" s="102">
        <f>TrRoad_act!W69</f>
        <v>14559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3</v>
      </c>
      <c r="M16" s="102">
        <f>TrRoad_act!M70</f>
        <v>3</v>
      </c>
      <c r="N16" s="102">
        <f>TrRoad_act!N70</f>
        <v>2</v>
      </c>
      <c r="O16" s="102">
        <f>TrRoad_act!O70</f>
        <v>2</v>
      </c>
      <c r="P16" s="102">
        <f>TrRoad_act!P70</f>
        <v>4</v>
      </c>
      <c r="Q16" s="102">
        <f>TrRoad_act!Q70</f>
        <v>4</v>
      </c>
      <c r="R16" s="102">
        <f>TrRoad_act!R70</f>
        <v>5</v>
      </c>
      <c r="S16" s="102">
        <f>TrRoad_act!S70</f>
        <v>5</v>
      </c>
      <c r="T16" s="102">
        <f>TrRoad_act!T70</f>
        <v>5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41</v>
      </c>
      <c r="C17" s="102">
        <f>TrRoad_act!C71</f>
        <v>193</v>
      </c>
      <c r="D17" s="102">
        <f>TrRoad_act!D71</f>
        <v>307</v>
      </c>
      <c r="E17" s="102">
        <f>TrRoad_act!E71</f>
        <v>417</v>
      </c>
      <c r="F17" s="102">
        <f>TrRoad_act!F71</f>
        <v>452</v>
      </c>
      <c r="G17" s="102">
        <f>TrRoad_act!G71</f>
        <v>569</v>
      </c>
      <c r="H17" s="102">
        <f>TrRoad_act!H71</f>
        <v>552</v>
      </c>
      <c r="I17" s="102">
        <f>TrRoad_act!I71</f>
        <v>605</v>
      </c>
      <c r="J17" s="102">
        <f>TrRoad_act!J71</f>
        <v>644</v>
      </c>
      <c r="K17" s="102">
        <f>TrRoad_act!K71</f>
        <v>666</v>
      </c>
      <c r="L17" s="102">
        <f>TrRoad_act!L71</f>
        <v>669</v>
      </c>
      <c r="M17" s="102">
        <f>TrRoad_act!M71</f>
        <v>650</v>
      </c>
      <c r="N17" s="102">
        <f>TrRoad_act!N71</f>
        <v>626</v>
      </c>
      <c r="O17" s="102">
        <f>TrRoad_act!O71</f>
        <v>599</v>
      </c>
      <c r="P17" s="102">
        <f>TrRoad_act!P71</f>
        <v>571</v>
      </c>
      <c r="Q17" s="102">
        <f>TrRoad_act!Q71</f>
        <v>541</v>
      </c>
      <c r="R17" s="102">
        <f>TrRoad_act!R71</f>
        <v>510</v>
      </c>
      <c r="S17" s="102">
        <f>TrRoad_act!S71</f>
        <v>478</v>
      </c>
      <c r="T17" s="102">
        <f>TrRoad_act!T71</f>
        <v>575</v>
      </c>
      <c r="U17" s="102">
        <f>TrRoad_act!U71</f>
        <v>465</v>
      </c>
      <c r="V17" s="102">
        <f>TrRoad_act!V71</f>
        <v>566</v>
      </c>
      <c r="W17" s="102">
        <f>TrRoad_act!W71</f>
        <v>781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13</v>
      </c>
      <c r="M18" s="102">
        <f>TrRoad_act!M72</f>
        <v>12</v>
      </c>
      <c r="N18" s="102">
        <f>TrRoad_act!N72</f>
        <v>23</v>
      </c>
      <c r="O18" s="102">
        <f>TrRoad_act!O72</f>
        <v>23</v>
      </c>
      <c r="P18" s="102">
        <f>TrRoad_act!P72</f>
        <v>23</v>
      </c>
      <c r="Q18" s="102">
        <f>TrRoad_act!Q72</f>
        <v>23</v>
      </c>
      <c r="R18" s="102">
        <f>TrRoad_act!R72</f>
        <v>23</v>
      </c>
      <c r="S18" s="102">
        <f>TrRoad_act!S72</f>
        <v>37</v>
      </c>
      <c r="T18" s="102">
        <f>TrRoad_act!T72</f>
        <v>96</v>
      </c>
      <c r="U18" s="102">
        <f>TrRoad_act!U72</f>
        <v>111</v>
      </c>
      <c r="V18" s="102">
        <f>TrRoad_act!V72</f>
        <v>121</v>
      </c>
      <c r="W18" s="102">
        <f>TrRoad_act!W72</f>
        <v>127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1401593</v>
      </c>
      <c r="C19" s="28">
        <f>TrRoad_act!C73</f>
        <v>1537727</v>
      </c>
      <c r="D19" s="28">
        <f>TrRoad_act!D73</f>
        <v>1499904</v>
      </c>
      <c r="E19" s="28">
        <f>TrRoad_act!E73</f>
        <v>1386758</v>
      </c>
      <c r="F19" s="28">
        <f>TrRoad_act!F73</f>
        <v>1374610</v>
      </c>
      <c r="G19" s="28">
        <f>TrRoad_act!G73</f>
        <v>1385535</v>
      </c>
      <c r="H19" s="28">
        <f>TrRoad_act!H73</f>
        <v>1402986</v>
      </c>
      <c r="I19" s="28">
        <f>TrRoad_act!I73</f>
        <v>1422903</v>
      </c>
      <c r="J19" s="28">
        <f>TrRoad_act!J73</f>
        <v>1429722</v>
      </c>
      <c r="K19" s="28">
        <f>TrRoad_act!K73</f>
        <v>1433868</v>
      </c>
      <c r="L19" s="28">
        <f>TrRoad_act!L73</f>
        <v>1432607</v>
      </c>
      <c r="M19" s="28">
        <f>TrRoad_act!M73</f>
        <v>1411994</v>
      </c>
      <c r="N19" s="28">
        <f>TrRoad_act!N73</f>
        <v>1246648</v>
      </c>
      <c r="O19" s="28">
        <f>TrRoad_act!O73</f>
        <v>1232933</v>
      </c>
      <c r="P19" s="28">
        <f>TrRoad_act!P73</f>
        <v>1336335</v>
      </c>
      <c r="Q19" s="28">
        <f>TrRoad_act!Q73</f>
        <v>1301403</v>
      </c>
      <c r="R19" s="28">
        <f>TrRoad_act!R73</f>
        <v>1296648</v>
      </c>
      <c r="S19" s="28">
        <f>TrRoad_act!S73</f>
        <v>1325192</v>
      </c>
      <c r="T19" s="28">
        <f>TrRoad_act!T73</f>
        <v>1358241</v>
      </c>
      <c r="U19" s="28">
        <f>TrRoad_act!U73</f>
        <v>1502455</v>
      </c>
      <c r="V19" s="28">
        <f>TrRoad_act!V73</f>
        <v>1388567</v>
      </c>
      <c r="W19" s="28">
        <f>TrRoad_act!W73</f>
        <v>1385056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1301857</v>
      </c>
      <c r="C20" s="137">
        <f>TrRoad_act!C74</f>
        <v>1435008</v>
      </c>
      <c r="D20" s="137">
        <f>TrRoad_act!D74</f>
        <v>1398347</v>
      </c>
      <c r="E20" s="137">
        <f>TrRoad_act!E74</f>
        <v>1288947</v>
      </c>
      <c r="F20" s="137">
        <f>TrRoad_act!F74</f>
        <v>1282243</v>
      </c>
      <c r="G20" s="137">
        <f>TrRoad_act!G74</f>
        <v>1294098</v>
      </c>
      <c r="H20" s="137">
        <f>TrRoad_act!H74</f>
        <v>1311947</v>
      </c>
      <c r="I20" s="137">
        <f>TrRoad_act!I74</f>
        <v>1331376</v>
      </c>
      <c r="J20" s="137">
        <f>TrRoad_act!J74</f>
        <v>1334373</v>
      </c>
      <c r="K20" s="137">
        <f>TrRoad_act!K74</f>
        <v>1337373</v>
      </c>
      <c r="L20" s="137">
        <f>TrRoad_act!L74</f>
        <v>1337373</v>
      </c>
      <c r="M20" s="137">
        <f>TrRoad_act!M74</f>
        <v>1321711</v>
      </c>
      <c r="N20" s="137">
        <f>TrRoad_act!N74</f>
        <v>1172906</v>
      </c>
      <c r="O20" s="137">
        <f>TrRoad_act!O74</f>
        <v>1164962</v>
      </c>
      <c r="P20" s="137">
        <f>TrRoad_act!P74</f>
        <v>1259725</v>
      </c>
      <c r="Q20" s="137">
        <f>TrRoad_act!Q74</f>
        <v>1224823</v>
      </c>
      <c r="R20" s="137">
        <f>TrRoad_act!R74</f>
        <v>1221913</v>
      </c>
      <c r="S20" s="137">
        <f>TrRoad_act!S74</f>
        <v>1240914</v>
      </c>
      <c r="T20" s="137">
        <f>TrRoad_act!T74</f>
        <v>1267647</v>
      </c>
      <c r="U20" s="137">
        <f>TrRoad_act!U74</f>
        <v>1396685</v>
      </c>
      <c r="V20" s="137">
        <f>TrRoad_act!V74</f>
        <v>1290390</v>
      </c>
      <c r="W20" s="137">
        <f>TrRoad_act!W74</f>
        <v>1289760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22987</v>
      </c>
      <c r="C21" s="84">
        <f>TrRoad_act!C75</f>
        <v>22668</v>
      </c>
      <c r="D21" s="84">
        <f>TrRoad_act!D75</f>
        <v>21402</v>
      </c>
      <c r="E21" s="84">
        <f>TrRoad_act!E75</f>
        <v>22001</v>
      </c>
      <c r="F21" s="84">
        <f>TrRoad_act!F75</f>
        <v>20340</v>
      </c>
      <c r="G21" s="84">
        <f>TrRoad_act!G75</f>
        <v>19986</v>
      </c>
      <c r="H21" s="84">
        <f>TrRoad_act!H75</f>
        <v>19726</v>
      </c>
      <c r="I21" s="84">
        <f>TrRoad_act!I75</f>
        <v>19489</v>
      </c>
      <c r="J21" s="84">
        <f>TrRoad_act!J75</f>
        <v>19016</v>
      </c>
      <c r="K21" s="84">
        <f>TrRoad_act!K75</f>
        <v>18555</v>
      </c>
      <c r="L21" s="84">
        <f>TrRoad_act!L75</f>
        <v>18056</v>
      </c>
      <c r="M21" s="84">
        <f>TrRoad_act!M75</f>
        <v>16120</v>
      </c>
      <c r="N21" s="84">
        <f>TrRoad_act!N75</f>
        <v>14099</v>
      </c>
      <c r="O21" s="84">
        <f>TrRoad_act!O75</f>
        <v>12902</v>
      </c>
      <c r="P21" s="84">
        <f>TrRoad_act!P75</f>
        <v>12056</v>
      </c>
      <c r="Q21" s="84">
        <f>TrRoad_act!Q75</f>
        <v>12685</v>
      </c>
      <c r="R21" s="84">
        <f>TrRoad_act!R75</f>
        <v>11862</v>
      </c>
      <c r="S21" s="84">
        <f>TrRoad_act!S75</f>
        <v>12404</v>
      </c>
      <c r="T21" s="84">
        <f>TrRoad_act!T75</f>
        <v>11795</v>
      </c>
      <c r="U21" s="84">
        <f>TrRoad_act!U75</f>
        <v>16064</v>
      </c>
      <c r="V21" s="84">
        <f>TrRoad_act!V75</f>
        <v>11294</v>
      </c>
      <c r="W21" s="84">
        <f>TrRoad_act!W75</f>
        <v>10919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1278014</v>
      </c>
      <c r="C22" s="84">
        <f>TrRoad_act!C76</f>
        <v>1411487</v>
      </c>
      <c r="D22" s="84">
        <f>TrRoad_act!D76</f>
        <v>1376115</v>
      </c>
      <c r="E22" s="84">
        <f>TrRoad_act!E76</f>
        <v>1266085</v>
      </c>
      <c r="F22" s="84">
        <f>TrRoad_act!F76</f>
        <v>1261095</v>
      </c>
      <c r="G22" s="84">
        <f>TrRoad_act!G76</f>
        <v>1273305</v>
      </c>
      <c r="H22" s="84">
        <f>TrRoad_act!H76</f>
        <v>1291412</v>
      </c>
      <c r="I22" s="84">
        <f>TrRoad_act!I76</f>
        <v>1311075</v>
      </c>
      <c r="J22" s="84">
        <f>TrRoad_act!J76</f>
        <v>1314552</v>
      </c>
      <c r="K22" s="84">
        <f>TrRoad_act!K76</f>
        <v>1318019</v>
      </c>
      <c r="L22" s="84">
        <f>TrRoad_act!L76</f>
        <v>1318553</v>
      </c>
      <c r="M22" s="84">
        <f>TrRoad_act!M76</f>
        <v>1304857</v>
      </c>
      <c r="N22" s="84">
        <f>TrRoad_act!N76</f>
        <v>1158181</v>
      </c>
      <c r="O22" s="84">
        <f>TrRoad_act!O76</f>
        <v>1151379</v>
      </c>
      <c r="P22" s="84">
        <f>TrRoad_act!P76</f>
        <v>1246936</v>
      </c>
      <c r="Q22" s="84">
        <f>TrRoad_act!Q76</f>
        <v>1211301</v>
      </c>
      <c r="R22" s="84">
        <f>TrRoad_act!R76</f>
        <v>1209221</v>
      </c>
      <c r="S22" s="84">
        <f>TrRoad_act!S76</f>
        <v>1227239</v>
      </c>
      <c r="T22" s="84">
        <f>TrRoad_act!T76</f>
        <v>1254007</v>
      </c>
      <c r="U22" s="84">
        <f>TrRoad_act!U76</f>
        <v>1378217</v>
      </c>
      <c r="V22" s="84">
        <f>TrRoad_act!V76</f>
        <v>1276385</v>
      </c>
      <c r="W22" s="84">
        <f>TrRoad_act!W76</f>
        <v>1275770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856</v>
      </c>
      <c r="C23" s="84">
        <f>TrRoad_act!C77</f>
        <v>853</v>
      </c>
      <c r="D23" s="84">
        <f>TrRoad_act!D77</f>
        <v>830</v>
      </c>
      <c r="E23" s="84">
        <f>TrRoad_act!E77</f>
        <v>861</v>
      </c>
      <c r="F23" s="84">
        <f>TrRoad_act!F77</f>
        <v>808</v>
      </c>
      <c r="G23" s="84">
        <f>TrRoad_act!G77</f>
        <v>807</v>
      </c>
      <c r="H23" s="84">
        <f>TrRoad_act!H77</f>
        <v>809</v>
      </c>
      <c r="I23" s="84">
        <f>TrRoad_act!I77</f>
        <v>812</v>
      </c>
      <c r="J23" s="84">
        <f>TrRoad_act!J77</f>
        <v>805</v>
      </c>
      <c r="K23" s="84">
        <f>TrRoad_act!K77</f>
        <v>799</v>
      </c>
      <c r="L23" s="84">
        <f>TrRoad_act!L77</f>
        <v>764</v>
      </c>
      <c r="M23" s="84">
        <f>TrRoad_act!M77</f>
        <v>729</v>
      </c>
      <c r="N23" s="84">
        <f>TrRoad_act!N77</f>
        <v>610</v>
      </c>
      <c r="O23" s="84">
        <f>TrRoad_act!O77</f>
        <v>616</v>
      </c>
      <c r="P23" s="84">
        <f>TrRoad_act!P77</f>
        <v>632</v>
      </c>
      <c r="Q23" s="84">
        <f>TrRoad_act!Q77</f>
        <v>650</v>
      </c>
      <c r="R23" s="84">
        <f>TrRoad_act!R77</f>
        <v>609</v>
      </c>
      <c r="S23" s="84">
        <f>TrRoad_act!S77</f>
        <v>611</v>
      </c>
      <c r="T23" s="84">
        <f>TrRoad_act!T77</f>
        <v>620</v>
      </c>
      <c r="U23" s="84">
        <f>TrRoad_act!U77</f>
        <v>768</v>
      </c>
      <c r="V23" s="84">
        <f>TrRoad_act!V77</f>
        <v>692</v>
      </c>
      <c r="W23" s="84">
        <f>TrRoad_act!W77</f>
        <v>657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5</v>
      </c>
      <c r="P24" s="84">
        <f>TrRoad_act!P78</f>
        <v>13</v>
      </c>
      <c r="Q24" s="84">
        <f>TrRoad_act!Q78</f>
        <v>19</v>
      </c>
      <c r="R24" s="84">
        <f>TrRoad_act!R78</f>
        <v>26</v>
      </c>
      <c r="S24" s="84">
        <f>TrRoad_act!S78</f>
        <v>30</v>
      </c>
      <c r="T24" s="84">
        <f>TrRoad_act!T78</f>
        <v>46</v>
      </c>
      <c r="U24" s="84">
        <f>TrRoad_act!U78</f>
        <v>79</v>
      </c>
      <c r="V24" s="84">
        <f>TrRoad_act!V78</f>
        <v>88</v>
      </c>
      <c r="W24" s="84">
        <f>TrRoad_act!W78</f>
        <v>126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5</v>
      </c>
      <c r="N25" s="84">
        <f>TrRoad_act!N79</f>
        <v>16</v>
      </c>
      <c r="O25" s="84">
        <f>TrRoad_act!O79</f>
        <v>60</v>
      </c>
      <c r="P25" s="84">
        <f>TrRoad_act!P79</f>
        <v>88</v>
      </c>
      <c r="Q25" s="84">
        <f>TrRoad_act!Q79</f>
        <v>168</v>
      </c>
      <c r="R25" s="84">
        <f>TrRoad_act!R79</f>
        <v>195</v>
      </c>
      <c r="S25" s="84">
        <f>TrRoad_act!S79</f>
        <v>630</v>
      </c>
      <c r="T25" s="84">
        <f>TrRoad_act!T79</f>
        <v>1179</v>
      </c>
      <c r="U25" s="84">
        <f>TrRoad_act!U79</f>
        <v>1557</v>
      </c>
      <c r="V25" s="84">
        <f>TrRoad_act!V79</f>
        <v>1931</v>
      </c>
      <c r="W25" s="84">
        <f>TrRoad_act!W79</f>
        <v>2288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99736</v>
      </c>
      <c r="C26" s="110">
        <f>TrRoad_act!C80</f>
        <v>102719</v>
      </c>
      <c r="D26" s="110">
        <f>TrRoad_act!D80</f>
        <v>101557</v>
      </c>
      <c r="E26" s="110">
        <f>TrRoad_act!E80</f>
        <v>97811</v>
      </c>
      <c r="F26" s="110">
        <f>TrRoad_act!F80</f>
        <v>92367</v>
      </c>
      <c r="G26" s="110">
        <f>TrRoad_act!G80</f>
        <v>91437</v>
      </c>
      <c r="H26" s="110">
        <f>TrRoad_act!H80</f>
        <v>91039</v>
      </c>
      <c r="I26" s="110">
        <f>TrRoad_act!I80</f>
        <v>91527</v>
      </c>
      <c r="J26" s="110">
        <f>TrRoad_act!J80</f>
        <v>95349</v>
      </c>
      <c r="K26" s="110">
        <f>TrRoad_act!K80</f>
        <v>96495</v>
      </c>
      <c r="L26" s="110">
        <f>TrRoad_act!L80</f>
        <v>95234</v>
      </c>
      <c r="M26" s="110">
        <f>TrRoad_act!M80</f>
        <v>90283</v>
      </c>
      <c r="N26" s="110">
        <f>TrRoad_act!N80</f>
        <v>73742</v>
      </c>
      <c r="O26" s="110">
        <f>TrRoad_act!O80</f>
        <v>67971</v>
      </c>
      <c r="P26" s="110">
        <f>TrRoad_act!P80</f>
        <v>76610</v>
      </c>
      <c r="Q26" s="110">
        <f>TrRoad_act!Q80</f>
        <v>76580</v>
      </c>
      <c r="R26" s="110">
        <f>TrRoad_act!R80</f>
        <v>74735</v>
      </c>
      <c r="S26" s="110">
        <f>TrRoad_act!S80</f>
        <v>84278</v>
      </c>
      <c r="T26" s="110">
        <f>TrRoad_act!T80</f>
        <v>90594</v>
      </c>
      <c r="U26" s="110">
        <f>TrRoad_act!U80</f>
        <v>105770</v>
      </c>
      <c r="V26" s="110">
        <f>TrRoad_act!V80</f>
        <v>98177</v>
      </c>
      <c r="W26" s="110">
        <f>TrRoad_act!W80</f>
        <v>95296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95914</v>
      </c>
      <c r="C27" s="102">
        <f>TrRoad_act!C81</f>
        <v>98621</v>
      </c>
      <c r="D27" s="102">
        <f>TrRoad_act!D81</f>
        <v>97246</v>
      </c>
      <c r="E27" s="102">
        <f>TrRoad_act!E81</f>
        <v>93405</v>
      </c>
      <c r="F27" s="102">
        <f>TrRoad_act!F81</f>
        <v>87157</v>
      </c>
      <c r="G27" s="102">
        <f>TrRoad_act!G81</f>
        <v>86045</v>
      </c>
      <c r="H27" s="102">
        <f>TrRoad_act!H81</f>
        <v>85282</v>
      </c>
      <c r="I27" s="102">
        <f>TrRoad_act!I81</f>
        <v>85227</v>
      </c>
      <c r="J27" s="102">
        <f>TrRoad_act!J81</f>
        <v>89801</v>
      </c>
      <c r="K27" s="102">
        <f>TrRoad_act!K81</f>
        <v>90928</v>
      </c>
      <c r="L27" s="102">
        <f>TrRoad_act!L81</f>
        <v>90199</v>
      </c>
      <c r="M27" s="102">
        <f>TrRoad_act!M81</f>
        <v>84969</v>
      </c>
      <c r="N27" s="102">
        <f>TrRoad_act!N81</f>
        <v>69333</v>
      </c>
      <c r="O27" s="102">
        <f>TrRoad_act!O81</f>
        <v>62978</v>
      </c>
      <c r="P27" s="102">
        <f>TrRoad_act!P81</f>
        <v>71467</v>
      </c>
      <c r="Q27" s="102">
        <f>TrRoad_act!Q81</f>
        <v>71933</v>
      </c>
      <c r="R27" s="102">
        <f>TrRoad_act!R81</f>
        <v>69668</v>
      </c>
      <c r="S27" s="102">
        <f>TrRoad_act!S81</f>
        <v>79345</v>
      </c>
      <c r="T27" s="102">
        <f>TrRoad_act!T81</f>
        <v>85501</v>
      </c>
      <c r="U27" s="102">
        <f>TrRoad_act!U81</f>
        <v>100598</v>
      </c>
      <c r="V27" s="102">
        <f>TrRoad_act!V81</f>
        <v>93766</v>
      </c>
      <c r="W27" s="102">
        <f>TrRoad_act!W81</f>
        <v>90077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3822</v>
      </c>
      <c r="C28" s="86">
        <f>TrRoad_act!C82</f>
        <v>4098</v>
      </c>
      <c r="D28" s="86">
        <f>TrRoad_act!D82</f>
        <v>4311</v>
      </c>
      <c r="E28" s="86">
        <f>TrRoad_act!E82</f>
        <v>4406</v>
      </c>
      <c r="F28" s="86">
        <f>TrRoad_act!F82</f>
        <v>5210</v>
      </c>
      <c r="G28" s="86">
        <f>TrRoad_act!G82</f>
        <v>5392</v>
      </c>
      <c r="H28" s="86">
        <f>TrRoad_act!H82</f>
        <v>5757</v>
      </c>
      <c r="I28" s="86">
        <f>TrRoad_act!I82</f>
        <v>6300</v>
      </c>
      <c r="J28" s="86">
        <f>TrRoad_act!J82</f>
        <v>5548</v>
      </c>
      <c r="K28" s="86">
        <f>TrRoad_act!K82</f>
        <v>5567</v>
      </c>
      <c r="L28" s="86">
        <f>TrRoad_act!L82</f>
        <v>5035</v>
      </c>
      <c r="M28" s="86">
        <f>TrRoad_act!M82</f>
        <v>5314</v>
      </c>
      <c r="N28" s="86">
        <f>TrRoad_act!N82</f>
        <v>4409</v>
      </c>
      <c r="O28" s="86">
        <f>TrRoad_act!O82</f>
        <v>4993</v>
      </c>
      <c r="P28" s="86">
        <f>TrRoad_act!P82</f>
        <v>5143</v>
      </c>
      <c r="Q28" s="86">
        <f>TrRoad_act!Q82</f>
        <v>4647</v>
      </c>
      <c r="R28" s="86">
        <f>TrRoad_act!R82</f>
        <v>5067</v>
      </c>
      <c r="S28" s="86">
        <f>TrRoad_act!S82</f>
        <v>4933</v>
      </c>
      <c r="T28" s="86">
        <f>TrRoad_act!T82</f>
        <v>5093</v>
      </c>
      <c r="U28" s="86">
        <f>TrRoad_act!U82</f>
        <v>5172</v>
      </c>
      <c r="V28" s="86">
        <f>TrRoad_act!V82</f>
        <v>4411</v>
      </c>
      <c r="W28" s="86">
        <f>TrRoad_act!W82</f>
        <v>5219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420483</v>
      </c>
      <c r="C30" s="54">
        <f>TrRoad_act!C111</f>
        <v>628192</v>
      </c>
      <c r="D30" s="54">
        <f>TrRoad_act!D111</f>
        <v>601166</v>
      </c>
      <c r="E30" s="54">
        <f>TrRoad_act!E111</f>
        <v>319906</v>
      </c>
      <c r="F30" s="54">
        <f>TrRoad_act!F111</f>
        <v>389209</v>
      </c>
      <c r="G30" s="54">
        <f>TrRoad_act!G111</f>
        <v>455653</v>
      </c>
      <c r="H30" s="54">
        <f>TrRoad_act!H111</f>
        <v>439655</v>
      </c>
      <c r="I30" s="54">
        <f>TrRoad_act!I111</f>
        <v>457507</v>
      </c>
      <c r="J30" s="54">
        <f>TrRoad_act!J111</f>
        <v>458110</v>
      </c>
      <c r="K30" s="54">
        <f>TrRoad_act!K111</f>
        <v>386894</v>
      </c>
      <c r="L30" s="54">
        <f>TrRoad_act!L111</f>
        <v>667527</v>
      </c>
      <c r="M30" s="54">
        <f>TrRoad_act!M111</f>
        <v>362561</v>
      </c>
      <c r="N30" s="54">
        <f>TrRoad_act!N111</f>
        <v>188210</v>
      </c>
      <c r="O30" s="54">
        <f>TrRoad_act!O111</f>
        <v>230973</v>
      </c>
      <c r="P30" s="54">
        <f>TrRoad_act!P111</f>
        <v>643113</v>
      </c>
      <c r="Q30" s="54">
        <f>TrRoad_act!Q111</f>
        <v>381282</v>
      </c>
      <c r="R30" s="54">
        <f>TrRoad_act!R111</f>
        <v>453535</v>
      </c>
      <c r="S30" s="54">
        <f>TrRoad_act!S111</f>
        <v>596343</v>
      </c>
      <c r="T30" s="54">
        <f>TrRoad_act!T111</f>
        <v>534517</v>
      </c>
      <c r="U30" s="54">
        <f>TrRoad_act!U111</f>
        <v>577349</v>
      </c>
      <c r="V30" s="54">
        <f>TrRoad_act!V111</f>
        <v>250729</v>
      </c>
      <c r="W30" s="54">
        <f>TrRoad_act!W111</f>
        <v>267274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420101</v>
      </c>
      <c r="C31" s="28">
        <f>TrRoad_act!C112</f>
        <v>424528</v>
      </c>
      <c r="D31" s="28">
        <f>TrRoad_act!D112</f>
        <v>561314</v>
      </c>
      <c r="E31" s="28">
        <f>TrRoad_act!E112</f>
        <v>316070</v>
      </c>
      <c r="F31" s="28">
        <f>TrRoad_act!F112</f>
        <v>328624</v>
      </c>
      <c r="G31" s="28">
        <f>TrRoad_act!G112</f>
        <v>341443</v>
      </c>
      <c r="H31" s="28">
        <f>TrRoad_act!H112</f>
        <v>313355</v>
      </c>
      <c r="I31" s="28">
        <f>TrRoad_act!I112</f>
        <v>325035</v>
      </c>
      <c r="J31" s="28">
        <f>TrRoad_act!J112</f>
        <v>340252</v>
      </c>
      <c r="K31" s="28">
        <f>TrRoad_act!K112</f>
        <v>266404</v>
      </c>
      <c r="L31" s="28">
        <f>TrRoad_act!L112</f>
        <v>550246</v>
      </c>
      <c r="M31" s="28">
        <f>TrRoad_act!M112</f>
        <v>264904</v>
      </c>
      <c r="N31" s="28">
        <f>TrRoad_act!N112</f>
        <v>174438</v>
      </c>
      <c r="O31" s="28">
        <f>TrRoad_act!O112</f>
        <v>186392</v>
      </c>
      <c r="P31" s="28">
        <f>TrRoad_act!P112</f>
        <v>436194</v>
      </c>
      <c r="Q31" s="28">
        <f>TrRoad_act!Q112</f>
        <v>311880</v>
      </c>
      <c r="R31" s="28">
        <f>TrRoad_act!R112</f>
        <v>354056</v>
      </c>
      <c r="S31" s="28">
        <f>TrRoad_act!S112</f>
        <v>472154</v>
      </c>
      <c r="T31" s="28">
        <f>TrRoad_act!T112</f>
        <v>405277</v>
      </c>
      <c r="U31" s="28">
        <f>TrRoad_act!U112</f>
        <v>339798</v>
      </c>
      <c r="V31" s="28">
        <f>TrRoad_act!V112</f>
        <v>224791</v>
      </c>
      <c r="W31" s="28">
        <f>TrRoad_act!W112</f>
        <v>232121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31889</v>
      </c>
      <c r="C32" s="137">
        <f>TrRoad_act!C113</f>
        <v>40448</v>
      </c>
      <c r="D32" s="137">
        <f>TrRoad_act!D113</f>
        <v>35545</v>
      </c>
      <c r="E32" s="137">
        <f>TrRoad_act!E113</f>
        <v>30316</v>
      </c>
      <c r="F32" s="137">
        <f>TrRoad_act!F113</f>
        <v>31122</v>
      </c>
      <c r="G32" s="137">
        <f>TrRoad_act!G113</f>
        <v>30685</v>
      </c>
      <c r="H32" s="137">
        <f>TrRoad_act!H113</f>
        <v>20583</v>
      </c>
      <c r="I32" s="137">
        <f>TrRoad_act!I113</f>
        <v>21584</v>
      </c>
      <c r="J32" s="137">
        <f>TrRoad_act!J113</f>
        <v>19372</v>
      </c>
      <c r="K32" s="137">
        <f>TrRoad_act!K113</f>
        <v>24255</v>
      </c>
      <c r="L32" s="137">
        <f>TrRoad_act!L113</f>
        <v>34013</v>
      </c>
      <c r="M32" s="137">
        <f>TrRoad_act!M113</f>
        <v>34087</v>
      </c>
      <c r="N32" s="137">
        <f>TrRoad_act!N113</f>
        <v>30924</v>
      </c>
      <c r="O32" s="137">
        <f>TrRoad_act!O113</f>
        <v>27275</v>
      </c>
      <c r="P32" s="137">
        <f>TrRoad_act!P113</f>
        <v>27763</v>
      </c>
      <c r="Q32" s="137">
        <f>TrRoad_act!Q113</f>
        <v>43447</v>
      </c>
      <c r="R32" s="137">
        <f>TrRoad_act!R113</f>
        <v>42156</v>
      </c>
      <c r="S32" s="137">
        <f>TrRoad_act!S113</f>
        <v>48701</v>
      </c>
      <c r="T32" s="137">
        <f>TrRoad_act!T113</f>
        <v>42180</v>
      </c>
      <c r="U32" s="137">
        <f>TrRoad_act!U113</f>
        <v>54105</v>
      </c>
      <c r="V32" s="137">
        <f>TrRoad_act!V113</f>
        <v>40315</v>
      </c>
      <c r="W32" s="137">
        <f>TrRoad_act!W113</f>
        <v>46531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386754</v>
      </c>
      <c r="C33" s="110">
        <f>TrRoad_act!C114</f>
        <v>382815</v>
      </c>
      <c r="D33" s="110">
        <f>TrRoad_act!D114</f>
        <v>524753</v>
      </c>
      <c r="E33" s="110">
        <f>TrRoad_act!E114</f>
        <v>284688</v>
      </c>
      <c r="F33" s="110">
        <f>TrRoad_act!F114</f>
        <v>296468</v>
      </c>
      <c r="G33" s="110">
        <f>TrRoad_act!G114</f>
        <v>309732</v>
      </c>
      <c r="H33" s="110">
        <f>TrRoad_act!H114</f>
        <v>292053</v>
      </c>
      <c r="I33" s="110">
        <f>TrRoad_act!I114</f>
        <v>302724</v>
      </c>
      <c r="J33" s="110">
        <f>TrRoad_act!J114</f>
        <v>320084</v>
      </c>
      <c r="K33" s="110">
        <f>TrRoad_act!K114</f>
        <v>241520</v>
      </c>
      <c r="L33" s="110">
        <f>TrRoad_act!L114</f>
        <v>515196</v>
      </c>
      <c r="M33" s="110">
        <f>TrRoad_act!M114</f>
        <v>230106</v>
      </c>
      <c r="N33" s="110">
        <f>TrRoad_act!N114</f>
        <v>142935</v>
      </c>
      <c r="O33" s="110">
        <f>TrRoad_act!O114</f>
        <v>158882</v>
      </c>
      <c r="P33" s="110">
        <f>TrRoad_act!P114</f>
        <v>405619</v>
      </c>
      <c r="Q33" s="110">
        <f>TrRoad_act!Q114</f>
        <v>267743</v>
      </c>
      <c r="R33" s="110">
        <f>TrRoad_act!R114</f>
        <v>310995</v>
      </c>
      <c r="S33" s="110">
        <f>TrRoad_act!S114</f>
        <v>422994</v>
      </c>
      <c r="T33" s="110">
        <f>TrRoad_act!T114</f>
        <v>362454</v>
      </c>
      <c r="U33" s="110">
        <f>TrRoad_act!U114</f>
        <v>283198</v>
      </c>
      <c r="V33" s="110">
        <f>TrRoad_act!V114</f>
        <v>184012</v>
      </c>
      <c r="W33" s="110">
        <f>TrRoad_act!W114</f>
        <v>184921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276160</v>
      </c>
      <c r="C34" s="84">
        <f>TrRoad_act!C115</f>
        <v>273942</v>
      </c>
      <c r="D34" s="84">
        <f>TrRoad_act!D115</f>
        <v>343189</v>
      </c>
      <c r="E34" s="84">
        <f>TrRoad_act!E115</f>
        <v>155391</v>
      </c>
      <c r="F34" s="84">
        <f>TrRoad_act!F115</f>
        <v>128356</v>
      </c>
      <c r="G34" s="84">
        <f>TrRoad_act!G115</f>
        <v>110996</v>
      </c>
      <c r="H34" s="84">
        <f>TrRoad_act!H115</f>
        <v>101605</v>
      </c>
      <c r="I34" s="84">
        <f>TrRoad_act!I115</f>
        <v>92936</v>
      </c>
      <c r="J34" s="84">
        <f>TrRoad_act!J115</f>
        <v>97226</v>
      </c>
      <c r="K34" s="84">
        <f>TrRoad_act!K115</f>
        <v>69880</v>
      </c>
      <c r="L34" s="84">
        <f>TrRoad_act!L115</f>
        <v>283769</v>
      </c>
      <c r="M34" s="84">
        <f>TrRoad_act!M115</f>
        <v>69073</v>
      </c>
      <c r="N34" s="84">
        <f>TrRoad_act!N115</f>
        <v>35801</v>
      </c>
      <c r="O34" s="84">
        <f>TrRoad_act!O115</f>
        <v>39699</v>
      </c>
      <c r="P34" s="84">
        <f>TrRoad_act!P115</f>
        <v>130412</v>
      </c>
      <c r="Q34" s="84">
        <f>TrRoad_act!Q115</f>
        <v>79791</v>
      </c>
      <c r="R34" s="84">
        <f>TrRoad_act!R115</f>
        <v>101300</v>
      </c>
      <c r="S34" s="84">
        <f>TrRoad_act!S115</f>
        <v>147054</v>
      </c>
      <c r="T34" s="84">
        <f>TrRoad_act!T115</f>
        <v>134201</v>
      </c>
      <c r="U34" s="84">
        <f>TrRoad_act!U115</f>
        <v>127650</v>
      </c>
      <c r="V34" s="84">
        <f>TrRoad_act!V115</f>
        <v>53417</v>
      </c>
      <c r="W34" s="84">
        <f>TrRoad_act!W115</f>
        <v>69769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93594</v>
      </c>
      <c r="C35" s="84">
        <f>TrRoad_act!C116</f>
        <v>108873</v>
      </c>
      <c r="D35" s="84">
        <f>TrRoad_act!D116</f>
        <v>181564</v>
      </c>
      <c r="E35" s="84">
        <f>TrRoad_act!E116</f>
        <v>127853</v>
      </c>
      <c r="F35" s="84">
        <f>TrRoad_act!F116</f>
        <v>167801</v>
      </c>
      <c r="G35" s="84">
        <f>TrRoad_act!G116</f>
        <v>196029</v>
      </c>
      <c r="H35" s="84">
        <f>TrRoad_act!H116</f>
        <v>190448</v>
      </c>
      <c r="I35" s="84">
        <f>TrRoad_act!I116</f>
        <v>209788</v>
      </c>
      <c r="J35" s="84">
        <f>TrRoad_act!J116</f>
        <v>218905</v>
      </c>
      <c r="K35" s="84">
        <f>TrRoad_act!K116</f>
        <v>160828</v>
      </c>
      <c r="L35" s="84">
        <f>TrRoad_act!L116</f>
        <v>229782</v>
      </c>
      <c r="M35" s="84">
        <f>TrRoad_act!M116</f>
        <v>160039</v>
      </c>
      <c r="N35" s="84">
        <f>TrRoad_act!N116</f>
        <v>101018</v>
      </c>
      <c r="O35" s="84">
        <f>TrRoad_act!O116</f>
        <v>115512</v>
      </c>
      <c r="P35" s="84">
        <f>TrRoad_act!P116</f>
        <v>267522</v>
      </c>
      <c r="Q35" s="84">
        <f>TrRoad_act!Q116</f>
        <v>184199</v>
      </c>
      <c r="R35" s="84">
        <f>TrRoad_act!R116</f>
        <v>204400</v>
      </c>
      <c r="S35" s="84">
        <f>TrRoad_act!S116</f>
        <v>263598</v>
      </c>
      <c r="T35" s="84">
        <f>TrRoad_act!T116</f>
        <v>207690</v>
      </c>
      <c r="U35" s="84">
        <f>TrRoad_act!U116</f>
        <v>132106</v>
      </c>
      <c r="V35" s="84">
        <f>TrRoad_act!V116</f>
        <v>107296</v>
      </c>
      <c r="W35" s="84">
        <f>TrRoad_act!W116</f>
        <v>80569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17000</v>
      </c>
      <c r="C36" s="84">
        <f>TrRoad_act!C117</f>
        <v>0</v>
      </c>
      <c r="D36" s="84">
        <f>TrRoad_act!D117</f>
        <v>0</v>
      </c>
      <c r="E36" s="84">
        <f>TrRoad_act!E117</f>
        <v>1444</v>
      </c>
      <c r="F36" s="84">
        <f>TrRoad_act!F117</f>
        <v>311</v>
      </c>
      <c r="G36" s="84">
        <f>TrRoad_act!G117</f>
        <v>2707</v>
      </c>
      <c r="H36" s="84">
        <f>TrRoad_act!H117</f>
        <v>0</v>
      </c>
      <c r="I36" s="84">
        <f>TrRoad_act!I117</f>
        <v>0</v>
      </c>
      <c r="J36" s="84">
        <f>TrRoad_act!J117</f>
        <v>3925</v>
      </c>
      <c r="K36" s="84">
        <f>TrRoad_act!K117</f>
        <v>10811</v>
      </c>
      <c r="L36" s="84">
        <f>TrRoad_act!L117</f>
        <v>924</v>
      </c>
      <c r="M36" s="84">
        <f>TrRoad_act!M117</f>
        <v>773</v>
      </c>
      <c r="N36" s="84">
        <f>TrRoad_act!N117</f>
        <v>6000</v>
      </c>
      <c r="O36" s="84">
        <f>TrRoad_act!O117</f>
        <v>3443</v>
      </c>
      <c r="P36" s="84">
        <f>TrRoad_act!P117</f>
        <v>7382</v>
      </c>
      <c r="Q36" s="84">
        <f>TrRoad_act!Q117</f>
        <v>2523</v>
      </c>
      <c r="R36" s="84">
        <f>TrRoad_act!R117</f>
        <v>2814</v>
      </c>
      <c r="S36" s="84">
        <f>TrRoad_act!S117</f>
        <v>4747</v>
      </c>
      <c r="T36" s="84">
        <f>TrRoad_act!T117</f>
        <v>5790</v>
      </c>
      <c r="U36" s="84">
        <f>TrRoad_act!U117</f>
        <v>3272</v>
      </c>
      <c r="V36" s="84">
        <f>TrRoad_act!V117</f>
        <v>3502</v>
      </c>
      <c r="W36" s="84">
        <f>TrRoad_act!W117</f>
        <v>5230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0</v>
      </c>
      <c r="N37" s="84">
        <f>TrRoad_act!N118</f>
        <v>5</v>
      </c>
      <c r="O37" s="84">
        <f>TrRoad_act!O118</f>
        <v>16</v>
      </c>
      <c r="P37" s="84">
        <f>TrRoad_act!P118</f>
        <v>4</v>
      </c>
      <c r="Q37" s="84">
        <f>TrRoad_act!Q118</f>
        <v>7</v>
      </c>
      <c r="R37" s="84">
        <f>TrRoad_act!R118</f>
        <v>8</v>
      </c>
      <c r="S37" s="84">
        <f>TrRoad_act!S118</f>
        <v>8</v>
      </c>
      <c r="T37" s="84">
        <f>TrRoad_act!T118</f>
        <v>23</v>
      </c>
      <c r="U37" s="84">
        <f>TrRoad_act!U118</f>
        <v>47</v>
      </c>
      <c r="V37" s="84">
        <f>TrRoad_act!V118</f>
        <v>31</v>
      </c>
      <c r="W37" s="84">
        <f>TrRoad_act!W118</f>
        <v>31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18</v>
      </c>
      <c r="N38" s="84">
        <f>TrRoad_act!N119</f>
        <v>45</v>
      </c>
      <c r="O38" s="84">
        <f>TrRoad_act!O119</f>
        <v>45</v>
      </c>
      <c r="P38" s="84">
        <f>TrRoad_act!P119</f>
        <v>101</v>
      </c>
      <c r="Q38" s="84">
        <f>TrRoad_act!Q119</f>
        <v>531</v>
      </c>
      <c r="R38" s="84">
        <f>TrRoad_act!R119</f>
        <v>1080</v>
      </c>
      <c r="S38" s="84">
        <f>TrRoad_act!S119</f>
        <v>2530</v>
      </c>
      <c r="T38" s="84">
        <f>TrRoad_act!T119</f>
        <v>5367</v>
      </c>
      <c r="U38" s="84">
        <f>TrRoad_act!U119</f>
        <v>7838</v>
      </c>
      <c r="V38" s="84">
        <f>TrRoad_act!V119</f>
        <v>11858</v>
      </c>
      <c r="W38" s="84">
        <f>TrRoad_act!W119</f>
        <v>15776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28</v>
      </c>
      <c r="K39" s="84">
        <f>TrRoad_act!K120</f>
        <v>1</v>
      </c>
      <c r="L39" s="84">
        <f>TrRoad_act!L120</f>
        <v>719</v>
      </c>
      <c r="M39" s="84">
        <f>TrRoad_act!M120</f>
        <v>203</v>
      </c>
      <c r="N39" s="84">
        <f>TrRoad_act!N120</f>
        <v>66</v>
      </c>
      <c r="O39" s="84">
        <f>TrRoad_act!O120</f>
        <v>167</v>
      </c>
      <c r="P39" s="84">
        <f>TrRoad_act!P120</f>
        <v>198</v>
      </c>
      <c r="Q39" s="84">
        <f>TrRoad_act!Q120</f>
        <v>692</v>
      </c>
      <c r="R39" s="84">
        <f>TrRoad_act!R120</f>
        <v>1393</v>
      </c>
      <c r="S39" s="84">
        <f>TrRoad_act!S120</f>
        <v>5057</v>
      </c>
      <c r="T39" s="84">
        <f>TrRoad_act!T120</f>
        <v>9383</v>
      </c>
      <c r="U39" s="84">
        <f>TrRoad_act!U120</f>
        <v>12285</v>
      </c>
      <c r="V39" s="84">
        <f>TrRoad_act!V120</f>
        <v>7908</v>
      </c>
      <c r="W39" s="84">
        <f>TrRoad_act!W120</f>
        <v>13546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1458</v>
      </c>
      <c r="C40" s="110">
        <f>TrRoad_act!C121</f>
        <v>1265</v>
      </c>
      <c r="D40" s="110">
        <f>TrRoad_act!D121</f>
        <v>1016</v>
      </c>
      <c r="E40" s="110">
        <f>TrRoad_act!E121</f>
        <v>1066</v>
      </c>
      <c r="F40" s="110">
        <f>TrRoad_act!F121</f>
        <v>1034</v>
      </c>
      <c r="G40" s="110">
        <f>TrRoad_act!G121</f>
        <v>1026</v>
      </c>
      <c r="H40" s="110">
        <f>TrRoad_act!H121</f>
        <v>719</v>
      </c>
      <c r="I40" s="110">
        <f>TrRoad_act!I121</f>
        <v>727</v>
      </c>
      <c r="J40" s="110">
        <f>TrRoad_act!J121</f>
        <v>796</v>
      </c>
      <c r="K40" s="110">
        <f>TrRoad_act!K121</f>
        <v>629</v>
      </c>
      <c r="L40" s="110">
        <f>TrRoad_act!L121</f>
        <v>1037</v>
      </c>
      <c r="M40" s="110">
        <f>TrRoad_act!M121</f>
        <v>711</v>
      </c>
      <c r="N40" s="110">
        <f>TrRoad_act!N121</f>
        <v>579</v>
      </c>
      <c r="O40" s="110">
        <f>TrRoad_act!O121</f>
        <v>235</v>
      </c>
      <c r="P40" s="110">
        <f>TrRoad_act!P121</f>
        <v>2812</v>
      </c>
      <c r="Q40" s="110">
        <f>TrRoad_act!Q121</f>
        <v>690</v>
      </c>
      <c r="R40" s="110">
        <f>TrRoad_act!R121</f>
        <v>905</v>
      </c>
      <c r="S40" s="110">
        <f>TrRoad_act!S121</f>
        <v>459</v>
      </c>
      <c r="T40" s="110">
        <f>TrRoad_act!T121</f>
        <v>643</v>
      </c>
      <c r="U40" s="110">
        <f>TrRoad_act!U121</f>
        <v>2495</v>
      </c>
      <c r="V40" s="110">
        <f>TrRoad_act!V121</f>
        <v>464</v>
      </c>
      <c r="W40" s="110">
        <f>TrRoad_act!W121</f>
        <v>669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6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1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1458</v>
      </c>
      <c r="C42" s="102">
        <f>TrRoad_act!C123</f>
        <v>1113</v>
      </c>
      <c r="D42" s="102">
        <f>TrRoad_act!D123</f>
        <v>902</v>
      </c>
      <c r="E42" s="102">
        <f>TrRoad_act!E123</f>
        <v>956</v>
      </c>
      <c r="F42" s="102">
        <f>TrRoad_act!F123</f>
        <v>999</v>
      </c>
      <c r="G42" s="102">
        <f>TrRoad_act!G123</f>
        <v>909</v>
      </c>
      <c r="H42" s="102">
        <f>TrRoad_act!H123</f>
        <v>719</v>
      </c>
      <c r="I42" s="102">
        <f>TrRoad_act!I123</f>
        <v>674</v>
      </c>
      <c r="J42" s="102">
        <f>TrRoad_act!J123</f>
        <v>757</v>
      </c>
      <c r="K42" s="102">
        <f>TrRoad_act!K123</f>
        <v>607</v>
      </c>
      <c r="L42" s="102">
        <f>TrRoad_act!L123</f>
        <v>1012</v>
      </c>
      <c r="M42" s="102">
        <f>TrRoad_act!M123</f>
        <v>711</v>
      </c>
      <c r="N42" s="102">
        <f>TrRoad_act!N123</f>
        <v>568</v>
      </c>
      <c r="O42" s="102">
        <f>TrRoad_act!O123</f>
        <v>234</v>
      </c>
      <c r="P42" s="102">
        <f>TrRoad_act!P123</f>
        <v>2810</v>
      </c>
      <c r="Q42" s="102">
        <f>TrRoad_act!Q123</f>
        <v>689</v>
      </c>
      <c r="R42" s="102">
        <f>TrRoad_act!R123</f>
        <v>903</v>
      </c>
      <c r="S42" s="102">
        <f>TrRoad_act!S123</f>
        <v>445</v>
      </c>
      <c r="T42" s="102">
        <f>TrRoad_act!T123</f>
        <v>455</v>
      </c>
      <c r="U42" s="102">
        <f>TrRoad_act!U123</f>
        <v>2253</v>
      </c>
      <c r="V42" s="102">
        <f>TrRoad_act!V123</f>
        <v>329</v>
      </c>
      <c r="W42" s="102">
        <f>TrRoad_act!W123</f>
        <v>407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2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152</v>
      </c>
      <c r="D44" s="102">
        <f>TrRoad_act!D125</f>
        <v>114</v>
      </c>
      <c r="E44" s="102">
        <f>TrRoad_act!E125</f>
        <v>110</v>
      </c>
      <c r="F44" s="102">
        <f>TrRoad_act!F125</f>
        <v>35</v>
      </c>
      <c r="G44" s="102">
        <f>TrRoad_act!G125</f>
        <v>117</v>
      </c>
      <c r="H44" s="102">
        <f>TrRoad_act!H125</f>
        <v>0</v>
      </c>
      <c r="I44" s="102">
        <f>TrRoad_act!I125</f>
        <v>53</v>
      </c>
      <c r="J44" s="102">
        <f>TrRoad_act!J125</f>
        <v>39</v>
      </c>
      <c r="K44" s="102">
        <f>TrRoad_act!K125</f>
        <v>22</v>
      </c>
      <c r="L44" s="102">
        <f>TrRoad_act!L125</f>
        <v>3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129</v>
      </c>
      <c r="U44" s="102">
        <f>TrRoad_act!U125</f>
        <v>207</v>
      </c>
      <c r="V44" s="102">
        <f>TrRoad_act!V125</f>
        <v>110</v>
      </c>
      <c r="W44" s="102">
        <f>TrRoad_act!W125</f>
        <v>224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13</v>
      </c>
      <c r="M45" s="102">
        <f>TrRoad_act!M126</f>
        <v>0</v>
      </c>
      <c r="N45" s="102">
        <f>TrRoad_act!N126</f>
        <v>11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14</v>
      </c>
      <c r="T45" s="102">
        <f>TrRoad_act!T126</f>
        <v>59</v>
      </c>
      <c r="U45" s="102">
        <f>TrRoad_act!U126</f>
        <v>34</v>
      </c>
      <c r="V45" s="102">
        <f>TrRoad_act!V126</f>
        <v>25</v>
      </c>
      <c r="W45" s="102">
        <f>TrRoad_act!W126</f>
        <v>38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382</v>
      </c>
      <c r="C46" s="28">
        <f>TrRoad_act!C127</f>
        <v>203664</v>
      </c>
      <c r="D46" s="28">
        <f>TrRoad_act!D127</f>
        <v>39852</v>
      </c>
      <c r="E46" s="28">
        <f>TrRoad_act!E127</f>
        <v>3836</v>
      </c>
      <c r="F46" s="28">
        <f>TrRoad_act!F127</f>
        <v>60585</v>
      </c>
      <c r="G46" s="28">
        <f>TrRoad_act!G127</f>
        <v>114210</v>
      </c>
      <c r="H46" s="28">
        <f>TrRoad_act!H127</f>
        <v>126300</v>
      </c>
      <c r="I46" s="28">
        <f>TrRoad_act!I127</f>
        <v>132472</v>
      </c>
      <c r="J46" s="28">
        <f>TrRoad_act!J127</f>
        <v>117858</v>
      </c>
      <c r="K46" s="28">
        <f>TrRoad_act!K127</f>
        <v>120490</v>
      </c>
      <c r="L46" s="28">
        <f>TrRoad_act!L127</f>
        <v>117281</v>
      </c>
      <c r="M46" s="28">
        <f>TrRoad_act!M127</f>
        <v>97657</v>
      </c>
      <c r="N46" s="28">
        <f>TrRoad_act!N127</f>
        <v>13772</v>
      </c>
      <c r="O46" s="28">
        <f>TrRoad_act!O127</f>
        <v>44581</v>
      </c>
      <c r="P46" s="28">
        <f>TrRoad_act!P127</f>
        <v>206919</v>
      </c>
      <c r="Q46" s="28">
        <f>TrRoad_act!Q127</f>
        <v>69402</v>
      </c>
      <c r="R46" s="28">
        <f>TrRoad_act!R127</f>
        <v>99479</v>
      </c>
      <c r="S46" s="28">
        <f>TrRoad_act!S127</f>
        <v>124189</v>
      </c>
      <c r="T46" s="28">
        <f>TrRoad_act!T127</f>
        <v>129240</v>
      </c>
      <c r="U46" s="28">
        <f>TrRoad_act!U127</f>
        <v>237551</v>
      </c>
      <c r="V46" s="28">
        <f>TrRoad_act!V127</f>
        <v>25938</v>
      </c>
      <c r="W46" s="28">
        <f>TrRoad_act!W127</f>
        <v>35153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196092</v>
      </c>
      <c r="D47" s="137">
        <f>TrRoad_act!D128</f>
        <v>35629</v>
      </c>
      <c r="E47" s="137">
        <f>TrRoad_act!E128</f>
        <v>2092</v>
      </c>
      <c r="F47" s="137">
        <f>TrRoad_act!F128</f>
        <v>52576</v>
      </c>
      <c r="G47" s="137">
        <f>TrRoad_act!G128</f>
        <v>107592</v>
      </c>
      <c r="H47" s="137">
        <f>TrRoad_act!H128</f>
        <v>119012</v>
      </c>
      <c r="I47" s="137">
        <f>TrRoad_act!I128</f>
        <v>124659</v>
      </c>
      <c r="J47" s="137">
        <f>TrRoad_act!J128</f>
        <v>111033</v>
      </c>
      <c r="K47" s="137">
        <f>TrRoad_act!K128</f>
        <v>112563</v>
      </c>
      <c r="L47" s="137">
        <f>TrRoad_act!L128</f>
        <v>109854</v>
      </c>
      <c r="M47" s="137">
        <f>TrRoad_act!M128</f>
        <v>93629</v>
      </c>
      <c r="N47" s="137">
        <f>TrRoad_act!N128</f>
        <v>12922</v>
      </c>
      <c r="O47" s="137">
        <f>TrRoad_act!O128</f>
        <v>42502</v>
      </c>
      <c r="P47" s="137">
        <f>TrRoad_act!P128</f>
        <v>195905</v>
      </c>
      <c r="Q47" s="137">
        <f>TrRoad_act!Q128</f>
        <v>63146</v>
      </c>
      <c r="R47" s="137">
        <f>TrRoad_act!R128</f>
        <v>92263</v>
      </c>
      <c r="S47" s="137">
        <f>TrRoad_act!S128</f>
        <v>111573</v>
      </c>
      <c r="T47" s="137">
        <f>TrRoad_act!T128</f>
        <v>117375</v>
      </c>
      <c r="U47" s="137">
        <f>TrRoad_act!U128</f>
        <v>218526</v>
      </c>
      <c r="V47" s="137">
        <f>TrRoad_act!V128</f>
        <v>24932</v>
      </c>
      <c r="W47" s="137">
        <f>TrRoad_act!W128</f>
        <v>32542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792</v>
      </c>
      <c r="D48" s="84">
        <f>TrRoad_act!D129</f>
        <v>3</v>
      </c>
      <c r="E48" s="84">
        <f>TrRoad_act!E129</f>
        <v>2009</v>
      </c>
      <c r="F48" s="84">
        <f>TrRoad_act!F129</f>
        <v>0</v>
      </c>
      <c r="G48" s="84">
        <f>TrRoad_act!G129</f>
        <v>1157</v>
      </c>
      <c r="H48" s="84">
        <f>TrRoad_act!H129</f>
        <v>1453</v>
      </c>
      <c r="I48" s="84">
        <f>TrRoad_act!I129</f>
        <v>1527</v>
      </c>
      <c r="J48" s="84">
        <f>TrRoad_act!J129</f>
        <v>1315</v>
      </c>
      <c r="K48" s="84">
        <f>TrRoad_act!K129</f>
        <v>1326</v>
      </c>
      <c r="L48" s="84">
        <f>TrRoad_act!L129</f>
        <v>1261</v>
      </c>
      <c r="M48" s="84">
        <f>TrRoad_act!M129</f>
        <v>0</v>
      </c>
      <c r="N48" s="84">
        <f>TrRoad_act!N129</f>
        <v>2</v>
      </c>
      <c r="O48" s="84">
        <f>TrRoad_act!O129</f>
        <v>0</v>
      </c>
      <c r="P48" s="84">
        <f>TrRoad_act!P129</f>
        <v>370</v>
      </c>
      <c r="Q48" s="84">
        <f>TrRoad_act!Q129</f>
        <v>1978</v>
      </c>
      <c r="R48" s="84">
        <f>TrRoad_act!R129</f>
        <v>424</v>
      </c>
      <c r="S48" s="84">
        <f>TrRoad_act!S129</f>
        <v>1696</v>
      </c>
      <c r="T48" s="84">
        <f>TrRoad_act!T129</f>
        <v>467</v>
      </c>
      <c r="U48" s="84">
        <f>TrRoad_act!U129</f>
        <v>5280</v>
      </c>
      <c r="V48" s="84">
        <f>TrRoad_act!V129</f>
        <v>81</v>
      </c>
      <c r="W48" s="84">
        <f>TrRoad_act!W129</f>
        <v>83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195262</v>
      </c>
      <c r="D49" s="84">
        <f>TrRoad_act!D130</f>
        <v>35601</v>
      </c>
      <c r="E49" s="84">
        <f>TrRoad_act!E130</f>
        <v>0</v>
      </c>
      <c r="F49" s="84">
        <f>TrRoad_act!F130</f>
        <v>52571</v>
      </c>
      <c r="G49" s="84">
        <f>TrRoad_act!G130</f>
        <v>106375</v>
      </c>
      <c r="H49" s="84">
        <f>TrRoad_act!H130</f>
        <v>117492</v>
      </c>
      <c r="I49" s="84">
        <f>TrRoad_act!I130</f>
        <v>123061</v>
      </c>
      <c r="J49" s="84">
        <f>TrRoad_act!J130</f>
        <v>109657</v>
      </c>
      <c r="K49" s="84">
        <f>TrRoad_act!K130</f>
        <v>111174</v>
      </c>
      <c r="L49" s="84">
        <f>TrRoad_act!L130</f>
        <v>108559</v>
      </c>
      <c r="M49" s="84">
        <f>TrRoad_act!M130</f>
        <v>93591</v>
      </c>
      <c r="N49" s="84">
        <f>TrRoad_act!N130</f>
        <v>12900</v>
      </c>
      <c r="O49" s="84">
        <f>TrRoad_act!O130</f>
        <v>42440</v>
      </c>
      <c r="P49" s="84">
        <f>TrRoad_act!P130</f>
        <v>195423</v>
      </c>
      <c r="Q49" s="84">
        <f>TrRoad_act!Q130</f>
        <v>61006</v>
      </c>
      <c r="R49" s="84">
        <f>TrRoad_act!R130</f>
        <v>91756</v>
      </c>
      <c r="S49" s="84">
        <f>TrRoad_act!S130</f>
        <v>109383</v>
      </c>
      <c r="T49" s="84">
        <f>TrRoad_act!T130</f>
        <v>116282</v>
      </c>
      <c r="U49" s="84">
        <f>TrRoad_act!U130</f>
        <v>212636</v>
      </c>
      <c r="V49" s="84">
        <f>TrRoad_act!V130</f>
        <v>24463</v>
      </c>
      <c r="W49" s="84">
        <f>TrRoad_act!W130</f>
        <v>32050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38</v>
      </c>
      <c r="D50" s="84">
        <f>TrRoad_act!D131</f>
        <v>25</v>
      </c>
      <c r="E50" s="84">
        <f>TrRoad_act!E131</f>
        <v>83</v>
      </c>
      <c r="F50" s="84">
        <f>TrRoad_act!F131</f>
        <v>5</v>
      </c>
      <c r="G50" s="84">
        <f>TrRoad_act!G131</f>
        <v>60</v>
      </c>
      <c r="H50" s="84">
        <f>TrRoad_act!H131</f>
        <v>67</v>
      </c>
      <c r="I50" s="84">
        <f>TrRoad_act!I131</f>
        <v>71</v>
      </c>
      <c r="J50" s="84">
        <f>TrRoad_act!J131</f>
        <v>61</v>
      </c>
      <c r="K50" s="84">
        <f>TrRoad_act!K131</f>
        <v>63</v>
      </c>
      <c r="L50" s="84">
        <f>TrRoad_act!L131</f>
        <v>34</v>
      </c>
      <c r="M50" s="84">
        <f>TrRoad_act!M131</f>
        <v>33</v>
      </c>
      <c r="N50" s="84">
        <f>TrRoad_act!N131</f>
        <v>4</v>
      </c>
      <c r="O50" s="84">
        <f>TrRoad_act!O131</f>
        <v>13</v>
      </c>
      <c r="P50" s="84">
        <f>TrRoad_act!P131</f>
        <v>76</v>
      </c>
      <c r="Q50" s="84">
        <f>TrRoad_act!Q131</f>
        <v>75</v>
      </c>
      <c r="R50" s="84">
        <f>TrRoad_act!R131</f>
        <v>14</v>
      </c>
      <c r="S50" s="84">
        <f>TrRoad_act!S131</f>
        <v>54</v>
      </c>
      <c r="T50" s="84">
        <f>TrRoad_act!T131</f>
        <v>58</v>
      </c>
      <c r="U50" s="84">
        <f>TrRoad_act!U131</f>
        <v>196</v>
      </c>
      <c r="V50" s="84">
        <f>TrRoad_act!V131</f>
        <v>0</v>
      </c>
      <c r="W50" s="84">
        <f>TrRoad_act!W131</f>
        <v>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5</v>
      </c>
      <c r="P51" s="84">
        <f>TrRoad_act!P132</f>
        <v>8</v>
      </c>
      <c r="Q51" s="84">
        <f>TrRoad_act!Q132</f>
        <v>7</v>
      </c>
      <c r="R51" s="84">
        <f>TrRoad_act!R132</f>
        <v>14</v>
      </c>
      <c r="S51" s="84">
        <f>TrRoad_act!S132</f>
        <v>4</v>
      </c>
      <c r="T51" s="84">
        <f>TrRoad_act!T132</f>
        <v>17</v>
      </c>
      <c r="U51" s="84">
        <f>TrRoad_act!U132</f>
        <v>33</v>
      </c>
      <c r="V51" s="84">
        <f>TrRoad_act!V132</f>
        <v>9</v>
      </c>
      <c r="W51" s="84">
        <f>TrRoad_act!W132</f>
        <v>39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5</v>
      </c>
      <c r="N52" s="84">
        <f>TrRoad_act!N133</f>
        <v>16</v>
      </c>
      <c r="O52" s="84">
        <f>TrRoad_act!O133</f>
        <v>44</v>
      </c>
      <c r="P52" s="84">
        <f>TrRoad_act!P133</f>
        <v>28</v>
      </c>
      <c r="Q52" s="84">
        <f>TrRoad_act!Q133</f>
        <v>80</v>
      </c>
      <c r="R52" s="84">
        <f>TrRoad_act!R133</f>
        <v>55</v>
      </c>
      <c r="S52" s="84">
        <f>TrRoad_act!S133</f>
        <v>436</v>
      </c>
      <c r="T52" s="84">
        <f>TrRoad_act!T133</f>
        <v>551</v>
      </c>
      <c r="U52" s="84">
        <f>TrRoad_act!U133</f>
        <v>381</v>
      </c>
      <c r="V52" s="84">
        <f>TrRoad_act!V133</f>
        <v>379</v>
      </c>
      <c r="W52" s="84">
        <f>TrRoad_act!W133</f>
        <v>365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382</v>
      </c>
      <c r="C53" s="110">
        <f>TrRoad_act!C134</f>
        <v>7572</v>
      </c>
      <c r="D53" s="110">
        <f>TrRoad_act!D134</f>
        <v>4223</v>
      </c>
      <c r="E53" s="110">
        <f>TrRoad_act!E134</f>
        <v>1744</v>
      </c>
      <c r="F53" s="110">
        <f>TrRoad_act!F134</f>
        <v>8009</v>
      </c>
      <c r="G53" s="110">
        <f>TrRoad_act!G134</f>
        <v>6618</v>
      </c>
      <c r="H53" s="110">
        <f>TrRoad_act!H134</f>
        <v>7288</v>
      </c>
      <c r="I53" s="110">
        <f>TrRoad_act!I134</f>
        <v>7813</v>
      </c>
      <c r="J53" s="110">
        <f>TrRoad_act!J134</f>
        <v>6825</v>
      </c>
      <c r="K53" s="110">
        <f>TrRoad_act!K134</f>
        <v>7927</v>
      </c>
      <c r="L53" s="110">
        <f>TrRoad_act!L134</f>
        <v>7427</v>
      </c>
      <c r="M53" s="110">
        <f>TrRoad_act!M134</f>
        <v>4028</v>
      </c>
      <c r="N53" s="110">
        <f>TrRoad_act!N134</f>
        <v>850</v>
      </c>
      <c r="O53" s="110">
        <f>TrRoad_act!O134</f>
        <v>2079</v>
      </c>
      <c r="P53" s="110">
        <f>TrRoad_act!P134</f>
        <v>11014</v>
      </c>
      <c r="Q53" s="110">
        <f>TrRoad_act!Q134</f>
        <v>6256</v>
      </c>
      <c r="R53" s="110">
        <f>TrRoad_act!R134</f>
        <v>7216</v>
      </c>
      <c r="S53" s="110">
        <f>TrRoad_act!S134</f>
        <v>12616</v>
      </c>
      <c r="T53" s="110">
        <f>TrRoad_act!T134</f>
        <v>11865</v>
      </c>
      <c r="U53" s="110">
        <f>TrRoad_act!U134</f>
        <v>19025</v>
      </c>
      <c r="V53" s="110">
        <f>TrRoad_act!V134</f>
        <v>1006</v>
      </c>
      <c r="W53" s="110">
        <f>TrRoad_act!W134</f>
        <v>2611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6739</v>
      </c>
      <c r="D54" s="102">
        <f>TrRoad_act!D135</f>
        <v>3385</v>
      </c>
      <c r="E54" s="102">
        <f>TrRoad_act!E135</f>
        <v>972</v>
      </c>
      <c r="F54" s="102">
        <f>TrRoad_act!F135</f>
        <v>6501</v>
      </c>
      <c r="G54" s="102">
        <f>TrRoad_act!G135</f>
        <v>5711</v>
      </c>
      <c r="H54" s="102">
        <f>TrRoad_act!H135</f>
        <v>6191</v>
      </c>
      <c r="I54" s="102">
        <f>TrRoad_act!I135</f>
        <v>6548</v>
      </c>
      <c r="J54" s="102">
        <f>TrRoad_act!J135</f>
        <v>6825</v>
      </c>
      <c r="K54" s="102">
        <f>TrRoad_act!K135</f>
        <v>7130</v>
      </c>
      <c r="L54" s="102">
        <f>TrRoad_act!L135</f>
        <v>7145</v>
      </c>
      <c r="M54" s="102">
        <f>TrRoad_act!M135</f>
        <v>2924</v>
      </c>
      <c r="N54" s="102">
        <f>TrRoad_act!N135</f>
        <v>850</v>
      </c>
      <c r="O54" s="102">
        <f>TrRoad_act!O135</f>
        <v>693</v>
      </c>
      <c r="P54" s="102">
        <f>TrRoad_act!P135</f>
        <v>10087</v>
      </c>
      <c r="Q54" s="102">
        <f>TrRoad_act!Q135</f>
        <v>5986</v>
      </c>
      <c r="R54" s="102">
        <f>TrRoad_act!R135</f>
        <v>6048</v>
      </c>
      <c r="S54" s="102">
        <f>TrRoad_act!S135</f>
        <v>12023</v>
      </c>
      <c r="T54" s="102">
        <f>TrRoad_act!T135</f>
        <v>10999</v>
      </c>
      <c r="U54" s="102">
        <f>TrRoad_act!U135</f>
        <v>18234</v>
      </c>
      <c r="V54" s="102">
        <f>TrRoad_act!V135</f>
        <v>1006</v>
      </c>
      <c r="W54" s="102">
        <f>TrRoad_act!W135</f>
        <v>1082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382</v>
      </c>
      <c r="C55" s="86">
        <f>TrRoad_act!C136</f>
        <v>833</v>
      </c>
      <c r="D55" s="86">
        <f>TrRoad_act!D136</f>
        <v>838</v>
      </c>
      <c r="E55" s="86">
        <f>TrRoad_act!E136</f>
        <v>772</v>
      </c>
      <c r="F55" s="86">
        <f>TrRoad_act!F136</f>
        <v>1508</v>
      </c>
      <c r="G55" s="86">
        <f>TrRoad_act!G136</f>
        <v>907</v>
      </c>
      <c r="H55" s="86">
        <f>TrRoad_act!H136</f>
        <v>1097</v>
      </c>
      <c r="I55" s="86">
        <f>TrRoad_act!I136</f>
        <v>1265</v>
      </c>
      <c r="J55" s="86">
        <f>TrRoad_act!J136</f>
        <v>0</v>
      </c>
      <c r="K55" s="86">
        <f>TrRoad_act!K136</f>
        <v>797</v>
      </c>
      <c r="L55" s="86">
        <f>TrRoad_act!L136</f>
        <v>282</v>
      </c>
      <c r="M55" s="86">
        <f>TrRoad_act!M136</f>
        <v>1104</v>
      </c>
      <c r="N55" s="86">
        <f>TrRoad_act!N136</f>
        <v>0</v>
      </c>
      <c r="O55" s="86">
        <f>TrRoad_act!O136</f>
        <v>1386</v>
      </c>
      <c r="P55" s="86">
        <f>TrRoad_act!P136</f>
        <v>927</v>
      </c>
      <c r="Q55" s="86">
        <f>TrRoad_act!Q136</f>
        <v>270</v>
      </c>
      <c r="R55" s="86">
        <f>TrRoad_act!R136</f>
        <v>1168</v>
      </c>
      <c r="S55" s="86">
        <f>TrRoad_act!S136</f>
        <v>593</v>
      </c>
      <c r="T55" s="86">
        <f>TrRoad_act!T136</f>
        <v>866</v>
      </c>
      <c r="U55" s="86">
        <f>TrRoad_act!U136</f>
        <v>791</v>
      </c>
      <c r="V55" s="86">
        <f>TrRoad_act!V136</f>
        <v>0</v>
      </c>
      <c r="W55" s="86">
        <f>TrRoad_act!W136</f>
        <v>1529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279672</v>
      </c>
      <c r="C59" s="54">
        <f t="shared" si="0"/>
        <v>210890</v>
      </c>
      <c r="D59" s="54">
        <f t="shared" si="0"/>
        <v>325072</v>
      </c>
      <c r="E59" s="54">
        <f t="shared" si="0"/>
        <v>197286</v>
      </c>
      <c r="F59" s="54">
        <f t="shared" si="0"/>
        <v>234071</v>
      </c>
      <c r="G59" s="54">
        <f t="shared" si="0"/>
        <v>277397</v>
      </c>
      <c r="H59" s="54">
        <f t="shared" si="0"/>
        <v>284227</v>
      </c>
      <c r="I59" s="54">
        <f t="shared" si="0"/>
        <v>316934</v>
      </c>
      <c r="J59" s="54">
        <f t="shared" si="0"/>
        <v>342009</v>
      </c>
      <c r="K59" s="54">
        <f t="shared" si="0"/>
        <v>298351</v>
      </c>
      <c r="L59" s="54">
        <f t="shared" ref="L59" si="1">L60+L75</f>
        <v>557483</v>
      </c>
      <c r="M59" s="54">
        <f t="shared" ref="M59:V59" si="2">M60+M75</f>
        <v>311243</v>
      </c>
      <c r="N59" s="54">
        <f t="shared" si="2"/>
        <v>172935</v>
      </c>
      <c r="O59" s="54">
        <f t="shared" si="2"/>
        <v>213327</v>
      </c>
      <c r="P59" s="54">
        <f t="shared" si="2"/>
        <v>602769</v>
      </c>
      <c r="Q59" s="54">
        <f t="shared" si="2"/>
        <v>367912</v>
      </c>
      <c r="R59" s="54">
        <f t="shared" si="2"/>
        <v>442588</v>
      </c>
      <c r="S59" s="54">
        <f t="shared" si="2"/>
        <v>588504</v>
      </c>
      <c r="T59" s="54">
        <f t="shared" si="2"/>
        <v>530799</v>
      </c>
      <c r="U59" s="54">
        <f t="shared" si="2"/>
        <v>575528</v>
      </c>
      <c r="V59" s="54">
        <f t="shared" si="2"/>
        <v>249726</v>
      </c>
      <c r="W59" s="54">
        <f t="shared" ref="W59" si="3">W60+W75</f>
        <v>267274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279672</v>
      </c>
      <c r="C60" s="28">
        <f t="shared" si="4"/>
        <v>204105</v>
      </c>
      <c r="D60" s="28">
        <f t="shared" si="4"/>
        <v>320472</v>
      </c>
      <c r="E60" s="28">
        <f t="shared" si="4"/>
        <v>197277</v>
      </c>
      <c r="F60" s="28">
        <f t="shared" si="4"/>
        <v>221166</v>
      </c>
      <c r="G60" s="28">
        <f t="shared" si="4"/>
        <v>244190</v>
      </c>
      <c r="H60" s="28">
        <f t="shared" si="4"/>
        <v>236428</v>
      </c>
      <c r="I60" s="28">
        <f t="shared" si="4"/>
        <v>257307</v>
      </c>
      <c r="J60" s="28">
        <f t="shared" si="4"/>
        <v>279788</v>
      </c>
      <c r="K60" s="28">
        <f t="shared" si="4"/>
        <v>226545</v>
      </c>
      <c r="L60" s="28">
        <f t="shared" ref="L60" si="5">L61+L62+L69</f>
        <v>478685</v>
      </c>
      <c r="M60" s="28">
        <f t="shared" ref="M60:V60" si="6">M61+M62+M69</f>
        <v>240186</v>
      </c>
      <c r="N60" s="28">
        <f t="shared" si="6"/>
        <v>161972</v>
      </c>
      <c r="O60" s="28">
        <f t="shared" si="6"/>
        <v>176571</v>
      </c>
      <c r="P60" s="28">
        <f t="shared" si="6"/>
        <v>418823</v>
      </c>
      <c r="Q60" s="28">
        <f t="shared" si="6"/>
        <v>303623</v>
      </c>
      <c r="R60" s="28">
        <f t="shared" si="6"/>
        <v>347987</v>
      </c>
      <c r="S60" s="28">
        <f t="shared" si="6"/>
        <v>467558</v>
      </c>
      <c r="T60" s="28">
        <f t="shared" si="6"/>
        <v>403258</v>
      </c>
      <c r="U60" s="28">
        <f t="shared" si="6"/>
        <v>339142</v>
      </c>
      <c r="V60" s="28">
        <f t="shared" si="6"/>
        <v>224065</v>
      </c>
      <c r="W60" s="28">
        <f t="shared" ref="W60" si="7">W61+W62+W69</f>
        <v>232121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16756</v>
      </c>
      <c r="E61" s="137">
        <v>18852</v>
      </c>
      <c r="F61" s="137">
        <v>21009</v>
      </c>
      <c r="G61" s="137">
        <v>22233</v>
      </c>
      <c r="H61" s="137">
        <v>15850</v>
      </c>
      <c r="I61" s="137">
        <v>17510</v>
      </c>
      <c r="J61" s="137">
        <v>16426</v>
      </c>
      <c r="K61" s="137">
        <v>21352</v>
      </c>
      <c r="L61" s="137">
        <v>30891</v>
      </c>
      <c r="M61" s="137">
        <v>31765</v>
      </c>
      <c r="N61" s="137">
        <v>29420</v>
      </c>
      <c r="O61" s="137">
        <v>26375</v>
      </c>
      <c r="P61" s="137">
        <v>27181</v>
      </c>
      <c r="Q61" s="137">
        <v>42915</v>
      </c>
      <c r="R61" s="137">
        <v>41889</v>
      </c>
      <c r="S61" s="137">
        <v>48569</v>
      </c>
      <c r="T61" s="137">
        <v>42145</v>
      </c>
      <c r="U61" s="137">
        <v>54098</v>
      </c>
      <c r="V61" s="137">
        <v>40311</v>
      </c>
      <c r="W61" s="137">
        <v>46531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279672</v>
      </c>
      <c r="C62" s="110">
        <f t="shared" si="8"/>
        <v>203746</v>
      </c>
      <c r="D62" s="110">
        <f t="shared" si="8"/>
        <v>303350</v>
      </c>
      <c r="E62" s="110">
        <f t="shared" si="8"/>
        <v>177979</v>
      </c>
      <c r="F62" s="110">
        <f t="shared" si="8"/>
        <v>199629</v>
      </c>
      <c r="G62" s="110">
        <f t="shared" si="8"/>
        <v>221399</v>
      </c>
      <c r="H62" s="110">
        <f t="shared" si="8"/>
        <v>220113</v>
      </c>
      <c r="I62" s="110">
        <f t="shared" si="8"/>
        <v>239288</v>
      </c>
      <c r="J62" s="110">
        <f t="shared" si="8"/>
        <v>262758</v>
      </c>
      <c r="K62" s="110">
        <f t="shared" si="8"/>
        <v>204688</v>
      </c>
      <c r="L62" s="110">
        <f t="shared" ref="L62" si="9">SUM(L63:L68)</f>
        <v>446933</v>
      </c>
      <c r="M62" s="110">
        <f t="shared" ref="M62:V62" si="10">SUM(M63:M68)</f>
        <v>207796</v>
      </c>
      <c r="N62" s="110">
        <f t="shared" si="10"/>
        <v>132035</v>
      </c>
      <c r="O62" s="110">
        <f t="shared" si="10"/>
        <v>149977</v>
      </c>
      <c r="P62" s="110">
        <f t="shared" si="10"/>
        <v>388956</v>
      </c>
      <c r="Q62" s="110">
        <f t="shared" si="10"/>
        <v>260038</v>
      </c>
      <c r="R62" s="110">
        <f t="shared" si="10"/>
        <v>305210</v>
      </c>
      <c r="S62" s="110">
        <f t="shared" si="10"/>
        <v>418548</v>
      </c>
      <c r="T62" s="110">
        <f t="shared" si="10"/>
        <v>360500</v>
      </c>
      <c r="U62" s="110">
        <f t="shared" si="10"/>
        <v>282556</v>
      </c>
      <c r="V62" s="110">
        <f t="shared" si="10"/>
        <v>183292</v>
      </c>
      <c r="W62" s="110">
        <f t="shared" ref="W62" si="11">SUM(W63:W68)</f>
        <v>184921</v>
      </c>
      <c r="DA62" s="176" t="s">
        <v>839</v>
      </c>
    </row>
    <row r="63" spans="1:105" ht="11.45" customHeight="1" x14ac:dyDescent="0.25">
      <c r="A63" s="111" t="s">
        <v>110</v>
      </c>
      <c r="B63" s="84">
        <v>224413</v>
      </c>
      <c r="C63" s="84">
        <v>140413</v>
      </c>
      <c r="D63" s="84">
        <v>190292</v>
      </c>
      <c r="E63" s="84">
        <v>92623</v>
      </c>
      <c r="F63" s="84">
        <v>81756</v>
      </c>
      <c r="G63" s="84">
        <v>75118</v>
      </c>
      <c r="H63" s="84">
        <v>72668</v>
      </c>
      <c r="I63" s="84">
        <v>69883</v>
      </c>
      <c r="J63" s="84">
        <v>76491</v>
      </c>
      <c r="K63" s="84">
        <v>57254</v>
      </c>
      <c r="L63" s="84">
        <v>241060</v>
      </c>
      <c r="M63" s="84">
        <v>60584</v>
      </c>
      <c r="N63" s="84">
        <v>32292</v>
      </c>
      <c r="O63" s="84">
        <v>36685</v>
      </c>
      <c r="P63" s="84">
        <v>123016</v>
      </c>
      <c r="Q63" s="84">
        <v>76568</v>
      </c>
      <c r="R63" s="84">
        <v>98568</v>
      </c>
      <c r="S63" s="84">
        <v>144644</v>
      </c>
      <c r="T63" s="84">
        <v>133046</v>
      </c>
      <c r="U63" s="84">
        <v>127208</v>
      </c>
      <c r="V63" s="84">
        <v>53042</v>
      </c>
      <c r="W63" s="84">
        <v>69769</v>
      </c>
      <c r="DA63" s="171" t="s">
        <v>840</v>
      </c>
    </row>
    <row r="64" spans="1:105" ht="11.45" customHeight="1" x14ac:dyDescent="0.25">
      <c r="A64" s="111" t="s">
        <v>111</v>
      </c>
      <c r="B64" s="84">
        <v>50557</v>
      </c>
      <c r="C64" s="84">
        <v>63333</v>
      </c>
      <c r="D64" s="84">
        <v>113058</v>
      </c>
      <c r="E64" s="84">
        <v>84734</v>
      </c>
      <c r="F64" s="84">
        <v>117722</v>
      </c>
      <c r="G64" s="84">
        <v>144827</v>
      </c>
      <c r="H64" s="84">
        <v>147445</v>
      </c>
      <c r="I64" s="84">
        <v>169405</v>
      </c>
      <c r="J64" s="84">
        <v>183549</v>
      </c>
      <c r="K64" s="84">
        <v>139432</v>
      </c>
      <c r="L64" s="84">
        <v>205148</v>
      </c>
      <c r="M64" s="84">
        <v>146573</v>
      </c>
      <c r="N64" s="84">
        <v>94562</v>
      </c>
      <c r="O64" s="84">
        <v>110132</v>
      </c>
      <c r="P64" s="84">
        <v>258929</v>
      </c>
      <c r="Q64" s="84">
        <v>180414</v>
      </c>
      <c r="R64" s="84">
        <v>201984</v>
      </c>
      <c r="S64" s="84">
        <v>262055</v>
      </c>
      <c r="T64" s="84">
        <v>207184</v>
      </c>
      <c r="U64" s="84">
        <v>131990</v>
      </c>
      <c r="V64" s="84">
        <v>107081</v>
      </c>
      <c r="W64" s="84">
        <v>80569</v>
      </c>
      <c r="DA64" s="171" t="s">
        <v>841</v>
      </c>
    </row>
    <row r="65" spans="1:105" ht="11.45" customHeight="1" x14ac:dyDescent="0.25">
      <c r="A65" s="111" t="s">
        <v>112</v>
      </c>
      <c r="B65" s="84">
        <v>4702</v>
      </c>
      <c r="C65" s="84">
        <v>0</v>
      </c>
      <c r="D65" s="84">
        <v>0</v>
      </c>
      <c r="E65" s="84">
        <v>622</v>
      </c>
      <c r="F65" s="84">
        <v>151</v>
      </c>
      <c r="G65" s="84">
        <v>1454</v>
      </c>
      <c r="H65" s="84">
        <v>0</v>
      </c>
      <c r="I65" s="84">
        <v>0</v>
      </c>
      <c r="J65" s="84">
        <v>2718</v>
      </c>
      <c r="K65" s="84">
        <v>8002</v>
      </c>
      <c r="L65" s="84">
        <v>725</v>
      </c>
      <c r="M65" s="84">
        <v>639</v>
      </c>
      <c r="N65" s="84">
        <v>5181</v>
      </c>
      <c r="O65" s="84">
        <v>3086</v>
      </c>
      <c r="P65" s="84">
        <v>6825</v>
      </c>
      <c r="Q65" s="84">
        <v>2392</v>
      </c>
      <c r="R65" s="84">
        <v>2720</v>
      </c>
      <c r="S65" s="84">
        <v>4655</v>
      </c>
      <c r="T65" s="84">
        <v>5734</v>
      </c>
      <c r="U65" s="84">
        <v>3260</v>
      </c>
      <c r="V65" s="84">
        <v>3477</v>
      </c>
      <c r="W65" s="84">
        <v>5230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1</v>
      </c>
      <c r="P66" s="84">
        <v>2</v>
      </c>
      <c r="Q66" s="84">
        <v>5</v>
      </c>
      <c r="R66" s="84">
        <v>8</v>
      </c>
      <c r="S66" s="84">
        <v>8</v>
      </c>
      <c r="T66" s="84">
        <v>23</v>
      </c>
      <c r="U66" s="84">
        <v>47</v>
      </c>
      <c r="V66" s="84">
        <v>31</v>
      </c>
      <c r="W66" s="84">
        <v>31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580</v>
      </c>
      <c r="S67" s="84">
        <v>2224</v>
      </c>
      <c r="T67" s="84">
        <v>5223</v>
      </c>
      <c r="U67" s="84">
        <v>7816</v>
      </c>
      <c r="V67" s="84">
        <v>11822</v>
      </c>
      <c r="W67" s="84">
        <v>15776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73</v>
      </c>
      <c r="P68" s="84">
        <v>184</v>
      </c>
      <c r="Q68" s="84">
        <v>659</v>
      </c>
      <c r="R68" s="84">
        <v>1350</v>
      </c>
      <c r="S68" s="84">
        <v>4962</v>
      </c>
      <c r="T68" s="84">
        <v>9290</v>
      </c>
      <c r="U68" s="84">
        <v>12235</v>
      </c>
      <c r="V68" s="84">
        <v>7839</v>
      </c>
      <c r="W68" s="84">
        <v>13546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359</v>
      </c>
      <c r="D69" s="110">
        <f t="shared" si="12"/>
        <v>366</v>
      </c>
      <c r="E69" s="110">
        <f t="shared" si="12"/>
        <v>446</v>
      </c>
      <c r="F69" s="110">
        <f t="shared" si="12"/>
        <v>528</v>
      </c>
      <c r="G69" s="110">
        <f t="shared" si="12"/>
        <v>558</v>
      </c>
      <c r="H69" s="110">
        <f t="shared" si="12"/>
        <v>465</v>
      </c>
      <c r="I69" s="110">
        <f t="shared" si="12"/>
        <v>509</v>
      </c>
      <c r="J69" s="110">
        <f t="shared" si="12"/>
        <v>604</v>
      </c>
      <c r="K69" s="110">
        <f t="shared" si="12"/>
        <v>505</v>
      </c>
      <c r="L69" s="110">
        <f t="shared" ref="L69" si="13">SUM(L70:L74)</f>
        <v>861</v>
      </c>
      <c r="M69" s="110">
        <f t="shared" ref="M69:V69" si="14">SUM(M70:M74)</f>
        <v>625</v>
      </c>
      <c r="N69" s="110">
        <f t="shared" si="14"/>
        <v>517</v>
      </c>
      <c r="O69" s="110">
        <f t="shared" si="14"/>
        <v>219</v>
      </c>
      <c r="P69" s="110">
        <f t="shared" si="14"/>
        <v>2686</v>
      </c>
      <c r="Q69" s="110">
        <f t="shared" si="14"/>
        <v>670</v>
      </c>
      <c r="R69" s="110">
        <f t="shared" si="14"/>
        <v>888</v>
      </c>
      <c r="S69" s="110">
        <f t="shared" si="14"/>
        <v>441</v>
      </c>
      <c r="T69" s="110">
        <f t="shared" si="14"/>
        <v>613</v>
      </c>
      <c r="U69" s="110">
        <f t="shared" si="14"/>
        <v>2488</v>
      </c>
      <c r="V69" s="110">
        <f t="shared" si="14"/>
        <v>462</v>
      </c>
      <c r="W69" s="110">
        <f t="shared" ref="W69" si="15">SUM(W70:W74)</f>
        <v>669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4</v>
      </c>
      <c r="M70" s="102">
        <v>0</v>
      </c>
      <c r="N70" s="102">
        <v>0</v>
      </c>
      <c r="O70" s="102">
        <v>1</v>
      </c>
      <c r="P70" s="102">
        <v>0</v>
      </c>
      <c r="Q70" s="102">
        <v>1</v>
      </c>
      <c r="R70" s="102">
        <v>1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359</v>
      </c>
      <c r="D71" s="102">
        <v>366</v>
      </c>
      <c r="E71" s="102">
        <v>446</v>
      </c>
      <c r="F71" s="102">
        <v>528</v>
      </c>
      <c r="G71" s="102">
        <v>536</v>
      </c>
      <c r="H71" s="102">
        <v>465</v>
      </c>
      <c r="I71" s="102">
        <v>474</v>
      </c>
      <c r="J71" s="102">
        <v>572</v>
      </c>
      <c r="K71" s="102">
        <v>486</v>
      </c>
      <c r="L71" s="102">
        <v>853</v>
      </c>
      <c r="M71" s="102">
        <v>625</v>
      </c>
      <c r="N71" s="102">
        <v>517</v>
      </c>
      <c r="O71" s="102">
        <v>218</v>
      </c>
      <c r="P71" s="102">
        <v>2684</v>
      </c>
      <c r="Q71" s="102">
        <v>669</v>
      </c>
      <c r="R71" s="102">
        <v>886</v>
      </c>
      <c r="S71" s="102">
        <v>441</v>
      </c>
      <c r="T71" s="102">
        <v>452</v>
      </c>
      <c r="U71" s="102">
        <v>2248</v>
      </c>
      <c r="V71" s="102">
        <v>327</v>
      </c>
      <c r="W71" s="102">
        <v>407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</v>
      </c>
      <c r="M72" s="102">
        <v>0</v>
      </c>
      <c r="N72" s="102">
        <v>0</v>
      </c>
      <c r="O72" s="102">
        <v>0</v>
      </c>
      <c r="P72" s="102">
        <v>2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22</v>
      </c>
      <c r="H73" s="102">
        <v>0</v>
      </c>
      <c r="I73" s="102">
        <v>35</v>
      </c>
      <c r="J73" s="102">
        <v>32</v>
      </c>
      <c r="K73" s="102">
        <v>19</v>
      </c>
      <c r="L73" s="102">
        <v>3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129</v>
      </c>
      <c r="U73" s="102">
        <v>207</v>
      </c>
      <c r="V73" s="102">
        <v>110</v>
      </c>
      <c r="W73" s="102">
        <v>224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32</v>
      </c>
      <c r="U74" s="102">
        <v>32</v>
      </c>
      <c r="V74" s="102">
        <v>25</v>
      </c>
      <c r="W74" s="102">
        <v>38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6785</v>
      </c>
      <c r="D75" s="28">
        <f t="shared" si="16"/>
        <v>4600</v>
      </c>
      <c r="E75" s="28">
        <f t="shared" si="16"/>
        <v>9</v>
      </c>
      <c r="F75" s="28">
        <f t="shared" si="16"/>
        <v>12905</v>
      </c>
      <c r="G75" s="28">
        <f t="shared" si="16"/>
        <v>33207</v>
      </c>
      <c r="H75" s="28">
        <f t="shared" si="16"/>
        <v>47799</v>
      </c>
      <c r="I75" s="28">
        <f t="shared" si="16"/>
        <v>59627</v>
      </c>
      <c r="J75" s="28">
        <f t="shared" si="16"/>
        <v>62221</v>
      </c>
      <c r="K75" s="28">
        <f t="shared" si="16"/>
        <v>71806</v>
      </c>
      <c r="L75" s="28">
        <f t="shared" ref="L75" si="17">L76+L82</f>
        <v>78798</v>
      </c>
      <c r="M75" s="28">
        <f t="shared" ref="M75:V75" si="18">M76+M82</f>
        <v>71057</v>
      </c>
      <c r="N75" s="28">
        <f t="shared" si="18"/>
        <v>10963</v>
      </c>
      <c r="O75" s="28">
        <f t="shared" si="18"/>
        <v>36756</v>
      </c>
      <c r="P75" s="28">
        <f t="shared" si="18"/>
        <v>183946</v>
      </c>
      <c r="Q75" s="28">
        <f t="shared" si="18"/>
        <v>64289</v>
      </c>
      <c r="R75" s="28">
        <f t="shared" si="18"/>
        <v>94601</v>
      </c>
      <c r="S75" s="28">
        <f t="shared" si="18"/>
        <v>120946</v>
      </c>
      <c r="T75" s="28">
        <f t="shared" si="18"/>
        <v>127541</v>
      </c>
      <c r="U75" s="28">
        <f t="shared" si="18"/>
        <v>236386</v>
      </c>
      <c r="V75" s="28">
        <f t="shared" si="18"/>
        <v>25661</v>
      </c>
      <c r="W75" s="28">
        <f t="shared" ref="W75" si="19">W76+W82</f>
        <v>35153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6785</v>
      </c>
      <c r="D76" s="137">
        <f t="shared" si="20"/>
        <v>4600</v>
      </c>
      <c r="E76" s="137">
        <f t="shared" si="20"/>
        <v>9</v>
      </c>
      <c r="F76" s="137">
        <f t="shared" si="20"/>
        <v>12905</v>
      </c>
      <c r="G76" s="137">
        <f t="shared" si="20"/>
        <v>33207</v>
      </c>
      <c r="H76" s="137">
        <f t="shared" si="20"/>
        <v>44792</v>
      </c>
      <c r="I76" s="137">
        <f t="shared" si="20"/>
        <v>55810</v>
      </c>
      <c r="J76" s="137">
        <f t="shared" si="20"/>
        <v>57776</v>
      </c>
      <c r="K76" s="137">
        <f t="shared" si="20"/>
        <v>66706</v>
      </c>
      <c r="L76" s="137">
        <f t="shared" ref="L76" si="21">SUM(L77:L81)</f>
        <v>73269</v>
      </c>
      <c r="M76" s="137">
        <f t="shared" ref="M76:V76" si="22">SUM(M77:M81)</f>
        <v>68643</v>
      </c>
      <c r="N76" s="137">
        <f t="shared" si="22"/>
        <v>10223</v>
      </c>
      <c r="O76" s="137">
        <f t="shared" si="22"/>
        <v>35845</v>
      </c>
      <c r="P76" s="137">
        <f t="shared" si="22"/>
        <v>173893</v>
      </c>
      <c r="Q76" s="137">
        <f t="shared" si="22"/>
        <v>58344</v>
      </c>
      <c r="R76" s="137">
        <f t="shared" si="22"/>
        <v>87844</v>
      </c>
      <c r="S76" s="137">
        <f t="shared" si="22"/>
        <v>108572</v>
      </c>
      <c r="T76" s="137">
        <f t="shared" si="22"/>
        <v>115866</v>
      </c>
      <c r="U76" s="137">
        <f t="shared" si="22"/>
        <v>217474</v>
      </c>
      <c r="V76" s="137">
        <f t="shared" si="22"/>
        <v>24655</v>
      </c>
      <c r="W76" s="137">
        <f t="shared" ref="W76" si="23">SUM(W77:W81)</f>
        <v>32542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79</v>
      </c>
      <c r="L77" s="84">
        <v>686</v>
      </c>
      <c r="M77" s="84">
        <v>0</v>
      </c>
      <c r="N77" s="84">
        <v>2</v>
      </c>
      <c r="O77" s="84">
        <v>0</v>
      </c>
      <c r="P77" s="84">
        <v>327</v>
      </c>
      <c r="Q77" s="84">
        <v>1838</v>
      </c>
      <c r="R77" s="84">
        <v>409</v>
      </c>
      <c r="S77" s="84">
        <v>1669</v>
      </c>
      <c r="T77" s="84">
        <v>466</v>
      </c>
      <c r="U77" s="84">
        <v>5279</v>
      </c>
      <c r="V77" s="84">
        <v>81</v>
      </c>
      <c r="W77" s="84">
        <v>83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6785</v>
      </c>
      <c r="D78" s="84">
        <v>4600</v>
      </c>
      <c r="E78" s="84">
        <v>0</v>
      </c>
      <c r="F78" s="84">
        <v>12904</v>
      </c>
      <c r="G78" s="84">
        <v>33189</v>
      </c>
      <c r="H78" s="84">
        <v>44767</v>
      </c>
      <c r="I78" s="84">
        <v>55778</v>
      </c>
      <c r="J78" s="84">
        <v>57746</v>
      </c>
      <c r="K78" s="84">
        <v>66592</v>
      </c>
      <c r="L78" s="84">
        <v>72562</v>
      </c>
      <c r="M78" s="84">
        <v>68620</v>
      </c>
      <c r="N78" s="84">
        <v>10216</v>
      </c>
      <c r="O78" s="84">
        <v>35804</v>
      </c>
      <c r="P78" s="84">
        <v>173473</v>
      </c>
      <c r="Q78" s="84">
        <v>56357</v>
      </c>
      <c r="R78" s="84">
        <v>87354</v>
      </c>
      <c r="S78" s="84">
        <v>106418</v>
      </c>
      <c r="T78" s="84">
        <v>114780</v>
      </c>
      <c r="U78" s="84">
        <v>211588</v>
      </c>
      <c r="V78" s="84">
        <v>24187</v>
      </c>
      <c r="W78" s="84">
        <v>32050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9</v>
      </c>
      <c r="F79" s="84">
        <v>1</v>
      </c>
      <c r="G79" s="84">
        <v>18</v>
      </c>
      <c r="H79" s="84">
        <v>25</v>
      </c>
      <c r="I79" s="84">
        <v>32</v>
      </c>
      <c r="J79" s="84">
        <v>30</v>
      </c>
      <c r="K79" s="84">
        <v>35</v>
      </c>
      <c r="L79" s="84">
        <v>21</v>
      </c>
      <c r="M79" s="84">
        <v>23</v>
      </c>
      <c r="N79" s="84">
        <v>3</v>
      </c>
      <c r="O79" s="84">
        <v>10</v>
      </c>
      <c r="P79" s="84">
        <v>64</v>
      </c>
      <c r="Q79" s="84">
        <v>67</v>
      </c>
      <c r="R79" s="84">
        <v>13</v>
      </c>
      <c r="S79" s="84">
        <v>51</v>
      </c>
      <c r="T79" s="84">
        <v>56</v>
      </c>
      <c r="U79" s="84">
        <v>194</v>
      </c>
      <c r="V79" s="84">
        <v>0</v>
      </c>
      <c r="W79" s="84">
        <v>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3</v>
      </c>
      <c r="Q80" s="84">
        <v>7</v>
      </c>
      <c r="R80" s="84">
        <v>14</v>
      </c>
      <c r="S80" s="84">
        <v>4</v>
      </c>
      <c r="T80" s="84">
        <v>17</v>
      </c>
      <c r="U80" s="84">
        <v>33</v>
      </c>
      <c r="V80" s="84">
        <v>9</v>
      </c>
      <c r="W80" s="84">
        <v>39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2</v>
      </c>
      <c r="O81" s="84">
        <v>31</v>
      </c>
      <c r="P81" s="84">
        <v>26</v>
      </c>
      <c r="Q81" s="84">
        <v>75</v>
      </c>
      <c r="R81" s="84">
        <v>54</v>
      </c>
      <c r="S81" s="84">
        <v>430</v>
      </c>
      <c r="T81" s="84">
        <v>547</v>
      </c>
      <c r="U81" s="84">
        <v>380</v>
      </c>
      <c r="V81" s="84">
        <v>378</v>
      </c>
      <c r="W81" s="84">
        <v>365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3007</v>
      </c>
      <c r="I82" s="110">
        <f t="shared" si="24"/>
        <v>3817</v>
      </c>
      <c r="J82" s="110">
        <f t="shared" si="24"/>
        <v>4445</v>
      </c>
      <c r="K82" s="110">
        <f t="shared" si="24"/>
        <v>5100</v>
      </c>
      <c r="L82" s="110">
        <f t="shared" ref="L82" si="25">SUM(L83:L84)</f>
        <v>5529</v>
      </c>
      <c r="M82" s="110">
        <f t="shared" ref="M82:V82" si="26">SUM(M83:M84)</f>
        <v>2414</v>
      </c>
      <c r="N82" s="110">
        <f t="shared" si="26"/>
        <v>740</v>
      </c>
      <c r="O82" s="110">
        <f t="shared" si="26"/>
        <v>911</v>
      </c>
      <c r="P82" s="110">
        <f t="shared" si="26"/>
        <v>10053</v>
      </c>
      <c r="Q82" s="110">
        <f t="shared" si="26"/>
        <v>5945</v>
      </c>
      <c r="R82" s="110">
        <f t="shared" si="26"/>
        <v>6757</v>
      </c>
      <c r="S82" s="110">
        <f t="shared" si="26"/>
        <v>12374</v>
      </c>
      <c r="T82" s="110">
        <f t="shared" si="26"/>
        <v>11675</v>
      </c>
      <c r="U82" s="110">
        <f t="shared" si="26"/>
        <v>18912</v>
      </c>
      <c r="V82" s="110">
        <f t="shared" si="26"/>
        <v>1006</v>
      </c>
      <c r="W82" s="110">
        <f t="shared" ref="W82" si="27">SUM(W83:W84)</f>
        <v>2611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3007</v>
      </c>
      <c r="I83" s="102">
        <v>3817</v>
      </c>
      <c r="J83" s="102">
        <v>4445</v>
      </c>
      <c r="K83" s="102">
        <v>5100</v>
      </c>
      <c r="L83" s="102">
        <v>5529</v>
      </c>
      <c r="M83" s="102">
        <v>2414</v>
      </c>
      <c r="N83" s="102">
        <v>740</v>
      </c>
      <c r="O83" s="102">
        <v>629</v>
      </c>
      <c r="P83" s="102">
        <v>9474</v>
      </c>
      <c r="Q83" s="102">
        <v>5765</v>
      </c>
      <c r="R83" s="102">
        <v>5930</v>
      </c>
      <c r="S83" s="102">
        <v>11926</v>
      </c>
      <c r="T83" s="102">
        <v>10979</v>
      </c>
      <c r="U83" s="102">
        <v>18234</v>
      </c>
      <c r="V83" s="102">
        <v>1006</v>
      </c>
      <c r="W83" s="102">
        <v>1082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282</v>
      </c>
      <c r="P84" s="86">
        <v>579</v>
      </c>
      <c r="Q84" s="86">
        <v>180</v>
      </c>
      <c r="R84" s="86">
        <v>827</v>
      </c>
      <c r="S84" s="86">
        <v>448</v>
      </c>
      <c r="T84" s="86">
        <v>696</v>
      </c>
      <c r="U84" s="86">
        <v>678</v>
      </c>
      <c r="V84" s="86">
        <v>0</v>
      </c>
      <c r="W84" s="86">
        <v>1529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3.7717805237918833</v>
      </c>
      <c r="C90" s="141">
        <v>3.7329592767489528</v>
      </c>
      <c r="D90" s="141">
        <v>3.6971507267763171</v>
      </c>
      <c r="E90" s="141">
        <v>3.667427686074217</v>
      </c>
      <c r="F90" s="141">
        <v>3.6352041751421273</v>
      </c>
      <c r="G90" s="141">
        <v>3.6017367701626237</v>
      </c>
      <c r="H90" s="141">
        <v>3.5623930449735224</v>
      </c>
      <c r="I90" s="141">
        <v>3.5212779258059022</v>
      </c>
      <c r="J90" s="141">
        <v>3.4903881420355751</v>
      </c>
      <c r="K90" s="141">
        <v>3.4443629711229304</v>
      </c>
      <c r="L90" s="141">
        <v>3.3455754546889831</v>
      </c>
      <c r="M90" s="141">
        <v>3.263860594686482</v>
      </c>
      <c r="N90" s="141">
        <v>3.1891295929185555</v>
      </c>
      <c r="O90" s="141">
        <v>3.1243195939205606</v>
      </c>
      <c r="P90" s="141">
        <v>3.0481653505113635</v>
      </c>
      <c r="Q90" s="141">
        <v>2.9815195360041011</v>
      </c>
      <c r="R90" s="141">
        <v>2.9036528160103616</v>
      </c>
      <c r="S90" s="141">
        <v>2.8496717446792381</v>
      </c>
      <c r="T90" s="141">
        <v>2.7828525332482008</v>
      </c>
      <c r="U90" s="141">
        <v>2.7366857120752104</v>
      </c>
      <c r="V90" s="141">
        <v>2.5889385661149502</v>
      </c>
      <c r="W90" s="141">
        <v>2.3513869416149173</v>
      </c>
      <c r="DA90" s="174" t="s">
        <v>862</v>
      </c>
    </row>
    <row r="91" spans="1:105" ht="11.45" customHeight="1" x14ac:dyDescent="0.25">
      <c r="A91" s="109" t="s">
        <v>20</v>
      </c>
      <c r="B91" s="130">
        <v>7.6323516080441758</v>
      </c>
      <c r="C91" s="130">
        <v>7.4633303343783197</v>
      </c>
      <c r="D91" s="130">
        <v>7.3537522858225755</v>
      </c>
      <c r="E91" s="130">
        <v>7.2835298537493127</v>
      </c>
      <c r="F91" s="130">
        <v>7.2111692595441026</v>
      </c>
      <c r="G91" s="130">
        <v>7.1286924875576965</v>
      </c>
      <c r="H91" s="130">
        <v>7.0590316890086946</v>
      </c>
      <c r="I91" s="130">
        <v>6.9793531793506984</v>
      </c>
      <c r="J91" s="130">
        <v>6.8734880557589291</v>
      </c>
      <c r="K91" s="130">
        <v>6.7909035635094002</v>
      </c>
      <c r="L91" s="130">
        <v>6.6493334946954263</v>
      </c>
      <c r="M91" s="130">
        <v>6.5584585388224967</v>
      </c>
      <c r="N91" s="130">
        <v>6.3941648294025493</v>
      </c>
      <c r="O91" s="130">
        <v>6.3469841117017838</v>
      </c>
      <c r="P91" s="130">
        <v>6.2553112722031772</v>
      </c>
      <c r="Q91" s="130">
        <v>6.1312019618422298</v>
      </c>
      <c r="R91" s="130">
        <v>6.0265312789066732</v>
      </c>
      <c r="S91" s="130">
        <v>5.8825635882567395</v>
      </c>
      <c r="T91" s="130">
        <v>5.7831785238789539</v>
      </c>
      <c r="U91" s="130">
        <v>5.7089245048424395</v>
      </c>
      <c r="V91" s="130">
        <v>5.6452121117543914</v>
      </c>
      <c r="W91" s="130">
        <v>5.5791345330493627</v>
      </c>
      <c r="DA91" s="176" t="s">
        <v>863</v>
      </c>
    </row>
    <row r="92" spans="1:105" ht="11.45" customHeight="1" x14ac:dyDescent="0.25">
      <c r="A92" s="111" t="s">
        <v>110</v>
      </c>
      <c r="B92" s="96">
        <v>7.7099694431668659</v>
      </c>
      <c r="C92" s="96">
        <v>7.4886846614102192</v>
      </c>
      <c r="D92" s="96">
        <v>7.3690387074999171</v>
      </c>
      <c r="E92" s="96">
        <v>7.3107778500820189</v>
      </c>
      <c r="F92" s="96">
        <v>7.2640281381460081</v>
      </c>
      <c r="G92" s="96">
        <v>7.2132011755331478</v>
      </c>
      <c r="H92" s="96">
        <v>7.1639453289352595</v>
      </c>
      <c r="I92" s="96">
        <v>7.1100236273921578</v>
      </c>
      <c r="J92" s="96">
        <v>7.042024592319077</v>
      </c>
      <c r="K92" s="96">
        <v>6.9853105266939037</v>
      </c>
      <c r="L92" s="96">
        <v>6.8301514708167801</v>
      </c>
      <c r="M92" s="96">
        <v>6.7542278347740083</v>
      </c>
      <c r="N92" s="96">
        <v>6.6268014148440404</v>
      </c>
      <c r="O92" s="96">
        <v>6.5903098795166306</v>
      </c>
      <c r="P92" s="96">
        <v>6.4972876799807198</v>
      </c>
      <c r="Q92" s="96">
        <v>6.3650296324359603</v>
      </c>
      <c r="R92" s="96">
        <v>6.2501809109213502</v>
      </c>
      <c r="S92" s="96">
        <v>6.0730159306141553</v>
      </c>
      <c r="T92" s="96">
        <v>5.9489376734286852</v>
      </c>
      <c r="U92" s="96">
        <v>5.8498322433068575</v>
      </c>
      <c r="V92" s="96">
        <v>5.7828834923746877</v>
      </c>
      <c r="W92" s="96">
        <v>5.7050521696707852</v>
      </c>
      <c r="DA92" s="171" t="s">
        <v>864</v>
      </c>
    </row>
    <row r="93" spans="1:105" ht="11.45" customHeight="1" x14ac:dyDescent="0.25">
      <c r="A93" s="111" t="s">
        <v>111</v>
      </c>
      <c r="B93" s="96">
        <v>7.4801441866273004</v>
      </c>
      <c r="C93" s="96">
        <v>7.2946094663330765</v>
      </c>
      <c r="D93" s="96">
        <v>7.1459047148031951</v>
      </c>
      <c r="E93" s="96">
        <v>7.0426621028417058</v>
      </c>
      <c r="F93" s="96">
        <v>6.9119475500973433</v>
      </c>
      <c r="G93" s="96">
        <v>6.7888995998818489</v>
      </c>
      <c r="H93" s="96">
        <v>6.6943902728846671</v>
      </c>
      <c r="I93" s="96">
        <v>6.6018876693086881</v>
      </c>
      <c r="J93" s="96">
        <v>6.4726424068618176</v>
      </c>
      <c r="K93" s="96">
        <v>6.3789572932529719</v>
      </c>
      <c r="L93" s="96">
        <v>6.2449121092020015</v>
      </c>
      <c r="M93" s="96">
        <v>6.1568611022808755</v>
      </c>
      <c r="N93" s="96">
        <v>6.0261168783559445</v>
      </c>
      <c r="O93" s="96">
        <v>5.9603483937038559</v>
      </c>
      <c r="P93" s="96">
        <v>5.8528241314492515</v>
      </c>
      <c r="Q93" s="96">
        <v>5.7422615223555669</v>
      </c>
      <c r="R93" s="96">
        <v>5.6308874197053855</v>
      </c>
      <c r="S93" s="96">
        <v>5.5098059068820753</v>
      </c>
      <c r="T93" s="96">
        <v>5.4251621407950248</v>
      </c>
      <c r="U93" s="96">
        <v>5.3665562167387826</v>
      </c>
      <c r="V93" s="96">
        <v>5.3214941731593699</v>
      </c>
      <c r="W93" s="96">
        <v>5.2815630309077735</v>
      </c>
      <c r="DA93" s="171" t="s">
        <v>865</v>
      </c>
    </row>
    <row r="94" spans="1:105" ht="11.45" customHeight="1" x14ac:dyDescent="0.25">
      <c r="A94" s="111" t="s">
        <v>112</v>
      </c>
      <c r="B94" s="96">
        <v>6.5528847382842521</v>
      </c>
      <c r="C94" s="96">
        <v>5.3341013091901228</v>
      </c>
      <c r="D94" s="96">
        <v>5.3341013091901228</v>
      </c>
      <c r="E94" s="96">
        <v>5.3652849497630051</v>
      </c>
      <c r="F94" s="96">
        <v>5.3728662162330405</v>
      </c>
      <c r="G94" s="96">
        <v>5.4468605664815621</v>
      </c>
      <c r="H94" s="96">
        <v>5.4623048826933189</v>
      </c>
      <c r="I94" s="96">
        <v>5.4638787210635229</v>
      </c>
      <c r="J94" s="96">
        <v>5.6235626408719801</v>
      </c>
      <c r="K94" s="96">
        <v>5.7818389321589079</v>
      </c>
      <c r="L94" s="96">
        <v>5.7936778643601663</v>
      </c>
      <c r="M94" s="96">
        <v>5.7987512513611899</v>
      </c>
      <c r="N94" s="96">
        <v>5.8634284712201694</v>
      </c>
      <c r="O94" s="96">
        <v>5.8577428486666436</v>
      </c>
      <c r="P94" s="96">
        <v>5.8209625409612515</v>
      </c>
      <c r="Q94" s="96">
        <v>5.8176441690810448</v>
      </c>
      <c r="R94" s="96">
        <v>5.7698697344253427</v>
      </c>
      <c r="S94" s="96">
        <v>5.7128605037817977</v>
      </c>
      <c r="T94" s="96">
        <v>5.6651740296477744</v>
      </c>
      <c r="U94" s="96">
        <v>5.6514003708664031</v>
      </c>
      <c r="V94" s="96">
        <v>5.5960244353393742</v>
      </c>
      <c r="W94" s="96">
        <v>5.472300549870929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7.5353917970296527</v>
      </c>
      <c r="M95" s="96">
        <v>7.5353917970296527</v>
      </c>
      <c r="N95" s="96">
        <v>6.1441185190158079</v>
      </c>
      <c r="O95" s="96">
        <v>5.7198116383441784</v>
      </c>
      <c r="P95" s="96">
        <v>5.4968333695737552</v>
      </c>
      <c r="Q95" s="96">
        <v>5.1903401918387804</v>
      </c>
      <c r="R95" s="96">
        <v>4.9794870258473347</v>
      </c>
      <c r="S95" s="96">
        <v>4.8674283365026714</v>
      </c>
      <c r="T95" s="96">
        <v>4.9300464887107704</v>
      </c>
      <c r="U95" s="96">
        <v>4.8266256341534559</v>
      </c>
      <c r="V95" s="96">
        <v>4.7766380148633329</v>
      </c>
      <c r="W95" s="96">
        <v>4.7099404640599429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3.3270157843743968</v>
      </c>
      <c r="N96" s="96">
        <v>2.8907646817724517</v>
      </c>
      <c r="O96" s="96">
        <v>2.9625753550331591</v>
      </c>
      <c r="P96" s="96">
        <v>3.0442142955682048</v>
      </c>
      <c r="Q96" s="96">
        <v>3.1216866793461198</v>
      </c>
      <c r="R96" s="96">
        <v>3.1269858524410634</v>
      </c>
      <c r="S96" s="96">
        <v>3.1362160747809593</v>
      </c>
      <c r="T96" s="96">
        <v>3.2082666732410168</v>
      </c>
      <c r="U96" s="96">
        <v>3.1562835936410942</v>
      </c>
      <c r="V96" s="96">
        <v>3.1014289613914863</v>
      </c>
      <c r="W96" s="96">
        <v>2.9677680281595702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1.2235590562797445</v>
      </c>
      <c r="L97" s="96">
        <v>1.2037833190025795</v>
      </c>
      <c r="M97" s="96">
        <v>1.2037833190025795</v>
      </c>
      <c r="N97" s="96">
        <v>1.2037833190025793</v>
      </c>
      <c r="O97" s="96">
        <v>1.2150470270132734</v>
      </c>
      <c r="P97" s="96">
        <v>1.22004995882644</v>
      </c>
      <c r="Q97" s="96">
        <v>1.2133205409144361</v>
      </c>
      <c r="R97" s="96">
        <v>1.2288571608321948</v>
      </c>
      <c r="S97" s="96">
        <v>1.2295812903637808</v>
      </c>
      <c r="T97" s="96">
        <v>1.3779240322166908</v>
      </c>
      <c r="U97" s="96">
        <v>1.4608945464752747</v>
      </c>
      <c r="V97" s="96">
        <v>1.4804911773899754</v>
      </c>
      <c r="W97" s="96">
        <v>1.4809053484481725</v>
      </c>
      <c r="DA97" s="171" t="s">
        <v>869</v>
      </c>
    </row>
    <row r="98" spans="1:105" ht="11.45" customHeight="1" x14ac:dyDescent="0.25">
      <c r="A98" s="109" t="s">
        <v>21</v>
      </c>
      <c r="B98" s="130">
        <v>56.965099050082408</v>
      </c>
      <c r="C98" s="130">
        <v>55.667124215784355</v>
      </c>
      <c r="D98" s="130">
        <v>55.202307491811368</v>
      </c>
      <c r="E98" s="130">
        <v>54.708391930624316</v>
      </c>
      <c r="F98" s="130">
        <v>54.247142180818145</v>
      </c>
      <c r="G98" s="130">
        <v>52.155598637171529</v>
      </c>
      <c r="H98" s="130">
        <v>51.858209217542488</v>
      </c>
      <c r="I98" s="130">
        <v>51.363171048882471</v>
      </c>
      <c r="J98" s="130">
        <v>51.001937145283996</v>
      </c>
      <c r="K98" s="130">
        <v>50.682588380405463</v>
      </c>
      <c r="L98" s="130">
        <v>49.988174891630727</v>
      </c>
      <c r="M98" s="130">
        <v>49.596312844896964</v>
      </c>
      <c r="N98" s="130">
        <v>47.552326610971875</v>
      </c>
      <c r="O98" s="130">
        <v>47.205742757458466</v>
      </c>
      <c r="P98" s="130">
        <v>46.533551156509567</v>
      </c>
      <c r="Q98" s="130">
        <v>46.369724768869425</v>
      </c>
      <c r="R98" s="130">
        <v>45.822007599343458</v>
      </c>
      <c r="S98" s="130">
        <v>45.720122962621993</v>
      </c>
      <c r="T98" s="130">
        <v>45.437918817082256</v>
      </c>
      <c r="U98" s="130">
        <v>44.999468188561522</v>
      </c>
      <c r="V98" s="130">
        <v>43.810669871483789</v>
      </c>
      <c r="W98" s="130">
        <v>43.597138902131974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11.249150053874482</v>
      </c>
      <c r="M99" s="97">
        <v>11.249150053874482</v>
      </c>
      <c r="N99" s="97">
        <v>11.249150053874482</v>
      </c>
      <c r="O99" s="97">
        <v>11.077730381104715</v>
      </c>
      <c r="P99" s="97">
        <v>11.077730381104715</v>
      </c>
      <c r="Q99" s="97">
        <v>10.869991123074735</v>
      </c>
      <c r="R99" s="97">
        <v>10.681979718826726</v>
      </c>
      <c r="S99" s="97">
        <v>10.615764083940263</v>
      </c>
      <c r="T99" s="97">
        <v>10.615764083940261</v>
      </c>
      <c r="U99" s="97">
        <v>10.379975411887973</v>
      </c>
      <c r="V99" s="97">
        <v>10.282946708298976</v>
      </c>
      <c r="W99" s="97">
        <v>10.282946708298974</v>
      </c>
      <c r="DA99" s="175" t="s">
        <v>871</v>
      </c>
    </row>
    <row r="100" spans="1:105" ht="11.45" customHeight="1" x14ac:dyDescent="0.25">
      <c r="A100" s="111" t="s">
        <v>111</v>
      </c>
      <c r="B100" s="97">
        <v>56.993065667656822</v>
      </c>
      <c r="C100" s="97">
        <v>55.299436241641402</v>
      </c>
      <c r="D100" s="97">
        <v>54.765020785054247</v>
      </c>
      <c r="E100" s="97">
        <v>54.196963992957684</v>
      </c>
      <c r="F100" s="97">
        <v>53.613191369272315</v>
      </c>
      <c r="G100" s="97">
        <v>51.773192792365322</v>
      </c>
      <c r="H100" s="97">
        <v>51.381748566200493</v>
      </c>
      <c r="I100" s="97">
        <v>50.923800439292805</v>
      </c>
      <c r="J100" s="97">
        <v>50.52291418148917</v>
      </c>
      <c r="K100" s="97">
        <v>50.157895280035426</v>
      </c>
      <c r="L100" s="97">
        <v>49.498119351546116</v>
      </c>
      <c r="M100" s="97">
        <v>49.038115912358769</v>
      </c>
      <c r="N100" s="97">
        <v>47.541692508595183</v>
      </c>
      <c r="O100" s="97">
        <v>47.216246840083365</v>
      </c>
      <c r="P100" s="97">
        <v>46.29571312998327</v>
      </c>
      <c r="Q100" s="97">
        <v>46.073257512824199</v>
      </c>
      <c r="R100" s="97">
        <v>45.565835731116188</v>
      </c>
      <c r="S100" s="97">
        <v>45.446743646441455</v>
      </c>
      <c r="T100" s="97">
        <v>45.304870681398121</v>
      </c>
      <c r="U100" s="97">
        <v>44.764567389748159</v>
      </c>
      <c r="V100" s="97">
        <v>44.006959853092816</v>
      </c>
      <c r="W100" s="97">
        <v>43.909952877665233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37.683377743311361</v>
      </c>
      <c r="M101" s="97">
        <v>37.683377743311368</v>
      </c>
      <c r="N101" s="97">
        <v>37.683377743311368</v>
      </c>
      <c r="O101" s="97">
        <v>37.683377743311368</v>
      </c>
      <c r="P101" s="97">
        <v>36.920016416737639</v>
      </c>
      <c r="Q101" s="97">
        <v>36.920016416737639</v>
      </c>
      <c r="R101" s="97">
        <v>36.658366376496318</v>
      </c>
      <c r="S101" s="97">
        <v>36.658366376496311</v>
      </c>
      <c r="T101" s="97">
        <v>36.658366376496318</v>
      </c>
      <c r="U101" s="97">
        <v>36.658366376496303</v>
      </c>
      <c r="V101" s="97">
        <v>36.433777099686409</v>
      </c>
      <c r="W101" s="97">
        <v>36.433777099686409</v>
      </c>
      <c r="DA101" s="175" t="s">
        <v>873</v>
      </c>
    </row>
    <row r="102" spans="1:105" ht="11.45" customHeight="1" x14ac:dyDescent="0.25">
      <c r="A102" s="111" t="s">
        <v>113</v>
      </c>
      <c r="B102" s="97">
        <v>43.50087796956371</v>
      </c>
      <c r="C102" s="97">
        <v>40.129519289022632</v>
      </c>
      <c r="D102" s="97">
        <v>39.831146302469897</v>
      </c>
      <c r="E102" s="97">
        <v>39.702528300078917</v>
      </c>
      <c r="F102" s="97">
        <v>39.661605035125909</v>
      </c>
      <c r="G102" s="97">
        <v>39.526063643587698</v>
      </c>
      <c r="H102" s="97">
        <v>39.463902420069871</v>
      </c>
      <c r="I102" s="97">
        <v>39.391278388198884</v>
      </c>
      <c r="J102" s="97">
        <v>39.333465293109668</v>
      </c>
      <c r="K102" s="97">
        <v>39.322361746920016</v>
      </c>
      <c r="L102" s="97">
        <v>39.31298887720434</v>
      </c>
      <c r="M102" s="97">
        <v>39.302722719712982</v>
      </c>
      <c r="N102" s="97">
        <v>39.251743936185832</v>
      </c>
      <c r="O102" s="97">
        <v>39.225618235679676</v>
      </c>
      <c r="P102" s="97">
        <v>39.189827838529482</v>
      </c>
      <c r="Q102" s="97">
        <v>39.174451512617608</v>
      </c>
      <c r="R102" s="97">
        <v>39.162638714086263</v>
      </c>
      <c r="S102" s="97">
        <v>39.149820975240239</v>
      </c>
      <c r="T102" s="97">
        <v>37.919930543886103</v>
      </c>
      <c r="U102" s="97">
        <v>35.979440624293872</v>
      </c>
      <c r="V102" s="97">
        <v>35.745887970830985</v>
      </c>
      <c r="W102" s="97">
        <v>35.459836232038889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21.222815781708345</v>
      </c>
      <c r="M103" s="97">
        <v>21.222815781708345</v>
      </c>
      <c r="N103" s="97">
        <v>20.47877651887794</v>
      </c>
      <c r="O103" s="97">
        <v>20.478776518877936</v>
      </c>
      <c r="P103" s="97">
        <v>20.478776518877936</v>
      </c>
      <c r="Q103" s="97">
        <v>20.478776518877932</v>
      </c>
      <c r="R103" s="97">
        <v>20.478776518877936</v>
      </c>
      <c r="S103" s="97">
        <v>20.091924820888742</v>
      </c>
      <c r="T103" s="97">
        <v>19.758901017163584</v>
      </c>
      <c r="U103" s="97">
        <v>19.586587796756945</v>
      </c>
      <c r="V103" s="97">
        <v>19.582437787750418</v>
      </c>
      <c r="W103" s="97">
        <v>19.582402887534602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10.545036892480955</v>
      </c>
      <c r="C105" s="141">
        <v>10.121889613118006</v>
      </c>
      <c r="D105" s="141">
        <v>10.032483224993557</v>
      </c>
      <c r="E105" s="141">
        <v>9.9885015510304562</v>
      </c>
      <c r="F105" s="141">
        <v>9.8605116209677082</v>
      </c>
      <c r="G105" s="141">
        <v>9.6181945375908899</v>
      </c>
      <c r="H105" s="141">
        <v>9.3675175037796858</v>
      </c>
      <c r="I105" s="141">
        <v>9.108194149202598</v>
      </c>
      <c r="J105" s="141">
        <v>8.8524234156059229</v>
      </c>
      <c r="K105" s="141">
        <v>8.5917103815893121</v>
      </c>
      <c r="L105" s="141">
        <v>8.355822720078292</v>
      </c>
      <c r="M105" s="141">
        <v>8.1585729211111175</v>
      </c>
      <c r="N105" s="141">
        <v>7.8636185955486795</v>
      </c>
      <c r="O105" s="141">
        <v>7.8035937178122659</v>
      </c>
      <c r="P105" s="141">
        <v>7.5227535819024727</v>
      </c>
      <c r="Q105" s="141">
        <v>7.3532300069664274</v>
      </c>
      <c r="R105" s="141">
        <v>7.1563587669258695</v>
      </c>
      <c r="S105" s="141">
        <v>6.8839410396296055</v>
      </c>
      <c r="T105" s="141">
        <v>6.6383950637695248</v>
      </c>
      <c r="U105" s="141">
        <v>6.4387344367596127</v>
      </c>
      <c r="V105" s="141">
        <v>6.3024485263955015</v>
      </c>
      <c r="W105" s="141">
        <v>6.2753537976238842</v>
      </c>
      <c r="DA105" s="174" t="s">
        <v>876</v>
      </c>
    </row>
    <row r="106" spans="1:105" ht="11.45" customHeight="1" x14ac:dyDescent="0.25">
      <c r="A106" s="111" t="s">
        <v>110</v>
      </c>
      <c r="B106" s="96">
        <v>11.092887629491765</v>
      </c>
      <c r="C106" s="96">
        <v>10.925354571705681</v>
      </c>
      <c r="D106" s="96">
        <v>10.91626027086757</v>
      </c>
      <c r="E106" s="96">
        <v>10.509056629746192</v>
      </c>
      <c r="F106" s="96">
        <v>10.470852171050621</v>
      </c>
      <c r="G106" s="96">
        <v>10.234341560536434</v>
      </c>
      <c r="H106" s="96">
        <v>9.9683710834195125</v>
      </c>
      <c r="I106" s="96">
        <v>9.691706516947038</v>
      </c>
      <c r="J106" s="96">
        <v>9.4524393383992926</v>
      </c>
      <c r="K106" s="96">
        <v>9.2244367373773812</v>
      </c>
      <c r="L106" s="96">
        <v>8.9928614239004396</v>
      </c>
      <c r="M106" s="96">
        <v>8.8668476136205054</v>
      </c>
      <c r="N106" s="96">
        <v>8.72558164903311</v>
      </c>
      <c r="O106" s="96">
        <v>8.6436178402879733</v>
      </c>
      <c r="P106" s="96">
        <v>8.4935808172382146</v>
      </c>
      <c r="Q106" s="96">
        <v>8.055372010565268</v>
      </c>
      <c r="R106" s="96">
        <v>7.8833123245737724</v>
      </c>
      <c r="S106" s="96">
        <v>7.4869478253123232</v>
      </c>
      <c r="T106" s="96">
        <v>7.324231478741261</v>
      </c>
      <c r="U106" s="96">
        <v>6.9454125458772431</v>
      </c>
      <c r="V106" s="96">
        <v>6.5832373628469139</v>
      </c>
      <c r="W106" s="96">
        <v>6.530213232060853</v>
      </c>
      <c r="DA106" s="171" t="s">
        <v>877</v>
      </c>
    </row>
    <row r="107" spans="1:105" ht="11.45" customHeight="1" x14ac:dyDescent="0.25">
      <c r="A107" s="111" t="s">
        <v>111</v>
      </c>
      <c r="B107" s="96">
        <v>10.530458981654251</v>
      </c>
      <c r="C107" s="96">
        <v>9.9732058197367159</v>
      </c>
      <c r="D107" s="96">
        <v>9.8628029577931997</v>
      </c>
      <c r="E107" s="96">
        <v>9.8184061310758928</v>
      </c>
      <c r="F107" s="96">
        <v>9.6570055683828127</v>
      </c>
      <c r="G107" s="96">
        <v>9.3606798572906023</v>
      </c>
      <c r="H107" s="96">
        <v>9.0731571384804486</v>
      </c>
      <c r="I107" s="96">
        <v>8.7921917685161102</v>
      </c>
      <c r="J107" s="96">
        <v>8.5260582281748345</v>
      </c>
      <c r="K107" s="96">
        <v>8.2657139467052296</v>
      </c>
      <c r="L107" s="96">
        <v>8.0466051018849303</v>
      </c>
      <c r="M107" s="96">
        <v>7.8778579517822216</v>
      </c>
      <c r="N107" s="96">
        <v>7.6501644657900618</v>
      </c>
      <c r="O107" s="96">
        <v>7.5818651005939186</v>
      </c>
      <c r="P107" s="96">
        <v>7.2977702436573235</v>
      </c>
      <c r="Q107" s="96">
        <v>7.1452229530973375</v>
      </c>
      <c r="R107" s="96">
        <v>6.960944364696604</v>
      </c>
      <c r="S107" s="96">
        <v>6.7227583053254802</v>
      </c>
      <c r="T107" s="96">
        <v>6.5101141313226334</v>
      </c>
      <c r="U107" s="96">
        <v>6.2918686187335133</v>
      </c>
      <c r="V107" s="96">
        <v>6.1934454720639227</v>
      </c>
      <c r="W107" s="96">
        <v>6.1663072351466734</v>
      </c>
      <c r="DA107" s="171" t="s">
        <v>878</v>
      </c>
    </row>
    <row r="108" spans="1:105" ht="11.45" customHeight="1" x14ac:dyDescent="0.25">
      <c r="A108" s="111" t="s">
        <v>112</v>
      </c>
      <c r="B108" s="96">
        <v>17.597991606980141</v>
      </c>
      <c r="C108" s="96">
        <v>17.316982718016828</v>
      </c>
      <c r="D108" s="96">
        <v>17.110076231270167</v>
      </c>
      <c r="E108" s="96">
        <v>16.462446712948449</v>
      </c>
      <c r="F108" s="96">
        <v>16.356614956698813</v>
      </c>
      <c r="G108" s="96">
        <v>15.808593980948668</v>
      </c>
      <c r="H108" s="96">
        <v>15.207269162077194</v>
      </c>
      <c r="I108" s="96">
        <v>14.594284832846641</v>
      </c>
      <c r="J108" s="96">
        <v>14.049571441644353</v>
      </c>
      <c r="K108" s="96">
        <v>13.502176193307227</v>
      </c>
      <c r="L108" s="96">
        <v>13.130603332225457</v>
      </c>
      <c r="M108" s="96">
        <v>12.794239244374955</v>
      </c>
      <c r="N108" s="96">
        <v>12.193653250675673</v>
      </c>
      <c r="O108" s="96">
        <v>12.145787844774715</v>
      </c>
      <c r="P108" s="96">
        <v>11.689451702962671</v>
      </c>
      <c r="Q108" s="96">
        <v>11.231839422557488</v>
      </c>
      <c r="R108" s="96">
        <v>11.011849411912316</v>
      </c>
      <c r="S108" s="96">
        <v>10.577977889818948</v>
      </c>
      <c r="T108" s="96">
        <v>10.021660796726405</v>
      </c>
      <c r="U108" s="96">
        <v>9.0062304314737229</v>
      </c>
      <c r="V108" s="96">
        <v>8.7631129172604201</v>
      </c>
      <c r="W108" s="96">
        <v>8.7053160509511311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7.0728435825250262</v>
      </c>
      <c r="P109" s="96">
        <v>6.9341968421590323</v>
      </c>
      <c r="Q109" s="96">
        <v>7.505889326491304</v>
      </c>
      <c r="R109" s="96">
        <v>6.9426448518518766</v>
      </c>
      <c r="S109" s="96">
        <v>6.8438209100199145</v>
      </c>
      <c r="T109" s="96">
        <v>6.9250278379056889</v>
      </c>
      <c r="U109" s="96">
        <v>7.6433397339684808</v>
      </c>
      <c r="V109" s="96">
        <v>7.6213335334413435</v>
      </c>
      <c r="W109" s="96">
        <v>8.4238218188720175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1.3566283477464833</v>
      </c>
      <c r="N110" s="96">
        <v>1.3327601031814273</v>
      </c>
      <c r="O110" s="96">
        <v>1.3647028755192112</v>
      </c>
      <c r="P110" s="96">
        <v>1.3722400394624372</v>
      </c>
      <c r="Q110" s="96">
        <v>1.3780671783457579</v>
      </c>
      <c r="R110" s="96">
        <v>1.3850445455803559</v>
      </c>
      <c r="S110" s="96">
        <v>1.3881738744469618</v>
      </c>
      <c r="T110" s="96">
        <v>1.4423682882540714</v>
      </c>
      <c r="U110" s="96">
        <v>1.5004272926714619</v>
      </c>
      <c r="V110" s="96">
        <v>1.5727272583734053</v>
      </c>
      <c r="W110" s="96">
        <v>1.6464620505021594</v>
      </c>
      <c r="DA110" s="171" t="s">
        <v>881</v>
      </c>
    </row>
    <row r="111" spans="1:105" ht="11.45" customHeight="1" x14ac:dyDescent="0.25">
      <c r="A111" s="109" t="s">
        <v>158</v>
      </c>
      <c r="B111" s="130">
        <v>30.360548256945741</v>
      </c>
      <c r="C111" s="130">
        <v>30.245886964075094</v>
      </c>
      <c r="D111" s="130">
        <v>30.178637463842065</v>
      </c>
      <c r="E111" s="130">
        <v>30.143664863748906</v>
      </c>
      <c r="F111" s="130">
        <v>29.995911540469375</v>
      </c>
      <c r="G111" s="130">
        <v>29.825537114229935</v>
      </c>
      <c r="H111" s="130">
        <v>29.621761318040406</v>
      </c>
      <c r="I111" s="130">
        <v>29.391539605708175</v>
      </c>
      <c r="J111" s="130">
        <v>29.160779146208938</v>
      </c>
      <c r="K111" s="130">
        <v>28.885756786995529</v>
      </c>
      <c r="L111" s="130">
        <v>28.543833224161155</v>
      </c>
      <c r="M111" s="130">
        <v>28.310738914573164</v>
      </c>
      <c r="N111" s="130">
        <v>27.838387274251822</v>
      </c>
      <c r="O111" s="130">
        <v>27.550936813131184</v>
      </c>
      <c r="P111" s="130">
        <v>26.991782424129479</v>
      </c>
      <c r="Q111" s="130">
        <v>26.427490483401382</v>
      </c>
      <c r="R111" s="130">
        <v>25.802909174170154</v>
      </c>
      <c r="S111" s="130">
        <v>25.169444445924125</v>
      </c>
      <c r="T111" s="130">
        <v>24.59129430349201</v>
      </c>
      <c r="U111" s="130">
        <v>23.848257024097066</v>
      </c>
      <c r="V111" s="130">
        <v>23.495161041293716</v>
      </c>
      <c r="W111" s="130">
        <v>23.225074780670031</v>
      </c>
      <c r="DA111" s="176" t="s">
        <v>882</v>
      </c>
    </row>
    <row r="112" spans="1:105" ht="11.45" customHeight="1" x14ac:dyDescent="0.25">
      <c r="A112" s="128" t="s">
        <v>27</v>
      </c>
      <c r="B112" s="97">
        <v>30.106248227593593</v>
      </c>
      <c r="C112" s="97">
        <v>30.005260074133112</v>
      </c>
      <c r="D112" s="97">
        <v>29.946755634011474</v>
      </c>
      <c r="E112" s="97">
        <v>29.92141077406038</v>
      </c>
      <c r="F112" s="97">
        <v>29.751882476685964</v>
      </c>
      <c r="G112" s="97">
        <v>29.589288573367192</v>
      </c>
      <c r="H112" s="97">
        <v>29.388407646845057</v>
      </c>
      <c r="I112" s="97">
        <v>29.152600618901932</v>
      </c>
      <c r="J112" s="97">
        <v>28.950147019064353</v>
      </c>
      <c r="K112" s="97">
        <v>28.677005793090007</v>
      </c>
      <c r="L112" s="97">
        <v>28.343841824333964</v>
      </c>
      <c r="M112" s="97">
        <v>28.102972492819148</v>
      </c>
      <c r="N112" s="97">
        <v>27.604051174770067</v>
      </c>
      <c r="O112" s="97">
        <v>27.299437734200481</v>
      </c>
      <c r="P112" s="97">
        <v>26.762802021005847</v>
      </c>
      <c r="Q112" s="97">
        <v>26.204730478952694</v>
      </c>
      <c r="R112" s="97">
        <v>25.566307382966542</v>
      </c>
      <c r="S112" s="97">
        <v>24.959530147670105</v>
      </c>
      <c r="T112" s="97">
        <v>24.39304433225313</v>
      </c>
      <c r="U112" s="97">
        <v>23.668717977674643</v>
      </c>
      <c r="V112" s="97">
        <v>23.324104267050625</v>
      </c>
      <c r="W112" s="97">
        <v>23.050822578210372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36.036727499206435</v>
      </c>
      <c r="D113" s="98">
        <v>35.409345054588023</v>
      </c>
      <c r="E113" s="98">
        <v>34.855340589431385</v>
      </c>
      <c r="F113" s="98">
        <v>34.078222694436931</v>
      </c>
      <c r="G113" s="98">
        <v>33.595567844670327</v>
      </c>
      <c r="H113" s="98">
        <v>33.078573509612667</v>
      </c>
      <c r="I113" s="98">
        <v>32.623928975317035</v>
      </c>
      <c r="J113" s="98">
        <v>32.570111455097013</v>
      </c>
      <c r="K113" s="98">
        <v>32.295368853430091</v>
      </c>
      <c r="L113" s="98">
        <v>32.126558998344365</v>
      </c>
      <c r="M113" s="98">
        <v>31.632851276262453</v>
      </c>
      <c r="N113" s="98">
        <v>31.523400834099533</v>
      </c>
      <c r="O113" s="98">
        <v>30.723159723785653</v>
      </c>
      <c r="P113" s="98">
        <v>30.173688407025985</v>
      </c>
      <c r="Q113" s="98">
        <v>29.875692635328981</v>
      </c>
      <c r="R113" s="98">
        <v>29.056032045607559</v>
      </c>
      <c r="S113" s="98">
        <v>28.545817848511838</v>
      </c>
      <c r="T113" s="98">
        <v>27.919503765674495</v>
      </c>
      <c r="U113" s="98">
        <v>27.340381732527653</v>
      </c>
      <c r="V113" s="98">
        <v>27.131368135757025</v>
      </c>
      <c r="W113" s="98">
        <v>26.232569634273926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1.0727499066142256</v>
      </c>
      <c r="D117" s="150">
        <f>IF(TrRoad_act!D59=0,0,TrRoad_ene!D62/TrRoad_tech!D90)</f>
        <v>1.078103095027154</v>
      </c>
      <c r="E117" s="150">
        <f>IF(TrRoad_act!E59=0,0,TrRoad_ene!E62/TrRoad_tech!E90)</f>
        <v>1.0739662644986701</v>
      </c>
      <c r="F117" s="150">
        <f>IF(TrRoad_act!F59=0,0,TrRoad_ene!F62/TrRoad_tech!F90)</f>
        <v>1.0750491590698992</v>
      </c>
      <c r="G117" s="150">
        <f>IF(TrRoad_act!G59=0,0,TrRoad_ene!G62/TrRoad_tech!G90)</f>
        <v>1.0765010077332611</v>
      </c>
      <c r="H117" s="150">
        <f>IF(TrRoad_act!H59=0,0,TrRoad_ene!H62/TrRoad_tech!H90)</f>
        <v>1.0780960828697006</v>
      </c>
      <c r="I117" s="150">
        <f>IF(TrRoad_act!I59=0,0,TrRoad_ene!I62/TrRoad_tech!I90)</f>
        <v>1.0802715349339529</v>
      </c>
      <c r="J117" s="150">
        <f>IF(TrRoad_act!J59=0,0,TrRoad_ene!J62/TrRoad_tech!J90)</f>
        <v>1.0824414247485425</v>
      </c>
      <c r="K117" s="150">
        <f>IF(TrRoad_act!K59=0,0,TrRoad_ene!K62/TrRoad_tech!K90)</f>
        <v>1.0856322447755429</v>
      </c>
      <c r="L117" s="150">
        <f>IF(TrRoad_act!L59=0,0,TrRoad_ene!L62/TrRoad_tech!L90)</f>
        <v>1.0923298484158908</v>
      </c>
      <c r="M117" s="150">
        <f>IF(TrRoad_act!M59=0,0,TrRoad_ene!M62/TrRoad_tech!M90)</f>
        <v>1.0991169596995423</v>
      </c>
      <c r="N117" s="150">
        <f>IF(TrRoad_act!N59=0,0,TrRoad_ene!N62/TrRoad_tech!N90)</f>
        <v>1.1059503259838048</v>
      </c>
      <c r="O117" s="150">
        <f>IF(TrRoad_act!O59=0,0,TrRoad_ene!O62/TrRoad_tech!O90)</f>
        <v>1.1123879566182857</v>
      </c>
      <c r="P117" s="150">
        <f>IF(TrRoad_act!P59=0,0,TrRoad_ene!P62/TrRoad_tech!P90)</f>
        <v>1.1204921923776396</v>
      </c>
      <c r="Q117" s="150">
        <f>IF(TrRoad_act!Q59=0,0,TrRoad_ene!Q62/TrRoad_tech!Q90)</f>
        <v>1.1375238864008239</v>
      </c>
      <c r="R117" s="150">
        <f>IF(TrRoad_act!R59=0,0,TrRoad_ene!R62/TrRoad_tech!R90)</f>
        <v>1.1810256085686155</v>
      </c>
      <c r="S117" s="150">
        <f>IF(TrRoad_act!S59=0,0,TrRoad_ene!S62/TrRoad_tech!S90)</f>
        <v>1.2122121542575155</v>
      </c>
      <c r="T117" s="150">
        <f>IF(TrRoad_act!T59=0,0,TrRoad_ene!T62/TrRoad_tech!T90)</f>
        <v>1.2253240556955034</v>
      </c>
      <c r="U117" s="150">
        <f>IF(TrRoad_act!U59=0,0,TrRoad_ene!U62/TrRoad_tech!U90)</f>
        <v>1.2387755708420765</v>
      </c>
      <c r="V117" s="150">
        <f>IF(TrRoad_act!V59=0,0,TrRoad_ene!V62/TrRoad_tech!V90)</f>
        <v>1.2720149573214126</v>
      </c>
      <c r="W117" s="150">
        <f>IF(TrRoad_act!W59=0,0,TrRoad_ene!W62/TrRoad_tech!W90)</f>
        <v>1.2838729700368778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0.78205028923684861</v>
      </c>
      <c r="C118" s="151">
        <f>IF(TrRoad_act!C60=0,0,TrRoad_ene!C63/TrRoad_tech!C91)</f>
        <v>0.79782920884999908</v>
      </c>
      <c r="D118" s="151">
        <f>IF(TrRoad_act!D60=0,0,TrRoad_ene!D63/TrRoad_tech!D91)</f>
        <v>0.79542930867736739</v>
      </c>
      <c r="E118" s="151">
        <f>IF(TrRoad_act!E60=0,0,TrRoad_ene!E63/TrRoad_tech!E91)</f>
        <v>0.8373635980093368</v>
      </c>
      <c r="F118" s="151">
        <f>IF(TrRoad_act!F60=0,0,TrRoad_ene!F63/TrRoad_tech!F91)</f>
        <v>0.8468685006023855</v>
      </c>
      <c r="G118" s="151">
        <f>IF(TrRoad_act!G60=0,0,TrRoad_ene!G63/TrRoad_tech!G91)</f>
        <v>0.82130773152242997</v>
      </c>
      <c r="H118" s="151">
        <f>IF(TrRoad_act!H60=0,0,TrRoad_ene!H63/TrRoad_tech!H91)</f>
        <v>0.82388642436877435</v>
      </c>
      <c r="I118" s="151">
        <f>IF(TrRoad_act!I60=0,0,TrRoad_ene!I63/TrRoad_tech!I91)</f>
        <v>0.83401534953840861</v>
      </c>
      <c r="J118" s="151">
        <f>IF(TrRoad_act!J60=0,0,TrRoad_ene!J63/TrRoad_tech!J91)</f>
        <v>0.84527081029180329</v>
      </c>
      <c r="K118" s="151">
        <f>IF(TrRoad_act!K60=0,0,TrRoad_ene!K63/TrRoad_tech!K91)</f>
        <v>0.84670331978579527</v>
      </c>
      <c r="L118" s="151">
        <f>IF(TrRoad_act!L60=0,0,TrRoad_ene!L63/TrRoad_tech!L91)</f>
        <v>0.85461723077224316</v>
      </c>
      <c r="M118" s="151">
        <f>IF(TrRoad_act!M60=0,0,TrRoad_ene!M63/TrRoad_tech!M91)</f>
        <v>0.83388793320130727</v>
      </c>
      <c r="N118" s="151">
        <f>IF(TrRoad_act!N60=0,0,TrRoad_ene!N63/TrRoad_tech!N91)</f>
        <v>0.88360850018484882</v>
      </c>
      <c r="O118" s="151">
        <f>IF(TrRoad_act!O60=0,0,TrRoad_ene!O63/TrRoad_tech!O91)</f>
        <v>0.88504540273092025</v>
      </c>
      <c r="P118" s="151">
        <f>IF(TrRoad_act!P60=0,0,TrRoad_ene!P63/TrRoad_tech!P91)</f>
        <v>0.87373364732451275</v>
      </c>
      <c r="Q118" s="151">
        <f>IF(TrRoad_act!Q60=0,0,TrRoad_ene!Q63/TrRoad_tech!Q91)</f>
        <v>0.90660093186514801</v>
      </c>
      <c r="R118" s="151">
        <f>IF(TrRoad_act!R60=0,0,TrRoad_ene!R63/TrRoad_tech!R91)</f>
        <v>0.9128118256825104</v>
      </c>
      <c r="S118" s="151">
        <f>IF(TrRoad_act!S60=0,0,TrRoad_ene!S63/TrRoad_tech!S91)</f>
        <v>0.91997323088751193</v>
      </c>
      <c r="T118" s="151">
        <f>IF(TrRoad_act!T60=0,0,TrRoad_ene!T63/TrRoad_tech!T91)</f>
        <v>0.93476517367376577</v>
      </c>
      <c r="U118" s="151">
        <f>IF(TrRoad_act!U60=0,0,TrRoad_ene!U63/TrRoad_tech!U91)</f>
        <v>0.96231481151029608</v>
      </c>
      <c r="V118" s="151">
        <f>IF(TrRoad_act!V60=0,0,TrRoad_ene!V63/TrRoad_tech!V91)</f>
        <v>0.9436716403401233</v>
      </c>
      <c r="W118" s="151">
        <f>IF(TrRoad_act!W60=0,0,TrRoad_ene!W63/TrRoad_tech!W91)</f>
        <v>0.97864025613206063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0.89354313844413946</v>
      </c>
      <c r="C119" s="91">
        <f>IF(TrRoad_act!C61=0,0,TrRoad_ene!C64/TrRoad_tech!C92)</f>
        <v>0.90185300231034971</v>
      </c>
      <c r="D119" s="91">
        <f>IF(TrRoad_act!D61=0,0,TrRoad_ene!D64/TrRoad_tech!D92)</f>
        <v>0.90615832602504809</v>
      </c>
      <c r="E119" s="91">
        <f>IF(TrRoad_act!E61=0,0,TrRoad_ene!E64/TrRoad_tech!E92)</f>
        <v>0.90959022681956625</v>
      </c>
      <c r="F119" s="91">
        <f>IF(TrRoad_act!F61=0,0,TrRoad_ene!F64/TrRoad_tech!F92)</f>
        <v>0.91326969568526895</v>
      </c>
      <c r="G119" s="91">
        <f>IF(TrRoad_act!G61=0,0,TrRoad_ene!G64/TrRoad_tech!G92)</f>
        <v>0.91593563511092413</v>
      </c>
      <c r="H119" s="91">
        <f>IF(TrRoad_act!H61=0,0,TrRoad_ene!H64/TrRoad_tech!H92)</f>
        <v>0.91917466840253481</v>
      </c>
      <c r="I119" s="91">
        <f>IF(TrRoad_act!I61=0,0,TrRoad_ene!I64/TrRoad_tech!I92)</f>
        <v>0.9224634295434242</v>
      </c>
      <c r="J119" s="91">
        <f>IF(TrRoad_act!J61=0,0,TrRoad_ene!J64/TrRoad_tech!J92)</f>
        <v>0.9263985989290382</v>
      </c>
      <c r="K119" s="91">
        <f>IF(TrRoad_act!K61=0,0,TrRoad_ene!K64/TrRoad_tech!K92)</f>
        <v>0.93205676674609084</v>
      </c>
      <c r="L119" s="91">
        <f>IF(TrRoad_act!L61=0,0,TrRoad_ene!L64/TrRoad_tech!L92)</f>
        <v>0.93820146686610373</v>
      </c>
      <c r="M119" s="91">
        <f>IF(TrRoad_act!M61=0,0,TrRoad_ene!M64/TrRoad_tech!M92)</f>
        <v>0.94256033526613792</v>
      </c>
      <c r="N119" s="91">
        <f>IF(TrRoad_act!N61=0,0,TrRoad_ene!N64/TrRoad_tech!N92)</f>
        <v>0.94370369819954603</v>
      </c>
      <c r="O119" s="91">
        <f>IF(TrRoad_act!O61=0,0,TrRoad_ene!O64/TrRoad_tech!O92)</f>
        <v>0.94746956020279094</v>
      </c>
      <c r="P119" s="91">
        <f>IF(TrRoad_act!P61=0,0,TrRoad_ene!P64/TrRoad_tech!P92)</f>
        <v>0.95662006248501674</v>
      </c>
      <c r="Q119" s="91">
        <f>IF(TrRoad_act!Q61=0,0,TrRoad_ene!Q64/TrRoad_tech!Q92)</f>
        <v>0.96560795480588435</v>
      </c>
      <c r="R119" s="91">
        <f>IF(TrRoad_act!R61=0,0,TrRoad_ene!R64/TrRoad_tech!R92)</f>
        <v>0.98630460133134779</v>
      </c>
      <c r="S119" s="91">
        <f>IF(TrRoad_act!S61=0,0,TrRoad_ene!S64/TrRoad_tech!S92)</f>
        <v>1.0027637075832727</v>
      </c>
      <c r="T119" s="91">
        <f>IF(TrRoad_act!T61=0,0,TrRoad_ene!T64/TrRoad_tech!T92)</f>
        <v>1.0289961931931988</v>
      </c>
      <c r="U119" s="91">
        <f>IF(TrRoad_act!U61=0,0,TrRoad_ene!U64/TrRoad_tech!U92)</f>
        <v>1.0469009494740809</v>
      </c>
      <c r="V119" s="91">
        <f>IF(TrRoad_act!V61=0,0,TrRoad_ene!V64/TrRoad_tech!V92)</f>
        <v>1.0502251344826412</v>
      </c>
      <c r="W119" s="91">
        <f>IF(TrRoad_act!W61=0,0,TrRoad_ene!W64/TrRoad_tech!W92)</f>
        <v>1.0642141641158365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0.57062102350751009</v>
      </c>
      <c r="C120" s="91">
        <f>IF(TrRoad_act!C62=0,0,TrRoad_ene!C65/TrRoad_tech!C93)</f>
        <v>0.63904005397901564</v>
      </c>
      <c r="D120" s="91">
        <f>IF(TrRoad_act!D62=0,0,TrRoad_ene!D65/TrRoad_tech!D93)</f>
        <v>0.64776829593608098</v>
      </c>
      <c r="E120" s="91">
        <f>IF(TrRoad_act!E62=0,0,TrRoad_ene!E65/TrRoad_tech!E93)</f>
        <v>0.76781023082705036</v>
      </c>
      <c r="F120" s="91">
        <f>IF(TrRoad_act!F62=0,0,TrRoad_ene!F65/TrRoad_tech!F93)</f>
        <v>0.80159844043479977</v>
      </c>
      <c r="G120" s="91">
        <f>IF(TrRoad_act!G62=0,0,TrRoad_ene!G65/TrRoad_tech!G93)</f>
        <v>0.76050493427256027</v>
      </c>
      <c r="H120" s="91">
        <f>IF(TrRoad_act!H62=0,0,TrRoad_ene!H65/TrRoad_tech!H93)</f>
        <v>0.77851717836420287</v>
      </c>
      <c r="I120" s="91">
        <f>IF(TrRoad_act!I62=0,0,TrRoad_ene!I65/TrRoad_tech!I93)</f>
        <v>0.80250090351509595</v>
      </c>
      <c r="J120" s="91">
        <f>IF(TrRoad_act!J62=0,0,TrRoad_ene!J65/TrRoad_tech!J93)</f>
        <v>0.8294692237648984</v>
      </c>
      <c r="K120" s="91">
        <f>IF(TrRoad_act!K62=0,0,TrRoad_ene!K65/TrRoad_tech!K93)</f>
        <v>0.83337574741136411</v>
      </c>
      <c r="L120" s="91">
        <f>IF(TrRoad_act!L62=0,0,TrRoad_ene!L65/TrRoad_tech!L93)</f>
        <v>0.84943089876498068</v>
      </c>
      <c r="M120" s="91">
        <f>IF(TrRoad_act!M62=0,0,TrRoad_ene!M65/TrRoad_tech!M93)</f>
        <v>0.82033613955475204</v>
      </c>
      <c r="N120" s="91">
        <f>IF(TrRoad_act!N62=0,0,TrRoad_ene!N65/TrRoad_tech!N93)</f>
        <v>0.89092376157460962</v>
      </c>
      <c r="O120" s="91">
        <f>IF(TrRoad_act!O62=0,0,TrRoad_ene!O65/TrRoad_tech!O93)</f>
        <v>0.89521822906990089</v>
      </c>
      <c r="P120" s="91">
        <f>IF(TrRoad_act!P62=0,0,TrRoad_ene!P65/TrRoad_tech!P93)</f>
        <v>0.88003650599469452</v>
      </c>
      <c r="Q120" s="91">
        <f>IF(TrRoad_act!Q62=0,0,TrRoad_ene!Q65/TrRoad_tech!Q93)</f>
        <v>0.925213119433139</v>
      </c>
      <c r="R120" s="91">
        <f>IF(TrRoad_act!R62=0,0,TrRoad_ene!R65/TrRoad_tech!R93)</f>
        <v>0.93129241705244936</v>
      </c>
      <c r="S120" s="91">
        <f>IF(TrRoad_act!S62=0,0,TrRoad_ene!S65/TrRoad_tech!S93)</f>
        <v>0.93901248666440584</v>
      </c>
      <c r="T120" s="91">
        <f>IF(TrRoad_act!T62=0,0,TrRoad_ene!T65/TrRoad_tech!T93)</f>
        <v>0.95441030940521432</v>
      </c>
      <c r="U120" s="91">
        <f>IF(TrRoad_act!U62=0,0,TrRoad_ene!U65/TrRoad_tech!U93)</f>
        <v>0.98908456637245734</v>
      </c>
      <c r="V120" s="91">
        <f>IF(TrRoad_act!V62=0,0,TrRoad_ene!V65/TrRoad_tech!V93)</f>
        <v>0.9643943503073733</v>
      </c>
      <c r="W120" s="91">
        <f>IF(TrRoad_act!W62=0,0,TrRoad_ene!W65/TrRoad_tech!W93)</f>
        <v>1.0086343176974431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1.1071506657001544</v>
      </c>
      <c r="C121" s="91">
        <f>IF(TrRoad_act!C63=0,0,TrRoad_ene!C66/TrRoad_tech!C94)</f>
        <v>1.4582826442901835</v>
      </c>
      <c r="D121" s="91">
        <f>IF(TrRoad_act!D63=0,0,TrRoad_ene!D66/TrRoad_tech!D94)</f>
        <v>1.4967010175207516</v>
      </c>
      <c r="E121" s="91">
        <f>IF(TrRoad_act!E63=0,0,TrRoad_ene!E66/TrRoad_tech!E94)</f>
        <v>1.298986719123906</v>
      </c>
      <c r="F121" s="91">
        <f>IF(TrRoad_act!F63=0,0,TrRoad_ene!F66/TrRoad_tech!F94)</f>
        <v>1.2698728827724053</v>
      </c>
      <c r="G121" s="91">
        <f>IF(TrRoad_act!G63=0,0,TrRoad_ene!G66/TrRoad_tech!G94)</f>
        <v>1.3190996063762368</v>
      </c>
      <c r="H121" s="91">
        <f>IF(TrRoad_act!H63=0,0,TrRoad_ene!H66/TrRoad_tech!H94)</f>
        <v>1.4689642899648583</v>
      </c>
      <c r="I121" s="91">
        <f>IF(TrRoad_act!I63=0,0,TrRoad_ene!I66/TrRoad_tech!I94)</f>
        <v>1.5986462575436688</v>
      </c>
      <c r="J121" s="91">
        <f>IF(TrRoad_act!J63=0,0,TrRoad_ene!J66/TrRoad_tech!J94)</f>
        <v>1.3090880438445542</v>
      </c>
      <c r="K121" s="91">
        <f>IF(TrRoad_act!K63=0,0,TrRoad_ene!K66/TrRoad_tech!K94)</f>
        <v>1.0701551207213071</v>
      </c>
      <c r="L121" s="91">
        <f>IF(TrRoad_act!L63=0,0,TrRoad_ene!L66/TrRoad_tech!L94)</f>
        <v>1.0598480776291683</v>
      </c>
      <c r="M121" s="91">
        <f>IF(TrRoad_act!M63=0,0,TrRoad_ene!M66/TrRoad_tech!M94)</f>
        <v>1.037033650310887</v>
      </c>
      <c r="N121" s="91">
        <f>IF(TrRoad_act!N63=0,0,TrRoad_ene!N66/TrRoad_tech!N94)</f>
        <v>1.0304008184207303</v>
      </c>
      <c r="O121" s="91">
        <f>IF(TrRoad_act!O63=0,0,TrRoad_ene!O66/TrRoad_tech!O94)</f>
        <v>1.0493108502211668</v>
      </c>
      <c r="P121" s="91">
        <f>IF(TrRoad_act!P63=0,0,TrRoad_ene!P66/TrRoad_tech!P94)</f>
        <v>0.99050975435064392</v>
      </c>
      <c r="Q121" s="91">
        <f>IF(TrRoad_act!Q63=0,0,TrRoad_ene!Q66/TrRoad_tech!Q94)</f>
        <v>1.0245565596720616</v>
      </c>
      <c r="R121" s="91">
        <f>IF(TrRoad_act!R63=0,0,TrRoad_ene!R66/TrRoad_tech!R94)</f>
        <v>1.0331208058887564</v>
      </c>
      <c r="S121" s="91">
        <f>IF(TrRoad_act!S63=0,0,TrRoad_ene!S66/TrRoad_tech!S94)</f>
        <v>0.98989808947777091</v>
      </c>
      <c r="T121" s="91">
        <f>IF(TrRoad_act!T63=0,0,TrRoad_ene!T66/TrRoad_tech!T94)</f>
        <v>0.9362324500869702</v>
      </c>
      <c r="U121" s="91">
        <f>IF(TrRoad_act!U63=0,0,TrRoad_ene!U66/TrRoad_tech!U94)</f>
        <v>0.94402062264326925</v>
      </c>
      <c r="V121" s="91">
        <f>IF(TrRoad_act!V63=0,0,TrRoad_ene!V66/TrRoad_tech!V94)</f>
        <v>0.84872583591998141</v>
      </c>
      <c r="W121" s="91">
        <f>IF(TrRoad_act!W63=0,0,TrRoad_ene!W66/TrRoad_tech!W94)</f>
        <v>0.83492600048029142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1.0555555555604401</v>
      </c>
      <c r="M122" s="91">
        <f>IF(TrRoad_act!M64=0,0,TrRoad_ene!M67/TrRoad_tech!M95)</f>
        <v>1.0555555555604401</v>
      </c>
      <c r="N122" s="91">
        <f>IF(TrRoad_act!N64=0,0,TrRoad_ene!N67/TrRoad_tech!N95)</f>
        <v>1.0622326280710899</v>
      </c>
      <c r="O122" s="91">
        <f>IF(TrRoad_act!O64=0,0,TrRoad_ene!O67/TrRoad_tech!O95)</f>
        <v>1.0683228078340112</v>
      </c>
      <c r="P122" s="91">
        <f>IF(TrRoad_act!P64=0,0,TrRoad_ene!P67/TrRoad_tech!P95)</f>
        <v>1.0701298174647764</v>
      </c>
      <c r="Q122" s="91">
        <f>IF(TrRoad_act!Q64=0,0,TrRoad_ene!Q67/TrRoad_tech!Q95)</f>
        <v>1.0725045400685647</v>
      </c>
      <c r="R122" s="91">
        <f>IF(TrRoad_act!R64=0,0,TrRoad_ene!R67/TrRoad_tech!R95)</f>
        <v>1.0757812940475422</v>
      </c>
      <c r="S122" s="91">
        <f>IF(TrRoad_act!S64=0,0,TrRoad_ene!S67/TrRoad_tech!S95)</f>
        <v>1.0784812570795566</v>
      </c>
      <c r="T122" s="91">
        <f>IF(TrRoad_act!T64=0,0,TrRoad_ene!T67/TrRoad_tech!T95)</f>
        <v>1.0886120048416976</v>
      </c>
      <c r="U122" s="91">
        <f>IF(TrRoad_act!U64=0,0,TrRoad_ene!U67/TrRoad_tech!U95)</f>
        <v>1.0923109917513301</v>
      </c>
      <c r="V122" s="91">
        <f>IF(TrRoad_act!V64=0,0,TrRoad_ene!V67/TrRoad_tech!V95)</f>
        <v>1.0938267273325688</v>
      </c>
      <c r="W122" s="91">
        <f>IF(TrRoad_act!W64=0,0,TrRoad_ene!W67/TrRoad_tech!W95)</f>
        <v>1.0957225597290452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0.99203863294987082</v>
      </c>
      <c r="N123" s="91">
        <f>IF(TrRoad_act!N65=0,0,TrRoad_ene!N68/TrRoad_tech!N96)</f>
        <v>1.0007832819958071</v>
      </c>
      <c r="O123" s="91">
        <f>IF(TrRoad_act!O65=0,0,TrRoad_ene!O68/TrRoad_tech!O96)</f>
        <v>1.0062540105010638</v>
      </c>
      <c r="P123" s="91">
        <f>IF(TrRoad_act!P65=0,0,TrRoad_ene!P68/TrRoad_tech!P96)</f>
        <v>1.0178709266653503</v>
      </c>
      <c r="Q123" s="91">
        <f>IF(TrRoad_act!Q65=0,0,TrRoad_ene!Q68/TrRoad_tech!Q96)</f>
        <v>1.0319241381380306</v>
      </c>
      <c r="R123" s="91">
        <f>IF(TrRoad_act!R65=0,0,TrRoad_ene!R68/TrRoad_tech!R96)</f>
        <v>1.0493422227833313</v>
      </c>
      <c r="S123" s="91">
        <f>IF(TrRoad_act!S65=0,0,TrRoad_ene!S68/TrRoad_tech!S96)</f>
        <v>1.0618216498131388</v>
      </c>
      <c r="T123" s="91">
        <f>IF(TrRoad_act!T65=0,0,TrRoad_ene!T68/TrRoad_tech!T96)</f>
        <v>1.0803594751829551</v>
      </c>
      <c r="U123" s="91">
        <f>IF(TrRoad_act!U65=0,0,TrRoad_ene!U68/TrRoad_tech!U96)</f>
        <v>1.0921172784441933</v>
      </c>
      <c r="V123" s="91">
        <f>IF(TrRoad_act!V65=0,0,TrRoad_ene!V68/TrRoad_tech!V96)</f>
        <v>1.0951274898177437</v>
      </c>
      <c r="W123" s="91">
        <f>IF(TrRoad_act!W65=0,0,TrRoad_ene!W68/TrRoad_tech!W96)</f>
        <v>1.1026080354411203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1.0470370370414097</v>
      </c>
      <c r="K124" s="91">
        <f>IF(TrRoad_act!K66=0,0,TrRoad_ene!K69/TrRoad_tech!K97)</f>
        <v>1.0471822804195168</v>
      </c>
      <c r="L124" s="91">
        <f>IF(TrRoad_act!L66=0,0,TrRoad_ene!L69/TrRoad_tech!L97)</f>
        <v>1.0555555555604399</v>
      </c>
      <c r="M124" s="91">
        <f>IF(TrRoad_act!M66=0,0,TrRoad_ene!M69/TrRoad_tech!M97)</f>
        <v>1.0590569625536477</v>
      </c>
      <c r="N124" s="91">
        <f>IF(TrRoad_act!N66=0,0,TrRoad_ene!N69/TrRoad_tech!N97)</f>
        <v>1.0603503248254138</v>
      </c>
      <c r="O124" s="91">
        <f>IF(TrRoad_act!O66=0,0,TrRoad_ene!O69/TrRoad_tech!O97)</f>
        <v>1.0654187787090661</v>
      </c>
      <c r="P124" s="91">
        <f>IF(TrRoad_act!P66=0,0,TrRoad_ene!P69/TrRoad_tech!P97)</f>
        <v>1.0718145092746632</v>
      </c>
      <c r="Q124" s="91">
        <f>IF(TrRoad_act!Q66=0,0,TrRoad_ene!Q69/TrRoad_tech!Q97)</f>
        <v>1.0811023344592079</v>
      </c>
      <c r="R124" s="91">
        <f>IF(TrRoad_act!R66=0,0,TrRoad_ene!R69/TrRoad_tech!R97)</f>
        <v>1.0855505094241102</v>
      </c>
      <c r="S124" s="91">
        <f>IF(TrRoad_act!S66=0,0,TrRoad_ene!S69/TrRoad_tech!S97)</f>
        <v>1.0899351182672627</v>
      </c>
      <c r="T124" s="91">
        <f>IF(TrRoad_act!T66=0,0,TrRoad_ene!T69/TrRoad_tech!T97)</f>
        <v>1.0927401536797428</v>
      </c>
      <c r="U124" s="91">
        <f>IF(TrRoad_act!U66=0,0,TrRoad_ene!U69/TrRoad_tech!U97)</f>
        <v>1.0944754726176757</v>
      </c>
      <c r="V124" s="91">
        <f>IF(TrRoad_act!V66=0,0,TrRoad_ene!V69/TrRoad_tech!V97)</f>
        <v>1.0952907752986316</v>
      </c>
      <c r="W124" s="91">
        <f>IF(TrRoad_act!W66=0,0,TrRoad_ene!W69/TrRoad_tech!W97)</f>
        <v>1.0963709756613167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1.1006378378642006</v>
      </c>
      <c r="C125" s="151">
        <f>IF(TrRoad_act!C67=0,0,TrRoad_ene!C70/TrRoad_tech!C98)</f>
        <v>1.0920711850339966</v>
      </c>
      <c r="D125" s="151">
        <f>IF(TrRoad_act!D67=0,0,TrRoad_ene!D70/TrRoad_tech!D98)</f>
        <v>1.0909103973379219</v>
      </c>
      <c r="E125" s="151">
        <f>IF(TrRoad_act!E67=0,0,TrRoad_ene!E70/TrRoad_tech!E98)</f>
        <v>1.0887808169607929</v>
      </c>
      <c r="F125" s="151">
        <f>IF(TrRoad_act!F67=0,0,TrRoad_ene!F70/TrRoad_tech!F98)</f>
        <v>1.0878471860735821</v>
      </c>
      <c r="G125" s="151">
        <f>IF(TrRoad_act!G67=0,0,TrRoad_ene!G70/TrRoad_tech!G98)</f>
        <v>1.0961544980376434</v>
      </c>
      <c r="H125" s="151">
        <f>IF(TrRoad_act!H67=0,0,TrRoad_ene!H70/TrRoad_tech!H98)</f>
        <v>1.097189387075167</v>
      </c>
      <c r="I125" s="151">
        <f>IF(TrRoad_act!I67=0,0,TrRoad_ene!I70/TrRoad_tech!I98)</f>
        <v>1.101281247797824</v>
      </c>
      <c r="J125" s="151">
        <f>IF(TrRoad_act!J67=0,0,TrRoad_ene!J70/TrRoad_tech!J98)</f>
        <v>1.103060162137091</v>
      </c>
      <c r="K125" s="151">
        <f>IF(TrRoad_act!K67=0,0,TrRoad_ene!K70/TrRoad_tech!K98)</f>
        <v>1.1027726674498284</v>
      </c>
      <c r="L125" s="151">
        <f>IF(TrRoad_act!L67=0,0,TrRoad_ene!L70/TrRoad_tech!L98)</f>
        <v>1.1101633962187896</v>
      </c>
      <c r="M125" s="151">
        <f>IF(TrRoad_act!M67=0,0,TrRoad_ene!M70/TrRoad_tech!M98)</f>
        <v>1.1146994438236826</v>
      </c>
      <c r="N125" s="151">
        <f>IF(TrRoad_act!N67=0,0,TrRoad_ene!N70/TrRoad_tech!N98)</f>
        <v>1.1357580714943254</v>
      </c>
      <c r="O125" s="151">
        <f>IF(TrRoad_act!O67=0,0,TrRoad_ene!O70/TrRoad_tech!O98)</f>
        <v>1.150507775915377</v>
      </c>
      <c r="P125" s="151">
        <f>IF(TrRoad_act!P67=0,0,TrRoad_ene!P70/TrRoad_tech!P98)</f>
        <v>1.1770265009760412</v>
      </c>
      <c r="Q125" s="151">
        <f>IF(TrRoad_act!Q67=0,0,TrRoad_ene!Q70/TrRoad_tech!Q98)</f>
        <v>1.1969749072590552</v>
      </c>
      <c r="R125" s="151">
        <f>IF(TrRoad_act!R67=0,0,TrRoad_ene!R70/TrRoad_tech!R98)</f>
        <v>1.2098916972601652</v>
      </c>
      <c r="S125" s="151">
        <f>IF(TrRoad_act!S67=0,0,TrRoad_ene!S70/TrRoad_tech!S98)</f>
        <v>1.220510249200923</v>
      </c>
      <c r="T125" s="151">
        <f>IF(TrRoad_act!T67=0,0,TrRoad_ene!T70/TrRoad_tech!T98)</f>
        <v>1.2184558860996126</v>
      </c>
      <c r="U125" s="151">
        <f>IF(TrRoad_act!U67=0,0,TrRoad_ene!U70/TrRoad_tech!U98)</f>
        <v>1.272187968391822</v>
      </c>
      <c r="V125" s="151">
        <f>IF(TrRoad_act!V67=0,0,TrRoad_ene!V70/TrRoad_tech!V98)</f>
        <v>1.3360432817860726</v>
      </c>
      <c r="W125" s="151">
        <f>IF(TrRoad_act!W67=0,0,TrRoad_ene!W70/TrRoad_tech!W98)</f>
        <v>1.3065819956894849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1.2000000000070936</v>
      </c>
      <c r="M126" s="93">
        <f>IF(TrRoad_act!M68=0,0,TrRoad_ene!M71/TrRoad_tech!M99)</f>
        <v>1.2000000000070941</v>
      </c>
      <c r="N126" s="93">
        <f>IF(TrRoad_act!N68=0,0,TrRoad_ene!N71/TrRoad_tech!N99)</f>
        <v>1.2000000000070936</v>
      </c>
      <c r="O126" s="93">
        <f>IF(TrRoad_act!O68=0,0,TrRoad_ene!O71/TrRoad_tech!O99)</f>
        <v>1.2080562729756918</v>
      </c>
      <c r="P126" s="93">
        <f>IF(TrRoad_act!P68=0,0,TrRoad_ene!P71/TrRoad_tech!P99)</f>
        <v>1.2080562729756918</v>
      </c>
      <c r="Q126" s="93">
        <f>IF(TrRoad_act!Q68=0,0,TrRoad_ene!Q71/TrRoad_tech!Q99)</f>
        <v>1.2198374506366501</v>
      </c>
      <c r="R126" s="93">
        <f>IF(TrRoad_act!R68=0,0,TrRoad_ene!R71/TrRoad_tech!R99)</f>
        <v>1.2310464441724396</v>
      </c>
      <c r="S126" s="93">
        <f>IF(TrRoad_act!S68=0,0,TrRoad_ene!S71/TrRoad_tech!S99)</f>
        <v>1.2348872942695464</v>
      </c>
      <c r="T126" s="93">
        <f>IF(TrRoad_act!T68=0,0,TrRoad_ene!T71/TrRoad_tech!T99)</f>
        <v>1.2348872942695466</v>
      </c>
      <c r="U126" s="93">
        <f>IF(TrRoad_act!U68=0,0,TrRoad_ene!U71/TrRoad_tech!U99)</f>
        <v>1.2484635915153011</v>
      </c>
      <c r="V126" s="93">
        <f>IF(TrRoad_act!V68=0,0,TrRoad_ene!V71/TrRoad_tech!V99)</f>
        <v>1.2543820812905166</v>
      </c>
      <c r="W126" s="93">
        <f>IF(TrRoad_act!W68=0,0,TrRoad_ene!W71/TrRoad_tech!W99)</f>
        <v>1.2543820812905169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1.1002714814320096</v>
      </c>
      <c r="D127" s="93">
        <f>IF(TrRoad_act!D69=0,0,TrRoad_ene!D72/TrRoad_tech!D100)</f>
        <v>1.1007710871888055</v>
      </c>
      <c r="E127" s="93">
        <f>IF(TrRoad_act!E69=0,0,TrRoad_ene!E72/TrRoad_tech!E100)</f>
        <v>1.1016868517266261</v>
      </c>
      <c r="F127" s="93">
        <f>IF(TrRoad_act!F69=0,0,TrRoad_ene!F72/TrRoad_tech!F100)</f>
        <v>1.1031174689420651</v>
      </c>
      <c r="G127" s="93">
        <f>IF(TrRoad_act!G69=0,0,TrRoad_ene!G72/TrRoad_tech!G100)</f>
        <v>1.1067518226582986</v>
      </c>
      <c r="H127" s="93">
        <f>IF(TrRoad_act!H69=0,0,TrRoad_ene!H72/TrRoad_tech!H100)</f>
        <v>1.1091484717382685</v>
      </c>
      <c r="I127" s="93">
        <f>IF(TrRoad_act!I69=0,0,TrRoad_ene!I72/TrRoad_tech!I100)</f>
        <v>1.1121271304481599</v>
      </c>
      <c r="J127" s="93">
        <f>IF(TrRoad_act!J69=0,0,TrRoad_ene!J72/TrRoad_tech!J100)</f>
        <v>1.1161190186236669</v>
      </c>
      <c r="K127" s="93">
        <f>IF(TrRoad_act!K69=0,0,TrRoad_ene!K72/TrRoad_tech!K100)</f>
        <v>1.1200671109328835</v>
      </c>
      <c r="L127" s="93">
        <f>IF(TrRoad_act!L69=0,0,TrRoad_ene!L72/TrRoad_tech!L100)</f>
        <v>1.1275728183129452</v>
      </c>
      <c r="M127" s="93">
        <f>IF(TrRoad_act!M69=0,0,TrRoad_ene!M72/TrRoad_tech!M100)</f>
        <v>1.1342618130388915</v>
      </c>
      <c r="N127" s="93">
        <f>IF(TrRoad_act!N69=0,0,TrRoad_ene!N72/TrRoad_tech!N100)</f>
        <v>1.1468795220890935</v>
      </c>
      <c r="O127" s="93">
        <f>IF(TrRoad_act!O69=0,0,TrRoad_ene!O72/TrRoad_tech!O100)</f>
        <v>1.1512591165786346</v>
      </c>
      <c r="P127" s="93">
        <f>IF(TrRoad_act!P69=0,0,TrRoad_ene!P72/TrRoad_tech!P100)</f>
        <v>1.1807169937012161</v>
      </c>
      <c r="Q127" s="93">
        <f>IF(TrRoad_act!Q69=0,0,TrRoad_ene!Q72/TrRoad_tech!Q100)</f>
        <v>1.1903641422659605</v>
      </c>
      <c r="R127" s="93">
        <f>IF(TrRoad_act!R69=0,0,TrRoad_ene!R72/TrRoad_tech!R100)</f>
        <v>1.2036744195556248</v>
      </c>
      <c r="S127" s="93">
        <f>IF(TrRoad_act!S69=0,0,TrRoad_ene!S72/TrRoad_tech!S100)</f>
        <v>1.2086410824724996</v>
      </c>
      <c r="T127" s="93">
        <f>IF(TrRoad_act!T69=0,0,TrRoad_ene!T72/TrRoad_tech!T100)</f>
        <v>1.2148702740367485</v>
      </c>
      <c r="U127" s="93">
        <f>IF(TrRoad_act!U69=0,0,TrRoad_ene!U72/TrRoad_tech!U100)</f>
        <v>1.2370092694942725</v>
      </c>
      <c r="V127" s="93">
        <f>IF(TrRoad_act!V69=0,0,TrRoad_ene!V72/TrRoad_tech!V100)</f>
        <v>1.2589064753827046</v>
      </c>
      <c r="W127" s="93">
        <f>IF(TrRoad_act!W69=0,0,TrRoad_ene!W72/TrRoad_tech!W100)</f>
        <v>1.2633082341458546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1.2000000000070938</v>
      </c>
      <c r="M128" s="93">
        <f>IF(TrRoad_act!M70=0,0,TrRoad_ene!M73/TrRoad_tech!M101)</f>
        <v>1.2000000000070941</v>
      </c>
      <c r="N128" s="93">
        <f>IF(TrRoad_act!N70=0,0,TrRoad_ene!N73/TrRoad_tech!N101)</f>
        <v>1.2000000000070941</v>
      </c>
      <c r="O128" s="93">
        <f>IF(TrRoad_act!O70=0,0,TrRoad_ene!O73/TrRoad_tech!O101)</f>
        <v>1.2000000000070938</v>
      </c>
      <c r="P128" s="93">
        <f>IF(TrRoad_act!P70=0,0,TrRoad_ene!P73/TrRoad_tech!P101)</f>
        <v>1.2407652221504069</v>
      </c>
      <c r="Q128" s="93">
        <f>IF(TrRoad_act!Q70=0,0,TrRoad_ene!Q73/TrRoad_tech!Q101)</f>
        <v>1.2407652221504069</v>
      </c>
      <c r="R128" s="93">
        <f>IF(TrRoad_act!R70=0,0,TrRoad_ene!R73/TrRoad_tech!R101)</f>
        <v>1.2574856581171046</v>
      </c>
      <c r="S128" s="93">
        <f>IF(TrRoad_act!S70=0,0,TrRoad_ene!S73/TrRoad_tech!S101)</f>
        <v>1.2574856581171048</v>
      </c>
      <c r="T128" s="93">
        <f>IF(TrRoad_act!T70=0,0,TrRoad_ene!T73/TrRoad_tech!T101)</f>
        <v>1.2574856581171046</v>
      </c>
      <c r="U128" s="93">
        <f>IF(TrRoad_act!U70=0,0,TrRoad_ene!U73/TrRoad_tech!U101)</f>
        <v>1.257485658117105</v>
      </c>
      <c r="V128" s="93">
        <f>IF(TrRoad_act!V70=0,0,TrRoad_ene!V73/TrRoad_tech!V101)</f>
        <v>1.2705132897370131</v>
      </c>
      <c r="W128" s="93">
        <f>IF(TrRoad_act!W70=0,0,TrRoad_ene!W73/TrRoad_tech!W101)</f>
        <v>1.2705132897370133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1.4791232437468846</v>
      </c>
      <c r="C129" s="93">
        <f>IF(TrRoad_act!C71=0,0,TrRoad_ene!C74/TrRoad_tech!C102)</f>
        <v>1.4289226554780534</v>
      </c>
      <c r="D129" s="93">
        <f>IF(TrRoad_act!D71=0,0,TrRoad_ene!D74/TrRoad_tech!D102)</f>
        <v>1.4429700081941796</v>
      </c>
      <c r="E129" s="93">
        <f>IF(TrRoad_act!E71=0,0,TrRoad_ene!E74/TrRoad_tech!E102)</f>
        <v>1.3867457470530116</v>
      </c>
      <c r="F129" s="93">
        <f>IF(TrRoad_act!F71=0,0,TrRoad_ene!F74/TrRoad_tech!F102)</f>
        <v>1.39054753844401</v>
      </c>
      <c r="G129" s="93">
        <f>IF(TrRoad_act!G71=0,0,TrRoad_ene!G74/TrRoad_tech!G102)</f>
        <v>1.3943228863573198</v>
      </c>
      <c r="H129" s="93">
        <f>IF(TrRoad_act!H71=0,0,TrRoad_ene!H74/TrRoad_tech!H102)</f>
        <v>1.4018587546501529</v>
      </c>
      <c r="I129" s="93">
        <f>IF(TrRoad_act!I71=0,0,TrRoad_ene!I74/TrRoad_tech!I102)</f>
        <v>1.4083346309182447</v>
      </c>
      <c r="J129" s="93">
        <f>IF(TrRoad_act!J71=0,0,TrRoad_ene!J74/TrRoad_tech!J102)</f>
        <v>1.378476139534236</v>
      </c>
      <c r="K129" s="93">
        <f>IF(TrRoad_act!K71=0,0,TrRoad_ene!K74/TrRoad_tech!K102)</f>
        <v>1.309714615386566</v>
      </c>
      <c r="L129" s="93">
        <f>IF(TrRoad_act!L71=0,0,TrRoad_ene!L74/TrRoad_tech!L102)</f>
        <v>1.3106774127403094</v>
      </c>
      <c r="M129" s="93">
        <f>IF(TrRoad_act!M71=0,0,TrRoad_ene!M74/TrRoad_tech!M102)</f>
        <v>1.2979773570146167</v>
      </c>
      <c r="N129" s="93">
        <f>IF(TrRoad_act!N71=0,0,TrRoad_ene!N74/TrRoad_tech!N102)</f>
        <v>1.2475174499905548</v>
      </c>
      <c r="O129" s="93">
        <f>IF(TrRoad_act!O71=0,0,TrRoad_ene!O74/TrRoad_tech!O102)</f>
        <v>1.4051201126128305</v>
      </c>
      <c r="P129" s="93">
        <f>IF(TrRoad_act!P71=0,0,TrRoad_ene!P74/TrRoad_tech!P102)</f>
        <v>1.4849811697906325</v>
      </c>
      <c r="Q129" s="93">
        <f>IF(TrRoad_act!Q71=0,0,TrRoad_ene!Q74/TrRoad_tech!Q102)</f>
        <v>1.7509646611935852</v>
      </c>
      <c r="R129" s="93">
        <f>IF(TrRoad_act!R71=0,0,TrRoad_ene!R74/TrRoad_tech!R102)</f>
        <v>1.7413052793697714</v>
      </c>
      <c r="S129" s="93">
        <f>IF(TrRoad_act!S71=0,0,TrRoad_ene!S74/TrRoad_tech!S102)</f>
        <v>1.9489796346239214</v>
      </c>
      <c r="T129" s="93">
        <f>IF(TrRoad_act!T71=0,0,TrRoad_ene!T74/TrRoad_tech!T102)</f>
        <v>1.7372654290432317</v>
      </c>
      <c r="U129" s="93">
        <f>IF(TrRoad_act!U71=0,0,TrRoad_ene!U74/TrRoad_tech!U102)</f>
        <v>3.1131068163714195</v>
      </c>
      <c r="V129" s="93">
        <f>IF(TrRoad_act!V71=0,0,TrRoad_ene!V74/TrRoad_tech!V102)</f>
        <v>3.3423114460583965</v>
      </c>
      <c r="W129" s="93">
        <f>IF(TrRoad_act!W71=0,0,TrRoad_ene!W74/TrRoad_tech!W102)</f>
        <v>2.2673637719004529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1.2172205912303491</v>
      </c>
      <c r="O130" s="93">
        <f>IF(TrRoad_act!O72=0,0,TrRoad_ene!O75/TrRoad_tech!O103)</f>
        <v>1.2172205912303493</v>
      </c>
      <c r="P130" s="93">
        <f>IF(TrRoad_act!P72=0,0,TrRoad_ene!P75/TrRoad_tech!P103)</f>
        <v>1.2172205912303493</v>
      </c>
      <c r="Q130" s="93">
        <f>IF(TrRoad_act!Q72=0,0,TrRoad_ene!Q75/TrRoad_tech!Q103)</f>
        <v>1.2172205912303495</v>
      </c>
      <c r="R130" s="93">
        <f>IF(TrRoad_act!R72=0,0,TrRoad_ene!R75/TrRoad_tech!R103)</f>
        <v>1.2172205912303495</v>
      </c>
      <c r="S130" s="93">
        <f>IF(TrRoad_act!S72=0,0,TrRoad_ene!S75/TrRoad_tech!S103)</f>
        <v>1.2648282191447426</v>
      </c>
      <c r="T130" s="93">
        <f>IF(TrRoad_act!T72=0,0,TrRoad_ene!T75/TrRoad_tech!T103)</f>
        <v>1.3137035442341367</v>
      </c>
      <c r="U130" s="93">
        <f>IF(TrRoad_act!U72=0,0,TrRoad_ene!U75/TrRoad_tech!U103)</f>
        <v>1.3384075092668188</v>
      </c>
      <c r="V130" s="93">
        <f>IF(TrRoad_act!V72=0,0,TrRoad_ene!V75/TrRoad_tech!V103)</f>
        <v>1.3449352303718001</v>
      </c>
      <c r="W130" s="93">
        <f>IF(TrRoad_act!W72=0,0,TrRoad_ene!W75/TrRoad_tech!W103)</f>
        <v>1.3502152308597333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1.0996022138938664</v>
      </c>
      <c r="C132" s="150">
        <f>IF(TrRoad_act!C74=0,0,TrRoad_ene!C77/TrRoad_tech!C105)</f>
        <v>1.0854527778229865</v>
      </c>
      <c r="D132" s="150">
        <f>IF(TrRoad_act!D74=0,0,TrRoad_ene!D77/TrRoad_tech!D105)</f>
        <v>1.0831468438898457</v>
      </c>
      <c r="E132" s="150">
        <f>IF(TrRoad_act!E74=0,0,TrRoad_ene!E77/TrRoad_tech!E105)</f>
        <v>1.0827221587039926</v>
      </c>
      <c r="F132" s="150">
        <f>IF(TrRoad_act!F74=0,0,TrRoad_ene!F77/TrRoad_tech!F105)</f>
        <v>1.0789882926312127</v>
      </c>
      <c r="G132" s="150">
        <f>IF(TrRoad_act!G74=0,0,TrRoad_ene!G77/TrRoad_tech!G105)</f>
        <v>1.0727392411477099</v>
      </c>
      <c r="H132" s="150">
        <f>IF(TrRoad_act!H74=0,0,TrRoad_ene!H77/TrRoad_tech!H105)</f>
        <v>1.0686190215639662</v>
      </c>
      <c r="I132" s="150">
        <f>IF(TrRoad_act!I74=0,0,TrRoad_ene!I77/TrRoad_tech!I105)</f>
        <v>1.0666333987861947</v>
      </c>
      <c r="J132" s="150">
        <f>IF(TrRoad_act!J74=0,0,TrRoad_ene!J77/TrRoad_tech!J105)</f>
        <v>1.0663341062960741</v>
      </c>
      <c r="K132" s="150">
        <f>IF(TrRoad_act!K74=0,0,TrRoad_ene!K77/TrRoad_tech!K105)</f>
        <v>1.068007330603338</v>
      </c>
      <c r="L132" s="150">
        <f>IF(TrRoad_act!L74=0,0,TrRoad_ene!L77/TrRoad_tech!L105)</f>
        <v>1.0717914365196965</v>
      </c>
      <c r="M132" s="150">
        <f>IF(TrRoad_act!M74=0,0,TrRoad_ene!M77/TrRoad_tech!M105)</f>
        <v>1.0779484602630838</v>
      </c>
      <c r="N132" s="150">
        <f>IF(TrRoad_act!N74=0,0,TrRoad_ene!N77/TrRoad_tech!N105)</f>
        <v>1.0891579739894315</v>
      </c>
      <c r="O132" s="150">
        <f>IF(TrRoad_act!O74=0,0,TrRoad_ene!O77/TrRoad_tech!O105)</f>
        <v>1.0912256596051866</v>
      </c>
      <c r="P132" s="150">
        <f>IF(TrRoad_act!P74=0,0,TrRoad_ene!P77/TrRoad_tech!P105)</f>
        <v>1.1028323294070679</v>
      </c>
      <c r="Q132" s="150">
        <f>IF(TrRoad_act!Q74=0,0,TrRoad_ene!Q77/TrRoad_tech!Q105)</f>
        <v>1.1121065235777507</v>
      </c>
      <c r="R132" s="150">
        <f>IF(TrRoad_act!R74=0,0,TrRoad_ene!R77/TrRoad_tech!R105)</f>
        <v>1.1237215516422849</v>
      </c>
      <c r="S132" s="150">
        <f>IF(TrRoad_act!S74=0,0,TrRoad_ene!S77/TrRoad_tech!S105)</f>
        <v>1.1412249880526524</v>
      </c>
      <c r="T132" s="150">
        <f>IF(TrRoad_act!T74=0,0,TrRoad_ene!T77/TrRoad_tech!T105)</f>
        <v>1.1605860062820039</v>
      </c>
      <c r="U132" s="150">
        <f>IF(TrRoad_act!U74=0,0,TrRoad_ene!U77/TrRoad_tech!U105)</f>
        <v>1.175980067693486</v>
      </c>
      <c r="V132" s="150">
        <f>IF(TrRoad_act!V74=0,0,TrRoad_ene!V77/TrRoad_tech!V105)</f>
        <v>1.1926077318357704</v>
      </c>
      <c r="W132" s="150">
        <f>IF(TrRoad_act!W74=0,0,TrRoad_ene!W77/TrRoad_tech!W105)</f>
        <v>1.1970446516785778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1.1000001963649688</v>
      </c>
      <c r="D133" s="91">
        <f>IF(TrRoad_act!D75=0,0,TrRoad_ene!D78/TrRoad_tech!D106)</f>
        <v>1.1000002082725271</v>
      </c>
      <c r="E133" s="91">
        <f>IF(TrRoad_act!E75=0,0,TrRoad_ene!E78/TrRoad_tech!E106)</f>
        <v>1.1000023424571679</v>
      </c>
      <c r="F133" s="91">
        <f>IF(TrRoad_act!F75=0,0,TrRoad_ene!F78/TrRoad_tech!F106)</f>
        <v>1.1000025090716117</v>
      </c>
      <c r="G133" s="91">
        <f>IF(TrRoad_act!G75=0,0,TrRoad_ene!G78/TrRoad_tech!G106)</f>
        <v>1.1000053960683602</v>
      </c>
      <c r="H133" s="91">
        <f>IF(TrRoad_act!H75=0,0,TrRoad_ene!H78/TrRoad_tech!H106)</f>
        <v>1.1003492723840269</v>
      </c>
      <c r="I133" s="91">
        <f>IF(TrRoad_act!I75=0,0,TrRoad_ene!I78/TrRoad_tech!I106)</f>
        <v>1.1011942390415437</v>
      </c>
      <c r="J133" s="91">
        <f>IF(TrRoad_act!J75=0,0,TrRoad_ene!J78/TrRoad_tech!J106)</f>
        <v>1.1024960841915779</v>
      </c>
      <c r="K133" s="91">
        <f>IF(TrRoad_act!K75=0,0,TrRoad_ene!K78/TrRoad_tech!K106)</f>
        <v>1.1045315570473848</v>
      </c>
      <c r="L133" s="91">
        <f>IF(TrRoad_act!L75=0,0,TrRoad_ene!L78/TrRoad_tech!L106)</f>
        <v>1.1072450352922818</v>
      </c>
      <c r="M133" s="91">
        <f>IF(TrRoad_act!M75=0,0,TrRoad_ene!M78/TrRoad_tech!M106)</f>
        <v>1.1079498187884373</v>
      </c>
      <c r="N133" s="91">
        <f>IF(TrRoad_act!N75=0,0,TrRoad_ene!N78/TrRoad_tech!N106)</f>
        <v>1.1088295685953948</v>
      </c>
      <c r="O133" s="91">
        <f>IF(TrRoad_act!O75=0,0,TrRoad_ene!O78/TrRoad_tech!O106)</f>
        <v>1.1093858091060369</v>
      </c>
      <c r="P133" s="91">
        <f>IF(TrRoad_act!P75=0,0,TrRoad_ene!P78/TrRoad_tech!P106)</f>
        <v>1.1126498168484447</v>
      </c>
      <c r="Q133" s="91">
        <f>IF(TrRoad_act!Q75=0,0,TrRoad_ene!Q78/TrRoad_tech!Q106)</f>
        <v>1.128942974881042</v>
      </c>
      <c r="R133" s="91">
        <f>IF(TrRoad_act!R75=0,0,TrRoad_ene!R78/TrRoad_tech!R106)</f>
        <v>1.134647516977668</v>
      </c>
      <c r="S133" s="91">
        <f>IF(TrRoad_act!S75=0,0,TrRoad_ene!S78/TrRoad_tech!S106)</f>
        <v>1.1524056018503259</v>
      </c>
      <c r="T133" s="91">
        <f>IF(TrRoad_act!T75=0,0,TrRoad_ene!T78/TrRoad_tech!T106)</f>
        <v>1.1610812296173312</v>
      </c>
      <c r="U133" s="91">
        <f>IF(TrRoad_act!U75=0,0,TrRoad_ene!U78/TrRoad_tech!U106)</f>
        <v>1.2057821418150048</v>
      </c>
      <c r="V133" s="91">
        <f>IF(TrRoad_act!V75=0,0,TrRoad_ene!V78/TrRoad_tech!V106)</f>
        <v>1.2403392945656413</v>
      </c>
      <c r="W133" s="91">
        <f>IF(TrRoad_act!W75=0,0,TrRoad_ene!W78/TrRoad_tech!W106)</f>
        <v>1.245433636515044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1.100090127028607</v>
      </c>
      <c r="D134" s="91">
        <f>IF(TrRoad_act!D76=0,0,TrRoad_ene!D79/TrRoad_tech!D107)</f>
        <v>1.1001316342319922</v>
      </c>
      <c r="E134" s="91">
        <f>IF(TrRoad_act!E76=0,0,TrRoad_ene!E79/TrRoad_tech!E107)</f>
        <v>1.1001411233757399</v>
      </c>
      <c r="F134" s="91">
        <f>IF(TrRoad_act!F76=0,0,TrRoad_ene!F79/TrRoad_tech!F107)</f>
        <v>1.1003055849755949</v>
      </c>
      <c r="G134" s="91">
        <f>IF(TrRoad_act!G76=0,0,TrRoad_ene!G79/TrRoad_tech!G107)</f>
        <v>1.1007690522877338</v>
      </c>
      <c r="H134" s="91">
        <f>IF(TrRoad_act!H76=0,0,TrRoad_ene!H79/TrRoad_tech!H107)</f>
        <v>1.1017882424051506</v>
      </c>
      <c r="I134" s="91">
        <f>IF(TrRoad_act!I76=0,0,TrRoad_ene!I79/TrRoad_tech!I107)</f>
        <v>1.1034868790284296</v>
      </c>
      <c r="J134" s="91">
        <f>IF(TrRoad_act!J76=0,0,TrRoad_ene!J79/TrRoad_tech!J107)</f>
        <v>1.1056407869460689</v>
      </c>
      <c r="K134" s="91">
        <f>IF(TrRoad_act!K76=0,0,TrRoad_ene!K79/TrRoad_tech!K107)</f>
        <v>1.1085794301810845</v>
      </c>
      <c r="L134" s="91">
        <f>IF(TrRoad_act!L76=0,0,TrRoad_ene!L79/TrRoad_tech!L107)</f>
        <v>1.1114529801159856</v>
      </c>
      <c r="M134" s="91">
        <f>IF(TrRoad_act!M76=0,0,TrRoad_ene!M79/TrRoad_tech!M107)</f>
        <v>1.1149126912101759</v>
      </c>
      <c r="N134" s="91">
        <f>IF(TrRoad_act!N76=0,0,TrRoad_ene!N79/TrRoad_tech!N107)</f>
        <v>1.1180110942789205</v>
      </c>
      <c r="O134" s="91">
        <f>IF(TrRoad_act!O76=0,0,TrRoad_ene!O79/TrRoad_tech!O107)</f>
        <v>1.1217286590991642</v>
      </c>
      <c r="P134" s="91">
        <f>IF(TrRoad_act!P76=0,0,TrRoad_ene!P79/TrRoad_tech!P107)</f>
        <v>1.1354616357960241</v>
      </c>
      <c r="Q134" s="91">
        <f>IF(TrRoad_act!Q76=0,0,TrRoad_ene!Q79/TrRoad_tech!Q107)</f>
        <v>1.1432492151696894</v>
      </c>
      <c r="R134" s="91">
        <f>IF(TrRoad_act!R76=0,0,TrRoad_ene!R79/TrRoad_tech!R107)</f>
        <v>1.1541611182330935</v>
      </c>
      <c r="S134" s="91">
        <f>IF(TrRoad_act!S76=0,0,TrRoad_ene!S79/TrRoad_tech!S107)</f>
        <v>1.1678052824858596</v>
      </c>
      <c r="T134" s="91">
        <f>IF(TrRoad_act!T76=0,0,TrRoad_ene!T79/TrRoad_tech!T107)</f>
        <v>1.1829645778640427</v>
      </c>
      <c r="U134" s="91">
        <f>IF(TrRoad_act!U76=0,0,TrRoad_ene!U79/TrRoad_tech!U107)</f>
        <v>1.2029044599051593</v>
      </c>
      <c r="V134" s="91">
        <f>IF(TrRoad_act!V76=0,0,TrRoad_ene!V79/TrRoad_tech!V107)</f>
        <v>1.213699706616123</v>
      </c>
      <c r="W134" s="91">
        <f>IF(TrRoad_act!W76=0,0,TrRoad_ene!W79/TrRoad_tech!W107)</f>
        <v>1.2184571209276012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1.1000040332187049</v>
      </c>
      <c r="D135" s="91">
        <f>IF(TrRoad_act!D77=0,0,TrRoad_ene!D80/TrRoad_tech!D108)</f>
        <v>1.100010554209391</v>
      </c>
      <c r="E135" s="91">
        <f>IF(TrRoad_act!E77=0,0,TrRoad_ene!E80/TrRoad_tech!E108)</f>
        <v>1.1000451046673216</v>
      </c>
      <c r="F135" s="91">
        <f>IF(TrRoad_act!F77=0,0,TrRoad_ene!F80/TrRoad_tech!F108)</f>
        <v>1.1000511220717109</v>
      </c>
      <c r="G135" s="91">
        <f>IF(TrRoad_act!G77=0,0,TrRoad_ene!G80/TrRoad_tech!G108)</f>
        <v>1.1001092367076313</v>
      </c>
      <c r="H135" s="91">
        <f>IF(TrRoad_act!H77=0,0,TrRoad_ene!H80/TrRoad_tech!H108)</f>
        <v>1.1005277329046801</v>
      </c>
      <c r="I135" s="91">
        <f>IF(TrRoad_act!I77=0,0,TrRoad_ene!I80/TrRoad_tech!I108)</f>
        <v>1.1014654083663791</v>
      </c>
      <c r="J135" s="91">
        <f>IF(TrRoad_act!J77=0,0,TrRoad_ene!J80/TrRoad_tech!J108)</f>
        <v>1.10280634242453</v>
      </c>
      <c r="K135" s="91">
        <f>IF(TrRoad_act!K77=0,0,TrRoad_ene!K80/TrRoad_tech!K108)</f>
        <v>1.1048685105251774</v>
      </c>
      <c r="L135" s="91">
        <f>IF(TrRoad_act!L77=0,0,TrRoad_ene!L80/TrRoad_tech!L108)</f>
        <v>1.1066183627174748</v>
      </c>
      <c r="M135" s="91">
        <f>IF(TrRoad_act!M77=0,0,TrRoad_ene!M80/TrRoad_tech!M108)</f>
        <v>1.1090373501099835</v>
      </c>
      <c r="N135" s="91">
        <f>IF(TrRoad_act!N77=0,0,TrRoad_ene!N80/TrRoad_tech!N108)</f>
        <v>1.1115615959117355</v>
      </c>
      <c r="O135" s="91">
        <f>IF(TrRoad_act!O77=0,0,TrRoad_ene!O80/TrRoad_tech!O108)</f>
        <v>1.1129698499117304</v>
      </c>
      <c r="P135" s="91">
        <f>IF(TrRoad_act!P77=0,0,TrRoad_ene!P80/TrRoad_tech!P108)</f>
        <v>1.123244334879427</v>
      </c>
      <c r="Q135" s="91">
        <f>IF(TrRoad_act!Q77=0,0,TrRoad_ene!Q80/TrRoad_tech!Q108)</f>
        <v>1.1344958679320627</v>
      </c>
      <c r="R135" s="91">
        <f>IF(TrRoad_act!R77=0,0,TrRoad_ene!R80/TrRoad_tech!R108)</f>
        <v>1.1389506875283244</v>
      </c>
      <c r="S135" s="91">
        <f>IF(TrRoad_act!S77=0,0,TrRoad_ene!S80/TrRoad_tech!S108)</f>
        <v>1.1515506572490997</v>
      </c>
      <c r="T135" s="91">
        <f>IF(TrRoad_act!T77=0,0,TrRoad_ene!T80/TrRoad_tech!T108)</f>
        <v>1.1618398498934084</v>
      </c>
      <c r="U135" s="91">
        <f>IF(TrRoad_act!U77=0,0,TrRoad_ene!U80/TrRoad_tech!U108)</f>
        <v>1.1937856600957033</v>
      </c>
      <c r="V135" s="91">
        <f>IF(TrRoad_act!V77=0,0,TrRoad_ene!V80/TrRoad_tech!V108)</f>
        <v>1.2028455041714157</v>
      </c>
      <c r="W135" s="91">
        <f>IF(TrRoad_act!W77=0,0,TrRoad_ene!W80/TrRoad_tech!W108)</f>
        <v>1.2057142966383212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1.2560000000062248</v>
      </c>
      <c r="P136" s="91">
        <f>IF(TrRoad_act!P78=0,0,TrRoad_ene!P81/TrRoad_tech!P109)</f>
        <v>1.2691527600124437</v>
      </c>
      <c r="Q136" s="91">
        <f>IF(TrRoad_act!Q78=0,0,TrRoad_ene!Q81/TrRoad_tech!Q109)</f>
        <v>1.2829812818957318</v>
      </c>
      <c r="R136" s="91">
        <f>IF(TrRoad_act!R78=0,0,TrRoad_ene!R81/TrRoad_tech!R109)</f>
        <v>1.3044672500237544</v>
      </c>
      <c r="S136" s="91">
        <f>IF(TrRoad_act!S78=0,0,TrRoad_ene!S81/TrRoad_tech!S109)</f>
        <v>1.3077832655948014</v>
      </c>
      <c r="T136" s="91">
        <f>IF(TrRoad_act!T78=0,0,TrRoad_ene!T81/TrRoad_tech!T109)</f>
        <v>1.3212844983796734</v>
      </c>
      <c r="U136" s="91">
        <f>IF(TrRoad_act!U78=0,0,TrRoad_ene!U81/TrRoad_tech!U109)</f>
        <v>1.3343209581309932</v>
      </c>
      <c r="V136" s="91">
        <f>IF(TrRoad_act!V78=0,0,TrRoad_ene!V81/TrRoad_tech!V109)</f>
        <v>1.3363826964462175</v>
      </c>
      <c r="W136" s="91">
        <f>IF(TrRoad_act!W78=0,0,TrRoad_ene!W81/TrRoad_tech!W109)</f>
        <v>1.3451430126674249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1.2360000000066975</v>
      </c>
      <c r="O137" s="91">
        <f>IF(TrRoad_act!O79=0,0,TrRoad_ene!O82/TrRoad_tech!O110)</f>
        <v>1.2509307795143083</v>
      </c>
      <c r="P137" s="91">
        <f>IF(TrRoad_act!P79=0,0,TrRoad_ene!P82/TrRoad_tech!P110)</f>
        <v>1.2596973192432734</v>
      </c>
      <c r="Q137" s="91">
        <f>IF(TrRoad_act!Q79=0,0,TrRoad_ene!Q82/TrRoad_tech!Q110)</f>
        <v>1.2796621128643118</v>
      </c>
      <c r="R137" s="91">
        <f>IF(TrRoad_act!R79=0,0,TrRoad_ene!R82/TrRoad_tech!R110)</f>
        <v>1.2948184901307078</v>
      </c>
      <c r="S137" s="91">
        <f>IF(TrRoad_act!S79=0,0,TrRoad_ene!S82/TrRoad_tech!S110)</f>
        <v>1.3200340364558436</v>
      </c>
      <c r="T137" s="91">
        <f>IF(TrRoad_act!T79=0,0,TrRoad_ene!T82/TrRoad_tech!T110)</f>
        <v>1.3301989268644054</v>
      </c>
      <c r="U137" s="91">
        <f>IF(TrRoad_act!U79=0,0,TrRoad_ene!U82/TrRoad_tech!U110)</f>
        <v>1.3352341005917281</v>
      </c>
      <c r="V137" s="91">
        <f>IF(TrRoad_act!V79=0,0,TrRoad_ene!V82/TrRoad_tech!V110)</f>
        <v>1.3397364490897321</v>
      </c>
      <c r="W137" s="91">
        <f>IF(TrRoad_act!W79=0,0,TrRoad_ene!W82/TrRoad_tech!W110)</f>
        <v>1.3435535262184768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1.0873361582573939</v>
      </c>
      <c r="C138" s="151">
        <f>IF(TrRoad_act!C80=0,0,TrRoad_ene!C83/TrRoad_tech!C111)</f>
        <v>1.1439386329452905</v>
      </c>
      <c r="D138" s="151">
        <f>IF(TrRoad_act!D80=0,0,TrRoad_ene!D83/TrRoad_tech!D111)</f>
        <v>1.1752073922254178</v>
      </c>
      <c r="E138" s="151">
        <f>IF(TrRoad_act!E80=0,0,TrRoad_ene!E83/TrRoad_tech!E111)</f>
        <v>1.4007034697448455</v>
      </c>
      <c r="F138" s="151">
        <f>IF(TrRoad_act!F80=0,0,TrRoad_ene!F83/TrRoad_tech!F111)</f>
        <v>1.3859907721668374</v>
      </c>
      <c r="G138" s="151">
        <f>IF(TrRoad_act!G80=0,0,TrRoad_ene!G83/TrRoad_tech!G111)</f>
        <v>1.3786106122513531</v>
      </c>
      <c r="H138" s="151">
        <f>IF(TrRoad_act!H80=0,0,TrRoad_ene!H83/TrRoad_tech!H111)</f>
        <v>1.3979195062189376</v>
      </c>
      <c r="I138" s="151">
        <f>IF(TrRoad_act!I80=0,0,TrRoad_ene!I83/TrRoad_tech!I111)</f>
        <v>1.4083501554128692</v>
      </c>
      <c r="J138" s="151">
        <f>IF(TrRoad_act!J80=0,0,TrRoad_ene!J83/TrRoad_tech!J111)</f>
        <v>1.46611978538515</v>
      </c>
      <c r="K138" s="151">
        <f>IF(TrRoad_act!K80=0,0,TrRoad_ene!K83/TrRoad_tech!K111)</f>
        <v>1.5034399461842656</v>
      </c>
      <c r="L138" s="151">
        <f>IF(TrRoad_act!L80=0,0,TrRoad_ene!L83/TrRoad_tech!L111)</f>
        <v>1.5330063609369908</v>
      </c>
      <c r="M138" s="151">
        <f>IF(TrRoad_act!M80=0,0,TrRoad_ene!M83/TrRoad_tech!M111)</f>
        <v>1.5140469374432584</v>
      </c>
      <c r="N138" s="151">
        <f>IF(TrRoad_act!N80=0,0,TrRoad_ene!N83/TrRoad_tech!N111)</f>
        <v>1.7207590970991398</v>
      </c>
      <c r="O138" s="151">
        <f>IF(TrRoad_act!O80=0,0,TrRoad_ene!O83/TrRoad_tech!O111)</f>
        <v>1.742129741018265</v>
      </c>
      <c r="P138" s="151">
        <f>IF(TrRoad_act!P80=0,0,TrRoad_ene!P83/TrRoad_tech!P111)</f>
        <v>1.7086855964398087</v>
      </c>
      <c r="Q138" s="151">
        <f>IF(TrRoad_act!Q80=0,0,TrRoad_ene!Q83/TrRoad_tech!Q111)</f>
        <v>1.6239815022566133</v>
      </c>
      <c r="R138" s="151">
        <f>IF(TrRoad_act!R80=0,0,TrRoad_ene!R83/TrRoad_tech!R111)</f>
        <v>1.6779461921417775</v>
      </c>
      <c r="S138" s="151">
        <f>IF(TrRoad_act!S80=0,0,TrRoad_ene!S83/TrRoad_tech!S111)</f>
        <v>1.6867764715051867</v>
      </c>
      <c r="T138" s="151">
        <f>IF(TrRoad_act!T80=0,0,TrRoad_ene!T83/TrRoad_tech!T111)</f>
        <v>1.7092393061219751</v>
      </c>
      <c r="U138" s="151">
        <f>IF(TrRoad_act!U80=0,0,TrRoad_ene!U83/TrRoad_tech!U111)</f>
        <v>1.8309591846455466</v>
      </c>
      <c r="V138" s="151">
        <f>IF(TrRoad_act!V80=0,0,TrRoad_ene!V83/TrRoad_tech!V111)</f>
        <v>1.8911610471128315</v>
      </c>
      <c r="W138" s="151">
        <f>IF(TrRoad_act!W80=0,0,TrRoad_ene!W83/TrRoad_tech!W111)</f>
        <v>1.8536845627311485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1.0551181285705511</v>
      </c>
      <c r="C139" s="93">
        <f>IF(TrRoad_act!C81=0,0,TrRoad_ene!C84/TrRoad_tech!C112)</f>
        <v>1.1155742990471924</v>
      </c>
      <c r="D139" s="93">
        <f>IF(TrRoad_act!D81=0,0,TrRoad_ene!D84/TrRoad_tech!D112)</f>
        <v>1.1448591224863394</v>
      </c>
      <c r="E139" s="93">
        <f>IF(TrRoad_act!E81=0,0,TrRoad_ene!E84/TrRoad_tech!E112)</f>
        <v>1.366253288927703</v>
      </c>
      <c r="F139" s="93">
        <f>IF(TrRoad_act!F81=0,0,TrRoad_ene!F84/TrRoad_tech!F112)</f>
        <v>1.3583907569509062</v>
      </c>
      <c r="G139" s="93">
        <f>IF(TrRoad_act!G81=0,0,TrRoad_ene!G84/TrRoad_tech!G112)</f>
        <v>1.352924944783801</v>
      </c>
      <c r="H139" s="93">
        <f>IF(TrRoad_act!H81=0,0,TrRoad_ene!H84/TrRoad_tech!H112)</f>
        <v>1.3713891617779128</v>
      </c>
      <c r="I139" s="93">
        <f>IF(TrRoad_act!I81=0,0,TrRoad_ene!I84/TrRoad_tech!I112)</f>
        <v>1.3806895729719872</v>
      </c>
      <c r="J139" s="93">
        <f>IF(TrRoad_act!J81=0,0,TrRoad_ene!J84/TrRoad_tech!J112)</f>
        <v>1.4378761464135528</v>
      </c>
      <c r="K139" s="93">
        <f>IF(TrRoad_act!K81=0,0,TrRoad_ene!K84/TrRoad_tech!K112)</f>
        <v>1.4684416023321816</v>
      </c>
      <c r="L139" s="93">
        <f>IF(TrRoad_act!L81=0,0,TrRoad_ene!L84/TrRoad_tech!L112)</f>
        <v>1.5004010061353288</v>
      </c>
      <c r="M139" s="93">
        <f>IF(TrRoad_act!M81=0,0,TrRoad_ene!M84/TrRoad_tech!M112)</f>
        <v>1.4779206632671849</v>
      </c>
      <c r="N139" s="93">
        <f>IF(TrRoad_act!N81=0,0,TrRoad_ene!N84/TrRoad_tech!N112)</f>
        <v>1.6756123482403364</v>
      </c>
      <c r="O139" s="93">
        <f>IF(TrRoad_act!O81=0,0,TrRoad_ene!O84/TrRoad_tech!O112)</f>
        <v>1.6849091943354475</v>
      </c>
      <c r="P139" s="93">
        <f>IF(TrRoad_act!P81=0,0,TrRoad_ene!P84/TrRoad_tech!P112)</f>
        <v>1.644435848650462</v>
      </c>
      <c r="Q139" s="93">
        <f>IF(TrRoad_act!Q81=0,0,TrRoad_ene!Q84/TrRoad_tech!Q112)</f>
        <v>1.5742019431441487</v>
      </c>
      <c r="R139" s="93">
        <f>IF(TrRoad_act!R81=0,0,TrRoad_ene!R84/TrRoad_tech!R112)</f>
        <v>1.619060373850818</v>
      </c>
      <c r="S139" s="93">
        <f>IF(TrRoad_act!S81=0,0,TrRoad_ene!S84/TrRoad_tech!S112)</f>
        <v>1.6252854606905316</v>
      </c>
      <c r="T139" s="93">
        <f>IF(TrRoad_act!T81=0,0,TrRoad_ene!T84/TrRoad_tech!T112)</f>
        <v>1.6414225968684513</v>
      </c>
      <c r="U139" s="93">
        <f>IF(TrRoad_act!U81=0,0,TrRoad_ene!U84/TrRoad_tech!U112)</f>
        <v>1.751639842963324</v>
      </c>
      <c r="V139" s="93">
        <f>IF(TrRoad_act!V81=0,0,TrRoad_ene!V84/TrRoad_tech!V112)</f>
        <v>1.8066616212848736</v>
      </c>
      <c r="W139" s="93">
        <f>IF(TrRoad_act!W81=0,0,TrRoad_ene!W84/TrRoad_tech!W112)</f>
        <v>1.7639020623360833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1.0551181285705513</v>
      </c>
      <c r="C140" s="94">
        <f>IF(TrRoad_act!C82=0,0,TrRoad_ene!C85/TrRoad_tech!C113)</f>
        <v>1.1160740069689143</v>
      </c>
      <c r="D140" s="94">
        <f>IF(TrRoad_act!D82=0,0,TrRoad_ene!D85/TrRoad_tech!D113)</f>
        <v>1.1467400524235583</v>
      </c>
      <c r="E140" s="94">
        <f>IF(TrRoad_act!E82=0,0,TrRoad_ene!E85/TrRoad_tech!E113)</f>
        <v>1.3713394036782074</v>
      </c>
      <c r="F140" s="94">
        <f>IF(TrRoad_act!F82=0,0,TrRoad_ene!F85/TrRoad_tech!F113)</f>
        <v>1.3683942205419615</v>
      </c>
      <c r="G140" s="94">
        <f>IF(TrRoad_act!G82=0,0,TrRoad_ene!G85/TrRoad_tech!G113)</f>
        <v>1.3658491307431861</v>
      </c>
      <c r="H140" s="94">
        <f>IF(TrRoad_act!H82=0,0,TrRoad_ene!H85/TrRoad_tech!H113)</f>
        <v>1.3888075278283549</v>
      </c>
      <c r="I140" s="94">
        <f>IF(TrRoad_act!I82=0,0,TrRoad_ene!I85/TrRoad_tech!I113)</f>
        <v>1.4034509406954476</v>
      </c>
      <c r="J140" s="94">
        <f>IF(TrRoad_act!J82=0,0,TrRoad_ene!J85/TrRoad_tech!J113)</f>
        <v>1.4583890109023598</v>
      </c>
      <c r="K140" s="94">
        <f>IF(TrRoad_act!K82=0,0,TrRoad_ene!K85/TrRoad_tech!K113)</f>
        <v>1.4937823096589278</v>
      </c>
      <c r="L140" s="94">
        <f>IF(TrRoad_act!L82=0,0,TrRoad_ene!L85/TrRoad_tech!L113)</f>
        <v>1.5239690474769219</v>
      </c>
      <c r="M140" s="94">
        <f>IF(TrRoad_act!M82=0,0,TrRoad_ene!M85/TrRoad_tech!M113)</f>
        <v>1.5159688501487074</v>
      </c>
      <c r="N140" s="94">
        <f>IF(TrRoad_act!N82=0,0,TrRoad_ene!N85/TrRoad_tech!N113)</f>
        <v>1.7096159517584113</v>
      </c>
      <c r="O140" s="94">
        <f>IF(TrRoad_act!O82=0,0,TrRoad_ene!O85/TrRoad_tech!O113)</f>
        <v>1.7498523600182327</v>
      </c>
      <c r="P140" s="94">
        <f>IF(TrRoad_act!P82=0,0,TrRoad_ene!P85/TrRoad_tech!P113)</f>
        <v>1.711880597212581</v>
      </c>
      <c r="Q140" s="94">
        <f>IF(TrRoad_act!Q82=0,0,TrRoad_ene!Q85/TrRoad_tech!Q113)</f>
        <v>1.6319523812701435</v>
      </c>
      <c r="R140" s="94">
        <f>IF(TrRoad_act!R82=0,0,TrRoad_ene!R85/TrRoad_tech!R113)</f>
        <v>1.6895436808716868</v>
      </c>
      <c r="S140" s="94">
        <f>IF(TrRoad_act!S82=0,0,TrRoad_ene!S85/TrRoad_tech!S113)</f>
        <v>1.6955912651936096</v>
      </c>
      <c r="T140" s="94">
        <f>IF(TrRoad_act!T82=0,0,TrRoad_ene!T85/TrRoad_tech!T113)</f>
        <v>1.7185482332049353</v>
      </c>
      <c r="U140" s="94">
        <f>IF(TrRoad_act!U82=0,0,TrRoad_ene!U85/TrRoad_tech!U113)</f>
        <v>1.8289342846615928</v>
      </c>
      <c r="V140" s="94">
        <f>IF(TrRoad_act!V82=0,0,TrRoad_ene!V85/TrRoad_tech!V113)</f>
        <v>1.87879584600834</v>
      </c>
      <c r="W140" s="94">
        <f>IF(TrRoad_act!W82=0,0,TrRoad_ene!W85/TrRoad_tech!W113)</f>
        <v>1.8796458510896539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3.306503468794697</v>
      </c>
      <c r="C144" s="141">
        <v>3.2613804357446017</v>
      </c>
      <c r="D144" s="141">
        <v>3.2119655806575627</v>
      </c>
      <c r="E144" s="141">
        <v>3.2119655806575627</v>
      </c>
      <c r="F144" s="141">
        <v>3.1625507255705232</v>
      </c>
      <c r="G144" s="141">
        <v>3.1131358704834833</v>
      </c>
      <c r="H144" s="141">
        <v>3.0143061603094043</v>
      </c>
      <c r="I144" s="141">
        <v>3.0143061603094043</v>
      </c>
      <c r="J144" s="141">
        <v>2.9648913052223649</v>
      </c>
      <c r="K144" s="141">
        <v>2.8016951988075856</v>
      </c>
      <c r="L144" s="141">
        <v>2.6997960129298755</v>
      </c>
      <c r="M144" s="141">
        <v>2.6066147466783458</v>
      </c>
      <c r="N144" s="141">
        <v>2.5066787540082891</v>
      </c>
      <c r="O144" s="141">
        <v>2.4030694406615525</v>
      </c>
      <c r="P144" s="141">
        <v>2.3432581441357399</v>
      </c>
      <c r="Q144" s="141">
        <v>2.2997420534327673</v>
      </c>
      <c r="R144" s="141">
        <v>2.285222918515927</v>
      </c>
      <c r="S144" s="141">
        <v>2.2736076105824545</v>
      </c>
      <c r="T144" s="141">
        <v>2.2643153642356766</v>
      </c>
      <c r="U144" s="141">
        <v>2.2568815671582545</v>
      </c>
      <c r="V144" s="141">
        <v>2.2509345294963166</v>
      </c>
      <c r="W144" s="141">
        <v>2.2461768993667661</v>
      </c>
      <c r="DA144" s="174" t="s">
        <v>885</v>
      </c>
    </row>
    <row r="145" spans="1:105" ht="11.45" customHeight="1" x14ac:dyDescent="0.25">
      <c r="A145" s="109" t="s">
        <v>20</v>
      </c>
      <c r="B145" s="130">
        <v>6.7056746462657815</v>
      </c>
      <c r="C145" s="130">
        <v>6.6101331183375143</v>
      </c>
      <c r="D145" s="130">
        <v>6.4925701896958765</v>
      </c>
      <c r="E145" s="130">
        <v>6.3672327256123573</v>
      </c>
      <c r="F145" s="130">
        <v>6.2092389477963206</v>
      </c>
      <c r="G145" s="130">
        <v>6.15172656980371</v>
      </c>
      <c r="H145" s="130">
        <v>6.1497287661313411</v>
      </c>
      <c r="I145" s="130">
        <v>6.1542527479008635</v>
      </c>
      <c r="J145" s="130">
        <v>5.8885534684919492</v>
      </c>
      <c r="K145" s="130">
        <v>5.6298425990616279</v>
      </c>
      <c r="L145" s="130">
        <v>5.4466318924845822</v>
      </c>
      <c r="M145" s="130">
        <v>5.2367564165604739</v>
      </c>
      <c r="N145" s="130">
        <v>5.0193026974718498</v>
      </c>
      <c r="O145" s="130">
        <v>4.7962761865329337</v>
      </c>
      <c r="P145" s="130">
        <v>4.6639654694416839</v>
      </c>
      <c r="Q145" s="130">
        <v>4.5225950481548551</v>
      </c>
      <c r="R145" s="130">
        <v>4.4806376680955928</v>
      </c>
      <c r="S145" s="130">
        <v>4.4860845264045759</v>
      </c>
      <c r="T145" s="130">
        <v>4.5527563674520888</v>
      </c>
      <c r="U145" s="130">
        <v>4.4389191723196948</v>
      </c>
      <c r="V145" s="130">
        <v>4.1830779598699808</v>
      </c>
      <c r="W145" s="130">
        <v>3.9811552440649201</v>
      </c>
      <c r="DA145" s="176" t="s">
        <v>886</v>
      </c>
    </row>
    <row r="146" spans="1:105" ht="11.45" customHeight="1" x14ac:dyDescent="0.25">
      <c r="A146" s="111" t="s">
        <v>110</v>
      </c>
      <c r="B146" s="96">
        <v>6.7588876254399324</v>
      </c>
      <c r="C146" s="96">
        <v>6.6666507617611597</v>
      </c>
      <c r="D146" s="96">
        <v>6.5656409017344757</v>
      </c>
      <c r="E146" s="96">
        <v>6.5656409017344757</v>
      </c>
      <c r="F146" s="96">
        <v>6.4646310417077908</v>
      </c>
      <c r="G146" s="96">
        <v>6.363621181681105</v>
      </c>
      <c r="H146" s="96">
        <v>6.161601461627737</v>
      </c>
      <c r="I146" s="96">
        <v>6.161601461627737</v>
      </c>
      <c r="J146" s="96">
        <v>6.0605916016010513</v>
      </c>
      <c r="K146" s="96">
        <v>5.7269992873704219</v>
      </c>
      <c r="L146" s="96">
        <v>5.5187051927259922</v>
      </c>
      <c r="M146" s="96">
        <v>5.3282315660281601</v>
      </c>
      <c r="N146" s="96">
        <v>5.1231230538805468</v>
      </c>
      <c r="O146" s="96">
        <v>4.867237481755696</v>
      </c>
      <c r="P146" s="96">
        <v>4.7488771232032816</v>
      </c>
      <c r="Q146" s="96">
        <v>4.6342800484116928</v>
      </c>
      <c r="R146" s="96">
        <v>4.60763044613776</v>
      </c>
      <c r="S146" s="96">
        <v>4.591195910739339</v>
      </c>
      <c r="T146" s="96">
        <v>4.7125373858718858</v>
      </c>
      <c r="U146" s="96">
        <v>4.7576023337286761</v>
      </c>
      <c r="V146" s="96">
        <v>4.5963930464321763</v>
      </c>
      <c r="W146" s="96">
        <v>4.4280469106838352</v>
      </c>
      <c r="DA146" s="171" t="s">
        <v>887</v>
      </c>
    </row>
    <row r="147" spans="1:105" ht="11.45" customHeight="1" x14ac:dyDescent="0.25">
      <c r="A147" s="111" t="s">
        <v>111</v>
      </c>
      <c r="B147" s="96">
        <v>6.5717822216892099</v>
      </c>
      <c r="C147" s="96">
        <v>6.467925626353642</v>
      </c>
      <c r="D147" s="96">
        <v>6.3544532469439288</v>
      </c>
      <c r="E147" s="96">
        <v>6.1275084881245041</v>
      </c>
      <c r="F147" s="96">
        <v>6.0140361087147909</v>
      </c>
      <c r="G147" s="96">
        <v>6.0318512722821147</v>
      </c>
      <c r="H147" s="96">
        <v>6.143394621241864</v>
      </c>
      <c r="I147" s="96">
        <v>6.1509972706623151</v>
      </c>
      <c r="J147" s="96">
        <v>5.8121687457449109</v>
      </c>
      <c r="K147" s="96">
        <v>5.5837627097589646</v>
      </c>
      <c r="L147" s="96">
        <v>5.3692825845121588</v>
      </c>
      <c r="M147" s="96">
        <v>5.2023044796042006</v>
      </c>
      <c r="N147" s="96">
        <v>4.9695048941621014</v>
      </c>
      <c r="O147" s="96">
        <v>4.7573207519513989</v>
      </c>
      <c r="P147" s="96">
        <v>4.6041922106364712</v>
      </c>
      <c r="Q147" s="96">
        <v>4.478554333533217</v>
      </c>
      <c r="R147" s="96">
        <v>4.4425696656045934</v>
      </c>
      <c r="S147" s="96">
        <v>4.4899207196592252</v>
      </c>
      <c r="T147" s="96">
        <v>4.6067807634208728</v>
      </c>
      <c r="U147" s="96">
        <v>4.450475991818565</v>
      </c>
      <c r="V147" s="96">
        <v>4.286471140621515</v>
      </c>
      <c r="W147" s="96">
        <v>4.2301828954860117</v>
      </c>
      <c r="DA147" s="171" t="s">
        <v>888</v>
      </c>
    </row>
    <row r="148" spans="1:105" ht="11.45" customHeight="1" x14ac:dyDescent="0.25">
      <c r="A148" s="111" t="s">
        <v>112</v>
      </c>
      <c r="B148" s="96">
        <v>5.7571258453578089</v>
      </c>
      <c r="C148" s="96">
        <v>0</v>
      </c>
      <c r="D148" s="96">
        <v>0</v>
      </c>
      <c r="E148" s="96">
        <v>6.2416219498105638</v>
      </c>
      <c r="F148" s="96">
        <v>6.1260363581474051</v>
      </c>
      <c r="G148" s="96">
        <v>6.1441832960385208</v>
      </c>
      <c r="H148" s="96">
        <v>0</v>
      </c>
      <c r="I148" s="96">
        <v>0</v>
      </c>
      <c r="J148" s="96">
        <v>5.9204095905786494</v>
      </c>
      <c r="K148" s="96">
        <v>5.687749916513396</v>
      </c>
      <c r="L148" s="96">
        <v>5.8446199366826725</v>
      </c>
      <c r="M148" s="96">
        <v>5.2991877355088395</v>
      </c>
      <c r="N148" s="96">
        <v>5.296926108382543</v>
      </c>
      <c r="O148" s="96">
        <v>5.4771280581601349</v>
      </c>
      <c r="P148" s="96">
        <v>5.4434728424952539</v>
      </c>
      <c r="Q148" s="96">
        <v>5.4046446260757177</v>
      </c>
      <c r="R148" s="96">
        <v>4.7974893925949651</v>
      </c>
      <c r="S148" s="96">
        <v>5.2020355191763326</v>
      </c>
      <c r="T148" s="96">
        <v>5.0694228427050554</v>
      </c>
      <c r="U148" s="96">
        <v>5.5348402575837392</v>
      </c>
      <c r="V148" s="96">
        <v>4.5623093958792902</v>
      </c>
      <c r="W148" s="96">
        <v>4.3708373248230004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7.5353917970296527</v>
      </c>
      <c r="M149" s="96">
        <v>0</v>
      </c>
      <c r="N149" s="96">
        <v>5.6270782899896759</v>
      </c>
      <c r="O149" s="96">
        <v>5.5445070324735228</v>
      </c>
      <c r="P149" s="96">
        <v>4.7218526520348139</v>
      </c>
      <c r="Q149" s="96">
        <v>4.138174344936508</v>
      </c>
      <c r="R149" s="96">
        <v>4.324287338068153</v>
      </c>
      <c r="S149" s="96">
        <v>4.3793348430789223</v>
      </c>
      <c r="T149" s="96">
        <v>5.3632757538994209</v>
      </c>
      <c r="U149" s="96">
        <v>4.7164821637410812</v>
      </c>
      <c r="V149" s="96">
        <v>4.6449353515258114</v>
      </c>
      <c r="W149" s="96">
        <v>4.5390471413597471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3.3270157843743964</v>
      </c>
      <c r="N150" s="96">
        <v>2.7225660421081077</v>
      </c>
      <c r="O150" s="96">
        <v>3.0584797716045289</v>
      </c>
      <c r="P150" s="96">
        <v>3.1260980205172912</v>
      </c>
      <c r="Q150" s="96">
        <v>3.1490024088798743</v>
      </c>
      <c r="R150" s="96">
        <v>3.1303973184576224</v>
      </c>
      <c r="S150" s="96">
        <v>3.1424439363656509</v>
      </c>
      <c r="T150" s="96">
        <v>3.2630020158889659</v>
      </c>
      <c r="U150" s="96">
        <v>3.095919143551952</v>
      </c>
      <c r="V150" s="96">
        <v>3.0307022134643962</v>
      </c>
      <c r="W150" s="96">
        <v>2.7495602721935009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1.2321076323908755</v>
      </c>
      <c r="P151" s="96">
        <v>1.2191815677259725</v>
      </c>
      <c r="Q151" s="96">
        <v>1.2096691643123285</v>
      </c>
      <c r="R151" s="96">
        <v>1.2391595065713723</v>
      </c>
      <c r="S151" s="96">
        <v>1.2298818263994533</v>
      </c>
      <c r="T151" s="96">
        <v>1.4885840894518945</v>
      </c>
      <c r="U151" s="96">
        <v>1.5671979043772124</v>
      </c>
      <c r="V151" s="96">
        <v>1.546603355927394</v>
      </c>
      <c r="W151" s="96">
        <v>1.480875959359583</v>
      </c>
      <c r="DA151" s="171" t="s">
        <v>892</v>
      </c>
    </row>
    <row r="152" spans="1:105" ht="11.45" customHeight="1" x14ac:dyDescent="0.25">
      <c r="A152" s="109" t="s">
        <v>21</v>
      </c>
      <c r="B152" s="130">
        <v>47.601464098428103</v>
      </c>
      <c r="C152" s="130">
        <v>46.487293842451784</v>
      </c>
      <c r="D152" s="130">
        <v>46.371821800459216</v>
      </c>
      <c r="E152" s="130">
        <v>46.442825064795635</v>
      </c>
      <c r="F152" s="130">
        <v>46.806108066491056</v>
      </c>
      <c r="G152" s="130">
        <v>45.994509095193997</v>
      </c>
      <c r="H152" s="130">
        <v>46.504426047468868</v>
      </c>
      <c r="I152" s="130">
        <v>45.939379146846257</v>
      </c>
      <c r="J152" s="130">
        <v>45.933290140924555</v>
      </c>
      <c r="K152" s="130">
        <v>45.416375061873218</v>
      </c>
      <c r="L152" s="130">
        <v>44.679060466174207</v>
      </c>
      <c r="M152" s="130">
        <v>44.819501398146265</v>
      </c>
      <c r="N152" s="130">
        <v>43.908839596667775</v>
      </c>
      <c r="O152" s="130">
        <v>43.611401447942455</v>
      </c>
      <c r="P152" s="130">
        <v>43.508155347350872</v>
      </c>
      <c r="Q152" s="130">
        <v>43.151362225350837</v>
      </c>
      <c r="R152" s="130">
        <v>42.875019463247725</v>
      </c>
      <c r="S152" s="130">
        <v>41.965281684391719</v>
      </c>
      <c r="T152" s="130">
        <v>38.928185080908825</v>
      </c>
      <c r="U152" s="130">
        <v>41.338171952775191</v>
      </c>
      <c r="V152" s="130">
        <v>39.19124680911132</v>
      </c>
      <c r="W152" s="130">
        <v>38.297108975210229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11.249150053874482</v>
      </c>
      <c r="M153" s="97">
        <v>0</v>
      </c>
      <c r="N153" s="97">
        <v>0</v>
      </c>
      <c r="O153" s="97">
        <v>10.156666478142329</v>
      </c>
      <c r="P153" s="97">
        <v>0</v>
      </c>
      <c r="Q153" s="97">
        <v>9.6399355552418804</v>
      </c>
      <c r="R153" s="97">
        <v>9.4277170871443818</v>
      </c>
      <c r="S153" s="97">
        <v>0</v>
      </c>
      <c r="T153" s="97">
        <v>0</v>
      </c>
      <c r="U153" s="97">
        <v>8.9295030846882604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47.601464098428103</v>
      </c>
      <c r="C154" s="97">
        <v>47.437289629498387</v>
      </c>
      <c r="D154" s="97">
        <v>47.255537561952416</v>
      </c>
      <c r="E154" s="97">
        <v>47.255537561952416</v>
      </c>
      <c r="F154" s="97">
        <v>47.071663874940924</v>
      </c>
      <c r="G154" s="97">
        <v>46.885609867530093</v>
      </c>
      <c r="H154" s="97">
        <v>46.504426047468876</v>
      </c>
      <c r="I154" s="97">
        <v>46.504426047468876</v>
      </c>
      <c r="J154" s="97">
        <v>46.311461624035395</v>
      </c>
      <c r="K154" s="97">
        <v>45.646741696739284</v>
      </c>
      <c r="L154" s="97">
        <v>45.220053291973642</v>
      </c>
      <c r="M154" s="97">
        <v>44.819501398146265</v>
      </c>
      <c r="N154" s="97">
        <v>44.377195115511334</v>
      </c>
      <c r="O154" s="97">
        <v>43.754370400804852</v>
      </c>
      <c r="P154" s="97">
        <v>43.513313397777353</v>
      </c>
      <c r="Q154" s="97">
        <v>43.199999999908329</v>
      </c>
      <c r="R154" s="97">
        <v>42.919947270967491</v>
      </c>
      <c r="S154" s="97">
        <v>42.66945240208053</v>
      </c>
      <c r="T154" s="97">
        <v>42.445257248081028</v>
      </c>
      <c r="U154" s="97">
        <v>42.244488953132787</v>
      </c>
      <c r="V154" s="97">
        <v>42.06460956197563</v>
      </c>
      <c r="W154" s="97">
        <v>41.90337307868748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37.683377743311368</v>
      </c>
      <c r="M155" s="97">
        <v>0</v>
      </c>
      <c r="N155" s="97">
        <v>0</v>
      </c>
      <c r="O155" s="97">
        <v>0</v>
      </c>
      <c r="P155" s="97">
        <v>36.261094498147791</v>
      </c>
      <c r="Q155" s="97">
        <v>0</v>
      </c>
      <c r="R155" s="97">
        <v>35.752511468410901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39.531074691248655</v>
      </c>
      <c r="D156" s="97">
        <v>39.379614634960348</v>
      </c>
      <c r="E156" s="97">
        <v>39.379614634960348</v>
      </c>
      <c r="F156" s="97">
        <v>39.22638656245077</v>
      </c>
      <c r="G156" s="97">
        <v>39.07134155627508</v>
      </c>
      <c r="H156" s="97">
        <v>0</v>
      </c>
      <c r="I156" s="97">
        <v>38.753688372890728</v>
      </c>
      <c r="J156" s="97">
        <v>38.592884686696159</v>
      </c>
      <c r="K156" s="97">
        <v>39.060350181704926</v>
      </c>
      <c r="L156" s="97">
        <v>37.683377743311368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35.371047706734181</v>
      </c>
      <c r="U156" s="97">
        <v>35.203740794277316</v>
      </c>
      <c r="V156" s="97">
        <v>35.053841301646351</v>
      </c>
      <c r="W156" s="97">
        <v>34.91947756557289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21.222815781708345</v>
      </c>
      <c r="M157" s="97">
        <v>0</v>
      </c>
      <c r="N157" s="97">
        <v>19.724663714564173</v>
      </c>
      <c r="O157" s="97">
        <v>0</v>
      </c>
      <c r="P157" s="97">
        <v>0</v>
      </c>
      <c r="Q157" s="97">
        <v>0</v>
      </c>
      <c r="R157" s="97">
        <v>0</v>
      </c>
      <c r="S157" s="97">
        <v>19.582712443568525</v>
      </c>
      <c r="T157" s="97">
        <v>19.582471270827039</v>
      </c>
      <c r="U157" s="97">
        <v>19.582398919583781</v>
      </c>
      <c r="V157" s="97">
        <v>19.58237721426293</v>
      </c>
      <c r="W157" s="97">
        <v>19.582370702671366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7.4484156520222697</v>
      </c>
      <c r="D159" s="141">
        <v>7.445640996310372</v>
      </c>
      <c r="E159" s="141">
        <v>7.9428635143573398</v>
      </c>
      <c r="F159" s="141">
        <v>7.4167086939037521</v>
      </c>
      <c r="G159" s="141">
        <v>7.4516222207717648</v>
      </c>
      <c r="H159" s="141">
        <v>7.5010694768908222</v>
      </c>
      <c r="I159" s="141">
        <v>7.391665906467332</v>
      </c>
      <c r="J159" s="141">
        <v>7.108257664827601</v>
      </c>
      <c r="K159" s="141">
        <v>6.9554114424465352</v>
      </c>
      <c r="L159" s="141">
        <v>7.053536965640979</v>
      </c>
      <c r="M159" s="141">
        <v>7.1749451501686279</v>
      </c>
      <c r="N159" s="141">
        <v>5.7987352775500467</v>
      </c>
      <c r="O159" s="141">
        <v>6.3431593577411762</v>
      </c>
      <c r="P159" s="141">
        <v>6.3951540149462556</v>
      </c>
      <c r="Q159" s="141">
        <v>5.9581704267522566</v>
      </c>
      <c r="R159" s="141">
        <v>5.8620202011816636</v>
      </c>
      <c r="S159" s="141">
        <v>5.6257157623217271</v>
      </c>
      <c r="T159" s="141">
        <v>5.5643210973702741</v>
      </c>
      <c r="U159" s="141">
        <v>5.5059421988539983</v>
      </c>
      <c r="V159" s="141">
        <v>5.7014314001635826</v>
      </c>
      <c r="W159" s="141">
        <v>5.5619746288632879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8.1742440640096703</v>
      </c>
      <c r="D160" s="96">
        <v>8.0503918812216444</v>
      </c>
      <c r="E160" s="96">
        <v>8.0503918812216444</v>
      </c>
      <c r="F160" s="96">
        <v>0</v>
      </c>
      <c r="G160" s="96">
        <v>7.8026875156455926</v>
      </c>
      <c r="H160" s="96">
        <v>7.5549831500695399</v>
      </c>
      <c r="I160" s="96">
        <v>7.5549831500695399</v>
      </c>
      <c r="J160" s="96">
        <v>7.4311309672815158</v>
      </c>
      <c r="K160" s="96">
        <v>7.0221002422824137</v>
      </c>
      <c r="L160" s="96">
        <v>6.7667026179638272</v>
      </c>
      <c r="M160" s="96">
        <v>0</v>
      </c>
      <c r="N160" s="96">
        <v>6.2826782489891624</v>
      </c>
      <c r="O160" s="96">
        <v>0</v>
      </c>
      <c r="P160" s="96">
        <v>6.454004314498432</v>
      </c>
      <c r="Q160" s="96">
        <v>8.1204684850880309</v>
      </c>
      <c r="R160" s="96">
        <v>4.8152953472978171</v>
      </c>
      <c r="S160" s="96">
        <v>5.0111838414556402</v>
      </c>
      <c r="T160" s="96">
        <v>5.1116212148238347</v>
      </c>
      <c r="U160" s="96">
        <v>4.6938909366893276</v>
      </c>
      <c r="V160" s="96">
        <v>4.8719746252379661</v>
      </c>
      <c r="W160" s="96">
        <v>5.51701380356144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7.5529551295170378</v>
      </c>
      <c r="D161" s="96">
        <v>7.4204471447886675</v>
      </c>
      <c r="E161" s="96">
        <v>0</v>
      </c>
      <c r="F161" s="96">
        <v>7.0229231906035618</v>
      </c>
      <c r="G161" s="96">
        <v>7.0437269442059147</v>
      </c>
      <c r="H161" s="96">
        <v>7.1739822931939008</v>
      </c>
      <c r="I161" s="96">
        <v>7.1828603281707029</v>
      </c>
      <c r="J161" s="96">
        <v>6.7871914857717925</v>
      </c>
      <c r="K161" s="96">
        <v>6.5204691020010825</v>
      </c>
      <c r="L161" s="96">
        <v>6.2700087758090026</v>
      </c>
      <c r="M161" s="96">
        <v>6.0750191907645226</v>
      </c>
      <c r="N161" s="96">
        <v>5.8031662158555672</v>
      </c>
      <c r="O161" s="96">
        <v>5.721952838522534</v>
      </c>
      <c r="P161" s="96">
        <v>5.5236651327704225</v>
      </c>
      <c r="Q161" s="96">
        <v>5.5678908182163864</v>
      </c>
      <c r="R161" s="96">
        <v>5.4699309971915095</v>
      </c>
      <c r="S161" s="96">
        <v>5.2638547386570513</v>
      </c>
      <c r="T161" s="96">
        <v>5.2817462893334248</v>
      </c>
      <c r="U161" s="96">
        <v>5.3193128917372343</v>
      </c>
      <c r="V161" s="96">
        <v>5.7633895461536193</v>
      </c>
      <c r="W161" s="96">
        <v>5.6334883604589008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11.357105989013673</v>
      </c>
      <c r="D162" s="96">
        <v>11.1578585155222</v>
      </c>
      <c r="E162" s="96">
        <v>10.759363568539268</v>
      </c>
      <c r="F162" s="96">
        <v>10.560116095047801</v>
      </c>
      <c r="G162" s="96">
        <v>10.591397948385959</v>
      </c>
      <c r="H162" s="96">
        <v>10.787258214828077</v>
      </c>
      <c r="I162" s="96">
        <v>10.800607795552009</v>
      </c>
      <c r="J162" s="96">
        <v>10.205654839706483</v>
      </c>
      <c r="K162" s="96">
        <v>9.8045940191161112</v>
      </c>
      <c r="L162" s="96">
        <v>9.427985867494769</v>
      </c>
      <c r="M162" s="96">
        <v>9.1347870670080997</v>
      </c>
      <c r="N162" s="96">
        <v>9.1308884540027808</v>
      </c>
      <c r="O162" s="96">
        <v>6.3961897422379463</v>
      </c>
      <c r="P162" s="96">
        <v>7.1842561687560176</v>
      </c>
      <c r="Q162" s="96">
        <v>7.2272756667725204</v>
      </c>
      <c r="R162" s="96">
        <v>4.285647676086163</v>
      </c>
      <c r="S162" s="96">
        <v>6.0227297223104337</v>
      </c>
      <c r="T162" s="96">
        <v>6.1434411495806227</v>
      </c>
      <c r="U162" s="96">
        <v>5.6413888119240383</v>
      </c>
      <c r="V162" s="96">
        <v>0</v>
      </c>
      <c r="W162" s="96">
        <v>7.6763784209280788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7.0728435825250262</v>
      </c>
      <c r="P163" s="96">
        <v>6.8506720062604582</v>
      </c>
      <c r="Q163" s="96">
        <v>8.4575712861355736</v>
      </c>
      <c r="R163" s="96">
        <v>6.2430540134426904</v>
      </c>
      <c r="S163" s="96">
        <v>6.2391275643776289</v>
      </c>
      <c r="T163" s="96">
        <v>7.0523644560288199</v>
      </c>
      <c r="U163" s="96">
        <v>8.5577742662758531</v>
      </c>
      <c r="V163" s="96">
        <v>7.4445474273505221</v>
      </c>
      <c r="W163" s="96">
        <v>10.005131142150006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1.375898952153805</v>
      </c>
      <c r="P164" s="96">
        <v>1.3876579138831935</v>
      </c>
      <c r="Q164" s="96">
        <v>1.3840543184985323</v>
      </c>
      <c r="R164" s="96">
        <v>1.3923630110216525</v>
      </c>
      <c r="S164" s="96">
        <v>1.3894561478933791</v>
      </c>
      <c r="T164" s="96">
        <v>1.5004809015800078</v>
      </c>
      <c r="U164" s="96">
        <v>1.6676158464636535</v>
      </c>
      <c r="V164" s="96">
        <v>1.8427910775288248</v>
      </c>
      <c r="W164" s="96">
        <v>1.9944133812819769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29.153509198236261</v>
      </c>
      <c r="D165" s="130">
        <v>29.411144094531661</v>
      </c>
      <c r="E165" s="130">
        <v>30.375679633534528</v>
      </c>
      <c r="F165" s="130">
        <v>28.913007935837957</v>
      </c>
      <c r="G165" s="130">
        <v>28.382695831809265</v>
      </c>
      <c r="H165" s="130">
        <v>28.124569350527526</v>
      </c>
      <c r="I165" s="130">
        <v>27.818975919068759</v>
      </c>
      <c r="J165" s="130">
        <v>26.636289440421464</v>
      </c>
      <c r="K165" s="130">
        <v>26.689693877042227</v>
      </c>
      <c r="L165" s="130">
        <v>25.914788453807997</v>
      </c>
      <c r="M165" s="130">
        <v>26.568619856324265</v>
      </c>
      <c r="N165" s="130">
        <v>24.686490754471532</v>
      </c>
      <c r="O165" s="130">
        <v>27.415463069707734</v>
      </c>
      <c r="P165" s="130">
        <v>23.93580734584588</v>
      </c>
      <c r="Q165" s="130">
        <v>23.104369983675689</v>
      </c>
      <c r="R165" s="130">
        <v>23.033466154373791</v>
      </c>
      <c r="S165" s="130">
        <v>22.022257449145279</v>
      </c>
      <c r="T165" s="130">
        <v>21.667084141594383</v>
      </c>
      <c r="U165" s="130">
        <v>20.939537085655964</v>
      </c>
      <c r="V165" s="130">
        <v>20.688156582105201</v>
      </c>
      <c r="W165" s="130">
        <v>22.911097786978768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28.628350515406915</v>
      </c>
      <c r="D166" s="97">
        <v>28.462595302196149</v>
      </c>
      <c r="E166" s="97">
        <v>28.256199208777268</v>
      </c>
      <c r="F166" s="97">
        <v>28.009686691511032</v>
      </c>
      <c r="G166" s="97">
        <v>27.723679722033737</v>
      </c>
      <c r="H166" s="97">
        <v>27.398893908659403</v>
      </c>
      <c r="I166" s="97">
        <v>27.03613408855044</v>
      </c>
      <c r="J166" s="97">
        <v>26.636289440421464</v>
      </c>
      <c r="K166" s="97">
        <v>26.200328171414601</v>
      </c>
      <c r="L166" s="97">
        <v>25.729291836666818</v>
      </c>
      <c r="M166" s="97">
        <v>25.224289351000557</v>
      </c>
      <c r="N166" s="97">
        <v>24.686490754471532</v>
      </c>
      <c r="O166" s="97">
        <v>24.117120794229933</v>
      </c>
      <c r="P166" s="97">
        <v>23.517452383682397</v>
      </c>
      <c r="Q166" s="97">
        <v>22.888799999951431</v>
      </c>
      <c r="R166" s="97">
        <v>22.247503280520338</v>
      </c>
      <c r="S166" s="97">
        <v>21.798595576918572</v>
      </c>
      <c r="T166" s="97">
        <v>21.327242488136722</v>
      </c>
      <c r="U166" s="97">
        <v>20.751144268514459</v>
      </c>
      <c r="V166" s="97">
        <v>20.688156582105201</v>
      </c>
      <c r="W166" s="97">
        <v>20.481275016284147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109.43641653029219</v>
      </c>
      <c r="C171" s="152">
        <v>108.31003652625513</v>
      </c>
      <c r="D171" s="152">
        <v>107.27106849366888</v>
      </c>
      <c r="E171" s="152">
        <v>106.40866861586481</v>
      </c>
      <c r="F171" s="152">
        <v>105.47371878456146</v>
      </c>
      <c r="G171" s="152">
        <v>104.50267795956596</v>
      </c>
      <c r="H171" s="152">
        <v>103.36113850081736</v>
      </c>
      <c r="I171" s="152">
        <v>102.16820288896558</v>
      </c>
      <c r="J171" s="152">
        <v>101.27195051640659</v>
      </c>
      <c r="K171" s="152">
        <v>99.93655209035758</v>
      </c>
      <c r="L171" s="152">
        <v>97.070279323884407</v>
      </c>
      <c r="M171" s="152">
        <v>94.699361557185213</v>
      </c>
      <c r="N171" s="152">
        <v>92.531077112845665</v>
      </c>
      <c r="O171" s="152">
        <v>90.650645841478379</v>
      </c>
      <c r="P171" s="152">
        <v>88.44106671838037</v>
      </c>
      <c r="Q171" s="152">
        <v>86.507370133859851</v>
      </c>
      <c r="R171" s="152">
        <v>84.248104317800241</v>
      </c>
      <c r="S171" s="152">
        <v>82.681869228117634</v>
      </c>
      <c r="T171" s="152">
        <v>80.743141614390709</v>
      </c>
      <c r="U171" s="152">
        <v>79.403633273463285</v>
      </c>
      <c r="V171" s="152">
        <v>75.116820161067807</v>
      </c>
      <c r="W171" s="152">
        <v>68.22437285077261</v>
      </c>
      <c r="DA171" s="174" t="s">
        <v>908</v>
      </c>
    </row>
    <row r="172" spans="1:105" ht="11.45" customHeight="1" x14ac:dyDescent="0.25">
      <c r="A172" s="109" t="s">
        <v>20</v>
      </c>
      <c r="B172" s="116">
        <v>225.72422247089241</v>
      </c>
      <c r="C172" s="116">
        <v>220.71887838145585</v>
      </c>
      <c r="D172" s="116">
        <v>218.37021556022864</v>
      </c>
      <c r="E172" s="116">
        <v>217.56030677466214</v>
      </c>
      <c r="F172" s="116">
        <v>217.15389743852811</v>
      </c>
      <c r="G172" s="116">
        <v>215.56448685984375</v>
      </c>
      <c r="H172" s="116">
        <v>214.05580205463158</v>
      </c>
      <c r="I172" s="116">
        <v>212.21760628028716</v>
      </c>
      <c r="J172" s="116">
        <v>208.53180811746105</v>
      </c>
      <c r="K172" s="116">
        <v>205.25090759271072</v>
      </c>
      <c r="L172" s="116">
        <v>198.7096674976415</v>
      </c>
      <c r="M172" s="116">
        <v>199.29824262949597</v>
      </c>
      <c r="N172" s="116">
        <v>193.74726148339366</v>
      </c>
      <c r="O172" s="116">
        <v>192.88062284391205</v>
      </c>
      <c r="P172" s="116">
        <v>189.30058243592089</v>
      </c>
      <c r="Q172" s="116">
        <v>185.89778571268022</v>
      </c>
      <c r="R172" s="116">
        <v>182.22629006145701</v>
      </c>
      <c r="S172" s="116">
        <v>177.039644958233</v>
      </c>
      <c r="T172" s="116">
        <v>172.1891142727049</v>
      </c>
      <c r="U172" s="116">
        <v>166.87400773943773</v>
      </c>
      <c r="V172" s="116">
        <v>163.71964764870327</v>
      </c>
      <c r="W172" s="116">
        <v>157.08223153936027</v>
      </c>
      <c r="DA172" s="176" t="s">
        <v>909</v>
      </c>
    </row>
    <row r="173" spans="1:105" ht="11.45" customHeight="1" x14ac:dyDescent="0.25">
      <c r="A173" s="111" t="s">
        <v>110</v>
      </c>
      <c r="B173" s="87">
        <v>223.70109344803168</v>
      </c>
      <c r="C173" s="87">
        <v>217.2806208369187</v>
      </c>
      <c r="D173" s="87">
        <v>213.80915043568535</v>
      </c>
      <c r="E173" s="87">
        <v>212.11873938987318</v>
      </c>
      <c r="F173" s="87">
        <v>210.7623187509127</v>
      </c>
      <c r="G173" s="87">
        <v>209.28759862433475</v>
      </c>
      <c r="H173" s="87">
        <v>207.85846368108</v>
      </c>
      <c r="I173" s="87">
        <v>206.29395117753683</v>
      </c>
      <c r="J173" s="87">
        <v>204.3209915424321</v>
      </c>
      <c r="K173" s="87">
        <v>202.67545992421296</v>
      </c>
      <c r="L173" s="87">
        <v>198.17359377364878</v>
      </c>
      <c r="M173" s="87">
        <v>195.97070561351853</v>
      </c>
      <c r="N173" s="87">
        <v>192.27348869422636</v>
      </c>
      <c r="O173" s="87">
        <v>191.21470416667239</v>
      </c>
      <c r="P173" s="87">
        <v>188.5157093257049</v>
      </c>
      <c r="Q173" s="87">
        <v>184.67830503102437</v>
      </c>
      <c r="R173" s="87">
        <v>181.3460240442694</v>
      </c>
      <c r="S173" s="87">
        <v>176.20566647118673</v>
      </c>
      <c r="T173" s="87">
        <v>172.60559490020077</v>
      </c>
      <c r="U173" s="87">
        <v>169.73009801940069</v>
      </c>
      <c r="V173" s="87">
        <v>167.78761187870921</v>
      </c>
      <c r="W173" s="87">
        <v>165.52937309816511</v>
      </c>
      <c r="DA173" s="171" t="s">
        <v>910</v>
      </c>
    </row>
    <row r="174" spans="1:105" ht="11.45" customHeight="1" x14ac:dyDescent="0.25">
      <c r="A174" s="111" t="s">
        <v>111</v>
      </c>
      <c r="B174" s="87">
        <v>232.06539951303247</v>
      </c>
      <c r="C174" s="87">
        <v>226.30933547009704</v>
      </c>
      <c r="D174" s="87">
        <v>221.69589130214072</v>
      </c>
      <c r="E174" s="87">
        <v>218.49287309903644</v>
      </c>
      <c r="F174" s="87">
        <v>214.4375602403594</v>
      </c>
      <c r="G174" s="87">
        <v>210.6200974998593</v>
      </c>
      <c r="H174" s="87">
        <v>207.6880223713452</v>
      </c>
      <c r="I174" s="87">
        <v>204.81820420751458</v>
      </c>
      <c r="J174" s="87">
        <v>200.80847488725351</v>
      </c>
      <c r="K174" s="87">
        <v>197.90197030985135</v>
      </c>
      <c r="L174" s="87">
        <v>193.74332731935945</v>
      </c>
      <c r="M174" s="87">
        <v>191.01161632704913</v>
      </c>
      <c r="N174" s="87">
        <v>186.95538294408797</v>
      </c>
      <c r="O174" s="87">
        <v>184.91496911176645</v>
      </c>
      <c r="P174" s="87">
        <v>181.57911618501831</v>
      </c>
      <c r="Q174" s="87">
        <v>178.14900101472531</v>
      </c>
      <c r="R174" s="87">
        <v>174.6937099157748</v>
      </c>
      <c r="S174" s="87">
        <v>170.93725429862002</v>
      </c>
      <c r="T174" s="87">
        <v>168.31125018650732</v>
      </c>
      <c r="U174" s="87">
        <v>166.49304898067271</v>
      </c>
      <c r="V174" s="87">
        <v>165.09503566900082</v>
      </c>
      <c r="W174" s="87">
        <v>163.85620440473258</v>
      </c>
      <c r="DA174" s="171" t="s">
        <v>911</v>
      </c>
    </row>
    <row r="175" spans="1:105" ht="11.45" customHeight="1" x14ac:dyDescent="0.25">
      <c r="A175" s="111" t="s">
        <v>112</v>
      </c>
      <c r="B175" s="87">
        <v>173.11874845838813</v>
      </c>
      <c r="C175" s="87">
        <v>140.92006492991163</v>
      </c>
      <c r="D175" s="87">
        <v>140.92006492991158</v>
      </c>
      <c r="E175" s="87">
        <v>141.74389642458354</v>
      </c>
      <c r="F175" s="87">
        <v>141.94418368972558</v>
      </c>
      <c r="G175" s="87">
        <v>143.89901882259099</v>
      </c>
      <c r="H175" s="87">
        <v>144.30703770284907</v>
      </c>
      <c r="I175" s="87">
        <v>144.34861647919067</v>
      </c>
      <c r="J175" s="87">
        <v>148.56725932890572</v>
      </c>
      <c r="K175" s="87">
        <v>152.74871445173801</v>
      </c>
      <c r="L175" s="87">
        <v>153.06148374459485</v>
      </c>
      <c r="M175" s="87">
        <v>153.1955160743459</v>
      </c>
      <c r="N175" s="87">
        <v>154.90420466005207</v>
      </c>
      <c r="O175" s="87">
        <v>154.75399785801227</v>
      </c>
      <c r="P175" s="87">
        <v>153.78230964859338</v>
      </c>
      <c r="Q175" s="87">
        <v>153.69464255085475</v>
      </c>
      <c r="R175" s="87">
        <v>152.43250371182074</v>
      </c>
      <c r="S175" s="87">
        <v>150.92639349414424</v>
      </c>
      <c r="T175" s="87">
        <v>149.6665784584479</v>
      </c>
      <c r="U175" s="87">
        <v>149.30269618901121</v>
      </c>
      <c r="V175" s="87">
        <v>147.83973551809584</v>
      </c>
      <c r="W175" s="87">
        <v>144.5711103152795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176.99089068825904</v>
      </c>
      <c r="M176" s="87">
        <v>176.99089068825904</v>
      </c>
      <c r="N176" s="87">
        <v>144.31273628048032</v>
      </c>
      <c r="O176" s="87">
        <v>134.34663833122289</v>
      </c>
      <c r="P176" s="87">
        <v>129.10933634921315</v>
      </c>
      <c r="Q176" s="87">
        <v>121.9104405282193</v>
      </c>
      <c r="R176" s="87">
        <v>116.95793232977687</v>
      </c>
      <c r="S176" s="87">
        <v>114.32590366150124</v>
      </c>
      <c r="T176" s="87">
        <v>115.79667556442119</v>
      </c>
      <c r="U176" s="87">
        <v>113.36753191046341</v>
      </c>
      <c r="V176" s="87">
        <v>112.19342530793321</v>
      </c>
      <c r="W176" s="87">
        <v>110.62683670293582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71.494825607826371</v>
      </c>
      <c r="N177" s="87">
        <v>57.266148255720758</v>
      </c>
      <c r="O177" s="87">
        <v>58.471398940458229</v>
      </c>
      <c r="P177" s="87">
        <v>58.575076010474014</v>
      </c>
      <c r="Q177" s="87">
        <v>58.747143502067146</v>
      </c>
      <c r="R177" s="87">
        <v>58.202843713372921</v>
      </c>
      <c r="S177" s="87">
        <v>58.488299628231594</v>
      </c>
      <c r="T177" s="87">
        <v>59.2560276054094</v>
      </c>
      <c r="U177" s="87">
        <v>55.53400884563802</v>
      </c>
      <c r="V177" s="87">
        <v>49.692853090308525</v>
      </c>
      <c r="W177" s="87">
        <v>44.778061880625266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1767.2959423683783</v>
      </c>
      <c r="C179" s="116">
        <v>1684.1615279191055</v>
      </c>
      <c r="D179" s="116">
        <v>1672.9661492182911</v>
      </c>
      <c r="E179" s="116">
        <v>1661.2092136554866</v>
      </c>
      <c r="F179" s="116">
        <v>1671.3762916564681</v>
      </c>
      <c r="G179" s="116">
        <v>1580.009520525997</v>
      </c>
      <c r="H179" s="116">
        <v>1608.8588321083714</v>
      </c>
      <c r="I179" s="116">
        <v>1569.695250480549</v>
      </c>
      <c r="J179" s="116">
        <v>1566.4712769095274</v>
      </c>
      <c r="K179" s="116">
        <v>1560.8964365411559</v>
      </c>
      <c r="L179" s="116">
        <v>1539.9803756621307</v>
      </c>
      <c r="M179" s="116">
        <v>1538.6853338068984</v>
      </c>
      <c r="N179" s="116">
        <v>1462.6817920318581</v>
      </c>
      <c r="O179" s="116">
        <v>1464.4258220292918</v>
      </c>
      <c r="P179" s="116">
        <v>1443.5386036200214</v>
      </c>
      <c r="Q179" s="116">
        <v>1438.5528878213283</v>
      </c>
      <c r="R179" s="116">
        <v>1421.373756277653</v>
      </c>
      <c r="S179" s="116">
        <v>1398.2411057901641</v>
      </c>
      <c r="T179" s="116">
        <v>1282.1854590961793</v>
      </c>
      <c r="U179" s="116">
        <v>1363.0912350733784</v>
      </c>
      <c r="V179" s="116">
        <v>1252.5897686085436</v>
      </c>
      <c r="W179" s="116">
        <v>1212.9737002654517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326.38873421774252</v>
      </c>
      <c r="M180" s="101">
        <v>326.38873421774247</v>
      </c>
      <c r="N180" s="101">
        <v>326.38873421774247</v>
      </c>
      <c r="O180" s="101">
        <v>321.41507400809195</v>
      </c>
      <c r="P180" s="101">
        <v>321.41507400809189</v>
      </c>
      <c r="Q180" s="101">
        <v>315.38761832023891</v>
      </c>
      <c r="R180" s="101">
        <v>309.9325569194113</v>
      </c>
      <c r="S180" s="101">
        <v>308.01134179182282</v>
      </c>
      <c r="T180" s="101">
        <v>308.0113417918227</v>
      </c>
      <c r="U180" s="101">
        <v>301.17004570763351</v>
      </c>
      <c r="V180" s="101">
        <v>298.35480405866167</v>
      </c>
      <c r="W180" s="101">
        <v>298.35480405866156</v>
      </c>
      <c r="DA180" s="175" t="s">
        <v>917</v>
      </c>
    </row>
    <row r="181" spans="1:105" ht="11.45" customHeight="1" x14ac:dyDescent="0.25">
      <c r="A181" s="111" t="s">
        <v>111</v>
      </c>
      <c r="B181" s="101">
        <v>1768.163583969731</v>
      </c>
      <c r="C181" s="101">
        <v>1715.6201062546966</v>
      </c>
      <c r="D181" s="101">
        <v>1699.0403006594304</v>
      </c>
      <c r="E181" s="101">
        <v>1681.4167999467497</v>
      </c>
      <c r="F181" s="101">
        <v>1663.3057283202818</v>
      </c>
      <c r="G181" s="101">
        <v>1606.221266550587</v>
      </c>
      <c r="H181" s="101">
        <v>1594.0770272865348</v>
      </c>
      <c r="I181" s="101">
        <v>1579.8695585031028</v>
      </c>
      <c r="J181" s="101">
        <v>1567.4323878743862</v>
      </c>
      <c r="K181" s="101">
        <v>1556.1079728521318</v>
      </c>
      <c r="L181" s="101">
        <v>1535.6389604088047</v>
      </c>
      <c r="M181" s="101">
        <v>1521.36772723081</v>
      </c>
      <c r="N181" s="101">
        <v>1474.9424062248486</v>
      </c>
      <c r="O181" s="101">
        <v>1464.8457186211522</v>
      </c>
      <c r="P181" s="101">
        <v>1436.2869077386695</v>
      </c>
      <c r="Q181" s="101">
        <v>1429.3854028502706</v>
      </c>
      <c r="R181" s="101">
        <v>1413.643054099266</v>
      </c>
      <c r="S181" s="101">
        <v>1409.9483188750057</v>
      </c>
      <c r="T181" s="101">
        <v>1405.5468253353833</v>
      </c>
      <c r="U181" s="101">
        <v>1388.7843544382163</v>
      </c>
      <c r="V181" s="101">
        <v>1365.2801957908039</v>
      </c>
      <c r="W181" s="101">
        <v>1362.2706331478275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995.54615305424204</v>
      </c>
      <c r="M182" s="101">
        <v>995.54615305424204</v>
      </c>
      <c r="N182" s="101">
        <v>995.54615305424204</v>
      </c>
      <c r="O182" s="101">
        <v>995.54615305424204</v>
      </c>
      <c r="P182" s="101">
        <v>975.37913306899804</v>
      </c>
      <c r="Q182" s="101">
        <v>975.37913306899804</v>
      </c>
      <c r="R182" s="101">
        <v>968.46667705767436</v>
      </c>
      <c r="S182" s="101">
        <v>968.46667705767436</v>
      </c>
      <c r="T182" s="101">
        <v>968.46667705767436</v>
      </c>
      <c r="U182" s="101">
        <v>968.46667705767413</v>
      </c>
      <c r="V182" s="101">
        <v>962.53331853370219</v>
      </c>
      <c r="W182" s="101">
        <v>962.5333185337023</v>
      </c>
      <c r="DA182" s="175" t="s">
        <v>919</v>
      </c>
    </row>
    <row r="183" spans="1:105" ht="11.45" customHeight="1" x14ac:dyDescent="0.25">
      <c r="A183" s="111" t="s">
        <v>113</v>
      </c>
      <c r="B183" s="101">
        <v>1021.746359703458</v>
      </c>
      <c r="C183" s="101">
        <v>942.56006232556069</v>
      </c>
      <c r="D183" s="101">
        <v>935.55189313280528</v>
      </c>
      <c r="E183" s="101">
        <v>932.53092018078212</v>
      </c>
      <c r="F183" s="101">
        <v>931.56971666157563</v>
      </c>
      <c r="G183" s="101">
        <v>928.38612750527852</v>
      </c>
      <c r="H183" s="101">
        <v>926.92608791967541</v>
      </c>
      <c r="I183" s="101">
        <v>925.22029843553923</v>
      </c>
      <c r="J183" s="101">
        <v>923.86238746436459</v>
      </c>
      <c r="K183" s="101">
        <v>923.6015879488466</v>
      </c>
      <c r="L183" s="101">
        <v>923.38143847235403</v>
      </c>
      <c r="M183" s="101">
        <v>923.14030749903725</v>
      </c>
      <c r="N183" s="101">
        <v>921.94292048244813</v>
      </c>
      <c r="O183" s="101">
        <v>921.32928138749605</v>
      </c>
      <c r="P183" s="101">
        <v>920.488638400333</v>
      </c>
      <c r="Q183" s="101">
        <v>920.12748005688388</v>
      </c>
      <c r="R183" s="101">
        <v>919.85002165924516</v>
      </c>
      <c r="S183" s="101">
        <v>919.54895927575228</v>
      </c>
      <c r="T183" s="101">
        <v>890.66135677840862</v>
      </c>
      <c r="U183" s="101">
        <v>845.08323045250211</v>
      </c>
      <c r="V183" s="101">
        <v>839.59755787270365</v>
      </c>
      <c r="W183" s="101">
        <v>832.87878950664549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331.75993704537581</v>
      </c>
      <c r="C186" s="152">
        <v>318.46370002990972</v>
      </c>
      <c r="D186" s="152">
        <v>310.25789205373178</v>
      </c>
      <c r="E186" s="152">
        <v>296.26309862177402</v>
      </c>
      <c r="F186" s="152">
        <v>289.67976036994008</v>
      </c>
      <c r="G186" s="152">
        <v>282.21598884062877</v>
      </c>
      <c r="H186" s="152">
        <v>277.93964983319148</v>
      </c>
      <c r="I186" s="152">
        <v>274.58089226581944</v>
      </c>
      <c r="J186" s="152">
        <v>262.34912108503102</v>
      </c>
      <c r="K186" s="152">
        <v>249.94296111883065</v>
      </c>
      <c r="L186" s="152">
        <v>230.48089739755508</v>
      </c>
      <c r="M186" s="152">
        <v>214.32035850364244</v>
      </c>
      <c r="N186" s="152">
        <v>243.87265150517248</v>
      </c>
      <c r="O186" s="152">
        <v>218.15954146007837</v>
      </c>
      <c r="P186" s="152">
        <v>201.5972614303563</v>
      </c>
      <c r="Q186" s="152">
        <v>215.37554436328929</v>
      </c>
      <c r="R186" s="152">
        <v>206.86362855600527</v>
      </c>
      <c r="S186" s="152">
        <v>198.71413253888701</v>
      </c>
      <c r="T186" s="152">
        <v>194.4998117058735</v>
      </c>
      <c r="U186" s="152">
        <v>191.82389833389098</v>
      </c>
      <c r="V186" s="152">
        <v>194.51252643316468</v>
      </c>
      <c r="W186" s="152">
        <v>195.0232170413008</v>
      </c>
      <c r="DA186" s="174" t="s">
        <v>922</v>
      </c>
    </row>
    <row r="187" spans="1:105" ht="11.45" customHeight="1" x14ac:dyDescent="0.25">
      <c r="A187" s="111" t="s">
        <v>110</v>
      </c>
      <c r="B187" s="87">
        <v>321.85485435519195</v>
      </c>
      <c r="C187" s="87">
        <v>316.99396242926417</v>
      </c>
      <c r="D187" s="87">
        <v>316.73009561933367</v>
      </c>
      <c r="E187" s="87">
        <v>304.91527580113006</v>
      </c>
      <c r="F187" s="87">
        <v>303.80679161740039</v>
      </c>
      <c r="G187" s="87">
        <v>296.94454883238183</v>
      </c>
      <c r="H187" s="87">
        <v>289.22754204078149</v>
      </c>
      <c r="I187" s="87">
        <v>281.20025133691627</v>
      </c>
      <c r="J187" s="87">
        <v>274.25802804253038</v>
      </c>
      <c r="K187" s="87">
        <v>267.64264110311774</v>
      </c>
      <c r="L187" s="87">
        <v>260.92359361243348</v>
      </c>
      <c r="M187" s="87">
        <v>257.26736288973495</v>
      </c>
      <c r="N187" s="87">
        <v>253.16859816983072</v>
      </c>
      <c r="O187" s="87">
        <v>250.79045727386358</v>
      </c>
      <c r="P187" s="87">
        <v>246.43720446769782</v>
      </c>
      <c r="Q187" s="87">
        <v>233.72278452947427</v>
      </c>
      <c r="R187" s="87">
        <v>228.73055464084149</v>
      </c>
      <c r="S187" s="87">
        <v>217.23022736427225</v>
      </c>
      <c r="T187" s="87">
        <v>212.50909002149382</v>
      </c>
      <c r="U187" s="87">
        <v>201.51783900225638</v>
      </c>
      <c r="V187" s="87">
        <v>191.00949846201851</v>
      </c>
      <c r="W187" s="87">
        <v>189.47102854674719</v>
      </c>
      <c r="DA187" s="171" t="s">
        <v>923</v>
      </c>
    </row>
    <row r="188" spans="1:105" ht="11.45" customHeight="1" x14ac:dyDescent="0.25">
      <c r="A188" s="111" t="s">
        <v>111</v>
      </c>
      <c r="B188" s="87">
        <v>326.69893917313004</v>
      </c>
      <c r="C188" s="87">
        <v>309.41061231420599</v>
      </c>
      <c r="D188" s="87">
        <v>305.98545316953232</v>
      </c>
      <c r="E188" s="87">
        <v>304.60807767085117</v>
      </c>
      <c r="F188" s="87">
        <v>299.60075627055528</v>
      </c>
      <c r="G188" s="87">
        <v>290.40749170039686</v>
      </c>
      <c r="H188" s="87">
        <v>281.48733281775947</v>
      </c>
      <c r="I188" s="87">
        <v>272.77061035849636</v>
      </c>
      <c r="J188" s="87">
        <v>264.51403336984299</v>
      </c>
      <c r="K188" s="87">
        <v>256.43706343680503</v>
      </c>
      <c r="L188" s="87">
        <v>249.63938944263728</v>
      </c>
      <c r="M188" s="87">
        <v>244.40414613338655</v>
      </c>
      <c r="N188" s="87">
        <v>237.34014061759046</v>
      </c>
      <c r="O188" s="87">
        <v>235.22120827146466</v>
      </c>
      <c r="P188" s="87">
        <v>226.4073960200306</v>
      </c>
      <c r="Q188" s="87">
        <v>221.674740198807</v>
      </c>
      <c r="R188" s="87">
        <v>215.95764662788804</v>
      </c>
      <c r="S188" s="87">
        <v>208.56811754297911</v>
      </c>
      <c r="T188" s="87">
        <v>201.97100471161011</v>
      </c>
      <c r="U188" s="87">
        <v>195.20011489888884</v>
      </c>
      <c r="V188" s="87">
        <v>192.14661669305991</v>
      </c>
      <c r="W188" s="87">
        <v>191.30467492895059</v>
      </c>
      <c r="DA188" s="171" t="s">
        <v>924</v>
      </c>
    </row>
    <row r="189" spans="1:105" ht="11.45" customHeight="1" x14ac:dyDescent="0.25">
      <c r="A189" s="111" t="s">
        <v>112</v>
      </c>
      <c r="B189" s="87">
        <v>464.91620165125914</v>
      </c>
      <c r="C189" s="87">
        <v>457.49230986833294</v>
      </c>
      <c r="D189" s="87">
        <v>452.02610781166709</v>
      </c>
      <c r="E189" s="87">
        <v>434.91657267494492</v>
      </c>
      <c r="F189" s="87">
        <v>432.1206344094586</v>
      </c>
      <c r="G189" s="87">
        <v>417.64262827324052</v>
      </c>
      <c r="H189" s="87">
        <v>401.75640347032203</v>
      </c>
      <c r="I189" s="87">
        <v>385.56214946780426</v>
      </c>
      <c r="J189" s="87">
        <v>371.1715254419413</v>
      </c>
      <c r="K189" s="87">
        <v>356.71005021553532</v>
      </c>
      <c r="L189" s="87">
        <v>346.89357529789129</v>
      </c>
      <c r="M189" s="87">
        <v>338.00727067928267</v>
      </c>
      <c r="N189" s="87">
        <v>322.14056468285156</v>
      </c>
      <c r="O189" s="87">
        <v>320.8760225010526</v>
      </c>
      <c r="P189" s="87">
        <v>308.82021122067357</v>
      </c>
      <c r="Q189" s="87">
        <v>296.73068600743494</v>
      </c>
      <c r="R189" s="87">
        <v>290.91883415328323</v>
      </c>
      <c r="S189" s="87">
        <v>279.45650910158298</v>
      </c>
      <c r="T189" s="87">
        <v>264.75933026376225</v>
      </c>
      <c r="U189" s="87">
        <v>237.93297194981832</v>
      </c>
      <c r="V189" s="87">
        <v>231.51012133213126</v>
      </c>
      <c r="W189" s="87">
        <v>229.98320279779108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166.12658227848152</v>
      </c>
      <c r="P190" s="87">
        <v>162.87005485039558</v>
      </c>
      <c r="Q190" s="87">
        <v>176.29793819438279</v>
      </c>
      <c r="R190" s="87">
        <v>163.06848126276458</v>
      </c>
      <c r="S190" s="87">
        <v>160.74730965586045</v>
      </c>
      <c r="T190" s="87">
        <v>162.65469375528127</v>
      </c>
      <c r="U190" s="87">
        <v>179.52636621778552</v>
      </c>
      <c r="V190" s="87">
        <v>179.00948572412659</v>
      </c>
      <c r="W190" s="87">
        <v>197.85828884293142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941.91135690655699</v>
      </c>
      <c r="C192" s="116">
        <v>938.3540834002149</v>
      </c>
      <c r="D192" s="116">
        <v>936.26772226207947</v>
      </c>
      <c r="E192" s="116">
        <v>935.18272574194054</v>
      </c>
      <c r="F192" s="116">
        <v>930.5987988628915</v>
      </c>
      <c r="G192" s="116">
        <v>925.31307063284703</v>
      </c>
      <c r="H192" s="116">
        <v>918.99109202201339</v>
      </c>
      <c r="I192" s="116">
        <v>911.84865033693632</v>
      </c>
      <c r="J192" s="116">
        <v>904.68949445846556</v>
      </c>
      <c r="K192" s="116">
        <v>896.15714908202517</v>
      </c>
      <c r="L192" s="116">
        <v>885.54924818702182</v>
      </c>
      <c r="M192" s="116">
        <v>878.3176865046338</v>
      </c>
      <c r="N192" s="116">
        <v>863.66336041319607</v>
      </c>
      <c r="O192" s="116">
        <v>854.74544326670275</v>
      </c>
      <c r="P192" s="116">
        <v>837.39813238128875</v>
      </c>
      <c r="Q192" s="116">
        <v>819.89143312525539</v>
      </c>
      <c r="R192" s="116">
        <v>800.5143051663797</v>
      </c>
      <c r="S192" s="116">
        <v>780.86157634590597</v>
      </c>
      <c r="T192" s="116">
        <v>762.92493763486527</v>
      </c>
      <c r="U192" s="116">
        <v>739.87280938790798</v>
      </c>
      <c r="V192" s="116">
        <v>728.91829323537206</v>
      </c>
      <c r="W192" s="116">
        <v>720.53908630956573</v>
      </c>
      <c r="DA192" s="176" t="s">
        <v>928</v>
      </c>
    </row>
    <row r="193" spans="1:105" ht="11.45" customHeight="1" x14ac:dyDescent="0.25">
      <c r="A193" s="128" t="s">
        <v>27</v>
      </c>
      <c r="B193" s="101">
        <v>873.51846174947184</v>
      </c>
      <c r="C193" s="101">
        <v>870.58833854717716</v>
      </c>
      <c r="D193" s="101">
        <v>868.89086006516118</v>
      </c>
      <c r="E193" s="101">
        <v>868.15549101783347</v>
      </c>
      <c r="F193" s="101">
        <v>863.23670816498441</v>
      </c>
      <c r="G193" s="101">
        <v>858.51912345488813</v>
      </c>
      <c r="H193" s="101">
        <v>852.69065899116947</v>
      </c>
      <c r="I193" s="101">
        <v>845.84883031954496</v>
      </c>
      <c r="J193" s="101">
        <v>839.97473548817118</v>
      </c>
      <c r="K193" s="101">
        <v>832.04967283174915</v>
      </c>
      <c r="L193" s="101">
        <v>822.38307886434177</v>
      </c>
      <c r="M193" s="101">
        <v>815.39436986424118</v>
      </c>
      <c r="N193" s="101">
        <v>800.9184053075943</v>
      </c>
      <c r="O193" s="101">
        <v>792.08019132546553</v>
      </c>
      <c r="P193" s="101">
        <v>776.50996154572272</v>
      </c>
      <c r="Q193" s="101">
        <v>760.3177813951047</v>
      </c>
      <c r="R193" s="101">
        <v>741.79423915446</v>
      </c>
      <c r="S193" s="101">
        <v>724.18888649829785</v>
      </c>
      <c r="T193" s="101">
        <v>707.75257021122241</v>
      </c>
      <c r="U193" s="101">
        <v>686.73658581247264</v>
      </c>
      <c r="V193" s="101">
        <v>676.73778303484278</v>
      </c>
      <c r="W193" s="101">
        <v>668.80864491522675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1045.5884949071853</v>
      </c>
      <c r="D194" s="88">
        <v>1027.3852919106255</v>
      </c>
      <c r="E194" s="88">
        <v>1011.3111160602311</v>
      </c>
      <c r="F194" s="88">
        <v>988.76341024508508</v>
      </c>
      <c r="G194" s="88">
        <v>974.75940952281553</v>
      </c>
      <c r="H194" s="88">
        <v>959.75906498042104</v>
      </c>
      <c r="I194" s="88">
        <v>946.56777022863162</v>
      </c>
      <c r="J194" s="88">
        <v>945.00628049658724</v>
      </c>
      <c r="K194" s="88">
        <v>937.03475468670001</v>
      </c>
      <c r="L194" s="88">
        <v>932.13681709487867</v>
      </c>
      <c r="M194" s="88">
        <v>917.8121225435475</v>
      </c>
      <c r="N194" s="88">
        <v>914.63647006260112</v>
      </c>
      <c r="O194" s="88">
        <v>891.41785516161212</v>
      </c>
      <c r="P194" s="88">
        <v>875.47520645417728</v>
      </c>
      <c r="Q194" s="88">
        <v>866.82900098437597</v>
      </c>
      <c r="R194" s="88">
        <v>843.0469391320496</v>
      </c>
      <c r="S194" s="88">
        <v>828.24331706527516</v>
      </c>
      <c r="T194" s="88">
        <v>810.07111207725313</v>
      </c>
      <c r="U194" s="88">
        <v>793.26816194758533</v>
      </c>
      <c r="V194" s="88">
        <v>787.20373192775753</v>
      </c>
      <c r="W194" s="88">
        <v>761.12552123531202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1.0727499066142254</v>
      </c>
      <c r="D198" s="150">
        <f>IF(TrRoad_act!D59=0,0,TrRoad_emi!D56/TrRoad_tech!D171)</f>
        <v>1.0781030950271542</v>
      </c>
      <c r="E198" s="150">
        <f>IF(TrRoad_act!E59=0,0,TrRoad_emi!E56/TrRoad_tech!E171)</f>
        <v>1.0739662644986705</v>
      </c>
      <c r="F198" s="150">
        <f>IF(TrRoad_act!F59=0,0,TrRoad_emi!F56/TrRoad_tech!F171)</f>
        <v>1.0750491590698994</v>
      </c>
      <c r="G198" s="150">
        <f>IF(TrRoad_act!G59=0,0,TrRoad_emi!G56/TrRoad_tech!G171)</f>
        <v>1.0765010077332606</v>
      </c>
      <c r="H198" s="150">
        <f>IF(TrRoad_act!H59=0,0,TrRoad_emi!H56/TrRoad_tech!H171)</f>
        <v>1.0780960828697008</v>
      </c>
      <c r="I198" s="150">
        <f>IF(TrRoad_act!I59=0,0,TrRoad_emi!I56/TrRoad_tech!I171)</f>
        <v>1.0802715349339527</v>
      </c>
      <c r="J198" s="150">
        <f>IF(TrRoad_act!J59=0,0,TrRoad_emi!J56/TrRoad_tech!J171)</f>
        <v>1.0824414247485428</v>
      </c>
      <c r="K198" s="150">
        <f>IF(TrRoad_act!K59=0,0,TrRoad_emi!K56/TrRoad_tech!K171)</f>
        <v>1.0856322447755431</v>
      </c>
      <c r="L198" s="150">
        <f>IF(TrRoad_act!L59=0,0,TrRoad_emi!L56/TrRoad_tech!L171)</f>
        <v>1.0923298484158908</v>
      </c>
      <c r="M198" s="150">
        <f>IF(TrRoad_act!M59=0,0,TrRoad_emi!M56/TrRoad_tech!M171)</f>
        <v>1.0991169596995423</v>
      </c>
      <c r="N198" s="150">
        <f>IF(TrRoad_act!N59=0,0,TrRoad_emi!N56/TrRoad_tech!N171)</f>
        <v>1.1047451494571241</v>
      </c>
      <c r="O198" s="150">
        <f>IF(TrRoad_act!O59=0,0,TrRoad_emi!O56/TrRoad_tech!O171)</f>
        <v>1.1105226544445641</v>
      </c>
      <c r="P198" s="150">
        <f>IF(TrRoad_act!P59=0,0,TrRoad_emi!P56/TrRoad_tech!P171)</f>
        <v>1.1186012436187049</v>
      </c>
      <c r="Q198" s="150">
        <f>IF(TrRoad_act!Q59=0,0,TrRoad_emi!Q56/TrRoad_tech!Q171)</f>
        <v>1.1159202667195083</v>
      </c>
      <c r="R198" s="150">
        <f>IF(TrRoad_act!R59=0,0,TrRoad_emi!R56/TrRoad_tech!R171)</f>
        <v>1.1542078492022674</v>
      </c>
      <c r="S198" s="150">
        <f>IF(TrRoad_act!S59=0,0,TrRoad_emi!S56/TrRoad_tech!S171)</f>
        <v>1.2089133052113543</v>
      </c>
      <c r="T198" s="150">
        <f>IF(TrRoad_act!T59=0,0,TrRoad_emi!T56/TrRoad_tech!T171)</f>
        <v>1.2189330644993246</v>
      </c>
      <c r="U198" s="150">
        <f>IF(TrRoad_act!U59=0,0,TrRoad_emi!U56/TrRoad_tech!U171)</f>
        <v>1.2296826041769171</v>
      </c>
      <c r="V198" s="150">
        <f>IF(TrRoad_act!V59=0,0,TrRoad_emi!V56/TrRoad_tech!V171)</f>
        <v>1.2631666864859943</v>
      </c>
      <c r="W198" s="150">
        <f>IF(TrRoad_act!W59=0,0,TrRoad_emi!W56/TrRoad_tech!W171)</f>
        <v>1.2621819975723951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0.78012527332697668</v>
      </c>
      <c r="C199" s="151">
        <f>IF(TrRoad_act!C60=0,0,TrRoad_emi!C57/TrRoad_tech!C172)</f>
        <v>0.79857050855584311</v>
      </c>
      <c r="D199" s="151">
        <f>IF(TrRoad_act!D60=0,0,TrRoad_emi!D57/TrRoad_tech!D172)</f>
        <v>0.79410615066869661</v>
      </c>
      <c r="E199" s="151">
        <f>IF(TrRoad_act!E60=0,0,TrRoad_emi!E57/TrRoad_tech!E172)</f>
        <v>0.83514577521503774</v>
      </c>
      <c r="F199" s="151">
        <f>IF(TrRoad_act!F60=0,0,TrRoad_emi!F57/TrRoad_tech!F172)</f>
        <v>0.84029046085330539</v>
      </c>
      <c r="G199" s="151">
        <f>IF(TrRoad_act!G60=0,0,TrRoad_emi!G57/TrRoad_tech!G172)</f>
        <v>0.81274634850619965</v>
      </c>
      <c r="H199" s="151">
        <f>IF(TrRoad_act!H60=0,0,TrRoad_emi!H57/TrRoad_tech!H172)</f>
        <v>0.80855880418482196</v>
      </c>
      <c r="I199" s="151">
        <f>IF(TrRoad_act!I60=0,0,TrRoad_emi!I57/TrRoad_tech!I172)</f>
        <v>0.81259661176487308</v>
      </c>
      <c r="J199" s="151">
        <f>IF(TrRoad_act!J60=0,0,TrRoad_emi!J57/TrRoad_tech!J172)</f>
        <v>0.8264589910328437</v>
      </c>
      <c r="K199" s="151">
        <f>IF(TrRoad_act!K60=0,0,TrRoad_emi!K57/TrRoad_tech!K172)</f>
        <v>0.82202671621647172</v>
      </c>
      <c r="L199" s="151">
        <f>IF(TrRoad_act!L60=0,0,TrRoad_emi!L57/TrRoad_tech!L172)</f>
        <v>0.82820125323509541</v>
      </c>
      <c r="M199" s="151">
        <f>IF(TrRoad_act!M60=0,0,TrRoad_emi!M57/TrRoad_tech!M172)</f>
        <v>0.79461205414858671</v>
      </c>
      <c r="N199" s="151">
        <f>IF(TrRoad_act!N60=0,0,TrRoad_emi!N57/TrRoad_tech!N172)</f>
        <v>0.84354028351514232</v>
      </c>
      <c r="O199" s="151">
        <f>IF(TrRoad_act!O60=0,0,TrRoad_emi!O57/TrRoad_tech!O172)</f>
        <v>0.84344108455409572</v>
      </c>
      <c r="P199" s="151">
        <f>IF(TrRoad_act!P60=0,0,TrRoad_emi!P57/TrRoad_tech!P172)</f>
        <v>0.8368728471946596</v>
      </c>
      <c r="Q199" s="151">
        <f>IF(TrRoad_act!Q60=0,0,TrRoad_emi!Q57/TrRoad_tech!Q172)</f>
        <v>0.85593975776609499</v>
      </c>
      <c r="R199" s="151">
        <f>IF(TrRoad_act!R60=0,0,TrRoad_emi!R57/TrRoad_tech!R172)</f>
        <v>0.8742786134399122</v>
      </c>
      <c r="S199" s="151">
        <f>IF(TrRoad_act!S60=0,0,TrRoad_emi!S57/TrRoad_tech!S172)</f>
        <v>0.89135545934645077</v>
      </c>
      <c r="T199" s="151">
        <f>IF(TrRoad_act!T60=0,0,TrRoad_emi!T57/TrRoad_tech!T172)</f>
        <v>0.9120983376106544</v>
      </c>
      <c r="U199" s="151">
        <f>IF(TrRoad_act!U60=0,0,TrRoad_emi!U57/TrRoad_tech!U172)</f>
        <v>0.95483720501015845</v>
      </c>
      <c r="V199" s="151">
        <f>IF(TrRoad_act!V60=0,0,TrRoad_emi!V57/TrRoad_tech!V172)</f>
        <v>0.94082770421427586</v>
      </c>
      <c r="W199" s="151">
        <f>IF(TrRoad_act!W60=0,0,TrRoad_emi!W57/TrRoad_tech!W172)</f>
        <v>0.988786572112064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0.89354313844413935</v>
      </c>
      <c r="C200" s="91">
        <f>IF(TrRoad_act!C61=0,0,TrRoad_emi!C58/TrRoad_tech!C173)</f>
        <v>0.90185300231034982</v>
      </c>
      <c r="D200" s="91">
        <f>IF(TrRoad_act!D61=0,0,TrRoad_emi!D58/TrRoad_tech!D173)</f>
        <v>0.90615832602504787</v>
      </c>
      <c r="E200" s="91">
        <f>IF(TrRoad_act!E61=0,0,TrRoad_emi!E58/TrRoad_tech!E173)</f>
        <v>0.90959022681956614</v>
      </c>
      <c r="F200" s="91">
        <f>IF(TrRoad_act!F61=0,0,TrRoad_emi!F58/TrRoad_tech!F173)</f>
        <v>0.91326969568526883</v>
      </c>
      <c r="G200" s="91">
        <f>IF(TrRoad_act!G61=0,0,TrRoad_emi!G58/TrRoad_tech!G173)</f>
        <v>0.91593563511092402</v>
      </c>
      <c r="H200" s="91">
        <f>IF(TrRoad_act!H61=0,0,TrRoad_emi!H58/TrRoad_tech!H173)</f>
        <v>0.9191746684025347</v>
      </c>
      <c r="I200" s="91">
        <f>IF(TrRoad_act!I61=0,0,TrRoad_emi!I58/TrRoad_tech!I173)</f>
        <v>0.92246342954342408</v>
      </c>
      <c r="J200" s="91">
        <f>IF(TrRoad_act!J61=0,0,TrRoad_emi!J58/TrRoad_tech!J173)</f>
        <v>0.9263985989290382</v>
      </c>
      <c r="K200" s="91">
        <f>IF(TrRoad_act!K61=0,0,TrRoad_emi!K58/TrRoad_tech!K173)</f>
        <v>0.93205676674609084</v>
      </c>
      <c r="L200" s="91">
        <f>IF(TrRoad_act!L61=0,0,TrRoad_emi!L58/TrRoad_tech!L173)</f>
        <v>0.93820146686610362</v>
      </c>
      <c r="M200" s="91">
        <f>IF(TrRoad_act!M61=0,0,TrRoad_emi!M58/TrRoad_tech!M173)</f>
        <v>0.94256033526613792</v>
      </c>
      <c r="N200" s="91">
        <f>IF(TrRoad_act!N61=0,0,TrRoad_emi!N58/TrRoad_tech!N173)</f>
        <v>0.94267532511759944</v>
      </c>
      <c r="O200" s="91">
        <f>IF(TrRoad_act!O61=0,0,TrRoad_emi!O58/TrRoad_tech!O173)</f>
        <v>0.94588080061611457</v>
      </c>
      <c r="P200" s="91">
        <f>IF(TrRoad_act!P61=0,0,TrRoad_emi!P58/TrRoad_tech!P173)</f>
        <v>0.95500566522974484</v>
      </c>
      <c r="Q200" s="91">
        <f>IF(TrRoad_act!Q61=0,0,TrRoad_emi!Q58/TrRoad_tech!Q173)</f>
        <v>0.94726932713725276</v>
      </c>
      <c r="R200" s="91">
        <f>IF(TrRoad_act!R61=0,0,TrRoad_emi!R58/TrRoad_tech!R173)</f>
        <v>0.96390840664384791</v>
      </c>
      <c r="S200" s="91">
        <f>IF(TrRoad_act!S61=0,0,TrRoad_emi!S58/TrRoad_tech!S173)</f>
        <v>1.0000348402899792</v>
      </c>
      <c r="T200" s="91">
        <f>IF(TrRoad_act!T61=0,0,TrRoad_emi!T58/TrRoad_tech!T173)</f>
        <v>1.0236292002079295</v>
      </c>
      <c r="U200" s="91">
        <f>IF(TrRoad_act!U61=0,0,TrRoad_emi!U58/TrRoad_tech!U173)</f>
        <v>1.03921639735717</v>
      </c>
      <c r="V200" s="91">
        <f>IF(TrRoad_act!V61=0,0,TrRoad_emi!V58/TrRoad_tech!V173)</f>
        <v>1.0429196571574104</v>
      </c>
      <c r="W200" s="91">
        <f>IF(TrRoad_act!W61=0,0,TrRoad_emi!W58/TrRoad_tech!W173)</f>
        <v>1.0462343166785262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0.57062102350750998</v>
      </c>
      <c r="C201" s="91">
        <f>IF(TrRoad_act!C62=0,0,TrRoad_emi!C59/TrRoad_tech!C174)</f>
        <v>0.63904005397901564</v>
      </c>
      <c r="D201" s="91">
        <f>IF(TrRoad_act!D62=0,0,TrRoad_emi!D59/TrRoad_tech!D174)</f>
        <v>0.6477682959360811</v>
      </c>
      <c r="E201" s="91">
        <f>IF(TrRoad_act!E62=0,0,TrRoad_emi!E59/TrRoad_tech!E174)</f>
        <v>0.76781023082705024</v>
      </c>
      <c r="F201" s="91">
        <f>IF(TrRoad_act!F62=0,0,TrRoad_emi!F59/TrRoad_tech!F174)</f>
        <v>0.80159844043479966</v>
      </c>
      <c r="G201" s="91">
        <f>IF(TrRoad_act!G62=0,0,TrRoad_emi!G59/TrRoad_tech!G174)</f>
        <v>0.76050493427256005</v>
      </c>
      <c r="H201" s="91">
        <f>IF(TrRoad_act!H62=0,0,TrRoad_emi!H59/TrRoad_tech!H174)</f>
        <v>0.76584532145964412</v>
      </c>
      <c r="I201" s="91">
        <f>IF(TrRoad_act!I62=0,0,TrRoad_emi!I59/TrRoad_tech!I174)</f>
        <v>0.78063221148118289</v>
      </c>
      <c r="J201" s="91">
        <f>IF(TrRoad_act!J62=0,0,TrRoad_emi!J59/TrRoad_tech!J174)</f>
        <v>0.80677844501146512</v>
      </c>
      <c r="K201" s="91">
        <f>IF(TrRoad_act!K62=0,0,TrRoad_emi!K59/TrRoad_tech!K174)</f>
        <v>0.79551301987033862</v>
      </c>
      <c r="L201" s="91">
        <f>IF(TrRoad_act!L62=0,0,TrRoad_emi!L59/TrRoad_tech!L174)</f>
        <v>0.79301592177768676</v>
      </c>
      <c r="M201" s="91">
        <f>IF(TrRoad_act!M62=0,0,TrRoad_emi!M59/TrRoad_tech!M174)</f>
        <v>0.76563481414489443</v>
      </c>
      <c r="N201" s="91">
        <f>IF(TrRoad_act!N62=0,0,TrRoad_emi!N59/TrRoad_tech!N174)</f>
        <v>0.83099799838976651</v>
      </c>
      <c r="O201" s="91">
        <f>IF(TrRoad_act!O62=0,0,TrRoad_emi!O59/TrRoad_tech!O174)</f>
        <v>0.83686374660508955</v>
      </c>
      <c r="P201" s="91">
        <f>IF(TrRoad_act!P62=0,0,TrRoad_emi!P59/TrRoad_tech!P174)</f>
        <v>0.82376807949154018</v>
      </c>
      <c r="Q201" s="91">
        <f>IF(TrRoad_act!Q62=0,0,TrRoad_emi!Q59/TrRoad_tech!Q174)</f>
        <v>0.85721709012225999</v>
      </c>
      <c r="R201" s="91">
        <f>IF(TrRoad_act!R62=0,0,TrRoad_emi!R59/TrRoad_tech!R174)</f>
        <v>0.87906563267229432</v>
      </c>
      <c r="S201" s="91">
        <f>IF(TrRoad_act!S62=0,0,TrRoad_emi!S59/TrRoad_tech!S174)</f>
        <v>0.88746027605099986</v>
      </c>
      <c r="T201" s="91">
        <f>IF(TrRoad_act!T62=0,0,TrRoad_emi!T59/TrRoad_tech!T174)</f>
        <v>0.89900858905455683</v>
      </c>
      <c r="U201" s="91">
        <f>IF(TrRoad_act!U62=0,0,TrRoad_emi!U59/TrRoad_tech!U174)</f>
        <v>0.93146653158624138</v>
      </c>
      <c r="V201" s="91">
        <f>IF(TrRoad_act!V62=0,0,TrRoad_emi!V59/TrRoad_tech!V174)</f>
        <v>0.90510141441041603</v>
      </c>
      <c r="W201" s="91">
        <f>IF(TrRoad_act!W62=0,0,TrRoad_emi!W59/TrRoad_tech!W174)</f>
        <v>0.93087412966722871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1.107150665700154</v>
      </c>
      <c r="C202" s="91">
        <f>IF(TrRoad_act!C63=0,0,TrRoad_emi!C60/TrRoad_tech!C175)</f>
        <v>1.4582826442901828</v>
      </c>
      <c r="D202" s="91">
        <f>IF(TrRoad_act!D63=0,0,TrRoad_emi!D60/TrRoad_tech!D175)</f>
        <v>1.4967010175207518</v>
      </c>
      <c r="E202" s="91">
        <f>IF(TrRoad_act!E63=0,0,TrRoad_emi!E60/TrRoad_tech!E175)</f>
        <v>1.298986719123906</v>
      </c>
      <c r="F202" s="91">
        <f>IF(TrRoad_act!F63=0,0,TrRoad_emi!F60/TrRoad_tech!F175)</f>
        <v>1.2698728827724055</v>
      </c>
      <c r="G202" s="91">
        <f>IF(TrRoad_act!G63=0,0,TrRoad_emi!G60/TrRoad_tech!G175)</f>
        <v>1.319099606376237</v>
      </c>
      <c r="H202" s="91">
        <f>IF(TrRoad_act!H63=0,0,TrRoad_emi!H60/TrRoad_tech!H175)</f>
        <v>1.4689642899648581</v>
      </c>
      <c r="I202" s="91">
        <f>IF(TrRoad_act!I63=0,0,TrRoad_emi!I60/TrRoad_tech!I175)</f>
        <v>1.5986462575436691</v>
      </c>
      <c r="J202" s="91">
        <f>IF(TrRoad_act!J63=0,0,TrRoad_emi!J60/TrRoad_tech!J175)</f>
        <v>1.3090880438445542</v>
      </c>
      <c r="K202" s="91">
        <f>IF(TrRoad_act!K63=0,0,TrRoad_emi!K60/TrRoad_tech!K175)</f>
        <v>1.0701551207213074</v>
      </c>
      <c r="L202" s="91">
        <f>IF(TrRoad_act!L63=0,0,TrRoad_emi!L60/TrRoad_tech!L175)</f>
        <v>1.0598480776291683</v>
      </c>
      <c r="M202" s="91">
        <f>IF(TrRoad_act!M63=0,0,TrRoad_emi!M60/TrRoad_tech!M175)</f>
        <v>1.037033650310887</v>
      </c>
      <c r="N202" s="91">
        <f>IF(TrRoad_act!N63=0,0,TrRoad_emi!N60/TrRoad_tech!N175)</f>
        <v>1.0304008184207303</v>
      </c>
      <c r="O202" s="91">
        <f>IF(TrRoad_act!O63=0,0,TrRoad_emi!O60/TrRoad_tech!O175)</f>
        <v>1.0493108502211668</v>
      </c>
      <c r="P202" s="91">
        <f>IF(TrRoad_act!P63=0,0,TrRoad_emi!P60/TrRoad_tech!P175)</f>
        <v>0.99050975435064381</v>
      </c>
      <c r="Q202" s="91">
        <f>IF(TrRoad_act!Q63=0,0,TrRoad_emi!Q60/TrRoad_tech!Q175)</f>
        <v>1.0245565596720618</v>
      </c>
      <c r="R202" s="91">
        <f>IF(TrRoad_act!R63=0,0,TrRoad_emi!R60/TrRoad_tech!R175)</f>
        <v>1.0331208058887558</v>
      </c>
      <c r="S202" s="91">
        <f>IF(TrRoad_act!S63=0,0,TrRoad_emi!S60/TrRoad_tech!S175)</f>
        <v>0.9898980894777708</v>
      </c>
      <c r="T202" s="91">
        <f>IF(TrRoad_act!T63=0,0,TrRoad_emi!T60/TrRoad_tech!T175)</f>
        <v>0.9362324500869702</v>
      </c>
      <c r="U202" s="91">
        <f>IF(TrRoad_act!U63=0,0,TrRoad_emi!U60/TrRoad_tech!U175)</f>
        <v>0.94402062264326936</v>
      </c>
      <c r="V202" s="91">
        <f>IF(TrRoad_act!V63=0,0,TrRoad_emi!V60/TrRoad_tech!V175)</f>
        <v>0.8487258359199813</v>
      </c>
      <c r="W202" s="91">
        <f>IF(TrRoad_act!W63=0,0,TrRoad_emi!W60/TrRoad_tech!W175)</f>
        <v>0.83492600048029175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1.0555555555604399</v>
      </c>
      <c r="N203" s="91">
        <f>IF(TrRoad_act!N64=0,0,TrRoad_emi!N61/TrRoad_tech!N176)</f>
        <v>1.0622326280710899</v>
      </c>
      <c r="O203" s="91">
        <f>IF(TrRoad_act!O64=0,0,TrRoad_emi!O61/TrRoad_tech!O176)</f>
        <v>1.0683228078340112</v>
      </c>
      <c r="P203" s="91">
        <f>IF(TrRoad_act!P64=0,0,TrRoad_emi!P61/TrRoad_tech!P176)</f>
        <v>1.0701298174647764</v>
      </c>
      <c r="Q203" s="91">
        <f>IF(TrRoad_act!Q64=0,0,TrRoad_emi!Q61/TrRoad_tech!Q176)</f>
        <v>1.0725045400685649</v>
      </c>
      <c r="R203" s="91">
        <f>IF(TrRoad_act!R64=0,0,TrRoad_emi!R61/TrRoad_tech!R176)</f>
        <v>1.0757812940475422</v>
      </c>
      <c r="S203" s="91">
        <f>IF(TrRoad_act!S64=0,0,TrRoad_emi!S61/TrRoad_tech!S176)</f>
        <v>1.0784812570795568</v>
      </c>
      <c r="T203" s="91">
        <f>IF(TrRoad_act!T64=0,0,TrRoad_emi!T61/TrRoad_tech!T176)</f>
        <v>1.0886120048416974</v>
      </c>
      <c r="U203" s="91">
        <f>IF(TrRoad_act!U64=0,0,TrRoad_emi!U61/TrRoad_tech!U176)</f>
        <v>1.0923109917513298</v>
      </c>
      <c r="V203" s="91">
        <f>IF(TrRoad_act!V64=0,0,TrRoad_emi!V61/TrRoad_tech!V176)</f>
        <v>1.0938267273325686</v>
      </c>
      <c r="W203" s="91">
        <f>IF(TrRoad_act!W64=0,0,TrRoad_emi!W61/TrRoad_tech!W176)</f>
        <v>1.0957225597290452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0.96810936908037903</v>
      </c>
      <c r="N204" s="91">
        <f>IF(TrRoad_act!N65=0,0,TrRoad_emi!N62/TrRoad_tech!N177)</f>
        <v>0.97040060504660397</v>
      </c>
      <c r="O204" s="91">
        <f>IF(TrRoad_act!O65=0,0,TrRoad_emi!O62/TrRoad_tech!O177)</f>
        <v>0.97601924828122821</v>
      </c>
      <c r="P204" s="91">
        <f>IF(TrRoad_act!P65=0,0,TrRoad_emi!P62/TrRoad_tech!P177)</f>
        <v>0.98861155410223911</v>
      </c>
      <c r="Q204" s="91">
        <f>IF(TrRoad_act!Q65=0,0,TrRoad_emi!Q62/TrRoad_tech!Q177)</f>
        <v>0.98644638863008971</v>
      </c>
      <c r="R204" s="91">
        <f>IF(TrRoad_act!R65=0,0,TrRoad_emi!R62/TrRoad_tech!R177)</f>
        <v>1.0058457675637984</v>
      </c>
      <c r="S204" s="91">
        <f>IF(TrRoad_act!S65=0,0,TrRoad_emi!S62/TrRoad_tech!S177)</f>
        <v>1.0437313986910655</v>
      </c>
      <c r="T204" s="91">
        <f>IF(TrRoad_act!T65=0,0,TrRoad_emi!T62/TrRoad_tech!T177)</f>
        <v>1.0679637053298341</v>
      </c>
      <c r="U204" s="91">
        <f>IF(TrRoad_act!U65=0,0,TrRoad_emi!U62/TrRoad_tech!U177)</f>
        <v>1.0827866218178082</v>
      </c>
      <c r="V204" s="91">
        <f>IF(TrRoad_act!V65=0,0,TrRoad_emi!V62/TrRoad_tech!V177)</f>
        <v>1.0866495511236716</v>
      </c>
      <c r="W204" s="91">
        <f>IF(TrRoad_act!W65=0,0,TrRoad_emi!W62/TrRoad_tech!W177)</f>
        <v>1.0889000499740118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1.0997118468760991</v>
      </c>
      <c r="C206" s="151">
        <f>IF(TrRoad_act!C67=0,0,TrRoad_emi!C64/TrRoad_tech!C179)</f>
        <v>1.1160624204726113</v>
      </c>
      <c r="D206" s="151">
        <f>IF(TrRoad_act!D67=0,0,TrRoad_emi!D64/TrRoad_tech!D179)</f>
        <v>1.1109535138297977</v>
      </c>
      <c r="E206" s="151">
        <f>IF(TrRoad_act!E67=0,0,TrRoad_emi!E64/TrRoad_tech!E179)</f>
        <v>1.1047640770376275</v>
      </c>
      <c r="F206" s="151">
        <f>IF(TrRoad_act!F67=0,0,TrRoad_emi!F64/TrRoad_tech!F179)</f>
        <v>1.0873532010251852</v>
      </c>
      <c r="G206" s="151">
        <f>IF(TrRoad_act!G67=0,0,TrRoad_emi!G64/TrRoad_tech!G179)</f>
        <v>1.107013690254798</v>
      </c>
      <c r="H206" s="151">
        <f>IF(TrRoad_act!H67=0,0,TrRoad_emi!H64/TrRoad_tech!H179)</f>
        <v>1.0660302285718222</v>
      </c>
      <c r="I206" s="151">
        <f>IF(TrRoad_act!I67=0,0,TrRoad_emi!I64/TrRoad_tech!I179)</f>
        <v>1.0735365128648131</v>
      </c>
      <c r="J206" s="151">
        <f>IF(TrRoad_act!J67=0,0,TrRoad_emi!J64/TrRoad_tech!J179)</f>
        <v>1.0697032278433862</v>
      </c>
      <c r="K206" s="151">
        <f>IF(TrRoad_act!K67=0,0,TrRoad_emi!K64/TrRoad_tech!K179)</f>
        <v>1.0479408223509787</v>
      </c>
      <c r="L206" s="151">
        <f>IF(TrRoad_act!L67=0,0,TrRoad_emi!L64/TrRoad_tech!L179)</f>
        <v>1.0316598036328799</v>
      </c>
      <c r="M206" s="151">
        <f>IF(TrRoad_act!M67=0,0,TrRoad_emi!M64/TrRoad_tech!M179)</f>
        <v>1.0283554637359673</v>
      </c>
      <c r="N206" s="151">
        <f>IF(TrRoad_act!N67=0,0,TrRoad_emi!N64/TrRoad_tech!N179)</f>
        <v>1.0532567958680741</v>
      </c>
      <c r="O206" s="151">
        <f>IF(TrRoad_act!O67=0,0,TrRoad_emi!O64/TrRoad_tech!O179)</f>
        <v>1.05902407938868</v>
      </c>
      <c r="P206" s="151">
        <f>IF(TrRoad_act!P67=0,0,TrRoad_emi!P64/TrRoad_tech!P179)</f>
        <v>1.0882124794411958</v>
      </c>
      <c r="Q206" s="151">
        <f>IF(TrRoad_act!Q67=0,0,TrRoad_emi!Q64/TrRoad_tech!Q179)</f>
        <v>1.094126774205312</v>
      </c>
      <c r="R206" s="151">
        <f>IF(TrRoad_act!R67=0,0,TrRoad_emi!R64/TrRoad_tech!R179)</f>
        <v>1.1268264456132584</v>
      </c>
      <c r="S206" s="151">
        <f>IF(TrRoad_act!S67=0,0,TrRoad_emi!S64/TrRoad_tech!S179)</f>
        <v>1.1533463795588923</v>
      </c>
      <c r="T206" s="151">
        <f>IF(TrRoad_act!T67=0,0,TrRoad_emi!T64/TrRoad_tech!T179)</f>
        <v>1.2403070209681448</v>
      </c>
      <c r="U206" s="151">
        <f>IF(TrRoad_act!U67=0,0,TrRoad_emi!U64/TrRoad_tech!U179)</f>
        <v>1.2022371911750556</v>
      </c>
      <c r="V206" s="151">
        <f>IF(TrRoad_act!V67=0,0,TrRoad_emi!V64/TrRoad_tech!V179)</f>
        <v>1.3214356510251499</v>
      </c>
      <c r="W206" s="151">
        <f>IF(TrRoad_act!W67=0,0,TrRoad_emi!W64/TrRoad_tech!W179)</f>
        <v>1.3105621375486203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1.2000000000070936</v>
      </c>
      <c r="M207" s="93">
        <f>IF(TrRoad_act!M68=0,0,TrRoad_emi!M65/TrRoad_tech!M180)</f>
        <v>1.2000000000070938</v>
      </c>
      <c r="N207" s="93">
        <f>IF(TrRoad_act!N68=0,0,TrRoad_emi!N65/TrRoad_tech!N180)</f>
        <v>1.19869233564094</v>
      </c>
      <c r="O207" s="93">
        <f>IF(TrRoad_act!O68=0,0,TrRoad_emi!O65/TrRoad_tech!O180)</f>
        <v>1.2060305498648363</v>
      </c>
      <c r="P207" s="93">
        <f>IF(TrRoad_act!P68=0,0,TrRoad_emi!P65/TrRoad_tech!P180)</f>
        <v>1.2060175505948965</v>
      </c>
      <c r="Q207" s="93">
        <f>IF(TrRoad_act!Q68=0,0,TrRoad_emi!Q65/TrRoad_tech!Q180)</f>
        <v>1.1966705486738596</v>
      </c>
      <c r="R207" s="93">
        <f>IF(TrRoad_act!R68=0,0,TrRoad_emi!R65/TrRoad_tech!R180)</f>
        <v>1.2030928527607962</v>
      </c>
      <c r="S207" s="93">
        <f>IF(TrRoad_act!S68=0,0,TrRoad_emi!S65/TrRoad_tech!S180)</f>
        <v>1.231526738315285</v>
      </c>
      <c r="T207" s="93">
        <f>IF(TrRoad_act!T68=0,0,TrRoad_emi!T65/TrRoad_tech!T180)</f>
        <v>1.2284464235551704</v>
      </c>
      <c r="U207" s="93">
        <f>IF(TrRoad_act!U68=0,0,TrRoad_emi!U65/TrRoad_tech!U180)</f>
        <v>1.2392995120100865</v>
      </c>
      <c r="V207" s="93">
        <f>IF(TrRoad_act!V68=0,0,TrRoad_emi!V65/TrRoad_tech!V180)</f>
        <v>1.245656466609282</v>
      </c>
      <c r="W207" s="93">
        <f>IF(TrRoad_act!W68=0,0,TrRoad_emi!W65/TrRoad_tech!W180)</f>
        <v>1.2331893559818512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1.1002714814320094</v>
      </c>
      <c r="D208" s="93">
        <f>IF(TrRoad_act!D69=0,0,TrRoad_emi!D66/TrRoad_tech!D181)</f>
        <v>1.1007710871888055</v>
      </c>
      <c r="E208" s="93">
        <f>IF(TrRoad_act!E69=0,0,TrRoad_emi!E66/TrRoad_tech!E181)</f>
        <v>1.1016868517266265</v>
      </c>
      <c r="F208" s="93">
        <f>IF(TrRoad_act!F69=0,0,TrRoad_emi!F66/TrRoad_tech!F181)</f>
        <v>1.1031174689420651</v>
      </c>
      <c r="G208" s="93">
        <f>IF(TrRoad_act!G69=0,0,TrRoad_emi!G66/TrRoad_tech!G181)</f>
        <v>1.1067518226582984</v>
      </c>
      <c r="H208" s="93">
        <f>IF(TrRoad_act!H69=0,0,TrRoad_emi!H66/TrRoad_tech!H181)</f>
        <v>1.091094957814132</v>
      </c>
      <c r="I208" s="93">
        <f>IF(TrRoad_act!I69=0,0,TrRoad_emi!I66/TrRoad_tech!I181)</f>
        <v>1.081820914452887</v>
      </c>
      <c r="J208" s="93">
        <f>IF(TrRoad_act!J69=0,0,TrRoad_emi!J66/TrRoad_tech!J181)</f>
        <v>1.0855867107471457</v>
      </c>
      <c r="K208" s="93">
        <f>IF(TrRoad_act!K69=0,0,TrRoad_emi!K66/TrRoad_tech!K181)</f>
        <v>1.0691791459535263</v>
      </c>
      <c r="L208" s="93">
        <f>IF(TrRoad_act!L69=0,0,TrRoad_emi!L66/TrRoad_tech!L181)</f>
        <v>1.0526850379306791</v>
      </c>
      <c r="M208" s="93">
        <f>IF(TrRoad_act!M69=0,0,TrRoad_emi!M66/TrRoad_tech!M181)</f>
        <v>1.0586274217896026</v>
      </c>
      <c r="N208" s="93">
        <f>IF(TrRoad_act!N69=0,0,TrRoad_emi!N66/TrRoad_tech!N181)</f>
        <v>1.0697375335077262</v>
      </c>
      <c r="O208" s="93">
        <f>IF(TrRoad_act!O69=0,0,TrRoad_emi!O66/TrRoad_tech!O181)</f>
        <v>1.0762146997545485</v>
      </c>
      <c r="P208" s="93">
        <f>IF(TrRoad_act!P69=0,0,TrRoad_emi!P66/TrRoad_tech!P181)</f>
        <v>1.1052234352766037</v>
      </c>
      <c r="Q208" s="93">
        <f>IF(TrRoad_act!Q69=0,0,TrRoad_emi!Q66/TrRoad_tech!Q181)</f>
        <v>1.1028815575424253</v>
      </c>
      <c r="R208" s="93">
        <f>IF(TrRoad_act!R69=0,0,TrRoad_emi!R66/TrRoad_tech!R181)</f>
        <v>1.1361724800756436</v>
      </c>
      <c r="S208" s="93">
        <f>IF(TrRoad_act!S69=0,0,TrRoad_emi!S66/TrRoad_tech!S181)</f>
        <v>1.1422861398870494</v>
      </c>
      <c r="T208" s="93">
        <f>IF(TrRoad_act!T69=0,0,TrRoad_emi!T66/TrRoad_tech!T181)</f>
        <v>1.1443493434461565</v>
      </c>
      <c r="U208" s="93">
        <f>IF(TrRoad_act!U69=0,0,TrRoad_emi!U66/TrRoad_tech!U181)</f>
        <v>1.1649486535026632</v>
      </c>
      <c r="V208" s="93">
        <f>IF(TrRoad_act!V69=0,0,TrRoad_emi!V66/TrRoad_tech!V181)</f>
        <v>1.1815063320478325</v>
      </c>
      <c r="W208" s="93">
        <f>IF(TrRoad_act!W69=0,0,TrRoad_emi!W66/TrRoad_tech!W181)</f>
        <v>1.165914080384008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1.2000000000070938</v>
      </c>
      <c r="M209" s="93">
        <f>IF(TrRoad_act!M70=0,0,TrRoad_emi!M67/TrRoad_tech!M182)</f>
        <v>1.2000000000070943</v>
      </c>
      <c r="N209" s="93">
        <f>IF(TrRoad_act!N70=0,0,TrRoad_emi!N67/TrRoad_tech!N182)</f>
        <v>1.2000000000070941</v>
      </c>
      <c r="O209" s="93">
        <f>IF(TrRoad_act!O70=0,0,TrRoad_emi!O67/TrRoad_tech!O182)</f>
        <v>1.2000000000070941</v>
      </c>
      <c r="P209" s="93">
        <f>IF(TrRoad_act!P70=0,0,TrRoad_emi!P67/TrRoad_tech!P182)</f>
        <v>1.2407652221504071</v>
      </c>
      <c r="Q209" s="93">
        <f>IF(TrRoad_act!Q70=0,0,TrRoad_emi!Q67/TrRoad_tech!Q182)</f>
        <v>1.2407652221504071</v>
      </c>
      <c r="R209" s="93">
        <f>IF(TrRoad_act!R70=0,0,TrRoad_emi!R67/TrRoad_tech!R182)</f>
        <v>1.2574856581171043</v>
      </c>
      <c r="S209" s="93">
        <f>IF(TrRoad_act!S70=0,0,TrRoad_emi!S67/TrRoad_tech!S182)</f>
        <v>1.2574856581171046</v>
      </c>
      <c r="T209" s="93">
        <f>IF(TrRoad_act!T70=0,0,TrRoad_emi!T67/TrRoad_tech!T182)</f>
        <v>1.2574856581171043</v>
      </c>
      <c r="U209" s="93">
        <f>IF(TrRoad_act!U70=0,0,TrRoad_emi!U67/TrRoad_tech!U182)</f>
        <v>1.2574856581171048</v>
      </c>
      <c r="V209" s="93">
        <f>IF(TrRoad_act!V70=0,0,TrRoad_emi!V67/TrRoad_tech!V182)</f>
        <v>1.2705132897370128</v>
      </c>
      <c r="W209" s="93">
        <f>IF(TrRoad_act!W70=0,0,TrRoad_emi!W67/TrRoad_tech!W182)</f>
        <v>1.2705132897370133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1.4791232437468851</v>
      </c>
      <c r="C210" s="93">
        <f>IF(TrRoad_act!C71=0,0,TrRoad_emi!C68/TrRoad_tech!C183)</f>
        <v>1.4289226554780534</v>
      </c>
      <c r="D210" s="93">
        <f>IF(TrRoad_act!D71=0,0,TrRoad_emi!D68/TrRoad_tech!D183)</f>
        <v>1.4429700081941796</v>
      </c>
      <c r="E210" s="93">
        <f>IF(TrRoad_act!E71=0,0,TrRoad_emi!E68/TrRoad_tech!E183)</f>
        <v>1.3867457470530113</v>
      </c>
      <c r="F210" s="93">
        <f>IF(TrRoad_act!F71=0,0,TrRoad_emi!F68/TrRoad_tech!F183)</f>
        <v>1.3905475384440098</v>
      </c>
      <c r="G210" s="93">
        <f>IF(TrRoad_act!G71=0,0,TrRoad_emi!G68/TrRoad_tech!G183)</f>
        <v>1.3943228863573198</v>
      </c>
      <c r="H210" s="93">
        <f>IF(TrRoad_act!H71=0,0,TrRoad_emi!H68/TrRoad_tech!H183)</f>
        <v>1.4018587546501526</v>
      </c>
      <c r="I210" s="93">
        <f>IF(TrRoad_act!I71=0,0,TrRoad_emi!I68/TrRoad_tech!I183)</f>
        <v>1.408334630918245</v>
      </c>
      <c r="J210" s="93">
        <f>IF(TrRoad_act!J71=0,0,TrRoad_emi!J68/TrRoad_tech!J183)</f>
        <v>1.3784761395342362</v>
      </c>
      <c r="K210" s="93">
        <f>IF(TrRoad_act!K71=0,0,TrRoad_emi!K68/TrRoad_tech!K183)</f>
        <v>1.3097146153865662</v>
      </c>
      <c r="L210" s="93">
        <f>IF(TrRoad_act!L71=0,0,TrRoad_emi!L68/TrRoad_tech!L183)</f>
        <v>1.3106774127403094</v>
      </c>
      <c r="M210" s="93">
        <f>IF(TrRoad_act!M71=0,0,TrRoad_emi!M68/TrRoad_tech!M183)</f>
        <v>1.2979773570146165</v>
      </c>
      <c r="N210" s="93">
        <f>IF(TrRoad_act!N71=0,0,TrRoad_emi!N68/TrRoad_tech!N183)</f>
        <v>1.2475174499905552</v>
      </c>
      <c r="O210" s="93">
        <f>IF(TrRoad_act!O71=0,0,TrRoad_emi!O68/TrRoad_tech!O183)</f>
        <v>1.4051201126128303</v>
      </c>
      <c r="P210" s="93">
        <f>IF(TrRoad_act!P71=0,0,TrRoad_emi!P68/TrRoad_tech!P183)</f>
        <v>1.4849811697906321</v>
      </c>
      <c r="Q210" s="93">
        <f>IF(TrRoad_act!Q71=0,0,TrRoad_emi!Q68/TrRoad_tech!Q183)</f>
        <v>1.7509646611935854</v>
      </c>
      <c r="R210" s="93">
        <f>IF(TrRoad_act!R71=0,0,TrRoad_emi!R68/TrRoad_tech!R183)</f>
        <v>1.741305279369771</v>
      </c>
      <c r="S210" s="93">
        <f>IF(TrRoad_act!S71=0,0,TrRoad_emi!S68/TrRoad_tech!S183)</f>
        <v>1.9489796346239212</v>
      </c>
      <c r="T210" s="93">
        <f>IF(TrRoad_act!T71=0,0,TrRoad_emi!T68/TrRoad_tech!T183)</f>
        <v>1.7372654290432314</v>
      </c>
      <c r="U210" s="93">
        <f>IF(TrRoad_act!U71=0,0,TrRoad_emi!U68/TrRoad_tech!U183)</f>
        <v>3.1131068163714199</v>
      </c>
      <c r="V210" s="93">
        <f>IF(TrRoad_act!V71=0,0,TrRoad_emi!V68/TrRoad_tech!V183)</f>
        <v>3.3423114460583969</v>
      </c>
      <c r="W210" s="93">
        <f>IF(TrRoad_act!W71=0,0,TrRoad_emi!W68/TrRoad_tech!W183)</f>
        <v>2.2673637719004529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1.0832567170183971</v>
      </c>
      <c r="C213" s="150">
        <f>IF(TrRoad_act!C74=0,0,TrRoad_emi!C71/TrRoad_tech!C186)</f>
        <v>1.0693481034762</v>
      </c>
      <c r="D213" s="150">
        <f>IF(TrRoad_act!D74=0,0,TrRoad_emi!D71/TrRoad_tech!D186)</f>
        <v>1.0856365921549607</v>
      </c>
      <c r="E213" s="150">
        <f>IF(TrRoad_act!E74=0,0,TrRoad_emi!E71/TrRoad_tech!E186)</f>
        <v>1.1313980756164586</v>
      </c>
      <c r="F213" s="150">
        <f>IF(TrRoad_act!F74=0,0,TrRoad_emi!F71/TrRoad_tech!F186)</f>
        <v>1.13841674784833</v>
      </c>
      <c r="G213" s="150">
        <f>IF(TrRoad_act!G74=0,0,TrRoad_emi!G71/TrRoad_tech!G186)</f>
        <v>1.1332337660331064</v>
      </c>
      <c r="H213" s="150">
        <f>IF(TrRoad_act!H74=0,0,TrRoad_emi!H71/TrRoad_tech!H186)</f>
        <v>1.0984339607440399</v>
      </c>
      <c r="I213" s="150">
        <f>IF(TrRoad_act!I74=0,0,TrRoad_emi!I71/TrRoad_tech!I186)</f>
        <v>1.0672023169332101</v>
      </c>
      <c r="J213" s="150">
        <f>IF(TrRoad_act!J74=0,0,TrRoad_emi!J71/TrRoad_tech!J186)</f>
        <v>1.0851832415211471</v>
      </c>
      <c r="K213" s="150">
        <f>IF(TrRoad_act!K74=0,0,TrRoad_emi!K71/TrRoad_tech!K186)</f>
        <v>1.0868938346341099</v>
      </c>
      <c r="L213" s="150">
        <f>IF(TrRoad_act!L74=0,0,TrRoad_emi!L71/TrRoad_tech!L186)</f>
        <v>1.1253747760872768</v>
      </c>
      <c r="M213" s="150">
        <f>IF(TrRoad_act!M74=0,0,TrRoad_emi!M71/TrRoad_tech!M186)</f>
        <v>1.1881152375935959</v>
      </c>
      <c r="N213" s="150">
        <f>IF(TrRoad_act!N74=0,0,TrRoad_emi!N71/TrRoad_tech!N186)</f>
        <v>1.0162235181263748</v>
      </c>
      <c r="O213" s="150">
        <f>IF(TrRoad_act!O74=0,0,TrRoad_emi!O71/TrRoad_tech!O186)</f>
        <v>1.1319435022485316</v>
      </c>
      <c r="P213" s="150">
        <f>IF(TrRoad_act!P74=0,0,TrRoad_emi!P71/TrRoad_tech!P186)</f>
        <v>1.1949913908947238</v>
      </c>
      <c r="Q213" s="150">
        <f>IF(TrRoad_act!Q74=0,0,TrRoad_emi!Q71/TrRoad_tech!Q186)</f>
        <v>1.091200883799115</v>
      </c>
      <c r="R213" s="150">
        <f>IF(TrRoad_act!R74=0,0,TrRoad_emi!R71/TrRoad_tech!R186)</f>
        <v>1.1380301873493548</v>
      </c>
      <c r="S213" s="150">
        <f>IF(TrRoad_act!S74=0,0,TrRoad_emi!S71/TrRoad_tech!S186)</f>
        <v>1.1589145620784431</v>
      </c>
      <c r="T213" s="150">
        <f>IF(TrRoad_act!T74=0,0,TrRoad_emi!T71/TrRoad_tech!T186)</f>
        <v>1.157234420561438</v>
      </c>
      <c r="U213" s="150">
        <f>IF(TrRoad_act!U74=0,0,TrRoad_emi!U71/TrRoad_tech!U186)</f>
        <v>1.1528237044935581</v>
      </c>
      <c r="V213" s="150">
        <f>IF(TrRoad_act!V74=0,0,TrRoad_emi!V71/TrRoad_tech!V186)</f>
        <v>1.1246536278072776</v>
      </c>
      <c r="W213" s="150">
        <f>IF(TrRoad_act!W74=0,0,TrRoad_emi!W71/TrRoad_tech!W186)</f>
        <v>1.1023812526898176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1.1000001963649688</v>
      </c>
      <c r="D214" s="91">
        <f>IF(TrRoad_act!D75=0,0,TrRoad_emi!D72/TrRoad_tech!D187)</f>
        <v>1.1000002082725271</v>
      </c>
      <c r="E214" s="91">
        <f>IF(TrRoad_act!E75=0,0,TrRoad_emi!E72/TrRoad_tech!E187)</f>
        <v>1.1000023424571674</v>
      </c>
      <c r="F214" s="91">
        <f>IF(TrRoad_act!F75=0,0,TrRoad_emi!F72/TrRoad_tech!F187)</f>
        <v>1.1000025090716117</v>
      </c>
      <c r="G214" s="91">
        <f>IF(TrRoad_act!G75=0,0,TrRoad_emi!G72/TrRoad_tech!G187)</f>
        <v>1.10000539606836</v>
      </c>
      <c r="H214" s="91">
        <f>IF(TrRoad_act!H75=0,0,TrRoad_emi!H72/TrRoad_tech!H187)</f>
        <v>1.1003492723840269</v>
      </c>
      <c r="I214" s="91">
        <f>IF(TrRoad_act!I75=0,0,TrRoad_emi!I72/TrRoad_tech!I187)</f>
        <v>1.1011942390415437</v>
      </c>
      <c r="J214" s="91">
        <f>IF(TrRoad_act!J75=0,0,TrRoad_emi!J72/TrRoad_tech!J187)</f>
        <v>1.1024960841915781</v>
      </c>
      <c r="K214" s="91">
        <f>IF(TrRoad_act!K75=0,0,TrRoad_emi!K72/TrRoad_tech!K187)</f>
        <v>1.104531557047385</v>
      </c>
      <c r="L214" s="91">
        <f>IF(TrRoad_act!L75=0,0,TrRoad_emi!L72/TrRoad_tech!L187)</f>
        <v>1.1072450352922814</v>
      </c>
      <c r="M214" s="91">
        <f>IF(TrRoad_act!M75=0,0,TrRoad_emi!M72/TrRoad_tech!M187)</f>
        <v>1.1079498187884371</v>
      </c>
      <c r="N214" s="91">
        <f>IF(TrRoad_act!N75=0,0,TrRoad_emi!N72/TrRoad_tech!N187)</f>
        <v>1.1076212544995774</v>
      </c>
      <c r="O214" s="91">
        <f>IF(TrRoad_act!O75=0,0,TrRoad_emi!O72/TrRoad_tech!O187)</f>
        <v>1.1075255410683356</v>
      </c>
      <c r="P214" s="91">
        <f>IF(TrRoad_act!P75=0,0,TrRoad_emi!P72/TrRoad_tech!P187)</f>
        <v>1.1107721029253927</v>
      </c>
      <c r="Q214" s="91">
        <f>IF(TrRoad_act!Q75=0,0,TrRoad_emi!Q72/TrRoad_tech!Q187)</f>
        <v>1.1075023221063633</v>
      </c>
      <c r="R214" s="91">
        <f>IF(TrRoad_act!R75=0,0,TrRoad_emi!R72/TrRoad_tech!R187)</f>
        <v>1.1088828732179021</v>
      </c>
      <c r="S214" s="91">
        <f>IF(TrRoad_act!S75=0,0,TrRoad_emi!S72/TrRoad_tech!S187)</f>
        <v>1.149269507143551</v>
      </c>
      <c r="T214" s="91">
        <f>IF(TrRoad_act!T75=0,0,TrRoad_emi!T72/TrRoad_tech!T187)</f>
        <v>1.1550253133215223</v>
      </c>
      <c r="U214" s="91">
        <f>IF(TrRoad_act!U75=0,0,TrRoad_emi!U72/TrRoad_tech!U187)</f>
        <v>1.1969313563466446</v>
      </c>
      <c r="V214" s="91">
        <f>IF(TrRoad_act!V75=0,0,TrRoad_emi!V72/TrRoad_tech!V187)</f>
        <v>1.2317113629969436</v>
      </c>
      <c r="W214" s="91">
        <f>IF(TrRoad_act!W75=0,0,TrRoad_emi!W72/TrRoad_tech!W187)</f>
        <v>1.2243920947531575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1.100090127028607</v>
      </c>
      <c r="D215" s="91">
        <f>IF(TrRoad_act!D76=0,0,TrRoad_emi!D73/TrRoad_tech!D188)</f>
        <v>1.1001316342319918</v>
      </c>
      <c r="E215" s="91">
        <f>IF(TrRoad_act!E76=0,0,TrRoad_emi!E73/TrRoad_tech!E188)</f>
        <v>1.1001411233757399</v>
      </c>
      <c r="F215" s="91">
        <f>IF(TrRoad_act!F76=0,0,TrRoad_emi!F73/TrRoad_tech!F188)</f>
        <v>1.1003055849755949</v>
      </c>
      <c r="G215" s="91">
        <f>IF(TrRoad_act!G76=0,0,TrRoad_emi!G73/TrRoad_tech!G188)</f>
        <v>1.1007690522877338</v>
      </c>
      <c r="H215" s="91">
        <f>IF(TrRoad_act!H76=0,0,TrRoad_emi!H73/TrRoad_tech!H188)</f>
        <v>1.0838545302984772</v>
      </c>
      <c r="I215" s="91">
        <f>IF(TrRoad_act!I76=0,0,TrRoad_emi!I73/TrRoad_tech!I188)</f>
        <v>1.0734161157243196</v>
      </c>
      <c r="J215" s="91">
        <f>IF(TrRoad_act!J76=0,0,TrRoad_emi!J73/TrRoad_tech!J188)</f>
        <v>1.0753951192846536</v>
      </c>
      <c r="K215" s="91">
        <f>IF(TrRoad_act!K76=0,0,TrRoad_emi!K73/TrRoad_tech!K188)</f>
        <v>1.0582133845493142</v>
      </c>
      <c r="L215" s="91">
        <f>IF(TrRoad_act!L76=0,0,TrRoad_emi!L73/TrRoad_tech!L188)</f>
        <v>1.0376357992400977</v>
      </c>
      <c r="M215" s="91">
        <f>IF(TrRoad_act!M76=0,0,TrRoad_emi!M73/TrRoad_tech!M188)</f>
        <v>1.0405685303414749</v>
      </c>
      <c r="N215" s="91">
        <f>IF(TrRoad_act!N76=0,0,TrRoad_emi!N73/TrRoad_tech!N188)</f>
        <v>1.042810868442116</v>
      </c>
      <c r="O215" s="91">
        <f>IF(TrRoad_act!O76=0,0,TrRoad_emi!O73/TrRoad_tech!O188)</f>
        <v>1.0486091746627417</v>
      </c>
      <c r="P215" s="91">
        <f>IF(TrRoad_act!P76=0,0,TrRoad_emi!P73/TrRoad_tech!P188)</f>
        <v>1.062861647993558</v>
      </c>
      <c r="Q215" s="91">
        <f>IF(TrRoad_act!Q76=0,0,TrRoad_emi!Q73/TrRoad_tech!Q188)</f>
        <v>1.0592292142514734</v>
      </c>
      <c r="R215" s="91">
        <f>IF(TrRoad_act!R76=0,0,TrRoad_emi!R73/TrRoad_tech!R188)</f>
        <v>1.0894358796740817</v>
      </c>
      <c r="S215" s="91">
        <f>IF(TrRoad_act!S76=0,0,TrRoad_emi!S73/TrRoad_tech!S188)</f>
        <v>1.1036922438062418</v>
      </c>
      <c r="T215" s="91">
        <f>IF(TrRoad_act!T76=0,0,TrRoad_emi!T73/TrRoad_tech!T188)</f>
        <v>1.1142957128259012</v>
      </c>
      <c r="U215" s="91">
        <f>IF(TrRoad_act!U76=0,0,TrRoad_emi!U73/TrRoad_tech!U188)</f>
        <v>1.1328305821279478</v>
      </c>
      <c r="V215" s="91">
        <f>IF(TrRoad_act!V76=0,0,TrRoad_emi!V73/TrRoad_tech!V188)</f>
        <v>1.1390789678284998</v>
      </c>
      <c r="W215" s="91">
        <f>IF(TrRoad_act!W76=0,0,TrRoad_emi!W73/TrRoad_tech!W188)</f>
        <v>1.1245207426310766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1.1000040332187051</v>
      </c>
      <c r="D216" s="91">
        <f>IF(TrRoad_act!D77=0,0,TrRoad_emi!D74/TrRoad_tech!D189)</f>
        <v>1.1000105542093912</v>
      </c>
      <c r="E216" s="91">
        <f>IF(TrRoad_act!E77=0,0,TrRoad_emi!E74/TrRoad_tech!E189)</f>
        <v>1.1000451046673216</v>
      </c>
      <c r="F216" s="91">
        <f>IF(TrRoad_act!F77=0,0,TrRoad_emi!F74/TrRoad_tech!F189)</f>
        <v>1.1000511220717109</v>
      </c>
      <c r="G216" s="91">
        <f>IF(TrRoad_act!G77=0,0,TrRoad_emi!G74/TrRoad_tech!G189)</f>
        <v>1.1001092367076313</v>
      </c>
      <c r="H216" s="91">
        <f>IF(TrRoad_act!H77=0,0,TrRoad_emi!H74/TrRoad_tech!H189)</f>
        <v>1.1005277329046803</v>
      </c>
      <c r="I216" s="91">
        <f>IF(TrRoad_act!I77=0,0,TrRoad_emi!I74/TrRoad_tech!I189)</f>
        <v>1.1014654083663791</v>
      </c>
      <c r="J216" s="91">
        <f>IF(TrRoad_act!J77=0,0,TrRoad_emi!J74/TrRoad_tech!J189)</f>
        <v>1.1028063424245298</v>
      </c>
      <c r="K216" s="91">
        <f>IF(TrRoad_act!K77=0,0,TrRoad_emi!K74/TrRoad_tech!K189)</f>
        <v>1.1048685105251774</v>
      </c>
      <c r="L216" s="91">
        <f>IF(TrRoad_act!L77=0,0,TrRoad_emi!L74/TrRoad_tech!L189)</f>
        <v>1.1066183627174753</v>
      </c>
      <c r="M216" s="91">
        <f>IF(TrRoad_act!M77=0,0,TrRoad_emi!M74/TrRoad_tech!M189)</f>
        <v>1.1090373501099835</v>
      </c>
      <c r="N216" s="91">
        <f>IF(TrRoad_act!N77=0,0,TrRoad_emi!N74/TrRoad_tech!N189)</f>
        <v>1.1115615959117351</v>
      </c>
      <c r="O216" s="91">
        <f>IF(TrRoad_act!O77=0,0,TrRoad_emi!O74/TrRoad_tech!O189)</f>
        <v>1.11296984991173</v>
      </c>
      <c r="P216" s="91">
        <f>IF(TrRoad_act!P77=0,0,TrRoad_emi!P74/TrRoad_tech!P189)</f>
        <v>1.123244334879427</v>
      </c>
      <c r="Q216" s="91">
        <f>IF(TrRoad_act!Q77=0,0,TrRoad_emi!Q74/TrRoad_tech!Q189)</f>
        <v>1.1344958679320625</v>
      </c>
      <c r="R216" s="91">
        <f>IF(TrRoad_act!R77=0,0,TrRoad_emi!R74/TrRoad_tech!R189)</f>
        <v>1.1389506875283244</v>
      </c>
      <c r="S216" s="91">
        <f>IF(TrRoad_act!S77=0,0,TrRoad_emi!S74/TrRoad_tech!S189)</f>
        <v>1.1515506572490997</v>
      </c>
      <c r="T216" s="91">
        <f>IF(TrRoad_act!T77=0,0,TrRoad_emi!T74/TrRoad_tech!T189)</f>
        <v>1.1618398498934084</v>
      </c>
      <c r="U216" s="91">
        <f>IF(TrRoad_act!U77=0,0,TrRoad_emi!U74/TrRoad_tech!U189)</f>
        <v>1.1937856600957035</v>
      </c>
      <c r="V216" s="91">
        <f>IF(TrRoad_act!V77=0,0,TrRoad_emi!V74/TrRoad_tech!V189)</f>
        <v>1.2028455041714154</v>
      </c>
      <c r="W216" s="91">
        <f>IF(TrRoad_act!W77=0,0,TrRoad_emi!W74/TrRoad_tech!W189)</f>
        <v>1.2057142966383212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1.2560000000062248</v>
      </c>
      <c r="P217" s="91">
        <f>IF(TrRoad_act!P78=0,0,TrRoad_emi!P75/TrRoad_tech!P190)</f>
        <v>1.2691527600124439</v>
      </c>
      <c r="Q217" s="91">
        <f>IF(TrRoad_act!Q78=0,0,TrRoad_emi!Q75/TrRoad_tech!Q190)</f>
        <v>1.282981281895732</v>
      </c>
      <c r="R217" s="91">
        <f>IF(TrRoad_act!R78=0,0,TrRoad_emi!R75/TrRoad_tech!R190)</f>
        <v>1.3044672500237544</v>
      </c>
      <c r="S217" s="91">
        <f>IF(TrRoad_act!S78=0,0,TrRoad_emi!S75/TrRoad_tech!S190)</f>
        <v>1.3077832655948014</v>
      </c>
      <c r="T217" s="91">
        <f>IF(TrRoad_act!T78=0,0,TrRoad_emi!T75/TrRoad_tech!T190)</f>
        <v>1.3212844983796734</v>
      </c>
      <c r="U217" s="91">
        <f>IF(TrRoad_act!U78=0,0,TrRoad_emi!U75/TrRoad_tech!U190)</f>
        <v>1.3343209581309932</v>
      </c>
      <c r="V217" s="91">
        <f>IF(TrRoad_act!V78=0,0,TrRoad_emi!V75/TrRoad_tech!V190)</f>
        <v>1.3363826964462171</v>
      </c>
      <c r="W217" s="91">
        <f>IF(TrRoad_act!W78=0,0,TrRoad_emi!W75/TrRoad_tech!W190)</f>
        <v>1.3451430126674246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1.0873361582573939</v>
      </c>
      <c r="C219" s="151">
        <f>IF(TrRoad_act!C80=0,0,TrRoad_emi!C77/TrRoad_tech!C192)</f>
        <v>1.1439386329452905</v>
      </c>
      <c r="D219" s="151">
        <f>IF(TrRoad_act!D80=0,0,TrRoad_emi!D77/TrRoad_tech!D192)</f>
        <v>1.1752073922254178</v>
      </c>
      <c r="E219" s="151">
        <f>IF(TrRoad_act!E80=0,0,TrRoad_emi!E77/TrRoad_tech!E192)</f>
        <v>1.4007034697448457</v>
      </c>
      <c r="F219" s="151">
        <f>IF(TrRoad_act!F80=0,0,TrRoad_emi!F77/TrRoad_tech!F192)</f>
        <v>1.3859907721668372</v>
      </c>
      <c r="G219" s="151">
        <f>IF(TrRoad_act!G80=0,0,TrRoad_emi!G77/TrRoad_tech!G192)</f>
        <v>1.3786106122513533</v>
      </c>
      <c r="H219" s="151">
        <f>IF(TrRoad_act!H80=0,0,TrRoad_emi!H77/TrRoad_tech!H192)</f>
        <v>1.3751656910955277</v>
      </c>
      <c r="I219" s="151">
        <f>IF(TrRoad_act!I80=0,0,TrRoad_emi!I77/TrRoad_tech!I192)</f>
        <v>1.3699716617691444</v>
      </c>
      <c r="J219" s="151">
        <f>IF(TrRoad_act!J80=0,0,TrRoad_emi!J77/TrRoad_tech!J192)</f>
        <v>1.4260129330474496</v>
      </c>
      <c r="K219" s="151">
        <f>IF(TrRoad_act!K80=0,0,TrRoad_emi!K77/TrRoad_tech!K192)</f>
        <v>1.4351342182656317</v>
      </c>
      <c r="L219" s="151">
        <f>IF(TrRoad_act!L80=0,0,TrRoad_emi!L77/TrRoad_tech!L192)</f>
        <v>1.431191700439735</v>
      </c>
      <c r="M219" s="151">
        <f>IF(TrRoad_act!M80=0,0,TrRoad_emi!M77/TrRoad_tech!M192)</f>
        <v>1.413087866865393</v>
      </c>
      <c r="N219" s="151">
        <f>IF(TrRoad_act!N80=0,0,TrRoad_emi!N77/TrRoad_tech!N192)</f>
        <v>1.6050165312384221</v>
      </c>
      <c r="O219" s="151">
        <f>IF(TrRoad_act!O80=0,0,TrRoad_emi!O77/TrRoad_tech!O192)</f>
        <v>1.6285696322956147</v>
      </c>
      <c r="P219" s="151">
        <f>IF(TrRoad_act!P80=0,0,TrRoad_emi!P77/TrRoad_tech!P192)</f>
        <v>1.5994343901030896</v>
      </c>
      <c r="Q219" s="151">
        <f>IF(TrRoad_act!Q80=0,0,TrRoad_emi!Q77/TrRoad_tech!Q192)</f>
        <v>1.5046313855014368</v>
      </c>
      <c r="R219" s="151">
        <f>IF(TrRoad_act!R80=0,0,TrRoad_emi!R77/TrRoad_tech!R192)</f>
        <v>1.5838471397132692</v>
      </c>
      <c r="S219" s="151">
        <f>IF(TrRoad_act!S80=0,0,TrRoad_emi!S77/TrRoad_tech!S192)</f>
        <v>1.5941716796076211</v>
      </c>
      <c r="T219" s="151">
        <f>IF(TrRoad_act!T80=0,0,TrRoad_emi!T77/TrRoad_tech!T192)</f>
        <v>1.6100211846107615</v>
      </c>
      <c r="U219" s="151">
        <f>IF(TrRoad_act!U80=0,0,TrRoad_emi!U77/TrRoad_tech!U192)</f>
        <v>1.7242986688718906</v>
      </c>
      <c r="V219" s="151">
        <f>IF(TrRoad_act!V80=0,0,TrRoad_emi!V77/TrRoad_tech!V192)</f>
        <v>1.774888600367841</v>
      </c>
      <c r="W219" s="151">
        <f>IF(TrRoad_act!W80=0,0,TrRoad_emi!W77/TrRoad_tech!W192)</f>
        <v>1.7107756237653047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1.1281999037096369</v>
      </c>
      <c r="C220" s="93">
        <f>IF(TrRoad_act!C81=0,0,TrRoad_emi!C78/TrRoad_tech!C193)</f>
        <v>1.1928435145656124</v>
      </c>
      <c r="D220" s="93">
        <f>IF(TrRoad_act!D81=0,0,TrRoad_emi!D78/TrRoad_tech!D193)</f>
        <v>1.2241567240438345</v>
      </c>
      <c r="E220" s="93">
        <f>IF(TrRoad_act!E81=0,0,TrRoad_emi!E78/TrRoad_tech!E193)</f>
        <v>1.460885551364254</v>
      </c>
      <c r="F220" s="93">
        <f>IF(TrRoad_act!F81=0,0,TrRoad_emi!F78/TrRoad_tech!F193)</f>
        <v>1.4524784284280252</v>
      </c>
      <c r="G220" s="93">
        <f>IF(TrRoad_act!G81=0,0,TrRoad_emi!G78/TrRoad_tech!G193)</f>
        <v>1.4466340318683935</v>
      </c>
      <c r="H220" s="93">
        <f>IF(TrRoad_act!H81=0,0,TrRoad_emi!H78/TrRoad_tech!H193)</f>
        <v>1.4425090612936096</v>
      </c>
      <c r="I220" s="93">
        <f>IF(TrRoad_act!I81=0,0,TrRoad_emi!I78/TrRoad_tech!I193)</f>
        <v>1.4360909856157051</v>
      </c>
      <c r="J220" s="93">
        <f>IF(TrRoad_act!J81=0,0,TrRoad_emi!J78/TrRoad_tech!J193)</f>
        <v>1.495410625366334</v>
      </c>
      <c r="K220" s="93">
        <f>IF(TrRoad_act!K81=0,0,TrRoad_emi!K78/TrRoad_tech!K193)</f>
        <v>1.4988151962761638</v>
      </c>
      <c r="L220" s="93">
        <f>IF(TrRoad_act!L81=0,0,TrRoad_emi!L78/TrRoad_tech!L193)</f>
        <v>1.4977736030500379</v>
      </c>
      <c r="M220" s="93">
        <f>IF(TrRoad_act!M81=0,0,TrRoad_emi!M78/TrRoad_tech!M193)</f>
        <v>1.4749113677578274</v>
      </c>
      <c r="N220" s="93">
        <f>IF(TrRoad_act!N81=0,0,TrRoad_emi!N78/TrRoad_tech!N193)</f>
        <v>1.6711597274585239</v>
      </c>
      <c r="O220" s="93">
        <f>IF(TrRoad_act!O81=0,0,TrRoad_emi!O78/TrRoad_tech!O193)</f>
        <v>1.6841753666620569</v>
      </c>
      <c r="P220" s="93">
        <f>IF(TrRoad_act!P81=0,0,TrRoad_emi!P78/TrRoad_tech!P193)</f>
        <v>1.6459103658368972</v>
      </c>
      <c r="Q220" s="93">
        <f>IF(TrRoad_act!Q81=0,0,TrRoad_emi!Q78/TrRoad_tech!Q193)</f>
        <v>1.5595325943911804</v>
      </c>
      <c r="R220" s="93">
        <f>IF(TrRoad_act!R81=0,0,TrRoad_emi!R78/TrRoad_tech!R193)</f>
        <v>1.6341173902158082</v>
      </c>
      <c r="S220" s="93">
        <f>IF(TrRoad_act!S81=0,0,TrRoad_emi!S78/TrRoad_tech!S193)</f>
        <v>1.6424500806130773</v>
      </c>
      <c r="T220" s="93">
        <f>IF(TrRoad_act!T81=0,0,TrRoad_emi!T78/TrRoad_tech!T193)</f>
        <v>1.6532331323288758</v>
      </c>
      <c r="U220" s="93">
        <f>IF(TrRoad_act!U81=0,0,TrRoad_emi!U78/TrRoad_tech!U193)</f>
        <v>1.7638579961450234</v>
      </c>
      <c r="V220" s="93">
        <f>IF(TrRoad_act!V81=0,0,TrRoad_emi!V78/TrRoad_tech!V193)</f>
        <v>1.8130274453405755</v>
      </c>
      <c r="W220" s="93">
        <f>IF(TrRoad_act!W81=0,0,TrRoad_emi!W78/TrRoad_tech!W193)</f>
        <v>1.7406708708096652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1.1281999037096371</v>
      </c>
      <c r="C221" s="94">
        <f>IF(TrRoad_act!C82=0,0,TrRoad_emi!C79/TrRoad_tech!C194)</f>
        <v>1.1933778342914361</v>
      </c>
      <c r="D221" s="94">
        <f>IF(TrRoad_act!D82=0,0,TrRoad_emi!D79/TrRoad_tech!D194)</f>
        <v>1.2261679348425061</v>
      </c>
      <c r="E221" s="94">
        <f>IF(TrRoad_act!E82=0,0,TrRoad_emi!E79/TrRoad_tech!E194)</f>
        <v>1.4663239511191222</v>
      </c>
      <c r="F221" s="94">
        <f>IF(TrRoad_act!F82=0,0,TrRoad_emi!F79/TrRoad_tech!F194)</f>
        <v>1.463174772614132</v>
      </c>
      <c r="G221" s="94">
        <f>IF(TrRoad_act!G82=0,0,TrRoad_emi!G79/TrRoad_tech!G194)</f>
        <v>1.460453399539251</v>
      </c>
      <c r="H221" s="94">
        <f>IF(TrRoad_act!H82=0,0,TrRoad_emi!H79/TrRoad_tech!H194)</f>
        <v>1.4608307394583377</v>
      </c>
      <c r="I221" s="94">
        <f>IF(TrRoad_act!I82=0,0,TrRoad_emi!I79/TrRoad_tech!I194)</f>
        <v>1.4597656737192628</v>
      </c>
      <c r="J221" s="94">
        <f>IF(TrRoad_act!J82=0,0,TrRoad_emi!J79/TrRoad_tech!J194)</f>
        <v>1.5167442816689116</v>
      </c>
      <c r="K221" s="94">
        <f>IF(TrRoad_act!K82=0,0,TrRoad_emi!K79/TrRoad_tech!K194)</f>
        <v>1.5246800567959096</v>
      </c>
      <c r="L221" s="94">
        <f>IF(TrRoad_act!L82=0,0,TrRoad_emi!L79/TrRoad_tech!L194)</f>
        <v>1.5213003735951693</v>
      </c>
      <c r="M221" s="94">
        <f>IF(TrRoad_act!M82=0,0,TrRoad_emi!M79/TrRoad_tech!M194)</f>
        <v>1.5128820821194999</v>
      </c>
      <c r="N221" s="94">
        <f>IF(TrRoad_act!N82=0,0,TrRoad_emi!N79/TrRoad_tech!N194)</f>
        <v>1.7050729728744751</v>
      </c>
      <c r="O221" s="94">
        <f>IF(TrRoad_act!O82=0,0,TrRoad_emi!O79/TrRoad_tech!O194)</f>
        <v>1.749090247679808</v>
      </c>
      <c r="P221" s="94">
        <f>IF(TrRoad_act!P82=0,0,TrRoad_emi!P79/TrRoad_tech!P194)</f>
        <v>1.7134155901183765</v>
      </c>
      <c r="Q221" s="94">
        <f>IF(TrRoad_act!Q82=0,0,TrRoad_emi!Q79/TrRoad_tech!Q194)</f>
        <v>1.6167448796320287</v>
      </c>
      <c r="R221" s="94">
        <f>IF(TrRoad_act!R82=0,0,TrRoad_emi!R79/TrRoad_tech!R194)</f>
        <v>1.7052561813214042</v>
      </c>
      <c r="S221" s="94">
        <f>IF(TrRoad_act!S82=0,0,TrRoad_emi!S79/TrRoad_tech!S194)</f>
        <v>1.7134983838598103</v>
      </c>
      <c r="T221" s="94">
        <f>IF(TrRoad_act!T82=0,0,TrRoad_emi!T79/TrRoad_tech!T194)</f>
        <v>1.730913711106506</v>
      </c>
      <c r="U221" s="94">
        <f>IF(TrRoad_act!U82=0,0,TrRoad_emi!U79/TrRoad_tech!U194)</f>
        <v>1.8416915871053723</v>
      </c>
      <c r="V221" s="94">
        <f>IF(TrRoad_act!V82=0,0,TrRoad_emi!V79/TrRoad_tech!V194)</f>
        <v>1.885415837074385</v>
      </c>
      <c r="W221" s="94">
        <f>IF(TrRoad_act!W82=0,0,TrRoad_emi!W79/TrRoad_tech!W194)</f>
        <v>1.854890274404932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95.936624251427006</v>
      </c>
      <c r="C225" s="152">
        <v>94.627400926042213</v>
      </c>
      <c r="D225" s="152">
        <v>93.193652427162775</v>
      </c>
      <c r="E225" s="152">
        <v>93.193652427162775</v>
      </c>
      <c r="F225" s="152">
        <v>91.75990392828335</v>
      </c>
      <c r="G225" s="152">
        <v>90.32615542940394</v>
      </c>
      <c r="H225" s="152">
        <v>87.458658431645077</v>
      </c>
      <c r="I225" s="152">
        <v>87.458658431645077</v>
      </c>
      <c r="J225" s="152">
        <v>86.024909932765624</v>
      </c>
      <c r="K225" s="152">
        <v>81.28985258648747</v>
      </c>
      <c r="L225" s="152">
        <v>78.333296212258176</v>
      </c>
      <c r="M225" s="152">
        <v>75.629686126252793</v>
      </c>
      <c r="N225" s="152">
        <v>72.730090868463606</v>
      </c>
      <c r="O225" s="152">
        <v>69.723915959741205</v>
      </c>
      <c r="P225" s="152">
        <v>67.988519661221886</v>
      </c>
      <c r="Q225" s="152">
        <v>66.725921003134303</v>
      </c>
      <c r="R225" s="152">
        <v>66.304655214630415</v>
      </c>
      <c r="S225" s="152">
        <v>65.967642583827285</v>
      </c>
      <c r="T225" s="152">
        <v>65.698032479184775</v>
      </c>
      <c r="U225" s="152">
        <v>65.48234439547079</v>
      </c>
      <c r="V225" s="152">
        <v>65.309793928499587</v>
      </c>
      <c r="W225" s="152">
        <v>65.171753554922617</v>
      </c>
      <c r="DA225" s="174" t="s">
        <v>931</v>
      </c>
    </row>
    <row r="226" spans="1:105" ht="11.45" customHeight="1" x14ac:dyDescent="0.25">
      <c r="A226" s="109" t="s">
        <v>20</v>
      </c>
      <c r="B226" s="116">
        <v>198.31806413056424</v>
      </c>
      <c r="C226" s="116">
        <v>195.48661287455948</v>
      </c>
      <c r="D226" s="116">
        <v>192.79734980972543</v>
      </c>
      <c r="E226" s="116">
        <v>190.19035178071104</v>
      </c>
      <c r="F226" s="116">
        <v>186.98222009648421</v>
      </c>
      <c r="G226" s="116">
        <v>186.02202067719233</v>
      </c>
      <c r="H226" s="116">
        <v>186.4823932583231</v>
      </c>
      <c r="I226" s="116">
        <v>187.12920138036404</v>
      </c>
      <c r="J226" s="116">
        <v>178.65029982152052</v>
      </c>
      <c r="K226" s="116">
        <v>170.15854992709544</v>
      </c>
      <c r="L226" s="116">
        <v>162.76795459290406</v>
      </c>
      <c r="M226" s="116">
        <v>159.1343979261658</v>
      </c>
      <c r="N226" s="116">
        <v>152.08806437388114</v>
      </c>
      <c r="O226" s="116">
        <v>145.75564109011941</v>
      </c>
      <c r="P226" s="116">
        <v>141.1426772236982</v>
      </c>
      <c r="Q226" s="116">
        <v>137.12489171935619</v>
      </c>
      <c r="R226" s="116">
        <v>135.48257556124466</v>
      </c>
      <c r="S226" s="116">
        <v>135.01168323837013</v>
      </c>
      <c r="T226" s="116">
        <v>135.55436394952986</v>
      </c>
      <c r="U226" s="116">
        <v>129.75127481333877</v>
      </c>
      <c r="V226" s="116">
        <v>121.31555663798341</v>
      </c>
      <c r="W226" s="116">
        <v>112.09063809768702</v>
      </c>
      <c r="DA226" s="176" t="s">
        <v>932</v>
      </c>
    </row>
    <row r="227" spans="1:105" ht="11.45" customHeight="1" x14ac:dyDescent="0.25">
      <c r="A227" s="111" t="s">
        <v>110</v>
      </c>
      <c r="B227" s="87">
        <v>196.10590722162993</v>
      </c>
      <c r="C227" s="87">
        <v>193.42969852673747</v>
      </c>
      <c r="D227" s="87">
        <v>190.49894551875661</v>
      </c>
      <c r="E227" s="87">
        <v>190.49894551875661</v>
      </c>
      <c r="F227" s="87">
        <v>187.56819251077573</v>
      </c>
      <c r="G227" s="87">
        <v>184.63743950279479</v>
      </c>
      <c r="H227" s="87">
        <v>178.77593348683305</v>
      </c>
      <c r="I227" s="87">
        <v>178.77593348683305</v>
      </c>
      <c r="J227" s="87">
        <v>175.84518047885217</v>
      </c>
      <c r="K227" s="87">
        <v>166.16615827139202</v>
      </c>
      <c r="L227" s="87">
        <v>160.12260426327293</v>
      </c>
      <c r="M227" s="87">
        <v>154.59610265008166</v>
      </c>
      <c r="N227" s="87">
        <v>148.64497680177041</v>
      </c>
      <c r="O227" s="87">
        <v>141.22057872810021</v>
      </c>
      <c r="P227" s="87">
        <v>137.78640926423256</v>
      </c>
      <c r="Q227" s="87">
        <v>134.46142968736223</v>
      </c>
      <c r="R227" s="87">
        <v>133.68820416259476</v>
      </c>
      <c r="S227" s="87">
        <v>133.2113639408484</v>
      </c>
      <c r="T227" s="87">
        <v>136.7320290832771</v>
      </c>
      <c r="U227" s="87">
        <v>138.0395670944267</v>
      </c>
      <c r="V227" s="87">
        <v>133.3621563591395</v>
      </c>
      <c r="W227" s="87">
        <v>128.47767336316201</v>
      </c>
      <c r="DA227" s="171" t="s">
        <v>933</v>
      </c>
    </row>
    <row r="228" spans="1:105" ht="11.45" customHeight="1" x14ac:dyDescent="0.25">
      <c r="A228" s="111" t="s">
        <v>111</v>
      </c>
      <c r="B228" s="87">
        <v>203.88420714074374</v>
      </c>
      <c r="C228" s="87">
        <v>200.66214060201312</v>
      </c>
      <c r="D228" s="87">
        <v>197.14175217039889</v>
      </c>
      <c r="E228" s="87">
        <v>190.10097530717039</v>
      </c>
      <c r="F228" s="87">
        <v>186.58058687555612</v>
      </c>
      <c r="G228" s="87">
        <v>187.13328785931955</v>
      </c>
      <c r="H228" s="87">
        <v>190.59382968759638</v>
      </c>
      <c r="I228" s="87">
        <v>190.82969571251456</v>
      </c>
      <c r="J228" s="87">
        <v>180.31781585571431</v>
      </c>
      <c r="K228" s="87">
        <v>173.23170405495156</v>
      </c>
      <c r="L228" s="87">
        <v>166.57763232703113</v>
      </c>
      <c r="M228" s="87">
        <v>161.39727220848289</v>
      </c>
      <c r="N228" s="87">
        <v>154.17485410340515</v>
      </c>
      <c r="O228" s="87">
        <v>147.59201338484158</v>
      </c>
      <c r="P228" s="87">
        <v>142.84132473092149</v>
      </c>
      <c r="Q228" s="87">
        <v>138.94351161174924</v>
      </c>
      <c r="R228" s="87">
        <v>137.82711650881404</v>
      </c>
      <c r="S228" s="87">
        <v>139.29614451180311</v>
      </c>
      <c r="T228" s="87">
        <v>142.92163247915269</v>
      </c>
      <c r="U228" s="87">
        <v>138.0724038596656</v>
      </c>
      <c r="V228" s="87">
        <v>132.9842865232163</v>
      </c>
      <c r="W228" s="87">
        <v>131.23798942394239</v>
      </c>
      <c r="DA228" s="171" t="s">
        <v>934</v>
      </c>
    </row>
    <row r="229" spans="1:105" ht="11.45" customHeight="1" x14ac:dyDescent="0.25">
      <c r="A229" s="111" t="s">
        <v>112</v>
      </c>
      <c r="B229" s="87">
        <v>152.09582662776114</v>
      </c>
      <c r="C229" s="87">
        <v>0</v>
      </c>
      <c r="D229" s="87">
        <v>0</v>
      </c>
      <c r="E229" s="87">
        <v>164.89558773843598</v>
      </c>
      <c r="F229" s="87">
        <v>161.84196574327973</v>
      </c>
      <c r="G229" s="87">
        <v>162.32138439651925</v>
      </c>
      <c r="H229" s="87">
        <v>0</v>
      </c>
      <c r="I229" s="87">
        <v>0</v>
      </c>
      <c r="J229" s="87">
        <v>156.40957221389689</v>
      </c>
      <c r="K229" s="87">
        <v>150.26300422139181</v>
      </c>
      <c r="L229" s="87">
        <v>154.40730747819802</v>
      </c>
      <c r="M229" s="87">
        <v>139.99769342158928</v>
      </c>
      <c r="N229" s="87">
        <v>139.93794415493477</v>
      </c>
      <c r="O229" s="87">
        <v>144.69864684713966</v>
      </c>
      <c r="P229" s="87">
        <v>143.80951953181213</v>
      </c>
      <c r="Q229" s="87">
        <v>142.78372822006358</v>
      </c>
      <c r="R229" s="87">
        <v>126.74347139606378</v>
      </c>
      <c r="S229" s="87">
        <v>137.43105738674797</v>
      </c>
      <c r="T229" s="87">
        <v>133.92760180995481</v>
      </c>
      <c r="U229" s="87">
        <v>146.22332859174961</v>
      </c>
      <c r="V229" s="87">
        <v>120.5303197353914</v>
      </c>
      <c r="W229" s="87">
        <v>115.471875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176.99089068825904</v>
      </c>
      <c r="M230" s="87">
        <v>0</v>
      </c>
      <c r="N230" s="87">
        <v>132.16852226720644</v>
      </c>
      <c r="O230" s="87">
        <v>130.22909286437243</v>
      </c>
      <c r="P230" s="87">
        <v>110.90662955465582</v>
      </c>
      <c r="Q230" s="87">
        <v>97.197223828802763</v>
      </c>
      <c r="R230" s="87">
        <v>101.56863613360321</v>
      </c>
      <c r="S230" s="87">
        <v>102.86158906882588</v>
      </c>
      <c r="T230" s="87">
        <v>125.97234201725043</v>
      </c>
      <c r="U230" s="87">
        <v>110.78048780487801</v>
      </c>
      <c r="V230" s="87">
        <v>109.1</v>
      </c>
      <c r="W230" s="87">
        <v>106.61290322580641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71.494825607826343</v>
      </c>
      <c r="N231" s="87">
        <v>52.105498706458313</v>
      </c>
      <c r="O231" s="87">
        <v>60.050134736734122</v>
      </c>
      <c r="P231" s="87">
        <v>58.495182816844988</v>
      </c>
      <c r="Q231" s="87">
        <v>58.829237650922565</v>
      </c>
      <c r="R231" s="87">
        <v>57.830752777087127</v>
      </c>
      <c r="S231" s="87">
        <v>58.685693131974041</v>
      </c>
      <c r="T231" s="87">
        <v>59.79399441340783</v>
      </c>
      <c r="U231" s="87">
        <v>51.12380538662034</v>
      </c>
      <c r="V231" s="87">
        <v>42.63371692731387</v>
      </c>
      <c r="W231" s="87">
        <v>36.968662439168263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1476.7967712648842</v>
      </c>
      <c r="C233" s="116">
        <v>1406.433562528606</v>
      </c>
      <c r="D233" s="116">
        <v>1405.3486470879673</v>
      </c>
      <c r="E233" s="116">
        <v>1410.2269539134679</v>
      </c>
      <c r="F233" s="116">
        <v>1442.1150346737743</v>
      </c>
      <c r="G233" s="116">
        <v>1393.3645507144574</v>
      </c>
      <c r="H233" s="116">
        <v>1442.7620565287714</v>
      </c>
      <c r="I233" s="116">
        <v>1403.9402899832971</v>
      </c>
      <c r="J233" s="116">
        <v>1410.7930735011935</v>
      </c>
      <c r="K233" s="116">
        <v>1398.7102920359453</v>
      </c>
      <c r="L233" s="116">
        <v>1376.4230534539813</v>
      </c>
      <c r="M233" s="116">
        <v>1390.4886374423527</v>
      </c>
      <c r="N233" s="116">
        <v>1350.6102595719196</v>
      </c>
      <c r="O233" s="116">
        <v>1352.9214600730302</v>
      </c>
      <c r="P233" s="116">
        <v>1349.6864145390282</v>
      </c>
      <c r="Q233" s="116">
        <v>1338.7078972782124</v>
      </c>
      <c r="R233" s="116">
        <v>1329.9597869611255</v>
      </c>
      <c r="S233" s="116">
        <v>1283.4082251955192</v>
      </c>
      <c r="T233" s="116">
        <v>1098.491175634158</v>
      </c>
      <c r="U233" s="116">
        <v>1252.1859064349371</v>
      </c>
      <c r="V233" s="116">
        <v>1120.5159591512647</v>
      </c>
      <c r="W233" s="116">
        <v>1065.5145533152943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326.38873421774252</v>
      </c>
      <c r="M234" s="101">
        <v>0</v>
      </c>
      <c r="N234" s="101">
        <v>0</v>
      </c>
      <c r="O234" s="101">
        <v>294.69084329005614</v>
      </c>
      <c r="P234" s="101">
        <v>0</v>
      </c>
      <c r="Q234" s="101">
        <v>279.6981415260189</v>
      </c>
      <c r="R234" s="101">
        <v>273.54072369016075</v>
      </c>
      <c r="S234" s="101">
        <v>0</v>
      </c>
      <c r="T234" s="101">
        <v>0</v>
      </c>
      <c r="U234" s="101">
        <v>259.08528155876161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1476.796771264884</v>
      </c>
      <c r="C235" s="101">
        <v>1471.7033916760086</v>
      </c>
      <c r="D235" s="101">
        <v>1466.0646813630733</v>
      </c>
      <c r="E235" s="101">
        <v>1466.0646813630733</v>
      </c>
      <c r="F235" s="101">
        <v>1460.3601495289759</v>
      </c>
      <c r="G235" s="101">
        <v>1454.5879750249089</v>
      </c>
      <c r="H235" s="101">
        <v>1442.7620565287714</v>
      </c>
      <c r="I235" s="101">
        <v>1442.7620565287714</v>
      </c>
      <c r="J235" s="101">
        <v>1436.7754919788595</v>
      </c>
      <c r="K235" s="101">
        <v>1416.1530959870786</v>
      </c>
      <c r="L235" s="101">
        <v>1402.9154347002091</v>
      </c>
      <c r="M235" s="101">
        <v>1390.4886374423527</v>
      </c>
      <c r="N235" s="101">
        <v>1376.7664441763054</v>
      </c>
      <c r="O235" s="101">
        <v>1357.4438131362051</v>
      </c>
      <c r="P235" s="101">
        <v>1349.9652153555635</v>
      </c>
      <c r="Q235" s="101">
        <v>1340.2449215971562</v>
      </c>
      <c r="R235" s="101">
        <v>1331.5565130845823</v>
      </c>
      <c r="S235" s="101">
        <v>1323.7851131791983</v>
      </c>
      <c r="T235" s="101">
        <v>1316.8296405728283</v>
      </c>
      <c r="U235" s="101">
        <v>1310.6009672459149</v>
      </c>
      <c r="V235" s="101">
        <v>1305.0203551973295</v>
      </c>
      <c r="W235" s="101">
        <v>1300.0181242273395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995.54615305424227</v>
      </c>
      <c r="M236" s="101">
        <v>0</v>
      </c>
      <c r="N236" s="101">
        <v>0</v>
      </c>
      <c r="O236" s="101">
        <v>0</v>
      </c>
      <c r="P236" s="101">
        <v>957.97126730697312</v>
      </c>
      <c r="Q236" s="101">
        <v>0</v>
      </c>
      <c r="R236" s="101">
        <v>944.53516075059895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928.50382673216461</v>
      </c>
      <c r="D237" s="101">
        <v>924.94634080598769</v>
      </c>
      <c r="E237" s="101">
        <v>924.94634080598769</v>
      </c>
      <c r="F237" s="101">
        <v>921.34732780674256</v>
      </c>
      <c r="G237" s="101">
        <v>917.70563876402832</v>
      </c>
      <c r="H237" s="101">
        <v>0</v>
      </c>
      <c r="I237" s="101">
        <v>910.24461731066208</v>
      </c>
      <c r="J237" s="101">
        <v>906.4676686911157</v>
      </c>
      <c r="K237" s="101">
        <v>917.44747392967599</v>
      </c>
      <c r="L237" s="101">
        <v>885.10521689925486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830.79332924129176</v>
      </c>
      <c r="U237" s="101">
        <v>826.86363318146437</v>
      </c>
      <c r="V237" s="101">
        <v>823.3428016933218</v>
      </c>
      <c r="W237" s="101">
        <v>820.18687324734276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234.34853555698916</v>
      </c>
      <c r="D240" s="152">
        <v>230.25893277838867</v>
      </c>
      <c r="E240" s="152">
        <v>235.58862604877658</v>
      </c>
      <c r="F240" s="152">
        <v>217.88630040403928</v>
      </c>
      <c r="G240" s="152">
        <v>218.64466613592168</v>
      </c>
      <c r="H240" s="152">
        <v>222.5610598475279</v>
      </c>
      <c r="I240" s="152">
        <v>222.83343840516676</v>
      </c>
      <c r="J240" s="152">
        <v>210.65928088413887</v>
      </c>
      <c r="K240" s="152">
        <v>202.34110025986479</v>
      </c>
      <c r="L240" s="152">
        <v>194.55960042825419</v>
      </c>
      <c r="M240" s="152">
        <v>188.48110223407627</v>
      </c>
      <c r="N240" s="152">
        <v>179.83488521597613</v>
      </c>
      <c r="O240" s="152">
        <v>177.33121263532078</v>
      </c>
      <c r="P240" s="152">
        <v>171.37947186520341</v>
      </c>
      <c r="Q240" s="152">
        <v>174.51435598441466</v>
      </c>
      <c r="R240" s="152">
        <v>169.44913034397123</v>
      </c>
      <c r="S240" s="152">
        <v>162.39378303569191</v>
      </c>
      <c r="T240" s="152">
        <v>163.03027995670251</v>
      </c>
      <c r="U240" s="152">
        <v>164.03398943671658</v>
      </c>
      <c r="V240" s="152">
        <v>175.96332937691656</v>
      </c>
      <c r="W240" s="152">
        <v>172.85307254448864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237.17180057706611</v>
      </c>
      <c r="D241" s="87">
        <v>233.57828844711059</v>
      </c>
      <c r="E241" s="87">
        <v>233.57828844711059</v>
      </c>
      <c r="F241" s="87">
        <v>0</v>
      </c>
      <c r="G241" s="87">
        <v>226.39126418719943</v>
      </c>
      <c r="H241" s="87">
        <v>219.20423992728831</v>
      </c>
      <c r="I241" s="87">
        <v>219.20423992728828</v>
      </c>
      <c r="J241" s="87">
        <v>215.61072779733274</v>
      </c>
      <c r="K241" s="87">
        <v>203.74289601010892</v>
      </c>
      <c r="L241" s="87">
        <v>196.3326555097743</v>
      </c>
      <c r="M241" s="87">
        <v>0</v>
      </c>
      <c r="N241" s="87">
        <v>182.28891883957402</v>
      </c>
      <c r="O241" s="87">
        <v>0</v>
      </c>
      <c r="P241" s="87">
        <v>187.25986307911833</v>
      </c>
      <c r="Q241" s="87">
        <v>235.61152775183035</v>
      </c>
      <c r="R241" s="87">
        <v>139.71350242126084</v>
      </c>
      <c r="S241" s="87">
        <v>145.39711383632689</v>
      </c>
      <c r="T241" s="87">
        <v>148.31125641641532</v>
      </c>
      <c r="U241" s="87">
        <v>136.19101123595499</v>
      </c>
      <c r="V241" s="87">
        <v>141.358024691358</v>
      </c>
      <c r="W241" s="87">
        <v>160.0735294117647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234.32429989370092</v>
      </c>
      <c r="D242" s="87">
        <v>230.21334726398686</v>
      </c>
      <c r="E242" s="87">
        <v>0</v>
      </c>
      <c r="F242" s="87">
        <v>217.88048937484476</v>
      </c>
      <c r="G242" s="87">
        <v>218.52590893770983</v>
      </c>
      <c r="H242" s="87">
        <v>222.5669753727187</v>
      </c>
      <c r="I242" s="87">
        <v>222.84240919890962</v>
      </c>
      <c r="J242" s="87">
        <v>210.56710464658343</v>
      </c>
      <c r="K242" s="87">
        <v>202.29225926867278</v>
      </c>
      <c r="L242" s="87">
        <v>194.52193102234838</v>
      </c>
      <c r="M242" s="87">
        <v>188.47253747788639</v>
      </c>
      <c r="N242" s="87">
        <v>180.0385196759517</v>
      </c>
      <c r="O242" s="87">
        <v>177.51894058945675</v>
      </c>
      <c r="P242" s="87">
        <v>171.36722552811455</v>
      </c>
      <c r="Q242" s="87">
        <v>172.73929150781902</v>
      </c>
      <c r="R242" s="87">
        <v>169.70016760389689</v>
      </c>
      <c r="S242" s="87">
        <v>163.30681901678724</v>
      </c>
      <c r="T242" s="87">
        <v>163.86188984858259</v>
      </c>
      <c r="U242" s="87">
        <v>165.0273631840796</v>
      </c>
      <c r="V242" s="87">
        <v>178.80448079710459</v>
      </c>
      <c r="W242" s="87">
        <v>174.77440199068869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300.04006684880346</v>
      </c>
      <c r="D243" s="87">
        <v>294.77620602689456</v>
      </c>
      <c r="E243" s="87">
        <v>284.24848438307691</v>
      </c>
      <c r="F243" s="87">
        <v>278.98462356116812</v>
      </c>
      <c r="G243" s="87">
        <v>279.81104971020778</v>
      </c>
      <c r="H243" s="87">
        <v>284.98542489814423</v>
      </c>
      <c r="I243" s="87">
        <v>285.33810357321227</v>
      </c>
      <c r="J243" s="87">
        <v>269.62021515899244</v>
      </c>
      <c r="K243" s="87">
        <v>259.02470644957504</v>
      </c>
      <c r="L243" s="87">
        <v>249.07520566147099</v>
      </c>
      <c r="M243" s="87">
        <v>241.32927216546346</v>
      </c>
      <c r="N243" s="87">
        <v>241.22627584687098</v>
      </c>
      <c r="O243" s="87">
        <v>168.9790691127796</v>
      </c>
      <c r="P243" s="87">
        <v>189.79876591956398</v>
      </c>
      <c r="Q243" s="87">
        <v>190.93528547596856</v>
      </c>
      <c r="R243" s="87">
        <v>113.22127454539894</v>
      </c>
      <c r="S243" s="87">
        <v>159.11273789664045</v>
      </c>
      <c r="T243" s="87">
        <v>162.3017778459548</v>
      </c>
      <c r="U243" s="87">
        <v>149.0382037366881</v>
      </c>
      <c r="V243" s="87">
        <v>0</v>
      </c>
      <c r="W243" s="87">
        <v>202.8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166.12658227848152</v>
      </c>
      <c r="P244" s="87">
        <v>160.90822784810135</v>
      </c>
      <c r="Q244" s="87">
        <v>198.6509945750455</v>
      </c>
      <c r="R244" s="87">
        <v>146.63652802893321</v>
      </c>
      <c r="S244" s="87">
        <v>146.54430379746842</v>
      </c>
      <c r="T244" s="87">
        <v>165.64556962025324</v>
      </c>
      <c r="U244" s="87">
        <v>201.00455696202542</v>
      </c>
      <c r="V244" s="87">
        <v>174.85714285714289</v>
      </c>
      <c r="W244" s="87">
        <v>235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904.463950225811</v>
      </c>
      <c r="D246" s="116">
        <v>912.45686368384008</v>
      </c>
      <c r="E246" s="116">
        <v>942.38079557854633</v>
      </c>
      <c r="F246" s="116">
        <v>897.00259384692868</v>
      </c>
      <c r="G246" s="116">
        <v>880.55009143286713</v>
      </c>
      <c r="H246" s="116">
        <v>872.54192694980395</v>
      </c>
      <c r="I246" s="116">
        <v>863.06113888066204</v>
      </c>
      <c r="J246" s="116">
        <v>826.36925122205025</v>
      </c>
      <c r="K246" s="116">
        <v>828.02608050380695</v>
      </c>
      <c r="L246" s="116">
        <v>803.98526897116858</v>
      </c>
      <c r="M246" s="116">
        <v>824.26985732313699</v>
      </c>
      <c r="N246" s="116">
        <v>765.87833022698658</v>
      </c>
      <c r="O246" s="116">
        <v>850.54248038166986</v>
      </c>
      <c r="P246" s="116">
        <v>742.58898702930367</v>
      </c>
      <c r="Q246" s="116">
        <v>716.79431799511156</v>
      </c>
      <c r="R246" s="116">
        <v>714.59458426492961</v>
      </c>
      <c r="S246" s="116">
        <v>683.22265528668368</v>
      </c>
      <c r="T246" s="116">
        <v>672.2036918206428</v>
      </c>
      <c r="U246" s="116">
        <v>649.63213517836277</v>
      </c>
      <c r="V246" s="116">
        <v>641.83325917666923</v>
      </c>
      <c r="W246" s="116">
        <v>710.7982050296132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830.63796310968644</v>
      </c>
      <c r="D247" s="101">
        <v>825.82865449785743</v>
      </c>
      <c r="E247" s="101">
        <v>819.84017009184902</v>
      </c>
      <c r="F247" s="101">
        <v>812.68772674332752</v>
      </c>
      <c r="G247" s="101">
        <v>804.38937066326116</v>
      </c>
      <c r="H247" s="101">
        <v>794.96586488625212</v>
      </c>
      <c r="I247" s="101">
        <v>784.44056137946495</v>
      </c>
      <c r="J247" s="101">
        <v>772.83925924005518</v>
      </c>
      <c r="K247" s="101">
        <v>760.1900505373851</v>
      </c>
      <c r="L247" s="101">
        <v>746.52315549797356</v>
      </c>
      <c r="M247" s="101">
        <v>731.87074875755025</v>
      </c>
      <c r="N247" s="101">
        <v>716.26677847139229</v>
      </c>
      <c r="O247" s="101">
        <v>699.74678009508352</v>
      </c>
      <c r="P247" s="101">
        <v>682.34768660521013</v>
      </c>
      <c r="Q247" s="101">
        <v>664.10763692979094</v>
      </c>
      <c r="R247" s="101">
        <v>645.50071787273612</v>
      </c>
      <c r="S247" s="101">
        <v>632.47587453279777</v>
      </c>
      <c r="T247" s="101">
        <v>618.79978902586265</v>
      </c>
      <c r="U247" s="101">
        <v>602.08457340627535</v>
      </c>
      <c r="V247" s="101">
        <v>600.25701566724933</v>
      </c>
      <c r="W247" s="101">
        <v>594.25444551057683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4562</v>
      </c>
      <c r="C4" s="28">
        <f t="shared" ref="C4:V4" si="1">SUM(C5,C6,C9)</f>
        <v>4537</v>
      </c>
      <c r="D4" s="28">
        <f t="shared" si="1"/>
        <v>4475</v>
      </c>
      <c r="E4" s="28">
        <f t="shared" si="1"/>
        <v>4523</v>
      </c>
      <c r="F4" s="28">
        <f t="shared" si="1"/>
        <v>4599</v>
      </c>
      <c r="G4" s="28">
        <f t="shared" si="1"/>
        <v>4656.7160000000003</v>
      </c>
      <c r="H4" s="28">
        <f t="shared" si="1"/>
        <v>4863.8</v>
      </c>
      <c r="I4" s="28">
        <f t="shared" si="1"/>
        <v>5036.8900000000003</v>
      </c>
      <c r="J4" s="28">
        <f t="shared" si="1"/>
        <v>5307.7610000000004</v>
      </c>
      <c r="K4" s="28">
        <f t="shared" si="1"/>
        <v>5303.1840000000002</v>
      </c>
      <c r="L4" s="28">
        <f t="shared" si="1"/>
        <v>5244.2330000000002</v>
      </c>
      <c r="M4" s="28">
        <f t="shared" si="1"/>
        <v>5385</v>
      </c>
      <c r="N4" s="28">
        <f t="shared" si="1"/>
        <v>4831.0689999999995</v>
      </c>
      <c r="O4" s="28">
        <f t="shared" si="1"/>
        <v>4590.2960000000003</v>
      </c>
      <c r="P4" s="28">
        <f t="shared" si="1"/>
        <v>4818.5609999999997</v>
      </c>
      <c r="Q4" s="28">
        <f t="shared" si="1"/>
        <v>4965.652</v>
      </c>
      <c r="R4" s="28">
        <f t="shared" si="1"/>
        <v>5327.2989999999991</v>
      </c>
      <c r="S4" s="28">
        <f t="shared" si="1"/>
        <v>5637.0770000000002</v>
      </c>
      <c r="T4" s="28">
        <f t="shared" si="1"/>
        <v>5746</v>
      </c>
      <c r="U4" s="28">
        <f t="shared" si="1"/>
        <v>6346.6639999999998</v>
      </c>
      <c r="V4" s="28">
        <f t="shared" si="1"/>
        <v>3228.5</v>
      </c>
      <c r="W4" s="28">
        <f t="shared" ref="W4" si="2">SUM(W5,W6,W9)</f>
        <v>3561.654</v>
      </c>
      <c r="DA4" s="173" t="s">
        <v>375</v>
      </c>
    </row>
    <row r="5" spans="1:105" ht="11.45" customHeight="1" x14ac:dyDescent="0.25">
      <c r="A5" s="107" t="s">
        <v>23</v>
      </c>
      <c r="B5" s="108">
        <v>530</v>
      </c>
      <c r="C5" s="108">
        <v>545</v>
      </c>
      <c r="D5" s="108">
        <v>550</v>
      </c>
      <c r="E5" s="108">
        <v>770</v>
      </c>
      <c r="F5" s="108">
        <v>847</v>
      </c>
      <c r="G5" s="108">
        <v>847.71600000000001</v>
      </c>
      <c r="H5" s="108">
        <v>987.8</v>
      </c>
      <c r="I5" s="108">
        <v>1049.8900000000001</v>
      </c>
      <c r="J5" s="108">
        <v>1094.7610000000002</v>
      </c>
      <c r="K5" s="108">
        <v>1090.184</v>
      </c>
      <c r="L5" s="108">
        <v>1133.2329999999999</v>
      </c>
      <c r="M5" s="108">
        <v>1148</v>
      </c>
      <c r="N5" s="108">
        <v>1028.069</v>
      </c>
      <c r="O5" s="108">
        <v>941.29599999999994</v>
      </c>
      <c r="P5" s="108">
        <v>966.56100000000004</v>
      </c>
      <c r="Q5" s="108">
        <v>1008.6520000000002</v>
      </c>
      <c r="R5" s="108">
        <v>1061.299</v>
      </c>
      <c r="S5" s="108">
        <v>1121.077</v>
      </c>
      <c r="T5" s="108">
        <v>1176</v>
      </c>
      <c r="U5" s="108">
        <v>1291.664</v>
      </c>
      <c r="V5" s="108">
        <v>665.5</v>
      </c>
      <c r="W5" s="108">
        <v>649.654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4032</v>
      </c>
      <c r="C6" s="110">
        <f t="shared" ref="C6:V6" si="4">SUM(C7:C8)</f>
        <v>3992</v>
      </c>
      <c r="D6" s="110">
        <f t="shared" si="4"/>
        <v>3925</v>
      </c>
      <c r="E6" s="110">
        <f t="shared" si="4"/>
        <v>3753</v>
      </c>
      <c r="F6" s="110">
        <f t="shared" si="4"/>
        <v>3316</v>
      </c>
      <c r="G6" s="110">
        <f t="shared" si="4"/>
        <v>3319</v>
      </c>
      <c r="H6" s="110">
        <f t="shared" si="4"/>
        <v>3368</v>
      </c>
      <c r="I6" s="110">
        <f t="shared" si="4"/>
        <v>3481</v>
      </c>
      <c r="J6" s="110">
        <f t="shared" si="4"/>
        <v>3688</v>
      </c>
      <c r="K6" s="110">
        <f t="shared" si="4"/>
        <v>3684</v>
      </c>
      <c r="L6" s="110">
        <f t="shared" si="4"/>
        <v>3591.7406019999999</v>
      </c>
      <c r="M6" s="110">
        <f t="shared" si="4"/>
        <v>3771</v>
      </c>
      <c r="N6" s="110">
        <f t="shared" si="4"/>
        <v>3341</v>
      </c>
      <c r="O6" s="110">
        <f t="shared" si="4"/>
        <v>3184</v>
      </c>
      <c r="P6" s="110">
        <f t="shared" si="4"/>
        <v>3314</v>
      </c>
      <c r="Q6" s="110">
        <f t="shared" si="4"/>
        <v>3388</v>
      </c>
      <c r="R6" s="110">
        <f t="shared" si="4"/>
        <v>3651.8899999999994</v>
      </c>
      <c r="S6" s="110">
        <f t="shared" si="4"/>
        <v>3863</v>
      </c>
      <c r="T6" s="110">
        <f t="shared" si="4"/>
        <v>3909</v>
      </c>
      <c r="U6" s="110">
        <f t="shared" si="4"/>
        <v>4359</v>
      </c>
      <c r="V6" s="110">
        <f t="shared" si="4"/>
        <v>2340</v>
      </c>
      <c r="W6" s="110">
        <f t="shared" ref="W6" si="5">SUM(W7:W8)</f>
        <v>2642</v>
      </c>
      <c r="DA6" s="176" t="s">
        <v>377</v>
      </c>
    </row>
    <row r="7" spans="1:105" ht="11.45" customHeight="1" x14ac:dyDescent="0.25">
      <c r="A7" s="111" t="s">
        <v>90</v>
      </c>
      <c r="B7" s="84">
        <v>1692.4540182801234</v>
      </c>
      <c r="C7" s="84">
        <v>1519.9296980896286</v>
      </c>
      <c r="D7" s="84">
        <v>1294.7987857137896</v>
      </c>
      <c r="E7" s="84">
        <v>1015.4354855753286</v>
      </c>
      <c r="F7" s="84">
        <v>949.23054657377509</v>
      </c>
      <c r="G7" s="84">
        <v>896.14112596937127</v>
      </c>
      <c r="H7" s="84">
        <v>858.28528830077391</v>
      </c>
      <c r="I7" s="84">
        <v>925.78950334557885</v>
      </c>
      <c r="J7" s="84">
        <v>939.18418602622035</v>
      </c>
      <c r="K7" s="84">
        <v>835.35225429619481</v>
      </c>
      <c r="L7" s="84">
        <v>769.802956903873</v>
      </c>
      <c r="M7" s="84">
        <v>869.69222844611875</v>
      </c>
      <c r="N7" s="84">
        <v>627.31096633525749</v>
      </c>
      <c r="O7" s="84">
        <v>688.91784006868374</v>
      </c>
      <c r="P7" s="84">
        <v>712.14885896695637</v>
      </c>
      <c r="Q7" s="84">
        <v>713.30921765394953</v>
      </c>
      <c r="R7" s="84">
        <v>552.84055066109909</v>
      </c>
      <c r="S7" s="84">
        <v>571.54700739743123</v>
      </c>
      <c r="T7" s="84">
        <v>487.92114167029575</v>
      </c>
      <c r="U7" s="84">
        <v>534.96818181818185</v>
      </c>
      <c r="V7" s="84">
        <v>301.21529409856288</v>
      </c>
      <c r="W7" s="84">
        <v>324.37218513324734</v>
      </c>
      <c r="DA7" s="171" t="s">
        <v>1029</v>
      </c>
    </row>
    <row r="8" spans="1:105" ht="11.45" customHeight="1" x14ac:dyDescent="0.25">
      <c r="A8" s="111" t="s">
        <v>93</v>
      </c>
      <c r="B8" s="84">
        <v>2339.5459817198766</v>
      </c>
      <c r="C8" s="84">
        <v>2472.0703019103712</v>
      </c>
      <c r="D8" s="84">
        <v>2630.2012142862104</v>
      </c>
      <c r="E8" s="84">
        <v>2737.5645144246714</v>
      </c>
      <c r="F8" s="84">
        <v>2366.769453426225</v>
      </c>
      <c r="G8" s="84">
        <v>2422.8588740306286</v>
      </c>
      <c r="H8" s="84">
        <v>2509.714711699226</v>
      </c>
      <c r="I8" s="84">
        <v>2555.2104966544211</v>
      </c>
      <c r="J8" s="84">
        <v>2748.8158139737798</v>
      </c>
      <c r="K8" s="84">
        <v>2848.6477457038054</v>
      </c>
      <c r="L8" s="84">
        <v>2821.9376450961267</v>
      </c>
      <c r="M8" s="84">
        <v>2901.3077715538811</v>
      </c>
      <c r="N8" s="84">
        <v>2713.6890336647425</v>
      </c>
      <c r="O8" s="84">
        <v>2495.0821599313163</v>
      </c>
      <c r="P8" s="84">
        <v>2601.8511410330439</v>
      </c>
      <c r="Q8" s="84">
        <v>2674.6907823460506</v>
      </c>
      <c r="R8" s="84">
        <v>3099.0494493389006</v>
      </c>
      <c r="S8" s="84">
        <v>3291.4529926025689</v>
      </c>
      <c r="T8" s="84">
        <v>3421.0788583297044</v>
      </c>
      <c r="U8" s="84">
        <v>3824.0318181818184</v>
      </c>
      <c r="V8" s="84">
        <v>2038.7847059014371</v>
      </c>
      <c r="W8" s="84">
        <v>2317.6278148667525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436</v>
      </c>
      <c r="G9" s="113">
        <v>490</v>
      </c>
      <c r="H9" s="113">
        <v>508</v>
      </c>
      <c r="I9" s="113">
        <v>506</v>
      </c>
      <c r="J9" s="113">
        <v>525</v>
      </c>
      <c r="K9" s="113">
        <v>529</v>
      </c>
      <c r="L9" s="113">
        <v>519.25939800000003</v>
      </c>
      <c r="M9" s="113">
        <v>466</v>
      </c>
      <c r="N9" s="113">
        <v>462</v>
      </c>
      <c r="O9" s="113">
        <v>465</v>
      </c>
      <c r="P9" s="113">
        <v>538</v>
      </c>
      <c r="Q9" s="113">
        <v>569</v>
      </c>
      <c r="R9" s="113">
        <v>614.11</v>
      </c>
      <c r="S9" s="113">
        <v>653</v>
      </c>
      <c r="T9" s="113">
        <v>661</v>
      </c>
      <c r="U9" s="113">
        <v>696</v>
      </c>
      <c r="V9" s="113">
        <v>223</v>
      </c>
      <c r="W9" s="113">
        <v>270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2183</v>
      </c>
      <c r="C10" s="28">
        <f t="shared" ref="C10:V10" si="7">SUM(C11:C12)</f>
        <v>2138</v>
      </c>
      <c r="D10" s="28">
        <f t="shared" si="7"/>
        <v>2193</v>
      </c>
      <c r="E10" s="28">
        <f t="shared" si="7"/>
        <v>2073</v>
      </c>
      <c r="F10" s="28">
        <f t="shared" si="7"/>
        <v>2282</v>
      </c>
      <c r="G10" s="28">
        <f t="shared" si="7"/>
        <v>2422</v>
      </c>
      <c r="H10" s="28">
        <f t="shared" si="7"/>
        <v>2430</v>
      </c>
      <c r="I10" s="28">
        <f t="shared" si="7"/>
        <v>2586</v>
      </c>
      <c r="J10" s="28">
        <f t="shared" si="7"/>
        <v>2549</v>
      </c>
      <c r="K10" s="28">
        <f t="shared" si="7"/>
        <v>2174</v>
      </c>
      <c r="L10" s="28">
        <f t="shared" si="7"/>
        <v>2313</v>
      </c>
      <c r="M10" s="28">
        <f t="shared" si="7"/>
        <v>2322</v>
      </c>
      <c r="N10" s="28">
        <f t="shared" si="7"/>
        <v>2421</v>
      </c>
      <c r="O10" s="28">
        <f t="shared" si="7"/>
        <v>2290</v>
      </c>
      <c r="P10" s="28">
        <f t="shared" si="7"/>
        <v>2434</v>
      </c>
      <c r="Q10" s="28">
        <f t="shared" si="7"/>
        <v>2688</v>
      </c>
      <c r="R10" s="28">
        <f t="shared" si="7"/>
        <v>2774</v>
      </c>
      <c r="S10" s="28">
        <f t="shared" si="7"/>
        <v>2751</v>
      </c>
      <c r="T10" s="28">
        <f t="shared" si="7"/>
        <v>2765</v>
      </c>
      <c r="U10" s="28">
        <f t="shared" si="7"/>
        <v>2478</v>
      </c>
      <c r="V10" s="28">
        <f t="shared" si="7"/>
        <v>2302</v>
      </c>
      <c r="W10" s="28">
        <f t="shared" ref="W10" si="8">SUM(W11:W12)</f>
        <v>1881</v>
      </c>
      <c r="DA10" s="173" t="s">
        <v>383</v>
      </c>
    </row>
    <row r="11" spans="1:105" ht="11.45" customHeight="1" x14ac:dyDescent="0.25">
      <c r="A11" s="83" t="s">
        <v>90</v>
      </c>
      <c r="B11" s="84">
        <v>1169.8393209617755</v>
      </c>
      <c r="C11" s="84">
        <v>1034.0993334984839</v>
      </c>
      <c r="D11" s="84">
        <v>922.60201720682267</v>
      </c>
      <c r="E11" s="84">
        <v>784.62071159446327</v>
      </c>
      <c r="F11" s="84">
        <v>786.84550974890522</v>
      </c>
      <c r="G11" s="84">
        <v>790.69629126737482</v>
      </c>
      <c r="H11" s="84">
        <v>736.6818542332677</v>
      </c>
      <c r="I11" s="84">
        <v>793.68742199639269</v>
      </c>
      <c r="J11" s="84">
        <v>758.07581075400356</v>
      </c>
      <c r="K11" s="84">
        <v>565.03633184200874</v>
      </c>
      <c r="L11" s="84">
        <v>560.85756030754476</v>
      </c>
      <c r="M11" s="84">
        <v>587.30600431677067</v>
      </c>
      <c r="N11" s="84">
        <v>519.94026984333584</v>
      </c>
      <c r="O11" s="84">
        <v>561.71181554241593</v>
      </c>
      <c r="P11" s="84">
        <v>592.80742486228758</v>
      </c>
      <c r="Q11" s="84">
        <v>647.03658255525488</v>
      </c>
      <c r="R11" s="84">
        <v>476.99861451625975</v>
      </c>
      <c r="S11" s="84">
        <v>721.79938485103025</v>
      </c>
      <c r="T11" s="84">
        <v>671.9061641991924</v>
      </c>
      <c r="U11" s="84">
        <v>773.76789826462857</v>
      </c>
      <c r="V11" s="84">
        <v>601.41165048189646</v>
      </c>
      <c r="W11" s="84">
        <v>643.45041003433903</v>
      </c>
      <c r="DA11" s="171" t="s">
        <v>1031</v>
      </c>
    </row>
    <row r="12" spans="1:105" ht="11.45" customHeight="1" x14ac:dyDescent="0.25">
      <c r="A12" s="85" t="s">
        <v>93</v>
      </c>
      <c r="B12" s="86">
        <v>1013.1606790382245</v>
      </c>
      <c r="C12" s="86">
        <v>1103.9006665015161</v>
      </c>
      <c r="D12" s="86">
        <v>1270.3979827931773</v>
      </c>
      <c r="E12" s="86">
        <v>1288.3792884055367</v>
      </c>
      <c r="F12" s="86">
        <v>1495.1544902510948</v>
      </c>
      <c r="G12" s="86">
        <v>1631.3037087326252</v>
      </c>
      <c r="H12" s="86">
        <v>1693.3181457667324</v>
      </c>
      <c r="I12" s="86">
        <v>1792.3125780036073</v>
      </c>
      <c r="J12" s="86">
        <v>1790.9241892459963</v>
      </c>
      <c r="K12" s="86">
        <v>1608.9636681579914</v>
      </c>
      <c r="L12" s="86">
        <v>1752.1424396924554</v>
      </c>
      <c r="M12" s="86">
        <v>1734.6939956832293</v>
      </c>
      <c r="N12" s="86">
        <v>1901.059730156664</v>
      </c>
      <c r="O12" s="86">
        <v>1728.2881844575841</v>
      </c>
      <c r="P12" s="86">
        <v>1841.1925751377125</v>
      </c>
      <c r="Q12" s="86">
        <v>2040.9634174447451</v>
      </c>
      <c r="R12" s="86">
        <v>2297.0013854837403</v>
      </c>
      <c r="S12" s="86">
        <v>2029.2006151489697</v>
      </c>
      <c r="T12" s="86">
        <v>2093.0938358008075</v>
      </c>
      <c r="U12" s="86">
        <v>1704.2321017353715</v>
      </c>
      <c r="V12" s="86">
        <v>1700.5883495181035</v>
      </c>
      <c r="W12" s="86">
        <v>1237.549589965661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43.326543538163783</v>
      </c>
      <c r="C14" s="62">
        <f t="shared" ref="C14:V14" si="10">C15+C21</f>
        <v>40.643443855049661</v>
      </c>
      <c r="D14" s="62">
        <f t="shared" si="10"/>
        <v>41.735296631813036</v>
      </c>
      <c r="E14" s="62">
        <f t="shared" si="10"/>
        <v>44.152395546711304</v>
      </c>
      <c r="F14" s="62">
        <f t="shared" si="10"/>
        <v>44.427384809098605</v>
      </c>
      <c r="G14" s="62">
        <f t="shared" si="10"/>
        <v>44.674046726896037</v>
      </c>
      <c r="H14" s="62">
        <f t="shared" si="10"/>
        <v>48.750123710020695</v>
      </c>
      <c r="I14" s="62">
        <f t="shared" si="10"/>
        <v>48.678772620187033</v>
      </c>
      <c r="J14" s="62">
        <f t="shared" si="10"/>
        <v>51.096676402316369</v>
      </c>
      <c r="K14" s="62">
        <f t="shared" si="10"/>
        <v>48.47315325924027</v>
      </c>
      <c r="L14" s="62">
        <f t="shared" si="10"/>
        <v>48.477079020209132</v>
      </c>
      <c r="M14" s="62">
        <f t="shared" si="10"/>
        <v>44.462953526929844</v>
      </c>
      <c r="N14" s="62">
        <f t="shared" si="10"/>
        <v>42.925483990298694</v>
      </c>
      <c r="O14" s="62">
        <f t="shared" si="10"/>
        <v>37.904517769386992</v>
      </c>
      <c r="P14" s="62">
        <f t="shared" si="10"/>
        <v>38.805867294442059</v>
      </c>
      <c r="Q14" s="62">
        <f t="shared" si="10"/>
        <v>40.661285925522236</v>
      </c>
      <c r="R14" s="62">
        <f t="shared" si="10"/>
        <v>56.495313269573977</v>
      </c>
      <c r="S14" s="62">
        <f t="shared" si="10"/>
        <v>64.994663870999034</v>
      </c>
      <c r="T14" s="62">
        <f t="shared" si="10"/>
        <v>66.488547594188461</v>
      </c>
      <c r="U14" s="62">
        <f t="shared" si="10"/>
        <v>67.655593572621484</v>
      </c>
      <c r="V14" s="62">
        <f t="shared" si="10"/>
        <v>60.594702021209287</v>
      </c>
      <c r="W14" s="62">
        <f t="shared" ref="W14" si="11">W15+W21</f>
        <v>63.953019339299914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39.325237407673555</v>
      </c>
      <c r="C15" s="29">
        <f t="shared" ref="C15:V15" si="13">SUM(C16,C17,C20)</f>
        <v>36.658312592533505</v>
      </c>
      <c r="D15" s="29">
        <f t="shared" si="13"/>
        <v>37.659010208149148</v>
      </c>
      <c r="E15" s="29">
        <f t="shared" si="13"/>
        <v>40.366970848176855</v>
      </c>
      <c r="F15" s="29">
        <f t="shared" si="13"/>
        <v>40.187691292775739</v>
      </c>
      <c r="G15" s="29">
        <f t="shared" si="13"/>
        <v>40.288904123285938</v>
      </c>
      <c r="H15" s="29">
        <f t="shared" si="13"/>
        <v>44.32637390422434</v>
      </c>
      <c r="I15" s="29">
        <f t="shared" si="13"/>
        <v>44.177319593486168</v>
      </c>
      <c r="J15" s="29">
        <f t="shared" si="13"/>
        <v>46.498571539807607</v>
      </c>
      <c r="K15" s="29">
        <f t="shared" si="13"/>
        <v>44.401727959685559</v>
      </c>
      <c r="L15" s="29">
        <f t="shared" si="13"/>
        <v>44.247223566461727</v>
      </c>
      <c r="M15" s="29">
        <f t="shared" si="13"/>
        <v>40.530134432451469</v>
      </c>
      <c r="N15" s="29">
        <f t="shared" si="13"/>
        <v>38.815727976086308</v>
      </c>
      <c r="O15" s="29">
        <f t="shared" si="13"/>
        <v>34.298809639906501</v>
      </c>
      <c r="P15" s="29">
        <f t="shared" si="13"/>
        <v>34.834198082823974</v>
      </c>
      <c r="Q15" s="29">
        <f t="shared" si="13"/>
        <v>36.299151430455623</v>
      </c>
      <c r="R15" s="29">
        <f t="shared" si="13"/>
        <v>51.62750908859357</v>
      </c>
      <c r="S15" s="29">
        <f t="shared" si="13"/>
        <v>60.257578708562313</v>
      </c>
      <c r="T15" s="29">
        <f t="shared" si="13"/>
        <v>61.573048026899393</v>
      </c>
      <c r="U15" s="29">
        <f t="shared" si="13"/>
        <v>63.316768263711246</v>
      </c>
      <c r="V15" s="29">
        <f t="shared" si="13"/>
        <v>55.841330742001929</v>
      </c>
      <c r="W15" s="29">
        <f t="shared" ref="W15" si="14">SUM(W16,W17,W20)</f>
        <v>58.910989115702186</v>
      </c>
      <c r="DA15" s="173" t="s">
        <v>1034</v>
      </c>
    </row>
    <row r="16" spans="1:105" ht="11.45" customHeight="1" x14ac:dyDescent="0.25">
      <c r="A16" s="107" t="s">
        <v>23</v>
      </c>
      <c r="B16" s="115">
        <v>6.8452238551958127</v>
      </c>
      <c r="C16" s="115">
        <v>7.0389566058145627</v>
      </c>
      <c r="D16" s="115">
        <v>7.1035341893541455</v>
      </c>
      <c r="E16" s="115">
        <v>9.9449478650958039</v>
      </c>
      <c r="F16" s="115">
        <v>10.606769202488392</v>
      </c>
      <c r="G16" s="115">
        <v>11.03482297362965</v>
      </c>
      <c r="H16" s="115">
        <v>13.296143092120522</v>
      </c>
      <c r="I16" s="115">
        <v>13.791361598494056</v>
      </c>
      <c r="J16" s="115">
        <v>14.432021394250855</v>
      </c>
      <c r="K16" s="115">
        <v>14.210366133837599</v>
      </c>
      <c r="L16" s="115">
        <v>14.764325009154691</v>
      </c>
      <c r="M16" s="115">
        <v>14.615394882424809</v>
      </c>
      <c r="N16" s="115">
        <v>13.313416243054187</v>
      </c>
      <c r="O16" s="115">
        <v>12.421194899659122</v>
      </c>
      <c r="P16" s="115">
        <v>12.543967458533652</v>
      </c>
      <c r="Q16" s="115">
        <v>13.072426586840454</v>
      </c>
      <c r="R16" s="115">
        <v>13.530010044438203</v>
      </c>
      <c r="S16" s="115">
        <v>14.089708189999476</v>
      </c>
      <c r="T16" s="115">
        <v>14.664327069095272</v>
      </c>
      <c r="U16" s="115">
        <v>15.777975998417409</v>
      </c>
      <c r="V16" s="115">
        <v>14.267613733905579</v>
      </c>
      <c r="W16" s="115">
        <v>13.079194850274725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32.480013552477743</v>
      </c>
      <c r="C17" s="116">
        <f t="shared" ref="C17:V17" si="16">SUM(C18:C19)</f>
        <v>29.619355986718944</v>
      </c>
      <c r="D17" s="116">
        <f t="shared" si="16"/>
        <v>30.555476018795005</v>
      </c>
      <c r="E17" s="116">
        <f t="shared" si="16"/>
        <v>30.422022983081053</v>
      </c>
      <c r="F17" s="116">
        <f t="shared" si="16"/>
        <v>27.12508535559347</v>
      </c>
      <c r="G17" s="116">
        <f t="shared" si="16"/>
        <v>26.494081149656289</v>
      </c>
      <c r="H17" s="116">
        <f t="shared" si="16"/>
        <v>28.105230812103819</v>
      </c>
      <c r="I17" s="116">
        <f t="shared" si="16"/>
        <v>27.322957994992109</v>
      </c>
      <c r="J17" s="116">
        <f t="shared" si="16"/>
        <v>28.943550145556756</v>
      </c>
      <c r="K17" s="116">
        <f t="shared" si="16"/>
        <v>27.069361825847963</v>
      </c>
      <c r="L17" s="116">
        <f t="shared" si="16"/>
        <v>26.338898557307036</v>
      </c>
      <c r="M17" s="116">
        <f t="shared" si="16"/>
        <v>22.781739550026657</v>
      </c>
      <c r="N17" s="116">
        <f t="shared" si="16"/>
        <v>22.381311733032121</v>
      </c>
      <c r="O17" s="116">
        <f t="shared" si="16"/>
        <v>18.767614740247382</v>
      </c>
      <c r="P17" s="116">
        <f t="shared" si="16"/>
        <v>19.192230624290321</v>
      </c>
      <c r="Q17" s="116">
        <f t="shared" si="16"/>
        <v>20.139724843615166</v>
      </c>
      <c r="R17" s="116">
        <f t="shared" si="16"/>
        <v>34.913499044155365</v>
      </c>
      <c r="S17" s="116">
        <f t="shared" si="16"/>
        <v>42.989870518562839</v>
      </c>
      <c r="T17" s="116">
        <f t="shared" si="16"/>
        <v>43.833720957804118</v>
      </c>
      <c r="U17" s="116">
        <f t="shared" si="16"/>
        <v>44.419792265293836</v>
      </c>
      <c r="V17" s="116">
        <f t="shared" si="16"/>
        <v>39.764717008096355</v>
      </c>
      <c r="W17" s="116">
        <f t="shared" ref="W17" si="17">SUM(W18:W19)</f>
        <v>43.621459345574323</v>
      </c>
      <c r="DA17" s="176" t="s">
        <v>1036</v>
      </c>
    </row>
    <row r="18" spans="1:105" ht="11.45" customHeight="1" x14ac:dyDescent="0.25">
      <c r="A18" s="111" t="s">
        <v>92</v>
      </c>
      <c r="B18" s="87">
        <v>15.833402980227596</v>
      </c>
      <c r="C18" s="87">
        <v>13.533907571432076</v>
      </c>
      <c r="D18" s="87">
        <v>11.403526299416962</v>
      </c>
      <c r="E18" s="87">
        <v>10.160258431623994</v>
      </c>
      <c r="F18" s="87">
        <v>9.199207671295337</v>
      </c>
      <c r="G18" s="87">
        <v>8.4188888995149185</v>
      </c>
      <c r="H18" s="87">
        <v>8.2450872420151171</v>
      </c>
      <c r="I18" s="87">
        <v>8.1967048754745857</v>
      </c>
      <c r="J18" s="87">
        <v>8.4378759130905667</v>
      </c>
      <c r="K18" s="87">
        <v>7.0505637387212055</v>
      </c>
      <c r="L18" s="87">
        <v>6.3126998731358865</v>
      </c>
      <c r="M18" s="87">
        <v>5.6005434012085722</v>
      </c>
      <c r="N18" s="87">
        <v>4.3967201262606643</v>
      </c>
      <c r="O18" s="87">
        <v>3.9864366366787451</v>
      </c>
      <c r="P18" s="87">
        <v>4.1125146169753961</v>
      </c>
      <c r="Q18" s="87">
        <v>4.0869625806124041</v>
      </c>
      <c r="R18" s="87">
        <v>4.1073705186560927</v>
      </c>
      <c r="S18" s="87">
        <v>3.8928060183324886</v>
      </c>
      <c r="T18" s="87">
        <v>4.1425469189234105</v>
      </c>
      <c r="U18" s="87">
        <v>4.0376630070665156</v>
      </c>
      <c r="V18" s="87">
        <v>3.0999710655642345</v>
      </c>
      <c r="W18" s="87">
        <v>2.5639701810134405</v>
      </c>
      <c r="DA18" s="171" t="s">
        <v>1037</v>
      </c>
    </row>
    <row r="19" spans="1:105" ht="11.45" customHeight="1" x14ac:dyDescent="0.25">
      <c r="A19" s="111" t="s">
        <v>93</v>
      </c>
      <c r="B19" s="87">
        <v>16.646610572250147</v>
      </c>
      <c r="C19" s="87">
        <v>16.085448415286869</v>
      </c>
      <c r="D19" s="87">
        <v>19.151949719378045</v>
      </c>
      <c r="E19" s="87">
        <v>20.261764551457059</v>
      </c>
      <c r="F19" s="87">
        <v>17.925877684298133</v>
      </c>
      <c r="G19" s="87">
        <v>18.07519225014137</v>
      </c>
      <c r="H19" s="87">
        <v>19.860143570088702</v>
      </c>
      <c r="I19" s="87">
        <v>19.126253119517521</v>
      </c>
      <c r="J19" s="87">
        <v>20.505674232466191</v>
      </c>
      <c r="K19" s="87">
        <v>20.018798087126758</v>
      </c>
      <c r="L19" s="87">
        <v>20.026198684171149</v>
      </c>
      <c r="M19" s="87">
        <v>17.181196148818085</v>
      </c>
      <c r="N19" s="87">
        <v>17.984591606771456</v>
      </c>
      <c r="O19" s="87">
        <v>14.781178103568635</v>
      </c>
      <c r="P19" s="87">
        <v>15.079716007314925</v>
      </c>
      <c r="Q19" s="87">
        <v>16.052762263002762</v>
      </c>
      <c r="R19" s="87">
        <v>30.806128525499272</v>
      </c>
      <c r="S19" s="87">
        <v>39.097064500230353</v>
      </c>
      <c r="T19" s="87">
        <v>39.69117403888071</v>
      </c>
      <c r="U19" s="87">
        <v>40.382129258227323</v>
      </c>
      <c r="V19" s="87">
        <v>36.664745942532122</v>
      </c>
      <c r="W19" s="87">
        <v>41.057489164560884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2.4558367346938774</v>
      </c>
      <c r="G20" s="117">
        <v>2.76</v>
      </c>
      <c r="H20" s="117">
        <v>2.9249999999999998</v>
      </c>
      <c r="I20" s="117">
        <v>3.0630000000000002</v>
      </c>
      <c r="J20" s="117">
        <v>3.1230000000000002</v>
      </c>
      <c r="K20" s="117">
        <v>3.1219999999999999</v>
      </c>
      <c r="L20" s="117">
        <v>3.1440000000000001</v>
      </c>
      <c r="M20" s="117">
        <v>3.1329999999999996</v>
      </c>
      <c r="N20" s="117">
        <v>3.121</v>
      </c>
      <c r="O20" s="117">
        <v>3.11</v>
      </c>
      <c r="P20" s="117">
        <v>3.0979999999999999</v>
      </c>
      <c r="Q20" s="117">
        <v>3.0870000000000002</v>
      </c>
      <c r="R20" s="117">
        <v>3.1840000000000002</v>
      </c>
      <c r="S20" s="117">
        <v>3.1779999999999999</v>
      </c>
      <c r="T20" s="117">
        <v>3.0750000000000002</v>
      </c>
      <c r="U20" s="117">
        <v>3.1190000000000002</v>
      </c>
      <c r="V20" s="117">
        <v>1.8089999999999999</v>
      </c>
      <c r="W20" s="117">
        <v>2.2103349198531386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4.0013061304902262</v>
      </c>
      <c r="C21" s="29">
        <f t="shared" ref="C21:V21" si="19">SUM(C22:C23)</f>
        <v>3.9851312625161546</v>
      </c>
      <c r="D21" s="29">
        <f t="shared" si="19"/>
        <v>4.0762864236638903</v>
      </c>
      <c r="E21" s="29">
        <f t="shared" si="19"/>
        <v>3.7854246985344471</v>
      </c>
      <c r="F21" s="29">
        <f t="shared" si="19"/>
        <v>4.2396935163228688</v>
      </c>
      <c r="G21" s="29">
        <f t="shared" si="19"/>
        <v>4.385142603610098</v>
      </c>
      <c r="H21" s="29">
        <f t="shared" si="19"/>
        <v>4.4237498057963576</v>
      </c>
      <c r="I21" s="29">
        <f t="shared" si="19"/>
        <v>4.5014530267008617</v>
      </c>
      <c r="J21" s="29">
        <f t="shared" si="19"/>
        <v>4.5981048625087615</v>
      </c>
      <c r="K21" s="29">
        <f t="shared" si="19"/>
        <v>4.0714252995547113</v>
      </c>
      <c r="L21" s="29">
        <f t="shared" si="19"/>
        <v>4.2298554537474011</v>
      </c>
      <c r="M21" s="29">
        <f t="shared" si="19"/>
        <v>3.9328190944783783</v>
      </c>
      <c r="N21" s="29">
        <f t="shared" si="19"/>
        <v>4.1097560142123895</v>
      </c>
      <c r="O21" s="29">
        <f t="shared" si="19"/>
        <v>3.6057081294804907</v>
      </c>
      <c r="P21" s="29">
        <f t="shared" si="19"/>
        <v>3.9716692116180865</v>
      </c>
      <c r="Q21" s="29">
        <f t="shared" si="19"/>
        <v>4.362134495066611</v>
      </c>
      <c r="R21" s="29">
        <f t="shared" si="19"/>
        <v>4.8678041809804071</v>
      </c>
      <c r="S21" s="29">
        <f t="shared" si="19"/>
        <v>4.7370851624367223</v>
      </c>
      <c r="T21" s="29">
        <f t="shared" si="19"/>
        <v>4.9154995672890722</v>
      </c>
      <c r="U21" s="29">
        <f t="shared" si="19"/>
        <v>4.3388253089102449</v>
      </c>
      <c r="V21" s="29">
        <f t="shared" si="19"/>
        <v>4.7533712792073537</v>
      </c>
      <c r="W21" s="29">
        <f t="shared" ref="W21" si="20">SUM(W22:W23)</f>
        <v>5.0420302235977283</v>
      </c>
      <c r="DA21" s="173" t="s">
        <v>1040</v>
      </c>
    </row>
    <row r="22" spans="1:105" ht="11.45" customHeight="1" x14ac:dyDescent="0.25">
      <c r="A22" s="83" t="s">
        <v>92</v>
      </c>
      <c r="B22" s="87">
        <v>2.0535916739335152</v>
      </c>
      <c r="C22" s="87">
        <v>1.566482228285984</v>
      </c>
      <c r="D22" s="87">
        <v>1.3662766337549739</v>
      </c>
      <c r="E22" s="87">
        <v>1.1216000582200703</v>
      </c>
      <c r="F22" s="87">
        <v>1.1047909313109856</v>
      </c>
      <c r="G22" s="87">
        <v>1.1339095398497872</v>
      </c>
      <c r="H22" s="87">
        <v>1.0557839678473535</v>
      </c>
      <c r="I22" s="87">
        <v>1.2130531960827089</v>
      </c>
      <c r="J22" s="87">
        <v>1.0497463907458948</v>
      </c>
      <c r="K22" s="87">
        <v>0.75238827921003737</v>
      </c>
      <c r="L22" s="87">
        <v>0.75551126546120473</v>
      </c>
      <c r="M22" s="87">
        <v>0.74796092812966464</v>
      </c>
      <c r="N22" s="87">
        <v>0.64955119300177777</v>
      </c>
      <c r="O22" s="87">
        <v>0.6793804723856095</v>
      </c>
      <c r="P22" s="87">
        <v>0.71390381358924204</v>
      </c>
      <c r="Q22" s="87">
        <v>0.78799761502046972</v>
      </c>
      <c r="R22" s="87">
        <v>0.58088695249042677</v>
      </c>
      <c r="S22" s="87">
        <v>0.91443507585107509</v>
      </c>
      <c r="T22" s="87">
        <v>0.77606632454502056</v>
      </c>
      <c r="U22" s="87">
        <v>0.89024539830467042</v>
      </c>
      <c r="V22" s="87">
        <v>0.99862028485397836</v>
      </c>
      <c r="W22" s="87">
        <v>1.2070877929819177</v>
      </c>
      <c r="DA22" s="171" t="s">
        <v>1041</v>
      </c>
    </row>
    <row r="23" spans="1:105" ht="11.45" customHeight="1" x14ac:dyDescent="0.25">
      <c r="A23" s="85" t="s">
        <v>93</v>
      </c>
      <c r="B23" s="88">
        <v>1.947714456556711</v>
      </c>
      <c r="C23" s="88">
        <v>2.4186490342301705</v>
      </c>
      <c r="D23" s="88">
        <v>2.7100097899089164</v>
      </c>
      <c r="E23" s="88">
        <v>2.6638246403143766</v>
      </c>
      <c r="F23" s="88">
        <v>3.1349025850118832</v>
      </c>
      <c r="G23" s="88">
        <v>3.2512330637603108</v>
      </c>
      <c r="H23" s="88">
        <v>3.3679658379490043</v>
      </c>
      <c r="I23" s="88">
        <v>3.2883998306181526</v>
      </c>
      <c r="J23" s="88">
        <v>3.5483584717628665</v>
      </c>
      <c r="K23" s="88">
        <v>3.3190370203446742</v>
      </c>
      <c r="L23" s="88">
        <v>3.4743441882861963</v>
      </c>
      <c r="M23" s="88">
        <v>3.1848581663487137</v>
      </c>
      <c r="N23" s="88">
        <v>3.4602048212106116</v>
      </c>
      <c r="O23" s="88">
        <v>2.9263276570948813</v>
      </c>
      <c r="P23" s="88">
        <v>3.2577653980288446</v>
      </c>
      <c r="Q23" s="88">
        <v>3.5741368800461411</v>
      </c>
      <c r="R23" s="88">
        <v>4.2869172284899806</v>
      </c>
      <c r="S23" s="88">
        <v>3.8226500865856474</v>
      </c>
      <c r="T23" s="88">
        <v>4.1394332427440519</v>
      </c>
      <c r="U23" s="88">
        <v>3.4485799106055746</v>
      </c>
      <c r="V23" s="88">
        <v>3.7547509943533752</v>
      </c>
      <c r="W23" s="88">
        <v>3.8349424306158104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298.76926399999996</v>
      </c>
      <c r="C25" s="62">
        <f t="shared" ref="C25:V25" si="22">C26+C32</f>
        <v>287.561666</v>
      </c>
      <c r="D25" s="62">
        <f t="shared" si="22"/>
        <v>298.46648299999998</v>
      </c>
      <c r="E25" s="62">
        <f t="shared" si="22"/>
        <v>319.88296000000003</v>
      </c>
      <c r="F25" s="62">
        <f t="shared" si="22"/>
        <v>311.03218499999997</v>
      </c>
      <c r="G25" s="62">
        <f t="shared" si="22"/>
        <v>305.00282900000002</v>
      </c>
      <c r="H25" s="62">
        <f t="shared" si="22"/>
        <v>336.86098599999997</v>
      </c>
      <c r="I25" s="62">
        <f t="shared" si="22"/>
        <v>336.84300300000001</v>
      </c>
      <c r="J25" s="62">
        <f t="shared" si="22"/>
        <v>354.08772199999999</v>
      </c>
      <c r="K25" s="62">
        <f t="shared" si="22"/>
        <v>337.57743299999998</v>
      </c>
      <c r="L25" s="62">
        <f t="shared" si="22"/>
        <v>337.94974000000002</v>
      </c>
      <c r="M25" s="62">
        <f t="shared" si="22"/>
        <v>319.73877199999998</v>
      </c>
      <c r="N25" s="62">
        <f t="shared" si="22"/>
        <v>303.38849099999999</v>
      </c>
      <c r="O25" s="62">
        <f t="shared" si="22"/>
        <v>282.50788799999998</v>
      </c>
      <c r="P25" s="62">
        <f t="shared" si="22"/>
        <v>268.99165699999998</v>
      </c>
      <c r="Q25" s="62">
        <f t="shared" si="22"/>
        <v>281.90241700000001</v>
      </c>
      <c r="R25" s="62">
        <f t="shared" si="22"/>
        <v>387.180091</v>
      </c>
      <c r="S25" s="62">
        <f t="shared" si="22"/>
        <v>446.79585700000001</v>
      </c>
      <c r="T25" s="62">
        <f t="shared" si="22"/>
        <v>457.18992700000001</v>
      </c>
      <c r="U25" s="62">
        <f t="shared" si="22"/>
        <v>470.81818900000002</v>
      </c>
      <c r="V25" s="62">
        <f t="shared" si="22"/>
        <v>446.83855899999998</v>
      </c>
      <c r="W25" s="62">
        <f t="shared" ref="W25" si="23">W26+W32</f>
        <v>454.08572400000003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278.76273199999997</v>
      </c>
      <c r="C26" s="29">
        <f t="shared" ref="C26:V26" si="25">SUM(C27,C28,C31)</f>
        <v>266.22725600000001</v>
      </c>
      <c r="D26" s="29">
        <f t="shared" si="25"/>
        <v>276.702065</v>
      </c>
      <c r="E26" s="29">
        <f t="shared" si="25"/>
        <v>299.376262</v>
      </c>
      <c r="F26" s="29">
        <f t="shared" si="25"/>
        <v>289.19689299999999</v>
      </c>
      <c r="G26" s="29">
        <f t="shared" si="25"/>
        <v>283.07711499999999</v>
      </c>
      <c r="H26" s="29">
        <f t="shared" si="25"/>
        <v>314.74223599999999</v>
      </c>
      <c r="I26" s="29">
        <f t="shared" si="25"/>
        <v>314.33573699999999</v>
      </c>
      <c r="J26" s="29">
        <f t="shared" si="25"/>
        <v>331.09719699999999</v>
      </c>
      <c r="K26" s="29">
        <f t="shared" si="25"/>
        <v>316.58756</v>
      </c>
      <c r="L26" s="29">
        <f t="shared" si="25"/>
        <v>316.80046200000004</v>
      </c>
      <c r="M26" s="29">
        <f t="shared" si="25"/>
        <v>299.60110299999997</v>
      </c>
      <c r="N26" s="29">
        <f t="shared" si="25"/>
        <v>282.83970999999997</v>
      </c>
      <c r="O26" s="29">
        <f t="shared" si="25"/>
        <v>262.783817</v>
      </c>
      <c r="P26" s="29">
        <f t="shared" si="25"/>
        <v>249.13330999999999</v>
      </c>
      <c r="Q26" s="29">
        <f t="shared" si="25"/>
        <v>260.09174300000001</v>
      </c>
      <c r="R26" s="29">
        <f t="shared" si="25"/>
        <v>362.83231000000001</v>
      </c>
      <c r="S26" s="29">
        <f t="shared" si="25"/>
        <v>421.76295099999999</v>
      </c>
      <c r="T26" s="29">
        <f t="shared" si="25"/>
        <v>432.61242800000002</v>
      </c>
      <c r="U26" s="29">
        <f t="shared" si="25"/>
        <v>446.64365200000003</v>
      </c>
      <c r="V26" s="29">
        <f t="shared" si="25"/>
        <v>423.07170199999996</v>
      </c>
      <c r="W26" s="29">
        <f t="shared" ref="W26" si="26">SUM(W27,W28,W31)</f>
        <v>428.87557200000003</v>
      </c>
      <c r="DA26" s="173" t="s">
        <v>1044</v>
      </c>
    </row>
    <row r="27" spans="1:105" ht="11.45" customHeight="1" x14ac:dyDescent="0.25">
      <c r="A27" s="107" t="s">
        <v>23</v>
      </c>
      <c r="B27" s="115">
        <v>62.229307999999996</v>
      </c>
      <c r="C27" s="115">
        <v>63.990514999999995</v>
      </c>
      <c r="D27" s="115">
        <v>64.577584000000002</v>
      </c>
      <c r="E27" s="115">
        <v>90.408616999999992</v>
      </c>
      <c r="F27" s="115">
        <v>96.425174999999996</v>
      </c>
      <c r="G27" s="115">
        <v>100.31657299999999</v>
      </c>
      <c r="H27" s="115">
        <v>120.87402899999999</v>
      </c>
      <c r="I27" s="115">
        <v>125.376015</v>
      </c>
      <c r="J27" s="115">
        <v>131.20019500000001</v>
      </c>
      <c r="K27" s="115">
        <v>129.185147</v>
      </c>
      <c r="L27" s="115">
        <v>134.221137</v>
      </c>
      <c r="M27" s="115">
        <v>132.86722699999999</v>
      </c>
      <c r="N27" s="115">
        <v>126.64429699999999</v>
      </c>
      <c r="O27" s="115">
        <v>120.421367</v>
      </c>
      <c r="P27" s="115">
        <v>114.198437</v>
      </c>
      <c r="Q27" s="115">
        <v>118.840242</v>
      </c>
      <c r="R27" s="115">
        <v>123.000092</v>
      </c>
      <c r="S27" s="115">
        <v>128.088257</v>
      </c>
      <c r="T27" s="115">
        <v>133.31206499999999</v>
      </c>
      <c r="U27" s="115">
        <v>143.43614600000001</v>
      </c>
      <c r="V27" s="115">
        <v>137.21321599999999</v>
      </c>
      <c r="W27" s="115">
        <v>130.990286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216.533424</v>
      </c>
      <c r="C28" s="116">
        <f t="shared" ref="C28:V28" si="28">SUM(C29:C30)</f>
        <v>202.23674099999999</v>
      </c>
      <c r="D28" s="116">
        <f t="shared" si="28"/>
        <v>212.124481</v>
      </c>
      <c r="E28" s="116">
        <f t="shared" si="28"/>
        <v>208.967645</v>
      </c>
      <c r="F28" s="116">
        <f t="shared" si="28"/>
        <v>187.314303</v>
      </c>
      <c r="G28" s="116">
        <f t="shared" si="28"/>
        <v>176.627208</v>
      </c>
      <c r="H28" s="116">
        <f t="shared" si="28"/>
        <v>187.36820699999998</v>
      </c>
      <c r="I28" s="116">
        <f t="shared" si="28"/>
        <v>182.15305499999999</v>
      </c>
      <c r="J28" s="116">
        <f t="shared" si="28"/>
        <v>192.95700199999999</v>
      </c>
      <c r="K28" s="116">
        <f t="shared" si="28"/>
        <v>180.462413</v>
      </c>
      <c r="L28" s="116">
        <f t="shared" si="28"/>
        <v>175.592658</v>
      </c>
      <c r="M28" s="116">
        <f t="shared" si="28"/>
        <v>159.747209</v>
      </c>
      <c r="N28" s="116">
        <f t="shared" si="28"/>
        <v>149.20874599999999</v>
      </c>
      <c r="O28" s="116">
        <f t="shared" si="28"/>
        <v>135.37578300000001</v>
      </c>
      <c r="P28" s="116">
        <f t="shared" si="28"/>
        <v>127.948206</v>
      </c>
      <c r="Q28" s="116">
        <f t="shared" si="28"/>
        <v>134.26483400000001</v>
      </c>
      <c r="R28" s="116">
        <f t="shared" si="28"/>
        <v>232.75666200000001</v>
      </c>
      <c r="S28" s="116">
        <f t="shared" si="28"/>
        <v>286.59913799999998</v>
      </c>
      <c r="T28" s="116">
        <f t="shared" si="28"/>
        <v>292.224807</v>
      </c>
      <c r="U28" s="116">
        <f t="shared" si="28"/>
        <v>296.13195000000002</v>
      </c>
      <c r="V28" s="116">
        <f t="shared" si="28"/>
        <v>278.78292999999996</v>
      </c>
      <c r="W28" s="116">
        <f t="shared" ref="W28" si="29">SUM(W29:W30)</f>
        <v>290.80973</v>
      </c>
      <c r="DA28" s="176" t="s">
        <v>1046</v>
      </c>
    </row>
    <row r="29" spans="1:105" ht="11.45" customHeight="1" x14ac:dyDescent="0.25">
      <c r="A29" s="111" t="s">
        <v>92</v>
      </c>
      <c r="B29" s="87">
        <v>105.55602</v>
      </c>
      <c r="C29" s="87">
        <v>95.000417999999996</v>
      </c>
      <c r="D29" s="87">
        <v>84.444816000000003</v>
      </c>
      <c r="E29" s="87">
        <v>73.889213999999996</v>
      </c>
      <c r="F29" s="87">
        <v>63.333612000000002</v>
      </c>
      <c r="G29" s="87">
        <v>56.125926</v>
      </c>
      <c r="H29" s="87">
        <v>54.967248999999995</v>
      </c>
      <c r="I29" s="87">
        <v>54.6447</v>
      </c>
      <c r="J29" s="87">
        <v>56.252506999999994</v>
      </c>
      <c r="K29" s="87">
        <v>47.003758999999995</v>
      </c>
      <c r="L29" s="87">
        <v>42.084665999999999</v>
      </c>
      <c r="M29" s="87">
        <v>37.336956999999998</v>
      </c>
      <c r="N29" s="87">
        <v>29.311468000000001</v>
      </c>
      <c r="O29" s="87">
        <v>26.576245</v>
      </c>
      <c r="P29" s="87">
        <v>27.416765000000002</v>
      </c>
      <c r="Q29" s="87">
        <v>27.246418000000002</v>
      </c>
      <c r="R29" s="87">
        <v>27.382471000000002</v>
      </c>
      <c r="S29" s="87">
        <v>25.952041000000001</v>
      </c>
      <c r="T29" s="87">
        <v>27.616980000000002</v>
      </c>
      <c r="U29" s="87">
        <v>26.917754000000002</v>
      </c>
      <c r="V29" s="87">
        <v>20.666474000000001</v>
      </c>
      <c r="W29" s="87">
        <v>17.093135</v>
      </c>
      <c r="DA29" s="171" t="s">
        <v>1047</v>
      </c>
    </row>
    <row r="30" spans="1:105" ht="11.45" customHeight="1" x14ac:dyDescent="0.25">
      <c r="A30" s="111" t="s">
        <v>93</v>
      </c>
      <c r="B30" s="87">
        <v>110.97740399999999</v>
      </c>
      <c r="C30" s="87">
        <v>107.236323</v>
      </c>
      <c r="D30" s="87">
        <v>127.679665</v>
      </c>
      <c r="E30" s="87">
        <v>135.07843099999999</v>
      </c>
      <c r="F30" s="87">
        <v>123.98069099999999</v>
      </c>
      <c r="G30" s="87">
        <v>120.501282</v>
      </c>
      <c r="H30" s="87">
        <v>132.400958</v>
      </c>
      <c r="I30" s="87">
        <v>127.50835499999999</v>
      </c>
      <c r="J30" s="87">
        <v>136.70449500000001</v>
      </c>
      <c r="K30" s="87">
        <v>133.458654</v>
      </c>
      <c r="L30" s="87">
        <v>133.507992</v>
      </c>
      <c r="M30" s="87">
        <v>122.410252</v>
      </c>
      <c r="N30" s="87">
        <v>119.897278</v>
      </c>
      <c r="O30" s="87">
        <v>108.799538</v>
      </c>
      <c r="P30" s="87">
        <v>100.531441</v>
      </c>
      <c r="Q30" s="87">
        <v>107.018416</v>
      </c>
      <c r="R30" s="87">
        <v>205.374191</v>
      </c>
      <c r="S30" s="87">
        <v>260.64709699999997</v>
      </c>
      <c r="T30" s="87">
        <v>264.60782699999999</v>
      </c>
      <c r="U30" s="87">
        <v>269.21419600000002</v>
      </c>
      <c r="V30" s="87">
        <v>258.11645599999997</v>
      </c>
      <c r="W30" s="87">
        <v>273.71659499999998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5.4574150000000001</v>
      </c>
      <c r="G31" s="117">
        <v>6.1333340000000005</v>
      </c>
      <c r="H31" s="117">
        <v>6.5</v>
      </c>
      <c r="I31" s="117">
        <v>6.806667</v>
      </c>
      <c r="J31" s="117">
        <v>6.94</v>
      </c>
      <c r="K31" s="117">
        <v>6.94</v>
      </c>
      <c r="L31" s="117">
        <v>6.9866669999999997</v>
      </c>
      <c r="M31" s="117">
        <v>6.9866669999999997</v>
      </c>
      <c r="N31" s="117">
        <v>6.9866669999999997</v>
      </c>
      <c r="O31" s="117">
        <v>6.9866669999999997</v>
      </c>
      <c r="P31" s="117">
        <v>6.9866669999999997</v>
      </c>
      <c r="Q31" s="117">
        <v>6.9866669999999997</v>
      </c>
      <c r="R31" s="117">
        <v>7.0755559999999997</v>
      </c>
      <c r="S31" s="117">
        <v>7.0755559999999997</v>
      </c>
      <c r="T31" s="117">
        <v>7.0755559999999997</v>
      </c>
      <c r="U31" s="117">
        <v>7.0755559999999997</v>
      </c>
      <c r="V31" s="117">
        <v>7.0755559999999997</v>
      </c>
      <c r="W31" s="117">
        <v>7.0755559999999997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20.006532</v>
      </c>
      <c r="C32" s="29">
        <f t="shared" ref="C32:V32" si="31">SUM(C33:C34)</f>
        <v>21.334409999999998</v>
      </c>
      <c r="D32" s="29">
        <f t="shared" si="31"/>
        <v>21.764417999999999</v>
      </c>
      <c r="E32" s="29">
        <f t="shared" si="31"/>
        <v>20.506698</v>
      </c>
      <c r="F32" s="29">
        <f t="shared" si="31"/>
        <v>21.835291999999999</v>
      </c>
      <c r="G32" s="29">
        <f t="shared" si="31"/>
        <v>21.925713999999999</v>
      </c>
      <c r="H32" s="29">
        <f t="shared" si="31"/>
        <v>22.118750000000002</v>
      </c>
      <c r="I32" s="29">
        <f t="shared" si="31"/>
        <v>22.507266000000001</v>
      </c>
      <c r="J32" s="29">
        <f t="shared" si="31"/>
        <v>22.990525000000002</v>
      </c>
      <c r="K32" s="29">
        <f t="shared" si="31"/>
        <v>20.989873000000003</v>
      </c>
      <c r="L32" s="29">
        <f t="shared" si="31"/>
        <v>21.149278000000002</v>
      </c>
      <c r="M32" s="29">
        <f t="shared" si="31"/>
        <v>20.137669000000002</v>
      </c>
      <c r="N32" s="29">
        <f t="shared" si="31"/>
        <v>20.548781000000002</v>
      </c>
      <c r="O32" s="29">
        <f t="shared" si="31"/>
        <v>19.724071000000002</v>
      </c>
      <c r="P32" s="29">
        <f t="shared" si="31"/>
        <v>19.858347000000002</v>
      </c>
      <c r="Q32" s="29">
        <f t="shared" si="31"/>
        <v>21.810674000000002</v>
      </c>
      <c r="R32" s="29">
        <f t="shared" si="31"/>
        <v>24.347781000000001</v>
      </c>
      <c r="S32" s="29">
        <f t="shared" si="31"/>
        <v>25.032906000000001</v>
      </c>
      <c r="T32" s="29">
        <f t="shared" si="31"/>
        <v>24.577499</v>
      </c>
      <c r="U32" s="29">
        <f t="shared" si="31"/>
        <v>24.174537000000001</v>
      </c>
      <c r="V32" s="29">
        <f t="shared" si="31"/>
        <v>23.766857000000002</v>
      </c>
      <c r="W32" s="29">
        <f t="shared" ref="W32" si="32">SUM(W33:W34)</f>
        <v>25.210152000000001</v>
      </c>
      <c r="DA32" s="173" t="s">
        <v>1050</v>
      </c>
    </row>
    <row r="33" spans="1:105" ht="11.45" customHeight="1" x14ac:dyDescent="0.25">
      <c r="A33" s="83" t="s">
        <v>92</v>
      </c>
      <c r="B33" s="87">
        <v>10.267958999999999</v>
      </c>
      <c r="C33" s="87">
        <v>9.2411639999999995</v>
      </c>
      <c r="D33" s="87">
        <v>8.2143689999999996</v>
      </c>
      <c r="E33" s="87">
        <v>7.1875740000000006</v>
      </c>
      <c r="F33" s="87">
        <v>6.1607789999999998</v>
      </c>
      <c r="G33" s="87">
        <v>5.6695479999999998</v>
      </c>
      <c r="H33" s="87">
        <v>5.2789200000000003</v>
      </c>
      <c r="I33" s="87">
        <v>6.0652660000000003</v>
      </c>
      <c r="J33" s="87">
        <v>5.2487320000000004</v>
      </c>
      <c r="K33" s="87">
        <v>4.2219370000000005</v>
      </c>
      <c r="L33" s="87">
        <v>3.7775570000000003</v>
      </c>
      <c r="M33" s="87">
        <v>3.739805</v>
      </c>
      <c r="N33" s="87">
        <v>3.2477560000000003</v>
      </c>
      <c r="O33" s="87">
        <v>3.396903</v>
      </c>
      <c r="P33" s="87">
        <v>3.5695200000000002</v>
      </c>
      <c r="Q33" s="87">
        <v>3.9399890000000002</v>
      </c>
      <c r="R33" s="87">
        <v>2.9131940000000003</v>
      </c>
      <c r="S33" s="87">
        <v>4.5721759999999998</v>
      </c>
      <c r="T33" s="87">
        <v>3.8803320000000001</v>
      </c>
      <c r="U33" s="87">
        <v>4.4512270000000003</v>
      </c>
      <c r="V33" s="87">
        <v>4.9931020000000004</v>
      </c>
      <c r="W33" s="87">
        <v>6.0354390000000002</v>
      </c>
      <c r="DA33" s="171" t="s">
        <v>1051</v>
      </c>
    </row>
    <row r="34" spans="1:105" ht="11.45" customHeight="1" x14ac:dyDescent="0.25">
      <c r="A34" s="85" t="s">
        <v>93</v>
      </c>
      <c r="B34" s="88">
        <v>9.7385729999999988</v>
      </c>
      <c r="C34" s="88">
        <v>12.093245999999999</v>
      </c>
      <c r="D34" s="88">
        <v>13.550049</v>
      </c>
      <c r="E34" s="88">
        <v>13.319123999999999</v>
      </c>
      <c r="F34" s="88">
        <v>15.674512999999999</v>
      </c>
      <c r="G34" s="88">
        <v>16.256166</v>
      </c>
      <c r="H34" s="88">
        <v>16.839830000000003</v>
      </c>
      <c r="I34" s="88">
        <v>16.442</v>
      </c>
      <c r="J34" s="88">
        <v>17.741793000000001</v>
      </c>
      <c r="K34" s="88">
        <v>16.767936000000002</v>
      </c>
      <c r="L34" s="88">
        <v>17.371721000000001</v>
      </c>
      <c r="M34" s="88">
        <v>16.397864000000002</v>
      </c>
      <c r="N34" s="88">
        <v>17.301025000000003</v>
      </c>
      <c r="O34" s="88">
        <v>16.327168</v>
      </c>
      <c r="P34" s="88">
        <v>16.288827000000001</v>
      </c>
      <c r="Q34" s="88">
        <v>17.870685000000002</v>
      </c>
      <c r="R34" s="88">
        <v>21.434587000000001</v>
      </c>
      <c r="S34" s="88">
        <v>20.460730000000002</v>
      </c>
      <c r="T34" s="88">
        <v>20.697167</v>
      </c>
      <c r="U34" s="88">
        <v>19.723310000000001</v>
      </c>
      <c r="V34" s="88">
        <v>18.773755000000001</v>
      </c>
      <c r="W34" s="88">
        <v>19.174713000000001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6.6520069999999993</v>
      </c>
      <c r="D36" s="54">
        <f t="shared" ref="D36:V36" si="34">D37+D43</f>
        <v>28.087236000000019</v>
      </c>
      <c r="E36" s="54">
        <f t="shared" si="34"/>
        <v>38.598895999999996</v>
      </c>
      <c r="F36" s="54">
        <f t="shared" si="34"/>
        <v>16.365489000000011</v>
      </c>
      <c r="G36" s="54">
        <f t="shared" si="34"/>
        <v>7.6850970000000043</v>
      </c>
      <c r="H36" s="54">
        <f t="shared" si="34"/>
        <v>41.015488000000005</v>
      </c>
      <c r="I36" s="54">
        <f t="shared" si="34"/>
        <v>10.947075000000009</v>
      </c>
      <c r="J36" s="54">
        <f t="shared" si="34"/>
        <v>26.827956000000015</v>
      </c>
      <c r="K36" s="54">
        <f t="shared" si="34"/>
        <v>0.11796999999998548</v>
      </c>
      <c r="L36" s="54">
        <f t="shared" si="34"/>
        <v>11.335801999999997</v>
      </c>
      <c r="M36" s="54">
        <f t="shared" si="34"/>
        <v>1.1110029999999793</v>
      </c>
      <c r="N36" s="54">
        <f t="shared" si="34"/>
        <v>1.8571910000000038</v>
      </c>
      <c r="O36" s="54">
        <f t="shared" si="34"/>
        <v>0.95025199999999899</v>
      </c>
      <c r="P36" s="54">
        <f t="shared" si="34"/>
        <v>4.9142330000000038</v>
      </c>
      <c r="Q36" s="54">
        <f t="shared" si="34"/>
        <v>22.047110000000018</v>
      </c>
      <c r="R36" s="54">
        <f t="shared" si="34"/>
        <v>115.07117199999999</v>
      </c>
      <c r="S36" s="54">
        <f t="shared" si="34"/>
        <v>69.322863999999967</v>
      </c>
      <c r="T36" s="54">
        <f t="shared" si="34"/>
        <v>19.852616999999999</v>
      </c>
      <c r="U36" s="54">
        <f t="shared" si="34"/>
        <v>23.335360000000044</v>
      </c>
      <c r="V36" s="54">
        <f t="shared" si="34"/>
        <v>0.91152199999999972</v>
      </c>
      <c r="W36" s="54">
        <f t="shared" ref="W36" si="35">W37+W43</f>
        <v>20.880085000000015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3.8942249999999987</v>
      </c>
      <c r="D37" s="28">
        <f t="shared" ref="D37:V37" si="37">SUM(D38,D39,D42)</f>
        <v>26.227324000000017</v>
      </c>
      <c r="E37" s="28">
        <f t="shared" si="37"/>
        <v>38.426711999999995</v>
      </c>
      <c r="F37" s="28">
        <f t="shared" si="37"/>
        <v>13.606991000000011</v>
      </c>
      <c r="G37" s="28">
        <f t="shared" si="37"/>
        <v>6.7003350000000026</v>
      </c>
      <c r="H37" s="28">
        <f t="shared" si="37"/>
        <v>40.028715000000005</v>
      </c>
      <c r="I37" s="28">
        <f t="shared" si="37"/>
        <v>9.785803000000012</v>
      </c>
      <c r="J37" s="28">
        <f t="shared" si="37"/>
        <v>25.125054000000013</v>
      </c>
      <c r="K37" s="28">
        <f t="shared" si="37"/>
        <v>0.11796999999998548</v>
      </c>
      <c r="L37" s="28">
        <f t="shared" si="37"/>
        <v>10.328907999999998</v>
      </c>
      <c r="M37" s="28">
        <f t="shared" si="37"/>
        <v>0.77910799999997948</v>
      </c>
      <c r="N37" s="28">
        <f t="shared" si="37"/>
        <v>0.55092100000000244</v>
      </c>
      <c r="O37" s="28">
        <f t="shared" si="37"/>
        <v>0.43145799999999923</v>
      </c>
      <c r="P37" s="28">
        <f t="shared" si="37"/>
        <v>4.007201000000002</v>
      </c>
      <c r="Q37" s="28">
        <f t="shared" si="37"/>
        <v>19.322027000000016</v>
      </c>
      <c r="R37" s="28">
        <f t="shared" si="37"/>
        <v>111.10416099999999</v>
      </c>
      <c r="S37" s="28">
        <f t="shared" si="37"/>
        <v>67.294234999999972</v>
      </c>
      <c r="T37" s="28">
        <f t="shared" si="37"/>
        <v>19.213070999999999</v>
      </c>
      <c r="U37" s="28">
        <f t="shared" si="37"/>
        <v>22.394818000000043</v>
      </c>
      <c r="V37" s="28">
        <f t="shared" si="37"/>
        <v>0</v>
      </c>
      <c r="W37" s="28">
        <f t="shared" ref="W37" si="38">SUM(W38,W39,W42)</f>
        <v>18.664034000000015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3.8942249999999987</v>
      </c>
      <c r="D38" s="108">
        <v>2.7200870000000137</v>
      </c>
      <c r="E38" s="108">
        <v>27.964050999999998</v>
      </c>
      <c r="F38" s="108">
        <v>8.1495760000000104</v>
      </c>
      <c r="G38" s="108">
        <v>6.0244160000000022</v>
      </c>
      <c r="H38" s="108">
        <v>22.690474000000009</v>
      </c>
      <c r="I38" s="108">
        <v>6.6350040000000092</v>
      </c>
      <c r="J38" s="108">
        <v>7.9571980000000053</v>
      </c>
      <c r="K38" s="108">
        <v>0.11796999999998548</v>
      </c>
      <c r="L38" s="108">
        <v>7.1690079999999909</v>
      </c>
      <c r="M38" s="108">
        <v>0.77910799999997948</v>
      </c>
      <c r="N38" s="108">
        <v>0</v>
      </c>
      <c r="O38" s="108">
        <v>0</v>
      </c>
      <c r="P38" s="108">
        <v>0</v>
      </c>
      <c r="Q38" s="108">
        <v>6.774823000000012</v>
      </c>
      <c r="R38" s="108">
        <v>6.2928679999999986</v>
      </c>
      <c r="S38" s="108">
        <v>7.2211829999999964</v>
      </c>
      <c r="T38" s="108">
        <v>7.3568259999999839</v>
      </c>
      <c r="U38" s="108">
        <v>12.257099000000011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23.507237000000003</v>
      </c>
      <c r="E39" s="110">
        <f t="shared" si="40"/>
        <v>10.462660999999997</v>
      </c>
      <c r="F39" s="110">
        <f t="shared" si="40"/>
        <v>0</v>
      </c>
      <c r="G39" s="110">
        <f t="shared" si="40"/>
        <v>0</v>
      </c>
      <c r="H39" s="110">
        <f t="shared" si="40"/>
        <v>16.971574999999994</v>
      </c>
      <c r="I39" s="110">
        <f t="shared" si="40"/>
        <v>2.8441320000000019</v>
      </c>
      <c r="J39" s="110">
        <f t="shared" si="40"/>
        <v>17.034523000000007</v>
      </c>
      <c r="K39" s="110">
        <f t="shared" si="40"/>
        <v>0</v>
      </c>
      <c r="L39" s="110">
        <f t="shared" si="40"/>
        <v>3.1132330000000081</v>
      </c>
      <c r="M39" s="110">
        <f t="shared" si="40"/>
        <v>0</v>
      </c>
      <c r="N39" s="110">
        <f t="shared" si="40"/>
        <v>0.55092100000000244</v>
      </c>
      <c r="O39" s="110">
        <f t="shared" si="40"/>
        <v>0.43145799999999923</v>
      </c>
      <c r="P39" s="110">
        <f t="shared" si="40"/>
        <v>4.007201000000002</v>
      </c>
      <c r="Q39" s="110">
        <f t="shared" si="40"/>
        <v>12.547204000000004</v>
      </c>
      <c r="R39" s="110">
        <f t="shared" si="40"/>
        <v>104.722404</v>
      </c>
      <c r="S39" s="110">
        <f t="shared" si="40"/>
        <v>60.073051999999976</v>
      </c>
      <c r="T39" s="110">
        <f t="shared" si="40"/>
        <v>11.856245000000015</v>
      </c>
      <c r="U39" s="110">
        <f t="shared" si="40"/>
        <v>10.137719000000033</v>
      </c>
      <c r="V39" s="110">
        <f t="shared" si="40"/>
        <v>0</v>
      </c>
      <c r="W39" s="110">
        <f t="shared" ref="W39" si="41">SUM(W40:W41)</f>
        <v>18.664034000000015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2.0080039999999926</v>
      </c>
      <c r="I40" s="84">
        <v>2.8441320000000019</v>
      </c>
      <c r="J40" s="84">
        <v>4.774487999999991</v>
      </c>
      <c r="K40" s="84">
        <v>0</v>
      </c>
      <c r="L40" s="84">
        <v>0</v>
      </c>
      <c r="M40" s="84">
        <v>0</v>
      </c>
      <c r="N40" s="84">
        <v>0</v>
      </c>
      <c r="O40" s="84">
        <v>0.43145799999999923</v>
      </c>
      <c r="P40" s="84">
        <v>4.007201000000002</v>
      </c>
      <c r="Q40" s="84">
        <v>2.9963340000000009</v>
      </c>
      <c r="R40" s="84">
        <v>3.3027340000000009</v>
      </c>
      <c r="S40" s="84">
        <v>1.7362509999999993</v>
      </c>
      <c r="T40" s="84">
        <v>4.8316200000000009</v>
      </c>
      <c r="U40" s="84">
        <v>2.4674550000000011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23.507237000000003</v>
      </c>
      <c r="E41" s="84">
        <v>10.462660999999997</v>
      </c>
      <c r="F41" s="84">
        <v>0</v>
      </c>
      <c r="G41" s="84">
        <v>0</v>
      </c>
      <c r="H41" s="84">
        <v>14.963571000000002</v>
      </c>
      <c r="I41" s="84">
        <v>0</v>
      </c>
      <c r="J41" s="84">
        <v>12.260035000000016</v>
      </c>
      <c r="K41" s="84">
        <v>0</v>
      </c>
      <c r="L41" s="84">
        <v>3.1132330000000081</v>
      </c>
      <c r="M41" s="84">
        <v>0</v>
      </c>
      <c r="N41" s="84">
        <v>0.55092100000000244</v>
      </c>
      <c r="O41" s="84">
        <v>0</v>
      </c>
      <c r="P41" s="84">
        <v>0</v>
      </c>
      <c r="Q41" s="84">
        <v>9.5508700000000033</v>
      </c>
      <c r="R41" s="84">
        <v>101.41967</v>
      </c>
      <c r="S41" s="84">
        <v>58.33680099999998</v>
      </c>
      <c r="T41" s="84">
        <v>7.0246250000000146</v>
      </c>
      <c r="U41" s="84">
        <v>7.6702640000000315</v>
      </c>
      <c r="V41" s="84">
        <v>0</v>
      </c>
      <c r="W41" s="84">
        <v>18.664034000000015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5.4574150000000001</v>
      </c>
      <c r="G42" s="113">
        <v>0.67591900000000038</v>
      </c>
      <c r="H42" s="113">
        <v>0.36666599999999949</v>
      </c>
      <c r="I42" s="113">
        <v>0.30666700000000002</v>
      </c>
      <c r="J42" s="113">
        <v>0.13333300000000037</v>
      </c>
      <c r="K42" s="113">
        <v>0</v>
      </c>
      <c r="L42" s="113">
        <v>4.6666999999999348E-2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8.8888999999999996E-2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2.7577820000000006</v>
      </c>
      <c r="D43" s="28">
        <f t="shared" ref="D43:V43" si="43">SUM(D44:D45)</f>
        <v>1.8599120000000013</v>
      </c>
      <c r="E43" s="28">
        <f t="shared" si="43"/>
        <v>0.17218399999999967</v>
      </c>
      <c r="F43" s="28">
        <f t="shared" si="43"/>
        <v>2.7584979999999995</v>
      </c>
      <c r="G43" s="28">
        <f t="shared" si="43"/>
        <v>0.98476200000000169</v>
      </c>
      <c r="H43" s="28">
        <f t="shared" si="43"/>
        <v>0.98677300000000301</v>
      </c>
      <c r="I43" s="28">
        <f t="shared" si="43"/>
        <v>1.1612719999999976</v>
      </c>
      <c r="J43" s="28">
        <f t="shared" si="43"/>
        <v>1.7029020000000017</v>
      </c>
      <c r="K43" s="28">
        <f t="shared" si="43"/>
        <v>0</v>
      </c>
      <c r="L43" s="28">
        <f t="shared" si="43"/>
        <v>1.0068939999999991</v>
      </c>
      <c r="M43" s="28">
        <f t="shared" si="43"/>
        <v>0.33189499999999983</v>
      </c>
      <c r="N43" s="28">
        <f t="shared" si="43"/>
        <v>1.3062700000000014</v>
      </c>
      <c r="O43" s="28">
        <f t="shared" si="43"/>
        <v>0.51879399999999976</v>
      </c>
      <c r="P43" s="28">
        <f t="shared" si="43"/>
        <v>0.90703200000000184</v>
      </c>
      <c r="Q43" s="28">
        <f t="shared" si="43"/>
        <v>2.725083000000001</v>
      </c>
      <c r="R43" s="28">
        <f t="shared" si="43"/>
        <v>3.9670109999999994</v>
      </c>
      <c r="S43" s="28">
        <f t="shared" si="43"/>
        <v>2.0286289999999991</v>
      </c>
      <c r="T43" s="28">
        <f t="shared" si="43"/>
        <v>0.63954599999999928</v>
      </c>
      <c r="U43" s="28">
        <f t="shared" si="43"/>
        <v>0.94054199999999977</v>
      </c>
      <c r="V43" s="28">
        <f t="shared" si="43"/>
        <v>0.91152199999999972</v>
      </c>
      <c r="W43" s="28">
        <f t="shared" ref="W43" si="44">SUM(W44:W45)</f>
        <v>2.2160509999999993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1.1559929999999996</v>
      </c>
      <c r="J44" s="84">
        <v>0</v>
      </c>
      <c r="K44" s="84">
        <v>0</v>
      </c>
      <c r="L44" s="84">
        <v>0</v>
      </c>
      <c r="M44" s="84">
        <v>0.33189499999999983</v>
      </c>
      <c r="N44" s="84">
        <v>0</v>
      </c>
      <c r="O44" s="84">
        <v>0.51879399999999976</v>
      </c>
      <c r="P44" s="84">
        <v>0.5422640000000003</v>
      </c>
      <c r="Q44" s="84">
        <v>0.740116</v>
      </c>
      <c r="R44" s="84">
        <v>0</v>
      </c>
      <c r="S44" s="84">
        <v>2.0286289999999991</v>
      </c>
      <c r="T44" s="84">
        <v>0</v>
      </c>
      <c r="U44" s="84">
        <v>0.94054199999999977</v>
      </c>
      <c r="V44" s="84">
        <v>0.91152199999999972</v>
      </c>
      <c r="W44" s="84">
        <v>1.4119839999999995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2.7577820000000006</v>
      </c>
      <c r="D45" s="86">
        <v>1.8599120000000013</v>
      </c>
      <c r="E45" s="86">
        <v>0.17218399999999967</v>
      </c>
      <c r="F45" s="86">
        <v>2.7584979999999995</v>
      </c>
      <c r="G45" s="86">
        <v>0.98476200000000169</v>
      </c>
      <c r="H45" s="86">
        <v>0.98677300000000301</v>
      </c>
      <c r="I45" s="86">
        <v>5.2789999999980353E-3</v>
      </c>
      <c r="J45" s="86">
        <v>1.7029020000000017</v>
      </c>
      <c r="K45" s="86">
        <v>0</v>
      </c>
      <c r="L45" s="86">
        <v>1.0068939999999991</v>
      </c>
      <c r="M45" s="86">
        <v>0</v>
      </c>
      <c r="N45" s="86">
        <v>1.3062700000000014</v>
      </c>
      <c r="O45" s="86">
        <v>0</v>
      </c>
      <c r="P45" s="86">
        <v>0.36476800000000154</v>
      </c>
      <c r="Q45" s="86">
        <v>1.984967000000001</v>
      </c>
      <c r="R45" s="86">
        <v>3.9670109999999994</v>
      </c>
      <c r="S45" s="86">
        <v>0</v>
      </c>
      <c r="T45" s="86">
        <v>0.63954599999999928</v>
      </c>
      <c r="U45" s="86">
        <v>0</v>
      </c>
      <c r="V45" s="86">
        <v>0</v>
      </c>
      <c r="W45" s="86">
        <v>0.80406699999999987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116.00692839326163</v>
      </c>
      <c r="C50" s="29">
        <f t="shared" si="45"/>
        <v>123.76456195433522</v>
      </c>
      <c r="D50" s="29">
        <f t="shared" si="45"/>
        <v>118.82946405828906</v>
      </c>
      <c r="E50" s="29">
        <f t="shared" si="45"/>
        <v>112.04704997586605</v>
      </c>
      <c r="F50" s="29">
        <f t="shared" si="45"/>
        <v>114.43802448106121</v>
      </c>
      <c r="G50" s="29">
        <f t="shared" si="45"/>
        <v>115.5830892235299</v>
      </c>
      <c r="H50" s="29">
        <f t="shared" si="45"/>
        <v>109.72699933699012</v>
      </c>
      <c r="I50" s="29">
        <f t="shared" si="45"/>
        <v>114.0152921532767</v>
      </c>
      <c r="J50" s="29">
        <f t="shared" si="45"/>
        <v>114.14890445518323</v>
      </c>
      <c r="K50" s="29">
        <f t="shared" ref="K50:V50" si="46">IF(K4=0,0,K4/K15)</f>
        <v>119.43643285268116</v>
      </c>
      <c r="L50" s="29">
        <f t="shared" si="46"/>
        <v>118.52117663660587</v>
      </c>
      <c r="M50" s="29">
        <f t="shared" si="46"/>
        <v>132.86410408963175</v>
      </c>
      <c r="N50" s="29">
        <f t="shared" si="46"/>
        <v>124.46163583422516</v>
      </c>
      <c r="O50" s="29">
        <f t="shared" si="46"/>
        <v>133.83251629407025</v>
      </c>
      <c r="P50" s="29">
        <f t="shared" si="46"/>
        <v>138.32846068518893</v>
      </c>
      <c r="Q50" s="29">
        <f t="shared" si="46"/>
        <v>136.79801880530275</v>
      </c>
      <c r="R50" s="29">
        <f t="shared" si="46"/>
        <v>103.18721731970983</v>
      </c>
      <c r="S50" s="29">
        <f t="shared" si="46"/>
        <v>93.549676585312227</v>
      </c>
      <c r="T50" s="29">
        <f t="shared" si="46"/>
        <v>93.320051290781436</v>
      </c>
      <c r="U50" s="29">
        <f t="shared" si="46"/>
        <v>100.23670149377261</v>
      </c>
      <c r="V50" s="29">
        <f t="shared" si="46"/>
        <v>57.815599254185273</v>
      </c>
      <c r="W50" s="29">
        <f t="shared" ref="W50" si="47">IF(W4=0,0,W4/W15)</f>
        <v>60.458227802029448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77.42624802514058</v>
      </c>
      <c r="C51" s="115">
        <f t="shared" si="48"/>
        <v>77.42624802514058</v>
      </c>
      <c r="D51" s="115">
        <f t="shared" si="48"/>
        <v>77.42624802514058</v>
      </c>
      <c r="E51" s="115">
        <f t="shared" si="48"/>
        <v>77.42624802514058</v>
      </c>
      <c r="F51" s="115">
        <f t="shared" si="48"/>
        <v>79.854664868289049</v>
      </c>
      <c r="G51" s="115">
        <f t="shared" si="48"/>
        <v>76.821893928504352</v>
      </c>
      <c r="H51" s="115">
        <f t="shared" si="48"/>
        <v>74.292220921222182</v>
      </c>
      <c r="I51" s="115">
        <f t="shared" si="48"/>
        <v>76.126638584738615</v>
      </c>
      <c r="J51" s="115">
        <f t="shared" si="48"/>
        <v>75.85638699483286</v>
      </c>
      <c r="K51" s="115">
        <f t="shared" ref="K51:V51" si="49">IF(K5=0,0,K5/K16)</f>
        <v>76.717516616553837</v>
      </c>
      <c r="L51" s="115">
        <f t="shared" si="49"/>
        <v>76.75481265126129</v>
      </c>
      <c r="M51" s="115">
        <f t="shared" si="49"/>
        <v>78.547313243002691</v>
      </c>
      <c r="N51" s="115">
        <f t="shared" si="49"/>
        <v>77.22052561350354</v>
      </c>
      <c r="O51" s="115">
        <f t="shared" si="49"/>
        <v>75.781437100373665</v>
      </c>
      <c r="P51" s="115">
        <f t="shared" si="49"/>
        <v>77.053851039963376</v>
      </c>
      <c r="Q51" s="115">
        <f t="shared" si="49"/>
        <v>77.158742739880765</v>
      </c>
      <c r="R51" s="115">
        <f t="shared" si="49"/>
        <v>78.440370444238468</v>
      </c>
      <c r="S51" s="115">
        <f t="shared" si="49"/>
        <v>79.56708434853978</v>
      </c>
      <c r="T51" s="115">
        <f t="shared" si="49"/>
        <v>80.194610667024236</v>
      </c>
      <c r="U51" s="115">
        <f t="shared" si="49"/>
        <v>81.864999676102869</v>
      </c>
      <c r="V51" s="115">
        <f t="shared" si="49"/>
        <v>46.644099876246635</v>
      </c>
      <c r="W51" s="115">
        <f t="shared" ref="W51" si="50">IF(W5=0,0,W5/W16)</f>
        <v>49.670794528025112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124.13787923719687</v>
      </c>
      <c r="C52" s="116">
        <f t="shared" si="51"/>
        <v>134.77673187053688</v>
      </c>
      <c r="D52" s="116">
        <f t="shared" si="51"/>
        <v>128.45487982532788</v>
      </c>
      <c r="E52" s="116">
        <f t="shared" si="51"/>
        <v>123.36457710544755</v>
      </c>
      <c r="F52" s="116">
        <f t="shared" si="51"/>
        <v>122.24846324091683</v>
      </c>
      <c r="G52" s="116">
        <f t="shared" si="51"/>
        <v>125.27326315836613</v>
      </c>
      <c r="H52" s="116">
        <f t="shared" si="51"/>
        <v>119.83534390863407</v>
      </c>
      <c r="I52" s="116">
        <f t="shared" si="51"/>
        <v>127.40201850173086</v>
      </c>
      <c r="J52" s="116">
        <f t="shared" si="51"/>
        <v>127.42044363780855</v>
      </c>
      <c r="K52" s="116">
        <f t="shared" ref="K52:V52" si="52">IF(K6=0,0,K6/K17)</f>
        <v>136.09482276313682</v>
      </c>
      <c r="L52" s="116">
        <f t="shared" si="52"/>
        <v>136.36639338525285</v>
      </c>
      <c r="M52" s="116">
        <f t="shared" si="52"/>
        <v>165.5273071540135</v>
      </c>
      <c r="N52" s="116">
        <f t="shared" si="52"/>
        <v>149.27632660015573</v>
      </c>
      <c r="O52" s="116">
        <f t="shared" si="52"/>
        <v>169.6539514513729</v>
      </c>
      <c r="P52" s="116">
        <f t="shared" si="52"/>
        <v>172.67404007774334</v>
      </c>
      <c r="Q52" s="116">
        <f t="shared" si="52"/>
        <v>168.22474121706222</v>
      </c>
      <c r="R52" s="116">
        <f t="shared" si="52"/>
        <v>104.59822418203993</v>
      </c>
      <c r="S52" s="116">
        <f t="shared" si="52"/>
        <v>89.858377180549397</v>
      </c>
      <c r="T52" s="116">
        <f t="shared" si="52"/>
        <v>89.177918611174732</v>
      </c>
      <c r="U52" s="116">
        <f t="shared" si="52"/>
        <v>98.131931233856378</v>
      </c>
      <c r="V52" s="116">
        <f t="shared" si="52"/>
        <v>58.846137381628061</v>
      </c>
      <c r="W52" s="116">
        <f t="shared" ref="W52" si="53">IF(W6=0,0,W6/W17)</f>
        <v>60.566520231929104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106.89136254497043</v>
      </c>
      <c r="C53" s="87">
        <f t="shared" si="54"/>
        <v>112.30531094345274</v>
      </c>
      <c r="D53" s="87">
        <f t="shared" si="54"/>
        <v>113.54371899681504</v>
      </c>
      <c r="E53" s="87">
        <f t="shared" si="54"/>
        <v>99.941895416239277</v>
      </c>
      <c r="F53" s="87">
        <f t="shared" si="54"/>
        <v>103.18611998897447</v>
      </c>
      <c r="G53" s="87">
        <f t="shared" si="54"/>
        <v>106.44410879694651</v>
      </c>
      <c r="H53" s="87">
        <f t="shared" si="54"/>
        <v>104.09656843012459</v>
      </c>
      <c r="I53" s="87">
        <f t="shared" si="54"/>
        <v>112.94654588768222</v>
      </c>
      <c r="J53" s="87">
        <f t="shared" si="54"/>
        <v>111.30575937590702</v>
      </c>
      <c r="K53" s="87">
        <f t="shared" ref="K53:V53" si="55">IF(K7=0,0,K7/K18)</f>
        <v>118.48020743483225</v>
      </c>
      <c r="L53" s="87">
        <f t="shared" si="55"/>
        <v>121.9451221148372</v>
      </c>
      <c r="M53" s="87">
        <f t="shared" si="55"/>
        <v>155.28711522143425</v>
      </c>
      <c r="N53" s="87">
        <f t="shared" si="55"/>
        <v>142.67702931293351</v>
      </c>
      <c r="O53" s="87">
        <f t="shared" si="55"/>
        <v>172.81544970012314</v>
      </c>
      <c r="P53" s="87">
        <f t="shared" si="55"/>
        <v>173.16628031603588</v>
      </c>
      <c r="Q53" s="87">
        <f t="shared" si="55"/>
        <v>174.53284770399461</v>
      </c>
      <c r="R53" s="87">
        <f t="shared" si="55"/>
        <v>134.5971950059147</v>
      </c>
      <c r="S53" s="87">
        <f t="shared" si="55"/>
        <v>146.82134293510404</v>
      </c>
      <c r="T53" s="87">
        <f t="shared" si="55"/>
        <v>117.78288845479138</v>
      </c>
      <c r="U53" s="87">
        <f t="shared" si="55"/>
        <v>132.4945100375904</v>
      </c>
      <c r="V53" s="87">
        <f t="shared" si="55"/>
        <v>97.167130830538198</v>
      </c>
      <c r="W53" s="87">
        <f t="shared" ref="W53" si="56">IF(W7=0,0,W7/W18)</f>
        <v>126.51168392490246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140.54188217869969</v>
      </c>
      <c r="C54" s="87">
        <f t="shared" si="57"/>
        <v>153.68364238829858</v>
      </c>
      <c r="D54" s="87">
        <f t="shared" si="57"/>
        <v>137.33333957246967</v>
      </c>
      <c r="E54" s="87">
        <f t="shared" si="57"/>
        <v>135.10987690496128</v>
      </c>
      <c r="F54" s="87">
        <f t="shared" si="57"/>
        <v>132.03088267746892</v>
      </c>
      <c r="G54" s="87">
        <f t="shared" si="57"/>
        <v>134.04332526596937</v>
      </c>
      <c r="H54" s="87">
        <f t="shared" si="57"/>
        <v>126.36941434195366</v>
      </c>
      <c r="I54" s="87">
        <f t="shared" si="57"/>
        <v>133.59702397993146</v>
      </c>
      <c r="J54" s="87">
        <f t="shared" si="57"/>
        <v>134.05147193949074</v>
      </c>
      <c r="K54" s="87">
        <f t="shared" ref="K54:V54" si="58">IF(K8=0,0,K8/K19)</f>
        <v>142.29864017339034</v>
      </c>
      <c r="L54" s="87">
        <f t="shared" si="58"/>
        <v>140.91229641732289</v>
      </c>
      <c r="M54" s="87">
        <f t="shared" si="58"/>
        <v>168.8652958981244</v>
      </c>
      <c r="N54" s="87">
        <f t="shared" si="58"/>
        <v>150.88966672131713</v>
      </c>
      <c r="O54" s="87">
        <f t="shared" si="58"/>
        <v>168.80130544729218</v>
      </c>
      <c r="P54" s="87">
        <f t="shared" si="58"/>
        <v>172.53979715340316</v>
      </c>
      <c r="Q54" s="87">
        <f t="shared" si="58"/>
        <v>166.61872508449733</v>
      </c>
      <c r="R54" s="87">
        <f t="shared" si="58"/>
        <v>100.59847172207026</v>
      </c>
      <c r="S54" s="87">
        <f t="shared" si="58"/>
        <v>84.186703904155678</v>
      </c>
      <c r="T54" s="87">
        <f t="shared" si="58"/>
        <v>86.192432982165798</v>
      </c>
      <c r="U54" s="87">
        <f t="shared" si="58"/>
        <v>94.696141298758349</v>
      </c>
      <c r="V54" s="87">
        <f t="shared" si="58"/>
        <v>55.60613208931008</v>
      </c>
      <c r="W54" s="87">
        <f t="shared" ref="W54" si="59">IF(W8=0,0,W8/W19)</f>
        <v>56.448357218766127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177.53623188405797</v>
      </c>
      <c r="G55" s="117">
        <f t="shared" si="60"/>
        <v>177.536231884058</v>
      </c>
      <c r="H55" s="117">
        <f t="shared" si="60"/>
        <v>173.67521367521368</v>
      </c>
      <c r="I55" s="117">
        <f t="shared" si="60"/>
        <v>165.19751877244531</v>
      </c>
      <c r="J55" s="117">
        <f t="shared" si="60"/>
        <v>168.10758885686838</v>
      </c>
      <c r="K55" s="117">
        <f t="shared" ref="K55:V55" si="61">IF(K9=0,0,K9/K20)</f>
        <v>169.44266495836004</v>
      </c>
      <c r="L55" s="117">
        <f t="shared" si="61"/>
        <v>165.15884160305345</v>
      </c>
      <c r="M55" s="117">
        <f t="shared" si="61"/>
        <v>148.73922757740186</v>
      </c>
      <c r="N55" s="117">
        <f t="shared" si="61"/>
        <v>148.02947773149631</v>
      </c>
      <c r="O55" s="117">
        <f t="shared" si="61"/>
        <v>149.51768488745981</v>
      </c>
      <c r="P55" s="117">
        <f t="shared" si="61"/>
        <v>173.66042608134282</v>
      </c>
      <c r="Q55" s="117">
        <f t="shared" si="61"/>
        <v>184.3213475866537</v>
      </c>
      <c r="R55" s="117">
        <f t="shared" si="61"/>
        <v>192.87374371859295</v>
      </c>
      <c r="S55" s="117">
        <f t="shared" si="61"/>
        <v>205.47514159848961</v>
      </c>
      <c r="T55" s="117">
        <f t="shared" si="61"/>
        <v>214.95934959349592</v>
      </c>
      <c r="U55" s="117">
        <f t="shared" si="61"/>
        <v>223.14844501442769</v>
      </c>
      <c r="V55" s="117">
        <f t="shared" si="61"/>
        <v>123.27252625760089</v>
      </c>
      <c r="W55" s="117">
        <f t="shared" ref="W55" si="62">IF(W9=0,0,W9/W20)</f>
        <v>122.15343366060544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545.57185299204946</v>
      </c>
      <c r="C56" s="29">
        <f t="shared" si="63"/>
        <v>536.49424803390229</v>
      </c>
      <c r="D56" s="29">
        <f t="shared" si="63"/>
        <v>537.98967297024842</v>
      </c>
      <c r="E56" s="29">
        <f t="shared" si="63"/>
        <v>547.62679622251528</v>
      </c>
      <c r="F56" s="29">
        <f t="shared" si="63"/>
        <v>538.24645371517397</v>
      </c>
      <c r="G56" s="29">
        <f t="shared" si="63"/>
        <v>552.31955239176762</v>
      </c>
      <c r="H56" s="29">
        <f t="shared" si="63"/>
        <v>549.30773815825114</v>
      </c>
      <c r="I56" s="29">
        <f t="shared" si="63"/>
        <v>574.48116967140561</v>
      </c>
      <c r="J56" s="29">
        <f t="shared" si="63"/>
        <v>554.35882308461441</v>
      </c>
      <c r="K56" s="29">
        <f t="shared" ref="K56:V56" si="64">IF(K10=0,0,K10/K21)</f>
        <v>533.96534138493678</v>
      </c>
      <c r="L56" s="29">
        <f t="shared" si="64"/>
        <v>546.82719664824936</v>
      </c>
      <c r="M56" s="29">
        <f t="shared" si="64"/>
        <v>590.41617328904215</v>
      </c>
      <c r="N56" s="29">
        <f t="shared" si="64"/>
        <v>589.08606535952003</v>
      </c>
      <c r="O56" s="29">
        <f t="shared" si="64"/>
        <v>635.1040954415638</v>
      </c>
      <c r="P56" s="29">
        <f t="shared" si="64"/>
        <v>612.84056408322363</v>
      </c>
      <c r="Q56" s="29">
        <f t="shared" si="64"/>
        <v>616.21208677541097</v>
      </c>
      <c r="R56" s="29">
        <f t="shared" si="64"/>
        <v>569.8668017170113</v>
      </c>
      <c r="S56" s="29">
        <f t="shared" si="64"/>
        <v>580.73686785586631</v>
      </c>
      <c r="T56" s="29">
        <f t="shared" si="64"/>
        <v>562.50640695812615</v>
      </c>
      <c r="U56" s="29">
        <f t="shared" si="64"/>
        <v>571.12232541631954</v>
      </c>
      <c r="V56" s="29">
        <f t="shared" si="64"/>
        <v>484.28785903378224</v>
      </c>
      <c r="W56" s="29">
        <f t="shared" ref="W56" si="65">IF(W10=0,0,W10/W21)</f>
        <v>373.06400727162185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569.65527071943563</v>
      </c>
      <c r="C57" s="87">
        <f t="shared" si="66"/>
        <v>660.14112054751899</v>
      </c>
      <c r="D57" s="87">
        <f t="shared" si="66"/>
        <v>675.26736124529293</v>
      </c>
      <c r="E57" s="87">
        <f t="shared" si="66"/>
        <v>699.55480640721589</v>
      </c>
      <c r="F57" s="87">
        <f t="shared" si="66"/>
        <v>712.21213665757136</v>
      </c>
      <c r="G57" s="87">
        <f t="shared" si="66"/>
        <v>697.31866915249782</v>
      </c>
      <c r="H57" s="87">
        <f t="shared" si="66"/>
        <v>697.75813676664768</v>
      </c>
      <c r="I57" s="87">
        <f t="shared" si="66"/>
        <v>654.28904895468179</v>
      </c>
      <c r="J57" s="87">
        <f t="shared" si="66"/>
        <v>722.15138574123091</v>
      </c>
      <c r="K57" s="87">
        <f t="shared" ref="K57:V57" si="67">IF(K11=0,0,K11/K22)</f>
        <v>750.99034295864237</v>
      </c>
      <c r="L57" s="87">
        <f t="shared" si="67"/>
        <v>742.35499316501534</v>
      </c>
      <c r="M57" s="87">
        <f t="shared" si="67"/>
        <v>785.20947048046446</v>
      </c>
      <c r="N57" s="87">
        <f t="shared" si="67"/>
        <v>800.46080346728388</v>
      </c>
      <c r="O57" s="87">
        <f t="shared" si="67"/>
        <v>826.80006031082087</v>
      </c>
      <c r="P57" s="87">
        <f t="shared" si="67"/>
        <v>830.37436357409695</v>
      </c>
      <c r="Q57" s="87">
        <f t="shared" si="67"/>
        <v>821.11489961609448</v>
      </c>
      <c r="R57" s="87">
        <f t="shared" si="67"/>
        <v>821.15566974130115</v>
      </c>
      <c r="S57" s="87">
        <f t="shared" si="67"/>
        <v>789.33912741617371</v>
      </c>
      <c r="T57" s="87">
        <f t="shared" si="67"/>
        <v>865.78446061695377</v>
      </c>
      <c r="U57" s="87">
        <f t="shared" si="67"/>
        <v>869.16248007363527</v>
      </c>
      <c r="V57" s="87">
        <f t="shared" si="67"/>
        <v>602.24257368238511</v>
      </c>
      <c r="W57" s="87">
        <f t="shared" ref="W57" si="68">IF(W11=0,0,W11/W22)</f>
        <v>533.06015832104265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520.17926736003801</v>
      </c>
      <c r="C58" s="88">
        <f t="shared" si="69"/>
        <v>456.41209240301191</v>
      </c>
      <c r="D58" s="88">
        <f t="shared" si="69"/>
        <v>468.77984999304209</v>
      </c>
      <c r="E58" s="88">
        <f t="shared" si="69"/>
        <v>483.65769612127548</v>
      </c>
      <c r="F58" s="88">
        <f t="shared" si="69"/>
        <v>476.93810244678696</v>
      </c>
      <c r="G58" s="88">
        <f t="shared" si="69"/>
        <v>501.74923690210386</v>
      </c>
      <c r="H58" s="88">
        <f t="shared" si="69"/>
        <v>502.77177003609847</v>
      </c>
      <c r="I58" s="88">
        <f t="shared" si="69"/>
        <v>545.04095314549659</v>
      </c>
      <c r="J58" s="88">
        <f t="shared" si="69"/>
        <v>504.71907038080172</v>
      </c>
      <c r="K58" s="88">
        <f t="shared" ref="K58:V58" si="70">IF(K12=0,0,K12/K23)</f>
        <v>484.76821990702121</v>
      </c>
      <c r="L58" s="88">
        <f t="shared" si="70"/>
        <v>504.30882628146918</v>
      </c>
      <c r="M58" s="88">
        <f t="shared" si="70"/>
        <v>544.66915167904392</v>
      </c>
      <c r="N58" s="88">
        <f t="shared" si="70"/>
        <v>549.406705205256</v>
      </c>
      <c r="O58" s="88">
        <f t="shared" si="70"/>
        <v>590.5996822561375</v>
      </c>
      <c r="P58" s="88">
        <f t="shared" si="70"/>
        <v>565.17040062238709</v>
      </c>
      <c r="Q58" s="88">
        <f t="shared" si="70"/>
        <v>571.03672465347688</v>
      </c>
      <c r="R58" s="88">
        <f t="shared" si="70"/>
        <v>535.81659338284771</v>
      </c>
      <c r="S58" s="88">
        <f t="shared" si="70"/>
        <v>530.83608731800803</v>
      </c>
      <c r="T58" s="88">
        <f t="shared" si="70"/>
        <v>505.64744327493605</v>
      </c>
      <c r="U58" s="88">
        <f t="shared" si="70"/>
        <v>494.18373530921207</v>
      </c>
      <c r="V58" s="88">
        <f t="shared" si="70"/>
        <v>452.91641232016519</v>
      </c>
      <c r="W58" s="88">
        <f t="shared" ref="W58" si="71">IF(W12=0,0,W12/W23)</f>
        <v>322.70356396639227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337.85871663791852</v>
      </c>
      <c r="C61" s="29">
        <f t="shared" ref="C61" si="73">IF(C26=0,0,(C62*C27+C64*C29+C65*C30+C66*C31)/(C27+C29+C30+C31))</f>
        <v>339.22883958958732</v>
      </c>
      <c r="D61" s="29">
        <f t="shared" ref="D61" si="74">IF(D26=0,0,(D62*D27+D64*D29+D65*D30+D66*D31)/(D27+D29+D30+D31))</f>
        <v>338.67064750673256</v>
      </c>
      <c r="E61" s="29">
        <f t="shared" ref="E61" si="75">IF(E26=0,0,(E62*E27+E64*E29+E65*E30+E66*E31)/(E27+E29+E30+E31))</f>
        <v>344.15919455898614</v>
      </c>
      <c r="F61" s="29">
        <f t="shared" ref="F61" si="76">IF(F26=0,0,(F62*F27+F64*F29+F65*F30+F66*F31)/(F27+F29+F30+F31))</f>
        <v>351.20294103574628</v>
      </c>
      <c r="G61" s="29">
        <f t="shared" ref="G61" si="77">IF(G26=0,0,(G62*G27+G64*G29+G65*G30+G66*G31)/(G27+G29+G30+G31))</f>
        <v>353.55031366629544</v>
      </c>
      <c r="H61" s="29">
        <f t="shared" ref="H61" si="78">IF(H26=0,0,(H62*H27+H64*H29+H65*H30+H66*H31)/(H27+H29+H30+H31))</f>
        <v>355.67974372527493</v>
      </c>
      <c r="I61" s="29">
        <f t="shared" ref="I61" si="79">IF(I26=0,0,(I62*I27+I64*I29+I65*I30+I66*I31)/(I27+I29+I30+I31))</f>
        <v>357.10580728528487</v>
      </c>
      <c r="J61" s="29">
        <f t="shared" ref="J61" si="80">IF(J26=0,0,(J62*J27+J64*J29+J65*J30+J66*J31)/(J27+J29+J30+J31))</f>
        <v>356.73125508217453</v>
      </c>
      <c r="K61" s="29">
        <f t="shared" ref="K61" si="81">IF(K26=0,0,(K62*K27+K64*K29+K65*K30+K66*K31)/(K27+K29+K30+K31))</f>
        <v>357.90550633132898</v>
      </c>
      <c r="L61" s="29">
        <f t="shared" ref="L61" si="82">IF(L26=0,0,(L62*L27+L64*L29+L65*L30+L66*L31)/(L27+L29+L30+L31))</f>
        <v>359.18709891275341</v>
      </c>
      <c r="M61" s="29">
        <f t="shared" ref="M61" si="83">IF(M26=0,0,(M62*M27+M64*M29+M65*M30+M66*M31)/(M27+M29+M30+M31))</f>
        <v>361.07521006022455</v>
      </c>
      <c r="N61" s="29">
        <f t="shared" ref="N61" si="84">IF(N26=0,0,(N62*N27+N64*N29+N65*N30+N66*N31)/(N27+N29+N30+N31))</f>
        <v>361.74924320209493</v>
      </c>
      <c r="O61" s="29">
        <f t="shared" ref="O61" si="85">IF(O26=0,0,(O62*O27+O64*O29+O65*O30+O66*O31)/(O27+O29+O30+O31))</f>
        <v>363.04111862413504</v>
      </c>
      <c r="P61" s="29">
        <f t="shared" ref="P61" si="86">IF(P26=0,0,(P62*P27+P64*P29+P65*P30+P66*P31)/(P27+P29+P30+P31))</f>
        <v>363.40116157088744</v>
      </c>
      <c r="Q61" s="29">
        <f t="shared" ref="Q61" si="87">IF(Q26=0,0,(Q62*Q27+Q64*Q29+Q65*Q30+Q66*Q31)/(Q27+Q29+Q30+Q31))</f>
        <v>363.00028640278668</v>
      </c>
      <c r="R61" s="29">
        <f t="shared" ref="R61" si="88">IF(R26=0,0,(R62*R27+R64*R29+R65*R30+R66*R31)/(R27+R29+R30+R31))</f>
        <v>351.8002021374557</v>
      </c>
      <c r="S61" s="29">
        <f t="shared" ref="S61" si="89">IF(S26=0,0,(S62*S27+S64*S29+S65*S30+S66*S31)/(S27+S29+S30+S31))</f>
        <v>348.32205619691803</v>
      </c>
      <c r="T61" s="29">
        <f t="shared" ref="T61" si="90">IF(T26=0,0,(T62*T27+T64*T29+T65*T30+T66*T31)/(T27+T29+T30+T31))</f>
        <v>348.57777040099268</v>
      </c>
      <c r="U61" s="29">
        <f t="shared" ref="U61" si="91">IF(U26=0,0,(U62*U27+U64*U29+U65*U30+U66*U31)/(U27+U29+U30+U31))</f>
        <v>349.49336694031859</v>
      </c>
      <c r="V61" s="29">
        <f t="shared" ref="V61" si="92">IF(V26=0,0,(V62*V27+V64*V29+V65*V30+V66*V31)/(V27+V29+V30+V31))</f>
        <v>349.95991142891427</v>
      </c>
      <c r="W61" s="29">
        <f t="shared" ref="W61" si="93">IF(W26=0,0,(W62*W27+W64*W29+W65*W30+W66*W31)/(W27+W29+W30+W31))</f>
        <v>348.39368132629386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0.34335928801146093</v>
      </c>
      <c r="C72" s="30">
        <f t="shared" ref="C72:J72" si="138">IF(C50=0,0,C50/C61)</f>
        <v>0.36484092008235669</v>
      </c>
      <c r="D72" s="30">
        <f t="shared" si="138"/>
        <v>0.35087027746012978</v>
      </c>
      <c r="E72" s="30">
        <f t="shared" si="138"/>
        <v>0.32556750407161378</v>
      </c>
      <c r="F72" s="30">
        <f t="shared" si="138"/>
        <v>0.32584586035517688</v>
      </c>
      <c r="G72" s="30">
        <f t="shared" si="138"/>
        <v>0.32692118987235574</v>
      </c>
      <c r="H72" s="30">
        <f t="shared" si="138"/>
        <v>0.30849943319162604</v>
      </c>
      <c r="I72" s="30">
        <f t="shared" si="138"/>
        <v>0.31927593958782113</v>
      </c>
      <c r="J72" s="30">
        <f t="shared" si="138"/>
        <v>0.31998571145353821</v>
      </c>
      <c r="K72" s="30">
        <f t="shared" ref="K72:V72" si="139">IF(K50=0,0,K50/K61)</f>
        <v>0.33370940301240731</v>
      </c>
      <c r="L72" s="30">
        <f t="shared" si="139"/>
        <v>0.32997058356317716</v>
      </c>
      <c r="M72" s="30">
        <f t="shared" si="139"/>
        <v>0.36796794791719722</v>
      </c>
      <c r="N72" s="30">
        <f t="shared" si="139"/>
        <v>0.34405499990139132</v>
      </c>
      <c r="O72" s="30">
        <f t="shared" si="139"/>
        <v>0.3686428600740132</v>
      </c>
      <c r="P72" s="30">
        <f t="shared" si="139"/>
        <v>0.38064947312559888</v>
      </c>
      <c r="Q72" s="30">
        <f t="shared" si="139"/>
        <v>0.37685374896236601</v>
      </c>
      <c r="R72" s="30">
        <f t="shared" si="139"/>
        <v>0.29331198985324181</v>
      </c>
      <c r="S72" s="30">
        <f t="shared" si="139"/>
        <v>0.26857235974866173</v>
      </c>
      <c r="T72" s="30">
        <f t="shared" si="139"/>
        <v>0.26771658784617575</v>
      </c>
      <c r="U72" s="30">
        <f t="shared" si="139"/>
        <v>0.28680573360034495</v>
      </c>
      <c r="V72" s="30">
        <f t="shared" si="139"/>
        <v>0.16520634897328543</v>
      </c>
      <c r="W72" s="30">
        <f t="shared" ref="W72" si="140">IF(W50=0,0,W50/W61)</f>
        <v>0.17353422591326018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0.19356562006285144</v>
      </c>
      <c r="C73" s="118">
        <f t="shared" si="141"/>
        <v>0.19356562006285144</v>
      </c>
      <c r="D73" s="118">
        <f t="shared" si="141"/>
        <v>0.19356562006285144</v>
      </c>
      <c r="E73" s="118">
        <f t="shared" si="141"/>
        <v>0.19356562006285144</v>
      </c>
      <c r="F73" s="118">
        <f t="shared" si="141"/>
        <v>0.19963666217072262</v>
      </c>
      <c r="G73" s="118">
        <f t="shared" si="141"/>
        <v>0.19205473482126087</v>
      </c>
      <c r="H73" s="118">
        <f t="shared" si="141"/>
        <v>0.18573055230305546</v>
      </c>
      <c r="I73" s="118">
        <f t="shared" si="141"/>
        <v>0.19031659646184654</v>
      </c>
      <c r="J73" s="118">
        <f t="shared" si="141"/>
        <v>0.18964096748708215</v>
      </c>
      <c r="K73" s="118">
        <f t="shared" ref="K73:V73" si="142">IF(K51=0,0,K51/K62)</f>
        <v>0.1917937915413846</v>
      </c>
      <c r="L73" s="118">
        <f t="shared" si="142"/>
        <v>0.19188703162815324</v>
      </c>
      <c r="M73" s="118">
        <f t="shared" si="142"/>
        <v>0.19636828310750673</v>
      </c>
      <c r="N73" s="118">
        <f t="shared" si="142"/>
        <v>0.19305131403375886</v>
      </c>
      <c r="O73" s="118">
        <f t="shared" si="142"/>
        <v>0.18945359275093415</v>
      </c>
      <c r="P73" s="118">
        <f t="shared" si="142"/>
        <v>0.19263462759990843</v>
      </c>
      <c r="Q73" s="118">
        <f t="shared" si="142"/>
        <v>0.19289685684970193</v>
      </c>
      <c r="R73" s="118">
        <f t="shared" si="142"/>
        <v>0.19610092611059618</v>
      </c>
      <c r="S73" s="118">
        <f t="shared" si="142"/>
        <v>0.19891771087134946</v>
      </c>
      <c r="T73" s="118">
        <f t="shared" si="142"/>
        <v>0.20048652666756059</v>
      </c>
      <c r="U73" s="118">
        <f t="shared" si="142"/>
        <v>0.20466249919025717</v>
      </c>
      <c r="V73" s="118">
        <f t="shared" si="142"/>
        <v>0.11661024969061659</v>
      </c>
      <c r="W73" s="118">
        <f t="shared" ref="W73" si="143">IF(W51=0,0,W51/W62)</f>
        <v>0.12417698632006278</v>
      </c>
      <c r="DA73" s="203"/>
    </row>
    <row r="74" spans="1:105" ht="11.45" customHeight="1" x14ac:dyDescent="0.25">
      <c r="A74" s="109" t="s">
        <v>24</v>
      </c>
      <c r="B74" s="119">
        <f t="shared" si="141"/>
        <v>0.38793087261624021</v>
      </c>
      <c r="C74" s="119">
        <f t="shared" si="141"/>
        <v>0.42117728709542773</v>
      </c>
      <c r="D74" s="119">
        <f t="shared" si="141"/>
        <v>0.40142149945414962</v>
      </c>
      <c r="E74" s="119">
        <f t="shared" si="141"/>
        <v>0.38551430345452359</v>
      </c>
      <c r="F74" s="119">
        <f t="shared" si="141"/>
        <v>0.38202644762786503</v>
      </c>
      <c r="G74" s="119">
        <f t="shared" si="141"/>
        <v>0.39147894736989419</v>
      </c>
      <c r="H74" s="119">
        <f t="shared" si="141"/>
        <v>0.3744854497144815</v>
      </c>
      <c r="I74" s="119">
        <f t="shared" si="141"/>
        <v>0.39813130781790895</v>
      </c>
      <c r="J74" s="119">
        <f t="shared" si="141"/>
        <v>0.3981888863681517</v>
      </c>
      <c r="K74" s="119">
        <f t="shared" ref="K74:V74" si="144">IF(K52=0,0,K52/K63)</f>
        <v>0.42529632113480254</v>
      </c>
      <c r="L74" s="119">
        <f t="shared" si="144"/>
        <v>0.42614497932891515</v>
      </c>
      <c r="M74" s="119">
        <f t="shared" si="144"/>
        <v>0.51727283485629227</v>
      </c>
      <c r="N74" s="119">
        <f t="shared" si="144"/>
        <v>0.46648852062548657</v>
      </c>
      <c r="O74" s="119">
        <f t="shared" si="144"/>
        <v>0.5301685982855403</v>
      </c>
      <c r="P74" s="119">
        <f t="shared" si="144"/>
        <v>0.53960637524294797</v>
      </c>
      <c r="Q74" s="119">
        <f t="shared" si="144"/>
        <v>0.52570231630331943</v>
      </c>
      <c r="R74" s="119">
        <f t="shared" si="144"/>
        <v>0.32686945056887484</v>
      </c>
      <c r="S74" s="119">
        <f t="shared" si="144"/>
        <v>0.28080742868921688</v>
      </c>
      <c r="T74" s="119">
        <f t="shared" si="144"/>
        <v>0.27868099565992105</v>
      </c>
      <c r="U74" s="119">
        <f t="shared" si="144"/>
        <v>0.30666228510580118</v>
      </c>
      <c r="V74" s="119">
        <f t="shared" si="144"/>
        <v>0.1838941793175877</v>
      </c>
      <c r="W74" s="119">
        <f t="shared" ref="W74" si="145">IF(W52=0,0,W52/W63)</f>
        <v>0.18927037572477848</v>
      </c>
      <c r="DA74" s="176"/>
    </row>
    <row r="75" spans="1:105" ht="11.45" customHeight="1" x14ac:dyDescent="0.25">
      <c r="A75" s="111" t="s">
        <v>92</v>
      </c>
      <c r="B75" s="120">
        <f t="shared" si="141"/>
        <v>0.33403550795303261</v>
      </c>
      <c r="C75" s="120">
        <f t="shared" si="141"/>
        <v>0.35095409669828981</v>
      </c>
      <c r="D75" s="120">
        <f t="shared" si="141"/>
        <v>0.35482412186504703</v>
      </c>
      <c r="E75" s="120">
        <f t="shared" si="141"/>
        <v>0.31231842317574776</v>
      </c>
      <c r="F75" s="120">
        <f t="shared" si="141"/>
        <v>0.32245662496554522</v>
      </c>
      <c r="G75" s="120">
        <f t="shared" si="141"/>
        <v>0.33263783999045782</v>
      </c>
      <c r="H75" s="120">
        <f t="shared" si="141"/>
        <v>0.32530177634413937</v>
      </c>
      <c r="I75" s="120">
        <f t="shared" si="141"/>
        <v>0.35295795589900691</v>
      </c>
      <c r="J75" s="120">
        <f t="shared" si="141"/>
        <v>0.34783049804970945</v>
      </c>
      <c r="K75" s="120">
        <f t="shared" ref="K75:V75" si="146">IF(K53=0,0,K53/K64)</f>
        <v>0.37025064823385079</v>
      </c>
      <c r="L75" s="120">
        <f t="shared" si="146"/>
        <v>0.38107850660886627</v>
      </c>
      <c r="M75" s="120">
        <f t="shared" si="146"/>
        <v>0.48527223506698203</v>
      </c>
      <c r="N75" s="120">
        <f t="shared" si="146"/>
        <v>0.44586571660291724</v>
      </c>
      <c r="O75" s="120">
        <f t="shared" si="146"/>
        <v>0.54004828031288477</v>
      </c>
      <c r="P75" s="120">
        <f t="shared" si="146"/>
        <v>0.54114462598761215</v>
      </c>
      <c r="Q75" s="120">
        <f t="shared" si="146"/>
        <v>0.54541514907498312</v>
      </c>
      <c r="R75" s="120">
        <f t="shared" si="146"/>
        <v>0.42061623439348345</v>
      </c>
      <c r="S75" s="120">
        <f t="shared" si="146"/>
        <v>0.45881669667220015</v>
      </c>
      <c r="T75" s="120">
        <f t="shared" si="146"/>
        <v>0.36807152642122304</v>
      </c>
      <c r="U75" s="120">
        <f t="shared" si="146"/>
        <v>0.41404534386746999</v>
      </c>
      <c r="V75" s="120">
        <f t="shared" si="146"/>
        <v>0.30364728384543188</v>
      </c>
      <c r="W75" s="120">
        <f t="shared" ref="W75" si="147">IF(W53=0,0,W53/W64)</f>
        <v>0.39534901226532015</v>
      </c>
      <c r="DA75" s="171"/>
    </row>
    <row r="76" spans="1:105" ht="11.45" customHeight="1" x14ac:dyDescent="0.25">
      <c r="A76" s="111" t="s">
        <v>93</v>
      </c>
      <c r="B76" s="120">
        <f t="shared" si="141"/>
        <v>0.43919338180843653</v>
      </c>
      <c r="C76" s="120">
        <f t="shared" si="141"/>
        <v>0.48026138246343308</v>
      </c>
      <c r="D76" s="120">
        <f t="shared" si="141"/>
        <v>0.42916668616396769</v>
      </c>
      <c r="E76" s="120">
        <f t="shared" si="141"/>
        <v>0.422218365328004</v>
      </c>
      <c r="F76" s="120">
        <f t="shared" si="141"/>
        <v>0.41259650836709039</v>
      </c>
      <c r="G76" s="120">
        <f t="shared" si="141"/>
        <v>0.41888539145615428</v>
      </c>
      <c r="H76" s="120">
        <f t="shared" si="141"/>
        <v>0.39490441981860519</v>
      </c>
      <c r="I76" s="120">
        <f t="shared" si="141"/>
        <v>0.41749069993728583</v>
      </c>
      <c r="J76" s="120">
        <f t="shared" si="141"/>
        <v>0.41891084981090854</v>
      </c>
      <c r="K76" s="120">
        <f t="shared" ref="K76:V76" si="148">IF(K54=0,0,K54/K65)</f>
        <v>0.44468325054184482</v>
      </c>
      <c r="L76" s="120">
        <f t="shared" si="148"/>
        <v>0.44035092630413403</v>
      </c>
      <c r="M76" s="120">
        <f t="shared" si="148"/>
        <v>0.52770404968163875</v>
      </c>
      <c r="N76" s="120">
        <f t="shared" si="148"/>
        <v>0.47153020850411603</v>
      </c>
      <c r="O76" s="120">
        <f t="shared" si="148"/>
        <v>0.52750407952278811</v>
      </c>
      <c r="P76" s="120">
        <f t="shared" si="148"/>
        <v>0.53918686610438482</v>
      </c>
      <c r="Q76" s="120">
        <f t="shared" si="148"/>
        <v>0.52068351588905415</v>
      </c>
      <c r="R76" s="120">
        <f t="shared" si="148"/>
        <v>0.31437022413146953</v>
      </c>
      <c r="S76" s="120">
        <f t="shared" si="148"/>
        <v>0.26308344970048647</v>
      </c>
      <c r="T76" s="120">
        <f t="shared" si="148"/>
        <v>0.26935135306926811</v>
      </c>
      <c r="U76" s="120">
        <f t="shared" si="148"/>
        <v>0.29592544155861983</v>
      </c>
      <c r="V76" s="120">
        <f t="shared" si="148"/>
        <v>0.17376916277909399</v>
      </c>
      <c r="W76" s="120">
        <f t="shared" ref="W76" si="149">IF(W54=0,0,W54/W65)</f>
        <v>0.17640111630864413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0.3170289855072464</v>
      </c>
      <c r="G77" s="121">
        <f t="shared" si="141"/>
        <v>0.3170289855072464</v>
      </c>
      <c r="H77" s="121">
        <f t="shared" si="141"/>
        <v>0.31013431013431014</v>
      </c>
      <c r="I77" s="121">
        <f t="shared" si="141"/>
        <v>0.29499556923650949</v>
      </c>
      <c r="J77" s="121">
        <f t="shared" si="141"/>
        <v>0.30019212295869352</v>
      </c>
      <c r="K77" s="121">
        <f t="shared" ref="K77:V77" si="150">IF(K55=0,0,K55/K66)</f>
        <v>0.30257618742564291</v>
      </c>
      <c r="L77" s="121">
        <f t="shared" si="150"/>
        <v>0.29492650286259542</v>
      </c>
      <c r="M77" s="121">
        <f t="shared" si="150"/>
        <v>0.26560576353107473</v>
      </c>
      <c r="N77" s="121">
        <f t="shared" si="150"/>
        <v>0.26433835309195769</v>
      </c>
      <c r="O77" s="121">
        <f t="shared" si="150"/>
        <v>0.26699586587046392</v>
      </c>
      <c r="P77" s="121">
        <f t="shared" si="150"/>
        <v>0.31010790371668362</v>
      </c>
      <c r="Q77" s="121">
        <f t="shared" si="150"/>
        <v>0.32914526354759588</v>
      </c>
      <c r="R77" s="121">
        <f t="shared" si="150"/>
        <v>0.3444173994974874</v>
      </c>
      <c r="S77" s="121">
        <f t="shared" si="150"/>
        <v>0.36691989571158862</v>
      </c>
      <c r="T77" s="121">
        <f t="shared" si="150"/>
        <v>0.38385598141695698</v>
      </c>
      <c r="U77" s="121">
        <f t="shared" si="150"/>
        <v>0.39847936609719231</v>
      </c>
      <c r="V77" s="121">
        <f t="shared" si="150"/>
        <v>0.22012951117428731</v>
      </c>
      <c r="W77" s="121">
        <f t="shared" ref="W77" si="151">IF(W55=0,0,W55/W66)</f>
        <v>0.21813113153679545</v>
      </c>
      <c r="DA77" s="204"/>
    </row>
    <row r="78" spans="1:105" ht="11.45" customHeight="1" x14ac:dyDescent="0.25">
      <c r="A78" s="27" t="s">
        <v>34</v>
      </c>
      <c r="B78" s="30">
        <f t="shared" si="141"/>
        <v>0.25979612047240452</v>
      </c>
      <c r="C78" s="30">
        <f t="shared" si="141"/>
        <v>0.25547345144471539</v>
      </c>
      <c r="D78" s="30">
        <f t="shared" si="141"/>
        <v>0.25618555855726116</v>
      </c>
      <c r="E78" s="30">
        <f t="shared" si="141"/>
        <v>0.26077466486786444</v>
      </c>
      <c r="F78" s="30">
        <f t="shared" si="141"/>
        <v>0.2563078351024638</v>
      </c>
      <c r="G78" s="30">
        <f t="shared" si="141"/>
        <v>0.26300931066274646</v>
      </c>
      <c r="H78" s="30">
        <f t="shared" si="141"/>
        <v>0.261575113408691</v>
      </c>
      <c r="I78" s="30">
        <f t="shared" si="141"/>
        <v>0.27356246174828841</v>
      </c>
      <c r="J78" s="30">
        <f t="shared" si="141"/>
        <v>0.26398039194505446</v>
      </c>
      <c r="K78" s="30">
        <f t="shared" ref="K78:V78" si="152">IF(K56=0,0,K56/K67)</f>
        <v>0.25426921018330323</v>
      </c>
      <c r="L78" s="30">
        <f t="shared" si="152"/>
        <v>0.26039390316583305</v>
      </c>
      <c r="M78" s="30">
        <f t="shared" si="152"/>
        <v>0.28115055870906769</v>
      </c>
      <c r="N78" s="30">
        <f t="shared" si="152"/>
        <v>0.28051717398072384</v>
      </c>
      <c r="O78" s="30">
        <f t="shared" si="152"/>
        <v>0.30243052163883999</v>
      </c>
      <c r="P78" s="30">
        <f t="shared" si="152"/>
        <v>0.29182884003963028</v>
      </c>
      <c r="Q78" s="30">
        <f t="shared" si="152"/>
        <v>0.29343432703590999</v>
      </c>
      <c r="R78" s="30">
        <f t="shared" si="152"/>
        <v>0.27136514367476727</v>
      </c>
      <c r="S78" s="30">
        <f t="shared" si="152"/>
        <v>0.27654136564565063</v>
      </c>
      <c r="T78" s="30">
        <f t="shared" si="152"/>
        <v>0.26786019378958387</v>
      </c>
      <c r="U78" s="30">
        <f t="shared" si="152"/>
        <v>0.27196301210300933</v>
      </c>
      <c r="V78" s="30">
        <f t="shared" si="152"/>
        <v>0.23061326620656292</v>
      </c>
      <c r="W78" s="30">
        <f t="shared" ref="W78" si="153">IF(W56=0,0,W56/W67)</f>
        <v>0.17764952727220087</v>
      </c>
      <c r="DA78" s="173"/>
    </row>
    <row r="79" spans="1:105" ht="11.45" customHeight="1" x14ac:dyDescent="0.25">
      <c r="A79" s="83" t="s">
        <v>92</v>
      </c>
      <c r="B79" s="120">
        <f t="shared" si="141"/>
        <v>0.2712644146283027</v>
      </c>
      <c r="C79" s="120">
        <f t="shared" si="141"/>
        <v>0.3143529145464376</v>
      </c>
      <c r="D79" s="120">
        <f t="shared" si="141"/>
        <v>0.32155588630728232</v>
      </c>
      <c r="E79" s="120">
        <f t="shared" si="141"/>
        <v>0.33312133638438851</v>
      </c>
      <c r="F79" s="120">
        <f t="shared" si="141"/>
        <v>0.33914863650360544</v>
      </c>
      <c r="G79" s="120">
        <f t="shared" si="141"/>
        <v>0.33205650912023704</v>
      </c>
      <c r="H79" s="120">
        <f t="shared" si="141"/>
        <v>0.33226577941268937</v>
      </c>
      <c r="I79" s="120">
        <f t="shared" si="141"/>
        <v>0.31156621378794369</v>
      </c>
      <c r="J79" s="120">
        <f t="shared" si="141"/>
        <v>0.34388161225772901</v>
      </c>
      <c r="K79" s="120">
        <f t="shared" ref="K79:V79" si="154">IF(K57=0,0,K57/K68)</f>
        <v>0.35761444902792494</v>
      </c>
      <c r="L79" s="120">
        <f t="shared" si="154"/>
        <v>0.35350237769762638</v>
      </c>
      <c r="M79" s="120">
        <f t="shared" si="154"/>
        <v>0.37390927165736404</v>
      </c>
      <c r="N79" s="120">
        <f t="shared" si="154"/>
        <v>0.38117181117489707</v>
      </c>
      <c r="O79" s="120">
        <f t="shared" si="154"/>
        <v>0.39371431443372423</v>
      </c>
      <c r="P79" s="120">
        <f t="shared" si="154"/>
        <v>0.39541636360671284</v>
      </c>
      <c r="Q79" s="120">
        <f t="shared" si="154"/>
        <v>0.39100709505528308</v>
      </c>
      <c r="R79" s="120">
        <f t="shared" si="154"/>
        <v>0.39102650940061962</v>
      </c>
      <c r="S79" s="120">
        <f t="shared" si="154"/>
        <v>0.37587577496008273</v>
      </c>
      <c r="T79" s="120">
        <f t="shared" si="154"/>
        <v>0.41227831457950181</v>
      </c>
      <c r="U79" s="120">
        <f t="shared" si="154"/>
        <v>0.41388689527315964</v>
      </c>
      <c r="V79" s="120">
        <f t="shared" si="154"/>
        <v>0.28678217794399291</v>
      </c>
      <c r="W79" s="120">
        <f t="shared" ref="W79" si="155">IF(W57=0,0,W57/W68)</f>
        <v>0.25383817062906794</v>
      </c>
      <c r="DA79" s="171"/>
    </row>
    <row r="80" spans="1:105" ht="11.45" customHeight="1" x14ac:dyDescent="0.25">
      <c r="A80" s="85" t="s">
        <v>93</v>
      </c>
      <c r="B80" s="122">
        <f t="shared" si="141"/>
        <v>0.24770441302858953</v>
      </c>
      <c r="C80" s="122">
        <f t="shared" si="141"/>
        <v>0.21733909162048187</v>
      </c>
      <c r="D80" s="122">
        <f t="shared" si="141"/>
        <v>0.2232284999966867</v>
      </c>
      <c r="E80" s="122">
        <f t="shared" si="141"/>
        <v>0.23031318862917879</v>
      </c>
      <c r="F80" s="122">
        <f t="shared" si="141"/>
        <v>0.22711338211751761</v>
      </c>
      <c r="G80" s="122">
        <f t="shared" si="141"/>
        <v>0.23892820804862089</v>
      </c>
      <c r="H80" s="122">
        <f t="shared" si="141"/>
        <v>0.23941512858861833</v>
      </c>
      <c r="I80" s="122">
        <f t="shared" si="141"/>
        <v>0.25954331102166506</v>
      </c>
      <c r="J80" s="122">
        <f t="shared" si="141"/>
        <v>0.24034241446704843</v>
      </c>
      <c r="K80" s="122">
        <f t="shared" ref="K80:V80" si="156">IF(K58=0,0,K58/K69)</f>
        <v>0.2308420094795339</v>
      </c>
      <c r="L80" s="122">
        <f t="shared" si="156"/>
        <v>0.24014706013403295</v>
      </c>
      <c r="M80" s="122">
        <f t="shared" si="156"/>
        <v>0.25936626270430663</v>
      </c>
      <c r="N80" s="122">
        <f t="shared" si="156"/>
        <v>0.26162224057393141</v>
      </c>
      <c r="O80" s="122">
        <f t="shared" si="156"/>
        <v>0.28123794393149404</v>
      </c>
      <c r="P80" s="122">
        <f t="shared" si="156"/>
        <v>0.26912876220113668</v>
      </c>
      <c r="Q80" s="122">
        <f t="shared" si="156"/>
        <v>0.27192224983498897</v>
      </c>
      <c r="R80" s="122">
        <f t="shared" si="156"/>
        <v>0.25515075875373699</v>
      </c>
      <c r="S80" s="122">
        <f t="shared" si="156"/>
        <v>0.25277908919905145</v>
      </c>
      <c r="T80" s="122">
        <f t="shared" si="156"/>
        <v>0.24078449679758859</v>
      </c>
      <c r="U80" s="122">
        <f t="shared" si="156"/>
        <v>0.23532558824248193</v>
      </c>
      <c r="V80" s="122">
        <f t="shared" si="156"/>
        <v>0.21567448205722153</v>
      </c>
      <c r="W80" s="122">
        <f t="shared" ref="W80" si="157">IF(W58=0,0,W58/W69)</f>
        <v>0.15366836379352014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145016.73618663731</v>
      </c>
      <c r="C82" s="54">
        <f t="shared" si="158"/>
        <v>141338.18467670743</v>
      </c>
      <c r="D82" s="54">
        <f t="shared" si="158"/>
        <v>139832.44018663577</v>
      </c>
      <c r="E82" s="54">
        <f t="shared" si="158"/>
        <v>138026.71935607729</v>
      </c>
      <c r="F82" s="54">
        <f t="shared" si="158"/>
        <v>142838.54517852745</v>
      </c>
      <c r="G82" s="54">
        <f t="shared" si="158"/>
        <v>146470.92577261321</v>
      </c>
      <c r="H82" s="54">
        <f t="shared" si="158"/>
        <v>144718.817957805</v>
      </c>
      <c r="I82" s="54">
        <f t="shared" si="158"/>
        <v>144514.72106186819</v>
      </c>
      <c r="J82" s="54">
        <f t="shared" si="158"/>
        <v>144305.13465337374</v>
      </c>
      <c r="K82" s="54">
        <f t="shared" ref="K82:V82" si="159">IF(K14=0,0,K14/K25*1000000)</f>
        <v>143591.21351349415</v>
      </c>
      <c r="L82" s="54">
        <f t="shared" si="159"/>
        <v>143444.64067411068</v>
      </c>
      <c r="M82" s="54">
        <f t="shared" si="159"/>
        <v>139060.2498683827</v>
      </c>
      <c r="N82" s="54">
        <f t="shared" si="159"/>
        <v>141486.85683102824</v>
      </c>
      <c r="O82" s="54">
        <f t="shared" si="159"/>
        <v>134171.53778512191</v>
      </c>
      <c r="P82" s="54">
        <f t="shared" si="159"/>
        <v>144264.2040546338</v>
      </c>
      <c r="Q82" s="54">
        <f t="shared" si="159"/>
        <v>144238.86945787427</v>
      </c>
      <c r="R82" s="54">
        <f t="shared" si="159"/>
        <v>145914.81995796622</v>
      </c>
      <c r="S82" s="54">
        <f t="shared" si="159"/>
        <v>145468.36738237488</v>
      </c>
      <c r="T82" s="54">
        <f t="shared" si="159"/>
        <v>145428.72374830005</v>
      </c>
      <c r="U82" s="54">
        <f t="shared" si="159"/>
        <v>143697.91812062188</v>
      </c>
      <c r="V82" s="54">
        <f t="shared" si="159"/>
        <v>135607.59428822994</v>
      </c>
      <c r="W82" s="54">
        <f t="shared" ref="W82" si="160">IF(W14=0,0,W14/W25*1000000)</f>
        <v>140839.08821432121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141070.64142158558</v>
      </c>
      <c r="C83" s="28">
        <f t="shared" si="161"/>
        <v>137695.56559803741</v>
      </c>
      <c r="D83" s="28">
        <f t="shared" si="161"/>
        <v>136099.49101084282</v>
      </c>
      <c r="E83" s="28">
        <f t="shared" si="161"/>
        <v>134836.91251438251</v>
      </c>
      <c r="F83" s="28">
        <f t="shared" si="161"/>
        <v>138963.08108944914</v>
      </c>
      <c r="G83" s="28">
        <f t="shared" si="161"/>
        <v>142324.83654952445</v>
      </c>
      <c r="H83" s="28">
        <f t="shared" si="161"/>
        <v>140833.89146483771</v>
      </c>
      <c r="I83" s="28">
        <f t="shared" si="161"/>
        <v>140541.82962176576</v>
      </c>
      <c r="J83" s="28">
        <f t="shared" si="161"/>
        <v>140437.82901553105</v>
      </c>
      <c r="K83" s="28">
        <f t="shared" ref="K83:V83" si="162">IF(K15=0,0,K15/K26*1000000)</f>
        <v>140251.01921151154</v>
      </c>
      <c r="L83" s="28">
        <f t="shared" si="162"/>
        <v>139669.06262422598</v>
      </c>
      <c r="M83" s="28">
        <f t="shared" si="162"/>
        <v>135280.3244935032</v>
      </c>
      <c r="N83" s="28">
        <f t="shared" si="162"/>
        <v>137235.77914885539</v>
      </c>
      <c r="O83" s="28">
        <f t="shared" si="162"/>
        <v>130521.01164930755</v>
      </c>
      <c r="P83" s="28">
        <f t="shared" si="162"/>
        <v>139821.51998391535</v>
      </c>
      <c r="Q83" s="28">
        <f t="shared" si="162"/>
        <v>139562.87505234499</v>
      </c>
      <c r="R83" s="28">
        <f t="shared" si="162"/>
        <v>142290.27477898417</v>
      </c>
      <c r="S83" s="28">
        <f t="shared" si="162"/>
        <v>142870.72528701631</v>
      </c>
      <c r="T83" s="28">
        <f t="shared" si="162"/>
        <v>142328.43081174587</v>
      </c>
      <c r="U83" s="28">
        <f t="shared" si="162"/>
        <v>141761.26310133081</v>
      </c>
      <c r="V83" s="28">
        <f t="shared" si="162"/>
        <v>131990.22879105713</v>
      </c>
      <c r="W83" s="28">
        <f t="shared" ref="W83" si="163">IF(W15=0,0,W15/W26*1000000)</f>
        <v>137361.49354690264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109999.99960140667</v>
      </c>
      <c r="C84" s="108">
        <f t="shared" si="161"/>
        <v>109999.99930950021</v>
      </c>
      <c r="D84" s="108">
        <f t="shared" si="161"/>
        <v>109999.9992157363</v>
      </c>
      <c r="E84" s="108">
        <f t="shared" si="161"/>
        <v>109999.99994575522</v>
      </c>
      <c r="F84" s="108">
        <f t="shared" si="161"/>
        <v>109999.99950726969</v>
      </c>
      <c r="G84" s="108">
        <f t="shared" si="161"/>
        <v>109999.99943807541</v>
      </c>
      <c r="H84" s="108">
        <f t="shared" si="161"/>
        <v>109999.99919023566</v>
      </c>
      <c r="I84" s="108">
        <f t="shared" si="161"/>
        <v>109999.99958918823</v>
      </c>
      <c r="J84" s="108">
        <f t="shared" si="161"/>
        <v>109999.99957508336</v>
      </c>
      <c r="K84" s="108">
        <f t="shared" ref="K84:V84" si="164">IF(K16=0,0,K16/K27*1000000)</f>
        <v>109999.99972007307</v>
      </c>
      <c r="L84" s="108">
        <f t="shared" si="164"/>
        <v>109999.99954667863</v>
      </c>
      <c r="M84" s="108">
        <f t="shared" si="164"/>
        <v>109999.99934088193</v>
      </c>
      <c r="N84" s="108">
        <f t="shared" si="164"/>
        <v>105124.48296865818</v>
      </c>
      <c r="O84" s="108">
        <f t="shared" si="164"/>
        <v>103147.76529367185</v>
      </c>
      <c r="P84" s="108">
        <f t="shared" si="164"/>
        <v>109843.60021086498</v>
      </c>
      <c r="Q84" s="108">
        <f t="shared" si="164"/>
        <v>109999.99972097375</v>
      </c>
      <c r="R84" s="108">
        <f t="shared" si="164"/>
        <v>109999.99938567691</v>
      </c>
      <c r="S84" s="108">
        <f t="shared" si="164"/>
        <v>109999.99937542655</v>
      </c>
      <c r="T84" s="108">
        <f t="shared" si="164"/>
        <v>109999.99939311775</v>
      </c>
      <c r="U84" s="108">
        <f t="shared" si="164"/>
        <v>109999.99957066198</v>
      </c>
      <c r="V84" s="108">
        <f t="shared" si="164"/>
        <v>103981.3375841696</v>
      </c>
      <c r="W84" s="108">
        <f t="shared" ref="W84" si="165">IF(W16=0,0,W16/W27*1000000)</f>
        <v>99848.586102596382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149999.99978053157</v>
      </c>
      <c r="C85" s="110">
        <f t="shared" si="161"/>
        <v>146458.82761094804</v>
      </c>
      <c r="D85" s="110">
        <f t="shared" si="161"/>
        <v>144045.02429304708</v>
      </c>
      <c r="E85" s="110">
        <f t="shared" si="161"/>
        <v>145582.45599734376</v>
      </c>
      <c r="F85" s="110">
        <f t="shared" si="161"/>
        <v>144810.53993828475</v>
      </c>
      <c r="G85" s="110">
        <f t="shared" si="161"/>
        <v>149999.99971497193</v>
      </c>
      <c r="H85" s="110">
        <f t="shared" si="161"/>
        <v>149999.99873032793</v>
      </c>
      <c r="I85" s="110">
        <f t="shared" si="161"/>
        <v>149999.99860003506</v>
      </c>
      <c r="J85" s="110">
        <f t="shared" si="161"/>
        <v>149999.99919959763</v>
      </c>
      <c r="K85" s="110">
        <f t="shared" ref="K85:V85" si="166">IF(K17=0,0,K17/K28*1000000)</f>
        <v>149999.99931203382</v>
      </c>
      <c r="L85" s="110">
        <f t="shared" si="166"/>
        <v>149999.99918736372</v>
      </c>
      <c r="M85" s="110">
        <f t="shared" si="166"/>
        <v>142611.18984574344</v>
      </c>
      <c r="N85" s="110">
        <f t="shared" si="166"/>
        <v>149999.99888097795</v>
      </c>
      <c r="O85" s="110">
        <f t="shared" si="166"/>
        <v>138633.47139604267</v>
      </c>
      <c r="P85" s="110">
        <f t="shared" si="166"/>
        <v>149999.99784514619</v>
      </c>
      <c r="Q85" s="110">
        <f t="shared" si="166"/>
        <v>149999.99809045432</v>
      </c>
      <c r="R85" s="110">
        <f t="shared" si="166"/>
        <v>149999.99890080639</v>
      </c>
      <c r="S85" s="110">
        <f t="shared" si="166"/>
        <v>149999.99936693054</v>
      </c>
      <c r="T85" s="110">
        <f t="shared" si="166"/>
        <v>149999.99968450359</v>
      </c>
      <c r="U85" s="110">
        <f t="shared" si="166"/>
        <v>149999.99920742708</v>
      </c>
      <c r="V85" s="110">
        <f t="shared" si="166"/>
        <v>142636.84296630486</v>
      </c>
      <c r="W85" s="110">
        <f t="shared" ref="W85" si="167">IF(W17=0,0,W17/W28*1000000)</f>
        <v>149999.99946898036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149999.99981268329</v>
      </c>
      <c r="C86" s="84">
        <f t="shared" si="161"/>
        <v>142461.55813158711</v>
      </c>
      <c r="D86" s="84">
        <f t="shared" si="161"/>
        <v>135041.16462776071</v>
      </c>
      <c r="E86" s="84">
        <f t="shared" si="161"/>
        <v>137506.65194007877</v>
      </c>
      <c r="F86" s="84">
        <f t="shared" si="161"/>
        <v>145250.00834146861</v>
      </c>
      <c r="G86" s="84">
        <f t="shared" si="161"/>
        <v>149999.99999135727</v>
      </c>
      <c r="H86" s="84">
        <f t="shared" si="161"/>
        <v>149999.99803546868</v>
      </c>
      <c r="I86" s="84">
        <f t="shared" si="161"/>
        <v>149999.99772118038</v>
      </c>
      <c r="J86" s="84">
        <f t="shared" si="161"/>
        <v>149999.99756616299</v>
      </c>
      <c r="K86" s="84">
        <f t="shared" ref="K86:V86" si="168">IF(K18=0,0,K18/K29*1000000)</f>
        <v>149999.99763255543</v>
      </c>
      <c r="L86" s="84">
        <f t="shared" si="168"/>
        <v>149999.99936166505</v>
      </c>
      <c r="M86" s="84">
        <f t="shared" si="168"/>
        <v>149999.99601490214</v>
      </c>
      <c r="N86" s="84">
        <f t="shared" si="168"/>
        <v>149999.99748428378</v>
      </c>
      <c r="O86" s="84">
        <f t="shared" si="168"/>
        <v>149999.99573599451</v>
      </c>
      <c r="P86" s="84">
        <f t="shared" si="168"/>
        <v>149999.99514805616</v>
      </c>
      <c r="Q86" s="84">
        <f t="shared" si="168"/>
        <v>149999.99561822784</v>
      </c>
      <c r="R86" s="84">
        <f t="shared" si="168"/>
        <v>149999.99520335809</v>
      </c>
      <c r="S86" s="84">
        <f t="shared" si="168"/>
        <v>149999.99492650648</v>
      </c>
      <c r="T86" s="84">
        <f t="shared" si="168"/>
        <v>149999.99706424851</v>
      </c>
      <c r="U86" s="84">
        <f t="shared" si="168"/>
        <v>149999.99654750226</v>
      </c>
      <c r="V86" s="84">
        <f t="shared" si="168"/>
        <v>149999.99833373775</v>
      </c>
      <c r="W86" s="84">
        <f t="shared" ref="W86" si="169">IF(W18=0,0,W18/W29*1000000)</f>
        <v>149999.995964078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149999.99974995042</v>
      </c>
      <c r="C87" s="84">
        <f t="shared" si="161"/>
        <v>149999.99967629317</v>
      </c>
      <c r="D87" s="84">
        <f t="shared" si="161"/>
        <v>149999.99976016575</v>
      </c>
      <c r="E87" s="84">
        <f t="shared" si="161"/>
        <v>149999.99927047614</v>
      </c>
      <c r="F87" s="84">
        <f t="shared" si="161"/>
        <v>144586.04432441929</v>
      </c>
      <c r="G87" s="84">
        <f t="shared" si="161"/>
        <v>149999.99958623984</v>
      </c>
      <c r="H87" s="84">
        <f t="shared" si="161"/>
        <v>149999.99901880397</v>
      </c>
      <c r="I87" s="84">
        <f t="shared" si="161"/>
        <v>149999.99897667507</v>
      </c>
      <c r="J87" s="84">
        <f t="shared" si="161"/>
        <v>149999.99987173933</v>
      </c>
      <c r="K87" s="84">
        <f t="shared" ref="K87:V87" si="170">IF(K19=0,0,K19/K30*1000000)</f>
        <v>149999.99990354135</v>
      </c>
      <c r="L87" s="84">
        <f t="shared" si="170"/>
        <v>149999.99913242011</v>
      </c>
      <c r="M87" s="84">
        <f t="shared" si="170"/>
        <v>140357.49349505533</v>
      </c>
      <c r="N87" s="84">
        <f t="shared" si="170"/>
        <v>149999.99922242985</v>
      </c>
      <c r="O87" s="84">
        <f t="shared" si="170"/>
        <v>135856.99328584131</v>
      </c>
      <c r="P87" s="84">
        <f t="shared" si="170"/>
        <v>149999.99858069204</v>
      </c>
      <c r="Q87" s="84">
        <f t="shared" si="170"/>
        <v>149999.9987198723</v>
      </c>
      <c r="R87" s="84">
        <f t="shared" si="170"/>
        <v>149999.99939378593</v>
      </c>
      <c r="S87" s="84">
        <f t="shared" si="170"/>
        <v>149999.99980905355</v>
      </c>
      <c r="T87" s="84">
        <f t="shared" si="170"/>
        <v>149999.99995797826</v>
      </c>
      <c r="U87" s="84">
        <f t="shared" si="170"/>
        <v>149999.99947338336</v>
      </c>
      <c r="V87" s="84">
        <f t="shared" si="170"/>
        <v>142047.30109316288</v>
      </c>
      <c r="W87" s="84">
        <f t="shared" ref="W87" si="171">IF(W19=0,0,W19/W30*1000000)</f>
        <v>149999.99968785557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449999.99719535297</v>
      </c>
      <c r="G88" s="113">
        <f t="shared" si="161"/>
        <v>449999.95108696178</v>
      </c>
      <c r="H88" s="113">
        <f t="shared" si="161"/>
        <v>449999.99999999994</v>
      </c>
      <c r="I88" s="113">
        <f t="shared" si="161"/>
        <v>449999.97796278266</v>
      </c>
      <c r="J88" s="113">
        <f t="shared" si="161"/>
        <v>450000</v>
      </c>
      <c r="K88" s="113">
        <f t="shared" ref="K88:V88" si="172">IF(K20=0,0,K20/K31*1000000)</f>
        <v>449855.90778097976</v>
      </c>
      <c r="L88" s="113">
        <f t="shared" si="172"/>
        <v>449999.97853053542</v>
      </c>
      <c r="M88" s="113">
        <f t="shared" si="172"/>
        <v>448425.5511247351</v>
      </c>
      <c r="N88" s="113">
        <f t="shared" si="172"/>
        <v>446707.99395477131</v>
      </c>
      <c r="O88" s="113">
        <f t="shared" si="172"/>
        <v>445133.56654897105</v>
      </c>
      <c r="P88" s="113">
        <f t="shared" si="172"/>
        <v>443416.00937900716</v>
      </c>
      <c r="Q88" s="113">
        <f t="shared" si="172"/>
        <v>441841.58197320701</v>
      </c>
      <c r="R88" s="113">
        <f t="shared" si="172"/>
        <v>449999.97173367016</v>
      </c>
      <c r="S88" s="113">
        <f t="shared" si="172"/>
        <v>449151.98183718708</v>
      </c>
      <c r="T88" s="113">
        <f t="shared" si="172"/>
        <v>434594.82194756152</v>
      </c>
      <c r="U88" s="113">
        <f t="shared" si="172"/>
        <v>440813.41452177049</v>
      </c>
      <c r="V88" s="113">
        <f t="shared" si="172"/>
        <v>255668.95378963862</v>
      </c>
      <c r="W88" s="113">
        <f t="shared" ref="W88" si="173">IF(W20=0,0,W20/W31*1000000)</f>
        <v>312390.27997985441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199999.98652891096</v>
      </c>
      <c r="C89" s="28">
        <f t="shared" si="161"/>
        <v>186793.60069090989</v>
      </c>
      <c r="D89" s="28">
        <f t="shared" si="161"/>
        <v>187291.31298911324</v>
      </c>
      <c r="E89" s="28">
        <f t="shared" si="161"/>
        <v>184594.55045051363</v>
      </c>
      <c r="F89" s="28">
        <f t="shared" si="161"/>
        <v>194167.01715382916</v>
      </c>
      <c r="G89" s="28">
        <f t="shared" si="161"/>
        <v>199999.99104294155</v>
      </c>
      <c r="H89" s="28">
        <f t="shared" si="161"/>
        <v>199999.99121995398</v>
      </c>
      <c r="I89" s="28">
        <f t="shared" si="161"/>
        <v>199999.99230030255</v>
      </c>
      <c r="J89" s="28">
        <f t="shared" si="161"/>
        <v>199999.99401965641</v>
      </c>
      <c r="K89" s="28">
        <f t="shared" ref="K89:V89" si="174">IF(K21=0,0,K21/K32*1000000)</f>
        <v>193970.93539130563</v>
      </c>
      <c r="L89" s="28">
        <f t="shared" si="174"/>
        <v>199999.99308474743</v>
      </c>
      <c r="M89" s="28">
        <f t="shared" si="174"/>
        <v>195296.64006685073</v>
      </c>
      <c r="N89" s="28">
        <f t="shared" si="174"/>
        <v>199999.99095870403</v>
      </c>
      <c r="O89" s="28">
        <f t="shared" si="174"/>
        <v>182807.5010214925</v>
      </c>
      <c r="P89" s="28">
        <f t="shared" si="174"/>
        <v>199999.99051371627</v>
      </c>
      <c r="Q89" s="28">
        <f t="shared" si="174"/>
        <v>199999.98601907538</v>
      </c>
      <c r="R89" s="28">
        <f t="shared" si="174"/>
        <v>199928.04194273008</v>
      </c>
      <c r="S89" s="28">
        <f t="shared" si="174"/>
        <v>189234.32870465468</v>
      </c>
      <c r="T89" s="28">
        <f t="shared" si="174"/>
        <v>199999.99053154563</v>
      </c>
      <c r="U89" s="28">
        <f t="shared" si="174"/>
        <v>179479.14820086295</v>
      </c>
      <c r="V89" s="28">
        <f t="shared" si="174"/>
        <v>199999.99491760114</v>
      </c>
      <c r="W89" s="28">
        <f t="shared" ref="W89" si="175">IF(W21=0,0,W21/W32*1000000)</f>
        <v>199999.99300272876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199999.98772234243</v>
      </c>
      <c r="C90" s="84">
        <f t="shared" si="161"/>
        <v>169511.35466116434</v>
      </c>
      <c r="D90" s="84">
        <f t="shared" si="161"/>
        <v>166327.64290902612</v>
      </c>
      <c r="E90" s="84">
        <f t="shared" si="161"/>
        <v>156047.09714572263</v>
      </c>
      <c r="F90" s="84">
        <f t="shared" si="161"/>
        <v>179326.49934545383</v>
      </c>
      <c r="G90" s="84">
        <f t="shared" si="161"/>
        <v>199999.98939065111</v>
      </c>
      <c r="H90" s="84">
        <f t="shared" si="161"/>
        <v>199999.99390923779</v>
      </c>
      <c r="I90" s="84">
        <f t="shared" si="161"/>
        <v>199999.99935414357</v>
      </c>
      <c r="J90" s="84">
        <f t="shared" si="161"/>
        <v>199999.99823688745</v>
      </c>
      <c r="K90" s="84">
        <f t="shared" ref="K90:V90" si="176">IF(K22=0,0,K22/K33*1000000)</f>
        <v>178209.26252808538</v>
      </c>
      <c r="L90" s="84">
        <f t="shared" si="176"/>
        <v>199999.96438470806</v>
      </c>
      <c r="M90" s="84">
        <f t="shared" si="176"/>
        <v>199999.98078233079</v>
      </c>
      <c r="N90" s="84">
        <f t="shared" si="176"/>
        <v>199999.99784521302</v>
      </c>
      <c r="O90" s="84">
        <f t="shared" si="176"/>
        <v>199999.96243213583</v>
      </c>
      <c r="P90" s="84">
        <f t="shared" si="176"/>
        <v>199999.94777707983</v>
      </c>
      <c r="Q90" s="84">
        <f t="shared" si="176"/>
        <v>199999.95305074955</v>
      </c>
      <c r="R90" s="84">
        <f t="shared" si="176"/>
        <v>199398.6505843506</v>
      </c>
      <c r="S90" s="84">
        <f t="shared" si="176"/>
        <v>199999.97284686222</v>
      </c>
      <c r="T90" s="84">
        <f t="shared" si="176"/>
        <v>199999.98055450423</v>
      </c>
      <c r="U90" s="84">
        <f t="shared" si="176"/>
        <v>199999.99961913205</v>
      </c>
      <c r="V90" s="84">
        <f t="shared" si="176"/>
        <v>199999.97693898066</v>
      </c>
      <c r="W90" s="84">
        <f t="shared" ref="W90" si="177">IF(W22=0,0,W22/W33*1000000)</f>
        <v>199999.99883718774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199999.98527060499</v>
      </c>
      <c r="C91" s="86">
        <f t="shared" si="161"/>
        <v>199999.98629236277</v>
      </c>
      <c r="D91" s="86">
        <f t="shared" si="161"/>
        <v>199999.99925527329</v>
      </c>
      <c r="E91" s="86">
        <f t="shared" si="161"/>
        <v>199999.98801080137</v>
      </c>
      <c r="F91" s="86">
        <f t="shared" si="161"/>
        <v>199999.99904379059</v>
      </c>
      <c r="G91" s="86">
        <f t="shared" si="161"/>
        <v>199999.99161919919</v>
      </c>
      <c r="H91" s="86">
        <f t="shared" si="161"/>
        <v>199999.99037692207</v>
      </c>
      <c r="I91" s="86">
        <f t="shared" si="161"/>
        <v>199999.98969822115</v>
      </c>
      <c r="J91" s="86">
        <f t="shared" si="161"/>
        <v>199999.99277203079</v>
      </c>
      <c r="K91" s="86">
        <f t="shared" ref="K91:V91" si="178">IF(K23=0,0,K23/K34*1000000)</f>
        <v>197939.50909310923</v>
      </c>
      <c r="L91" s="86">
        <f t="shared" si="178"/>
        <v>199999.99932569699</v>
      </c>
      <c r="M91" s="86">
        <f t="shared" si="178"/>
        <v>194223.96516697013</v>
      </c>
      <c r="N91" s="86">
        <f t="shared" si="178"/>
        <v>199999.98966596552</v>
      </c>
      <c r="O91" s="86">
        <f t="shared" si="178"/>
        <v>179230.571835537</v>
      </c>
      <c r="P91" s="86">
        <f t="shared" si="178"/>
        <v>199999.99987898726</v>
      </c>
      <c r="Q91" s="86">
        <f t="shared" si="178"/>
        <v>199999.99328767424</v>
      </c>
      <c r="R91" s="86">
        <f t="shared" si="178"/>
        <v>199999.99199844533</v>
      </c>
      <c r="S91" s="86">
        <f t="shared" si="178"/>
        <v>186828.6266709764</v>
      </c>
      <c r="T91" s="86">
        <f t="shared" si="178"/>
        <v>199999.99240205443</v>
      </c>
      <c r="U91" s="86">
        <f t="shared" si="178"/>
        <v>174847.92920689145</v>
      </c>
      <c r="V91" s="86">
        <f t="shared" si="178"/>
        <v>199999.99969922772</v>
      </c>
      <c r="W91" s="86">
        <f t="shared" ref="W91" si="179">IF(W23=0,0,W23/W34*1000000)</f>
        <v>199999.99116627249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16365171.797785368</v>
      </c>
      <c r="C94" s="28">
        <f t="shared" si="180"/>
        <v>17041831.359295532</v>
      </c>
      <c r="D94" s="28">
        <f t="shared" si="180"/>
        <v>16172629.575424384</v>
      </c>
      <c r="E94" s="28">
        <f t="shared" si="180"/>
        <v>15108078.275090495</v>
      </c>
      <c r="F94" s="28">
        <f t="shared" si="180"/>
        <v>15902660.47567807</v>
      </c>
      <c r="G94" s="28">
        <f t="shared" si="180"/>
        <v>16450344.281627996</v>
      </c>
      <c r="H94" s="28">
        <f t="shared" si="180"/>
        <v>15453280.315387987</v>
      </c>
      <c r="I94" s="28">
        <f t="shared" si="180"/>
        <v>16023917.764081659</v>
      </c>
      <c r="J94" s="28">
        <f t="shared" si="180"/>
        <v>16030824.326187216</v>
      </c>
      <c r="K94" s="28">
        <f t="shared" ref="K94:V94" si="181">IF(K4=0,0,K4/K26*1000000)</f>
        <v>16751081.438575791</v>
      </c>
      <c r="L94" s="28">
        <f t="shared" si="181"/>
        <v>16553741.641955053</v>
      </c>
      <c r="M94" s="28">
        <f t="shared" si="181"/>
        <v>17973899.114783969</v>
      </c>
      <c r="N94" s="28">
        <f t="shared" si="181"/>
        <v>17080589.567850992</v>
      </c>
      <c r="O94" s="28">
        <f t="shared" si="181"/>
        <v>17467955.418274481</v>
      </c>
      <c r="P94" s="28">
        <f t="shared" si="181"/>
        <v>19341295.630038392</v>
      </c>
      <c r="Q94" s="28">
        <f t="shared" si="181"/>
        <v>19091924.805932805</v>
      </c>
      <c r="R94" s="28">
        <f t="shared" si="181"/>
        <v>14682537.506100267</v>
      </c>
      <c r="S94" s="28">
        <f t="shared" si="181"/>
        <v>13365510.144109363</v>
      </c>
      <c r="T94" s="28">
        <f t="shared" si="181"/>
        <v>13282096.46348856</v>
      </c>
      <c r="U94" s="28">
        <f t="shared" si="181"/>
        <v>14209681.412868259</v>
      </c>
      <c r="V94" s="28">
        <f t="shared" si="181"/>
        <v>7631094.1732519856</v>
      </c>
      <c r="W94" s="28">
        <f t="shared" ref="W94" si="182">IF(W4=0,0,W4/W26*1000000)</f>
        <v>8304632.4680856373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8516887.2519038785</v>
      </c>
      <c r="C95" s="108">
        <f t="shared" si="180"/>
        <v>8516887.2293026559</v>
      </c>
      <c r="D95" s="108">
        <f t="shared" si="180"/>
        <v>8516887.2220428679</v>
      </c>
      <c r="E95" s="108">
        <f t="shared" si="180"/>
        <v>8516887.2785654943</v>
      </c>
      <c r="F95" s="108">
        <f t="shared" si="180"/>
        <v>8784013.096164979</v>
      </c>
      <c r="G95" s="108">
        <f t="shared" si="180"/>
        <v>8450408.2889673691</v>
      </c>
      <c r="H95" s="108">
        <f t="shared" si="180"/>
        <v>8172144.2411752483</v>
      </c>
      <c r="I95" s="108">
        <f t="shared" si="180"/>
        <v>8373930.2130475277</v>
      </c>
      <c r="J95" s="108">
        <f t="shared" si="180"/>
        <v>8344202.5371989748</v>
      </c>
      <c r="K95" s="108">
        <f t="shared" ref="K95:V95" si="183">IF(K5=0,0,K5/K27*1000000)</f>
        <v>8438926.806345623</v>
      </c>
      <c r="L95" s="108">
        <f t="shared" si="183"/>
        <v>8443029.3568441458</v>
      </c>
      <c r="M95" s="108">
        <f t="shared" si="183"/>
        <v>8640204.4049583431</v>
      </c>
      <c r="N95" s="108">
        <f t="shared" si="183"/>
        <v>8117767.8296875851</v>
      </c>
      <c r="O95" s="108">
        <f t="shared" si="183"/>
        <v>7816685.8876465</v>
      </c>
      <c r="P95" s="108">
        <f t="shared" si="183"/>
        <v>8463872.4083412811</v>
      </c>
      <c r="Q95" s="108">
        <f t="shared" si="183"/>
        <v>8487461.6798575688</v>
      </c>
      <c r="R95" s="108">
        <f t="shared" si="183"/>
        <v>8628440.7006785013</v>
      </c>
      <c r="S95" s="108">
        <f t="shared" si="183"/>
        <v>8752379.2286438867</v>
      </c>
      <c r="T95" s="108">
        <f t="shared" si="183"/>
        <v>8821407.1247039791</v>
      </c>
      <c r="U95" s="108">
        <f t="shared" si="183"/>
        <v>9005149.9292235579</v>
      </c>
      <c r="V95" s="108">
        <f t="shared" si="183"/>
        <v>4850115.8955417238</v>
      </c>
      <c r="W95" s="108">
        <f t="shared" ref="W95" si="184">IF(W5=0,0,W5/W27*1000000)</f>
        <v>4959558.6042158883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18620681.858335182</v>
      </c>
      <c r="C96" s="110">
        <f t="shared" si="180"/>
        <v>19739242.138993923</v>
      </c>
      <c r="D96" s="110">
        <f t="shared" si="180"/>
        <v>18503286.284999795</v>
      </c>
      <c r="E96" s="110">
        <f t="shared" si="180"/>
        <v>17959718.11808474</v>
      </c>
      <c r="F96" s="110">
        <f t="shared" si="180"/>
        <v>17702865.968542725</v>
      </c>
      <c r="G96" s="110">
        <f t="shared" si="180"/>
        <v>18790989.438048527</v>
      </c>
      <c r="H96" s="110">
        <f t="shared" si="180"/>
        <v>17975301.434143521</v>
      </c>
      <c r="I96" s="110">
        <f t="shared" si="180"/>
        <v>19110302.596901271</v>
      </c>
      <c r="J96" s="110">
        <f t="shared" si="180"/>
        <v>19113066.443683658</v>
      </c>
      <c r="K96" s="110">
        <f t="shared" ref="K96:V96" si="185">IF(K6=0,0,K6/K28*1000000)</f>
        <v>20414223.320841886</v>
      </c>
      <c r="L96" s="110">
        <f t="shared" si="185"/>
        <v>20454958.896971647</v>
      </c>
      <c r="M96" s="110">
        <f t="shared" si="185"/>
        <v>23606046.22519571</v>
      </c>
      <c r="N96" s="110">
        <f t="shared" si="185"/>
        <v>22391448.822979856</v>
      </c>
      <c r="O96" s="110">
        <f t="shared" si="185"/>
        <v>23519716.225759521</v>
      </c>
      <c r="P96" s="110">
        <f t="shared" si="185"/>
        <v>25901105.639574185</v>
      </c>
      <c r="Q96" s="110">
        <f t="shared" si="185"/>
        <v>25233710.861326504</v>
      </c>
      <c r="R96" s="110">
        <f t="shared" si="185"/>
        <v>15689733.512332289</v>
      </c>
      <c r="S96" s="110">
        <f t="shared" si="185"/>
        <v>13478756.520195816</v>
      </c>
      <c r="T96" s="110">
        <f t="shared" si="185"/>
        <v>13376687.763540898</v>
      </c>
      <c r="U96" s="110">
        <f t="shared" si="185"/>
        <v>14719789.607301744</v>
      </c>
      <c r="V96" s="110">
        <f t="shared" si="185"/>
        <v>8393627.256876884</v>
      </c>
      <c r="W96" s="110">
        <f t="shared" ref="W96" si="186">IF(W6=0,0,W6/W28*1000000)</f>
        <v>9084978.0026273541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16033704.361723028</v>
      </c>
      <c r="C97" s="84">
        <f t="shared" si="180"/>
        <v>15999189.58345666</v>
      </c>
      <c r="D97" s="84">
        <f t="shared" si="180"/>
        <v>15333076.0494971</v>
      </c>
      <c r="E97" s="84">
        <f t="shared" si="180"/>
        <v>13742675.427232567</v>
      </c>
      <c r="F97" s="84">
        <f t="shared" si="180"/>
        <v>14987784.789122323</v>
      </c>
      <c r="G97" s="84">
        <f t="shared" si="180"/>
        <v>15966616.31862201</v>
      </c>
      <c r="H97" s="84">
        <f t="shared" si="180"/>
        <v>15614485.06001772</v>
      </c>
      <c r="I97" s="84">
        <f t="shared" si="180"/>
        <v>16941981.625767529</v>
      </c>
      <c r="J97" s="84">
        <f t="shared" si="180"/>
        <v>16695863.635485977</v>
      </c>
      <c r="K97" s="84">
        <f t="shared" ref="K97:V97" si="187">IF(K7=0,0,K7/K29*1000000)</f>
        <v>17772030.834729511</v>
      </c>
      <c r="L97" s="84">
        <f t="shared" si="187"/>
        <v>18291768.239383746</v>
      </c>
      <c r="M97" s="84">
        <f t="shared" si="187"/>
        <v>23293066.664380785</v>
      </c>
      <c r="N97" s="84">
        <f t="shared" si="187"/>
        <v>21401554.038005106</v>
      </c>
      <c r="O97" s="84">
        <f t="shared" si="187"/>
        <v>25922316.718132444</v>
      </c>
      <c r="P97" s="84">
        <f t="shared" si="187"/>
        <v>25974941.207212314</v>
      </c>
      <c r="Q97" s="84">
        <f t="shared" si="187"/>
        <v>26179926.390836015</v>
      </c>
      <c r="R97" s="84">
        <f t="shared" si="187"/>
        <v>20189578.605272658</v>
      </c>
      <c r="S97" s="84">
        <f t="shared" si="187"/>
        <v>22023200.695368476</v>
      </c>
      <c r="T97" s="84">
        <f t="shared" si="187"/>
        <v>17667432.922437418</v>
      </c>
      <c r="U97" s="84">
        <f t="shared" si="187"/>
        <v>19874176.048201561</v>
      </c>
      <c r="V97" s="84">
        <f t="shared" si="187"/>
        <v>14575069.462674806</v>
      </c>
      <c r="W97" s="84">
        <f t="shared" ref="W97" si="188">IF(W7=0,0,W7/W29*1000000)</f>
        <v>18976752.078144081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21081282.291662514</v>
      </c>
      <c r="C98" s="84">
        <f t="shared" si="180"/>
        <v>23052546.308496337</v>
      </c>
      <c r="D98" s="84">
        <f t="shared" si="180"/>
        <v>20600000.902933214</v>
      </c>
      <c r="E98" s="84">
        <f t="shared" si="180"/>
        <v>20266481.437178314</v>
      </c>
      <c r="F98" s="84">
        <f t="shared" si="180"/>
        <v>19089823.054996729</v>
      </c>
      <c r="G98" s="84">
        <f t="shared" si="180"/>
        <v>20106498.734433617</v>
      </c>
      <c r="H98" s="84">
        <f t="shared" si="180"/>
        <v>18955412.027299877</v>
      </c>
      <c r="I98" s="84">
        <f t="shared" si="180"/>
        <v>20039553.460276555</v>
      </c>
      <c r="J98" s="84">
        <f t="shared" si="180"/>
        <v>20107720.773730081</v>
      </c>
      <c r="K98" s="84">
        <f t="shared" ref="K98:V98" si="189">IF(K8=0,0,K8/K30*1000000)</f>
        <v>21344796.012282617</v>
      </c>
      <c r="L98" s="84">
        <f t="shared" si="189"/>
        <v>21136844.340345755</v>
      </c>
      <c r="M98" s="84">
        <f t="shared" si="189"/>
        <v>23701509.670561589</v>
      </c>
      <c r="N98" s="84">
        <f t="shared" si="189"/>
        <v>22633449.890870269</v>
      </c>
      <c r="O98" s="84">
        <f t="shared" si="189"/>
        <v>22932837.82079402</v>
      </c>
      <c r="P98" s="84">
        <f t="shared" si="189"/>
        <v>25880969.328123368</v>
      </c>
      <c r="Q98" s="84">
        <f t="shared" si="189"/>
        <v>24992808.549381353</v>
      </c>
      <c r="R98" s="84">
        <f t="shared" si="189"/>
        <v>15089770.697326329</v>
      </c>
      <c r="S98" s="84">
        <f t="shared" si="189"/>
        <v>12628005.569548197</v>
      </c>
      <c r="T98" s="84">
        <f t="shared" si="189"/>
        <v>12928864.94370291</v>
      </c>
      <c r="U98" s="84">
        <f t="shared" si="189"/>
        <v>14204421.144945187</v>
      </c>
      <c r="V98" s="84">
        <f t="shared" si="189"/>
        <v>7898700.9875164153</v>
      </c>
      <c r="W98" s="84">
        <f t="shared" ref="W98" si="190">IF(W8=0,0,W8/W30*1000000)</f>
        <v>8467253.5651948787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79891303.849899635</v>
      </c>
      <c r="G99" s="113">
        <f t="shared" si="180"/>
        <v>79891295.663989589</v>
      </c>
      <c r="H99" s="113">
        <f t="shared" si="180"/>
        <v>78153846.15384616</v>
      </c>
      <c r="I99" s="113">
        <f t="shared" si="180"/>
        <v>74338879.807106763</v>
      </c>
      <c r="J99" s="113">
        <f t="shared" si="180"/>
        <v>75648414.985590771</v>
      </c>
      <c r="K99" s="113">
        <f t="shared" ref="K99:V99" si="191">IF(K9=0,0,K9/K31*1000000)</f>
        <v>76224783.861671463</v>
      </c>
      <c r="L99" s="113">
        <f t="shared" si="191"/>
        <v>74321475.175502151</v>
      </c>
      <c r="M99" s="113">
        <f t="shared" si="191"/>
        <v>66698470.100263834</v>
      </c>
      <c r="N99" s="113">
        <f t="shared" si="191"/>
        <v>66125951.043609209</v>
      </c>
      <c r="O99" s="113">
        <f t="shared" si="191"/>
        <v>66555340.336100176</v>
      </c>
      <c r="P99" s="113">
        <f t="shared" si="191"/>
        <v>77003813.120047078</v>
      </c>
      <c r="Q99" s="113">
        <f t="shared" si="191"/>
        <v>81440835.809120432</v>
      </c>
      <c r="R99" s="113">
        <f t="shared" si="191"/>
        <v>86793179.221533969</v>
      </c>
      <c r="S99" s="113">
        <f t="shared" si="191"/>
        <v>92289567.067238256</v>
      </c>
      <c r="T99" s="113">
        <f t="shared" si="191"/>
        <v>93420220.262548983</v>
      </c>
      <c r="U99" s="113">
        <f t="shared" si="191"/>
        <v>98366827.992033422</v>
      </c>
      <c r="V99" s="113">
        <f t="shared" si="191"/>
        <v>31516957.81928657</v>
      </c>
      <c r="W99" s="113">
        <f t="shared" ref="W99" si="192">IF(W9=0,0,W9/W31*1000000)</f>
        <v>38159545.341737099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109114363.24896289</v>
      </c>
      <c r="C100" s="28">
        <f t="shared" si="180"/>
        <v>100213692.3402147</v>
      </c>
      <c r="D100" s="28">
        <f t="shared" si="180"/>
        <v>100760792.22518149</v>
      </c>
      <c r="E100" s="28">
        <f t="shared" si="180"/>
        <v>101088922.26335025</v>
      </c>
      <c r="F100" s="28">
        <f t="shared" si="180"/>
        <v>104509708.4115019</v>
      </c>
      <c r="G100" s="28">
        <f t="shared" si="180"/>
        <v>110463905.53119503</v>
      </c>
      <c r="H100" s="28">
        <f t="shared" si="180"/>
        <v>109861542.80870301</v>
      </c>
      <c r="I100" s="28">
        <f t="shared" si="180"/>
        <v>114896229.51094992</v>
      </c>
      <c r="J100" s="28">
        <f t="shared" si="180"/>
        <v>110871761.30166665</v>
      </c>
      <c r="K100" s="28">
        <f t="shared" ref="K100:V100" si="193">IF(K10=0,0,K10/K32*1000000)</f>
        <v>103573756.73497404</v>
      </c>
      <c r="L100" s="28">
        <f t="shared" si="193"/>
        <v>109365435.54820168</v>
      </c>
      <c r="M100" s="28">
        <f t="shared" si="193"/>
        <v>115306294.88447742</v>
      </c>
      <c r="N100" s="28">
        <f t="shared" si="193"/>
        <v>117817207.74580252</v>
      </c>
      <c r="O100" s="28">
        <f t="shared" si="193"/>
        <v>116101792.57618773</v>
      </c>
      <c r="P100" s="28">
        <f t="shared" si="193"/>
        <v>122568107.00306524</v>
      </c>
      <c r="Q100" s="28">
        <f t="shared" si="193"/>
        <v>123242408.73986745</v>
      </c>
      <c r="R100" s="28">
        <f t="shared" si="193"/>
        <v>113932353.83544809</v>
      </c>
      <c r="S100" s="28">
        <f t="shared" si="193"/>
        <v>109895351.34274861</v>
      </c>
      <c r="T100" s="28">
        <f t="shared" si="193"/>
        <v>112501276.065559</v>
      </c>
      <c r="U100" s="28">
        <f t="shared" si="193"/>
        <v>102504548.48421708</v>
      </c>
      <c r="V100" s="28">
        <f t="shared" si="193"/>
        <v>96857569.345412388</v>
      </c>
      <c r="W100" s="28">
        <f t="shared" ref="W100" si="194">IF(W10=0,0,W10/W32*1000000)</f>
        <v>74612798.843894318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113931047.14985476</v>
      </c>
      <c r="C101" s="84">
        <f t="shared" si="180"/>
        <v>111901415.61154893</v>
      </c>
      <c r="D101" s="84">
        <f t="shared" si="180"/>
        <v>112315628.52932741</v>
      </c>
      <c r="E101" s="84">
        <f t="shared" si="180"/>
        <v>109163496.83418401</v>
      </c>
      <c r="F101" s="84">
        <f t="shared" si="180"/>
        <v>127718509.25814824</v>
      </c>
      <c r="G101" s="84">
        <f t="shared" si="180"/>
        <v>139463726.43240252</v>
      </c>
      <c r="H101" s="84">
        <f t="shared" si="180"/>
        <v>139551623.10345066</v>
      </c>
      <c r="I101" s="84">
        <f t="shared" si="180"/>
        <v>130857809.36835954</v>
      </c>
      <c r="J101" s="84">
        <f t="shared" si="180"/>
        <v>144430275.87501201</v>
      </c>
      <c r="K101" s="84">
        <f t="shared" ref="K101:V101" si="195">IF(K11=0,0,K11/K33*1000000)</f>
        <v>133833435.1843736</v>
      </c>
      <c r="L101" s="84">
        <f t="shared" si="195"/>
        <v>148470972.19381329</v>
      </c>
      <c r="M101" s="84">
        <f t="shared" si="195"/>
        <v>157041879.00619704</v>
      </c>
      <c r="N101" s="84">
        <f t="shared" si="195"/>
        <v>160092158.96863428</v>
      </c>
      <c r="O101" s="84">
        <f t="shared" si="195"/>
        <v>165359981.00105181</v>
      </c>
      <c r="P101" s="84">
        <f t="shared" si="195"/>
        <v>166074829.35024527</v>
      </c>
      <c r="Q101" s="84">
        <f t="shared" si="195"/>
        <v>164222941.37248984</v>
      </c>
      <c r="R101" s="84">
        <f t="shared" si="195"/>
        <v>163737332.46610412</v>
      </c>
      <c r="S101" s="84">
        <f t="shared" si="195"/>
        <v>157867804.05020067</v>
      </c>
      <c r="T101" s="84">
        <f t="shared" si="195"/>
        <v>173156875.2877827</v>
      </c>
      <c r="U101" s="84">
        <f t="shared" si="195"/>
        <v>173832495.68369094</v>
      </c>
      <c r="V101" s="84">
        <f t="shared" si="195"/>
        <v>120448500.84814939</v>
      </c>
      <c r="W101" s="84">
        <f t="shared" ref="W101" si="196">IF(W11=0,0,W11/W33*1000000)</f>
        <v>106612031.04435965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104035845.81008169</v>
      </c>
      <c r="C102" s="86">
        <f t="shared" si="180"/>
        <v>91282412.224270985</v>
      </c>
      <c r="D102" s="86">
        <f t="shared" si="180"/>
        <v>93755969.649495542</v>
      </c>
      <c r="E102" s="86">
        <f t="shared" si="180"/>
        <v>96731533.425586924</v>
      </c>
      <c r="F102" s="86">
        <f t="shared" si="180"/>
        <v>95387620.033304706</v>
      </c>
      <c r="G102" s="86">
        <f t="shared" si="180"/>
        <v>100349843.17536037</v>
      </c>
      <c r="H102" s="86">
        <f t="shared" si="180"/>
        <v>100554349.16900776</v>
      </c>
      <c r="I102" s="86">
        <f t="shared" si="180"/>
        <v>109008185.01420797</v>
      </c>
      <c r="J102" s="86">
        <f t="shared" si="180"/>
        <v>100943810.42806645</v>
      </c>
      <c r="K102" s="86">
        <f t="shared" ref="K102:V102" si="197">IF(K12=0,0,K12/K34*1000000)</f>
        <v>95954783.472336203</v>
      </c>
      <c r="L102" s="86">
        <f t="shared" si="197"/>
        <v>100861764.91623686</v>
      </c>
      <c r="M102" s="86">
        <f t="shared" si="197"/>
        <v>105787802.34323379</v>
      </c>
      <c r="N102" s="86">
        <f t="shared" si="197"/>
        <v>109881335.36346336</v>
      </c>
      <c r="O102" s="86">
        <f t="shared" si="197"/>
        <v>105853518.77665399</v>
      </c>
      <c r="P102" s="86">
        <f t="shared" si="197"/>
        <v>113034080.0560846</v>
      </c>
      <c r="Q102" s="86">
        <f t="shared" si="197"/>
        <v>114207341.09771085</v>
      </c>
      <c r="R102" s="86">
        <f t="shared" si="197"/>
        <v>107163314.38920377</v>
      </c>
      <c r="S102" s="86">
        <f t="shared" si="197"/>
        <v>99175377.181017965</v>
      </c>
      <c r="T102" s="86">
        <f t="shared" si="197"/>
        <v>101129484.81310546</v>
      </c>
      <c r="U102" s="86">
        <f t="shared" si="197"/>
        <v>86407002.766542301</v>
      </c>
      <c r="V102" s="86">
        <f t="shared" si="197"/>
        <v>90583282.327808335</v>
      </c>
      <c r="W102" s="86">
        <f t="shared" ref="W102" si="198">IF(W12=0,0,W12/W34*1000000)</f>
        <v>64540709.942603104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0.11617711530030689</v>
      </c>
      <c r="C106" s="123">
        <f t="shared" si="199"/>
        <v>0.12012342957901698</v>
      </c>
      <c r="D106" s="123">
        <f t="shared" si="199"/>
        <v>0.12290502793296089</v>
      </c>
      <c r="E106" s="123">
        <f t="shared" si="199"/>
        <v>0.17024099049303559</v>
      </c>
      <c r="F106" s="123">
        <f t="shared" si="199"/>
        <v>0.18417047184170471</v>
      </c>
      <c r="G106" s="123">
        <f t="shared" si="199"/>
        <v>0.18204159326014296</v>
      </c>
      <c r="H106" s="123">
        <f t="shared" si="199"/>
        <v>0.20309223241087215</v>
      </c>
      <c r="I106" s="123">
        <f t="shared" si="199"/>
        <v>0.20844012873022838</v>
      </c>
      <c r="J106" s="123">
        <f t="shared" si="199"/>
        <v>0.20625664946104394</v>
      </c>
      <c r="K106" s="123">
        <f t="shared" ref="K106:V106" si="202">IF(K5=0,0,K5/K$4)</f>
        <v>0.20557159623350801</v>
      </c>
      <c r="L106" s="123">
        <f t="shared" si="202"/>
        <v>0.21609127588343233</v>
      </c>
      <c r="M106" s="123">
        <f t="shared" si="202"/>
        <v>0.21318477251624884</v>
      </c>
      <c r="N106" s="123">
        <f t="shared" si="202"/>
        <v>0.21280362586417209</v>
      </c>
      <c r="O106" s="123">
        <f t="shared" si="202"/>
        <v>0.20506215721164819</v>
      </c>
      <c r="P106" s="123">
        <f t="shared" si="202"/>
        <v>0.20059121384994402</v>
      </c>
      <c r="Q106" s="123">
        <f t="shared" si="202"/>
        <v>0.20312579294723032</v>
      </c>
      <c r="R106" s="123">
        <f t="shared" si="202"/>
        <v>0.1992189663091935</v>
      </c>
      <c r="S106" s="123">
        <f t="shared" si="202"/>
        <v>0.19887558747201783</v>
      </c>
      <c r="T106" s="123">
        <f t="shared" si="202"/>
        <v>0.20466411416637662</v>
      </c>
      <c r="U106" s="123">
        <f t="shared" si="202"/>
        <v>0.2035185729069634</v>
      </c>
      <c r="V106" s="123">
        <f t="shared" si="202"/>
        <v>0.20613287904599659</v>
      </c>
      <c r="W106" s="123">
        <f t="shared" ref="W106" si="203">IF(W5=0,0,W5/W$4)</f>
        <v>0.18240233329795652</v>
      </c>
      <c r="DA106" s="203"/>
    </row>
    <row r="107" spans="1:105" ht="11.45" customHeight="1" x14ac:dyDescent="0.25">
      <c r="A107" s="109" t="s">
        <v>24</v>
      </c>
      <c r="B107" s="124">
        <f t="shared" si="199"/>
        <v>0.88382288469969317</v>
      </c>
      <c r="C107" s="124">
        <f t="shared" si="199"/>
        <v>0.879876570420983</v>
      </c>
      <c r="D107" s="124">
        <f t="shared" si="199"/>
        <v>0.87709497206703912</v>
      </c>
      <c r="E107" s="124">
        <f t="shared" si="199"/>
        <v>0.82975900950696435</v>
      </c>
      <c r="F107" s="124">
        <f t="shared" si="199"/>
        <v>0.72102631006740592</v>
      </c>
      <c r="G107" s="124">
        <f t="shared" si="199"/>
        <v>0.71273403832228543</v>
      </c>
      <c r="H107" s="124">
        <f t="shared" si="199"/>
        <v>0.69246268349849904</v>
      </c>
      <c r="I107" s="124">
        <f t="shared" si="199"/>
        <v>0.69110105640583763</v>
      </c>
      <c r="J107" s="124">
        <f t="shared" si="199"/>
        <v>0.69483158717960358</v>
      </c>
      <c r="K107" s="124">
        <f t="shared" ref="K107:V107" si="204">IF(K6=0,0,K6/K$4)</f>
        <v>0.69467700913262675</v>
      </c>
      <c r="L107" s="124">
        <f t="shared" si="204"/>
        <v>0.68489340614728589</v>
      </c>
      <c r="M107" s="124">
        <f t="shared" si="204"/>
        <v>0.70027855153203344</v>
      </c>
      <c r="N107" s="124">
        <f t="shared" si="204"/>
        <v>0.69156536576066296</v>
      </c>
      <c r="O107" s="124">
        <f t="shared" si="204"/>
        <v>0.6936371859243935</v>
      </c>
      <c r="P107" s="124">
        <f t="shared" si="204"/>
        <v>0.6877571955610815</v>
      </c>
      <c r="Q107" s="124">
        <f t="shared" si="204"/>
        <v>0.68228703904341259</v>
      </c>
      <c r="R107" s="124">
        <f t="shared" si="204"/>
        <v>0.68550498104198776</v>
      </c>
      <c r="S107" s="124">
        <f t="shared" si="204"/>
        <v>0.68528423507431246</v>
      </c>
      <c r="T107" s="124">
        <f t="shared" si="204"/>
        <v>0.68029933867037939</v>
      </c>
      <c r="U107" s="124">
        <f t="shared" si="204"/>
        <v>0.68681751546954439</v>
      </c>
      <c r="V107" s="124">
        <f t="shared" si="204"/>
        <v>0.72479479634505184</v>
      </c>
      <c r="W107" s="124">
        <f t="shared" ref="W107" si="205">IF(W6=0,0,W6/W$4)</f>
        <v>0.74179019073722485</v>
      </c>
      <c r="DA107" s="176"/>
    </row>
    <row r="108" spans="1:105" ht="11.45" customHeight="1" x14ac:dyDescent="0.25">
      <c r="A108" s="111" t="s">
        <v>92</v>
      </c>
      <c r="B108" s="125">
        <f t="shared" si="199"/>
        <v>0.37098948230603318</v>
      </c>
      <c r="C108" s="125">
        <f t="shared" si="199"/>
        <v>0.33500764780463493</v>
      </c>
      <c r="D108" s="125">
        <f t="shared" si="199"/>
        <v>0.28934051077403117</v>
      </c>
      <c r="E108" s="125">
        <f t="shared" si="199"/>
        <v>0.22450486083911753</v>
      </c>
      <c r="F108" s="125">
        <f t="shared" si="199"/>
        <v>0.20639933606735705</v>
      </c>
      <c r="G108" s="125">
        <f t="shared" si="199"/>
        <v>0.19244057957783364</v>
      </c>
      <c r="H108" s="125">
        <f t="shared" si="199"/>
        <v>0.176463935256543</v>
      </c>
      <c r="I108" s="125">
        <f t="shared" si="199"/>
        <v>0.1838018109082348</v>
      </c>
      <c r="J108" s="125">
        <f t="shared" si="199"/>
        <v>0.17694545516013632</v>
      </c>
      <c r="K108" s="125">
        <f t="shared" ref="K108:V108" si="206">IF(K7=0,0,K7/K$4)</f>
        <v>0.15751900260224702</v>
      </c>
      <c r="L108" s="125">
        <f t="shared" si="206"/>
        <v>0.14679038038620193</v>
      </c>
      <c r="M108" s="125">
        <f t="shared" si="206"/>
        <v>0.16150273508748722</v>
      </c>
      <c r="N108" s="125">
        <f t="shared" si="206"/>
        <v>0.12984930795549754</v>
      </c>
      <c r="O108" s="125">
        <f t="shared" si="206"/>
        <v>0.15008135424571395</v>
      </c>
      <c r="P108" s="125">
        <f t="shared" si="206"/>
        <v>0.14779284914457996</v>
      </c>
      <c r="Q108" s="125">
        <f t="shared" si="206"/>
        <v>0.14364865231271734</v>
      </c>
      <c r="R108" s="125">
        <f t="shared" si="206"/>
        <v>0.10377501819610635</v>
      </c>
      <c r="S108" s="125">
        <f t="shared" si="206"/>
        <v>0.10139066885150429</v>
      </c>
      <c r="T108" s="125">
        <f t="shared" si="206"/>
        <v>8.4914921975338634E-2</v>
      </c>
      <c r="U108" s="125">
        <f t="shared" si="206"/>
        <v>8.4291240534898629E-2</v>
      </c>
      <c r="V108" s="125">
        <f t="shared" si="206"/>
        <v>9.3298836641958455E-2</v>
      </c>
      <c r="W108" s="125">
        <f t="shared" ref="W108" si="207">IF(W7=0,0,W7/W$4)</f>
        <v>9.1073468993127168E-2</v>
      </c>
      <c r="DA108" s="171"/>
    </row>
    <row r="109" spans="1:105" ht="11.45" customHeight="1" x14ac:dyDescent="0.25">
      <c r="A109" s="111" t="s">
        <v>93</v>
      </c>
      <c r="B109" s="125">
        <f t="shared" si="199"/>
        <v>0.51283340239365993</v>
      </c>
      <c r="C109" s="125">
        <f t="shared" si="199"/>
        <v>0.54486892261634812</v>
      </c>
      <c r="D109" s="125">
        <f t="shared" si="199"/>
        <v>0.5877544612930079</v>
      </c>
      <c r="E109" s="125">
        <f t="shared" si="199"/>
        <v>0.60525414866784688</v>
      </c>
      <c r="F109" s="125">
        <f t="shared" si="199"/>
        <v>0.51462697400004898</v>
      </c>
      <c r="G109" s="125">
        <f t="shared" si="199"/>
        <v>0.52029345874445176</v>
      </c>
      <c r="H109" s="125">
        <f t="shared" si="199"/>
        <v>0.51599874824195602</v>
      </c>
      <c r="I109" s="125">
        <f t="shared" si="199"/>
        <v>0.50729924549760286</v>
      </c>
      <c r="J109" s="125">
        <f t="shared" si="199"/>
        <v>0.5178861320194672</v>
      </c>
      <c r="K109" s="125">
        <f t="shared" ref="K109:V109" si="208">IF(K8=0,0,K8/K$4)</f>
        <v>0.53715800653037971</v>
      </c>
      <c r="L109" s="125">
        <f t="shared" si="208"/>
        <v>0.53810302576108393</v>
      </c>
      <c r="M109" s="125">
        <f t="shared" si="208"/>
        <v>0.5387758164445462</v>
      </c>
      <c r="N109" s="125">
        <f t="shared" si="208"/>
        <v>0.56171605780516543</v>
      </c>
      <c r="O109" s="125">
        <f t="shared" si="208"/>
        <v>0.5435558316786796</v>
      </c>
      <c r="P109" s="125">
        <f t="shared" si="208"/>
        <v>0.53996434641650148</v>
      </c>
      <c r="Q109" s="125">
        <f t="shared" si="208"/>
        <v>0.53863838673069531</v>
      </c>
      <c r="R109" s="125">
        <f t="shared" si="208"/>
        <v>0.58172996284588141</v>
      </c>
      <c r="S109" s="125">
        <f t="shared" si="208"/>
        <v>0.58389356622280819</v>
      </c>
      <c r="T109" s="125">
        <f t="shared" si="208"/>
        <v>0.59538441669504083</v>
      </c>
      <c r="U109" s="125">
        <f t="shared" si="208"/>
        <v>0.60252627493464572</v>
      </c>
      <c r="V109" s="125">
        <f t="shared" si="208"/>
        <v>0.63149595970309336</v>
      </c>
      <c r="W109" s="125">
        <f t="shared" ref="W109" si="209">IF(W8=0,0,W8/W$4)</f>
        <v>0.65071672174409767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9.4803218090889319E-2</v>
      </c>
      <c r="G110" s="126">
        <f t="shared" si="199"/>
        <v>0.10522436841757152</v>
      </c>
      <c r="H110" s="126">
        <f t="shared" si="199"/>
        <v>0.10444508409062872</v>
      </c>
      <c r="I110" s="126">
        <f t="shared" si="199"/>
        <v>0.10045881486393389</v>
      </c>
      <c r="J110" s="126">
        <f t="shared" si="199"/>
        <v>9.8911763359352464E-2</v>
      </c>
      <c r="K110" s="126">
        <f t="shared" ref="K110:V110" si="210">IF(K9=0,0,K9/K$4)</f>
        <v>9.9751394633865231E-2</v>
      </c>
      <c r="L110" s="126">
        <f t="shared" si="210"/>
        <v>9.9015317969281688E-2</v>
      </c>
      <c r="M110" s="126">
        <f t="shared" si="210"/>
        <v>8.653667595171774E-2</v>
      </c>
      <c r="N110" s="126">
        <f t="shared" si="210"/>
        <v>9.5631008375165014E-2</v>
      </c>
      <c r="O110" s="126">
        <f t="shared" si="210"/>
        <v>0.10130065686395823</v>
      </c>
      <c r="P110" s="126">
        <f t="shared" si="210"/>
        <v>0.1116515905889746</v>
      </c>
      <c r="Q110" s="126">
        <f t="shared" si="210"/>
        <v>0.11458716800935707</v>
      </c>
      <c r="R110" s="126">
        <f t="shared" si="210"/>
        <v>0.11527605264881888</v>
      </c>
      <c r="S110" s="126">
        <f t="shared" si="210"/>
        <v>0.11584017745366969</v>
      </c>
      <c r="T110" s="126">
        <f t="shared" si="210"/>
        <v>0.11503654716324399</v>
      </c>
      <c r="U110" s="126">
        <f t="shared" si="210"/>
        <v>0.10966391162349229</v>
      </c>
      <c r="V110" s="126">
        <f t="shared" si="210"/>
        <v>6.9072324608951519E-2</v>
      </c>
      <c r="W110" s="126">
        <f t="shared" ref="W110" si="211">IF(W9=0,0,W9/W$4)</f>
        <v>7.5807475964818599E-2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0.53588608381208225</v>
      </c>
      <c r="C112" s="125">
        <f t="shared" si="212"/>
        <v>0.48367602128086246</v>
      </c>
      <c r="D112" s="125">
        <f t="shared" si="212"/>
        <v>0.42070315422107735</v>
      </c>
      <c r="E112" s="125">
        <f t="shared" si="212"/>
        <v>0.37849527814494127</v>
      </c>
      <c r="F112" s="125">
        <f t="shared" si="212"/>
        <v>0.34480521899601457</v>
      </c>
      <c r="G112" s="125">
        <f t="shared" si="212"/>
        <v>0.32646419953235956</v>
      </c>
      <c r="H112" s="125">
        <f t="shared" si="212"/>
        <v>0.30316125688611839</v>
      </c>
      <c r="I112" s="125">
        <f t="shared" si="212"/>
        <v>0.30691702320046121</v>
      </c>
      <c r="J112" s="125">
        <f t="shared" si="212"/>
        <v>0.29740125961318303</v>
      </c>
      <c r="K112" s="125">
        <f t="shared" ref="K112:V112" si="215">IF(K11=0,0,K11/K$10)</f>
        <v>0.25990631639466821</v>
      </c>
      <c r="L112" s="125">
        <f t="shared" si="215"/>
        <v>0.24248057082038252</v>
      </c>
      <c r="M112" s="125">
        <f t="shared" si="215"/>
        <v>0.25293109574365663</v>
      </c>
      <c r="N112" s="125">
        <f t="shared" si="215"/>
        <v>0.21476260629629734</v>
      </c>
      <c r="O112" s="125">
        <f t="shared" si="215"/>
        <v>0.24528900242026896</v>
      </c>
      <c r="P112" s="125">
        <f t="shared" si="215"/>
        <v>0.24355276288508118</v>
      </c>
      <c r="Q112" s="125">
        <f t="shared" si="215"/>
        <v>0.24071301434347281</v>
      </c>
      <c r="R112" s="125">
        <f t="shared" si="215"/>
        <v>0.17195335779245124</v>
      </c>
      <c r="S112" s="125">
        <f t="shared" si="215"/>
        <v>0.2623770937299274</v>
      </c>
      <c r="T112" s="125">
        <f t="shared" si="215"/>
        <v>0.24300403768506054</v>
      </c>
      <c r="U112" s="125">
        <f t="shared" si="215"/>
        <v>0.31225500333520118</v>
      </c>
      <c r="V112" s="125">
        <f t="shared" si="215"/>
        <v>0.26125614703818267</v>
      </c>
      <c r="W112" s="125">
        <f t="shared" ref="W112" si="216">IF(W11=0,0,W11/W$10)</f>
        <v>0.34207889953978682</v>
      </c>
      <c r="DA112" s="171"/>
    </row>
    <row r="113" spans="1:105" ht="11.45" customHeight="1" x14ac:dyDescent="0.25">
      <c r="A113" s="85" t="s">
        <v>93</v>
      </c>
      <c r="B113" s="127">
        <f t="shared" si="212"/>
        <v>0.46411391618791781</v>
      </c>
      <c r="C113" s="127">
        <f t="shared" si="212"/>
        <v>0.5163239787191376</v>
      </c>
      <c r="D113" s="127">
        <f t="shared" si="212"/>
        <v>0.5792968457789226</v>
      </c>
      <c r="E113" s="127">
        <f t="shared" si="212"/>
        <v>0.62150472185505867</v>
      </c>
      <c r="F113" s="127">
        <f t="shared" si="212"/>
        <v>0.65519478100398543</v>
      </c>
      <c r="G113" s="127">
        <f t="shared" si="212"/>
        <v>0.6735358004676405</v>
      </c>
      <c r="H113" s="127">
        <f t="shared" si="212"/>
        <v>0.69683874311388161</v>
      </c>
      <c r="I113" s="127">
        <f t="shared" si="212"/>
        <v>0.69308297679953879</v>
      </c>
      <c r="J113" s="127">
        <f t="shared" si="212"/>
        <v>0.70259874038681691</v>
      </c>
      <c r="K113" s="127">
        <f t="shared" ref="K113:V113" si="217">IF(K12=0,0,K12/K$10)</f>
        <v>0.74009368360533179</v>
      </c>
      <c r="L113" s="127">
        <f t="shared" si="217"/>
        <v>0.75751942917961756</v>
      </c>
      <c r="M113" s="127">
        <f t="shared" si="217"/>
        <v>0.74706890425634342</v>
      </c>
      <c r="N113" s="127">
        <f t="shared" si="217"/>
        <v>0.7852373937037026</v>
      </c>
      <c r="O113" s="127">
        <f t="shared" si="217"/>
        <v>0.75471099757973104</v>
      </c>
      <c r="P113" s="127">
        <f t="shared" si="217"/>
        <v>0.7564472371149189</v>
      </c>
      <c r="Q113" s="127">
        <f t="shared" si="217"/>
        <v>0.75928698565652719</v>
      </c>
      <c r="R113" s="127">
        <f t="shared" si="217"/>
        <v>0.82804664220754876</v>
      </c>
      <c r="S113" s="127">
        <f t="shared" si="217"/>
        <v>0.73762290627007265</v>
      </c>
      <c r="T113" s="127">
        <f t="shared" si="217"/>
        <v>0.75699596231493937</v>
      </c>
      <c r="U113" s="127">
        <f t="shared" si="217"/>
        <v>0.68774499666479882</v>
      </c>
      <c r="V113" s="127">
        <f t="shared" si="217"/>
        <v>0.73874385296181733</v>
      </c>
      <c r="W113" s="127">
        <f t="shared" ref="W113" si="218">IF(W12=0,0,W12/W$10)</f>
        <v>0.65792110046021313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0.17406694292098795</v>
      </c>
      <c r="C117" s="123">
        <f t="shared" si="219"/>
        <v>0.19201529224911035</v>
      </c>
      <c r="D117" s="123">
        <f t="shared" si="219"/>
        <v>0.1886277453945667</v>
      </c>
      <c r="E117" s="123">
        <f t="shared" si="219"/>
        <v>0.24636349114476497</v>
      </c>
      <c r="F117" s="123">
        <f t="shared" si="219"/>
        <v>0.26393079227208799</v>
      </c>
      <c r="G117" s="123">
        <f t="shared" si="219"/>
        <v>0.2738923585477176</v>
      </c>
      <c r="H117" s="123">
        <f t="shared" si="219"/>
        <v>0.29996008969399113</v>
      </c>
      <c r="I117" s="123">
        <f t="shared" si="219"/>
        <v>0.31218194597137933</v>
      </c>
      <c r="J117" s="123">
        <f t="shared" si="219"/>
        <v>0.31037558609505983</v>
      </c>
      <c r="K117" s="123">
        <f t="shared" ref="K117:V117" si="222">IF(K16=0,0,K16/K$15)</f>
        <v>0.32004083594989519</v>
      </c>
      <c r="L117" s="123">
        <f t="shared" si="222"/>
        <v>0.33367799873313803</v>
      </c>
      <c r="M117" s="123">
        <f t="shared" si="222"/>
        <v>0.36060563546324254</v>
      </c>
      <c r="N117" s="123">
        <f t="shared" si="222"/>
        <v>0.34299025001556971</v>
      </c>
      <c r="O117" s="123">
        <f t="shared" si="222"/>
        <v>0.36214653015850207</v>
      </c>
      <c r="P117" s="123">
        <f t="shared" si="222"/>
        <v>0.36010495860155378</v>
      </c>
      <c r="Q117" s="123">
        <f t="shared" si="222"/>
        <v>0.3601303631542323</v>
      </c>
      <c r="R117" s="123">
        <f t="shared" si="222"/>
        <v>0.26206978185254892</v>
      </c>
      <c r="S117" s="123">
        <f t="shared" si="222"/>
        <v>0.23382466557683632</v>
      </c>
      <c r="T117" s="123">
        <f t="shared" si="222"/>
        <v>0.23816146088283421</v>
      </c>
      <c r="U117" s="123">
        <f t="shared" si="222"/>
        <v>0.24919111368260158</v>
      </c>
      <c r="V117" s="123">
        <f t="shared" si="222"/>
        <v>0.25550275296670122</v>
      </c>
      <c r="W117" s="123">
        <f t="shared" ref="W117" si="223">IF(W16=0,0,W16/W$15)</f>
        <v>0.22201621542267713</v>
      </c>
      <c r="DA117" s="203"/>
    </row>
    <row r="118" spans="1:105" ht="11.45" customHeight="1" x14ac:dyDescent="0.25">
      <c r="A118" s="109" t="s">
        <v>24</v>
      </c>
      <c r="B118" s="124">
        <f t="shared" si="219"/>
        <v>0.8259330570790121</v>
      </c>
      <c r="C118" s="124">
        <f t="shared" si="219"/>
        <v>0.80798470775088971</v>
      </c>
      <c r="D118" s="124">
        <f t="shared" si="219"/>
        <v>0.81137225460543339</v>
      </c>
      <c r="E118" s="124">
        <f t="shared" si="219"/>
        <v>0.75363650885523503</v>
      </c>
      <c r="F118" s="124">
        <f t="shared" si="219"/>
        <v>0.6749600308706849</v>
      </c>
      <c r="G118" s="124">
        <f t="shared" si="219"/>
        <v>0.65760242742227881</v>
      </c>
      <c r="H118" s="124">
        <f t="shared" si="219"/>
        <v>0.63405210795790734</v>
      </c>
      <c r="I118" s="124">
        <f t="shared" si="219"/>
        <v>0.61848383393140061</v>
      </c>
      <c r="J118" s="124">
        <f t="shared" si="219"/>
        <v>0.62246106035274806</v>
      </c>
      <c r="K118" s="124">
        <f t="shared" ref="K118:V118" si="224">IF(K17=0,0,K17/K$15)</f>
        <v>0.60964658516050374</v>
      </c>
      <c r="L118" s="124">
        <f t="shared" si="224"/>
        <v>0.59526669549660183</v>
      </c>
      <c r="M118" s="124">
        <f t="shared" si="224"/>
        <v>0.56209385606641082</v>
      </c>
      <c r="N118" s="124">
        <f t="shared" si="224"/>
        <v>0.5766041988654923</v>
      </c>
      <c r="O118" s="124">
        <f t="shared" si="224"/>
        <v>0.54717976913144384</v>
      </c>
      <c r="P118" s="124">
        <f t="shared" si="224"/>
        <v>0.5509594502120494</v>
      </c>
      <c r="Q118" s="124">
        <f t="shared" si="224"/>
        <v>0.55482632651069597</v>
      </c>
      <c r="R118" s="124">
        <f t="shared" si="224"/>
        <v>0.67625767077476628</v>
      </c>
      <c r="S118" s="124">
        <f t="shared" si="224"/>
        <v>0.71343508053127569</v>
      </c>
      <c r="T118" s="124">
        <f t="shared" si="224"/>
        <v>0.71189785730039701</v>
      </c>
      <c r="U118" s="124">
        <f t="shared" si="224"/>
        <v>0.70154863369348819</v>
      </c>
      <c r="V118" s="124">
        <f t="shared" si="224"/>
        <v>0.71210188725296086</v>
      </c>
      <c r="W118" s="124">
        <f t="shared" ref="W118" si="225">IF(W17=0,0,W17/W$15)</f>
        <v>0.74046387610129971</v>
      </c>
      <c r="DA118" s="176"/>
    </row>
    <row r="119" spans="1:105" ht="11.45" customHeight="1" x14ac:dyDescent="0.25">
      <c r="A119" s="111" t="s">
        <v>92</v>
      </c>
      <c r="B119" s="125">
        <f t="shared" si="219"/>
        <v>0.40262701572751386</v>
      </c>
      <c r="C119" s="125">
        <f t="shared" si="219"/>
        <v>0.36919068593977333</v>
      </c>
      <c r="D119" s="125">
        <f t="shared" si="219"/>
        <v>0.30281003766130099</v>
      </c>
      <c r="E119" s="125">
        <f t="shared" si="219"/>
        <v>0.25169732130353484</v>
      </c>
      <c r="F119" s="125">
        <f t="shared" si="219"/>
        <v>0.2289060997377825</v>
      </c>
      <c r="G119" s="125">
        <f t="shared" si="219"/>
        <v>0.20896296592612007</v>
      </c>
      <c r="H119" s="125">
        <f t="shared" si="219"/>
        <v>0.18600861103211858</v>
      </c>
      <c r="I119" s="125">
        <f t="shared" si="219"/>
        <v>0.18554101857920707</v>
      </c>
      <c r="J119" s="125">
        <f t="shared" si="219"/>
        <v>0.18146527159155565</v>
      </c>
      <c r="K119" s="125">
        <f t="shared" ref="K119:V119" si="226">IF(K18=0,0,K18/K$15)</f>
        <v>0.15879030079916592</v>
      </c>
      <c r="L119" s="125">
        <f t="shared" si="226"/>
        <v>0.14266883578929804</v>
      </c>
      <c r="M119" s="125">
        <f t="shared" si="226"/>
        <v>0.13818220639121187</v>
      </c>
      <c r="N119" s="125">
        <f t="shared" si="226"/>
        <v>0.11327161322259387</v>
      </c>
      <c r="O119" s="125">
        <f t="shared" si="226"/>
        <v>0.11622667604302352</v>
      </c>
      <c r="P119" s="125">
        <f t="shared" si="226"/>
        <v>0.1180596897105891</v>
      </c>
      <c r="Q119" s="125">
        <f t="shared" si="226"/>
        <v>0.11259113283798064</v>
      </c>
      <c r="R119" s="125">
        <f t="shared" si="226"/>
        <v>7.9557789852068669E-2</v>
      </c>
      <c r="S119" s="125">
        <f t="shared" si="226"/>
        <v>6.4602762038617048E-2</v>
      </c>
      <c r="T119" s="125">
        <f t="shared" si="226"/>
        <v>6.7278574825687651E-2</v>
      </c>
      <c r="U119" s="125">
        <f t="shared" si="226"/>
        <v>6.3769252881793442E-2</v>
      </c>
      <c r="V119" s="125">
        <f t="shared" si="226"/>
        <v>5.5513918174456091E-2</v>
      </c>
      <c r="W119" s="125">
        <f t="shared" ref="W119" si="227">IF(W18=0,0,W18/W$15)</f>
        <v>4.352278275242942E-2</v>
      </c>
      <c r="DA119" s="171"/>
    </row>
    <row r="120" spans="1:105" ht="11.45" customHeight="1" x14ac:dyDescent="0.25">
      <c r="A120" s="111" t="s">
        <v>93</v>
      </c>
      <c r="B120" s="125">
        <f t="shared" si="219"/>
        <v>0.42330604135149824</v>
      </c>
      <c r="C120" s="125">
        <f t="shared" si="219"/>
        <v>0.43879402181111637</v>
      </c>
      <c r="D120" s="125">
        <f t="shared" si="219"/>
        <v>0.50856221694413239</v>
      </c>
      <c r="E120" s="125">
        <f t="shared" si="219"/>
        <v>0.50193918755170019</v>
      </c>
      <c r="F120" s="125">
        <f t="shared" si="219"/>
        <v>0.44605393113290243</v>
      </c>
      <c r="G120" s="125">
        <f t="shared" si="219"/>
        <v>0.44863946149615869</v>
      </c>
      <c r="H120" s="125">
        <f t="shared" si="219"/>
        <v>0.44804349692578876</v>
      </c>
      <c r="I120" s="125">
        <f t="shared" si="219"/>
        <v>0.43294281535219348</v>
      </c>
      <c r="J120" s="125">
        <f t="shared" si="219"/>
        <v>0.44099578876119244</v>
      </c>
      <c r="K120" s="125">
        <f t="shared" ref="K120:V120" si="228">IF(K19=0,0,K19/K$15)</f>
        <v>0.45085628436133784</v>
      </c>
      <c r="L120" s="125">
        <f t="shared" si="228"/>
        <v>0.45259785970730376</v>
      </c>
      <c r="M120" s="125">
        <f t="shared" si="228"/>
        <v>0.42391164967519895</v>
      </c>
      <c r="N120" s="125">
        <f t="shared" si="228"/>
        <v>0.46333258564289836</v>
      </c>
      <c r="O120" s="125">
        <f t="shared" si="228"/>
        <v>0.43095309308842034</v>
      </c>
      <c r="P120" s="125">
        <f t="shared" si="228"/>
        <v>0.43289976050146028</v>
      </c>
      <c r="Q120" s="125">
        <f t="shared" si="228"/>
        <v>0.4422351936727153</v>
      </c>
      <c r="R120" s="125">
        <f t="shared" si="228"/>
        <v>0.59669988092269766</v>
      </c>
      <c r="S120" s="125">
        <f t="shared" si="228"/>
        <v>0.64883231849265866</v>
      </c>
      <c r="T120" s="125">
        <f t="shared" si="228"/>
        <v>0.64461928247470945</v>
      </c>
      <c r="U120" s="125">
        <f t="shared" si="228"/>
        <v>0.63777938081169472</v>
      </c>
      <c r="V120" s="125">
        <f t="shared" si="228"/>
        <v>0.65658796907850481</v>
      </c>
      <c r="W120" s="125">
        <f t="shared" ref="W120" si="229">IF(W19=0,0,W19/W$15)</f>
        <v>0.69694109334887033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6.1109176857227082E-2</v>
      </c>
      <c r="G121" s="126">
        <f t="shared" si="219"/>
        <v>6.8505214030003647E-2</v>
      </c>
      <c r="H121" s="126">
        <f t="shared" si="219"/>
        <v>6.598780234810149E-2</v>
      </c>
      <c r="I121" s="126">
        <f t="shared" si="219"/>
        <v>6.9334220097220012E-2</v>
      </c>
      <c r="J121" s="126">
        <f t="shared" si="219"/>
        <v>6.7163353552192204E-2</v>
      </c>
      <c r="K121" s="126">
        <f t="shared" ref="K121:V121" si="230">IF(K20=0,0,K20/K$15)</f>
        <v>7.0312578889601143E-2</v>
      </c>
      <c r="L121" s="126">
        <f t="shared" si="230"/>
        <v>7.1055305770260174E-2</v>
      </c>
      <c r="M121" s="126">
        <f t="shared" si="230"/>
        <v>7.7300508470346557E-2</v>
      </c>
      <c r="N121" s="126">
        <f t="shared" si="230"/>
        <v>8.0405551118938018E-2</v>
      </c>
      <c r="O121" s="126">
        <f t="shared" si="230"/>
        <v>9.0673700710054081E-2</v>
      </c>
      <c r="P121" s="126">
        <f t="shared" si="230"/>
        <v>8.8935591186396795E-2</v>
      </c>
      <c r="Q121" s="126">
        <f t="shared" si="230"/>
        <v>8.5043310335071717E-2</v>
      </c>
      <c r="R121" s="126">
        <f t="shared" si="230"/>
        <v>6.1672547372684766E-2</v>
      </c>
      <c r="S121" s="126">
        <f t="shared" si="230"/>
        <v>5.2740253891887981E-2</v>
      </c>
      <c r="T121" s="126">
        <f t="shared" si="230"/>
        <v>4.9940681816768695E-2</v>
      </c>
      <c r="U121" s="126">
        <f t="shared" si="230"/>
        <v>4.9260252623910268E-2</v>
      </c>
      <c r="V121" s="126">
        <f t="shared" si="230"/>
        <v>3.239535978033798E-2</v>
      </c>
      <c r="W121" s="126">
        <f t="shared" ref="W121" si="231">IF(W20=0,0,W20/W$15)</f>
        <v>3.7519908476023094E-2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0.51323033203708313</v>
      </c>
      <c r="C123" s="125">
        <f t="shared" si="232"/>
        <v>0.39308171427631461</v>
      </c>
      <c r="D123" s="125">
        <f t="shared" si="232"/>
        <v>0.33517679862322403</v>
      </c>
      <c r="E123" s="125">
        <f t="shared" si="232"/>
        <v>0.29629437844961104</v>
      </c>
      <c r="F123" s="125">
        <f t="shared" si="232"/>
        <v>0.26058273482682837</v>
      </c>
      <c r="G123" s="125">
        <f t="shared" si="232"/>
        <v>0.25857985528595778</v>
      </c>
      <c r="H123" s="125">
        <f t="shared" si="232"/>
        <v>0.23866267628064755</v>
      </c>
      <c r="I123" s="125">
        <f t="shared" si="232"/>
        <v>0.26948036309328366</v>
      </c>
      <c r="J123" s="125">
        <f t="shared" si="232"/>
        <v>0.22829979353127347</v>
      </c>
      <c r="K123" s="125">
        <f t="shared" ref="K123:V123" si="235">IF(K22=0,0,K22/K$21)</f>
        <v>0.18479726971592123</v>
      </c>
      <c r="L123" s="125">
        <f t="shared" si="235"/>
        <v>0.17861396771652482</v>
      </c>
      <c r="M123" s="125">
        <f t="shared" si="235"/>
        <v>0.19018442246168685</v>
      </c>
      <c r="N123" s="125">
        <f t="shared" si="235"/>
        <v>0.15805103533044174</v>
      </c>
      <c r="O123" s="125">
        <f t="shared" si="235"/>
        <v>0.18841804383193225</v>
      </c>
      <c r="P123" s="125">
        <f t="shared" si="235"/>
        <v>0.17974906155349038</v>
      </c>
      <c r="Q123" s="125">
        <f t="shared" si="235"/>
        <v>0.180644960835495</v>
      </c>
      <c r="R123" s="125">
        <f t="shared" si="235"/>
        <v>0.11933244043794555</v>
      </c>
      <c r="S123" s="125">
        <f t="shared" si="235"/>
        <v>0.19303749974819881</v>
      </c>
      <c r="T123" s="125">
        <f t="shared" si="235"/>
        <v>0.15788147550850581</v>
      </c>
      <c r="U123" s="125">
        <f t="shared" si="235"/>
        <v>0.20518120341845883</v>
      </c>
      <c r="V123" s="125">
        <f t="shared" si="235"/>
        <v>0.21008674185040788</v>
      </c>
      <c r="W123" s="125">
        <f t="shared" ref="W123" si="236">IF(W22=0,0,W22/W$21)</f>
        <v>0.23940510854784269</v>
      </c>
      <c r="DA123" s="171"/>
    </row>
    <row r="124" spans="1:105" ht="11.45" customHeight="1" x14ac:dyDescent="0.25">
      <c r="A124" s="85" t="s">
        <v>93</v>
      </c>
      <c r="B124" s="127">
        <f t="shared" si="232"/>
        <v>0.48676966796291687</v>
      </c>
      <c r="C124" s="127">
        <f t="shared" si="232"/>
        <v>0.60691828572368534</v>
      </c>
      <c r="D124" s="127">
        <f t="shared" si="232"/>
        <v>0.66482320137677597</v>
      </c>
      <c r="E124" s="127">
        <f t="shared" si="232"/>
        <v>0.70370562155038885</v>
      </c>
      <c r="F124" s="127">
        <f t="shared" si="232"/>
        <v>0.73941726517317163</v>
      </c>
      <c r="G124" s="127">
        <f t="shared" si="232"/>
        <v>0.74142014471404227</v>
      </c>
      <c r="H124" s="127">
        <f t="shared" si="232"/>
        <v>0.76133732371935248</v>
      </c>
      <c r="I124" s="127">
        <f t="shared" si="232"/>
        <v>0.73051963690671629</v>
      </c>
      <c r="J124" s="127">
        <f t="shared" si="232"/>
        <v>0.7717002064687265</v>
      </c>
      <c r="K124" s="127">
        <f t="shared" ref="K124:V124" si="237">IF(K23=0,0,K23/K$21)</f>
        <v>0.81520273028407886</v>
      </c>
      <c r="L124" s="127">
        <f t="shared" si="237"/>
        <v>0.82138603228347518</v>
      </c>
      <c r="M124" s="127">
        <f t="shared" si="237"/>
        <v>0.80981557753831312</v>
      </c>
      <c r="N124" s="127">
        <f t="shared" si="237"/>
        <v>0.84194896466955826</v>
      </c>
      <c r="O124" s="127">
        <f t="shared" si="237"/>
        <v>0.81158195616806783</v>
      </c>
      <c r="P124" s="127">
        <f t="shared" si="237"/>
        <v>0.82025093844650965</v>
      </c>
      <c r="Q124" s="127">
        <f t="shared" si="237"/>
        <v>0.81935503916450492</v>
      </c>
      <c r="R124" s="127">
        <f t="shared" si="237"/>
        <v>0.88066755956205445</v>
      </c>
      <c r="S124" s="127">
        <f t="shared" si="237"/>
        <v>0.80696250025180127</v>
      </c>
      <c r="T124" s="127">
        <f t="shared" si="237"/>
        <v>0.84211852449149427</v>
      </c>
      <c r="U124" s="127">
        <f t="shared" si="237"/>
        <v>0.7948187965815412</v>
      </c>
      <c r="V124" s="127">
        <f t="shared" si="237"/>
        <v>0.78991325814959212</v>
      </c>
      <c r="W124" s="127">
        <f t="shared" ref="W124" si="238">IF(W23=0,0,W23/W$21)</f>
        <v>0.76059489145215731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88.909888220120379</v>
      </c>
      <c r="C4" s="146">
        <f t="shared" ref="C4:V4" si="0">SUM(C5,C8)</f>
        <v>74.249097162510736</v>
      </c>
      <c r="D4" s="146">
        <f t="shared" si="0"/>
        <v>71.561822871883066</v>
      </c>
      <c r="E4" s="146">
        <f t="shared" si="0"/>
        <v>68.450816852966454</v>
      </c>
      <c r="F4" s="146">
        <f t="shared" si="0"/>
        <v>67.839638865004304</v>
      </c>
      <c r="G4" s="146">
        <f t="shared" si="0"/>
        <v>66.457695614789344</v>
      </c>
      <c r="H4" s="146">
        <f t="shared" si="0"/>
        <v>68.329062768701633</v>
      </c>
      <c r="I4" s="146">
        <f t="shared" si="0"/>
        <v>67.469217540842635</v>
      </c>
      <c r="J4" s="146">
        <f t="shared" si="0"/>
        <v>66.786070507308693</v>
      </c>
      <c r="K4" s="146">
        <f t="shared" si="0"/>
        <v>60.017196904557181</v>
      </c>
      <c r="L4" s="146">
        <f t="shared" si="0"/>
        <v>57.275236457437657</v>
      </c>
      <c r="M4" s="146">
        <f t="shared" si="0"/>
        <v>47.998452278589852</v>
      </c>
      <c r="N4" s="146">
        <f t="shared" si="0"/>
        <v>44.573430782459155</v>
      </c>
      <c r="O4" s="146">
        <f t="shared" si="0"/>
        <v>35.377815993121231</v>
      </c>
      <c r="P4" s="146">
        <f t="shared" si="0"/>
        <v>35.635769561478931</v>
      </c>
      <c r="Q4" s="146">
        <f t="shared" si="0"/>
        <v>36.065692175408422</v>
      </c>
      <c r="R4" s="146">
        <f t="shared" si="0"/>
        <v>45.729234737747198</v>
      </c>
      <c r="S4" s="146">
        <f t="shared" si="0"/>
        <v>51.140670679277726</v>
      </c>
      <c r="T4" s="146">
        <f t="shared" si="0"/>
        <v>51.037575236457428</v>
      </c>
      <c r="U4" s="146">
        <f t="shared" si="0"/>
        <v>50.987532244196046</v>
      </c>
      <c r="V4" s="146">
        <f t="shared" si="0"/>
        <v>44.453568357695616</v>
      </c>
      <c r="W4" s="146">
        <f t="shared" ref="W4" si="1">SUM(W5,W8)</f>
        <v>47.385640584694755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57.955460017196913</v>
      </c>
      <c r="C5" s="101">
        <f t="shared" ref="C5:V5" si="2">SUM(C6:C7)</f>
        <v>43.466638005159069</v>
      </c>
      <c r="D5" s="101">
        <f t="shared" si="2"/>
        <v>36.222184006878763</v>
      </c>
      <c r="E5" s="101">
        <f t="shared" si="2"/>
        <v>31.0475494411006</v>
      </c>
      <c r="F5" s="101">
        <f t="shared" si="2"/>
        <v>27.942820292347381</v>
      </c>
      <c r="G5" s="101">
        <f t="shared" si="2"/>
        <v>25.873000859845231</v>
      </c>
      <c r="H5" s="101">
        <f t="shared" si="2"/>
        <v>24.648925193465171</v>
      </c>
      <c r="I5" s="101">
        <f t="shared" si="2"/>
        <v>24.648925193465171</v>
      </c>
      <c r="J5" s="101">
        <f t="shared" si="2"/>
        <v>23.62184006878762</v>
      </c>
      <c r="K5" s="101">
        <f t="shared" si="2"/>
        <v>18.486672398968189</v>
      </c>
      <c r="L5" s="101">
        <f t="shared" si="2"/>
        <v>16.432588134135859</v>
      </c>
      <c r="M5" s="101">
        <f t="shared" si="2"/>
        <v>14.378503869303531</v>
      </c>
      <c r="N5" s="101">
        <f t="shared" si="2"/>
        <v>11.297420464316421</v>
      </c>
      <c r="O5" s="101">
        <f t="shared" si="2"/>
        <v>10.27033533963886</v>
      </c>
      <c r="P5" s="101">
        <f t="shared" si="2"/>
        <v>10.27033533963886</v>
      </c>
      <c r="Q5" s="101">
        <f t="shared" si="2"/>
        <v>10.27033533963886</v>
      </c>
      <c r="R5" s="101">
        <f t="shared" si="2"/>
        <v>9.2433361994840926</v>
      </c>
      <c r="S5" s="101">
        <f t="shared" si="2"/>
        <v>10.085382631126395</v>
      </c>
      <c r="T5" s="101">
        <f t="shared" si="2"/>
        <v>9.819518486672397</v>
      </c>
      <c r="U5" s="101">
        <f t="shared" si="2"/>
        <v>10.012553740326741</v>
      </c>
      <c r="V5" s="101">
        <f t="shared" si="2"/>
        <v>8.8705073086844362</v>
      </c>
      <c r="W5" s="101">
        <f t="shared" ref="W5" si="3">SUM(W6:W7)</f>
        <v>8.7863284608770424</v>
      </c>
      <c r="DA5" s="175"/>
    </row>
    <row r="6" spans="1:105" ht="11.45" customHeight="1" x14ac:dyDescent="0.25">
      <c r="A6" s="164" t="s">
        <v>182</v>
      </c>
      <c r="B6" s="165">
        <v>57.955460017196913</v>
      </c>
      <c r="C6" s="165">
        <v>43.466638005159069</v>
      </c>
      <c r="D6" s="165">
        <v>36.222184006878763</v>
      </c>
      <c r="E6" s="165">
        <v>31.0475494411006</v>
      </c>
      <c r="F6" s="165">
        <v>27.942820292347381</v>
      </c>
      <c r="G6" s="165">
        <v>25.873000859845231</v>
      </c>
      <c r="H6" s="165">
        <v>24.648925193465171</v>
      </c>
      <c r="I6" s="165">
        <v>24.648925193465171</v>
      </c>
      <c r="J6" s="165">
        <v>23.62184006878762</v>
      </c>
      <c r="K6" s="165">
        <v>18.486672398968189</v>
      </c>
      <c r="L6" s="165">
        <v>16.432588134135859</v>
      </c>
      <c r="M6" s="165">
        <v>14.378503869303531</v>
      </c>
      <c r="N6" s="165">
        <v>11.297420464316421</v>
      </c>
      <c r="O6" s="165">
        <v>10.27033533963886</v>
      </c>
      <c r="P6" s="165">
        <v>10.27033533963886</v>
      </c>
      <c r="Q6" s="165">
        <v>10.27033533963886</v>
      </c>
      <c r="R6" s="165">
        <v>9.2433361994840926</v>
      </c>
      <c r="S6" s="165">
        <v>10.07833190025795</v>
      </c>
      <c r="T6" s="165">
        <v>9.819518486672397</v>
      </c>
      <c r="U6" s="165">
        <v>10.012553740326741</v>
      </c>
      <c r="V6" s="165">
        <v>8.8705073086844362</v>
      </c>
      <c r="W6" s="165">
        <v>8.7863284608770424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7.0507308684436797E-3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30.95442820292347</v>
      </c>
      <c r="C8" s="88">
        <v>30.782459157351671</v>
      </c>
      <c r="D8" s="88">
        <v>35.339638865004297</v>
      </c>
      <c r="E8" s="88">
        <v>37.403267411865862</v>
      </c>
      <c r="F8" s="88">
        <v>39.896818572656919</v>
      </c>
      <c r="G8" s="88">
        <v>40.58469475494411</v>
      </c>
      <c r="H8" s="88">
        <v>43.680137575236458</v>
      </c>
      <c r="I8" s="88">
        <v>42.820292347377467</v>
      </c>
      <c r="J8" s="88">
        <v>43.164230438521074</v>
      </c>
      <c r="K8" s="88">
        <v>41.530524505588993</v>
      </c>
      <c r="L8" s="88">
        <v>40.842648323301802</v>
      </c>
      <c r="M8" s="88">
        <v>33.619948409286323</v>
      </c>
      <c r="N8" s="88">
        <v>33.276010318142731</v>
      </c>
      <c r="O8" s="88">
        <v>25.107480653482369</v>
      </c>
      <c r="P8" s="88">
        <v>25.365434221840069</v>
      </c>
      <c r="Q8" s="88">
        <v>25.79535683576956</v>
      </c>
      <c r="R8" s="88">
        <v>36.485898538263108</v>
      </c>
      <c r="S8" s="88">
        <v>41.055288048151333</v>
      </c>
      <c r="T8" s="88">
        <v>41.218056749785028</v>
      </c>
      <c r="U8" s="88">
        <v>40.974978503869302</v>
      </c>
      <c r="V8" s="88">
        <v>35.583061049011178</v>
      </c>
      <c r="W8" s="88">
        <v>38.599312123817711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88.909888220120393</v>
      </c>
      <c r="C10" s="62">
        <f t="shared" ref="C10:V10" si="5">SUM(C11,C17)</f>
        <v>74.249097162510751</v>
      </c>
      <c r="D10" s="62">
        <f t="shared" si="5"/>
        <v>71.561822871883052</v>
      </c>
      <c r="E10" s="62">
        <f t="shared" si="5"/>
        <v>68.450816852966454</v>
      </c>
      <c r="F10" s="62">
        <f t="shared" si="5"/>
        <v>67.839638865004304</v>
      </c>
      <c r="G10" s="62">
        <f t="shared" si="5"/>
        <v>66.457695614789344</v>
      </c>
      <c r="H10" s="62">
        <f t="shared" si="5"/>
        <v>68.329062768701633</v>
      </c>
      <c r="I10" s="62">
        <f t="shared" si="5"/>
        <v>67.469217540842635</v>
      </c>
      <c r="J10" s="62">
        <f t="shared" si="5"/>
        <v>66.786070507308693</v>
      </c>
      <c r="K10" s="62">
        <f t="shared" si="5"/>
        <v>60.017196904557181</v>
      </c>
      <c r="L10" s="62">
        <f t="shared" si="5"/>
        <v>57.275236457437657</v>
      </c>
      <c r="M10" s="62">
        <f t="shared" si="5"/>
        <v>47.998452278589866</v>
      </c>
      <c r="N10" s="62">
        <f t="shared" si="5"/>
        <v>44.573430782459148</v>
      </c>
      <c r="O10" s="62">
        <f t="shared" si="5"/>
        <v>35.377815993121231</v>
      </c>
      <c r="P10" s="62">
        <f t="shared" si="5"/>
        <v>35.635769561478931</v>
      </c>
      <c r="Q10" s="62">
        <f t="shared" si="5"/>
        <v>36.065692175408422</v>
      </c>
      <c r="R10" s="62">
        <f t="shared" si="5"/>
        <v>45.729234737747205</v>
      </c>
      <c r="S10" s="62">
        <f t="shared" si="5"/>
        <v>51.140670679277726</v>
      </c>
      <c r="T10" s="62">
        <f t="shared" si="5"/>
        <v>51.037575236457428</v>
      </c>
      <c r="U10" s="62">
        <f t="shared" si="5"/>
        <v>50.987532244196039</v>
      </c>
      <c r="V10" s="62">
        <f t="shared" si="5"/>
        <v>44.453568357695609</v>
      </c>
      <c r="W10" s="62">
        <f t="shared" ref="W10" si="6">SUM(W11,W17)</f>
        <v>47.385640584694755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73.969615702222285</v>
      </c>
      <c r="C11" s="29">
        <f t="shared" ref="C11:V11" si="8">SUM(C12,C13,C16)</f>
        <v>61.079667660283839</v>
      </c>
      <c r="D11" s="29">
        <f t="shared" si="8"/>
        <v>59.04095442789972</v>
      </c>
      <c r="E11" s="29">
        <f t="shared" si="8"/>
        <v>57.475851738445783</v>
      </c>
      <c r="F11" s="29">
        <f t="shared" si="8"/>
        <v>56.173322739184307</v>
      </c>
      <c r="G11" s="29">
        <f t="shared" si="8"/>
        <v>54.606429915708731</v>
      </c>
      <c r="H11" s="29">
        <f t="shared" si="8"/>
        <v>56.764897933719531</v>
      </c>
      <c r="I11" s="29">
        <f t="shared" si="8"/>
        <v>55.550917079095719</v>
      </c>
      <c r="J11" s="29">
        <f t="shared" si="8"/>
        <v>55.599048828597113</v>
      </c>
      <c r="K11" s="29">
        <f t="shared" si="8"/>
        <v>50.880138166968699</v>
      </c>
      <c r="L11" s="29">
        <f t="shared" si="8"/>
        <v>48.150264152844578</v>
      </c>
      <c r="M11" s="29">
        <f t="shared" si="8"/>
        <v>39.884526821197554</v>
      </c>
      <c r="N11" s="29">
        <f t="shared" si="8"/>
        <v>36.779973983518381</v>
      </c>
      <c r="O11" s="29">
        <f t="shared" si="8"/>
        <v>28.874258234439051</v>
      </c>
      <c r="P11" s="29">
        <f t="shared" si="8"/>
        <v>28.848259346441786</v>
      </c>
      <c r="Q11" s="29">
        <f t="shared" si="8"/>
        <v>28.847323910784649</v>
      </c>
      <c r="R11" s="29">
        <f t="shared" si="8"/>
        <v>38.705551536933022</v>
      </c>
      <c r="S11" s="29">
        <f t="shared" si="8"/>
        <v>43.359119576257122</v>
      </c>
      <c r="T11" s="29">
        <f t="shared" si="8"/>
        <v>43.546232372895219</v>
      </c>
      <c r="U11" s="29">
        <f t="shared" si="8"/>
        <v>43.829928257782761</v>
      </c>
      <c r="V11" s="29">
        <f t="shared" si="8"/>
        <v>36.58887504376353</v>
      </c>
      <c r="W11" s="29">
        <f t="shared" ref="W11" si="9">SUM(W12,W13,W16)</f>
        <v>38.656653460917056</v>
      </c>
      <c r="DA11" s="173" t="s">
        <v>394</v>
      </c>
    </row>
    <row r="12" spans="1:105" ht="11.45" customHeight="1" x14ac:dyDescent="0.25">
      <c r="A12" s="107" t="s">
        <v>23</v>
      </c>
      <c r="B12" s="115">
        <v>2.672965645635824</v>
      </c>
      <c r="C12" s="115">
        <v>2.7169924796445253</v>
      </c>
      <c r="D12" s="115">
        <v>2.7260122793438901</v>
      </c>
      <c r="E12" s="115">
        <v>3.7820635733366323</v>
      </c>
      <c r="F12" s="115">
        <v>4.0020139831417367</v>
      </c>
      <c r="G12" s="115">
        <v>4.096738985119349</v>
      </c>
      <c r="H12" s="115">
        <v>4.8937157974613257</v>
      </c>
      <c r="I12" s="115">
        <v>5.0151762709158838</v>
      </c>
      <c r="J12" s="115">
        <v>5.1860909232480479</v>
      </c>
      <c r="K12" s="115">
        <v>5.0544575808178509</v>
      </c>
      <c r="L12" s="115">
        <v>5.2106863586056225</v>
      </c>
      <c r="M12" s="115">
        <v>5.128190219995294</v>
      </c>
      <c r="N12" s="115">
        <v>4.6227479158631706</v>
      </c>
      <c r="O12" s="115">
        <v>4.2772042659931913</v>
      </c>
      <c r="P12" s="115">
        <v>4.2964510349929181</v>
      </c>
      <c r="Q12" s="115">
        <v>4.4592059792544632</v>
      </c>
      <c r="R12" s="115">
        <v>4.6011799831621598</v>
      </c>
      <c r="S12" s="115">
        <v>4.7805232732640386</v>
      </c>
      <c r="T12" s="115">
        <v>4.9669218668442072</v>
      </c>
      <c r="U12" s="115">
        <v>5.3372223331197066</v>
      </c>
      <c r="V12" s="115">
        <v>4.8216364017391227</v>
      </c>
      <c r="W12" s="115">
        <v>4.4168073450984675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71.296650056586458</v>
      </c>
      <c r="C13" s="116">
        <f t="shared" ref="C13:V13" si="11">SUM(C14:C15)</f>
        <v>58.362675180639314</v>
      </c>
      <c r="D13" s="116">
        <f t="shared" si="11"/>
        <v>56.314942148555829</v>
      </c>
      <c r="E13" s="116">
        <f t="shared" si="11"/>
        <v>53.693788165109154</v>
      </c>
      <c r="F13" s="116">
        <f t="shared" si="11"/>
        <v>46.72135435576773</v>
      </c>
      <c r="G13" s="116">
        <f t="shared" si="11"/>
        <v>44.465031921253214</v>
      </c>
      <c r="H13" s="116">
        <f t="shared" si="11"/>
        <v>45.550278116834093</v>
      </c>
      <c r="I13" s="116">
        <f t="shared" si="11"/>
        <v>43.986190617936828</v>
      </c>
      <c r="J13" s="116">
        <f t="shared" si="11"/>
        <v>43.832413507051839</v>
      </c>
      <c r="K13" s="116">
        <f t="shared" si="11"/>
        <v>39.308635830545356</v>
      </c>
      <c r="L13" s="116">
        <f t="shared" si="11"/>
        <v>36.436027776963208</v>
      </c>
      <c r="M13" s="116">
        <f t="shared" si="11"/>
        <v>28.33295907664975</v>
      </c>
      <c r="N13" s="116">
        <f t="shared" si="11"/>
        <v>25.83769103680708</v>
      </c>
      <c r="O13" s="116">
        <f t="shared" si="11"/>
        <v>18.369613545635815</v>
      </c>
      <c r="P13" s="116">
        <f t="shared" si="11"/>
        <v>18.3964321441292</v>
      </c>
      <c r="Q13" s="116">
        <f t="shared" si="11"/>
        <v>18.330350838322293</v>
      </c>
      <c r="R13" s="116">
        <f t="shared" si="11"/>
        <v>27.901842738308808</v>
      </c>
      <c r="S13" s="116">
        <f t="shared" si="11"/>
        <v>32.415505820399794</v>
      </c>
      <c r="T13" s="116">
        <f t="shared" si="11"/>
        <v>32.630083535759738</v>
      </c>
      <c r="U13" s="116">
        <f t="shared" si="11"/>
        <v>32.469067873682285</v>
      </c>
      <c r="V13" s="116">
        <f t="shared" si="11"/>
        <v>28.278221390485839</v>
      </c>
      <c r="W13" s="116">
        <f t="shared" ref="W13" si="12">SUM(W14:W15)</f>
        <v>29.98103452849945</v>
      </c>
      <c r="DA13" s="176" t="s">
        <v>396</v>
      </c>
    </row>
    <row r="14" spans="1:105" ht="11.45" customHeight="1" x14ac:dyDescent="0.25">
      <c r="A14" s="111" t="s">
        <v>95</v>
      </c>
      <c r="B14" s="87">
        <v>46.961691508349851</v>
      </c>
      <c r="C14" s="87">
        <v>35.223411858001391</v>
      </c>
      <c r="D14" s="87">
        <v>29.106607108502075</v>
      </c>
      <c r="E14" s="87">
        <v>25.265768887347402</v>
      </c>
      <c r="F14" s="87">
        <v>22.274670231604095</v>
      </c>
      <c r="G14" s="87">
        <v>20.071104467280694</v>
      </c>
      <c r="H14" s="87">
        <v>19.283844241216993</v>
      </c>
      <c r="I14" s="87">
        <v>18.630586012521576</v>
      </c>
      <c r="J14" s="87">
        <v>18.539557134214633</v>
      </c>
      <c r="K14" s="87">
        <v>14.931188173561971</v>
      </c>
      <c r="L14" s="87">
        <v>12.93760364067435</v>
      </c>
      <c r="M14" s="87">
        <v>11.00271031455534</v>
      </c>
      <c r="N14" s="87">
        <v>8.4323291400092675</v>
      </c>
      <c r="O14" s="87">
        <v>7.3214430416914125</v>
      </c>
      <c r="P14" s="87">
        <v>7.2355435992529085</v>
      </c>
      <c r="Q14" s="87">
        <v>6.9842109726583645</v>
      </c>
      <c r="R14" s="87">
        <v>6.8674467929720091</v>
      </c>
      <c r="S14" s="87">
        <v>6.4029518344074008</v>
      </c>
      <c r="T14" s="87">
        <v>6.7305328065106051</v>
      </c>
      <c r="U14" s="87">
        <v>6.4999569692520014</v>
      </c>
      <c r="V14" s="87">
        <v>4.9560634218304838</v>
      </c>
      <c r="W14" s="87">
        <v>4.0779442754540547</v>
      </c>
      <c r="DA14" s="171" t="s">
        <v>1106</v>
      </c>
    </row>
    <row r="15" spans="1:105" ht="11.45" customHeight="1" x14ac:dyDescent="0.25">
      <c r="A15" s="111" t="s">
        <v>93</v>
      </c>
      <c r="B15" s="87">
        <v>24.334958548236603</v>
      </c>
      <c r="C15" s="87">
        <v>23.13926332263792</v>
      </c>
      <c r="D15" s="87">
        <v>27.208335040053758</v>
      </c>
      <c r="E15" s="87">
        <v>28.428019277761756</v>
      </c>
      <c r="F15" s="87">
        <v>24.446684124163639</v>
      </c>
      <c r="G15" s="87">
        <v>24.393927453972523</v>
      </c>
      <c r="H15" s="87">
        <v>26.266433875617096</v>
      </c>
      <c r="I15" s="87">
        <v>25.355604605415252</v>
      </c>
      <c r="J15" s="87">
        <v>25.292856372837203</v>
      </c>
      <c r="K15" s="87">
        <v>24.377447656983389</v>
      </c>
      <c r="L15" s="87">
        <v>23.498424136288858</v>
      </c>
      <c r="M15" s="87">
        <v>17.33024876209441</v>
      </c>
      <c r="N15" s="87">
        <v>17.405361896797814</v>
      </c>
      <c r="O15" s="87">
        <v>11.048170503944402</v>
      </c>
      <c r="P15" s="87">
        <v>11.16088854487629</v>
      </c>
      <c r="Q15" s="87">
        <v>11.346139865663927</v>
      </c>
      <c r="R15" s="87">
        <v>21.034395945336797</v>
      </c>
      <c r="S15" s="87">
        <v>26.012553985992394</v>
      </c>
      <c r="T15" s="87">
        <v>25.899550729249132</v>
      </c>
      <c r="U15" s="87">
        <v>25.969110904430284</v>
      </c>
      <c r="V15" s="87">
        <v>23.322157968655358</v>
      </c>
      <c r="W15" s="87">
        <v>25.903090253045395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5.4499544002748408</v>
      </c>
      <c r="G16" s="117">
        <v>6.0446590093361632</v>
      </c>
      <c r="H16" s="117">
        <v>6.3209040194241135</v>
      </c>
      <c r="I16" s="117">
        <v>6.5495501902430053</v>
      </c>
      <c r="J16" s="117">
        <v>6.5805443982972305</v>
      </c>
      <c r="K16" s="117">
        <v>6.5170447556054905</v>
      </c>
      <c r="L16" s="117">
        <v>6.5035500172757486</v>
      </c>
      <c r="M16" s="117">
        <v>6.4233775245525031</v>
      </c>
      <c r="N16" s="117">
        <v>6.3195350308481322</v>
      </c>
      <c r="O16" s="117">
        <v>6.2274404228100453</v>
      </c>
      <c r="P16" s="117">
        <v>6.1553761673196679</v>
      </c>
      <c r="Q16" s="117">
        <v>6.0577670932078922</v>
      </c>
      <c r="R16" s="117">
        <v>6.2025288154620526</v>
      </c>
      <c r="S16" s="117">
        <v>6.1630904825932884</v>
      </c>
      <c r="T16" s="117">
        <v>5.9492269702912717</v>
      </c>
      <c r="U16" s="117">
        <v>6.0236380509807708</v>
      </c>
      <c r="V16" s="117">
        <v>3.4890172515385678</v>
      </c>
      <c r="W16" s="117">
        <v>4.2588115873191406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14.940272517898105</v>
      </c>
      <c r="C17" s="29">
        <f t="shared" si="13"/>
        <v>13.169429502226906</v>
      </c>
      <c r="D17" s="29">
        <f t="shared" si="13"/>
        <v>12.520868443983334</v>
      </c>
      <c r="E17" s="29">
        <f t="shared" si="13"/>
        <v>10.974965114520675</v>
      </c>
      <c r="F17" s="29">
        <f t="shared" si="13"/>
        <v>11.666316125819993</v>
      </c>
      <c r="G17" s="29">
        <f t="shared" si="13"/>
        <v>11.851265699080614</v>
      </c>
      <c r="H17" s="29">
        <f t="shared" si="13"/>
        <v>11.564164834982105</v>
      </c>
      <c r="I17" s="29">
        <f t="shared" si="13"/>
        <v>11.918300461746922</v>
      </c>
      <c r="J17" s="29">
        <f t="shared" si="13"/>
        <v>11.187021678711581</v>
      </c>
      <c r="K17" s="29">
        <f t="shared" si="13"/>
        <v>9.1370587375884824</v>
      </c>
      <c r="L17" s="29">
        <f t="shared" si="13"/>
        <v>9.1249723045930811</v>
      </c>
      <c r="M17" s="29">
        <f t="shared" si="13"/>
        <v>8.113925457392309</v>
      </c>
      <c r="N17" s="29">
        <f t="shared" si="13"/>
        <v>7.7934567989407677</v>
      </c>
      <c r="O17" s="29">
        <f t="shared" si="13"/>
        <v>6.5035577586821827</v>
      </c>
      <c r="P17" s="29">
        <f t="shared" si="13"/>
        <v>6.7875102150371438</v>
      </c>
      <c r="Q17" s="29">
        <f t="shared" si="13"/>
        <v>7.2183682646237752</v>
      </c>
      <c r="R17" s="29">
        <f t="shared" si="13"/>
        <v>7.0236832008141841</v>
      </c>
      <c r="S17" s="29">
        <f t="shared" si="13"/>
        <v>7.7815511030206022</v>
      </c>
      <c r="T17" s="29">
        <f t="shared" si="13"/>
        <v>7.4913428635622061</v>
      </c>
      <c r="U17" s="29">
        <f t="shared" si="13"/>
        <v>7.157603986413279</v>
      </c>
      <c r="V17" s="29">
        <f t="shared" si="13"/>
        <v>7.8646933139320803</v>
      </c>
      <c r="W17" s="29">
        <f t="shared" si="13"/>
        <v>8.7289871237777028</v>
      </c>
      <c r="DA17" s="173" t="s">
        <v>401</v>
      </c>
    </row>
    <row r="18" spans="1:105" ht="11.45" customHeight="1" x14ac:dyDescent="0.25">
      <c r="A18" s="83" t="s">
        <v>95</v>
      </c>
      <c r="B18" s="87">
        <v>10.993768508847062</v>
      </c>
      <c r="C18" s="87">
        <v>8.2432261471576798</v>
      </c>
      <c r="D18" s="87">
        <v>7.1155768983766876</v>
      </c>
      <c r="E18" s="87">
        <v>5.7817805537531974</v>
      </c>
      <c r="F18" s="87">
        <v>5.6681500607432875</v>
      </c>
      <c r="G18" s="87">
        <v>5.8018963925645375</v>
      </c>
      <c r="H18" s="87">
        <v>5.3650809522481779</v>
      </c>
      <c r="I18" s="87">
        <v>6.018339180943598</v>
      </c>
      <c r="J18" s="87">
        <v>5.0822829345729872</v>
      </c>
      <c r="K18" s="87">
        <v>3.5554842254062153</v>
      </c>
      <c r="L18" s="87">
        <v>3.4949844934615086</v>
      </c>
      <c r="M18" s="87">
        <v>3.3757935547481912</v>
      </c>
      <c r="N18" s="87">
        <v>2.8650913243071532</v>
      </c>
      <c r="O18" s="87">
        <v>2.9488922979474483</v>
      </c>
      <c r="P18" s="87">
        <v>3.0347917403859523</v>
      </c>
      <c r="Q18" s="87">
        <v>3.2861243669804958</v>
      </c>
      <c r="R18" s="87">
        <v>2.3758894065120835</v>
      </c>
      <c r="S18" s="87">
        <v>3.6824307967189944</v>
      </c>
      <c r="T18" s="87">
        <v>3.0889856801617923</v>
      </c>
      <c r="U18" s="87">
        <v>3.5125967710747394</v>
      </c>
      <c r="V18" s="87">
        <v>3.9144438868539528</v>
      </c>
      <c r="W18" s="87">
        <v>4.7083841854229878</v>
      </c>
      <c r="DA18" s="171" t="s">
        <v>1108</v>
      </c>
    </row>
    <row r="19" spans="1:105" ht="11.45" customHeight="1" x14ac:dyDescent="0.25">
      <c r="A19" s="85" t="s">
        <v>93</v>
      </c>
      <c r="B19" s="88">
        <v>3.9465040090510444</v>
      </c>
      <c r="C19" s="88">
        <v>4.9262033550692266</v>
      </c>
      <c r="D19" s="88">
        <v>5.4052915456066462</v>
      </c>
      <c r="E19" s="88">
        <v>5.1931845607674774</v>
      </c>
      <c r="F19" s="88">
        <v>5.9981660650767044</v>
      </c>
      <c r="G19" s="88">
        <v>6.0493693065160752</v>
      </c>
      <c r="H19" s="88">
        <v>6.1990838827339259</v>
      </c>
      <c r="I19" s="88">
        <v>5.8999612808033239</v>
      </c>
      <c r="J19" s="88">
        <v>6.1047387441385927</v>
      </c>
      <c r="K19" s="88">
        <v>5.5815745121822671</v>
      </c>
      <c r="L19" s="88">
        <v>5.6299878111315724</v>
      </c>
      <c r="M19" s="88">
        <v>4.7381319026441187</v>
      </c>
      <c r="N19" s="88">
        <v>4.9283654746336145</v>
      </c>
      <c r="O19" s="88">
        <v>3.5546654607347343</v>
      </c>
      <c r="P19" s="88">
        <v>3.7527184746511915</v>
      </c>
      <c r="Q19" s="88">
        <v>3.9322438976432794</v>
      </c>
      <c r="R19" s="88">
        <v>4.6477937943021006</v>
      </c>
      <c r="S19" s="88">
        <v>4.0991203063016073</v>
      </c>
      <c r="T19" s="88">
        <v>4.4023571834004143</v>
      </c>
      <c r="U19" s="88">
        <v>3.6450072153385396</v>
      </c>
      <c r="V19" s="88">
        <v>3.9502494270781274</v>
      </c>
      <c r="W19" s="88">
        <v>4.0206029383547142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205.2088187967382</v>
      </c>
      <c r="C23" s="62">
        <f>IF(C10=0,0,C10/TrRail_act!C14*100)</f>
        <v>182.68406936014557</v>
      </c>
      <c r="D23" s="62">
        <f>IF(D10=0,0,D10/TrRail_act!D14*100)</f>
        <v>171.46595004031798</v>
      </c>
      <c r="E23" s="62">
        <f>IF(E10=0,0,E10/TrRail_act!E14*100)</f>
        <v>155.03307579437785</v>
      </c>
      <c r="F23" s="62">
        <f>IF(F10=0,0,F10/TrRail_act!F14*100)</f>
        <v>152.6977992436569</v>
      </c>
      <c r="G23" s="62">
        <f>IF(G10=0,0,G10/TrRail_act!G14*100)</f>
        <v>148.76130658380328</v>
      </c>
      <c r="H23" s="62">
        <f>IF(H10=0,0,H10/TrRail_act!H14*100)</f>
        <v>140.16182435790711</v>
      </c>
      <c r="I23" s="62">
        <f>IF(I10=0,0,I10/TrRail_act!I14*100)</f>
        <v>138.60090119212092</v>
      </c>
      <c r="J23" s="62">
        <f>IF(J10=0,0,J10/TrRail_act!J14*100)</f>
        <v>130.70531237973256</v>
      </c>
      <c r="K23" s="62">
        <f>IF(K10=0,0,K10/TrRail_act!K14*100)</f>
        <v>123.81533461125991</v>
      </c>
      <c r="L23" s="62">
        <f>IF(L10=0,0,L10/TrRail_act!L14*100)</f>
        <v>118.1491080218772</v>
      </c>
      <c r="M23" s="62">
        <f>IF(M10=0,0,M10/TrRail_act!M14*100)</f>
        <v>107.95156072913304</v>
      </c>
      <c r="N23" s="62">
        <f>IF(N10=0,0,N10/TrRail_act!N14*100)</f>
        <v>103.83908727163774</v>
      </c>
      <c r="O23" s="62">
        <f>IF(O10=0,0,O10/TrRail_act!O14*100)</f>
        <v>93.334035294583245</v>
      </c>
      <c r="P23" s="62">
        <f>IF(P10=0,0,P10/TrRail_act!P14*100)</f>
        <v>91.830880343660908</v>
      </c>
      <c r="Q23" s="62">
        <f>IF(Q10=0,0,Q10/TrRail_act!Q14*100)</f>
        <v>88.697864207906775</v>
      </c>
      <c r="R23" s="62">
        <f>IF(R10=0,0,R10/TrRail_act!R14*100)</f>
        <v>80.943412986392033</v>
      </c>
      <c r="S23" s="62">
        <f>IF(S10=0,0,S10/TrRail_act!S14*100)</f>
        <v>78.684414432516164</v>
      </c>
      <c r="T23" s="62">
        <f>IF(T10=0,0,T10/TrRail_act!T14*100)</f>
        <v>76.761453036941433</v>
      </c>
      <c r="U23" s="62">
        <f>IF(U10=0,0,U10/TrRail_act!U14*100)</f>
        <v>75.363365468763561</v>
      </c>
      <c r="V23" s="62">
        <f>IF(V10=0,0,V10/TrRail_act!V14*100)</f>
        <v>73.36213707616885</v>
      </c>
      <c r="W23" s="62">
        <f>IF(W10=0,0,W10/TrRail_act!W14*100)</f>
        <v>74.094454138736339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188.09706076380496</v>
      </c>
      <c r="C24" s="29">
        <f>IF(C11=0,0,C11/TrRail_act!C15*100)</f>
        <v>166.61887397600628</v>
      </c>
      <c r="D24" s="29">
        <f>IF(D11=0,0,D11/TrRail_act!D15*100)</f>
        <v>156.77776474094284</v>
      </c>
      <c r="E24" s="29">
        <f>IF(E11=0,0,E11/TrRail_act!E15*100)</f>
        <v>142.38336573387357</v>
      </c>
      <c r="F24" s="29">
        <f>IF(F11=0,0,F11/TrRail_act!F15*100)</f>
        <v>139.77743167665417</v>
      </c>
      <c r="G24" s="29">
        <f>IF(G11=0,0,G11/TrRail_act!G15*100)</f>
        <v>135.53714379673988</v>
      </c>
      <c r="H24" s="29">
        <f>IF(H11=0,0,H11/TrRail_act!H15*100)</f>
        <v>128.06122615933126</v>
      </c>
      <c r="I24" s="29">
        <f>IF(I11=0,0,I11/TrRail_act!I15*100)</f>
        <v>125.74533174549268</v>
      </c>
      <c r="J24" s="29">
        <f>IF(J11=0,0,J11/TrRail_act!J15*100)</f>
        <v>119.57152012938408</v>
      </c>
      <c r="K24" s="29">
        <f>IF(K11=0,0,K11/TrRail_act!K15*100)</f>
        <v>114.59044614922465</v>
      </c>
      <c r="L24" s="29">
        <f>IF(L11=0,0,L11/TrRail_act!L15*100)</f>
        <v>108.82098416982089</v>
      </c>
      <c r="M24" s="29">
        <f>IF(M11=0,0,M11/TrRail_act!M15*100)</f>
        <v>98.407092351667629</v>
      </c>
      <c r="N24" s="29">
        <f>IF(N11=0,0,N11/TrRail_act!N15*100)</f>
        <v>94.755337336911154</v>
      </c>
      <c r="O24" s="29">
        <f>IF(O11=0,0,O11/TrRail_act!O15*100)</f>
        <v>84.184432455766597</v>
      </c>
      <c r="P24" s="29">
        <f>IF(P11=0,0,P11/TrRail_act!P15*100)</f>
        <v>82.815913482062527</v>
      </c>
      <c r="Q24" s="29">
        <f>IF(Q11=0,0,Q11/TrRail_act!Q15*100)</f>
        <v>79.471069636578989</v>
      </c>
      <c r="R24" s="29">
        <f>IF(R11=0,0,R11/TrRail_act!R15*100)</f>
        <v>74.970790224478435</v>
      </c>
      <c r="S24" s="29">
        <f>IF(S11=0,0,S11/TrRail_act!S15*100)</f>
        <v>71.956292478934273</v>
      </c>
      <c r="T24" s="29">
        <f>IF(T11=0,0,T11/TrRail_act!T15*100)</f>
        <v>70.722879195246577</v>
      </c>
      <c r="U24" s="29">
        <f>IF(U11=0,0,U11/TrRail_act!U15*100)</f>
        <v>69.223255481444113</v>
      </c>
      <c r="V24" s="29">
        <f>IF(V11=0,0,V11/TrRail_act!V15*100)</f>
        <v>65.522928192401835</v>
      </c>
      <c r="W24" s="29">
        <f>IF(W11=0,0,W11/TrRail_act!W15*100)</f>
        <v>65.618747946999719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39.048622838052708</v>
      </c>
      <c r="C25" s="115">
        <f>IF(C12=0,0,C12/TrRail_act!C16*100)</f>
        <v>38.599363965394261</v>
      </c>
      <c r="D25" s="115">
        <f>IF(D12=0,0,D12/TrRail_act!D16*100)</f>
        <v>38.375436883647062</v>
      </c>
      <c r="E25" s="115">
        <f>IF(E12=0,0,E12/TrRail_act!E16*100)</f>
        <v>38.029998996884615</v>
      </c>
      <c r="F25" s="115">
        <f>IF(F12=0,0,F12/TrRail_act!F16*100)</f>
        <v>37.730753886893737</v>
      </c>
      <c r="G25" s="115">
        <f>IF(G12=0,0,G12/TrRail_act!G16*100)</f>
        <v>37.125552398162498</v>
      </c>
      <c r="H25" s="115">
        <f>IF(H12=0,0,H12/TrRail_act!H16*100)</f>
        <v>36.805528968482662</v>
      </c>
      <c r="I25" s="115">
        <f>IF(I12=0,0,I12/TrRail_act!I16*100)</f>
        <v>36.364620237812595</v>
      </c>
      <c r="J25" s="115">
        <f>IF(J12=0,0,J12/TrRail_act!J16*100)</f>
        <v>35.934612218036072</v>
      </c>
      <c r="K25" s="115">
        <f>IF(K12=0,0,K12/TrRail_act!K16*100)</f>
        <v>35.568806132181358</v>
      </c>
      <c r="L25" s="115">
        <f>IF(L12=0,0,L12/TrRail_act!L16*100)</f>
        <v>35.292411643435855</v>
      </c>
      <c r="M25" s="115">
        <f>IF(M12=0,0,M12/TrRail_act!M16*100)</f>
        <v>35.087592646313006</v>
      </c>
      <c r="N25" s="115">
        <f>IF(N12=0,0,N12/TrRail_act!N16*100)</f>
        <v>34.72247717241568</v>
      </c>
      <c r="O25" s="115">
        <f>IF(O12=0,0,O12/TrRail_act!O16*100)</f>
        <v>34.434724682651677</v>
      </c>
      <c r="P25" s="115">
        <f>IF(P12=0,0,P12/TrRail_act!P16*100)</f>
        <v>34.251133456744149</v>
      </c>
      <c r="Q25" s="115">
        <f>IF(Q12=0,0,Q12/TrRail_act!Q16*100)</f>
        <v>34.111539656634115</v>
      </c>
      <c r="R25" s="115">
        <f>IF(R12=0,0,R12/TrRail_act!R16*100)</f>
        <v>34.007217792521686</v>
      </c>
      <c r="S25" s="115">
        <f>IF(S12=0,0,S12/TrRail_act!S16*100)</f>
        <v>33.929185819881887</v>
      </c>
      <c r="T25" s="115">
        <f>IF(T12=0,0,T12/TrRail_act!T16*100)</f>
        <v>33.870779364379288</v>
      </c>
      <c r="U25" s="115">
        <f>IF(U12=0,0,U12/TrRail_act!U16*100)</f>
        <v>33.827040513023029</v>
      </c>
      <c r="V25" s="115">
        <f>IF(V12=0,0,V12/TrRail_act!V16*100)</f>
        <v>33.794273462008427</v>
      </c>
      <c r="W25" s="115">
        <f>IF(W12=0,0,W12/TrRail_act!W16*100)</f>
        <v>33.769718974755499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219.50929897671668</v>
      </c>
      <c r="C26" s="116">
        <f>IF(C13=0,0,C13/TrRail_act!C17*100)</f>
        <v>197.04235030231118</v>
      </c>
      <c r="D26" s="116">
        <f>IF(D13=0,0,D13/TrRail_act!D17*100)</f>
        <v>184.30392677867593</v>
      </c>
      <c r="E26" s="116">
        <f>IF(E13=0,0,E13/TrRail_act!E17*100)</f>
        <v>176.49644205111045</v>
      </c>
      <c r="F26" s="116">
        <f>IF(F13=0,0,F13/TrRail_act!F17*100)</f>
        <v>172.24408234399641</v>
      </c>
      <c r="G26" s="116">
        <f>IF(G13=0,0,G13/TrRail_act!G17*100)</f>
        <v>167.83005860850571</v>
      </c>
      <c r="H26" s="116">
        <f>IF(H13=0,0,H13/TrRail_act!H17*100)</f>
        <v>162.07046446748049</v>
      </c>
      <c r="I26" s="116">
        <f>IF(I13=0,0,I13/TrRail_act!I17*100)</f>
        <v>160.98619566007034</v>
      </c>
      <c r="J26" s="116">
        <f>IF(J13=0,0,J13/TrRail_act!J17*100)</f>
        <v>151.44104053103084</v>
      </c>
      <c r="K26" s="116">
        <f>IF(K13=0,0,K13/TrRail_act!K17*100)</f>
        <v>145.21449040224644</v>
      </c>
      <c r="L26" s="116">
        <f>IF(L13=0,0,L13/TrRail_act!L17*100)</f>
        <v>138.33542696437087</v>
      </c>
      <c r="M26" s="116">
        <f>IF(M13=0,0,M13/TrRail_act!M17*100)</f>
        <v>124.3669694951657</v>
      </c>
      <c r="N26" s="116">
        <f>IF(N13=0,0,N13/TrRail_act!N17*100)</f>
        <v>115.44314893158725</v>
      </c>
      <c r="O26" s="116">
        <f>IF(O13=0,0,O13/TrRail_act!O17*100)</f>
        <v>97.879319241576042</v>
      </c>
      <c r="P26" s="116">
        <f>IF(P13=0,0,P13/TrRail_act!P17*100)</f>
        <v>95.85353836278972</v>
      </c>
      <c r="Q26" s="116">
        <f>IF(Q13=0,0,Q13/TrRail_act!Q17*100)</f>
        <v>91.015895106101738</v>
      </c>
      <c r="R26" s="116">
        <f>IF(R13=0,0,R13/TrRail_act!R17*100)</f>
        <v>79.917062174207004</v>
      </c>
      <c r="S26" s="116">
        <f>IF(S13=0,0,S13/TrRail_act!S17*100)</f>
        <v>75.402659811229071</v>
      </c>
      <c r="T26" s="116">
        <f>IF(T13=0,0,T13/TrRail_act!T17*100)</f>
        <v>74.440596925756324</v>
      </c>
      <c r="U26" s="116">
        <f>IF(U13=0,0,U13/TrRail_act!U17*100)</f>
        <v>73.095947139426599</v>
      </c>
      <c r="V26" s="116">
        <f>IF(V13=0,0,V13/TrRail_act!V17*100)</f>
        <v>71.113850463787315</v>
      </c>
      <c r="W26" s="116">
        <f>IF(W13=0,0,W13/TrRail_act!W17*100)</f>
        <v>68.73001265497831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296.59885223027908</v>
      </c>
      <c r="C27" s="87">
        <f>IF(C14=0,0,C14/TrRail_act!C18*100)</f>
        <v>260.26047297938112</v>
      </c>
      <c r="D27" s="87">
        <f>IF(D14=0,0,D14/TrRail_act!D18*100)</f>
        <v>255.24216232999996</v>
      </c>
      <c r="E27" s="87">
        <f>IF(E14=0,0,E14/TrRail_act!E18*100)</f>
        <v>248.6725023519798</v>
      </c>
      <c r="F27" s="87">
        <f>IF(F14=0,0,F14/TrRail_act!F18*100)</f>
        <v>242.13683425267871</v>
      </c>
      <c r="G27" s="87">
        <f>IF(G14=0,0,G14/TrRail_act!G18*100)</f>
        <v>238.40562224828926</v>
      </c>
      <c r="H27" s="87">
        <f>IF(H14=0,0,H14/TrRail_act!H18*100)</f>
        <v>233.882840474396</v>
      </c>
      <c r="I27" s="87">
        <f>IF(I14=0,0,I14/TrRail_act!I18*100)</f>
        <v>227.2936051201047</v>
      </c>
      <c r="J27" s="87">
        <f>IF(J14=0,0,J14/TrRail_act!J18*100)</f>
        <v>219.71829551857076</v>
      </c>
      <c r="K27" s="87">
        <f>IF(K14=0,0,K14/TrRail_act!K18*100)</f>
        <v>211.77296918203754</v>
      </c>
      <c r="L27" s="87">
        <f>IF(L14=0,0,L14/TrRail_act!L18*100)</f>
        <v>204.94564767337002</v>
      </c>
      <c r="M27" s="87">
        <f>IF(M14=0,0,M14/TrRail_act!M18*100)</f>
        <v>196.45790642709787</v>
      </c>
      <c r="N27" s="87">
        <f>IF(N14=0,0,N14/TrRail_act!N18*100)</f>
        <v>191.78680693466882</v>
      </c>
      <c r="O27" s="87">
        <f>IF(O14=0,0,O14/TrRail_act!O18*100)</f>
        <v>183.65883391517269</v>
      </c>
      <c r="P27" s="87">
        <f>IF(P14=0,0,P14/TrRail_act!P18*100)</f>
        <v>175.93964455193563</v>
      </c>
      <c r="Q27" s="87">
        <f>IF(Q14=0,0,Q14/TrRail_act!Q18*100)</f>
        <v>170.89001513715419</v>
      </c>
      <c r="R27" s="87">
        <f>IF(R14=0,0,R14/TrRail_act!R18*100)</f>
        <v>167.19813227901818</v>
      </c>
      <c r="S27" s="87">
        <f>IF(S14=0,0,S14/TrRail_act!S18*100)</f>
        <v>164.48165678571755</v>
      </c>
      <c r="T27" s="87">
        <f>IF(T14=0,0,T14/TrRail_act!T18*100)</f>
        <v>162.47330297612598</v>
      </c>
      <c r="U27" s="87">
        <f>IF(U14=0,0,U14/TrRail_act!U18*100)</f>
        <v>160.98314688165166</v>
      </c>
      <c r="V27" s="87">
        <f>IF(V14=0,0,V14/TrRail_act!V18*100)</f>
        <v>159.87450582634443</v>
      </c>
      <c r="W27" s="87">
        <f>IF(W14=0,0,W14/TrRail_act!W18*100)</f>
        <v>159.04803829825343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146.18566610071909</v>
      </c>
      <c r="C28" s="87">
        <f>IF(C15=0,0,C15/TrRail_act!C19*100)</f>
        <v>143.85214962765619</v>
      </c>
      <c r="D28" s="87">
        <f>IF(D15=0,0,D15/TrRail_act!D19*100)</f>
        <v>142.06561440856447</v>
      </c>
      <c r="E28" s="87">
        <f>IF(E15=0,0,E15/TrRail_act!E19*100)</f>
        <v>140.30376873428551</v>
      </c>
      <c r="F28" s="87">
        <f>IF(F15=0,0,F15/TrRail_act!F19*100)</f>
        <v>136.37649745639678</v>
      </c>
      <c r="G28" s="87">
        <f>IF(G15=0,0,G15/TrRail_act!G19*100)</f>
        <v>134.95805254177441</v>
      </c>
      <c r="H28" s="87">
        <f>IF(H15=0,0,H15/TrRail_act!H19*100)</f>
        <v>132.25701910421679</v>
      </c>
      <c r="I28" s="87">
        <f>IF(I15=0,0,I15/TrRail_act!I19*100)</f>
        <v>132.5696384282447</v>
      </c>
      <c r="J28" s="87">
        <f>IF(J15=0,0,J15/TrRail_act!J19*100)</f>
        <v>123.34564611775394</v>
      </c>
      <c r="K28" s="87">
        <f>IF(K15=0,0,K15/TrRail_act!K19*100)</f>
        <v>121.77278351520762</v>
      </c>
      <c r="L28" s="87">
        <f>IF(L15=0,0,L15/TrRail_act!L19*100)</f>
        <v>117.33841507755629</v>
      </c>
      <c r="M28" s="87">
        <f>IF(M15=0,0,M15/TrRail_act!M19*100)</f>
        <v>100.86753338932446</v>
      </c>
      <c r="N28" s="87">
        <f>IF(N15=0,0,N15/TrRail_act!N19*100)</f>
        <v>96.779300177405446</v>
      </c>
      <c r="O28" s="87">
        <f>IF(O15=0,0,O15/TrRail_act!O19*100)</f>
        <v>74.744857456774909</v>
      </c>
      <c r="P28" s="87">
        <f>IF(P15=0,0,P15/TrRail_act!P19*100)</f>
        <v>74.012591082367365</v>
      </c>
      <c r="Q28" s="87">
        <f>IF(Q15=0,0,Q15/TrRail_act!Q19*100)</f>
        <v>70.680295887852793</v>
      </c>
      <c r="R28" s="87">
        <f>IF(R15=0,0,R15/TrRail_act!R19*100)</f>
        <v>68.279907122785389</v>
      </c>
      <c r="S28" s="87">
        <f>IF(S15=0,0,S15/TrRail_act!S19*100)</f>
        <v>66.533266163343626</v>
      </c>
      <c r="T28" s="87">
        <f>IF(T15=0,0,T15/TrRail_act!T19*100)</f>
        <v>65.252669784669081</v>
      </c>
      <c r="U28" s="87">
        <f>IF(U15=0,0,U15/TrRail_act!U19*100)</f>
        <v>64.308424002034073</v>
      </c>
      <c r="V28" s="87">
        <f>IF(V15=0,0,V15/TrRail_act!V19*100)</f>
        <v>63.609217435217538</v>
      </c>
      <c r="W28" s="87">
        <f>IF(W15=0,0,W15/TrRail_act!W19*100)</f>
        <v>63.08980597723415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221.91843306530649</v>
      </c>
      <c r="G29" s="117">
        <f>IF(G16=0,0,G16/TrRail_act!G20*100)</f>
        <v>219.00938439623783</v>
      </c>
      <c r="H29" s="117">
        <f>IF(H16=0,0,H16/TrRail_act!H20*100)</f>
        <v>216.09928271535432</v>
      </c>
      <c r="I29" s="117">
        <f>IF(I16=0,0,I16/TrRail_act!I20*100)</f>
        <v>213.82795266872364</v>
      </c>
      <c r="J29" s="117">
        <f>IF(J16=0,0,J16/TrRail_act!J20*100)</f>
        <v>210.71227660253697</v>
      </c>
      <c r="K29" s="117">
        <f>IF(K16=0,0,K16/TrRail_act!K20*100)</f>
        <v>208.74582817442314</v>
      </c>
      <c r="L29" s="117">
        <f>IF(L16=0,0,L16/TrRail_act!L20*100)</f>
        <v>206.85591658001746</v>
      </c>
      <c r="M29" s="117">
        <f>IF(M16=0,0,M16/TrRail_act!M20*100)</f>
        <v>205.02322133905216</v>
      </c>
      <c r="N29" s="117">
        <f>IF(N16=0,0,N16/TrRail_act!N20*100)</f>
        <v>202.48430089228236</v>
      </c>
      <c r="O29" s="117">
        <f>IF(O16=0,0,O16/TrRail_act!O20*100)</f>
        <v>200.23924189099827</v>
      </c>
      <c r="P29" s="117">
        <f>IF(P16=0,0,P16/TrRail_act!P20*100)</f>
        <v>198.68870778953092</v>
      </c>
      <c r="Q29" s="117">
        <f>IF(Q16=0,0,Q16/TrRail_act!Q20*100)</f>
        <v>196.23476168473897</v>
      </c>
      <c r="R29" s="117">
        <f>IF(R16=0,0,R16/TrRail_act!R20*100)</f>
        <v>194.80304068662224</v>
      </c>
      <c r="S29" s="117">
        <f>IF(S16=0,0,S16/TrRail_act!S20*100)</f>
        <v>193.92984526725263</v>
      </c>
      <c r="T29" s="117">
        <f>IF(T16=0,0,T16/TrRail_act!T20*100)</f>
        <v>193.47079578182996</v>
      </c>
      <c r="U29" s="117">
        <f>IF(U16=0,0,U16/TrRail_act!U20*100)</f>
        <v>193.12722189742772</v>
      </c>
      <c r="V29" s="117">
        <f>IF(V16=0,0,V16/TrRail_act!V20*100)</f>
        <v>192.869942041933</v>
      </c>
      <c r="W29" s="117">
        <f>IF(W16=0,0,W16/TrRail_act!W20*100)</f>
        <v>192.677206927632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373.38489059990201</v>
      </c>
      <c r="C30" s="29">
        <f>IF(C17=0,0,C17/TrRail_act!C21*100)</f>
        <v>330.46413366850851</v>
      </c>
      <c r="D30" s="29">
        <f>IF(D17=0,0,D17/TrRail_act!D21*100)</f>
        <v>307.16360781952108</v>
      </c>
      <c r="E30" s="29">
        <f>IF(E17=0,0,E17/TrRail_act!E21*100)</f>
        <v>289.92691675440557</v>
      </c>
      <c r="F30" s="29">
        <f>IF(F17=0,0,F17/TrRail_act!F21*100)</f>
        <v>275.16885550581759</v>
      </c>
      <c r="G30" s="29">
        <f>IF(G17=0,0,G17/TrRail_act!G21*100)</f>
        <v>270.25952791874954</v>
      </c>
      <c r="H30" s="29">
        <f>IF(H17=0,0,H17/TrRail_act!H21*100)</f>
        <v>261.41091478161343</v>
      </c>
      <c r="I30" s="29">
        <f>IF(I17=0,0,I17/TrRail_act!I21*100)</f>
        <v>264.76562992109922</v>
      </c>
      <c r="J30" s="29">
        <f>IF(J17=0,0,J17/TrRail_act!J21*100)</f>
        <v>243.29635824372775</v>
      </c>
      <c r="K30" s="29">
        <f>IF(K17=0,0,K17/TrRail_act!K21*100)</f>
        <v>224.41916688457471</v>
      </c>
      <c r="L30" s="29">
        <f>IF(L17=0,0,L17/TrRail_act!L21*100)</f>
        <v>215.72775723361647</v>
      </c>
      <c r="M30" s="29">
        <f>IF(M17=0,0,M17/TrRail_act!M21*100)</f>
        <v>206.3132135618479</v>
      </c>
      <c r="N30" s="29">
        <f>IF(N17=0,0,N17/TrRail_act!N21*100)</f>
        <v>189.63307729192138</v>
      </c>
      <c r="O30" s="29">
        <f>IF(O17=0,0,O17/TrRail_act!O21*100)</f>
        <v>180.36839159300487</v>
      </c>
      <c r="P30" s="29">
        <f>IF(P17=0,0,P17/TrRail_act!P21*100)</f>
        <v>170.89817538636012</v>
      </c>
      <c r="Q30" s="29">
        <f>IF(Q17=0,0,Q17/TrRail_act!Q21*100)</f>
        <v>165.47789328337865</v>
      </c>
      <c r="R30" s="29">
        <f>IF(R17=0,0,R17/TrRail_act!R21*100)</f>
        <v>144.28853215290121</v>
      </c>
      <c r="S30" s="29">
        <f>IF(S17=0,0,S17/TrRail_act!S21*100)</f>
        <v>164.26876098249897</v>
      </c>
      <c r="T30" s="29">
        <f>IF(T17=0,0,T17/TrRail_act!T21*100)</f>
        <v>152.40247224136624</v>
      </c>
      <c r="U30" s="29">
        <f>IF(U17=0,0,U17/TrRail_act!U21*100)</f>
        <v>164.96640165978494</v>
      </c>
      <c r="V30" s="29">
        <f>IF(V17=0,0,V17/TrRail_act!V21*100)</f>
        <v>165.45506025028101</v>
      </c>
      <c r="W30" s="29">
        <f>IF(W17=0,0,W17/TrRail_act!W21*100)</f>
        <v>173.12445060174898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535.34344964445859</v>
      </c>
      <c r="C31" s="87">
        <f>IF(C18=0,0,C18/TrRail_act!C22*100)</f>
        <v>526.22532182680845</v>
      </c>
      <c r="D31" s="87">
        <f>IF(D18=0,0,D18/TrRail_act!D22*100)</f>
        <v>520.80059942332184</v>
      </c>
      <c r="E31" s="87">
        <f>IF(E18=0,0,E18/TrRail_act!E22*100)</f>
        <v>515.49395984595685</v>
      </c>
      <c r="F31" s="87">
        <f>IF(F18=0,0,F18/TrRail_act!F22*100)</f>
        <v>513.05182728258387</v>
      </c>
      <c r="G31" s="87">
        <f>IF(G18=0,0,G18/TrRail_act!G22*100)</f>
        <v>511.6718916866273</v>
      </c>
      <c r="H31" s="87">
        <f>IF(H18=0,0,H18/TrRail_act!H22*100)</f>
        <v>508.16086582438686</v>
      </c>
      <c r="I31" s="87">
        <f>IF(I18=0,0,I18/TrRail_act!I22*100)</f>
        <v>496.13151347183407</v>
      </c>
      <c r="J31" s="87">
        <f>IF(J18=0,0,J18/TrRail_act!J22*100)</f>
        <v>484.14388269168353</v>
      </c>
      <c r="K31" s="87">
        <f>IF(K18=0,0,K18/TrRail_act!K22*100)</f>
        <v>472.55975719601332</v>
      </c>
      <c r="L31" s="87">
        <f>IF(L18=0,0,L18/TrRail_act!L22*100)</f>
        <v>462.59859425497541</v>
      </c>
      <c r="M31" s="87">
        <f>IF(M18=0,0,M18/TrRail_act!M22*100)</f>
        <v>451.33287419031757</v>
      </c>
      <c r="N31" s="87">
        <f>IF(N18=0,0,N18/TrRail_act!N22*100)</f>
        <v>441.08783959993616</v>
      </c>
      <c r="O31" s="87">
        <f>IF(O18=0,0,O18/TrRail_act!O22*100)</f>
        <v>434.05608753995608</v>
      </c>
      <c r="P31" s="87">
        <f>IF(P18=0,0,P18/TrRail_act!P22*100)</f>
        <v>425.09812703312957</v>
      </c>
      <c r="Q31" s="87">
        <f>IF(Q18=0,0,Q18/TrRail_act!Q22*100)</f>
        <v>417.0221209229336</v>
      </c>
      <c r="R31" s="87">
        <f>IF(R18=0,0,R18/TrRail_act!R22*100)</f>
        <v>409.01063388082196</v>
      </c>
      <c r="S31" s="87">
        <f>IF(S18=0,0,S18/TrRail_act!S22*100)</f>
        <v>402.70008160958986</v>
      </c>
      <c r="T31" s="87">
        <f>IF(T18=0,0,T18/TrRail_act!T22*100)</f>
        <v>398.03114533706281</v>
      </c>
      <c r="U31" s="87">
        <f>IF(U18=0,0,U18/TrRail_act!U22*100)</f>
        <v>394.56500171345078</v>
      </c>
      <c r="V31" s="87">
        <f>IF(V18=0,0,V18/TrRail_act!V22*100)</f>
        <v>391.98521662579043</v>
      </c>
      <c r="W31" s="87">
        <f>IF(W18=0,0,W18/TrRail_act!W22*100)</f>
        <v>390.06145309378667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202.62230922842335</v>
      </c>
      <c r="C32" s="88">
        <f>IF(C19=0,0,C19/TrRail_act!C23*100)</f>
        <v>203.67582420395206</v>
      </c>
      <c r="D32" s="88">
        <f>IF(D19=0,0,D19/TrRail_act!D23*100)</f>
        <v>199.45653206619295</v>
      </c>
      <c r="E32" s="88">
        <f>IF(E19=0,0,E19/TrRail_act!E23*100)</f>
        <v>194.952193255281</v>
      </c>
      <c r="F32" s="88">
        <f>IF(F19=0,0,F19/TrRail_act!F23*100)</f>
        <v>191.33500650878975</v>
      </c>
      <c r="G32" s="88">
        <f>IF(G19=0,0,G19/TrRail_act!G23*100)</f>
        <v>186.06384678923928</v>
      </c>
      <c r="H32" s="88">
        <f>IF(H19=0,0,H19/TrRail_act!H23*100)</f>
        <v>184.06017700313114</v>
      </c>
      <c r="I32" s="88">
        <f>IF(I19=0,0,I19/TrRail_act!I23*100)</f>
        <v>179.41739401240179</v>
      </c>
      <c r="J32" s="88">
        <f>IF(J19=0,0,J19/TrRail_act!J23*100)</f>
        <v>172.04402522233573</v>
      </c>
      <c r="K32" s="88">
        <f>IF(K19=0,0,K19/TrRail_act!K23*100)</f>
        <v>168.16849218520116</v>
      </c>
      <c r="L32" s="88">
        <f>IF(L19=0,0,L19/TrRail_act!L23*100)</f>
        <v>162.04461924391836</v>
      </c>
      <c r="M32" s="88">
        <f>IF(M19=0,0,M19/TrRail_act!M23*100)</f>
        <v>148.77057800272965</v>
      </c>
      <c r="N32" s="88">
        <f>IF(N19=0,0,N19/TrRail_act!N23*100)</f>
        <v>142.42987711083941</v>
      </c>
      <c r="O32" s="88">
        <f>IF(O19=0,0,O19/TrRail_act!O23*100)</f>
        <v>121.47188822538202</v>
      </c>
      <c r="P32" s="88">
        <f>IF(P19=0,0,P19/TrRail_act!P23*100)</f>
        <v>115.19302393357806</v>
      </c>
      <c r="Q32" s="88">
        <f>IF(Q19=0,0,Q19/TrRail_act!Q23*100)</f>
        <v>110.01939851818196</v>
      </c>
      <c r="R32" s="88">
        <f>IF(R19=0,0,R19/TrRail_act!R23*100)</f>
        <v>108.41809035672085</v>
      </c>
      <c r="S32" s="88">
        <f>IF(S19=0,0,S19/TrRail_act!S23*100)</f>
        <v>107.23242288605339</v>
      </c>
      <c r="T32" s="88">
        <f>IF(T19=0,0,T19/TrRail_act!T23*100)</f>
        <v>106.35168935547487</v>
      </c>
      <c r="U32" s="88">
        <f>IF(U19=0,0,U19/TrRail_act!U23*100)</f>
        <v>105.69588960745504</v>
      </c>
      <c r="V32" s="88">
        <f>IF(V19=0,0,V19/TrRail_act!V23*100)</f>
        <v>105.20669501169996</v>
      </c>
      <c r="W32" s="88">
        <f>IF(W19=0,0,W19/TrRail_act!W23*100)</f>
        <v>104.84128539340524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16.21429541916315</v>
      </c>
      <c r="C35" s="29">
        <f>IF(C11=0,0,C11/TrRail_act!C4*1000)</f>
        <v>13.462567260366727</v>
      </c>
      <c r="D35" s="29">
        <f>IF(D11=0,0,D11/TrRail_act!D4*1000)</f>
        <v>13.193509369363065</v>
      </c>
      <c r="E35" s="29">
        <f>IF(E11=0,0,E11/TrRail_act!E4*1000)</f>
        <v>12.70746224595308</v>
      </c>
      <c r="F35" s="29">
        <f>IF(F11=0,0,F11/TrRail_act!F4*1000)</f>
        <v>12.214247170946795</v>
      </c>
      <c r="G35" s="29">
        <f>IF(G11=0,0,G11/TrRail_act!G4*1000)</f>
        <v>11.726381835548642</v>
      </c>
      <c r="H35" s="29">
        <f>IF(H11=0,0,H11/TrRail_act!H4*1000)</f>
        <v>11.670894760006483</v>
      </c>
      <c r="I35" s="29">
        <f>IF(I11=0,0,I11/TrRail_act!I4*1000)</f>
        <v>11.028812834724546</v>
      </c>
      <c r="J35" s="29">
        <f>IF(J11=0,0,J11/TrRail_act!J4*1000)</f>
        <v>10.475047544265296</v>
      </c>
      <c r="K35" s="29">
        <f>IF(K11=0,0,K11/TrRail_act!K4*1000)</f>
        <v>9.5942622709241636</v>
      </c>
      <c r="L35" s="29">
        <f>IF(L11=0,0,L11/TrRail_act!L4*1000)</f>
        <v>9.1815646163785214</v>
      </c>
      <c r="M35" s="29">
        <f>IF(M11=0,0,M11/TrRail_act!M4*1000)</f>
        <v>7.4065973669819041</v>
      </c>
      <c r="N35" s="29">
        <f>IF(N11=0,0,N11/TrRail_act!N4*1000)</f>
        <v>7.6132164503380899</v>
      </c>
      <c r="O35" s="29">
        <f>IF(O11=0,0,O11/TrRail_act!O4*1000)</f>
        <v>6.2902824206628605</v>
      </c>
      <c r="P35" s="29">
        <f>IF(P11=0,0,P11/TrRail_act!P4*1000)</f>
        <v>5.9869034233336027</v>
      </c>
      <c r="Q35" s="29">
        <f>IF(Q11=0,0,Q11/TrRail_act!Q4*1000)</f>
        <v>5.8093728498865103</v>
      </c>
      <c r="R35" s="29">
        <f>IF(R11=0,0,R11/TrRail_act!R4*1000)</f>
        <v>7.2655113852128501</v>
      </c>
      <c r="S35" s="29">
        <f>IF(S11=0,0,S11/TrRail_act!S4*1000)</f>
        <v>7.6917735160007785</v>
      </c>
      <c r="T35" s="29">
        <f>IF(T11=0,0,T11/TrRail_act!T4*1000)</f>
        <v>7.5785298247294151</v>
      </c>
      <c r="U35" s="29">
        <f>IF(U11=0,0,U11/TrRail_act!U4*1000)</f>
        <v>6.9059789927090449</v>
      </c>
      <c r="V35" s="29">
        <f>IF(V11=0,0,V11/TrRail_act!V4*1000)</f>
        <v>11.333088134973989</v>
      </c>
      <c r="W35" s="29">
        <f>IF(W11=0,0,W11/TrRail_act!W4*1000)</f>
        <v>10.85356788192145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5.0433314068600454</v>
      </c>
      <c r="C36" s="115">
        <f>IF(C12=0,0,C12/TrRail_act!C5*1000)</f>
        <v>4.9853073021000469</v>
      </c>
      <c r="D36" s="115">
        <f>IF(D12=0,0,D12/TrRail_act!D5*1000)</f>
        <v>4.9563859624434361</v>
      </c>
      <c r="E36" s="115">
        <f>IF(E12=0,0,E12/TrRail_act!E5*1000)</f>
        <v>4.9117708744631594</v>
      </c>
      <c r="F36" s="115">
        <f>IF(F12=0,0,F12/TrRail_act!F5*1000)</f>
        <v>4.7249279612063004</v>
      </c>
      <c r="G36" s="115">
        <f>IF(G12=0,0,G12/TrRail_act!G5*1000)</f>
        <v>4.8326786153845731</v>
      </c>
      <c r="H36" s="115">
        <f>IF(H12=0,0,H12/TrRail_act!H5*1000)</f>
        <v>4.954156506844833</v>
      </c>
      <c r="I36" s="115">
        <f>IF(I12=0,0,I12/TrRail_act!I5*1000)</f>
        <v>4.7768587860784306</v>
      </c>
      <c r="J36" s="115">
        <f>IF(J12=0,0,J12/TrRail_act!J5*1000)</f>
        <v>4.7371900563210119</v>
      </c>
      <c r="K36" s="115">
        <f>IF(K12=0,0,K12/TrRail_act!K5*1000)</f>
        <v>4.6363343993471302</v>
      </c>
      <c r="L36" s="115">
        <f>IF(L12=0,0,L12/TrRail_act!L5*1000)</f>
        <v>4.5980714986288103</v>
      </c>
      <c r="M36" s="115">
        <f>IF(M12=0,0,M12/TrRail_act!M5*1000)</f>
        <v>4.4670646515638452</v>
      </c>
      <c r="N36" s="115">
        <f>IF(N12=0,0,N12/TrRail_act!N5*1000)</f>
        <v>4.4965346838229445</v>
      </c>
      <c r="O36" s="115">
        <f>IF(O12=0,0,O12/TrRail_act!O5*1000)</f>
        <v>4.5439524506565325</v>
      </c>
      <c r="P36" s="115">
        <f>IF(P12=0,0,P12/TrRail_act!P5*1000)</f>
        <v>4.4450904133240616</v>
      </c>
      <c r="Q36" s="115">
        <f>IF(Q12=0,0,Q12/TrRail_act!Q5*1000)</f>
        <v>4.4209558690752235</v>
      </c>
      <c r="R36" s="115">
        <f>IF(R12=0,0,R12/TrRail_act!R5*1000)</f>
        <v>4.3354228951145339</v>
      </c>
      <c r="S36" s="115">
        <f>IF(S12=0,0,S12/TrRail_act!S5*1000)</f>
        <v>4.264223843022414</v>
      </c>
      <c r="T36" s="115">
        <f>IF(T12=0,0,T12/TrRail_act!T5*1000)</f>
        <v>4.2235730160239857</v>
      </c>
      <c r="U36" s="115">
        <f>IF(U12=0,0,U12/TrRail_act!U5*1000)</f>
        <v>4.1320516272960361</v>
      </c>
      <c r="V36" s="115">
        <f>IF(V12=0,0,V12/TrRail_act!V5*1000)</f>
        <v>7.2451335863848572</v>
      </c>
      <c r="W36" s="115">
        <f>IF(W12=0,0,W12/TrRail_act!W5*1000)</f>
        <v>6.7987072273832956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17.68270090689148</v>
      </c>
      <c r="C37" s="116">
        <f>IF(C13=0,0,C13/TrRail_act!C6*1000)</f>
        <v>14.619908612384597</v>
      </c>
      <c r="D37" s="116">
        <f>IF(D13=0,0,D13/TrRail_act!D6*1000)</f>
        <v>14.347755961415498</v>
      </c>
      <c r="E37" s="116">
        <f>IF(E13=0,0,E13/TrRail_act!E6*1000)</f>
        <v>14.306897992301932</v>
      </c>
      <c r="F37" s="116">
        <f>IF(F13=0,0,F13/TrRail_act!F6*1000)</f>
        <v>14.089672604272536</v>
      </c>
      <c r="G37" s="116">
        <f>IF(G13=0,0,G13/TrRail_act!G6*1000)</f>
        <v>13.397117180251044</v>
      </c>
      <c r="H37" s="116">
        <f>IF(H13=0,0,H13/TrRail_act!H6*1000)</f>
        <v>13.524429369606322</v>
      </c>
      <c r="I37" s="116">
        <f>IF(I13=0,0,I13/TrRail_act!I6*1000)</f>
        <v>12.636078890530545</v>
      </c>
      <c r="J37" s="116">
        <f>IF(J13=0,0,J13/TrRail_act!J6*1000)</f>
        <v>11.885144660263514</v>
      </c>
      <c r="K37" s="116">
        <f>IF(K13=0,0,K13/TrRail_act!K6*1000)</f>
        <v>10.670096588095916</v>
      </c>
      <c r="L37" s="116">
        <f>IF(L13=0,0,L13/TrRail_act!L6*1000)</f>
        <v>10.144392876443924</v>
      </c>
      <c r="M37" s="116">
        <f>IF(M13=0,0,M13/TrRail_act!M6*1000)</f>
        <v>7.513380821174688</v>
      </c>
      <c r="N37" s="116">
        <f>IF(N13=0,0,N13/TrRail_act!N6*1000)</f>
        <v>7.7335202145486619</v>
      </c>
      <c r="O37" s="116">
        <f>IF(O13=0,0,O13/TrRail_act!O6*1000)</f>
        <v>5.769350987950947</v>
      </c>
      <c r="P37" s="116">
        <f>IF(P13=0,0,P13/TrRail_act!P6*1000)</f>
        <v>5.5511261750540735</v>
      </c>
      <c r="Q37" s="116">
        <f>IF(Q13=0,0,Q13/TrRail_act!Q6*1000)</f>
        <v>5.4103750998589994</v>
      </c>
      <c r="R37" s="116">
        <f>IF(R13=0,0,R13/TrRail_act!R6*1000)</f>
        <v>7.6403842225009004</v>
      </c>
      <c r="S37" s="116">
        <f>IF(S13=0,0,S13/TrRail_act!S6*1000)</f>
        <v>8.3912777169039074</v>
      </c>
      <c r="T37" s="116">
        <f>IF(T13=0,0,T13/TrRail_act!T6*1000)</f>
        <v>8.3474247980966325</v>
      </c>
      <c r="U37" s="116">
        <f>IF(U13=0,0,U13/TrRail_act!U6*1000)</f>
        <v>7.4487423431250939</v>
      </c>
      <c r="V37" s="116">
        <f>IF(V13=0,0,V13/TrRail_act!V6*1000)</f>
        <v>12.084709995934119</v>
      </c>
      <c r="W37" s="116">
        <f>IF(W13=0,0,W13/TrRail_act!W6*1000)</f>
        <v>11.34785561260388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27.74769122299255</v>
      </c>
      <c r="C38" s="87">
        <f>IF(C14=0,0,C14/TrRail_act!C7*1000)</f>
        <v>23.174369118698742</v>
      </c>
      <c r="D38" s="87">
        <f>IF(D14=0,0,D14/TrRail_act!D7*1000)</f>
        <v>22.479637322532973</v>
      </c>
      <c r="E38" s="87">
        <f>IF(E14=0,0,E14/TrRail_act!E7*1000)</f>
        <v>24.881707647859329</v>
      </c>
      <c r="F38" s="87">
        <f>IF(F14=0,0,F14/TrRail_act!F7*1000)</f>
        <v>23.466027628381728</v>
      </c>
      <c r="G38" s="87">
        <f>IF(G14=0,0,G14/TrRail_act!G7*1000)</f>
        <v>22.397258518371686</v>
      </c>
      <c r="H38" s="87">
        <f>IF(H14=0,0,H14/TrRail_act!H7*1000)</f>
        <v>22.467872284511586</v>
      </c>
      <c r="I38" s="87">
        <f>IF(I14=0,0,I14/TrRail_act!I7*1000)</f>
        <v>20.123997890659979</v>
      </c>
      <c r="J38" s="87">
        <f>IF(J14=0,0,J14/TrRail_act!J7*1000)</f>
        <v>19.740065271602688</v>
      </c>
      <c r="K38" s="87">
        <f>IF(K14=0,0,K14/TrRail_act!K7*1000)</f>
        <v>17.874122080560937</v>
      </c>
      <c r="L38" s="87">
        <f>IF(L14=0,0,L14/TrRail_act!L7*1000)</f>
        <v>16.806383405838098</v>
      </c>
      <c r="M38" s="87">
        <f>IF(M14=0,0,M14/TrRail_act!M7*1000)</f>
        <v>12.651268983067618</v>
      </c>
      <c r="N38" s="87">
        <f>IF(N14=0,0,N14/TrRail_act!N7*1000)</f>
        <v>13.442024119665602</v>
      </c>
      <c r="O38" s="87">
        <f>IF(O14=0,0,O14/TrRail_act!O7*1000)</f>
        <v>10.62745456114401</v>
      </c>
      <c r="P38" s="87">
        <f>IF(P14=0,0,P14/TrRail_act!P7*1000)</f>
        <v>10.160156136104456</v>
      </c>
      <c r="Q38" s="87">
        <f>IF(Q14=0,0,Q14/TrRail_act!Q7*1000)</f>
        <v>9.7912809757726169</v>
      </c>
      <c r="R38" s="87">
        <f>IF(R14=0,0,R14/TrRail_act!R7*1000)</f>
        <v>12.422111194194713</v>
      </c>
      <c r="S38" s="87">
        <f>IF(S14=0,0,S14/TrRail_act!S7*1000)</f>
        <v>11.202843775813948</v>
      </c>
      <c r="T38" s="87">
        <f>IF(T14=0,0,T14/TrRail_act!T7*1000)</f>
        <v>13.79430451295887</v>
      </c>
      <c r="U38" s="87">
        <f>IF(U14=0,0,U14/TrRail_act!U7*1000)</f>
        <v>12.150174889207007</v>
      </c>
      <c r="V38" s="87">
        <f>IF(V14=0,0,V14/TrRail_act!V7*1000)</f>
        <v>16.453558364831149</v>
      </c>
      <c r="W38" s="87">
        <f>IF(W14=0,0,W14/TrRail_act!W7*1000)</f>
        <v>12.571806284126657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10.401573099387079</v>
      </c>
      <c r="C39" s="87">
        <f>IF(C15=0,0,C15/TrRail_act!C8*1000)</f>
        <v>9.3602772157233218</v>
      </c>
      <c r="D39" s="87">
        <f>IF(D15=0,0,D15/TrRail_act!D8*1000)</f>
        <v>10.344583103478497</v>
      </c>
      <c r="E39" s="87">
        <f>IF(E15=0,0,E15/TrRail_act!E8*1000)</f>
        <v>10.384419847630955</v>
      </c>
      <c r="F39" s="87">
        <f>IF(F15=0,0,F15/TrRail_act!F8*1000)</f>
        <v>10.329136236220091</v>
      </c>
      <c r="G39" s="87">
        <f>IF(G15=0,0,G15/TrRail_act!G8*1000)</f>
        <v>10.068241165607464</v>
      </c>
      <c r="H39" s="87">
        <f>IF(H15=0,0,H15/TrRail_act!H8*1000)</f>
        <v>10.465904253250029</v>
      </c>
      <c r="I39" s="87">
        <f>IF(I15=0,0,I15/TrRail_act!I8*1000)</f>
        <v>9.923098170821449</v>
      </c>
      <c r="J39" s="87">
        <f>IF(J15=0,0,J15/TrRail_act!J8*1000)</f>
        <v>9.2013645455106019</v>
      </c>
      <c r="K39" s="87">
        <f>IF(K15=0,0,K15/TrRail_act!K8*1000)</f>
        <v>8.5575507514919291</v>
      </c>
      <c r="L39" s="87">
        <f>IF(L15=0,0,L15/TrRail_act!L8*1000)</f>
        <v>8.3270529301466549</v>
      </c>
      <c r="M39" s="87">
        <f>IF(M15=0,0,M15/TrRail_act!M8*1000)</f>
        <v>5.9732541759306983</v>
      </c>
      <c r="N39" s="87">
        <f>IF(N15=0,0,N15/TrRail_act!N8*1000)</f>
        <v>6.4139117197568059</v>
      </c>
      <c r="O39" s="87">
        <f>IF(O15=0,0,O15/TrRail_act!O8*1000)</f>
        <v>4.4279786378852277</v>
      </c>
      <c r="P39" s="87">
        <f>IF(P15=0,0,P15/TrRail_act!P8*1000)</f>
        <v>4.2895953457371698</v>
      </c>
      <c r="Q39" s="87">
        <f>IF(Q15=0,0,Q15/TrRail_act!Q8*1000)</f>
        <v>4.2420379733435549</v>
      </c>
      <c r="R39" s="87">
        <f>IF(R15=0,0,R15/TrRail_act!R8*1000)</f>
        <v>6.7873702208346245</v>
      </c>
      <c r="S39" s="87">
        <f>IF(S15=0,0,S15/TrRail_act!S8*1000)</f>
        <v>7.9030610628360014</v>
      </c>
      <c r="T39" s="87">
        <f>IF(T15=0,0,T15/TrRail_act!T8*1000)</f>
        <v>7.5705798672802995</v>
      </c>
      <c r="U39" s="87">
        <f>IF(U15=0,0,U15/TrRail_act!U8*1000)</f>
        <v>6.7910289817561216</v>
      </c>
      <c r="V39" s="87">
        <f>IF(V15=0,0,V15/TrRail_act!V8*1000)</f>
        <v>11.439245105747249</v>
      </c>
      <c r="W39" s="87">
        <f>IF(W15=0,0,W15/TrRail_act!W8*1000)</f>
        <v>11.176553062957886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12.499895413474405</v>
      </c>
      <c r="G40" s="117">
        <f>IF(G16=0,0,G16/TrRail_act!G9*1000)</f>
        <v>12.336038794563597</v>
      </c>
      <c r="H40" s="117">
        <f>IF(H16=0,0,H16/TrRail_act!H9*1000)</f>
        <v>12.442724447685263</v>
      </c>
      <c r="I40" s="117">
        <f>IF(I16=0,0,I16/TrRail_act!I9*1000)</f>
        <v>12.943775079531632</v>
      </c>
      <c r="J40" s="117">
        <f>IF(J16=0,0,J16/TrRail_act!J9*1000)</f>
        <v>12.534370282470915</v>
      </c>
      <c r="K40" s="117">
        <f>IF(K16=0,0,K16/TrRail_act!K9*1000)</f>
        <v>12.319555303602062</v>
      </c>
      <c r="L40" s="117">
        <f>IF(L16=0,0,L16/TrRail_act!L9*1000)</f>
        <v>12.52466501776391</v>
      </c>
      <c r="M40" s="117">
        <f>IF(M16=0,0,M16/TrRail_act!M9*1000)</f>
        <v>13.784071941099793</v>
      </c>
      <c r="N40" s="117">
        <f>IF(N16=0,0,N16/TrRail_act!N9*1000)</f>
        <v>13.678647252918037</v>
      </c>
      <c r="O40" s="117">
        <f>IF(O16=0,0,O16/TrRail_act!O9*1000)</f>
        <v>13.39234499529042</v>
      </c>
      <c r="P40" s="117">
        <f>IF(P16=0,0,P16/TrRail_act!P9*1000)</f>
        <v>11.441219641858119</v>
      </c>
      <c r="Q40" s="117">
        <f>IF(Q16=0,0,Q16/TrRail_act!Q9*1000)</f>
        <v>10.646339355374151</v>
      </c>
      <c r="R40" s="117">
        <f>IF(R16=0,0,R16/TrRail_act!R9*1000)</f>
        <v>10.100029010213239</v>
      </c>
      <c r="S40" s="117">
        <f>IF(S16=0,0,S16/TrRail_act!S9*1000)</f>
        <v>9.4381171249514377</v>
      </c>
      <c r="T40" s="117">
        <f>IF(T16=0,0,T16/TrRail_act!T9*1000)</f>
        <v>9.0003433741169019</v>
      </c>
      <c r="U40" s="117">
        <f>IF(U16=0,0,U16/TrRail_act!U9*1000)</f>
        <v>8.6546523720988091</v>
      </c>
      <c r="V40" s="117">
        <f>IF(V16=0,0,V16/TrRail_act!V9*1000)</f>
        <v>15.645817271473399</v>
      </c>
      <c r="W40" s="117">
        <f>IF(W16=0,0,W16/TrRail_act!W9*1000)</f>
        <v>15.773376249330148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6.8439177819047661</v>
      </c>
      <c r="C41" s="29">
        <f>IF(C17=0,0,C17/TrRail_act!C10*1000)</f>
        <v>6.159695744727272</v>
      </c>
      <c r="D41" s="29">
        <f>IF(D17=0,0,D17/TrRail_act!D10*1000)</f>
        <v>5.709470334693723</v>
      </c>
      <c r="E41" s="29">
        <f>IF(E17=0,0,E17/TrRail_act!E10*1000)</f>
        <v>5.2942426987557525</v>
      </c>
      <c r="F41" s="29">
        <f>IF(F17=0,0,F17/TrRail_act!F10*1000)</f>
        <v>5.1123208263891291</v>
      </c>
      <c r="G41" s="29">
        <f>IF(G17=0,0,G17/TrRail_act!G10*1000)</f>
        <v>4.8931732861604518</v>
      </c>
      <c r="H41" s="29">
        <f>IF(H17=0,0,H17/TrRail_act!H10*1000)</f>
        <v>4.7589155699514833</v>
      </c>
      <c r="I41" s="29">
        <f>IF(I17=0,0,I17/TrRail_act!I10*1000)</f>
        <v>4.6087782141326077</v>
      </c>
      <c r="J41" s="29">
        <f>IF(J17=0,0,J17/TrRail_act!J10*1000)</f>
        <v>4.3887884184823776</v>
      </c>
      <c r="K41" s="29">
        <f>IF(K17=0,0,K17/TrRail_act!K10*1000)</f>
        <v>4.2028789041345362</v>
      </c>
      <c r="L41" s="29">
        <f>IF(L17=0,0,L17/TrRail_act!L10*1000)</f>
        <v>3.9450809790718031</v>
      </c>
      <c r="M41" s="29">
        <f>IF(M17=0,0,M17/TrRail_act!M10*1000)</f>
        <v>3.4943692753627515</v>
      </c>
      <c r="N41" s="29">
        <f>IF(N17=0,0,N17/TrRail_act!N10*1000)</f>
        <v>3.2191064844860668</v>
      </c>
      <c r="O41" s="29">
        <f>IF(O17=0,0,O17/TrRail_act!O10*1000)</f>
        <v>2.8399815540096869</v>
      </c>
      <c r="P41" s="29">
        <f>IF(P17=0,0,P17/TrRail_act!P10*1000)</f>
        <v>2.788623753096608</v>
      </c>
      <c r="Q41" s="29">
        <f>IF(Q17=0,0,Q17/TrRail_act!Q10*1000)</f>
        <v>2.6854048603511069</v>
      </c>
      <c r="R41" s="29">
        <f>IF(R17=0,0,R17/TrRail_act!R10*1000)</f>
        <v>2.5319694307188838</v>
      </c>
      <c r="S41" s="29">
        <f>IF(S17=0,0,S17/TrRail_act!S10*1000)</f>
        <v>2.8286263551510729</v>
      </c>
      <c r="T41" s="29">
        <f>IF(T17=0,0,T17/TrRail_act!T10*1000)</f>
        <v>2.709346424434794</v>
      </c>
      <c r="U41" s="29">
        <f>IF(U17=0,0,U17/TrRail_act!U10*1000)</f>
        <v>2.8884600429432119</v>
      </c>
      <c r="V41" s="29">
        <f>IF(V17=0,0,V17/TrRail_act!V10*1000)</f>
        <v>3.4164610399357431</v>
      </c>
      <c r="W41" s="29">
        <f>IF(W17=0,0,W17/TrRail_act!W10*1000)</f>
        <v>4.6406098478350364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9.3976739470584807</v>
      </c>
      <c r="C42" s="87">
        <f>IF(C18=0,0,C18/TrRail_act!C11*1000)</f>
        <v>7.9714064985129065</v>
      </c>
      <c r="D42" s="87">
        <f>IF(D18=0,0,D18/TrRail_act!D11*1000)</f>
        <v>7.7125095823214158</v>
      </c>
      <c r="E42" s="87">
        <f>IF(E18=0,0,E18/TrRail_act!E11*1000)</f>
        <v>7.3688859703993534</v>
      </c>
      <c r="F42" s="87">
        <f>IF(F18=0,0,F18/TrRail_act!F11*1000)</f>
        <v>7.203637805027423</v>
      </c>
      <c r="G42" s="87">
        <f>IF(G18=0,0,G18/TrRail_act!G11*1000)</f>
        <v>7.3377053321761689</v>
      </c>
      <c r="H42" s="87">
        <f>IF(H18=0,0,H18/TrRail_act!H11*1000)</f>
        <v>7.2827651738919368</v>
      </c>
      <c r="I42" s="87">
        <f>IF(I18=0,0,I18/TrRail_act!I11*1000)</f>
        <v>7.5827574107265505</v>
      </c>
      <c r="J42" s="87">
        <f>IF(J18=0,0,J18/TrRail_act!J11*1000)</f>
        <v>6.7041882387963359</v>
      </c>
      <c r="K42" s="87">
        <f>IF(K18=0,0,K18/TrRail_act!K11*1000)</f>
        <v>6.2924878012983658</v>
      </c>
      <c r="L42" s="87">
        <f>IF(L18=0,0,L18/TrRail_act!L11*1000)</f>
        <v>6.2315010812104292</v>
      </c>
      <c r="M42" s="87">
        <f>IF(M18=0,0,M18/TrRail_act!M11*1000)</f>
        <v>5.7479295800412347</v>
      </c>
      <c r="N42" s="87">
        <f>IF(N18=0,0,N18/TrRail_act!N11*1000)</f>
        <v>5.5104239669115049</v>
      </c>
      <c r="O42" s="87">
        <f>IF(O18=0,0,O18/TrRail_act!O11*1000)</f>
        <v>5.2498313483042116</v>
      </c>
      <c r="P42" s="87">
        <f>IF(P18=0,0,P18/TrRail_act!P11*1000)</f>
        <v>5.1193551448701085</v>
      </c>
      <c r="Q42" s="87">
        <f>IF(Q18=0,0,Q18/TrRail_act!Q11*1000)</f>
        <v>5.0787304081062077</v>
      </c>
      <c r="R42" s="87">
        <f>IF(R18=0,0,R18/TrRail_act!R11*1000)</f>
        <v>4.9809146907513613</v>
      </c>
      <c r="S42" s="87">
        <f>IF(S18=0,0,S18/TrRail_act!S11*1000)</f>
        <v>5.1017372333712903</v>
      </c>
      <c r="T42" s="87">
        <f>IF(T18=0,0,T18/TrRail_act!T11*1000)</f>
        <v>4.5973468391131416</v>
      </c>
      <c r="U42" s="87">
        <f>IF(U18=0,0,U18/TrRail_act!U11*1000)</f>
        <v>4.5396000259931064</v>
      </c>
      <c r="V42" s="87">
        <f>IF(V18=0,0,V18/TrRail_act!V11*1000)</f>
        <v>6.5087596552501186</v>
      </c>
      <c r="W42" s="87">
        <f>IF(W18=0,0,W18/TrRail_act!W11*1000)</f>
        <v>7.3174002409474195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3.8952400055610039</v>
      </c>
      <c r="C43" s="88">
        <f>IF(C19=0,0,C19/TrRail_act!C12*1000)</f>
        <v>4.4625422418498566</v>
      </c>
      <c r="D43" s="88">
        <f>IF(D19=0,0,D19/TrRail_act!D12*1000)</f>
        <v>4.2548017383672407</v>
      </c>
      <c r="E43" s="88">
        <f>IF(E19=0,0,E19/TrRail_act!E12*1000)</f>
        <v>4.0307886097691163</v>
      </c>
      <c r="F43" s="88">
        <f>IF(F19=0,0,F19/TrRail_act!F12*1000)</f>
        <v>4.0117366494143214</v>
      </c>
      <c r="G43" s="88">
        <f>IF(G19=0,0,G19/TrRail_act!G12*1000)</f>
        <v>3.7083035330164766</v>
      </c>
      <c r="H43" s="88">
        <f>IF(H19=0,0,H19/TrRail_act!H12*1000)</f>
        <v>3.6609091435248207</v>
      </c>
      <c r="I43" s="88">
        <f>IF(I19=0,0,I19/TrRail_act!I12*1000)</f>
        <v>3.2918149173371751</v>
      </c>
      <c r="J43" s="88">
        <f>IF(J19=0,0,J19/TrRail_act!J12*1000)</f>
        <v>3.4087086325573455</v>
      </c>
      <c r="K43" s="88">
        <f>IF(K19=0,0,K19/TrRail_act!K12*1000)</f>
        <v>3.4690494401109042</v>
      </c>
      <c r="L43" s="88">
        <f>IF(L19=0,0,L19/TrRail_act!L12*1000)</f>
        <v>3.2132021253476259</v>
      </c>
      <c r="M43" s="88">
        <f>IF(M19=0,0,M19/TrRail_act!M12*1000)</f>
        <v>2.7313934990464701</v>
      </c>
      <c r="N43" s="88">
        <f>IF(N19=0,0,N19/TrRail_act!N12*1000)</f>
        <v>2.5924306303766027</v>
      </c>
      <c r="O43" s="88">
        <f>IF(O19=0,0,O19/TrRail_act!O12*1000)</f>
        <v>2.0567550554946084</v>
      </c>
      <c r="P43" s="88">
        <f>IF(P19=0,0,P19/TrRail_act!P12*1000)</f>
        <v>2.0381998739977027</v>
      </c>
      <c r="Q43" s="88">
        <f>IF(Q19=0,0,Q19/TrRail_act!Q12*1000)</f>
        <v>1.9266606466500946</v>
      </c>
      <c r="R43" s="88">
        <f>IF(R19=0,0,R19/TrRail_act!R12*1000)</f>
        <v>2.0234179324725536</v>
      </c>
      <c r="S43" s="88">
        <f>IF(S19=0,0,S19/TrRail_act!S12*1000)</f>
        <v>2.0200665600530967</v>
      </c>
      <c r="T43" s="88">
        <f>IF(T19=0,0,T19/TrRail_act!T12*1000)</f>
        <v>2.1032775062930198</v>
      </c>
      <c r="U43" s="88">
        <f>IF(U19=0,0,U19/TrRail_act!U12*1000)</f>
        <v>2.1387974159311582</v>
      </c>
      <c r="V43" s="88">
        <f>IF(V19=0,0,V19/TrRail_act!V12*1000)</f>
        <v>2.3228722154879584</v>
      </c>
      <c r="W43" s="88">
        <f>IF(W19=0,0,W19/TrRail_act!W12*1000)</f>
        <v>3.2488418815332287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297587.13138618035</v>
      </c>
      <c r="C45" s="54">
        <f>IF(C10=0,0,1000000*C10/TrRail_act!C25)</f>
        <v>258202.34732716688</v>
      </c>
      <c r="D45" s="54">
        <f>IF(D10=0,0,1000000*D10/TrRail_act!D25)</f>
        <v>239765.02203057439</v>
      </c>
      <c r="E45" s="54">
        <f>IF(E10=0,0,1000000*E10/TrRail_act!E25)</f>
        <v>213987.06843580055</v>
      </c>
      <c r="F45" s="54">
        <f>IF(F10=0,0,1000000*F10/TrRail_act!F25)</f>
        <v>218111.314959268</v>
      </c>
      <c r="G45" s="54">
        <f>IF(G10=0,0,1000000*G10/TrRail_act!G25)</f>
        <v>217892.06294473202</v>
      </c>
      <c r="H45" s="54">
        <f>IF(H10=0,0,1000000*H10/TrRail_act!H25)</f>
        <v>202840.53543885794</v>
      </c>
      <c r="I45" s="54">
        <f>IF(I10=0,0,1000000*I10/TrRail_act!I25)</f>
        <v>200298.70574702907</v>
      </c>
      <c r="J45" s="54">
        <f>IF(J10=0,0,1000000*J10/TrRail_act!J25)</f>
        <v>188614.47702868583</v>
      </c>
      <c r="K45" s="54">
        <f>IF(K10=0,0,1000000*K10/TrRail_act!K25)</f>
        <v>177787.94148410147</v>
      </c>
      <c r="L45" s="54">
        <f>IF(L10=0,0,1000000*L10/TrRail_act!L25)</f>
        <v>169478.56346164862</v>
      </c>
      <c r="M45" s="54">
        <f>IF(M10=0,0,1000000*M10/TrRail_act!M25)</f>
        <v>150117.71008675129</v>
      </c>
      <c r="N45" s="54">
        <f>IF(N10=0,0,1000000*N10/TrRail_act!N25)</f>
        <v>146918.66074266855</v>
      </c>
      <c r="O45" s="54">
        <f>IF(O10=0,0,1000000*O10/TrRail_act!O25)</f>
        <v>125227.71043165079</v>
      </c>
      <c r="P45" s="54">
        <f>IF(P10=0,0,1000000*P10/TrRail_act!P25)</f>
        <v>132479.08860414557</v>
      </c>
      <c r="Q45" s="54">
        <f>IF(Q10=0,0,1000000*Q10/TrRail_act!Q25)</f>
        <v>127936.79656676523</v>
      </c>
      <c r="R45" s="54">
        <f>IF(R10=0,0,1000000*R10/TrRail_act!R25)</f>
        <v>118108.43532692699</v>
      </c>
      <c r="S45" s="54">
        <f>IF(S10=0,0,1000000*S10/TrRail_act!S25)</f>
        <v>114460.933059363</v>
      </c>
      <c r="T45" s="54">
        <f>IF(T10=0,0,1000000*T10/TrRail_act!T25)</f>
        <v>111633.20148227463</v>
      </c>
      <c r="U45" s="54">
        <f>IF(U10=0,0,1000000*U10/TrRail_act!U25)</f>
        <v>108295.58720424891</v>
      </c>
      <c r="V45" s="54">
        <f>IF(V10=0,0,1000000*V10/TrRail_act!V25)</f>
        <v>99484.629207426144</v>
      </c>
      <c r="W45" s="54">
        <f>IF(W10=0,0,1000000*W10/TrRail_act!W25)</f>
        <v>104353.95362637464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265349.73011464922</v>
      </c>
      <c r="C46" s="28">
        <f>IF(C11=0,0,1000000*C11/TrRail_act!C26)</f>
        <v>229426.80091434304</v>
      </c>
      <c r="D46" s="28">
        <f>IF(D11=0,0,1000000*D11/TrRail_act!D26)</f>
        <v>213373.73983059981</v>
      </c>
      <c r="E46" s="28">
        <f>IF(E11=0,0,1000000*E11/TrRail_act!E26)</f>
        <v>191985.33428961638</v>
      </c>
      <c r="F46" s="28">
        <f>IF(F11=0,0,1000000*F11/TrRail_act!F26)</f>
        <v>194239.02572557828</v>
      </c>
      <c r="G46" s="28">
        <f>IF(G11=0,0,1000000*G11/TrRail_act!G26)</f>
        <v>192903.01837260398</v>
      </c>
      <c r="H46" s="28">
        <f>IF(H11=0,0,1000000*H11/TrRail_act!H26)</f>
        <v>180353.60825777298</v>
      </c>
      <c r="I46" s="28">
        <f>IF(I11=0,0,1000000*I11/TrRail_act!I26)</f>
        <v>176724.78989907444</v>
      </c>
      <c r="J46" s="28">
        <f>IF(J11=0,0,1000000*J11/TrRail_act!J26)</f>
        <v>167923.64699057574</v>
      </c>
      <c r="K46" s="28">
        <f>IF(K11=0,0,1000000*K11/TrRail_act!K26)</f>
        <v>160714.26864330581</v>
      </c>
      <c r="L46" s="28">
        <f>IF(L11=0,0,1000000*L11/TrRail_act!L26)</f>
        <v>151989.24852844619</v>
      </c>
      <c r="M46" s="28">
        <f>IF(M11=0,0,1000000*M11/TrRail_act!M26)</f>
        <v>133125.43385795731</v>
      </c>
      <c r="N46" s="28">
        <f>IF(N11=0,0,1000000*N11/TrRail_act!N26)</f>
        <v>130038.22547943635</v>
      </c>
      <c r="O46" s="28">
        <f>IF(O11=0,0,1000000*O11/TrRail_act!O26)</f>
        <v>109878.37289249455</v>
      </c>
      <c r="P46" s="28">
        <f>IF(P11=0,0,1000000*P11/TrRail_act!P26)</f>
        <v>115794.46901918409</v>
      </c>
      <c r="Q46" s="28">
        <f>IF(Q11=0,0,1000000*Q11/TrRail_act!Q26)</f>
        <v>110912.10961966083</v>
      </c>
      <c r="R46" s="28">
        <f>IF(R11=0,0,1000000*R11/TrRail_act!R26)</f>
        <v>106676.14341438617</v>
      </c>
      <c r="S46" s="28">
        <f>IF(S11=0,0,1000000*S11/TrRail_act!S26)</f>
        <v>102804.47695430016</v>
      </c>
      <c r="T46" s="28">
        <f>IF(T11=0,0,1000000*T11/TrRail_act!T26)</f>
        <v>100658.76418348115</v>
      </c>
      <c r="U46" s="28">
        <f>IF(U11=0,0,1000000*U11/TrRail_act!U26)</f>
        <v>98131.761330356399</v>
      </c>
      <c r="V46" s="28">
        <f>IF(V11=0,0,1000000*V11/TrRail_act!V26)</f>
        <v>86483.862831751219</v>
      </c>
      <c r="W46" s="28">
        <f>IF(W11=0,0,1000000*W11/TrRail_act!W26)</f>
        <v>90134.892226776326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42953.484966212767</v>
      </c>
      <c r="C47" s="108">
        <f>IF(C12=0,0,1000000*C12/TrRail_act!C27)</f>
        <v>42459.30009540516</v>
      </c>
      <c r="D47" s="108">
        <f>IF(D12=0,0,1000000*D12/TrRail_act!D27)</f>
        <v>42212.980271047149</v>
      </c>
      <c r="E47" s="108">
        <f>IF(E12=0,0,1000000*E12/TrRail_act!E27)</f>
        <v>41832.998875943791</v>
      </c>
      <c r="F47" s="108">
        <f>IF(F12=0,0,1000000*F12/TrRail_act!F27)</f>
        <v>41503.829089672246</v>
      </c>
      <c r="G47" s="108">
        <f>IF(G12=0,0,1000000*G12/TrRail_act!G27)</f>
        <v>40838.107429361138</v>
      </c>
      <c r="H47" s="108">
        <f>IF(H12=0,0,1000000*H12/TrRail_act!H27)</f>
        <v>40486.081567292887</v>
      </c>
      <c r="I47" s="108">
        <f>IF(I12=0,0,1000000*I12/TrRail_act!I27)</f>
        <v>40001.082112203709</v>
      </c>
      <c r="J47" s="108">
        <f>IF(J12=0,0,1000000*J12/TrRail_act!J27)</f>
        <v>39528.073287147534</v>
      </c>
      <c r="K47" s="108">
        <f>IF(K12=0,0,1000000*K12/TrRail_act!K27)</f>
        <v>39125.68664583283</v>
      </c>
      <c r="L47" s="108">
        <f>IF(L12=0,0,1000000*L12/TrRail_act!L27)</f>
        <v>38821.652647791401</v>
      </c>
      <c r="M47" s="108">
        <f>IF(M12=0,0,1000000*M12/TrRail_act!M27)</f>
        <v>38596.351679675638</v>
      </c>
      <c r="N47" s="108">
        <f>IF(N12=0,0,1000000*N12/TrRail_act!N27)</f>
        <v>36501.824601412336</v>
      </c>
      <c r="O47" s="108">
        <f>IF(O12=0,0,1000000*O12/TrRail_act!O27)</f>
        <v>35518.648995183641</v>
      </c>
      <c r="P47" s="108">
        <f>IF(P12=0,0,1000000*P12/TrRail_act!P27)</f>
        <v>37622.678101915866</v>
      </c>
      <c r="Q47" s="108">
        <f>IF(Q12=0,0,1000000*Q12/TrRail_act!Q27)</f>
        <v>37522.693527117379</v>
      </c>
      <c r="R47" s="108">
        <f>IF(R12=0,0,1000000*R12/TrRail_act!R27)</f>
        <v>37407.939362859666</v>
      </c>
      <c r="S47" s="108">
        <f>IF(S12=0,0,1000000*S12/TrRail_act!S27)</f>
        <v>37322.104189957383</v>
      </c>
      <c r="T47" s="108">
        <f>IF(T12=0,0,1000000*T12/TrRail_act!T27)</f>
        <v>37257.857095261461</v>
      </c>
      <c r="U47" s="108">
        <f>IF(U12=0,0,1000000*U12/TrRail_act!U27)</f>
        <v>37209.744419092982</v>
      </c>
      <c r="V47" s="108">
        <f>IF(V12=0,0,1000000*V12/TrRail_act!V27)</f>
        <v>35139.737572648417</v>
      </c>
      <c r="W47" s="108">
        <f>IF(W12=0,0,1000000*W12/TrRail_act!W27)</f>
        <v>33718.586927113567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329263.94798332133</v>
      </c>
      <c r="C48" s="110">
        <f>IF(C13=0,0,1000000*C13/TrRail_act!C28)</f>
        <v>288585.91614982224</v>
      </c>
      <c r="D48" s="110">
        <f>IF(D13=0,0,1000000*D13/TrRail_act!D28)</f>
        <v>265480.63610138348</v>
      </c>
      <c r="E48" s="110">
        <f>IF(E13=0,0,1000000*E13/TrRail_act!E28)</f>
        <v>256947.85508593521</v>
      </c>
      <c r="F48" s="110">
        <f>IF(F13=0,0,1000000*F13/TrRail_act!F28)</f>
        <v>249427.58565408498</v>
      </c>
      <c r="G48" s="110">
        <f>IF(G13=0,0,1000000*G13/TrRail_act!G28)</f>
        <v>251745.0874343958</v>
      </c>
      <c r="H48" s="110">
        <f>IF(H13=0,0,1000000*H13/TrRail_act!H28)</f>
        <v>243105.6946434573</v>
      </c>
      <c r="I48" s="110">
        <f>IF(I13=0,0,1000000*I13/TrRail_act!I28)</f>
        <v>241479.2912363552</v>
      </c>
      <c r="J48" s="110">
        <f>IF(J13=0,0,1000000*J13/TrRail_act!J28)</f>
        <v>227161.55958440856</v>
      </c>
      <c r="K48" s="110">
        <f>IF(K13=0,0,1000000*K13/TrRail_act!K28)</f>
        <v>217821.7346043431</v>
      </c>
      <c r="L48" s="110">
        <f>IF(L13=0,0,1000000*L13/TrRail_act!L28)</f>
        <v>207503.13932239241</v>
      </c>
      <c r="M48" s="110">
        <f>IF(M13=0,0,1000000*M13/TrRail_act!M28)</f>
        <v>177361.21497214859</v>
      </c>
      <c r="N48" s="110">
        <f>IF(N13=0,0,1000000*N13/TrRail_act!N28)</f>
        <v>173164.72210554656</v>
      </c>
      <c r="O48" s="110">
        <f>IF(O13=0,0,1000000*O13/TrRail_act!O28)</f>
        <v>135693.49804341162</v>
      </c>
      <c r="P48" s="110">
        <f>IF(P13=0,0,1000000*P13/TrRail_act!P28)</f>
        <v>143780.30547868097</v>
      </c>
      <c r="Q48" s="110">
        <f>IF(Q13=0,0,1000000*Q13/TrRail_act!Q28)</f>
        <v>136523.84092116251</v>
      </c>
      <c r="R48" s="110">
        <f>IF(R13=0,0,1000000*R13/TrRail_act!R28)</f>
        <v>119875.59238286725</v>
      </c>
      <c r="S48" s="110">
        <f>IF(S13=0,0,1000000*S13/TrRail_act!S28)</f>
        <v>113103.9892394924</v>
      </c>
      <c r="T48" s="110">
        <f>IF(T13=0,0,1000000*T13/TrRail_act!T28)</f>
        <v>111660.89515377708</v>
      </c>
      <c r="U48" s="110">
        <f>IF(U13=0,0,1000000*U13/TrRail_act!U28)</f>
        <v>109643.92012980119</v>
      </c>
      <c r="V48" s="110">
        <f>IF(V13=0,0,1000000*V13/TrRail_act!V28)</f>
        <v>101434.55121332516</v>
      </c>
      <c r="W48" s="110">
        <f>IF(W13=0,0,1000000*W13/TrRail_act!W28)</f>
        <v>103095.0186174976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444898.27778983943</v>
      </c>
      <c r="C49" s="84">
        <f>IF(C14=0,0,1000000*C14/TrRail_act!C29)</f>
        <v>370771.12500706461</v>
      </c>
      <c r="D49" s="84">
        <f>IF(D14=0,0,1000000*D14/TrRail_act!D29)</f>
        <v>344681.9886315114</v>
      </c>
      <c r="E49" s="84">
        <f>IF(E14=0,0,1000000*E14/TrRail_act!E29)</f>
        <v>341941.23227982107</v>
      </c>
      <c r="F49" s="84">
        <f>IF(F14=0,0,1000000*F14/TrRail_act!F29)</f>
        <v>351703.77194978384</v>
      </c>
      <c r="G49" s="84">
        <f>IF(G14=0,0,1000000*G14/TrRail_act!G29)</f>
        <v>357608.43335182912</v>
      </c>
      <c r="H49" s="84">
        <f>IF(H14=0,0,1000000*H14/TrRail_act!H29)</f>
        <v>350824.25611689239</v>
      </c>
      <c r="I49" s="84">
        <f>IF(I14=0,0,1000000*I14/TrRail_act!I29)</f>
        <v>340940.40250054584</v>
      </c>
      <c r="J49" s="84">
        <f>IF(J14=0,0,1000000*J14/TrRail_act!J29)</f>
        <v>329577.43793027097</v>
      </c>
      <c r="K49" s="84">
        <f>IF(K14=0,0,1000000*K14/TrRail_act!K29)</f>
        <v>317659.4487594486</v>
      </c>
      <c r="L49" s="84">
        <f>IF(L14=0,0,1000000*L14/TrRail_act!L29)</f>
        <v>307418.47020181536</v>
      </c>
      <c r="M49" s="84">
        <f>IF(M14=0,0,1000000*M14/TrRail_act!M29)</f>
        <v>294686.8518116069</v>
      </c>
      <c r="N49" s="84">
        <f>IF(N14=0,0,1000000*N14/TrRail_act!N29)</f>
        <v>287680.20557719137</v>
      </c>
      <c r="O49" s="84">
        <f>IF(O14=0,0,1000000*O14/TrRail_act!O29)</f>
        <v>275488.24304153625</v>
      </c>
      <c r="P49" s="84">
        <f>IF(P14=0,0,1000000*P14/TrRail_act!P29)</f>
        <v>263909.4582914107</v>
      </c>
      <c r="Q49" s="84">
        <f>IF(Q14=0,0,1000000*Q14/TrRail_act!Q29)</f>
        <v>256335.01521772012</v>
      </c>
      <c r="R49" s="84">
        <f>IF(R14=0,0,1000000*R14/TrRail_act!R29)</f>
        <v>250797.19039863159</v>
      </c>
      <c r="S49" s="84">
        <f>IF(S14=0,0,1000000*S14/TrRail_act!S29)</f>
        <v>246722.47683361013</v>
      </c>
      <c r="T49" s="84">
        <f>IF(T14=0,0,1000000*T14/TrRail_act!T29)</f>
        <v>243709.94969437658</v>
      </c>
      <c r="U49" s="84">
        <f>IF(U14=0,0,1000000*U14/TrRail_act!U29)</f>
        <v>241474.71476453796</v>
      </c>
      <c r="V49" s="84">
        <f>IF(V14=0,0,1000000*V14/TrRail_act!V29)</f>
        <v>239811.75607558811</v>
      </c>
      <c r="W49" s="84">
        <f>IF(W14=0,0,1000000*W14/TrRail_act!W29)</f>
        <v>238572.05102832537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219278.49878554203</v>
      </c>
      <c r="C50" s="84">
        <f>IF(C15=0,0,1000000*C15/TrRail_act!C30)</f>
        <v>215778.22397582507</v>
      </c>
      <c r="D50" s="84">
        <f>IF(D15=0,0,1000000*D15/TrRail_act!D30)</f>
        <v>213098.42127212472</v>
      </c>
      <c r="E50" s="84">
        <f>IF(E15=0,0,1000000*E15/TrRail_act!E30)</f>
        <v>210455.6520778788</v>
      </c>
      <c r="F50" s="84">
        <f>IF(F15=0,0,1000000*F15/TrRail_act!F30)</f>
        <v>197181.38306039639</v>
      </c>
      <c r="G50" s="84">
        <f>IF(G15=0,0,1000000*G15/TrRail_act!G30)</f>
        <v>202437.07825425893</v>
      </c>
      <c r="H50" s="84">
        <f>IF(H15=0,0,1000000*H15/TrRail_act!H30)</f>
        <v>198385.52735862453</v>
      </c>
      <c r="I50" s="84">
        <f>IF(I15=0,0,1000000*I15/TrRail_act!I30)</f>
        <v>198854.45628574889</v>
      </c>
      <c r="J50" s="84">
        <f>IF(J15=0,0,1000000*J15/TrRail_act!J30)</f>
        <v>185018.46901842696</v>
      </c>
      <c r="K50" s="84">
        <f>IF(K15=0,0,1000000*K15/TrRail_act!K30)</f>
        <v>182659.17515535105</v>
      </c>
      <c r="L50" s="84">
        <f>IF(L15=0,0,1000000*L15/TrRail_act!L30)</f>
        <v>176007.62159832992</v>
      </c>
      <c r="M50" s="84">
        <f>IF(M15=0,0,1000000*M15/TrRail_act!M30)</f>
        <v>141575.14161554383</v>
      </c>
      <c r="N50" s="84">
        <f>IF(N15=0,0,1000000*N15/TrRail_act!N30)</f>
        <v>145168.94951358123</v>
      </c>
      <c r="O50" s="84">
        <f>IF(O15=0,0,1000000*O15/TrRail_act!O30)</f>
        <v>101546.11597656233</v>
      </c>
      <c r="P50" s="84">
        <f>IF(P15=0,0,1000000*P15/TrRail_act!P30)</f>
        <v>111018.88557308445</v>
      </c>
      <c r="Q50" s="84">
        <f>IF(Q15=0,0,1000000*Q15/TrRail_act!Q30)</f>
        <v>106020.44292698115</v>
      </c>
      <c r="R50" s="84">
        <f>IF(R15=0,0,1000000*R15/TrRail_act!R30)</f>
        <v>102419.86027025565</v>
      </c>
      <c r="S50" s="84">
        <f>IF(S15=0,0,1000000*S15/TrRail_act!S30)</f>
        <v>99799.899117972513</v>
      </c>
      <c r="T50" s="84">
        <f>IF(T15=0,0,1000000*T15/TrRail_act!T30)</f>
        <v>97879.004649583294</v>
      </c>
      <c r="U50" s="84">
        <f>IF(U15=0,0,1000000*U15/TrRail_act!U30)</f>
        <v>96462.635664392248</v>
      </c>
      <c r="V50" s="84">
        <f>IF(V15=0,0,1000000*V15/TrRail_act!V30)</f>
        <v>90355.17661320811</v>
      </c>
      <c r="W50" s="84">
        <f>IF(W15=0,0,1000000*W15/TrRail_act!W30)</f>
        <v>94634.708768919896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998632.94256985059</v>
      </c>
      <c r="G51" s="113">
        <f>IF(G16=0,0,1000000*G16/TrRail_act!G31)</f>
        <v>985542.1226589263</v>
      </c>
      <c r="H51" s="113">
        <f>IF(H16=0,0,1000000*H16/TrRail_act!H31)</f>
        <v>972446.77221909433</v>
      </c>
      <c r="I51" s="113">
        <f>IF(I16=0,0,1000000*I16/TrRail_act!I31)</f>
        <v>962225.73988752579</v>
      </c>
      <c r="J51" s="113">
        <f>IF(J16=0,0,1000000*J16/TrRail_act!J31)</f>
        <v>948205.24471141642</v>
      </c>
      <c r="K51" s="113">
        <f>IF(K16=0,0,1000000*K16/TrRail_act!K31)</f>
        <v>939055.4402889756</v>
      </c>
      <c r="L51" s="113">
        <f>IF(L16=0,0,1000000*L16/TrRail_act!L31)</f>
        <v>930851.5801992208</v>
      </c>
      <c r="M51" s="113">
        <f>IF(M16=0,0,1000000*M16/TrRail_act!M31)</f>
        <v>919376.51022333011</v>
      </c>
      <c r="N51" s="113">
        <f>IF(N16=0,0,1000000*N16/TrRail_act!N31)</f>
        <v>904513.55858925765</v>
      </c>
      <c r="O51" s="113">
        <f>IF(O16=0,0,1000000*O16/TrRail_act!O31)</f>
        <v>891332.07906002179</v>
      </c>
      <c r="P51" s="113">
        <f>IF(P16=0,0,1000000*P16/TrRail_act!P31)</f>
        <v>881017.53916705458</v>
      </c>
      <c r="Q51" s="113">
        <f>IF(Q16=0,0,1000000*Q16/TrRail_act!Q31)</f>
        <v>867046.77540920326</v>
      </c>
      <c r="R51" s="113">
        <f>IF(R16=0,0,1000000*R16/TrRail_act!R31)</f>
        <v>876613.62802613014</v>
      </c>
      <c r="S51" s="113">
        <f>IF(S16=0,0,1000000*S16/TrRail_act!S31)</f>
        <v>871039.74339165562</v>
      </c>
      <c r="T51" s="113">
        <f>IF(T16=0,0,1000000*T16/TrRail_act!T31)</f>
        <v>840814.06044857425</v>
      </c>
      <c r="U51" s="113">
        <f>IF(U16=0,0,1000000*U16/TrRail_act!U31)</f>
        <v>851330.70121708757</v>
      </c>
      <c r="V51" s="113">
        <f>IF(V16=0,0,1000000*V16/TrRail_act!V31)</f>
        <v>493108.56299329241</v>
      </c>
      <c r="W51" s="113">
        <f>IF(W16=0,0,1000000*W16/TrRail_act!W31)</f>
        <v>601904.86617859302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746769.7309007931</v>
      </c>
      <c r="C52" s="28">
        <f>IF(C17=0,0,1000000*C17/TrRail_act!C32)</f>
        <v>617285.85427142854</v>
      </c>
      <c r="D52" s="28">
        <f>IF(D17=0,0,1000000*D17/TrRail_act!D32)</f>
        <v>575290.75410991162</v>
      </c>
      <c r="E52" s="28">
        <f>IF(E17=0,0,1000000*E17/TrRail_act!E32)</f>
        <v>535189.28861782991</v>
      </c>
      <c r="F52" s="28">
        <f>IF(F17=0,0,1000000*F17/TrRail_act!F32)</f>
        <v>534287.15887197631</v>
      </c>
      <c r="G52" s="28">
        <f>IF(G17=0,0,1000000*G17/TrRail_act!G32)</f>
        <v>540519.03163019521</v>
      </c>
      <c r="H52" s="28">
        <f>IF(H17=0,0,1000000*H17/TrRail_act!H32)</f>
        <v>522821.80661122821</v>
      </c>
      <c r="I52" s="28">
        <f>IF(I17=0,0,1000000*I17/TrRail_act!I32)</f>
        <v>529531.23945604591</v>
      </c>
      <c r="J52" s="28">
        <f>IF(J17=0,0,1000000*J17/TrRail_act!J32)</f>
        <v>486592.70193749724</v>
      </c>
      <c r="K52" s="28">
        <f>IF(K17=0,0,1000000*K17/TrRail_act!K32)</f>
        <v>435307.95720338472</v>
      </c>
      <c r="L52" s="28">
        <f>IF(L17=0,0,1000000*L17/TrRail_act!L32)</f>
        <v>431455.49954911368</v>
      </c>
      <c r="M52" s="28">
        <f>IF(M17=0,0,1000000*M17/TrRail_act!M32)</f>
        <v>402922.77410023514</v>
      </c>
      <c r="N52" s="28">
        <f>IF(N17=0,0,1000000*N17/TrRail_act!N32)</f>
        <v>379266.13743855496</v>
      </c>
      <c r="O52" s="28">
        <f>IF(O17=0,0,1000000*O17/TrRail_act!O32)</f>
        <v>329726.94930383196</v>
      </c>
      <c r="P52" s="28">
        <f>IF(P17=0,0,1000000*P17/TrRail_act!P32)</f>
        <v>341796.33456083445</v>
      </c>
      <c r="Q52" s="28">
        <f>IF(Q17=0,0,1000000*Q17/TrRail_act!Q32)</f>
        <v>330955.76343141776</v>
      </c>
      <c r="R52" s="28">
        <f>IF(R17=0,0,1000000*R17/TrRail_act!R32)</f>
        <v>288473.23708120192</v>
      </c>
      <c r="S52" s="28">
        <f>IF(S17=0,0,1000000*S17/TrRail_act!S32)</f>
        <v>310852.88711668563</v>
      </c>
      <c r="T52" s="28">
        <f>IF(T17=0,0,1000000*T17/TrRail_act!T32)</f>
        <v>304804.93005257397</v>
      </c>
      <c r="U52" s="28">
        <f>IF(U17=0,0,1000000*U17/TrRail_act!U32)</f>
        <v>296080.29251659621</v>
      </c>
      <c r="V52" s="28">
        <f>IF(V17=0,0,1000000*V17/TrRail_act!V32)</f>
        <v>330910.11209147592</v>
      </c>
      <c r="W52" s="28">
        <f>IF(W17=0,0,1000000*W17/TrRail_act!W32)</f>
        <v>346248.88908951054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1070686.8335612814</v>
      </c>
      <c r="C53" s="84">
        <f>IF(C18=0,0,1000000*C18/TrRail_act!C33)</f>
        <v>892011.67159869464</v>
      </c>
      <c r="D53" s="84">
        <f>IF(D18=0,0,1000000*D18/TrRail_act!D33)</f>
        <v>866235.36127689027</v>
      </c>
      <c r="E53" s="84">
        <f>IF(E18=0,0,1000000*E18/TrRail_act!E33)</f>
        <v>804413.36030115257</v>
      </c>
      <c r="F53" s="84">
        <f>IF(F18=0,0,1000000*F18/TrRail_act!F33)</f>
        <v>920037.88169374154</v>
      </c>
      <c r="G53" s="84">
        <f>IF(G18=0,0,1000000*G18/TrRail_act!G33)</f>
        <v>1023343.7290881986</v>
      </c>
      <c r="H53" s="84">
        <f>IF(H18=0,0,1000000*H18/TrRail_act!H33)</f>
        <v>1016321.7006979036</v>
      </c>
      <c r="I53" s="84">
        <f>IF(I18=0,0,1000000*I18/TrRail_act!I33)</f>
        <v>992263.02373937063</v>
      </c>
      <c r="J53" s="84">
        <f>IF(J18=0,0,1000000*J18/TrRail_act!J33)</f>
        <v>968287.75684736564</v>
      </c>
      <c r="K53" s="84">
        <f>IF(K18=0,0,1000000*K18/TrRail_act!K33)</f>
        <v>842145.25830352632</v>
      </c>
      <c r="L53" s="84">
        <f>IF(L18=0,0,1000000*L18/TrRail_act!L33)</f>
        <v>925197.02375411103</v>
      </c>
      <c r="M53" s="84">
        <f>IF(M18=0,0,1000000*M18/TrRail_act!M33)</f>
        <v>902665.66164497635</v>
      </c>
      <c r="N53" s="84">
        <f>IF(N18=0,0,1000000*N18/TrRail_act!N33)</f>
        <v>882175.66969536897</v>
      </c>
      <c r="O53" s="84">
        <f>IF(O18=0,0,1000000*O18/TrRail_act!O33)</f>
        <v>868112.01201431069</v>
      </c>
      <c r="P53" s="84">
        <f>IF(P18=0,0,1000000*P18/TrRail_act!P33)</f>
        <v>850196.03206760355</v>
      </c>
      <c r="Q53" s="84">
        <f>IF(Q18=0,0,1000000*Q18/TrRail_act!Q33)</f>
        <v>834044.04605710716</v>
      </c>
      <c r="R53" s="84">
        <f>IF(R18=0,0,1000000*R18/TrRail_act!R33)</f>
        <v>815561.68470485776</v>
      </c>
      <c r="S53" s="84">
        <f>IF(S18=0,0,1000000*S18/TrRail_act!S33)</f>
        <v>805400.0538734718</v>
      </c>
      <c r="T53" s="84">
        <f>IF(T18=0,0,1000000*T18/TrRail_act!T33)</f>
        <v>796062.21327499615</v>
      </c>
      <c r="U53" s="84">
        <f>IF(U18=0,0,1000000*U18/TrRail_act!U33)</f>
        <v>789130.0019241299</v>
      </c>
      <c r="V53" s="84">
        <f>IF(V18=0,0,1000000*V18/TrRail_act!V33)</f>
        <v>783970.34285579436</v>
      </c>
      <c r="W53" s="84">
        <f>IF(W18=0,0,1000000*W18/TrRail_act!W33)</f>
        <v>780122.90165189106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405244.58861180639</v>
      </c>
      <c r="C54" s="86">
        <f>IF(C19=0,0,1000000*C19/TrRail_act!C34)</f>
        <v>407351.62048876099</v>
      </c>
      <c r="D54" s="86">
        <f>IF(D19=0,0,1000000*D19/TrRail_act!D34)</f>
        <v>398913.06264697982</v>
      </c>
      <c r="E54" s="86">
        <f>IF(E19=0,0,1000000*E19/TrRail_act!E34)</f>
        <v>389904.3631373563</v>
      </c>
      <c r="F54" s="86">
        <f>IF(F19=0,0,1000000*F19/TrRail_act!F34)</f>
        <v>382670.01118801616</v>
      </c>
      <c r="G54" s="86">
        <f>IF(G19=0,0,1000000*G19/TrRail_act!G34)</f>
        <v>372127.6779848382</v>
      </c>
      <c r="H54" s="86">
        <f>IF(H19=0,0,1000000*H19/TrRail_act!H34)</f>
        <v>368120.33629400801</v>
      </c>
      <c r="I54" s="86">
        <f>IF(I19=0,0,1000000*I19/TrRail_act!I34)</f>
        <v>358834.76954162045</v>
      </c>
      <c r="J54" s="86">
        <f>IF(J19=0,0,1000000*J19/TrRail_act!J34)</f>
        <v>344088.03800938226</v>
      </c>
      <c r="K54" s="86">
        <f>IF(K19=0,0,1000000*K19/TrRail_act!K34)</f>
        <v>332871.88788067095</v>
      </c>
      <c r="L54" s="86">
        <f>IF(L19=0,0,1000000*L19/TrRail_act!L34)</f>
        <v>324089.23739516496</v>
      </c>
      <c r="M54" s="86">
        <f>IF(M19=0,0,1000000*M19/TrRail_act!M34)</f>
        <v>288948.11559872172</v>
      </c>
      <c r="N54" s="86">
        <f>IF(N19=0,0,1000000*N19/TrRail_act!N34)</f>
        <v>284859.73950292618</v>
      </c>
      <c r="O54" s="86">
        <f>IF(O19=0,0,1000000*O19/TrRail_act!O34)</f>
        <v>217714.75988577653</v>
      </c>
      <c r="P54" s="86">
        <f>IF(P19=0,0,1000000*P19/TrRail_act!P34)</f>
        <v>230386.04772775786</v>
      </c>
      <c r="Q54" s="86">
        <f>IF(Q19=0,0,1000000*Q19/TrRail_act!Q34)</f>
        <v>220038.7896515035</v>
      </c>
      <c r="R54" s="86">
        <f>IF(R19=0,0,1000000*R19/TrRail_act!R34)</f>
        <v>216836.17203830893</v>
      </c>
      <c r="S54" s="86">
        <f>IF(S19=0,0,1000000*S19/TrRail_act!S34)</f>
        <v>200340.86302402735</v>
      </c>
      <c r="T54" s="86">
        <f>IF(T19=0,0,1000000*T19/TrRail_act!T34)</f>
        <v>212703.37063040628</v>
      </c>
      <c r="U54" s="86">
        <f>IF(U19=0,0,1000000*U19/TrRail_act!U34)</f>
        <v>184807.07423543712</v>
      </c>
      <c r="V54" s="86">
        <f>IF(V19=0,0,1000000*V19/TrRail_act!V34)</f>
        <v>210413.38970696737</v>
      </c>
      <c r="W54" s="86">
        <f>IF(W19=0,0,1000000*W19/TrRail_act!W34)</f>
        <v>209682.56152541706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0.83196163197383133</v>
      </c>
      <c r="C57" s="31">
        <f t="shared" ref="C57:V57" si="17">IF(C11=0,0,C11/C$10)</f>
        <v>0.82263178940206272</v>
      </c>
      <c r="D57" s="31">
        <f t="shared" si="17"/>
        <v>0.82503424393758928</v>
      </c>
      <c r="E57" s="31">
        <f t="shared" si="17"/>
        <v>0.83966641131405217</v>
      </c>
      <c r="F57" s="31">
        <f t="shared" si="17"/>
        <v>0.82803098128167996</v>
      </c>
      <c r="G57" s="31">
        <f t="shared" si="17"/>
        <v>0.82167203377356857</v>
      </c>
      <c r="H57" s="31">
        <f t="shared" si="17"/>
        <v>0.83075774251247148</v>
      </c>
      <c r="I57" s="31">
        <f t="shared" si="17"/>
        <v>0.82335202784096095</v>
      </c>
      <c r="J57" s="31">
        <f t="shared" si="17"/>
        <v>0.83249468648574954</v>
      </c>
      <c r="K57" s="31">
        <f t="shared" si="17"/>
        <v>0.84775932218029504</v>
      </c>
      <c r="L57" s="31">
        <f t="shared" si="17"/>
        <v>0.84068206664892564</v>
      </c>
      <c r="M57" s="31">
        <f t="shared" si="17"/>
        <v>0.83095443556600679</v>
      </c>
      <c r="N57" s="31">
        <f t="shared" si="17"/>
        <v>0.82515465688569556</v>
      </c>
      <c r="O57" s="31">
        <f t="shared" si="17"/>
        <v>0.8161684780104369</v>
      </c>
      <c r="P57" s="31">
        <f t="shared" si="17"/>
        <v>0.80953097692117149</v>
      </c>
      <c r="Q57" s="31">
        <f t="shared" si="17"/>
        <v>0.79985499156603868</v>
      </c>
      <c r="R57" s="31">
        <f t="shared" si="17"/>
        <v>0.84640715636081965</v>
      </c>
      <c r="S57" s="31">
        <f t="shared" si="17"/>
        <v>0.84784026099654375</v>
      </c>
      <c r="T57" s="31">
        <f t="shared" si="17"/>
        <v>0.85321906793465863</v>
      </c>
      <c r="U57" s="31">
        <f t="shared" si="17"/>
        <v>0.85962050581045657</v>
      </c>
      <c r="V57" s="31">
        <f t="shared" si="17"/>
        <v>0.82308071985023046</v>
      </c>
      <c r="W57" s="31">
        <f t="shared" ref="W57" si="18">IF(W11=0,0,W11/W$10)</f>
        <v>0.81578834819852364</v>
      </c>
      <c r="DA57" s="173"/>
    </row>
    <row r="58" spans="1:105" ht="11.45" customHeight="1" x14ac:dyDescent="0.25">
      <c r="A58" s="107" t="s">
        <v>23</v>
      </c>
      <c r="B58" s="123">
        <f t="shared" si="14"/>
        <v>3.006376117601427E-2</v>
      </c>
      <c r="C58" s="123">
        <f t="shared" ref="C58:V58" si="19">IF(C12=0,0,C12/C$10)</f>
        <v>3.6592936257497918E-2</v>
      </c>
      <c r="D58" s="123">
        <f t="shared" si="19"/>
        <v>3.8093108447282892E-2</v>
      </c>
      <c r="E58" s="123">
        <f t="shared" si="19"/>
        <v>5.5252278164343471E-2</v>
      </c>
      <c r="F58" s="123">
        <f t="shared" si="19"/>
        <v>5.8992265437990299E-2</v>
      </c>
      <c r="G58" s="123">
        <f t="shared" si="19"/>
        <v>6.1644312930520417E-2</v>
      </c>
      <c r="H58" s="123">
        <f t="shared" si="19"/>
        <v>7.1619829091273721E-2</v>
      </c>
      <c r="I58" s="123">
        <f t="shared" si="19"/>
        <v>7.43328061849826E-2</v>
      </c>
      <c r="J58" s="123">
        <f t="shared" si="19"/>
        <v>7.7652284134316768E-2</v>
      </c>
      <c r="K58" s="123">
        <f t="shared" si="19"/>
        <v>8.4216821869500871E-2</v>
      </c>
      <c r="L58" s="123">
        <f t="shared" si="19"/>
        <v>9.097625223211056E-2</v>
      </c>
      <c r="M58" s="123">
        <f t="shared" si="19"/>
        <v>0.10684074124370815</v>
      </c>
      <c r="N58" s="123">
        <f t="shared" si="19"/>
        <v>0.10371083927608164</v>
      </c>
      <c r="O58" s="123">
        <f t="shared" si="19"/>
        <v>0.1209007437549237</v>
      </c>
      <c r="P58" s="123">
        <f t="shared" si="19"/>
        <v>0.12056568688886229</v>
      </c>
      <c r="Q58" s="123">
        <f t="shared" si="19"/>
        <v>0.12364121441415162</v>
      </c>
      <c r="R58" s="123">
        <f t="shared" si="19"/>
        <v>0.1006179090804709</v>
      </c>
      <c r="S58" s="123">
        <f t="shared" si="19"/>
        <v>9.3477915126387146E-2</v>
      </c>
      <c r="T58" s="123">
        <f t="shared" si="19"/>
        <v>9.7318923241012628E-2</v>
      </c>
      <c r="U58" s="123">
        <f t="shared" si="19"/>
        <v>0.10467700824503519</v>
      </c>
      <c r="V58" s="123">
        <f t="shared" si="19"/>
        <v>0.10846455256284104</v>
      </c>
      <c r="W58" s="123">
        <f t="shared" ref="W58" si="20">IF(W12=0,0,W12/W$10)</f>
        <v>9.3209826660548861E-2</v>
      </c>
      <c r="DA58" s="203"/>
    </row>
    <row r="59" spans="1:105" ht="11.45" customHeight="1" x14ac:dyDescent="0.25">
      <c r="A59" s="109" t="s">
        <v>24</v>
      </c>
      <c r="B59" s="124">
        <f t="shared" si="14"/>
        <v>0.80189787079781705</v>
      </c>
      <c r="C59" s="124">
        <f t="shared" ref="C59:V59" si="21">IF(C13=0,0,C13/C$10)</f>
        <v>0.7860388531445649</v>
      </c>
      <c r="D59" s="124">
        <f t="shared" si="21"/>
        <v>0.78694113549030642</v>
      </c>
      <c r="E59" s="124">
        <f t="shared" si="21"/>
        <v>0.78441413314970876</v>
      </c>
      <c r="F59" s="124">
        <f t="shared" si="21"/>
        <v>0.68870287544925846</v>
      </c>
      <c r="G59" s="124">
        <f t="shared" si="21"/>
        <v>0.6690727313054482</v>
      </c>
      <c r="H59" s="124">
        <f t="shared" si="21"/>
        <v>0.66663109767837414</v>
      </c>
      <c r="I59" s="124">
        <f t="shared" si="21"/>
        <v>0.65194457889347379</v>
      </c>
      <c r="J59" s="124">
        <f t="shared" si="21"/>
        <v>0.65631071231021243</v>
      </c>
      <c r="K59" s="124">
        <f t="shared" si="21"/>
        <v>0.65495621018516115</v>
      </c>
      <c r="L59" s="124">
        <f t="shared" si="21"/>
        <v>0.6361567412129242</v>
      </c>
      <c r="M59" s="124">
        <f t="shared" si="21"/>
        <v>0.59028901415823187</v>
      </c>
      <c r="N59" s="124">
        <f t="shared" si="21"/>
        <v>0.57966574668456772</v>
      </c>
      <c r="O59" s="124">
        <f t="shared" si="21"/>
        <v>0.51924102802749483</v>
      </c>
      <c r="P59" s="124">
        <f t="shared" si="21"/>
        <v>0.51623501808741978</v>
      </c>
      <c r="Q59" s="124">
        <f t="shared" si="21"/>
        <v>0.50824896827630928</v>
      </c>
      <c r="R59" s="124">
        <f t="shared" si="21"/>
        <v>0.61015328374339106</v>
      </c>
      <c r="S59" s="124">
        <f t="shared" si="21"/>
        <v>0.63384983790473837</v>
      </c>
      <c r="T59" s="124">
        <f t="shared" si="21"/>
        <v>0.63933451745276582</v>
      </c>
      <c r="U59" s="124">
        <f t="shared" si="21"/>
        <v>0.63680406649565335</v>
      </c>
      <c r="V59" s="124">
        <f t="shared" si="21"/>
        <v>0.63612939152477366</v>
      </c>
      <c r="W59" s="124">
        <f t="shared" ref="W59" si="22">IF(W13=0,0,W13/W$10)</f>
        <v>0.63270294879548639</v>
      </c>
      <c r="DA59" s="176"/>
    </row>
    <row r="60" spans="1:105" ht="11.45" customHeight="1" x14ac:dyDescent="0.25">
      <c r="A60" s="111" t="s">
        <v>92</v>
      </c>
      <c r="B60" s="125">
        <f t="shared" si="14"/>
        <v>0.52819424755189803</v>
      </c>
      <c r="C60" s="125">
        <f t="shared" ref="C60:V60" si="23">IF(C14=0,0,C14/C$10)</f>
        <v>0.47439515366640861</v>
      </c>
      <c r="D60" s="125">
        <f t="shared" si="23"/>
        <v>0.40673372952798531</v>
      </c>
      <c r="E60" s="125">
        <f t="shared" si="23"/>
        <v>0.36910836201734032</v>
      </c>
      <c r="F60" s="125">
        <f t="shared" si="23"/>
        <v>0.32834299539726303</v>
      </c>
      <c r="G60" s="125">
        <f t="shared" si="23"/>
        <v>0.30201324739905844</v>
      </c>
      <c r="H60" s="125">
        <f t="shared" si="23"/>
        <v>0.2822202363069734</v>
      </c>
      <c r="I60" s="125">
        <f t="shared" si="23"/>
        <v>0.27613460910886523</v>
      </c>
      <c r="J60" s="125">
        <f t="shared" si="23"/>
        <v>0.27759616628718659</v>
      </c>
      <c r="K60" s="125">
        <f t="shared" si="23"/>
        <v>0.24878183160247236</v>
      </c>
      <c r="L60" s="125">
        <f t="shared" si="23"/>
        <v>0.22588477046774894</v>
      </c>
      <c r="M60" s="125">
        <f t="shared" si="23"/>
        <v>0.22923052290715626</v>
      </c>
      <c r="N60" s="125">
        <f t="shared" si="23"/>
        <v>0.18917837357333547</v>
      </c>
      <c r="O60" s="125">
        <f t="shared" si="23"/>
        <v>0.20695011368465974</v>
      </c>
      <c r="P60" s="125">
        <f t="shared" si="23"/>
        <v>0.2030415980429475</v>
      </c>
      <c r="Q60" s="125">
        <f t="shared" si="23"/>
        <v>0.19365248665380072</v>
      </c>
      <c r="R60" s="125">
        <f t="shared" si="23"/>
        <v>0.15017628946463155</v>
      </c>
      <c r="S60" s="125">
        <f t="shared" si="23"/>
        <v>0.12520273491450096</v>
      </c>
      <c r="T60" s="125">
        <f t="shared" si="23"/>
        <v>0.13187407072785104</v>
      </c>
      <c r="U60" s="125">
        <f t="shared" si="23"/>
        <v>0.12748130147035891</v>
      </c>
      <c r="V60" s="125">
        <f t="shared" si="23"/>
        <v>0.11148853972647421</v>
      </c>
      <c r="W60" s="125">
        <f t="shared" ref="W60" si="24">IF(W14=0,0,W14/W$10)</f>
        <v>8.6058650366144962E-2</v>
      </c>
      <c r="DA60" s="171"/>
    </row>
    <row r="61" spans="1:105" ht="11.45" customHeight="1" x14ac:dyDescent="0.25">
      <c r="A61" s="111" t="s">
        <v>93</v>
      </c>
      <c r="B61" s="125">
        <f t="shared" si="14"/>
        <v>0.27370362324591901</v>
      </c>
      <c r="C61" s="125">
        <f t="shared" ref="C61:V61" si="25">IF(C15=0,0,C15/C$10)</f>
        <v>0.31164369947815618</v>
      </c>
      <c r="D61" s="125">
        <f t="shared" si="25"/>
        <v>0.38020740596232117</v>
      </c>
      <c r="E61" s="125">
        <f t="shared" si="25"/>
        <v>0.41530577113236844</v>
      </c>
      <c r="F61" s="125">
        <f t="shared" si="25"/>
        <v>0.36035988005199543</v>
      </c>
      <c r="G61" s="125">
        <f t="shared" si="25"/>
        <v>0.36705948390638982</v>
      </c>
      <c r="H61" s="125">
        <f t="shared" si="25"/>
        <v>0.38441086137140063</v>
      </c>
      <c r="I61" s="125">
        <f t="shared" si="25"/>
        <v>0.37580996978460857</v>
      </c>
      <c r="J61" s="125">
        <f t="shared" si="25"/>
        <v>0.37871454602302579</v>
      </c>
      <c r="K61" s="125">
        <f t="shared" si="25"/>
        <v>0.40617437858268884</v>
      </c>
      <c r="L61" s="125">
        <f t="shared" si="25"/>
        <v>0.41027197074517524</v>
      </c>
      <c r="M61" s="125">
        <f t="shared" si="25"/>
        <v>0.36105849125107564</v>
      </c>
      <c r="N61" s="125">
        <f t="shared" si="25"/>
        <v>0.39048737311123233</v>
      </c>
      <c r="O61" s="125">
        <f t="shared" si="25"/>
        <v>0.31229091434283501</v>
      </c>
      <c r="P61" s="125">
        <f t="shared" si="25"/>
        <v>0.31319342004447226</v>
      </c>
      <c r="Q61" s="125">
        <f t="shared" si="25"/>
        <v>0.31459648162250858</v>
      </c>
      <c r="R61" s="125">
        <f t="shared" si="25"/>
        <v>0.45997699427875954</v>
      </c>
      <c r="S61" s="125">
        <f t="shared" si="25"/>
        <v>0.50864710299023741</v>
      </c>
      <c r="T61" s="125">
        <f t="shared" si="25"/>
        <v>0.50746044672491475</v>
      </c>
      <c r="U61" s="125">
        <f t="shared" si="25"/>
        <v>0.5093227650252945</v>
      </c>
      <c r="V61" s="125">
        <f t="shared" si="25"/>
        <v>0.52464085179829945</v>
      </c>
      <c r="W61" s="125">
        <f t="shared" ref="W61" si="26">IF(W15=0,0,W15/W$10)</f>
        <v>0.54664429842934148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8.0335840394431243E-2</v>
      </c>
      <c r="G62" s="126">
        <f t="shared" si="27"/>
        <v>9.0954989537599895E-2</v>
      </c>
      <c r="H62" s="126">
        <f t="shared" si="27"/>
        <v>9.2506815742823656E-2</v>
      </c>
      <c r="I62" s="126">
        <f t="shared" si="27"/>
        <v>9.7074642762504562E-2</v>
      </c>
      <c r="J62" s="126">
        <f t="shared" si="27"/>
        <v>9.8531690041220379E-2</v>
      </c>
      <c r="K62" s="126">
        <f t="shared" si="27"/>
        <v>0.10858629012563302</v>
      </c>
      <c r="L62" s="126">
        <f t="shared" si="27"/>
        <v>0.11354907320389089</v>
      </c>
      <c r="M62" s="126">
        <f t="shared" si="27"/>
        <v>0.13382468016406662</v>
      </c>
      <c r="N62" s="126">
        <f t="shared" si="27"/>
        <v>0.14177807092504624</v>
      </c>
      <c r="O62" s="126">
        <f t="shared" si="27"/>
        <v>0.1760267062280185</v>
      </c>
      <c r="P62" s="126">
        <f t="shared" si="27"/>
        <v>0.17273027194488941</v>
      </c>
      <c r="Q62" s="126">
        <f t="shared" si="27"/>
        <v>0.16796480887557766</v>
      </c>
      <c r="R62" s="126">
        <f t="shared" si="27"/>
        <v>0.13563596353695756</v>
      </c>
      <c r="S62" s="126">
        <f t="shared" si="27"/>
        <v>0.12051250796541825</v>
      </c>
      <c r="T62" s="126">
        <f t="shared" si="27"/>
        <v>0.11656562724088014</v>
      </c>
      <c r="U62" s="126">
        <f t="shared" si="27"/>
        <v>0.11813943106976799</v>
      </c>
      <c r="V62" s="126">
        <f t="shared" si="27"/>
        <v>7.8486775762615785E-2</v>
      </c>
      <c r="W62" s="126">
        <f t="shared" ref="W62" si="28">IF(W16=0,0,W16/W$10)</f>
        <v>8.9875572742488322E-2</v>
      </c>
      <c r="DA62" s="204"/>
    </row>
    <row r="63" spans="1:105" ht="11.45" customHeight="1" x14ac:dyDescent="0.25">
      <c r="A63" s="27" t="s">
        <v>34</v>
      </c>
      <c r="B63" s="31">
        <f t="shared" si="14"/>
        <v>0.16803836802616862</v>
      </c>
      <c r="C63" s="31">
        <f t="shared" ref="C63:V63" si="29">IF(C17=0,0,C17/C$10)</f>
        <v>0.17736821059793717</v>
      </c>
      <c r="D63" s="31">
        <f t="shared" si="29"/>
        <v>0.17496575606241072</v>
      </c>
      <c r="E63" s="31">
        <f t="shared" si="29"/>
        <v>0.16033358868594791</v>
      </c>
      <c r="F63" s="31">
        <f t="shared" si="29"/>
        <v>0.17196901871831999</v>
      </c>
      <c r="G63" s="31">
        <f t="shared" si="29"/>
        <v>0.17832796622643141</v>
      </c>
      <c r="H63" s="31">
        <f t="shared" si="29"/>
        <v>0.16924225748752858</v>
      </c>
      <c r="I63" s="31">
        <f t="shared" si="29"/>
        <v>0.1766479721590391</v>
      </c>
      <c r="J63" s="31">
        <f t="shared" si="29"/>
        <v>0.16750531351425049</v>
      </c>
      <c r="K63" s="31">
        <f t="shared" si="29"/>
        <v>0.15224067781970493</v>
      </c>
      <c r="L63" s="31">
        <f t="shared" si="29"/>
        <v>0.15931793335107444</v>
      </c>
      <c r="M63" s="31">
        <f t="shared" si="29"/>
        <v>0.16904556443399316</v>
      </c>
      <c r="N63" s="31">
        <f t="shared" si="29"/>
        <v>0.17484534311430441</v>
      </c>
      <c r="O63" s="31">
        <f t="shared" si="29"/>
        <v>0.1838315219895631</v>
      </c>
      <c r="P63" s="31">
        <f t="shared" si="29"/>
        <v>0.19046902307882849</v>
      </c>
      <c r="Q63" s="31">
        <f t="shared" si="29"/>
        <v>0.20014500843396144</v>
      </c>
      <c r="R63" s="31">
        <f t="shared" si="29"/>
        <v>0.15359284363918041</v>
      </c>
      <c r="S63" s="31">
        <f t="shared" si="29"/>
        <v>0.15215973900345617</v>
      </c>
      <c r="T63" s="31">
        <f t="shared" si="29"/>
        <v>0.14678093206534135</v>
      </c>
      <c r="U63" s="31">
        <f t="shared" si="29"/>
        <v>0.14037949418954349</v>
      </c>
      <c r="V63" s="31">
        <f t="shared" si="29"/>
        <v>0.17691928014976954</v>
      </c>
      <c r="W63" s="31">
        <f t="shared" ref="W63" si="30">IF(W17=0,0,W17/W$10)</f>
        <v>0.18421165180147647</v>
      </c>
      <c r="DA63" s="173"/>
    </row>
    <row r="64" spans="1:105" ht="11.45" customHeight="1" x14ac:dyDescent="0.25">
      <c r="A64" s="83" t="s">
        <v>92</v>
      </c>
      <c r="B64" s="125">
        <f t="shared" si="14"/>
        <v>0.12365068418069568</v>
      </c>
      <c r="C64" s="125">
        <f t="shared" ref="C64:V64" si="31">IF(C18=0,0,C18/C$10)</f>
        <v>0.11102123072440243</v>
      </c>
      <c r="D64" s="125">
        <f t="shared" si="31"/>
        <v>9.9432583084358914E-2</v>
      </c>
      <c r="E64" s="125">
        <f t="shared" si="31"/>
        <v>8.4466202443903085E-2</v>
      </c>
      <c r="F64" s="125">
        <f t="shared" si="31"/>
        <v>8.3552185058391501E-2</v>
      </c>
      <c r="G64" s="125">
        <f t="shared" si="31"/>
        <v>8.7302100063689186E-2</v>
      </c>
      <c r="H64" s="125">
        <f t="shared" si="31"/>
        <v>7.8518286873176205E-2</v>
      </c>
      <c r="I64" s="125">
        <f t="shared" si="31"/>
        <v>8.9201259482524511E-2</v>
      </c>
      <c r="J64" s="125">
        <f t="shared" si="31"/>
        <v>7.6097948209377139E-2</v>
      </c>
      <c r="K64" s="125">
        <f t="shared" si="31"/>
        <v>5.9241091033630781E-2</v>
      </c>
      <c r="L64" s="125">
        <f t="shared" si="31"/>
        <v>6.1020865379730026E-2</v>
      </c>
      <c r="M64" s="125">
        <f t="shared" si="31"/>
        <v>7.0331300166817962E-2</v>
      </c>
      <c r="N64" s="125">
        <f t="shared" si="31"/>
        <v>6.4278007638457216E-2</v>
      </c>
      <c r="O64" s="125">
        <f t="shared" si="31"/>
        <v>8.3354277678441849E-2</v>
      </c>
      <c r="P64" s="125">
        <f t="shared" si="31"/>
        <v>8.5161391987068527E-2</v>
      </c>
      <c r="Q64" s="125">
        <f t="shared" si="31"/>
        <v>9.1114967404428648E-2</v>
      </c>
      <c r="R64" s="125">
        <f t="shared" si="31"/>
        <v>5.1955590775519915E-2</v>
      </c>
      <c r="S64" s="125">
        <f t="shared" si="31"/>
        <v>7.2005915210085827E-2</v>
      </c>
      <c r="T64" s="125">
        <f t="shared" si="31"/>
        <v>6.0523754622951835E-2</v>
      </c>
      <c r="U64" s="125">
        <f t="shared" si="31"/>
        <v>6.8891288055514435E-2</v>
      </c>
      <c r="V64" s="125">
        <f t="shared" si="31"/>
        <v>8.8056910422946985E-2</v>
      </c>
      <c r="W64" s="125">
        <f t="shared" ref="W64" si="32">IF(W18=0,0,W18/W$10)</f>
        <v>9.936310087456672E-2</v>
      </c>
      <c r="DA64" s="171"/>
    </row>
    <row r="65" spans="1:105" ht="11.45" customHeight="1" x14ac:dyDescent="0.25">
      <c r="A65" s="85" t="s">
        <v>93</v>
      </c>
      <c r="B65" s="127">
        <f t="shared" si="14"/>
        <v>4.438768384547296E-2</v>
      </c>
      <c r="C65" s="127">
        <f t="shared" ref="C65:V65" si="33">IF(C19=0,0,C19/C$10)</f>
        <v>6.6346979873534745E-2</v>
      </c>
      <c r="D65" s="127">
        <f t="shared" si="33"/>
        <v>7.5533172978051802E-2</v>
      </c>
      <c r="E65" s="127">
        <f t="shared" si="33"/>
        <v>7.5867386242044824E-2</v>
      </c>
      <c r="F65" s="127">
        <f t="shared" si="33"/>
        <v>8.8416833659928473E-2</v>
      </c>
      <c r="G65" s="127">
        <f t="shared" si="33"/>
        <v>9.1025866162742219E-2</v>
      </c>
      <c r="H65" s="127">
        <f t="shared" si="33"/>
        <v>9.0723970614352376E-2</v>
      </c>
      <c r="I65" s="127">
        <f t="shared" si="33"/>
        <v>8.744671267651459E-2</v>
      </c>
      <c r="J65" s="127">
        <f t="shared" si="33"/>
        <v>9.1407365304873325E-2</v>
      </c>
      <c r="K65" s="127">
        <f t="shared" si="33"/>
        <v>9.2999586786074159E-2</v>
      </c>
      <c r="L65" s="127">
        <f t="shared" si="33"/>
        <v>9.829706797134441E-2</v>
      </c>
      <c r="M65" s="127">
        <f t="shared" si="33"/>
        <v>9.8714264267175222E-2</v>
      </c>
      <c r="N65" s="127">
        <f t="shared" si="33"/>
        <v>0.11056733547584718</v>
      </c>
      <c r="O65" s="127">
        <f t="shared" si="33"/>
        <v>0.10047724431112125</v>
      </c>
      <c r="P65" s="127">
        <f t="shared" si="33"/>
        <v>0.10530763109175995</v>
      </c>
      <c r="Q65" s="127">
        <f t="shared" si="33"/>
        <v>0.10903004102953277</v>
      </c>
      <c r="R65" s="127">
        <f t="shared" si="33"/>
        <v>0.1016372528636605</v>
      </c>
      <c r="S65" s="127">
        <f t="shared" si="33"/>
        <v>8.0153823793370327E-2</v>
      </c>
      <c r="T65" s="127">
        <f t="shared" si="33"/>
        <v>8.6257177442389532E-2</v>
      </c>
      <c r="U65" s="127">
        <f t="shared" si="33"/>
        <v>7.148820613402905E-2</v>
      </c>
      <c r="V65" s="127">
        <f t="shared" si="33"/>
        <v>8.8862369726822557E-2</v>
      </c>
      <c r="W65" s="127">
        <f t="shared" ref="W65" si="34">IF(W19=0,0,W19/W$10)</f>
        <v>8.4848550926909738E-2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179.80210872000004</v>
      </c>
      <c r="C4" s="26">
        <f t="shared" ref="C4:W4" si="0">SUM(C5:C6)</f>
        <v>134.85171492000001</v>
      </c>
      <c r="D4" s="26">
        <f t="shared" si="0"/>
        <v>112.37638464000001</v>
      </c>
      <c r="E4" s="26">
        <f t="shared" si="0"/>
        <v>96.322501079999995</v>
      </c>
      <c r="F4" s="26">
        <f t="shared" si="0"/>
        <v>86.690331000000015</v>
      </c>
      <c r="G4" s="26">
        <f t="shared" si="0"/>
        <v>80.268884280000009</v>
      </c>
      <c r="H4" s="26">
        <f t="shared" si="0"/>
        <v>76.471288919999992</v>
      </c>
      <c r="I4" s="26">
        <f t="shared" si="0"/>
        <v>76.471288919999992</v>
      </c>
      <c r="J4" s="26">
        <f t="shared" si="0"/>
        <v>73.284840720000005</v>
      </c>
      <c r="K4" s="26">
        <f t="shared" si="0"/>
        <v>57.353400000000015</v>
      </c>
      <c r="L4" s="26">
        <f t="shared" si="0"/>
        <v>50.980770360000015</v>
      </c>
      <c r="M4" s="26">
        <f t="shared" si="0"/>
        <v>44.608140720000016</v>
      </c>
      <c r="N4" s="26">
        <f t="shared" si="0"/>
        <v>35.049329639999996</v>
      </c>
      <c r="O4" s="26">
        <f t="shared" si="0"/>
        <v>31.862881439999988</v>
      </c>
      <c r="P4" s="26">
        <f t="shared" si="0"/>
        <v>31.862881439999988</v>
      </c>
      <c r="Q4" s="26">
        <f t="shared" si="0"/>
        <v>31.862881439999988</v>
      </c>
      <c r="R4" s="26">
        <f t="shared" si="0"/>
        <v>28.6767</v>
      </c>
      <c r="S4" s="26">
        <f t="shared" si="0"/>
        <v>31.267206359999992</v>
      </c>
      <c r="T4" s="26">
        <f t="shared" si="0"/>
        <v>30.464258759999996</v>
      </c>
      <c r="U4" s="26">
        <f t="shared" si="0"/>
        <v>31.063134959999999</v>
      </c>
      <c r="V4" s="26">
        <f t="shared" si="0"/>
        <v>27.52002864</v>
      </c>
      <c r="W4" s="26">
        <f t="shared" si="0"/>
        <v>27.258870600000002</v>
      </c>
      <c r="DA4" s="202" t="s">
        <v>1135</v>
      </c>
    </row>
    <row r="5" spans="1:105" ht="11.45" customHeight="1" x14ac:dyDescent="0.25">
      <c r="A5" s="107" t="s">
        <v>92</v>
      </c>
      <c r="B5" s="129">
        <v>179.80210872000004</v>
      </c>
      <c r="C5" s="129">
        <v>134.85171492000001</v>
      </c>
      <c r="D5" s="129">
        <v>112.37638464000001</v>
      </c>
      <c r="E5" s="129">
        <v>96.322501079999995</v>
      </c>
      <c r="F5" s="129">
        <v>86.690331000000015</v>
      </c>
      <c r="G5" s="129">
        <v>80.268884280000009</v>
      </c>
      <c r="H5" s="129">
        <v>76.471288919999992</v>
      </c>
      <c r="I5" s="129">
        <v>76.471288919999992</v>
      </c>
      <c r="J5" s="129">
        <v>73.284840720000005</v>
      </c>
      <c r="K5" s="129">
        <v>57.353400000000015</v>
      </c>
      <c r="L5" s="129">
        <v>50.980770360000015</v>
      </c>
      <c r="M5" s="129">
        <v>44.608140720000016</v>
      </c>
      <c r="N5" s="129">
        <v>35.049329639999996</v>
      </c>
      <c r="O5" s="129">
        <v>31.862881439999988</v>
      </c>
      <c r="P5" s="129">
        <v>31.862881439999988</v>
      </c>
      <c r="Q5" s="129">
        <v>31.862881439999988</v>
      </c>
      <c r="R5" s="129">
        <v>28.6767</v>
      </c>
      <c r="S5" s="129">
        <v>31.267206359999992</v>
      </c>
      <c r="T5" s="129">
        <v>30.464258759999996</v>
      </c>
      <c r="U5" s="129">
        <v>31.063134959999999</v>
      </c>
      <c r="V5" s="129">
        <v>27.52002864</v>
      </c>
      <c r="W5" s="129">
        <v>27.258870600000002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179.80210872000004</v>
      </c>
      <c r="C8" s="79">
        <f t="shared" si="1"/>
        <v>134.85171492000001</v>
      </c>
      <c r="D8" s="79">
        <f t="shared" si="1"/>
        <v>112.37638464000001</v>
      </c>
      <c r="E8" s="79">
        <f t="shared" si="1"/>
        <v>96.322501079999995</v>
      </c>
      <c r="F8" s="79">
        <f t="shared" si="1"/>
        <v>86.690331000000029</v>
      </c>
      <c r="G8" s="79">
        <f t="shared" si="1"/>
        <v>80.268884280000009</v>
      </c>
      <c r="H8" s="79">
        <f t="shared" si="1"/>
        <v>76.471288919999978</v>
      </c>
      <c r="I8" s="79">
        <f t="shared" si="1"/>
        <v>76.471288919999992</v>
      </c>
      <c r="J8" s="79">
        <f t="shared" si="1"/>
        <v>73.284840720000005</v>
      </c>
      <c r="K8" s="79">
        <f t="shared" si="1"/>
        <v>57.353400000000001</v>
      </c>
      <c r="L8" s="79">
        <f t="shared" si="1"/>
        <v>50.980770360000008</v>
      </c>
      <c r="M8" s="79">
        <f t="shared" si="1"/>
        <v>44.608140720000023</v>
      </c>
      <c r="N8" s="79">
        <f t="shared" si="1"/>
        <v>35.049329639999996</v>
      </c>
      <c r="O8" s="79">
        <f t="shared" si="1"/>
        <v>31.862881439999988</v>
      </c>
      <c r="P8" s="79">
        <f t="shared" si="1"/>
        <v>31.862881439999988</v>
      </c>
      <c r="Q8" s="79">
        <f t="shared" si="1"/>
        <v>31.862881439999988</v>
      </c>
      <c r="R8" s="79">
        <f t="shared" si="1"/>
        <v>28.676700000000004</v>
      </c>
      <c r="S8" s="79">
        <f t="shared" si="1"/>
        <v>31.267206359999992</v>
      </c>
      <c r="T8" s="79">
        <f t="shared" si="1"/>
        <v>30.46425876</v>
      </c>
      <c r="U8" s="79">
        <f t="shared" si="1"/>
        <v>31.063134959999999</v>
      </c>
      <c r="V8" s="79">
        <f t="shared" si="1"/>
        <v>27.52002864</v>
      </c>
      <c r="W8" s="79">
        <f t="shared" si="1"/>
        <v>27.258870600000002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145.69483461530496</v>
      </c>
      <c r="C9" s="32">
        <f t="shared" si="2"/>
        <v>109.27777514840645</v>
      </c>
      <c r="D9" s="32">
        <f t="shared" si="2"/>
        <v>90.300885097630484</v>
      </c>
      <c r="E9" s="32">
        <f t="shared" si="2"/>
        <v>78.384996392561661</v>
      </c>
      <c r="F9" s="32">
        <f t="shared" si="2"/>
        <v>69.105355690328906</v>
      </c>
      <c r="G9" s="32">
        <f t="shared" si="2"/>
        <v>62.268971836055613</v>
      </c>
      <c r="H9" s="32">
        <f t="shared" si="2"/>
        <v>59.826560910223336</v>
      </c>
      <c r="I9" s="32">
        <f t="shared" si="2"/>
        <v>57.799880300263972</v>
      </c>
      <c r="J9" s="32">
        <f t="shared" si="2"/>
        <v>57.5174705968616</v>
      </c>
      <c r="K9" s="32">
        <f t="shared" si="2"/>
        <v>46.322798895996321</v>
      </c>
      <c r="L9" s="32">
        <f t="shared" si="2"/>
        <v>40.137864761776548</v>
      </c>
      <c r="M9" s="32">
        <f t="shared" si="2"/>
        <v>34.135015330830406</v>
      </c>
      <c r="N9" s="32">
        <f t="shared" si="2"/>
        <v>26.160616451752585</v>
      </c>
      <c r="O9" s="32">
        <f t="shared" si="2"/>
        <v>22.714182535672624</v>
      </c>
      <c r="P9" s="32">
        <f t="shared" si="2"/>
        <v>22.447686490541891</v>
      </c>
      <c r="Q9" s="32">
        <f t="shared" si="2"/>
        <v>21.667947424741598</v>
      </c>
      <c r="R9" s="32">
        <f t="shared" si="2"/>
        <v>21.305696038516071</v>
      </c>
      <c r="S9" s="32">
        <f t="shared" si="2"/>
        <v>19.850750699499926</v>
      </c>
      <c r="T9" s="32">
        <f t="shared" si="2"/>
        <v>20.880931512935266</v>
      </c>
      <c r="U9" s="32">
        <f t="shared" si="2"/>
        <v>20.16558870059843</v>
      </c>
      <c r="V9" s="32">
        <f t="shared" si="2"/>
        <v>15.375784333879224</v>
      </c>
      <c r="W9" s="32">
        <f t="shared" si="2"/>
        <v>12.651490985521038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145.69483461530496</v>
      </c>
      <c r="C11" s="130">
        <f t="shared" si="3"/>
        <v>109.27777514840645</v>
      </c>
      <c r="D11" s="130">
        <f t="shared" si="3"/>
        <v>90.300885097630484</v>
      </c>
      <c r="E11" s="130">
        <f t="shared" si="3"/>
        <v>78.384996392561661</v>
      </c>
      <c r="F11" s="130">
        <f t="shared" si="3"/>
        <v>69.105355690328906</v>
      </c>
      <c r="G11" s="130">
        <f t="shared" si="3"/>
        <v>62.268971836055613</v>
      </c>
      <c r="H11" s="130">
        <f t="shared" si="3"/>
        <v>59.826560910223336</v>
      </c>
      <c r="I11" s="130">
        <f t="shared" si="3"/>
        <v>57.799880300263972</v>
      </c>
      <c r="J11" s="130">
        <f t="shared" si="3"/>
        <v>57.5174705968616</v>
      </c>
      <c r="K11" s="130">
        <f t="shared" si="3"/>
        <v>46.322798895996321</v>
      </c>
      <c r="L11" s="130">
        <f t="shared" si="3"/>
        <v>40.137864761776548</v>
      </c>
      <c r="M11" s="130">
        <f t="shared" si="3"/>
        <v>34.135015330830406</v>
      </c>
      <c r="N11" s="130">
        <f t="shared" si="3"/>
        <v>26.160616451752585</v>
      </c>
      <c r="O11" s="130">
        <f t="shared" si="3"/>
        <v>22.714182535672624</v>
      </c>
      <c r="P11" s="130">
        <f t="shared" si="3"/>
        <v>22.447686490541891</v>
      </c>
      <c r="Q11" s="130">
        <f t="shared" si="3"/>
        <v>21.667947424741598</v>
      </c>
      <c r="R11" s="130">
        <f t="shared" si="3"/>
        <v>21.305696038516071</v>
      </c>
      <c r="S11" s="130">
        <f t="shared" si="3"/>
        <v>19.850750699499926</v>
      </c>
      <c r="T11" s="130">
        <f t="shared" si="3"/>
        <v>20.880931512935266</v>
      </c>
      <c r="U11" s="130">
        <f t="shared" si="3"/>
        <v>20.16558870059843</v>
      </c>
      <c r="V11" s="130">
        <f t="shared" si="3"/>
        <v>15.375784333879224</v>
      </c>
      <c r="W11" s="130">
        <f t="shared" si="3"/>
        <v>12.651490985521038</v>
      </c>
      <c r="DA11" s="176" t="s">
        <v>408</v>
      </c>
    </row>
    <row r="12" spans="1:105" ht="11.45" customHeight="1" x14ac:dyDescent="0.25">
      <c r="A12" s="111" t="s">
        <v>92</v>
      </c>
      <c r="B12" s="96">
        <v>145.69483461530496</v>
      </c>
      <c r="C12" s="96">
        <v>109.27777514840645</v>
      </c>
      <c r="D12" s="96">
        <v>90.300885097630484</v>
      </c>
      <c r="E12" s="96">
        <v>78.384996392561661</v>
      </c>
      <c r="F12" s="96">
        <v>69.105355690328906</v>
      </c>
      <c r="G12" s="96">
        <v>62.268971836055613</v>
      </c>
      <c r="H12" s="96">
        <v>59.826560910223336</v>
      </c>
      <c r="I12" s="96">
        <v>57.799880300263972</v>
      </c>
      <c r="J12" s="96">
        <v>57.5174705968616</v>
      </c>
      <c r="K12" s="96">
        <v>46.322798895996321</v>
      </c>
      <c r="L12" s="96">
        <v>40.137864761776548</v>
      </c>
      <c r="M12" s="96">
        <v>34.135015330830406</v>
      </c>
      <c r="N12" s="96">
        <v>26.160616451752585</v>
      </c>
      <c r="O12" s="96">
        <v>22.714182535672624</v>
      </c>
      <c r="P12" s="96">
        <v>22.447686490541891</v>
      </c>
      <c r="Q12" s="96">
        <v>21.667947424741598</v>
      </c>
      <c r="R12" s="96">
        <v>21.305696038516071</v>
      </c>
      <c r="S12" s="96">
        <v>19.850750699499926</v>
      </c>
      <c r="T12" s="96">
        <v>20.880931512935266</v>
      </c>
      <c r="U12" s="96">
        <v>20.16558870059843</v>
      </c>
      <c r="V12" s="96">
        <v>15.375784333879224</v>
      </c>
      <c r="W12" s="96">
        <v>12.651490985521038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34.107274104695094</v>
      </c>
      <c r="C15" s="32">
        <f t="shared" si="4"/>
        <v>25.573939771593555</v>
      </c>
      <c r="D15" s="32">
        <f t="shared" si="4"/>
        <v>22.075499542369528</v>
      </c>
      <c r="E15" s="32">
        <f t="shared" si="4"/>
        <v>17.937504687438331</v>
      </c>
      <c r="F15" s="32">
        <f t="shared" si="4"/>
        <v>17.584975309671119</v>
      </c>
      <c r="G15" s="32">
        <f t="shared" si="4"/>
        <v>17.999912443944403</v>
      </c>
      <c r="H15" s="32">
        <f t="shared" si="4"/>
        <v>16.644728009776649</v>
      </c>
      <c r="I15" s="32">
        <f t="shared" si="4"/>
        <v>18.671408619736017</v>
      </c>
      <c r="J15" s="32">
        <f t="shared" si="4"/>
        <v>15.767370123138406</v>
      </c>
      <c r="K15" s="32">
        <f t="shared" si="4"/>
        <v>11.030601104003681</v>
      </c>
      <c r="L15" s="32">
        <f t="shared" si="4"/>
        <v>10.842905598223462</v>
      </c>
      <c r="M15" s="32">
        <f t="shared" si="4"/>
        <v>10.473125389169619</v>
      </c>
      <c r="N15" s="32">
        <f t="shared" si="4"/>
        <v>8.8887131882474097</v>
      </c>
      <c r="O15" s="32">
        <f t="shared" si="4"/>
        <v>9.1486989043273663</v>
      </c>
      <c r="P15" s="32">
        <f t="shared" si="4"/>
        <v>9.4151949494580975</v>
      </c>
      <c r="Q15" s="32">
        <f t="shared" si="4"/>
        <v>10.19493401525839</v>
      </c>
      <c r="R15" s="32">
        <f t="shared" si="4"/>
        <v>7.3710039614839307</v>
      </c>
      <c r="S15" s="32">
        <f t="shared" si="4"/>
        <v>11.416455660500066</v>
      </c>
      <c r="T15" s="32">
        <f t="shared" si="4"/>
        <v>9.5833272470647319</v>
      </c>
      <c r="U15" s="32">
        <f t="shared" si="4"/>
        <v>10.897546259401569</v>
      </c>
      <c r="V15" s="32">
        <f t="shared" si="4"/>
        <v>12.144244306120777</v>
      </c>
      <c r="W15" s="32">
        <f t="shared" si="4"/>
        <v>14.607379614478964</v>
      </c>
      <c r="DA15" s="173" t="s">
        <v>413</v>
      </c>
    </row>
    <row r="16" spans="1:105" ht="11.45" customHeight="1" x14ac:dyDescent="0.25">
      <c r="A16" s="83" t="s">
        <v>92</v>
      </c>
      <c r="B16" s="96">
        <v>34.107274104695094</v>
      </c>
      <c r="C16" s="96">
        <v>25.573939771593555</v>
      </c>
      <c r="D16" s="96">
        <v>22.075499542369528</v>
      </c>
      <c r="E16" s="96">
        <v>17.937504687438331</v>
      </c>
      <c r="F16" s="96">
        <v>17.584975309671119</v>
      </c>
      <c r="G16" s="96">
        <v>17.999912443944403</v>
      </c>
      <c r="H16" s="96">
        <v>16.644728009776649</v>
      </c>
      <c r="I16" s="96">
        <v>18.671408619736017</v>
      </c>
      <c r="J16" s="96">
        <v>15.767370123138406</v>
      </c>
      <c r="K16" s="96">
        <v>11.030601104003681</v>
      </c>
      <c r="L16" s="96">
        <v>10.842905598223462</v>
      </c>
      <c r="M16" s="96">
        <v>10.473125389169619</v>
      </c>
      <c r="N16" s="96">
        <v>8.8887131882474097</v>
      </c>
      <c r="O16" s="96">
        <v>9.1486989043273663</v>
      </c>
      <c r="P16" s="96">
        <v>9.4151949494580975</v>
      </c>
      <c r="Q16" s="96">
        <v>10.19493401525839</v>
      </c>
      <c r="R16" s="96">
        <v>7.3710039614839307</v>
      </c>
      <c r="S16" s="96">
        <v>11.416455660500066</v>
      </c>
      <c r="T16" s="96">
        <v>9.5833272470647319</v>
      </c>
      <c r="U16" s="96">
        <v>10.897546259401569</v>
      </c>
      <c r="V16" s="96">
        <v>12.144244306120777</v>
      </c>
      <c r="W16" s="96">
        <v>14.607379614478964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2.0222959708919155</v>
      </c>
      <c r="C22" s="134">
        <f>IF(C4=0,0,C4/TrRail_ene!C4)</f>
        <v>1.8162067967620792</v>
      </c>
      <c r="D22" s="134">
        <f>IF(D4=0,0,D4/TrRail_ene!D4)</f>
        <v>1.5703398841752136</v>
      </c>
      <c r="E22" s="134">
        <f>IF(E4=0,0,E4/TrRail_ene!E4)</f>
        <v>1.4071782559863735</v>
      </c>
      <c r="F22" s="134">
        <f>IF(F4=0,0,F4/TrRail_ene!F4)</f>
        <v>1.2778713514750153</v>
      </c>
      <c r="G22" s="134">
        <f>IF(G4=0,0,G4/TrRail_ene!G4)</f>
        <v>1.2078192530969605</v>
      </c>
      <c r="H22" s="134">
        <f>IF(H4=0,0,H4/TrRail_ene!H4)</f>
        <v>1.119161976198332</v>
      </c>
      <c r="I22" s="134">
        <f>IF(I4=0,0,I4/TrRail_ene!I4)</f>
        <v>1.1334248670322571</v>
      </c>
      <c r="J22" s="134">
        <f>IF(J4=0,0,J4/TrRail_ene!J4)</f>
        <v>1.0973072702634918</v>
      </c>
      <c r="K22" s="134">
        <f>IF(K4=0,0,K4/TrRail_ene!K4)</f>
        <v>0.95561610601719216</v>
      </c>
      <c r="L22" s="134">
        <f>IF(L4=0,0,L4/TrRail_ene!L4)</f>
        <v>0.89010143847917267</v>
      </c>
      <c r="M22" s="134">
        <f>IF(M4=0,0,M4/TrRail_ene!M4)</f>
        <v>0.92936623166697152</v>
      </c>
      <c r="N22" s="134">
        <f>IF(N4=0,0,N4/TrRail_ene!N4)</f>
        <v>0.78632784205143236</v>
      </c>
      <c r="O22" s="134">
        <f>IF(O4=0,0,O4/TrRail_ene!O4)</f>
        <v>0.90064580148744411</v>
      </c>
      <c r="P22" s="134">
        <f>IF(P4=0,0,P4/TrRail_ene!P4)</f>
        <v>0.89412637448533427</v>
      </c>
      <c r="Q22" s="134">
        <f>IF(Q4=0,0,Q4/TrRail_ene!Q4)</f>
        <v>0.88346790309838719</v>
      </c>
      <c r="R22" s="134">
        <f>IF(R4=0,0,R4/TrRail_ene!R4)</f>
        <v>0.62709774533639451</v>
      </c>
      <c r="S22" s="134">
        <f>IF(S4=0,0,S4/TrRail_ene!S4)</f>
        <v>0.61139609521526106</v>
      </c>
      <c r="T22" s="134">
        <f>IF(T4=0,0,T4/TrRail_ene!T4)</f>
        <v>0.5968986304474474</v>
      </c>
      <c r="U22" s="134">
        <f>IF(U4=0,0,U4/TrRail_ene!U4)</f>
        <v>0.60923001354975248</v>
      </c>
      <c r="V22" s="134">
        <f>IF(V4=0,0,V4/TrRail_ene!V4)</f>
        <v>0.61907355599802705</v>
      </c>
      <c r="W22" s="134">
        <f>IF(W4=0,0,W4/TrRail_ene!W4)</f>
        <v>0.57525592697810723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1.5501249433759903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4149.9296744413277</v>
      </c>
      <c r="C26" s="54">
        <f>IF(C8=0,0,C8/TrRail_act!C14*1000)</f>
        <v>3317.9204843205143</v>
      </c>
      <c r="D26" s="54">
        <f>IF(D8=0,0,D8/TrRail_act!D14*1000)</f>
        <v>2692.5982012630598</v>
      </c>
      <c r="E26" s="54">
        <f>IF(E8=0,0,E8/TrRail_act!E14*1000)</f>
        <v>2181.5917321653592</v>
      </c>
      <c r="F26" s="54">
        <f>IF(F8=0,0,F8/TrRail_act!F14*1000)</f>
        <v>1951.2814308675243</v>
      </c>
      <c r="G26" s="54">
        <f>IF(G8=0,0,G8/TrRail_act!G14*1000)</f>
        <v>1796.7677020777721</v>
      </c>
      <c r="H26" s="54">
        <f>IF(H8=0,0,H8/TrRail_act!H14*1000)</f>
        <v>1568.637843359588</v>
      </c>
      <c r="I26" s="54">
        <f>IF(I8=0,0,I8/TrRail_act!I14*1000)</f>
        <v>1570.9370800423064</v>
      </c>
      <c r="J26" s="54">
        <f>IF(J8=0,0,J8/TrRail_act!J14*1000)</f>
        <v>1434.2388953634131</v>
      </c>
      <c r="K26" s="54">
        <f>IF(K8=0,0,K8/TrRail_act!K14*1000)</f>
        <v>1183.1992792642784</v>
      </c>
      <c r="L26" s="54">
        <f>IF(L8=0,0,L8/TrRail_act!L14*1000)</f>
        <v>1051.6469100530405</v>
      </c>
      <c r="M26" s="54">
        <f>IF(M8=0,0,M8/TrRail_act!M14*1000)</f>
        <v>1003.2653519740257</v>
      </c>
      <c r="N26" s="54">
        <f>IF(N8=0,0,N8/TrRail_act!N14*1000)</f>
        <v>816.51565414897277</v>
      </c>
      <c r="O26" s="54">
        <f>IF(O8=0,0,O8/TrRail_act!O14*1000)</f>
        <v>840.60907023947323</v>
      </c>
      <c r="P26" s="54">
        <f>IF(P8=0,0,P8/TrRail_act!P14*1000)</f>
        <v>821.08412107474078</v>
      </c>
      <c r="Q26" s="54">
        <f>IF(Q8=0,0,Q8/TrRail_act!Q14*1000)</f>
        <v>783.61716101064883</v>
      </c>
      <c r="R26" s="54">
        <f>IF(R8=0,0,R8/TrRail_act!R14*1000)</f>
        <v>507.59431783599086</v>
      </c>
      <c r="S26" s="54">
        <f>IF(S8=0,0,S8/TrRail_act!S14*1000)</f>
        <v>481.07343738339705</v>
      </c>
      <c r="T26" s="54">
        <f>IF(T8=0,0,T8/TrRail_act!T14*1000)</f>
        <v>458.18806188906404</v>
      </c>
      <c r="U26" s="54">
        <f>IF(U8=0,0,U8/TrRail_act!U14*1000)</f>
        <v>459.13624165689782</v>
      </c>
      <c r="V26" s="54">
        <f>IF(V8=0,0,V8/TrRail_act!V14*1000)</f>
        <v>454.16559075358555</v>
      </c>
      <c r="W26" s="54">
        <f>IF(W8=0,0,W8/TrRail_act!W14*1000)</f>
        <v>426.2327389951563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3704.8685327675976</v>
      </c>
      <c r="C27" s="28">
        <f>IF(C9=0,0,C9/TrRail_act!C15*1000)</f>
        <v>2980.9821407509066</v>
      </c>
      <c r="D27" s="28">
        <f>IF(D9=0,0,D9/TrRail_act!D15*1000)</f>
        <v>2397.8560402548765</v>
      </c>
      <c r="E27" s="28">
        <f>IF(E9=0,0,E9/TrRail_act!E15*1000)</f>
        <v>1941.8102162625328</v>
      </c>
      <c r="F27" s="28">
        <f>IF(F9=0,0,F9/TrRail_act!F15*1000)</f>
        <v>1719.5652068411177</v>
      </c>
      <c r="G27" s="28">
        <f>IF(G9=0,0,G9/TrRail_act!G15*1000)</f>
        <v>1545.5613199482825</v>
      </c>
      <c r="H27" s="28">
        <f>IF(H9=0,0,H9/TrRail_act!H15*1000)</f>
        <v>1349.6831714565719</v>
      </c>
      <c r="I27" s="28">
        <f>IF(I9=0,0,I9/TrRail_act!I15*1000)</f>
        <v>1308.360960604464</v>
      </c>
      <c r="J27" s="28">
        <f>IF(J9=0,0,J9/TrRail_act!J15*1000)</f>
        <v>1236.9728508244746</v>
      </c>
      <c r="K27" s="28">
        <f>IF(K9=0,0,K9/TrRail_act!K15*1000)</f>
        <v>1043.26567961623</v>
      </c>
      <c r="L27" s="28">
        <f>IF(L9=0,0,L9/TrRail_act!L15*1000)</f>
        <v>907.12730712893881</v>
      </c>
      <c r="M27" s="28">
        <f>IF(M9=0,0,M9/TrRail_act!M15*1000)</f>
        <v>842.21322748683883</v>
      </c>
      <c r="N27" s="28">
        <f>IF(N9=0,0,N9/TrRail_act!N15*1000)</f>
        <v>673.96949164188504</v>
      </c>
      <c r="O27" s="28">
        <f>IF(O9=0,0,O9/TrRail_act!O15*1000)</f>
        <v>662.24404794633983</v>
      </c>
      <c r="P27" s="28">
        <f>IF(P9=0,0,P9/TrRail_act!P15*1000)</f>
        <v>644.41519328703544</v>
      </c>
      <c r="Q27" s="28">
        <f>IF(Q9=0,0,Q9/TrRail_act!Q15*1000)</f>
        <v>596.92710630590136</v>
      </c>
      <c r="R27" s="28">
        <f>IF(R9=0,0,R9/TrRail_act!R15*1000)</f>
        <v>412.68107670961194</v>
      </c>
      <c r="S27" s="28">
        <f>IF(S9=0,0,S9/TrRail_act!S15*1000)</f>
        <v>329.43160221403366</v>
      </c>
      <c r="T27" s="28">
        <f>IF(T9=0,0,T9/TrRail_act!T15*1000)</f>
        <v>339.1245387724353</v>
      </c>
      <c r="U27" s="28">
        <f>IF(U9=0,0,U9/TrRail_act!U15*1000)</f>
        <v>318.4873336650686</v>
      </c>
      <c r="V27" s="28">
        <f>IF(V9=0,0,V9/TrRail_act!V15*1000)</f>
        <v>275.34774206793907</v>
      </c>
      <c r="W27" s="28">
        <f>IF(W9=0,0,W9/TrRail_act!W15*1000)</f>
        <v>214.75604425302203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4485.6765339677813</v>
      </c>
      <c r="C29" s="110">
        <f>IF(C11=0,0,C11/TrRail_act!C17*1000)</f>
        <v>3689.4041584633246</v>
      </c>
      <c r="D29" s="110">
        <f>IF(D11=0,0,D11/TrRail_act!D17*1000)</f>
        <v>2955.3093868374176</v>
      </c>
      <c r="E29" s="110">
        <f>IF(E11=0,0,E11/TrRail_act!E17*1000)</f>
        <v>2576.5872452385829</v>
      </c>
      <c r="F29" s="110">
        <f>IF(F11=0,0,F11/TrRail_act!F17*1000)</f>
        <v>2547.6548657598482</v>
      </c>
      <c r="G29" s="110">
        <f>IF(G11=0,0,G11/TrRail_act!G17*1000)</f>
        <v>2350.2974677369943</v>
      </c>
      <c r="H29" s="110">
        <f>IF(H11=0,0,H11/TrRail_act!H17*1000)</f>
        <v>2128.6628567539956</v>
      </c>
      <c r="I29" s="110">
        <f>IF(I11=0,0,I11/TrRail_act!I17*1000)</f>
        <v>2115.4327547865728</v>
      </c>
      <c r="J29" s="110">
        <f>IF(J11=0,0,J11/TrRail_act!J17*1000)</f>
        <v>1987.2292896899983</v>
      </c>
      <c r="K29" s="110">
        <f>IF(K11=0,0,K11/TrRail_act!K17*1000)</f>
        <v>1711.2630579921413</v>
      </c>
      <c r="L29" s="110">
        <f>IF(L11=0,0,L11/TrRail_act!L17*1000)</f>
        <v>1523.9006549361325</v>
      </c>
      <c r="M29" s="110">
        <f>IF(M11=0,0,M11/TrRail_act!M17*1000)</f>
        <v>1498.3498189799323</v>
      </c>
      <c r="N29" s="110">
        <f>IF(N11=0,0,N11/TrRail_act!N17*1000)</f>
        <v>1168.8598400219173</v>
      </c>
      <c r="O29" s="110">
        <f>IF(O11=0,0,O11/TrRail_act!O17*1000)</f>
        <v>1210.2860619235635</v>
      </c>
      <c r="P29" s="110">
        <f>IF(P11=0,0,P11/TrRail_act!P17*1000)</f>
        <v>1169.6236320822113</v>
      </c>
      <c r="Q29" s="110">
        <f>IF(Q11=0,0,Q11/TrRail_act!Q17*1000)</f>
        <v>1075.8810059716839</v>
      </c>
      <c r="R29" s="110">
        <f>IF(R11=0,0,R11/TrRail_act!R17*1000)</f>
        <v>610.24235959766156</v>
      </c>
      <c r="S29" s="110">
        <f>IF(S11=0,0,S11/TrRail_act!S17*1000)</f>
        <v>461.75414022074011</v>
      </c>
      <c r="T29" s="110">
        <f>IF(T11=0,0,T11/TrRail_act!T17*1000)</f>
        <v>476.36684855105011</v>
      </c>
      <c r="U29" s="110">
        <f>IF(U11=0,0,U11/TrRail_act!U17*1000)</f>
        <v>453.97755532400924</v>
      </c>
      <c r="V29" s="110">
        <f>IF(V11=0,0,V11/TrRail_act!V17*1000)</f>
        <v>386.66902447082964</v>
      </c>
      <c r="W29" s="110">
        <f>IF(W11=0,0,W11/TrRail_act!W17*1000)</f>
        <v>290.02906311076026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9201.7385521763972</v>
      </c>
      <c r="C30" s="84">
        <f>IF(C12=0,0,C12/TrRail_act!C18*1000)</f>
        <v>8074.3698426812398</v>
      </c>
      <c r="D30" s="84">
        <f>IF(D12=0,0,D12/TrRail_act!D18*1000)</f>
        <v>7918.6808296524368</v>
      </c>
      <c r="E30" s="84">
        <f>IF(E12=0,0,E12/TrRail_act!E18*1000)</f>
        <v>7714.8624633982627</v>
      </c>
      <c r="F30" s="84">
        <f>IF(F12=0,0,F12/TrRail_act!F18*1000)</f>
        <v>7512.098667579945</v>
      </c>
      <c r="G30" s="84">
        <f>IF(G12=0,0,G12/TrRail_act!G18*1000)</f>
        <v>7396.340844887909</v>
      </c>
      <c r="H30" s="84">
        <f>IF(H12=0,0,H12/TrRail_act!H18*1000)</f>
        <v>7256.0252128516704</v>
      </c>
      <c r="I30" s="84">
        <f>IF(I12=0,0,I12/TrRail_act!I18*1000)</f>
        <v>7051.5995364438913</v>
      </c>
      <c r="J30" s="84">
        <f>IF(J12=0,0,J12/TrRail_act!J18*1000)</f>
        <v>6816.581707207697</v>
      </c>
      <c r="K30" s="84">
        <f>IF(K12=0,0,K12/TrRail_act!K18*1000)</f>
        <v>6570.0844092217376</v>
      </c>
      <c r="L30" s="84">
        <f>IF(L12=0,0,L12/TrRail_act!L18*1000)</f>
        <v>6358.2723032003942</v>
      </c>
      <c r="M30" s="84">
        <f>IF(M12=0,0,M12/TrRail_act!M18*1000)</f>
        <v>6094.9470230806928</v>
      </c>
      <c r="N30" s="84">
        <f>IF(N12=0,0,N12/TrRail_act!N18*1000)</f>
        <v>5950.0299542608691</v>
      </c>
      <c r="O30" s="84">
        <f>IF(O12=0,0,O12/TrRail_act!O18*1000)</f>
        <v>5697.8661912450934</v>
      </c>
      <c r="P30" s="84">
        <f>IF(P12=0,0,P12/TrRail_act!P18*1000)</f>
        <v>5458.3846092324266</v>
      </c>
      <c r="Q30" s="84">
        <f>IF(Q12=0,0,Q12/TrRail_act!Q18*1000)</f>
        <v>5301.7239569379171</v>
      </c>
      <c r="R30" s="84">
        <f>IF(R12=0,0,R12/TrRail_act!R18*1000)</f>
        <v>5187.18628907313</v>
      </c>
      <c r="S30" s="84">
        <f>IF(S12=0,0,S12/TrRail_act!S18*1000)</f>
        <v>5099.3423782269883</v>
      </c>
      <c r="T30" s="84">
        <f>IF(T12=0,0,T12/TrRail_act!T18*1000)</f>
        <v>5040.6022965122929</v>
      </c>
      <c r="U30" s="84">
        <f>IF(U12=0,0,U12/TrRail_act!U18*1000)</f>
        <v>4994.3714136879735</v>
      </c>
      <c r="V30" s="84">
        <f>IF(V12=0,0,V12/TrRail_act!V18*1000)</f>
        <v>4959.9767251636058</v>
      </c>
      <c r="W30" s="84">
        <f>IF(W12=0,0,W12/TrRail_act!W18*1000)</f>
        <v>4934.3362411962144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8524.0351506212774</v>
      </c>
      <c r="C33" s="28">
        <f>IF(C15=0,0,C15/TrRail_act!C21*1000)</f>
        <v>6417.3393765319879</v>
      </c>
      <c r="D33" s="28">
        <f>IF(D15=0,0,D15/TrRail_act!D21*1000)</f>
        <v>5415.5908707041735</v>
      </c>
      <c r="E33" s="28">
        <f>IF(E15=0,0,E15/TrRail_act!E21*1000)</f>
        <v>4738.5712610748687</v>
      </c>
      <c r="F33" s="28">
        <f>IF(F15=0,0,F15/TrRail_act!F21*1000)</f>
        <v>4147.6996490356587</v>
      </c>
      <c r="G33" s="28">
        <f>IF(G15=0,0,G15/TrRail_act!G21*1000)</f>
        <v>4104.7496218539973</v>
      </c>
      <c r="H33" s="28">
        <f>IF(H15=0,0,H15/TrRail_act!H21*1000)</f>
        <v>3762.5834960122224</v>
      </c>
      <c r="I33" s="28">
        <f>IF(I15=0,0,I15/TrRail_act!I21*1000)</f>
        <v>4147.862592141807</v>
      </c>
      <c r="J33" s="28">
        <f>IF(J15=0,0,J15/TrRail_act!J21*1000)</f>
        <v>3429.1019005894541</v>
      </c>
      <c r="K33" s="28">
        <f>IF(K15=0,0,K15/TrRail_act!K21*1000)</f>
        <v>2709.2726238180253</v>
      </c>
      <c r="L33" s="28">
        <f>IF(L15=0,0,L15/TrRail_act!L21*1000)</f>
        <v>2563.4222532633571</v>
      </c>
      <c r="M33" s="28">
        <f>IF(M15=0,0,M15/TrRail_act!M21*1000)</f>
        <v>2663.0071553186203</v>
      </c>
      <c r="N33" s="28">
        <f>IF(N15=0,0,N15/TrRail_act!N21*1000)</f>
        <v>2162.8323329921277</v>
      </c>
      <c r="O33" s="28">
        <f>IF(O15=0,0,O15/TrRail_act!O21*1000)</f>
        <v>2537.2821581222961</v>
      </c>
      <c r="P33" s="28">
        <f>IF(P15=0,0,P15/TrRail_act!P21*1000)</f>
        <v>2370.5889004845594</v>
      </c>
      <c r="Q33" s="28">
        <f>IF(Q15=0,0,Q15/TrRail_act!Q21*1000)</f>
        <v>2337.1434390178542</v>
      </c>
      <c r="R33" s="28">
        <f>IF(R15=0,0,R15/TrRail_act!R21*1000)</f>
        <v>1514.2359239272773</v>
      </c>
      <c r="S33" s="28">
        <f>IF(S15=0,0,S15/TrRail_act!S21*1000)</f>
        <v>2410.0169764791658</v>
      </c>
      <c r="T33" s="28">
        <f>IF(T15=0,0,T15/TrRail_act!T21*1000)</f>
        <v>1949.6140963653863</v>
      </c>
      <c r="U33" s="28">
        <f>IF(U15=0,0,U15/TrRail_act!U21*1000)</f>
        <v>2511.635173931129</v>
      </c>
      <c r="V33" s="28">
        <f>IF(V15=0,0,V15/TrRail_act!V21*1000)</f>
        <v>2554.8697109445839</v>
      </c>
      <c r="W33" s="28">
        <f>IF(W15=0,0,W15/TrRail_act!W21*1000)</f>
        <v>2897.1225809225521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16608.595826338216</v>
      </c>
      <c r="C34" s="84">
        <f>IF(C16=0,0,C16/TrRail_act!C22*1000)</f>
        <v>16325.713314715411</v>
      </c>
      <c r="D34" s="84">
        <f>IF(D16=0,0,D16/TrRail_act!D22*1000)</f>
        <v>16157.41570702183</v>
      </c>
      <c r="E34" s="84">
        <f>IF(E16=0,0,E16/TrRail_act!E22*1000)</f>
        <v>15992.781523125415</v>
      </c>
      <c r="F34" s="84">
        <f>IF(F16=0,0,F16/TrRail_act!F22*1000)</f>
        <v>15917.016343358413</v>
      </c>
      <c r="G34" s="84">
        <f>IF(G16=0,0,G16/TrRail_act!G22*1000)</f>
        <v>15874.204962001566</v>
      </c>
      <c r="H34" s="84">
        <f>IF(H16=0,0,H16/TrRail_act!H22*1000)</f>
        <v>15765.278235578553</v>
      </c>
      <c r="I34" s="84">
        <f>IF(I16=0,0,I16/TrRail_act!I22*1000)</f>
        <v>15392.077346674709</v>
      </c>
      <c r="J34" s="84">
        <f>IF(J16=0,0,J16/TrRail_act!J22*1000)</f>
        <v>15020.170835676738</v>
      </c>
      <c r="K34" s="84">
        <f>IF(K16=0,0,K16/TrRail_act!K22*1000)</f>
        <v>14660.782748483472</v>
      </c>
      <c r="L34" s="84">
        <f>IF(L16=0,0,L16/TrRail_act!L22*1000)</f>
        <v>14351.745756702077</v>
      </c>
      <c r="M34" s="84">
        <f>IF(M16=0,0,M16/TrRail_act!M22*1000)</f>
        <v>14002.235939460763</v>
      </c>
      <c r="N34" s="84">
        <f>IF(N16=0,0,N16/TrRail_act!N22*1000)</f>
        <v>13684.392060262266</v>
      </c>
      <c r="O34" s="84">
        <f>IF(O16=0,0,O16/TrRail_act!O22*1000)</f>
        <v>13466.237662384057</v>
      </c>
      <c r="P34" s="84">
        <f>IF(P16=0,0,P16/TrRail_act!P22*1000)</f>
        <v>13188.324211523692</v>
      </c>
      <c r="Q34" s="84">
        <f>IF(Q16=0,0,Q16/TrRail_act!Q22*1000)</f>
        <v>12937.772679671825</v>
      </c>
      <c r="R34" s="84">
        <f>IF(R16=0,0,R16/TrRail_act!R22*1000)</f>
        <v>12689.222799517789</v>
      </c>
      <c r="S34" s="84">
        <f>IF(S16=0,0,S16/TrRail_act!S22*1000)</f>
        <v>12484.708824051442</v>
      </c>
      <c r="T34" s="84">
        <f>IF(T16=0,0,T16/TrRail_act!T22*1000)</f>
        <v>12348.59308279236</v>
      </c>
      <c r="U34" s="84">
        <f>IF(U16=0,0,U16/TrRail_act!U22*1000)</f>
        <v>12241.05879137842</v>
      </c>
      <c r="V34" s="84">
        <f>IF(V16=0,0,V16/TrRail_act!V22*1000)</f>
        <v>12161.02305381925</v>
      </c>
      <c r="W34" s="84">
        <f>IF(W16=0,0,W16/TrRail_act!W22*1000)</f>
        <v>12101.339852334819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31.936614339172504</v>
      </c>
      <c r="C38" s="29">
        <f>IF(C9=0,0,C9/TrRail_act!C4*1000)</f>
        <v>24.085910325855512</v>
      </c>
      <c r="D38" s="29">
        <f>IF(D9=0,0,D9/TrRail_act!D4*1000)</f>
        <v>20.178968736900668</v>
      </c>
      <c r="E38" s="29">
        <f>IF(E9=0,0,E9/TrRail_act!E4*1000)</f>
        <v>17.330310942419118</v>
      </c>
      <c r="F38" s="29">
        <f>IF(F9=0,0,F9/TrRail_act!F4*1000)</f>
        <v>15.026169969630116</v>
      </c>
      <c r="G38" s="29">
        <f>IF(G9=0,0,G9/TrRail_act!G4*1000)</f>
        <v>13.371863741756123</v>
      </c>
      <c r="H38" s="29">
        <f>IF(H9=0,0,H9/TrRail_act!H4*1000)</f>
        <v>12.30037438016023</v>
      </c>
      <c r="I38" s="29">
        <f>IF(I9=0,0,I9/TrRail_act!I4*1000)</f>
        <v>11.475311213916518</v>
      </c>
      <c r="J38" s="29">
        <f>IF(J9=0,0,J9/TrRail_act!J4*1000)</f>
        <v>10.836484648962452</v>
      </c>
      <c r="K38" s="29">
        <f>IF(K9=0,0,K9/TrRail_act!K4*1000)</f>
        <v>8.7349032007933953</v>
      </c>
      <c r="L38" s="29">
        <f>IF(L9=0,0,L9/TrRail_act!L4*1000)</f>
        <v>7.6537149973650198</v>
      </c>
      <c r="M38" s="29">
        <f>IF(M9=0,0,M9/TrRail_act!M4*1000)</f>
        <v>6.3389072109248668</v>
      </c>
      <c r="N38" s="29">
        <f>IF(N9=0,0,N9/TrRail_act!N4*1000)</f>
        <v>5.4150782056212785</v>
      </c>
      <c r="O38" s="29">
        <f>IF(O9=0,0,O9/TrRail_act!O4*1000)</f>
        <v>4.9483045397666343</v>
      </c>
      <c r="P38" s="29">
        <f>IF(P9=0,0,P9/TrRail_act!P4*1000)</f>
        <v>4.6585871779026746</v>
      </c>
      <c r="Q38" s="29">
        <f>IF(Q9=0,0,Q9/TrRail_act!Q4*1000)</f>
        <v>4.3635654340540979</v>
      </c>
      <c r="R38" s="29">
        <f>IF(R9=0,0,R9/TrRail_act!R4*1000)</f>
        <v>3.9993430138830344</v>
      </c>
      <c r="S38" s="29">
        <f>IF(S9=0,0,S9/TrRail_act!S4*1000)</f>
        <v>3.5214616900744704</v>
      </c>
      <c r="T38" s="29">
        <f>IF(T9=0,0,T9/TrRail_act!T4*1000)</f>
        <v>3.6339943461425799</v>
      </c>
      <c r="U38" s="29">
        <f>IF(U9=0,0,U9/TrRail_act!U4*1000)</f>
        <v>3.1773524958306334</v>
      </c>
      <c r="V38" s="29">
        <f>IF(V9=0,0,V9/TrRail_act!V4*1000)</f>
        <v>4.7625164422732613</v>
      </c>
      <c r="W38" s="29">
        <f>IF(W9=0,0,W9/TrRail_act!W4*1000)</f>
        <v>3.5521392548296489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36.1346316010181</v>
      </c>
      <c r="C40" s="116">
        <f>IF(C11=0,0,C11/TrRail_act!C6*1000)</f>
        <v>27.374192171444498</v>
      </c>
      <c r="D40" s="116">
        <f>IF(D11=0,0,D11/TrRail_act!D6*1000)</f>
        <v>23.006594929332611</v>
      </c>
      <c r="E40" s="116">
        <f>IF(E11=0,0,E11/TrRail_act!E6*1000)</f>
        <v>20.885956939131805</v>
      </c>
      <c r="F40" s="116">
        <f>IF(F11=0,0,F11/TrRail_act!F6*1000)</f>
        <v>20.839974574888089</v>
      </c>
      <c r="G40" s="116">
        <f>IF(G11=0,0,G11/TrRail_act!G6*1000)</f>
        <v>18.761365422131853</v>
      </c>
      <c r="H40" s="116">
        <f>IF(H11=0,0,H11/TrRail_act!H6*1000)</f>
        <v>17.763230674056807</v>
      </c>
      <c r="I40" s="116">
        <f>IF(I11=0,0,I11/TrRail_act!I6*1000)</f>
        <v>16.604389629492665</v>
      </c>
      <c r="J40" s="116">
        <f>IF(J11=0,0,J11/TrRail_act!J6*1000)</f>
        <v>15.595843437326899</v>
      </c>
      <c r="K40" s="116">
        <f>IF(K11=0,0,K11/TrRail_act!K6*1000)</f>
        <v>12.574049646035919</v>
      </c>
      <c r="L40" s="116">
        <f>IF(L11=0,0,L11/TrRail_act!L6*1000)</f>
        <v>11.175045530689621</v>
      </c>
      <c r="M40" s="116">
        <f>IF(M11=0,0,M11/TrRail_act!M6*1000)</f>
        <v>9.0519796687431455</v>
      </c>
      <c r="N40" s="116">
        <f>IF(N11=0,0,N11/TrRail_act!N6*1000)</f>
        <v>7.83017553180263</v>
      </c>
      <c r="O40" s="116">
        <f>IF(O11=0,0,O11/TrRail_act!O6*1000)</f>
        <v>7.1338512988921563</v>
      </c>
      <c r="P40" s="116">
        <f>IF(P11=0,0,P11/TrRail_act!P6*1000)</f>
        <v>6.7735927853174083</v>
      </c>
      <c r="Q40" s="116">
        <f>IF(Q11=0,0,Q11/TrRail_act!Q6*1000)</f>
        <v>6.3954980592507669</v>
      </c>
      <c r="R40" s="116">
        <f>IF(R11=0,0,R11/TrRail_act!R6*1000)</f>
        <v>5.8341560229130875</v>
      </c>
      <c r="S40" s="116">
        <f>IF(S11=0,0,S11/TrRail_act!S6*1000)</f>
        <v>5.1386877296142703</v>
      </c>
      <c r="T40" s="116">
        <f>IF(T11=0,0,T11/TrRail_act!T6*1000)</f>
        <v>5.3417578697711097</v>
      </c>
      <c r="U40" s="116">
        <f>IF(U11=0,0,U11/TrRail_act!U6*1000)</f>
        <v>4.6261960772191859</v>
      </c>
      <c r="V40" s="116">
        <f>IF(V11=0,0,V11/TrRail_act!V6*1000)</f>
        <v>6.5708480059312926</v>
      </c>
      <c r="W40" s="116">
        <f>IF(W11=0,0,W11/TrRail_act!W6*1000)</f>
        <v>4.788603703830824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86.084958906807088</v>
      </c>
      <c r="C41" s="87">
        <f>IF(C12=0,0,C12/TrRail_act!C7*1000)</f>
        <v>71.896598431990412</v>
      </c>
      <c r="D41" s="87">
        <f>IF(D12=0,0,D12/TrRail_act!D7*1000)</f>
        <v>69.741249446607966</v>
      </c>
      <c r="E41" s="87">
        <f>IF(E12=0,0,E12/TrRail_act!E7*1000)</f>
        <v>77.193477582822553</v>
      </c>
      <c r="F41" s="87">
        <f>IF(F12=0,0,F12/TrRail_act!F7*1000)</f>
        <v>72.801445275610902</v>
      </c>
      <c r="G41" s="87">
        <f>IF(G12=0,0,G12/TrRail_act!G7*1000)</f>
        <v>69.485675895856474</v>
      </c>
      <c r="H41" s="87">
        <f>IF(H12=0,0,H12/TrRail_act!H7*1000)</f>
        <v>69.704749371467685</v>
      </c>
      <c r="I41" s="87">
        <f>IF(I12=0,0,I12/TrRail_act!I7*1000)</f>
        <v>62.433069387143853</v>
      </c>
      <c r="J41" s="87">
        <f>IF(J12=0,0,J12/TrRail_act!J7*1000)</f>
        <v>61.241949611847289</v>
      </c>
      <c r="K41" s="87">
        <f>IF(K12=0,0,K12/TrRail_act!K7*1000)</f>
        <v>55.453012376227363</v>
      </c>
      <c r="L41" s="87">
        <f>IF(L12=0,0,L12/TrRail_act!L7*1000)</f>
        <v>52.140439838280138</v>
      </c>
      <c r="M41" s="87">
        <f>IF(M12=0,0,M12/TrRail_act!M7*1000)</f>
        <v>39.249534736925867</v>
      </c>
      <c r="N41" s="87">
        <f>IF(N12=0,0,N12/TrRail_act!N7*1000)</f>
        <v>41.702788338904014</v>
      </c>
      <c r="O41" s="87">
        <f>IF(O12=0,0,O12/TrRail_act!O7*1000)</f>
        <v>32.970814826638922</v>
      </c>
      <c r="P41" s="87">
        <f>IF(P12=0,0,P12/TrRail_act!P7*1000)</f>
        <v>31.521059407585824</v>
      </c>
      <c r="Q41" s="87">
        <f>IF(Q12=0,0,Q12/TrRail_act!Q7*1000)</f>
        <v>30.376654175319313</v>
      </c>
      <c r="R41" s="87">
        <f>IF(R12=0,0,R12/TrRail_act!R7*1000)</f>
        <v>38.538591304560136</v>
      </c>
      <c r="S41" s="87">
        <f>IF(S12=0,0,S12/TrRail_act!S7*1000)</f>
        <v>34.73161514726732</v>
      </c>
      <c r="T41" s="87">
        <f>IF(T12=0,0,T12/TrRail_act!T7*1000)</f>
        <v>42.795709653928448</v>
      </c>
      <c r="U41" s="87">
        <f>IF(U12=0,0,U12/TrRail_act!U7*1000)</f>
        <v>37.694930999563731</v>
      </c>
      <c r="V41" s="87">
        <f>IF(V12=0,0,V12/TrRail_act!V7*1000)</f>
        <v>51.045828797949419</v>
      </c>
      <c r="W41" s="87">
        <f>IF(W12=0,0,W12/TrRail_act!W7*1000)</f>
        <v>39.003008165832689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15.624037610945988</v>
      </c>
      <c r="C44" s="29">
        <f>IF(C15=0,0,C15/TrRail_act!C10*1000)</f>
        <v>11.961618228060596</v>
      </c>
      <c r="D44" s="29">
        <f>IF(D15=0,0,D15/TrRail_act!D10*1000)</f>
        <v>10.06634726054242</v>
      </c>
      <c r="E44" s="29">
        <f>IF(E15=0,0,E15/TrRail_act!E10*1000)</f>
        <v>8.6529207368250507</v>
      </c>
      <c r="F44" s="29">
        <f>IF(F15=0,0,F15/TrRail_act!F10*1000)</f>
        <v>7.7059488648865555</v>
      </c>
      <c r="G44" s="29">
        <f>IF(G15=0,0,G15/TrRail_act!G10*1000)</f>
        <v>7.4318383335856328</v>
      </c>
      <c r="H44" s="29">
        <f>IF(H15=0,0,H15/TrRail_act!H10*1000)</f>
        <v>6.8496823085500615</v>
      </c>
      <c r="I44" s="29">
        <f>IF(I15=0,0,I15/TrRail_act!I10*1000)</f>
        <v>7.2201889480804393</v>
      </c>
      <c r="J44" s="29">
        <f>IF(J15=0,0,J15/TrRail_act!J10*1000)</f>
        <v>6.1857081691402138</v>
      </c>
      <c r="K44" s="29">
        <f>IF(K15=0,0,K15/TrRail_act!K10*1000)</f>
        <v>5.0738735528995775</v>
      </c>
      <c r="L44" s="29">
        <f>IF(L15=0,0,L15/TrRail_act!L10*1000)</f>
        <v>4.6878104618346139</v>
      </c>
      <c r="M44" s="29">
        <f>IF(M15=0,0,M15/TrRail_act!M10*1000)</f>
        <v>4.5103899178163731</v>
      </c>
      <c r="N44" s="29">
        <f>IF(N15=0,0,N15/TrRail_act!N10*1000)</f>
        <v>3.6715048278593185</v>
      </c>
      <c r="O44" s="29">
        <f>IF(O15=0,0,O15/TrRail_act!O10*1000)</f>
        <v>3.9950650237237406</v>
      </c>
      <c r="P44" s="29">
        <f>IF(P15=0,0,P15/TrRail_act!P10*1000)</f>
        <v>3.868198418018939</v>
      </c>
      <c r="Q44" s="29">
        <f>IF(Q15=0,0,Q15/TrRail_act!Q10*1000)</f>
        <v>3.7927581902002943</v>
      </c>
      <c r="R44" s="29">
        <f>IF(R15=0,0,R15/TrRail_act!R10*1000)</f>
        <v>2.6571751843849785</v>
      </c>
      <c r="S44" s="29">
        <f>IF(S15=0,0,S15/TrRail_act!S10*1000)</f>
        <v>4.1499293567793769</v>
      </c>
      <c r="T44" s="29">
        <f>IF(T15=0,0,T15/TrRail_act!T10*1000)</f>
        <v>3.4659411381789265</v>
      </c>
      <c r="U44" s="29">
        <f>IF(U15=0,0,U15/TrRail_act!U10*1000)</f>
        <v>4.3977184259086233</v>
      </c>
      <c r="V44" s="29">
        <f>IF(V15=0,0,V15/TrRail_act!V10*1000)</f>
        <v>5.2755188123895644</v>
      </c>
      <c r="W44" s="29">
        <f>IF(W15=0,0,W15/TrRail_act!W10*1000)</f>
        <v>7.7657520544811076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29.155520329624441</v>
      </c>
      <c r="C45" s="87">
        <f>IF(C16=0,0,C16/TrRail_act!C11*1000)</f>
        <v>24.730641383428612</v>
      </c>
      <c r="D45" s="87">
        <f>IF(D16=0,0,D16/TrRail_act!D11*1000)</f>
        <v>23.927434723374112</v>
      </c>
      <c r="E45" s="87">
        <f>IF(E16=0,0,E16/TrRail_act!E11*1000)</f>
        <v>22.861370369623195</v>
      </c>
      <c r="F45" s="87">
        <f>IF(F16=0,0,F16/TrRail_act!F11*1000)</f>
        <v>22.348701354707813</v>
      </c>
      <c r="G45" s="87">
        <f>IF(G16=0,0,G16/TrRail_act!G11*1000)</f>
        <v>22.764634971403595</v>
      </c>
      <c r="H45" s="87">
        <f>IF(H16=0,0,H16/TrRail_act!H11*1000)</f>
        <v>22.594187591467612</v>
      </c>
      <c r="I45" s="87">
        <f>IF(I16=0,0,I16/TrRail_act!I11*1000)</f>
        <v>23.524889146877367</v>
      </c>
      <c r="J45" s="87">
        <f>IF(J16=0,0,J16/TrRail_act!J11*1000)</f>
        <v>20.799199630780642</v>
      </c>
      <c r="K45" s="87">
        <f>IF(K16=0,0,K16/TrRail_act!K11*1000)</f>
        <v>19.521932453518719</v>
      </c>
      <c r="L45" s="87">
        <f>IF(L16=0,0,L16/TrRail_act!L11*1000)</f>
        <v>19.332726106567563</v>
      </c>
      <c r="M45" s="87">
        <f>IF(M16=0,0,M16/TrRail_act!M11*1000)</f>
        <v>17.832484790196034</v>
      </c>
      <c r="N45" s="87">
        <f>IF(N16=0,0,N16/TrRail_act!N11*1000)</f>
        <v>17.095642910916833</v>
      </c>
      <c r="O45" s="87">
        <f>IF(O16=0,0,O16/TrRail_act!O11*1000)</f>
        <v>16.287175471808336</v>
      </c>
      <c r="P45" s="87">
        <f>IF(P16=0,0,P16/TrRail_act!P11*1000)</f>
        <v>15.882383645321747</v>
      </c>
      <c r="Q45" s="87">
        <f>IF(Q16=0,0,Q16/TrRail_act!Q11*1000)</f>
        <v>15.756348698240371</v>
      </c>
      <c r="R45" s="87">
        <f>IF(R16=0,0,R16/TrRail_act!R11*1000)</f>
        <v>15.452883377783207</v>
      </c>
      <c r="S45" s="87">
        <f>IF(S16=0,0,S16/TrRail_act!S11*1000)</f>
        <v>15.816660279997702</v>
      </c>
      <c r="T45" s="87">
        <f>IF(T16=0,0,T16/TrRail_act!T11*1000)</f>
        <v>14.262895263785184</v>
      </c>
      <c r="U45" s="87">
        <f>IF(U16=0,0,U16/TrRail_act!U11*1000)</f>
        <v>14.083740465121505</v>
      </c>
      <c r="V45" s="87">
        <f>IF(V16=0,0,V16/TrRail_act!V11*1000)</f>
        <v>20.192898319129487</v>
      </c>
      <c r="W45" s="87">
        <f>IF(W16=0,0,W16/TrRail_act!W11*1000)</f>
        <v>22.701640074639805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601.80925679155553</v>
      </c>
      <c r="C48" s="62">
        <f>IF(C8=0,0,1000000*C8/TrRail_act!C25/1000)</f>
        <v>468.94885815552351</v>
      </c>
      <c r="D48" s="62">
        <f>IF(D8=0,0,1000000*D8/TrRail_act!D25/1000)</f>
        <v>376.51257692475986</v>
      </c>
      <c r="E48" s="62">
        <f>IF(E8=0,0,1000000*E8/TrRail_act!E25/1000)</f>
        <v>301.11794976512658</v>
      </c>
      <c r="F48" s="62">
        <f>IF(F8=0,0,1000000*F8/TrRail_act!F25/1000)</f>
        <v>278.7182008189925</v>
      </c>
      <c r="G48" s="62">
        <f>IF(G8=0,0,1000000*G8/TrRail_act!G25/1000)</f>
        <v>263.17422872166213</v>
      </c>
      <c r="H48" s="62">
        <f>IF(H8=0,0,1000000*H8/TrRail_act!H25/1000)</f>
        <v>227.01141449488003</v>
      </c>
      <c r="I48" s="62">
        <f>IF(I8=0,0,1000000*I8/TrRail_act!I25/1000)</f>
        <v>227.02353392805961</v>
      </c>
      <c r="J48" s="62">
        <f>IF(J8=0,0,1000000*J8/TrRail_act!J25/1000)</f>
        <v>206.96803692052333</v>
      </c>
      <c r="K48" s="62">
        <f>IF(K8=0,0,1000000*K8/TrRail_act!K25/1000)</f>
        <v>169.89702033784943</v>
      </c>
      <c r="L48" s="62">
        <f>IF(L8=0,0,1000000*L8/TrRail_act!L25/1000)</f>
        <v>150.85311312859719</v>
      </c>
      <c r="M48" s="62">
        <f>IF(M8=0,0,1000000*M8/TrRail_act!M25/1000)</f>
        <v>139.51433052979897</v>
      </c>
      <c r="N48" s="62">
        <f>IF(N8=0,0,1000000*N8/TrRail_act!N25/1000)</f>
        <v>115.52623345886906</v>
      </c>
      <c r="O48" s="62">
        <f>IF(O8=0,0,1000000*O8/TrRail_act!O25/1000)</f>
        <v>112.78581163015168</v>
      </c>
      <c r="P48" s="62">
        <f>IF(P8=0,0,1000000*P8/TrRail_act!P25/1000)</f>
        <v>118.45304718874604</v>
      </c>
      <c r="Q48" s="62">
        <f>IF(Q8=0,0,1000000*Q8/TrRail_act!Q25/1000)</f>
        <v>113.028053391965</v>
      </c>
      <c r="R48" s="62">
        <f>IF(R8=0,0,1000000*R8/TrRail_act!R25/1000)</f>
        <v>74.065533498725287</v>
      </c>
      <c r="S48" s="62">
        <f>IF(S8=0,0,1000000*S8/TrRail_act!S25/1000)</f>
        <v>69.980967527189918</v>
      </c>
      <c r="T48" s="62">
        <f>IF(T8=0,0,1000000*T8/TrRail_act!T25/1000)</f>
        <v>66.633705077233699</v>
      </c>
      <c r="U48" s="62">
        <f>IF(U8=0,0,1000000*U8/TrRail_act!U25/1000)</f>
        <v>65.976922059822968</v>
      </c>
      <c r="V48" s="62">
        <f>IF(V8=0,0,1000000*V8/TrRail_act!V25/1000)</f>
        <v>61.588303170586499</v>
      </c>
      <c r="W48" s="62">
        <f>IF(W8=0,0,1000000*W8/TrRail_act!W25/1000)</f>
        <v>60.030230327170564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522.64818030017364</v>
      </c>
      <c r="C49" s="29">
        <f>IF(C9=0,0,1000000*C9/TrRail_act!C26/1000)</f>
        <v>410.46802190834455</v>
      </c>
      <c r="D49" s="29">
        <f>IF(D9=0,0,1000000*D9/TrRail_act!D26/1000)</f>
        <v>326.3469865959637</v>
      </c>
      <c r="E49" s="29">
        <f>IF(E9=0,0,1000000*E9/TrRail_act!E26/1000)</f>
        <v>261.82769424972531</v>
      </c>
      <c r="F49" s="29">
        <f>IF(F9=0,0,1000000*F9/TrRail_act!F26/1000)</f>
        <v>238.95607927685762</v>
      </c>
      <c r="G49" s="29">
        <f>IF(G9=0,0,1000000*G9/TrRail_act!G26/1000)</f>
        <v>219.97176223890659</v>
      </c>
      <c r="H49" s="29">
        <f>IF(H9=0,0,1000000*H9/TrRail_act!H26/1000)</f>
        <v>190.0811332808328</v>
      </c>
      <c r="I49" s="29">
        <f>IF(I9=0,0,1000000*I9/TrRail_act!I26/1000)</f>
        <v>183.87944320904234</v>
      </c>
      <c r="J49" s="29">
        <f>IF(J9=0,0,1000000*J9/TrRail_act!J26/1000)</f>
        <v>173.71778172094159</v>
      </c>
      <c r="K49" s="29">
        <f>IF(K9=0,0,1000000*K9/TrRail_act!K26/1000)</f>
        <v>146.31907487456655</v>
      </c>
      <c r="L49" s="29">
        <f>IF(L9=0,0,1000000*L9/TrRail_act!L26/1000)</f>
        <v>126.69762066753724</v>
      </c>
      <c r="M49" s="29">
        <f>IF(M9=0,0,1000000*M9/TrRail_act!M26/1000)</f>
        <v>113.93487870714016</v>
      </c>
      <c r="N49" s="29">
        <f>IF(N9=0,0,1000000*N9/TrRail_act!N26/1000)</f>
        <v>92.492728308032099</v>
      </c>
      <c r="O49" s="29">
        <f>IF(O9=0,0,1000000*O9/TrRail_act!O26/1000)</f>
        <v>86.436763096688807</v>
      </c>
      <c r="P49" s="29">
        <f>IF(P9=0,0,1000000*P9/TrRail_act!P26/1000)</f>
        <v>90.103111826121889</v>
      </c>
      <c r="Q49" s="29">
        <f>IF(Q9=0,0,1000000*Q9/TrRail_act!Q26/1000)</f>
        <v>83.308863152728378</v>
      </c>
      <c r="R49" s="29">
        <f>IF(R9=0,0,1000000*R9/TrRail_act!R26/1000)</f>
        <v>58.720503801097728</v>
      </c>
      <c r="S49" s="29">
        <f>IF(S9=0,0,1000000*S9/TrRail_act!S26/1000)</f>
        <v>47.066131940782839</v>
      </c>
      <c r="T49" s="29">
        <f>IF(T9=0,0,1000000*T9/TrRail_act!T26/1000)</f>
        <v>48.267063453237789</v>
      </c>
      <c r="U49" s="29">
        <f>IF(U9=0,0,1000000*U9/TrRail_act!U26/1000)</f>
        <v>45.149166702135126</v>
      </c>
      <c r="V49" s="29">
        <f>IF(V9=0,0,1000000*V9/TrRail_act!V26/1000)</f>
        <v>36.343211472648264</v>
      </c>
      <c r="W49" s="29">
        <f>IF(W9=0,0,1000000*W9/TrRail_act!W26/1000)</f>
        <v>29.499210986819826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672.85147911070271</v>
      </c>
      <c r="C51" s="116">
        <f>IF(C11=0,0,1000000*C11/TrRail_act!C28/1000)</f>
        <v>540.34580763149484</v>
      </c>
      <c r="D51" s="116">
        <f>IF(D11=0,0,1000000*D11/TrRail_act!D28/1000)</f>
        <v>425.69761242046593</v>
      </c>
      <c r="E51" s="116">
        <f>IF(E11=0,0,1000000*E11/TrRail_act!E28/1000)</f>
        <v>375.10589925326315</v>
      </c>
      <c r="F51" s="116">
        <f>IF(F11=0,0,1000000*F11/TrRail_act!F28/1000)</f>
        <v>368.92727668708204</v>
      </c>
      <c r="G51" s="116">
        <f>IF(G11=0,0,1000000*G11/TrRail_act!G28/1000)</f>
        <v>352.54461949064847</v>
      </c>
      <c r="H51" s="116">
        <f>IF(H11=0,0,1000000*H11/TrRail_act!H28/1000)</f>
        <v>319.29942581039558</v>
      </c>
      <c r="I51" s="116">
        <f>IF(I11=0,0,1000000*I11/TrRail_act!I28/1000)</f>
        <v>317.31491025645425</v>
      </c>
      <c r="J51" s="116">
        <f>IF(J11=0,0,1000000*J11/TrRail_act!J28/1000)</f>
        <v>298.08439186291668</v>
      </c>
      <c r="K51" s="116">
        <f>IF(K11=0,0,1000000*K11/TrRail_act!K28/1000)</f>
        <v>256.68945752153013</v>
      </c>
      <c r="L51" s="116">
        <f>IF(L11=0,0,1000000*L11/TrRail_act!L28/1000)</f>
        <v>228.58509700204294</v>
      </c>
      <c r="M51" s="116">
        <f>IF(M11=0,0,1000000*M11/TrRail_act!M28/1000)</f>
        <v>213.68145048988245</v>
      </c>
      <c r="N51" s="116">
        <f>IF(N11=0,0,1000000*N11/TrRail_act!N28/1000)</f>
        <v>175.32897469530764</v>
      </c>
      <c r="O51" s="116">
        <f>IF(O11=0,0,1000000*O11/TrRail_act!O28/1000)</f>
        <v>167.78615814670945</v>
      </c>
      <c r="P51" s="116">
        <f>IF(P11=0,0,1000000*P11/TrRail_act!P28/1000)</f>
        <v>175.44354229196375</v>
      </c>
      <c r="Q51" s="116">
        <f>IF(Q11=0,0,1000000*Q11/TrRail_act!Q28/1000)</f>
        <v>161.38214884130866</v>
      </c>
      <c r="R51" s="116">
        <f>IF(R11=0,0,1000000*R11/TrRail_act!R28/1000)</f>
        <v>91.53635326887472</v>
      </c>
      <c r="S51" s="116">
        <f>IF(S11=0,0,1000000*S11/TrRail_act!S28/1000)</f>
        <v>69.26312074078858</v>
      </c>
      <c r="T51" s="116">
        <f>IF(T11=0,0,1000000*T11/TrRail_act!T28/1000)</f>
        <v>71.455027132365473</v>
      </c>
      <c r="U51" s="116">
        <f>IF(U11=0,0,1000000*U11/TrRail_act!U28/1000)</f>
        <v>68.09663293879106</v>
      </c>
      <c r="V51" s="116">
        <f>IF(V11=0,0,1000000*V11/TrRail_act!V28/1000)</f>
        <v>55.153248923380012</v>
      </c>
      <c r="W51" s="116">
        <f>IF(W11=0,0,1000000*W11/TrRail_act!W28/1000)</f>
        <v>43.504359312602908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1380.2607811028206</v>
      </c>
      <c r="C52" s="87">
        <f>IF(C12=0,0,1000000*C12/TrRail_act!C29/1000)</f>
        <v>1150.2873087190674</v>
      </c>
      <c r="D52" s="87">
        <f>IF(D12=0,0,1000000*D12/TrRail_act!D29/1000)</f>
        <v>1069.3478815517874</v>
      </c>
      <c r="E52" s="87">
        <f>IF(E12=0,0,1000000*E12/TrRail_act!E29/1000)</f>
        <v>1060.8449075200836</v>
      </c>
      <c r="F52" s="87">
        <f>IF(F12=0,0,1000000*F12/TrRail_act!F29/1000)</f>
        <v>1091.1323941279225</v>
      </c>
      <c r="G52" s="87">
        <f>IF(G12=0,0,1000000*G12/TrRail_act!G29/1000)</f>
        <v>1109.4511266692618</v>
      </c>
      <c r="H52" s="87">
        <f>IF(H12=0,0,1000000*H12/TrRail_act!H29/1000)</f>
        <v>1088.403767673062</v>
      </c>
      <c r="I52" s="87">
        <f>IF(I12=0,0,1000000*I12/TrRail_act!I29/1000)</f>
        <v>1057.7399143972605</v>
      </c>
      <c r="J52" s="87">
        <f>IF(J12=0,0,1000000*J12/TrRail_act!J29/1000)</f>
        <v>1022.4872394907059</v>
      </c>
      <c r="K52" s="87">
        <f>IF(K12=0,0,1000000*K12/TrRail_act!K29/1000)</f>
        <v>985.51264582895021</v>
      </c>
      <c r="L52" s="87">
        <f>IF(L12=0,0,1000000*L12/TrRail_act!L29/1000)</f>
        <v>953.74084142135177</v>
      </c>
      <c r="M52" s="87">
        <f>IF(M12=0,0,1000000*M12/TrRail_act!M29/1000)</f>
        <v>914.24202917314346</v>
      </c>
      <c r="N52" s="87">
        <f>IF(N12=0,0,1000000*N12/TrRail_act!N29/1000)</f>
        <v>892.50447817054339</v>
      </c>
      <c r="O52" s="87">
        <f>IF(O12=0,0,1000000*O12/TrRail_act!O29/1000)</f>
        <v>854.6799043910313</v>
      </c>
      <c r="P52" s="87">
        <f>IF(P12=0,0,1000000*P12/TrRail_act!P29/1000)</f>
        <v>818.75766490108845</v>
      </c>
      <c r="Q52" s="87">
        <f>IF(Q12=0,0,1000000*Q12/TrRail_act!Q29/1000)</f>
        <v>795.25857030974123</v>
      </c>
      <c r="R52" s="87">
        <f>IF(R12=0,0,1000000*R12/TrRail_act!R29/1000)</f>
        <v>778.07791847989427</v>
      </c>
      <c r="S52" s="87">
        <f>IF(S12=0,0,1000000*S12/TrRail_act!S29/1000)</f>
        <v>764.90133086256787</v>
      </c>
      <c r="T52" s="87">
        <f>IF(T12=0,0,1000000*T12/TrRail_act!T29/1000)</f>
        <v>756.09032967888834</v>
      </c>
      <c r="U52" s="87">
        <f>IF(U12=0,0,1000000*U12/TrRail_act!U29/1000)</f>
        <v>749.15569481014006</v>
      </c>
      <c r="V52" s="87">
        <f>IF(V12=0,0,1000000*V12/TrRail_act!V29/1000)</f>
        <v>743.99650050991875</v>
      </c>
      <c r="W52" s="87">
        <f>IF(W12=0,0,1000000*W12/TrRail_act!W29/1000)</f>
        <v>740.15041626483594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1704.8069152962191</v>
      </c>
      <c r="C55" s="29">
        <f>IF(C15=0,0,1000000*C15/TrRail_act!C32/1000)</f>
        <v>1198.717928997969</v>
      </c>
      <c r="D55" s="29">
        <f>IF(D15=0,0,1000000*D15/TrRail_act!D32/1000)</f>
        <v>1014.2931247860396</v>
      </c>
      <c r="E55" s="29">
        <f>IF(E15=0,0,1000000*E15/TrRail_act!E32/1000)</f>
        <v>874.71443171583894</v>
      </c>
      <c r="F55" s="29">
        <f>IF(F15=0,0,1000000*F15/TrRail_act!F32/1000)</f>
        <v>805.34646890323791</v>
      </c>
      <c r="G55" s="29">
        <f>IF(G15=0,0,1000000*G15/TrRail_act!G32/1000)</f>
        <v>820.94988760431715</v>
      </c>
      <c r="H55" s="29">
        <f>IF(H15=0,0,1000000*H15/TrRail_act!H32/1000)</f>
        <v>752.51666616678835</v>
      </c>
      <c r="I55" s="29">
        <f>IF(I15=0,0,1000000*I15/TrRail_act!I32/1000)</f>
        <v>829.57248649107419</v>
      </c>
      <c r="J55" s="29">
        <f>IF(J15=0,0,1000000*J15/TrRail_act!J32/1000)</f>
        <v>685.82035961068334</v>
      </c>
      <c r="K55" s="29">
        <f>IF(K15=0,0,1000000*K15/TrRail_act!K32/1000)</f>
        <v>525.52014507203921</v>
      </c>
      <c r="L55" s="29">
        <f>IF(L15=0,0,1000000*L15/TrRail_act!L32/1000)</f>
        <v>512.68443292595907</v>
      </c>
      <c r="M55" s="29">
        <f>IF(M15=0,0,1000000*M15/TrRail_act!M32/1000)</f>
        <v>520.07634990770862</v>
      </c>
      <c r="N55" s="29">
        <f>IF(N15=0,0,1000000*N15/TrRail_act!N32/1000)</f>
        <v>432.56644704361833</v>
      </c>
      <c r="O55" s="29">
        <f>IF(O15=0,0,1000000*O15/TrRail_act!O32/1000)</f>
        <v>463.83421071275626</v>
      </c>
      <c r="P55" s="29">
        <f>IF(P15=0,0,1000000*P15/TrRail_act!P32/1000)</f>
        <v>474.11775760883307</v>
      </c>
      <c r="Q55" s="29">
        <f>IF(Q15=0,0,1000000*Q15/TrRail_act!Q32/1000)</f>
        <v>467.42865512814456</v>
      </c>
      <c r="R55" s="29">
        <f>IF(R15=0,0,1000000*R15/TrRail_act!R32/1000)</f>
        <v>302.73822331012133</v>
      </c>
      <c r="S55" s="29">
        <f>IF(S15=0,0,1000000*S15/TrRail_act!S32/1000)</f>
        <v>456.05794471085642</v>
      </c>
      <c r="T55" s="29">
        <f>IF(T15=0,0,1000000*T15/TrRail_act!T32/1000)</f>
        <v>389.9228008132452</v>
      </c>
      <c r="U55" s="29">
        <f>IF(U15=0,0,1000000*U15/TrRail_act!U32/1000)</f>
        <v>450.78614160848537</v>
      </c>
      <c r="V55" s="29">
        <f>IF(V15=0,0,1000000*V15/TrRail_act!V32/1000)</f>
        <v>510.97392920404985</v>
      </c>
      <c r="W55" s="29">
        <f>IF(W15=0,0,1000000*W15/TrRail_act!W32/1000)</f>
        <v>579.42449591255797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3321.7189613529913</v>
      </c>
      <c r="C56" s="87">
        <f>IF(C16=0,0,1000000*C16/TrRail_act!C33/1000)</f>
        <v>2767.3937797872168</v>
      </c>
      <c r="D56" s="87">
        <f>IF(D16=0,0,1000000*D16/TrRail_act!D33/1000)</f>
        <v>2687.4248700502167</v>
      </c>
      <c r="E56" s="87">
        <f>IF(E16=0,0,1000000*E16/TrRail_act!E33/1000)</f>
        <v>2495.6271319694697</v>
      </c>
      <c r="F56" s="87">
        <f>IF(F16=0,0,1000000*F16/TrRail_act!F33/1000)</f>
        <v>2854.34282087884</v>
      </c>
      <c r="G56" s="87">
        <f>IF(G16=0,0,1000000*G16/TrRail_act!G33/1000)</f>
        <v>3174.8408239853338</v>
      </c>
      <c r="H56" s="87">
        <f>IF(H16=0,0,1000000*H16/TrRail_act!H33/1000)</f>
        <v>3153.0555510931495</v>
      </c>
      <c r="I56" s="87">
        <f>IF(I16=0,0,1000000*I16/TrRail_act!I33/1000)</f>
        <v>3078.4154593938692</v>
      </c>
      <c r="J56" s="87">
        <f>IF(J16=0,0,1000000*J16/TrRail_act!J33/1000)</f>
        <v>3004.0341406530956</v>
      </c>
      <c r="K56" s="87">
        <f>IF(K16=0,0,1000000*K16/TrRail_act!K33/1000)</f>
        <v>2612.6872816917162</v>
      </c>
      <c r="L56" s="87">
        <f>IF(L16=0,0,1000000*L16/TrRail_act!L33/1000)</f>
        <v>2870.3486401988011</v>
      </c>
      <c r="M56" s="87">
        <f>IF(M16=0,0,1000000*M16/TrRail_act!M33/1000)</f>
        <v>2800.4469188018143</v>
      </c>
      <c r="N56" s="87">
        <f>IF(N16=0,0,1000000*N16/TrRail_act!N33/1000)</f>
        <v>2736.8783825655037</v>
      </c>
      <c r="O56" s="87">
        <f>IF(O16=0,0,1000000*O16/TrRail_act!O33/1000)</f>
        <v>2693.2470265790239</v>
      </c>
      <c r="P56" s="87">
        <f>IF(P16=0,0,1000000*P16/TrRail_act!P33/1000)</f>
        <v>2637.6641535719364</v>
      </c>
      <c r="Q56" s="87">
        <f>IF(Q16=0,0,1000000*Q16/TrRail_act!Q33/1000)</f>
        <v>2587.5539285156356</v>
      </c>
      <c r="R56" s="87">
        <f>IF(R16=0,0,1000000*R16/TrRail_act!R33/1000)</f>
        <v>2530.2139031880229</v>
      </c>
      <c r="S56" s="87">
        <f>IF(S16=0,0,1000000*S16/TrRail_act!S33/1000)</f>
        <v>2496.9414258112693</v>
      </c>
      <c r="T56" s="87">
        <f>IF(T16=0,0,1000000*T16/TrRail_act!T33/1000)</f>
        <v>2469.7183764339579</v>
      </c>
      <c r="U56" s="87">
        <f>IF(U16=0,0,1000000*U16/TrRail_act!U33/1000)</f>
        <v>2448.2117536134569</v>
      </c>
      <c r="V56" s="87">
        <f>IF(V16=0,0,1000000*V16/TrRail_act!V33/1000)</f>
        <v>2432.2043303182622</v>
      </c>
      <c r="W56" s="87">
        <f>IF(W16=0,0,1000000*W16/TrRail_act!W33/1000)</f>
        <v>2420.267956395378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0.81030659569288355</v>
      </c>
      <c r="C60" s="31">
        <f t="shared" ref="C60:V60" si="8">IF(C9=0,0,C9/C$8)</f>
        <v>0.81035510162577351</v>
      </c>
      <c r="D60" s="31">
        <f t="shared" si="8"/>
        <v>0.80355748573787256</v>
      </c>
      <c r="E60" s="31">
        <f t="shared" si="8"/>
        <v>0.81377658920483742</v>
      </c>
      <c r="F60" s="31">
        <f t="shared" si="8"/>
        <v>0.7971518264283578</v>
      </c>
      <c r="G60" s="31">
        <f t="shared" si="8"/>
        <v>0.77575479458321939</v>
      </c>
      <c r="H60" s="31">
        <f t="shared" si="8"/>
        <v>0.7823401665533658</v>
      </c>
      <c r="I60" s="31">
        <f t="shared" si="8"/>
        <v>0.75583766295257548</v>
      </c>
      <c r="J60" s="31">
        <f t="shared" si="8"/>
        <v>0.78484813546390952</v>
      </c>
      <c r="K60" s="31">
        <f t="shared" si="8"/>
        <v>0.80767310910942192</v>
      </c>
      <c r="L60" s="31">
        <f t="shared" si="8"/>
        <v>0.78731381417627799</v>
      </c>
      <c r="M60" s="31">
        <f t="shared" si="8"/>
        <v>0.76521941466002419</v>
      </c>
      <c r="N60" s="31">
        <f t="shared" si="8"/>
        <v>0.74639420269815426</v>
      </c>
      <c r="O60" s="31">
        <f t="shared" si="8"/>
        <v>0.71287283224666931</v>
      </c>
      <c r="P60" s="31">
        <f t="shared" si="8"/>
        <v>0.70450899215792639</v>
      </c>
      <c r="Q60" s="31">
        <f t="shared" si="8"/>
        <v>0.68003728619283366</v>
      </c>
      <c r="R60" s="31">
        <f t="shared" si="8"/>
        <v>0.74296191816059964</v>
      </c>
      <c r="S60" s="31">
        <f t="shared" si="8"/>
        <v>0.63487445827251487</v>
      </c>
      <c r="T60" s="31">
        <f t="shared" si="8"/>
        <v>0.68542391519967727</v>
      </c>
      <c r="U60" s="31">
        <f t="shared" si="8"/>
        <v>0.64918073229136919</v>
      </c>
      <c r="V60" s="31">
        <f t="shared" si="8"/>
        <v>0.55871251207677608</v>
      </c>
      <c r="W60" s="31">
        <f t="shared" ref="W60" si="9">IF(W9=0,0,W9/W$8)</f>
        <v>0.46412381390155749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0.81030659569288355</v>
      </c>
      <c r="C62" s="124">
        <f t="shared" ref="C62:V62" si="12">IF(C11=0,0,C11/C$8)</f>
        <v>0.81035510162577351</v>
      </c>
      <c r="D62" s="124">
        <f t="shared" si="12"/>
        <v>0.80355748573787256</v>
      </c>
      <c r="E62" s="124">
        <f t="shared" si="12"/>
        <v>0.81377658920483742</v>
      </c>
      <c r="F62" s="124">
        <f t="shared" si="12"/>
        <v>0.7971518264283578</v>
      </c>
      <c r="G62" s="124">
        <f t="shared" si="12"/>
        <v>0.77575479458321939</v>
      </c>
      <c r="H62" s="124">
        <f t="shared" si="12"/>
        <v>0.7823401665533658</v>
      </c>
      <c r="I62" s="124">
        <f t="shared" si="12"/>
        <v>0.75583766295257548</v>
      </c>
      <c r="J62" s="124">
        <f t="shared" si="12"/>
        <v>0.78484813546390952</v>
      </c>
      <c r="K62" s="124">
        <f t="shared" si="12"/>
        <v>0.80767310910942192</v>
      </c>
      <c r="L62" s="124">
        <f t="shared" si="12"/>
        <v>0.78731381417627799</v>
      </c>
      <c r="M62" s="124">
        <f t="shared" si="12"/>
        <v>0.76521941466002419</v>
      </c>
      <c r="N62" s="124">
        <f t="shared" si="12"/>
        <v>0.74639420269815426</v>
      </c>
      <c r="O62" s="124">
        <f t="shared" si="12"/>
        <v>0.71287283224666931</v>
      </c>
      <c r="P62" s="124">
        <f t="shared" si="12"/>
        <v>0.70450899215792639</v>
      </c>
      <c r="Q62" s="124">
        <f t="shared" si="12"/>
        <v>0.68003728619283366</v>
      </c>
      <c r="R62" s="124">
        <f t="shared" si="12"/>
        <v>0.74296191816059964</v>
      </c>
      <c r="S62" s="124">
        <f t="shared" si="12"/>
        <v>0.63487445827251487</v>
      </c>
      <c r="T62" s="124">
        <f t="shared" si="12"/>
        <v>0.68542391519967727</v>
      </c>
      <c r="U62" s="124">
        <f t="shared" si="12"/>
        <v>0.64918073229136919</v>
      </c>
      <c r="V62" s="124">
        <f t="shared" si="12"/>
        <v>0.55871251207677608</v>
      </c>
      <c r="W62" s="124">
        <f t="shared" ref="W62" si="13">IF(W11=0,0,W11/W$8)</f>
        <v>0.46412381390155749</v>
      </c>
      <c r="DA62" s="176"/>
    </row>
    <row r="63" spans="1:105" ht="11.45" customHeight="1" x14ac:dyDescent="0.25">
      <c r="A63" s="111" t="s">
        <v>92</v>
      </c>
      <c r="B63" s="125">
        <f t="shared" si="5"/>
        <v>0.81030659569288355</v>
      </c>
      <c r="C63" s="125">
        <f t="shared" ref="C63:V63" si="14">IF(C12=0,0,C12/C$8)</f>
        <v>0.81035510162577351</v>
      </c>
      <c r="D63" s="125">
        <f t="shared" si="14"/>
        <v>0.80355748573787256</v>
      </c>
      <c r="E63" s="125">
        <f t="shared" si="14"/>
        <v>0.81377658920483742</v>
      </c>
      <c r="F63" s="125">
        <f t="shared" si="14"/>
        <v>0.7971518264283578</v>
      </c>
      <c r="G63" s="125">
        <f t="shared" si="14"/>
        <v>0.77575479458321939</v>
      </c>
      <c r="H63" s="125">
        <f t="shared" si="14"/>
        <v>0.7823401665533658</v>
      </c>
      <c r="I63" s="125">
        <f t="shared" si="14"/>
        <v>0.75583766295257548</v>
      </c>
      <c r="J63" s="125">
        <f t="shared" si="14"/>
        <v>0.78484813546390952</v>
      </c>
      <c r="K63" s="125">
        <f t="shared" si="14"/>
        <v>0.80767310910942192</v>
      </c>
      <c r="L63" s="125">
        <f t="shared" si="14"/>
        <v>0.78731381417627799</v>
      </c>
      <c r="M63" s="125">
        <f t="shared" si="14"/>
        <v>0.76521941466002419</v>
      </c>
      <c r="N63" s="125">
        <f t="shared" si="14"/>
        <v>0.74639420269815426</v>
      </c>
      <c r="O63" s="125">
        <f t="shared" si="14"/>
        <v>0.71287283224666931</v>
      </c>
      <c r="P63" s="125">
        <f t="shared" si="14"/>
        <v>0.70450899215792639</v>
      </c>
      <c r="Q63" s="125">
        <f t="shared" si="14"/>
        <v>0.68003728619283366</v>
      </c>
      <c r="R63" s="125">
        <f t="shared" si="14"/>
        <v>0.74296191816059964</v>
      </c>
      <c r="S63" s="125">
        <f t="shared" si="14"/>
        <v>0.63487445827251487</v>
      </c>
      <c r="T63" s="125">
        <f t="shared" si="14"/>
        <v>0.68542391519967727</v>
      </c>
      <c r="U63" s="125">
        <f t="shared" si="14"/>
        <v>0.64918073229136919</v>
      </c>
      <c r="V63" s="125">
        <f t="shared" si="14"/>
        <v>0.55871251207677608</v>
      </c>
      <c r="W63" s="125">
        <f t="shared" ref="W63" si="15">IF(W12=0,0,W12/W$8)</f>
        <v>0.46412381390155749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0.18969340430711656</v>
      </c>
      <c r="C66" s="31">
        <f t="shared" ref="C66:V66" si="20">IF(C15=0,0,C15/C$8)</f>
        <v>0.18964489837422643</v>
      </c>
      <c r="D66" s="31">
        <f t="shared" si="20"/>
        <v>0.1964425142621275</v>
      </c>
      <c r="E66" s="31">
        <f t="shared" si="20"/>
        <v>0.18622341079516258</v>
      </c>
      <c r="F66" s="31">
        <f t="shared" si="20"/>
        <v>0.20284817357164217</v>
      </c>
      <c r="G66" s="31">
        <f t="shared" si="20"/>
        <v>0.22424520541678072</v>
      </c>
      <c r="H66" s="31">
        <f t="shared" si="20"/>
        <v>0.21765983344663434</v>
      </c>
      <c r="I66" s="31">
        <f t="shared" si="20"/>
        <v>0.24416233704742449</v>
      </c>
      <c r="J66" s="31">
        <f t="shared" si="20"/>
        <v>0.21515186453609045</v>
      </c>
      <c r="K66" s="31">
        <f t="shared" si="20"/>
        <v>0.19232689089057808</v>
      </c>
      <c r="L66" s="31">
        <f t="shared" si="20"/>
        <v>0.21268618582372203</v>
      </c>
      <c r="M66" s="31">
        <f t="shared" si="20"/>
        <v>0.23478058533997589</v>
      </c>
      <c r="N66" s="31">
        <f t="shared" si="20"/>
        <v>0.25360579730184563</v>
      </c>
      <c r="O66" s="31">
        <f t="shared" si="20"/>
        <v>0.2871271677533308</v>
      </c>
      <c r="P66" s="31">
        <f t="shared" si="20"/>
        <v>0.29549100784207361</v>
      </c>
      <c r="Q66" s="31">
        <f t="shared" si="20"/>
        <v>0.3199627138071664</v>
      </c>
      <c r="R66" s="31">
        <f t="shared" si="20"/>
        <v>0.25703808183940025</v>
      </c>
      <c r="S66" s="31">
        <f t="shared" si="20"/>
        <v>0.36512554172748513</v>
      </c>
      <c r="T66" s="31">
        <f t="shared" si="20"/>
        <v>0.31457608480032262</v>
      </c>
      <c r="U66" s="31">
        <f t="shared" si="20"/>
        <v>0.35081926770863081</v>
      </c>
      <c r="V66" s="31">
        <f t="shared" si="20"/>
        <v>0.44128748792322398</v>
      </c>
      <c r="W66" s="31">
        <f t="shared" ref="W66" si="21">IF(W15=0,0,W15/W$8)</f>
        <v>0.53587618609844245</v>
      </c>
      <c r="DA66" s="173"/>
    </row>
    <row r="67" spans="1:105" ht="11.45" customHeight="1" x14ac:dyDescent="0.25">
      <c r="A67" s="83" t="s">
        <v>92</v>
      </c>
      <c r="B67" s="125">
        <f t="shared" si="5"/>
        <v>0.18969340430711656</v>
      </c>
      <c r="C67" s="125">
        <f t="shared" ref="C67:V67" si="22">IF(C16=0,0,C16/C$8)</f>
        <v>0.18964489837422643</v>
      </c>
      <c r="D67" s="125">
        <f t="shared" si="22"/>
        <v>0.1964425142621275</v>
      </c>
      <c r="E67" s="125">
        <f t="shared" si="22"/>
        <v>0.18622341079516258</v>
      </c>
      <c r="F67" s="125">
        <f t="shared" si="22"/>
        <v>0.20284817357164217</v>
      </c>
      <c r="G67" s="125">
        <f t="shared" si="22"/>
        <v>0.22424520541678072</v>
      </c>
      <c r="H67" s="125">
        <f t="shared" si="22"/>
        <v>0.21765983344663434</v>
      </c>
      <c r="I67" s="125">
        <f t="shared" si="22"/>
        <v>0.24416233704742449</v>
      </c>
      <c r="J67" s="125">
        <f t="shared" si="22"/>
        <v>0.21515186453609045</v>
      </c>
      <c r="K67" s="125">
        <f t="shared" si="22"/>
        <v>0.19232689089057808</v>
      </c>
      <c r="L67" s="125">
        <f t="shared" si="22"/>
        <v>0.21268618582372203</v>
      </c>
      <c r="M67" s="125">
        <f t="shared" si="22"/>
        <v>0.23478058533997589</v>
      </c>
      <c r="N67" s="125">
        <f t="shared" si="22"/>
        <v>0.25360579730184563</v>
      </c>
      <c r="O67" s="125">
        <f t="shared" si="22"/>
        <v>0.2871271677533308</v>
      </c>
      <c r="P67" s="125">
        <f t="shared" si="22"/>
        <v>0.29549100784207361</v>
      </c>
      <c r="Q67" s="125">
        <f t="shared" si="22"/>
        <v>0.3199627138071664</v>
      </c>
      <c r="R67" s="125">
        <f t="shared" si="22"/>
        <v>0.25703808183940025</v>
      </c>
      <c r="S67" s="125">
        <f t="shared" si="22"/>
        <v>0.36512554172748513</v>
      </c>
      <c r="T67" s="125">
        <f t="shared" si="22"/>
        <v>0.31457608480032262</v>
      </c>
      <c r="U67" s="125">
        <f t="shared" si="22"/>
        <v>0.35081926770863081</v>
      </c>
      <c r="V67" s="125">
        <f t="shared" si="22"/>
        <v>0.44128748792322398</v>
      </c>
      <c r="W67" s="125">
        <f t="shared" ref="W67" si="23">IF(W16=0,0,W16/W$8)</f>
        <v>0.53587618609844245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20620.659553292237</v>
      </c>
      <c r="C4" s="11">
        <f t="shared" si="0"/>
        <v>20159.417977007972</v>
      </c>
      <c r="D4" s="11">
        <f t="shared" ref="D4:V4" si="1">SUM(D5:D7)</f>
        <v>20502.659200987706</v>
      </c>
      <c r="E4" s="11">
        <f t="shared" si="1"/>
        <v>20723.527723815394</v>
      </c>
      <c r="F4" s="11">
        <f t="shared" si="1"/>
        <v>21485.707010377475</v>
      </c>
      <c r="G4" s="11">
        <f t="shared" si="1"/>
        <v>23075.524672143769</v>
      </c>
      <c r="H4" s="11">
        <f t="shared" si="1"/>
        <v>24372.564683264212</v>
      </c>
      <c r="I4" s="11">
        <f t="shared" si="1"/>
        <v>26904.970315822837</v>
      </c>
      <c r="J4" s="11">
        <f t="shared" si="1"/>
        <v>27749.836411463919</v>
      </c>
      <c r="K4" s="11">
        <f t="shared" si="1"/>
        <v>26887.140210879639</v>
      </c>
      <c r="L4" s="11">
        <f t="shared" si="1"/>
        <v>28921.918869776222</v>
      </c>
      <c r="M4" s="11">
        <f t="shared" si="1"/>
        <v>30949.48768183677</v>
      </c>
      <c r="N4" s="11">
        <f t="shared" si="1"/>
        <v>31975.261130561074</v>
      </c>
      <c r="O4" s="11">
        <f t="shared" si="1"/>
        <v>33559.318871029209</v>
      </c>
      <c r="P4" s="11">
        <f t="shared" si="1"/>
        <v>36071.994151032748</v>
      </c>
      <c r="Q4" s="11">
        <f t="shared" si="1"/>
        <v>38432.637678966305</v>
      </c>
      <c r="R4" s="11">
        <f t="shared" si="1"/>
        <v>43294.565155783494</v>
      </c>
      <c r="S4" s="11">
        <f t="shared" si="1"/>
        <v>50722.00546969581</v>
      </c>
      <c r="T4" s="11">
        <f t="shared" si="1"/>
        <v>55695.432028293762</v>
      </c>
      <c r="U4" s="11">
        <f t="shared" si="1"/>
        <v>61568.965303983969</v>
      </c>
      <c r="V4" s="11">
        <f t="shared" si="1"/>
        <v>19126.455310444464</v>
      </c>
      <c r="W4" s="11">
        <f t="shared" ref="W4" si="2">SUM(W5:W7)</f>
        <v>24502.375138078169</v>
      </c>
      <c r="DA4" s="189" t="s">
        <v>189</v>
      </c>
    </row>
    <row r="5" spans="1:105" ht="11.45" customHeight="1" x14ac:dyDescent="0.25">
      <c r="A5" s="83" t="s">
        <v>27</v>
      </c>
      <c r="B5" s="84">
        <v>2294.2930642270881</v>
      </c>
      <c r="C5" s="84">
        <v>2361.6355087898551</v>
      </c>
      <c r="D5" s="84">
        <v>2400.6222978771762</v>
      </c>
      <c r="E5" s="84">
        <v>2343.0842914313739</v>
      </c>
      <c r="F5" s="84">
        <v>2461.1048743589754</v>
      </c>
      <c r="G5" s="84">
        <v>2521.9397876835278</v>
      </c>
      <c r="H5" s="84">
        <v>2076.159717734688</v>
      </c>
      <c r="I5" s="84">
        <v>2082.8061526086499</v>
      </c>
      <c r="J5" s="84">
        <v>2186.7911242093332</v>
      </c>
      <c r="K5" s="84">
        <v>2389.4551115456479</v>
      </c>
      <c r="L5" s="84">
        <v>2421.8079873141478</v>
      </c>
      <c r="M5" s="84">
        <v>2222.6347126151591</v>
      </c>
      <c r="N5" s="84">
        <v>2232.2132962710539</v>
      </c>
      <c r="O5" s="84">
        <v>2322.1691698620984</v>
      </c>
      <c r="P5" s="84">
        <v>2319.0282931864631</v>
      </c>
      <c r="Q5" s="84">
        <v>2909.3717059229434</v>
      </c>
      <c r="R5" s="84">
        <v>3606.0848769095664</v>
      </c>
      <c r="S5" s="84">
        <v>4181.8080341853456</v>
      </c>
      <c r="T5" s="84">
        <v>4353.2570955315778</v>
      </c>
      <c r="U5" s="84">
        <v>4407.6003878604406</v>
      </c>
      <c r="V5" s="84">
        <v>1521.7169811556703</v>
      </c>
      <c r="W5" s="84">
        <v>2832.1988234023538</v>
      </c>
      <c r="DA5" s="171" t="s">
        <v>190</v>
      </c>
    </row>
    <row r="6" spans="1:105" ht="11.45" customHeight="1" x14ac:dyDescent="0.25">
      <c r="A6" s="83" t="s">
        <v>173</v>
      </c>
      <c r="B6" s="84">
        <v>12562.718137919519</v>
      </c>
      <c r="C6" s="84">
        <v>12156.534885301679</v>
      </c>
      <c r="D6" s="84">
        <v>12182.361992573868</v>
      </c>
      <c r="E6" s="84">
        <v>12144.541664921086</v>
      </c>
      <c r="F6" s="84">
        <v>12450.983814886782</v>
      </c>
      <c r="G6" s="84">
        <v>13090.818762911749</v>
      </c>
      <c r="H6" s="84">
        <v>14221.382819646329</v>
      </c>
      <c r="I6" s="84">
        <v>15413.055638673261</v>
      </c>
      <c r="J6" s="84">
        <v>15231.146650979808</v>
      </c>
      <c r="K6" s="84">
        <v>14394.444198424868</v>
      </c>
      <c r="L6" s="84">
        <v>15150.473064615355</v>
      </c>
      <c r="M6" s="84">
        <v>16484.222970965187</v>
      </c>
      <c r="N6" s="84">
        <v>16873.951997594875</v>
      </c>
      <c r="O6" s="84">
        <v>18188.119977839888</v>
      </c>
      <c r="P6" s="84">
        <v>19934.737766865805</v>
      </c>
      <c r="Q6" s="84">
        <v>21621.280518697185</v>
      </c>
      <c r="R6" s="84">
        <v>24851.015860091455</v>
      </c>
      <c r="S6" s="84">
        <v>28778.496034904631</v>
      </c>
      <c r="T6" s="84">
        <v>30359.717089552058</v>
      </c>
      <c r="U6" s="84">
        <v>32142.96323720675</v>
      </c>
      <c r="V6" s="84">
        <v>10222.939387079621</v>
      </c>
      <c r="W6" s="84">
        <v>13089.763119347981</v>
      </c>
      <c r="DA6" s="171" t="s">
        <v>191</v>
      </c>
    </row>
    <row r="7" spans="1:105" ht="11.45" customHeight="1" x14ac:dyDescent="0.25">
      <c r="A7" s="83" t="s">
        <v>174</v>
      </c>
      <c r="B7" s="84">
        <v>5763.648351145629</v>
      </c>
      <c r="C7" s="84">
        <v>5641.2475829164378</v>
      </c>
      <c r="D7" s="84">
        <v>5919.6749105366607</v>
      </c>
      <c r="E7" s="84">
        <v>6235.9017674629349</v>
      </c>
      <c r="F7" s="84">
        <v>6573.6183211317193</v>
      </c>
      <c r="G7" s="84">
        <v>7462.7661215484904</v>
      </c>
      <c r="H7" s="84">
        <v>8075.0221458831938</v>
      </c>
      <c r="I7" s="84">
        <v>9409.1085245409249</v>
      </c>
      <c r="J7" s="84">
        <v>10331.89863627478</v>
      </c>
      <c r="K7" s="84">
        <v>10103.240900909126</v>
      </c>
      <c r="L7" s="84">
        <v>11349.637817846718</v>
      </c>
      <c r="M7" s="84">
        <v>12242.629998256425</v>
      </c>
      <c r="N7" s="84">
        <v>12869.095836695145</v>
      </c>
      <c r="O7" s="84">
        <v>13049.029723327219</v>
      </c>
      <c r="P7" s="84">
        <v>13818.228090980478</v>
      </c>
      <c r="Q7" s="84">
        <v>13901.985454346173</v>
      </c>
      <c r="R7" s="84">
        <v>14837.464418782474</v>
      </c>
      <c r="S7" s="84">
        <v>17761.701400605831</v>
      </c>
      <c r="T7" s="84">
        <v>20982.457843210126</v>
      </c>
      <c r="U7" s="84">
        <v>25018.40167891678</v>
      </c>
      <c r="V7" s="84">
        <v>7381.7989422091723</v>
      </c>
      <c r="W7" s="84">
        <v>8580.4131953278338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174.31540607663754</v>
      </c>
      <c r="C8" s="13">
        <f t="shared" si="3"/>
        <v>171.04885436223381</v>
      </c>
      <c r="D8" s="13">
        <f t="shared" ref="D8:V8" si="4">SUM(D9:D11)</f>
        <v>164.36363408627977</v>
      </c>
      <c r="E8" s="13">
        <f t="shared" si="4"/>
        <v>143.99554612744049</v>
      </c>
      <c r="F8" s="13">
        <f t="shared" si="4"/>
        <v>146.14484820789096</v>
      </c>
      <c r="G8" s="13">
        <f t="shared" si="4"/>
        <v>165.02879346441148</v>
      </c>
      <c r="H8" s="13">
        <f t="shared" si="4"/>
        <v>200.18453320791031</v>
      </c>
      <c r="I8" s="13">
        <f t="shared" si="4"/>
        <v>224.70567323413468</v>
      </c>
      <c r="J8" s="13">
        <f t="shared" si="4"/>
        <v>251.24372182331575</v>
      </c>
      <c r="K8" s="13">
        <f t="shared" si="4"/>
        <v>238.63852643818797</v>
      </c>
      <c r="L8" s="13">
        <f t="shared" si="4"/>
        <v>294.83348548063037</v>
      </c>
      <c r="M8" s="13">
        <f t="shared" si="4"/>
        <v>279.52630761022294</v>
      </c>
      <c r="N8" s="13">
        <f t="shared" si="4"/>
        <v>311.93964971707885</v>
      </c>
      <c r="O8" s="13">
        <f t="shared" si="4"/>
        <v>292.42346956797121</v>
      </c>
      <c r="P8" s="13">
        <f t="shared" si="4"/>
        <v>305.35738009087351</v>
      </c>
      <c r="Q8" s="13">
        <f t="shared" si="4"/>
        <v>274.38359956112703</v>
      </c>
      <c r="R8" s="13">
        <f t="shared" si="4"/>
        <v>256.98016720206931</v>
      </c>
      <c r="S8" s="13">
        <f t="shared" si="4"/>
        <v>337.29392402567987</v>
      </c>
      <c r="T8" s="13">
        <f t="shared" si="4"/>
        <v>349.3478397892294</v>
      </c>
      <c r="U8" s="13">
        <f t="shared" si="4"/>
        <v>363.3611943709472</v>
      </c>
      <c r="V8" s="13">
        <f t="shared" si="4"/>
        <v>218.27806762258834</v>
      </c>
      <c r="W8" s="13">
        <f t="shared" ref="W8" si="5">SUM(W9:W11)</f>
        <v>271.27123827955558</v>
      </c>
      <c r="DA8" s="193" t="s">
        <v>193</v>
      </c>
    </row>
    <row r="9" spans="1:105" ht="11.45" customHeight="1" x14ac:dyDescent="0.25">
      <c r="A9" s="92" t="s">
        <v>27</v>
      </c>
      <c r="B9" s="102">
        <v>4.372597578092658</v>
      </c>
      <c r="C9" s="102">
        <v>3.9708942413801731</v>
      </c>
      <c r="D9" s="102">
        <v>4.0225695030326722</v>
      </c>
      <c r="E9" s="102">
        <v>4.1419842953642059</v>
      </c>
      <c r="F9" s="102">
        <v>3.9960576194158022</v>
      </c>
      <c r="G9" s="102">
        <v>4.6294665229823826</v>
      </c>
      <c r="H9" s="102">
        <v>6.3896189296563621</v>
      </c>
      <c r="I9" s="102">
        <v>7.9667580712220332</v>
      </c>
      <c r="J9" s="102">
        <v>9.7017235814585625</v>
      </c>
      <c r="K9" s="102">
        <v>11.014074900629769</v>
      </c>
      <c r="L9" s="102">
        <v>12.203635473695792</v>
      </c>
      <c r="M9" s="102">
        <v>7.9713815306462479</v>
      </c>
      <c r="N9" s="102">
        <v>6.4444572696819806</v>
      </c>
      <c r="O9" s="102">
        <v>5.7579717393750913</v>
      </c>
      <c r="P9" s="102">
        <v>5.284672012312468</v>
      </c>
      <c r="Q9" s="102">
        <v>5.0707542434348643</v>
      </c>
      <c r="R9" s="102">
        <v>4.7637165404530819</v>
      </c>
      <c r="S9" s="102">
        <v>5.1101629721060355</v>
      </c>
      <c r="T9" s="102">
        <v>5.0364371407509836</v>
      </c>
      <c r="U9" s="102">
        <v>6.2002219811322998</v>
      </c>
      <c r="V9" s="102">
        <v>4.8888531300547085</v>
      </c>
      <c r="W9" s="102">
        <v>6.6703154563852287</v>
      </c>
      <c r="DA9" s="175" t="s">
        <v>194</v>
      </c>
    </row>
    <row r="10" spans="1:105" ht="11.45" customHeight="1" x14ac:dyDescent="0.25">
      <c r="A10" s="92" t="s">
        <v>173</v>
      </c>
      <c r="B10" s="102">
        <v>65.044144857564476</v>
      </c>
      <c r="C10" s="102">
        <v>60.94168302785409</v>
      </c>
      <c r="D10" s="102">
        <v>57.825519144447902</v>
      </c>
      <c r="E10" s="102">
        <v>51.750860978285139</v>
      </c>
      <c r="F10" s="102">
        <v>49.483916920076489</v>
      </c>
      <c r="G10" s="102">
        <v>48.990791843779924</v>
      </c>
      <c r="H10" s="102">
        <v>54.099758849776279</v>
      </c>
      <c r="I10" s="102">
        <v>52.70620256481962</v>
      </c>
      <c r="J10" s="102">
        <v>49.600555154006116</v>
      </c>
      <c r="K10" s="102">
        <v>44.940252147026143</v>
      </c>
      <c r="L10" s="102">
        <v>46.985429587354886</v>
      </c>
      <c r="M10" s="102">
        <v>39.186722938718013</v>
      </c>
      <c r="N10" s="102">
        <v>38.409633984382978</v>
      </c>
      <c r="O10" s="102">
        <v>33.938172417075947</v>
      </c>
      <c r="P10" s="102">
        <v>36.19902752873471</v>
      </c>
      <c r="Q10" s="102">
        <v>36.685250222126491</v>
      </c>
      <c r="R10" s="102">
        <v>36.402349245930395</v>
      </c>
      <c r="S10" s="102">
        <v>39.020941292604547</v>
      </c>
      <c r="T10" s="102">
        <v>42.127910726887563</v>
      </c>
      <c r="U10" s="102">
        <v>43.120425860387392</v>
      </c>
      <c r="V10" s="102">
        <v>36.087488604940447</v>
      </c>
      <c r="W10" s="102">
        <v>40.195839634203864</v>
      </c>
      <c r="DA10" s="175" t="s">
        <v>195</v>
      </c>
    </row>
    <row r="11" spans="1:105" ht="11.45" customHeight="1" x14ac:dyDescent="0.25">
      <c r="A11" s="85" t="s">
        <v>174</v>
      </c>
      <c r="B11" s="86">
        <v>104.89866364098043</v>
      </c>
      <c r="C11" s="86">
        <v>106.13627709299955</v>
      </c>
      <c r="D11" s="86">
        <v>102.51554543879921</v>
      </c>
      <c r="E11" s="86">
        <v>88.102700853791148</v>
      </c>
      <c r="F11" s="86">
        <v>92.664873668398684</v>
      </c>
      <c r="G11" s="86">
        <v>111.40853509764916</v>
      </c>
      <c r="H11" s="86">
        <v>139.69515542847768</v>
      </c>
      <c r="I11" s="86">
        <v>164.03271259809301</v>
      </c>
      <c r="J11" s="86">
        <v>191.94144308785107</v>
      </c>
      <c r="K11" s="86">
        <v>182.68419939053206</v>
      </c>
      <c r="L11" s="86">
        <v>235.64442041957969</v>
      </c>
      <c r="M11" s="86">
        <v>232.36820314085867</v>
      </c>
      <c r="N11" s="86">
        <v>267.08555846301391</v>
      </c>
      <c r="O11" s="86">
        <v>252.72732541152016</v>
      </c>
      <c r="P11" s="86">
        <v>263.8736805498263</v>
      </c>
      <c r="Q11" s="86">
        <v>232.62759509556568</v>
      </c>
      <c r="R11" s="86">
        <v>215.81410141568585</v>
      </c>
      <c r="S11" s="86">
        <v>293.16281976096928</v>
      </c>
      <c r="T11" s="86">
        <v>302.18349192159087</v>
      </c>
      <c r="U11" s="86">
        <v>314.0405465294275</v>
      </c>
      <c r="V11" s="86">
        <v>177.30172588759319</v>
      </c>
      <c r="W11" s="86">
        <v>224.40508318896647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182.81363156051199</v>
      </c>
      <c r="C13" s="54">
        <f t="shared" si="6"/>
        <v>177.26590181394656</v>
      </c>
      <c r="D13" s="54">
        <f t="shared" ref="D13:V13" si="7">SUM(D14,D18)</f>
        <v>174.38076988453983</v>
      </c>
      <c r="E13" s="54">
        <f t="shared" si="7"/>
        <v>178.1850768949804</v>
      </c>
      <c r="F13" s="54">
        <f t="shared" si="7"/>
        <v>181.9539362789582</v>
      </c>
      <c r="G13" s="54">
        <f t="shared" si="7"/>
        <v>199.2286678528815</v>
      </c>
      <c r="H13" s="54">
        <f t="shared" si="7"/>
        <v>217.09776166879223</v>
      </c>
      <c r="I13" s="54">
        <f t="shared" si="7"/>
        <v>237.48367173900806</v>
      </c>
      <c r="J13" s="54">
        <f t="shared" si="7"/>
        <v>236.52015966089274</v>
      </c>
      <c r="K13" s="54">
        <f t="shared" si="7"/>
        <v>218.21463752040825</v>
      </c>
      <c r="L13" s="54">
        <f t="shared" si="7"/>
        <v>230.21946766810032</v>
      </c>
      <c r="M13" s="54">
        <f t="shared" si="7"/>
        <v>236.82516714894581</v>
      </c>
      <c r="N13" s="54">
        <f t="shared" si="7"/>
        <v>238.19712672836661</v>
      </c>
      <c r="O13" s="54">
        <f t="shared" si="7"/>
        <v>244.34964407936903</v>
      </c>
      <c r="P13" s="54">
        <f t="shared" si="7"/>
        <v>259.96858000056181</v>
      </c>
      <c r="Q13" s="54">
        <f t="shared" si="7"/>
        <v>274.76475739699788</v>
      </c>
      <c r="R13" s="54">
        <f t="shared" si="7"/>
        <v>307.57851863396127</v>
      </c>
      <c r="S13" s="54">
        <f t="shared" si="7"/>
        <v>343.91667498594012</v>
      </c>
      <c r="T13" s="54">
        <f t="shared" si="7"/>
        <v>376.96850186908944</v>
      </c>
      <c r="U13" s="54">
        <f t="shared" si="7"/>
        <v>403.49189376953598</v>
      </c>
      <c r="V13" s="54">
        <f t="shared" si="7"/>
        <v>160.2873935958568</v>
      </c>
      <c r="W13" s="54">
        <f t="shared" ref="W13" si="8">SUM(W14,W18)</f>
        <v>212.47530456048119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178.59344859396387</v>
      </c>
      <c r="C14" s="11">
        <f t="shared" si="9"/>
        <v>173.38002500779265</v>
      </c>
      <c r="D14" s="11">
        <f t="shared" ref="D14:V14" si="10">SUM(D15:D17)</f>
        <v>170.44758852277306</v>
      </c>
      <c r="E14" s="11">
        <f t="shared" si="10"/>
        <v>174.61890981636924</v>
      </c>
      <c r="F14" s="11">
        <f t="shared" si="10"/>
        <v>178.13363490595441</v>
      </c>
      <c r="G14" s="11">
        <f t="shared" si="10"/>
        <v>194.95110914492179</v>
      </c>
      <c r="H14" s="11">
        <f t="shared" si="10"/>
        <v>211.46691983126323</v>
      </c>
      <c r="I14" s="11">
        <f t="shared" si="10"/>
        <v>231.27608485533011</v>
      </c>
      <c r="J14" s="11">
        <f t="shared" si="10"/>
        <v>229.75523202526495</v>
      </c>
      <c r="K14" s="11">
        <f t="shared" si="10"/>
        <v>212.18698186647299</v>
      </c>
      <c r="L14" s="11">
        <f t="shared" si="10"/>
        <v>223.35868975327432</v>
      </c>
      <c r="M14" s="11">
        <f t="shared" si="10"/>
        <v>231.04241716352882</v>
      </c>
      <c r="N14" s="11">
        <f t="shared" si="10"/>
        <v>232.48659209431062</v>
      </c>
      <c r="O14" s="11">
        <f t="shared" si="10"/>
        <v>239.10918091318962</v>
      </c>
      <c r="P14" s="11">
        <f t="shared" si="10"/>
        <v>255.15546292982211</v>
      </c>
      <c r="Q14" s="11">
        <f t="shared" si="10"/>
        <v>270.25472411415808</v>
      </c>
      <c r="R14" s="11">
        <f t="shared" si="10"/>
        <v>303.66163490923174</v>
      </c>
      <c r="S14" s="11">
        <f t="shared" si="10"/>
        <v>338.84475619961904</v>
      </c>
      <c r="T14" s="11">
        <f t="shared" si="10"/>
        <v>371.74326936107764</v>
      </c>
      <c r="U14" s="11">
        <f t="shared" si="10"/>
        <v>398.2753758204633</v>
      </c>
      <c r="V14" s="11">
        <f t="shared" si="10"/>
        <v>155.66783024590862</v>
      </c>
      <c r="W14" s="11">
        <f t="shared" ref="W14" si="11">SUM(W15:W17)</f>
        <v>206.54273063196479</v>
      </c>
      <c r="DA14" s="189" t="s">
        <v>198</v>
      </c>
    </row>
    <row r="15" spans="1:105" ht="11.45" customHeight="1" x14ac:dyDescent="0.25">
      <c r="A15" s="83" t="s">
        <v>27</v>
      </c>
      <c r="B15" s="84">
        <v>21.374394832986344</v>
      </c>
      <c r="C15" s="84">
        <v>21.990337665603523</v>
      </c>
      <c r="D15" s="84">
        <v>23.402105930494464</v>
      </c>
      <c r="E15" s="84">
        <v>22.802290503363736</v>
      </c>
      <c r="F15" s="84">
        <v>25.744301434988397</v>
      </c>
      <c r="G15" s="84">
        <v>27.424792932327179</v>
      </c>
      <c r="H15" s="84">
        <v>23.926049411733974</v>
      </c>
      <c r="I15" s="84">
        <v>22.64943916068038</v>
      </c>
      <c r="J15" s="84">
        <v>23.887594667713955</v>
      </c>
      <c r="K15" s="84">
        <v>22.123841989992005</v>
      </c>
      <c r="L15" s="84">
        <v>22.31719361786223</v>
      </c>
      <c r="M15" s="84">
        <v>21.085781858035439</v>
      </c>
      <c r="N15" s="84">
        <v>20.62234685871239</v>
      </c>
      <c r="O15" s="84">
        <v>20.529973938524062</v>
      </c>
      <c r="P15" s="84">
        <v>21.559139487838326</v>
      </c>
      <c r="Q15" s="84">
        <v>23.608592096206792</v>
      </c>
      <c r="R15" s="84">
        <v>34.670780571510271</v>
      </c>
      <c r="S15" s="84">
        <v>35.49231436003425</v>
      </c>
      <c r="T15" s="84">
        <v>37.490044412163257</v>
      </c>
      <c r="U15" s="84">
        <v>40.359075261223666</v>
      </c>
      <c r="V15" s="84">
        <v>20.022219796756811</v>
      </c>
      <c r="W15" s="84">
        <v>28.279750979340445</v>
      </c>
      <c r="DA15" s="171" t="s">
        <v>199</v>
      </c>
    </row>
    <row r="16" spans="1:105" ht="11.45" customHeight="1" x14ac:dyDescent="0.25">
      <c r="A16" s="83" t="s">
        <v>173</v>
      </c>
      <c r="B16" s="84">
        <v>109.50572681506581</v>
      </c>
      <c r="C16" s="84">
        <v>105.44657349701831</v>
      </c>
      <c r="D16" s="84">
        <v>102.42119713258209</v>
      </c>
      <c r="E16" s="84">
        <v>104.92756010801527</v>
      </c>
      <c r="F16" s="84">
        <v>107.88280054568691</v>
      </c>
      <c r="G16" s="84">
        <v>116.24709908871378</v>
      </c>
      <c r="H16" s="84">
        <v>132.6487891296141</v>
      </c>
      <c r="I16" s="84">
        <v>145.24792185529446</v>
      </c>
      <c r="J16" s="84">
        <v>141.3271490366798</v>
      </c>
      <c r="K16" s="84">
        <v>128.55233039134518</v>
      </c>
      <c r="L16" s="84">
        <v>134.37817118291315</v>
      </c>
      <c r="M16" s="84">
        <v>139.65370126049788</v>
      </c>
      <c r="N16" s="84">
        <v>138.64938121678568</v>
      </c>
      <c r="O16" s="84">
        <v>146.25795831573294</v>
      </c>
      <c r="P16" s="84">
        <v>156.51548253604824</v>
      </c>
      <c r="Q16" s="84">
        <v>167.91150387078764</v>
      </c>
      <c r="R16" s="84">
        <v>184.76887350702057</v>
      </c>
      <c r="S16" s="84">
        <v>206.1394728714296</v>
      </c>
      <c r="T16" s="84">
        <v>220.71723538354598</v>
      </c>
      <c r="U16" s="84">
        <v>225.76282470040053</v>
      </c>
      <c r="V16" s="84">
        <v>89.324470199074455</v>
      </c>
      <c r="W16" s="84">
        <v>118.53651623227695</v>
      </c>
      <c r="DA16" s="171" t="s">
        <v>200</v>
      </c>
    </row>
    <row r="17" spans="1:105" ht="11.45" customHeight="1" x14ac:dyDescent="0.25">
      <c r="A17" s="83" t="s">
        <v>174</v>
      </c>
      <c r="B17" s="84">
        <v>47.713326945911717</v>
      </c>
      <c r="C17" s="84">
        <v>45.943113845170842</v>
      </c>
      <c r="D17" s="84">
        <v>44.62428545969648</v>
      </c>
      <c r="E17" s="84">
        <v>46.889059204990247</v>
      </c>
      <c r="F17" s="84">
        <v>44.506532925279117</v>
      </c>
      <c r="G17" s="84">
        <v>51.279217123880834</v>
      </c>
      <c r="H17" s="84">
        <v>54.892081289915147</v>
      </c>
      <c r="I17" s="84">
        <v>63.378723839355288</v>
      </c>
      <c r="J17" s="84">
        <v>64.540488320871205</v>
      </c>
      <c r="K17" s="84">
        <v>61.510809485135809</v>
      </c>
      <c r="L17" s="84">
        <v>66.663324952498925</v>
      </c>
      <c r="M17" s="84">
        <v>70.30293404499551</v>
      </c>
      <c r="N17" s="84">
        <v>73.214864018812563</v>
      </c>
      <c r="O17" s="84">
        <v>72.321248658932618</v>
      </c>
      <c r="P17" s="84">
        <v>77.080840905935531</v>
      </c>
      <c r="Q17" s="84">
        <v>78.734628147163647</v>
      </c>
      <c r="R17" s="84">
        <v>84.221980830700872</v>
      </c>
      <c r="S17" s="84">
        <v>97.212968968155195</v>
      </c>
      <c r="T17" s="84">
        <v>113.53598956536837</v>
      </c>
      <c r="U17" s="84">
        <v>132.1534758588391</v>
      </c>
      <c r="V17" s="84">
        <v>46.321140250077356</v>
      </c>
      <c r="W17" s="84">
        <v>59.726463420347372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4.2201829665481325</v>
      </c>
      <c r="C18" s="13">
        <f t="shared" si="12"/>
        <v>3.8858768061539015</v>
      </c>
      <c r="D18" s="13">
        <f t="shared" ref="D18:V18" si="13">SUM(D19:D21)</f>
        <v>3.9331813617667812</v>
      </c>
      <c r="E18" s="13">
        <f t="shared" si="13"/>
        <v>3.5661670786111488</v>
      </c>
      <c r="F18" s="13">
        <f t="shared" si="13"/>
        <v>3.820301373003784</v>
      </c>
      <c r="G18" s="13">
        <f t="shared" si="13"/>
        <v>4.2775587079597104</v>
      </c>
      <c r="H18" s="13">
        <f t="shared" si="13"/>
        <v>5.6308418375289992</v>
      </c>
      <c r="I18" s="13">
        <f t="shared" si="13"/>
        <v>6.2075868836779389</v>
      </c>
      <c r="J18" s="13">
        <f t="shared" si="13"/>
        <v>6.7649276356277914</v>
      </c>
      <c r="K18" s="13">
        <f t="shared" si="13"/>
        <v>6.0276556539352582</v>
      </c>
      <c r="L18" s="13">
        <f t="shared" si="13"/>
        <v>6.8607779148260093</v>
      </c>
      <c r="M18" s="13">
        <f t="shared" si="13"/>
        <v>5.7827499854169737</v>
      </c>
      <c r="N18" s="13">
        <f t="shared" si="13"/>
        <v>5.710534634055989</v>
      </c>
      <c r="O18" s="13">
        <f t="shared" si="13"/>
        <v>5.2404631661794134</v>
      </c>
      <c r="P18" s="13">
        <f t="shared" si="13"/>
        <v>4.8131170707397173</v>
      </c>
      <c r="Q18" s="13">
        <f t="shared" si="13"/>
        <v>4.5100332828397907</v>
      </c>
      <c r="R18" s="13">
        <f t="shared" si="13"/>
        <v>3.916883724729546</v>
      </c>
      <c r="S18" s="13">
        <f t="shared" si="13"/>
        <v>5.0719187863210546</v>
      </c>
      <c r="T18" s="13">
        <f t="shared" si="13"/>
        <v>5.2252325080117723</v>
      </c>
      <c r="U18" s="13">
        <f t="shared" si="13"/>
        <v>5.2165179490726823</v>
      </c>
      <c r="V18" s="13">
        <f t="shared" si="13"/>
        <v>4.619563349948189</v>
      </c>
      <c r="W18" s="13">
        <f t="shared" ref="W18" si="14">SUM(W19:W21)</f>
        <v>5.9325739285164047</v>
      </c>
      <c r="DA18" s="193" t="s">
        <v>202</v>
      </c>
    </row>
    <row r="19" spans="1:105" ht="11.45" customHeight="1" x14ac:dyDescent="0.25">
      <c r="A19" s="92" t="s">
        <v>27</v>
      </c>
      <c r="B19" s="102">
        <v>0.31750297838205971</v>
      </c>
      <c r="C19" s="102">
        <v>0.29054984392439265</v>
      </c>
      <c r="D19" s="102">
        <v>0.28622250582339104</v>
      </c>
      <c r="E19" s="102">
        <v>0.27707327669555909</v>
      </c>
      <c r="F19" s="102">
        <v>0.28387337942570445</v>
      </c>
      <c r="G19" s="102">
        <v>0.33605062222222221</v>
      </c>
      <c r="H19" s="102">
        <v>0.48219384373987229</v>
      </c>
      <c r="I19" s="102">
        <v>0.60345353310276806</v>
      </c>
      <c r="J19" s="102">
        <v>0.76382591162911773</v>
      </c>
      <c r="K19" s="102">
        <v>0.85972166129085759</v>
      </c>
      <c r="L19" s="102">
        <v>0.89062373513513515</v>
      </c>
      <c r="M19" s="102">
        <v>0.5176195373379856</v>
      </c>
      <c r="N19" s="102">
        <v>0.41961597667910444</v>
      </c>
      <c r="O19" s="102">
        <v>0.3666891606897128</v>
      </c>
      <c r="P19" s="102">
        <v>0.31296782095531844</v>
      </c>
      <c r="Q19" s="102">
        <v>0.29132450691088874</v>
      </c>
      <c r="R19" s="102">
        <v>0.22957973429902162</v>
      </c>
      <c r="S19" s="102">
        <v>0.27437287325730242</v>
      </c>
      <c r="T19" s="102">
        <v>0.27314408866995071</v>
      </c>
      <c r="U19" s="102">
        <v>0.30895467999999998</v>
      </c>
      <c r="V19" s="102">
        <v>0.2584062219953896</v>
      </c>
      <c r="W19" s="102">
        <v>0.33728438627534613</v>
      </c>
      <c r="DA19" s="175" t="s">
        <v>203</v>
      </c>
    </row>
    <row r="20" spans="1:105" ht="11.45" customHeight="1" x14ac:dyDescent="0.25">
      <c r="A20" s="92" t="s">
        <v>173</v>
      </c>
      <c r="B20" s="102">
        <v>2.5885899414459019</v>
      </c>
      <c r="C20" s="102">
        <v>2.3261082829583195</v>
      </c>
      <c r="D20" s="102">
        <v>2.3488942975978553</v>
      </c>
      <c r="E20" s="102">
        <v>2.0615413924184547</v>
      </c>
      <c r="F20" s="102">
        <v>2.2063124584832727</v>
      </c>
      <c r="G20" s="102">
        <v>2.2410717924682571</v>
      </c>
      <c r="H20" s="102">
        <v>2.9429938589626303</v>
      </c>
      <c r="I20" s="102">
        <v>2.970343105739027</v>
      </c>
      <c r="J20" s="102">
        <v>2.8557394551372397</v>
      </c>
      <c r="K20" s="102">
        <v>2.5134414262861742</v>
      </c>
      <c r="L20" s="102">
        <v>2.6022121388745485</v>
      </c>
      <c r="M20" s="102">
        <v>2.0741148657302206</v>
      </c>
      <c r="N20" s="102">
        <v>1.853395346353262</v>
      </c>
      <c r="O20" s="102">
        <v>1.6385185534228681</v>
      </c>
      <c r="P20" s="102">
        <v>1.5308737346111874</v>
      </c>
      <c r="Q20" s="102">
        <v>1.5815632165553914</v>
      </c>
      <c r="R20" s="102">
        <v>1.4427328709578009</v>
      </c>
      <c r="S20" s="102">
        <v>1.6921251720624604</v>
      </c>
      <c r="T20" s="102">
        <v>1.7968484193418215</v>
      </c>
      <c r="U20" s="102">
        <v>1.7520925322305767</v>
      </c>
      <c r="V20" s="102">
        <v>1.7351030223104869</v>
      </c>
      <c r="W20" s="102">
        <v>2.0671582751228277</v>
      </c>
      <c r="DA20" s="175" t="s">
        <v>204</v>
      </c>
    </row>
    <row r="21" spans="1:105" ht="11.45" customHeight="1" x14ac:dyDescent="0.25">
      <c r="A21" s="85" t="s">
        <v>174</v>
      </c>
      <c r="B21" s="86">
        <v>1.3140900467201708</v>
      </c>
      <c r="C21" s="86">
        <v>1.2692186792711895</v>
      </c>
      <c r="D21" s="86">
        <v>1.2980645583455348</v>
      </c>
      <c r="E21" s="86">
        <v>1.2275524094971353</v>
      </c>
      <c r="F21" s="86">
        <v>1.3301155350948071</v>
      </c>
      <c r="G21" s="86">
        <v>1.7004362932692307</v>
      </c>
      <c r="H21" s="86">
        <v>2.2056541348264962</v>
      </c>
      <c r="I21" s="86">
        <v>2.6337902448361437</v>
      </c>
      <c r="J21" s="86">
        <v>3.145362268861434</v>
      </c>
      <c r="K21" s="86">
        <v>2.6544925663582264</v>
      </c>
      <c r="L21" s="86">
        <v>3.3679420408163261</v>
      </c>
      <c r="M21" s="86">
        <v>3.1910155823487671</v>
      </c>
      <c r="N21" s="86">
        <v>3.4375233110236221</v>
      </c>
      <c r="O21" s="86">
        <v>3.2352554520668324</v>
      </c>
      <c r="P21" s="86">
        <v>2.9692755151732113</v>
      </c>
      <c r="Q21" s="86">
        <v>2.63714555937351</v>
      </c>
      <c r="R21" s="86">
        <v>2.2445711194727234</v>
      </c>
      <c r="S21" s="86">
        <v>3.1054207410012924</v>
      </c>
      <c r="T21" s="86">
        <v>3.15524</v>
      </c>
      <c r="U21" s="86">
        <v>3.1554707368421058</v>
      </c>
      <c r="V21" s="86">
        <v>2.6260541056423121</v>
      </c>
      <c r="W21" s="86">
        <v>3.5281312671182308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118877</v>
      </c>
      <c r="C23" s="54">
        <f t="shared" si="15"/>
        <v>116488</v>
      </c>
      <c r="D23" s="54">
        <f t="shared" ref="D23:V23" si="16">SUM(D24,D28)</f>
        <v>116562</v>
      </c>
      <c r="E23" s="54">
        <f t="shared" si="16"/>
        <v>117373</v>
      </c>
      <c r="F23" s="54">
        <f t="shared" si="16"/>
        <v>123279</v>
      </c>
      <c r="G23" s="54">
        <f t="shared" si="16"/>
        <v>132480</v>
      </c>
      <c r="H23" s="54">
        <f t="shared" si="16"/>
        <v>136732</v>
      </c>
      <c r="I23" s="54">
        <f t="shared" si="16"/>
        <v>144727</v>
      </c>
      <c r="J23" s="54">
        <f t="shared" si="16"/>
        <v>144858</v>
      </c>
      <c r="K23" s="54">
        <f t="shared" si="16"/>
        <v>133582</v>
      </c>
      <c r="L23" s="54">
        <f t="shared" si="16"/>
        <v>138612</v>
      </c>
      <c r="M23" s="54">
        <f t="shared" si="16"/>
        <v>141470</v>
      </c>
      <c r="N23" s="54">
        <f t="shared" si="16"/>
        <v>140440</v>
      </c>
      <c r="O23" s="54">
        <f t="shared" si="16"/>
        <v>143086</v>
      </c>
      <c r="P23" s="54">
        <f t="shared" si="16"/>
        <v>150639</v>
      </c>
      <c r="Q23" s="54">
        <f t="shared" si="16"/>
        <v>160399</v>
      </c>
      <c r="R23" s="54">
        <f t="shared" si="16"/>
        <v>189582</v>
      </c>
      <c r="S23" s="54">
        <f t="shared" si="16"/>
        <v>204680</v>
      </c>
      <c r="T23" s="54">
        <f t="shared" si="16"/>
        <v>219511</v>
      </c>
      <c r="U23" s="54">
        <f t="shared" si="16"/>
        <v>228898</v>
      </c>
      <c r="V23" s="54">
        <f t="shared" si="16"/>
        <v>98483</v>
      </c>
      <c r="W23" s="54">
        <f t="shared" ref="W23" si="17">SUM(W24,W28)</f>
        <v>129746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113869</v>
      </c>
      <c r="C24" s="11">
        <f t="shared" si="18"/>
        <v>111918</v>
      </c>
      <c r="D24" s="11">
        <f t="shared" ref="D24:V24" si="19">SUM(D25:D27)</f>
        <v>112000</v>
      </c>
      <c r="E24" s="11">
        <f t="shared" si="19"/>
        <v>113139</v>
      </c>
      <c r="F24" s="11">
        <f t="shared" si="19"/>
        <v>118861</v>
      </c>
      <c r="G24" s="11">
        <f t="shared" si="19"/>
        <v>127715</v>
      </c>
      <c r="H24" s="11">
        <f t="shared" si="19"/>
        <v>131716</v>
      </c>
      <c r="I24" s="11">
        <f t="shared" si="19"/>
        <v>139817</v>
      </c>
      <c r="J24" s="11">
        <f t="shared" si="19"/>
        <v>139909</v>
      </c>
      <c r="K24" s="11">
        <f t="shared" si="19"/>
        <v>129159</v>
      </c>
      <c r="L24" s="11">
        <f t="shared" si="19"/>
        <v>134333</v>
      </c>
      <c r="M24" s="11">
        <f t="shared" si="19"/>
        <v>138135</v>
      </c>
      <c r="N24" s="11">
        <f t="shared" si="19"/>
        <v>137271</v>
      </c>
      <c r="O24" s="11">
        <f t="shared" si="19"/>
        <v>140228</v>
      </c>
      <c r="P24" s="11">
        <f t="shared" si="19"/>
        <v>148078</v>
      </c>
      <c r="Q24" s="11">
        <f t="shared" si="19"/>
        <v>157923</v>
      </c>
      <c r="R24" s="11">
        <f t="shared" si="19"/>
        <v>187368</v>
      </c>
      <c r="S24" s="11">
        <f t="shared" si="19"/>
        <v>201973</v>
      </c>
      <c r="T24" s="11">
        <f t="shared" si="19"/>
        <v>216699</v>
      </c>
      <c r="U24" s="11">
        <f t="shared" si="19"/>
        <v>225767</v>
      </c>
      <c r="V24" s="11">
        <f t="shared" si="19"/>
        <v>95588</v>
      </c>
      <c r="W24" s="11">
        <f t="shared" ref="W24" si="20">SUM(W25:W27)</f>
        <v>126193</v>
      </c>
      <c r="DA24" s="189" t="s">
        <v>207</v>
      </c>
    </row>
    <row r="25" spans="1:105" ht="11.45" customHeight="1" x14ac:dyDescent="0.25">
      <c r="A25" s="83" t="s">
        <v>27</v>
      </c>
      <c r="B25" s="84">
        <v>34459</v>
      </c>
      <c r="C25" s="84">
        <v>35452</v>
      </c>
      <c r="D25" s="84">
        <v>37728</v>
      </c>
      <c r="E25" s="84">
        <v>36761</v>
      </c>
      <c r="F25" s="84">
        <v>41504</v>
      </c>
      <c r="G25" s="84">
        <v>43480</v>
      </c>
      <c r="H25" s="84">
        <v>37197</v>
      </c>
      <c r="I25" s="84">
        <v>35149</v>
      </c>
      <c r="J25" s="84">
        <v>37585</v>
      </c>
      <c r="K25" s="84">
        <v>35418</v>
      </c>
      <c r="L25" s="84">
        <v>35352</v>
      </c>
      <c r="M25" s="84">
        <v>34020</v>
      </c>
      <c r="N25" s="84">
        <v>32982</v>
      </c>
      <c r="O25" s="84">
        <v>32511</v>
      </c>
      <c r="P25" s="84">
        <v>33026</v>
      </c>
      <c r="Q25" s="84">
        <v>35294</v>
      </c>
      <c r="R25" s="84">
        <v>53834</v>
      </c>
      <c r="S25" s="84">
        <v>53347</v>
      </c>
      <c r="T25" s="84">
        <v>56312</v>
      </c>
      <c r="U25" s="84">
        <v>57936</v>
      </c>
      <c r="V25" s="84">
        <v>30094</v>
      </c>
      <c r="W25" s="84">
        <v>40382</v>
      </c>
      <c r="DA25" s="171" t="s">
        <v>208</v>
      </c>
    </row>
    <row r="26" spans="1:105" ht="11.45" customHeight="1" x14ac:dyDescent="0.25">
      <c r="A26" s="83" t="s">
        <v>173</v>
      </c>
      <c r="B26" s="84">
        <v>67254</v>
      </c>
      <c r="C26" s="84">
        <v>64761</v>
      </c>
      <c r="D26" s="84">
        <v>62903</v>
      </c>
      <c r="E26" s="84">
        <v>64432</v>
      </c>
      <c r="F26" s="84">
        <v>66018</v>
      </c>
      <c r="G26" s="84">
        <v>71363</v>
      </c>
      <c r="H26" s="84">
        <v>81089</v>
      </c>
      <c r="I26" s="84">
        <v>89477</v>
      </c>
      <c r="J26" s="84">
        <v>86429</v>
      </c>
      <c r="K26" s="84">
        <v>78444</v>
      </c>
      <c r="L26" s="84">
        <v>82212</v>
      </c>
      <c r="M26" s="84">
        <v>86516</v>
      </c>
      <c r="N26" s="84">
        <v>85914</v>
      </c>
      <c r="O26" s="84">
        <v>89324</v>
      </c>
      <c r="P26" s="84">
        <v>95605</v>
      </c>
      <c r="Q26" s="84">
        <v>102568</v>
      </c>
      <c r="R26" s="84">
        <v>111151</v>
      </c>
      <c r="S26" s="84">
        <v>122490</v>
      </c>
      <c r="T26" s="84">
        <v>131020</v>
      </c>
      <c r="U26" s="84">
        <v>134999</v>
      </c>
      <c r="V26" s="84">
        <v>54101</v>
      </c>
      <c r="W26" s="84">
        <v>70669</v>
      </c>
      <c r="DA26" s="171" t="s">
        <v>209</v>
      </c>
    </row>
    <row r="27" spans="1:105" ht="11.45" customHeight="1" x14ac:dyDescent="0.25">
      <c r="A27" s="83" t="s">
        <v>174</v>
      </c>
      <c r="B27" s="84">
        <v>12156</v>
      </c>
      <c r="C27" s="84">
        <v>11705</v>
      </c>
      <c r="D27" s="84">
        <v>11369</v>
      </c>
      <c r="E27" s="84">
        <v>11946</v>
      </c>
      <c r="F27" s="84">
        <v>11339</v>
      </c>
      <c r="G27" s="84">
        <v>12872</v>
      </c>
      <c r="H27" s="84">
        <v>13430</v>
      </c>
      <c r="I27" s="84">
        <v>15191</v>
      </c>
      <c r="J27" s="84">
        <v>15895</v>
      </c>
      <c r="K27" s="84">
        <v>15297</v>
      </c>
      <c r="L27" s="84">
        <v>16769</v>
      </c>
      <c r="M27" s="84">
        <v>17599</v>
      </c>
      <c r="N27" s="84">
        <v>18375</v>
      </c>
      <c r="O27" s="84">
        <v>18393</v>
      </c>
      <c r="P27" s="84">
        <v>19447</v>
      </c>
      <c r="Q27" s="84">
        <v>20061</v>
      </c>
      <c r="R27" s="84">
        <v>22383</v>
      </c>
      <c r="S27" s="84">
        <v>26136</v>
      </c>
      <c r="T27" s="84">
        <v>29367</v>
      </c>
      <c r="U27" s="84">
        <v>32832</v>
      </c>
      <c r="V27" s="84">
        <v>11393</v>
      </c>
      <c r="W27" s="84">
        <v>15142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5008</v>
      </c>
      <c r="C28" s="13">
        <f t="shared" si="21"/>
        <v>4570</v>
      </c>
      <c r="D28" s="13">
        <f t="shared" ref="D28:V28" si="22">SUM(D29:D31)</f>
        <v>4562</v>
      </c>
      <c r="E28" s="13">
        <f t="shared" si="22"/>
        <v>4234</v>
      </c>
      <c r="F28" s="13">
        <f t="shared" si="22"/>
        <v>4418</v>
      </c>
      <c r="G28" s="13">
        <f t="shared" si="22"/>
        <v>4765</v>
      </c>
      <c r="H28" s="13">
        <f t="shared" si="22"/>
        <v>5016</v>
      </c>
      <c r="I28" s="13">
        <f t="shared" si="22"/>
        <v>4910</v>
      </c>
      <c r="J28" s="13">
        <f t="shared" si="22"/>
        <v>4949</v>
      </c>
      <c r="K28" s="13">
        <f t="shared" si="22"/>
        <v>4423</v>
      </c>
      <c r="L28" s="13">
        <f t="shared" si="22"/>
        <v>4279</v>
      </c>
      <c r="M28" s="13">
        <f t="shared" si="22"/>
        <v>3335</v>
      </c>
      <c r="N28" s="13">
        <f t="shared" si="22"/>
        <v>3169</v>
      </c>
      <c r="O28" s="13">
        <f t="shared" si="22"/>
        <v>2858</v>
      </c>
      <c r="P28" s="13">
        <f t="shared" si="22"/>
        <v>2561</v>
      </c>
      <c r="Q28" s="13">
        <f t="shared" si="22"/>
        <v>2476</v>
      </c>
      <c r="R28" s="13">
        <f t="shared" si="22"/>
        <v>2214</v>
      </c>
      <c r="S28" s="13">
        <f t="shared" si="22"/>
        <v>2707</v>
      </c>
      <c r="T28" s="13">
        <f t="shared" si="22"/>
        <v>2812</v>
      </c>
      <c r="U28" s="13">
        <f t="shared" si="22"/>
        <v>3131</v>
      </c>
      <c r="V28" s="13">
        <f t="shared" si="22"/>
        <v>2895</v>
      </c>
      <c r="W28" s="13">
        <f t="shared" ref="W28" si="23">SUM(W29:W31)</f>
        <v>3553</v>
      </c>
      <c r="DA28" s="193" t="s">
        <v>211</v>
      </c>
    </row>
    <row r="29" spans="1:105" ht="11.45" customHeight="1" x14ac:dyDescent="0.25">
      <c r="A29" s="92" t="s">
        <v>27</v>
      </c>
      <c r="B29" s="102">
        <v>2568</v>
      </c>
      <c r="C29" s="102">
        <v>2350</v>
      </c>
      <c r="D29" s="102">
        <v>2315</v>
      </c>
      <c r="E29" s="102">
        <v>2241</v>
      </c>
      <c r="F29" s="102">
        <v>2296</v>
      </c>
      <c r="G29" s="102">
        <v>2506</v>
      </c>
      <c r="H29" s="102">
        <v>2248</v>
      </c>
      <c r="I29" s="102">
        <v>2128</v>
      </c>
      <c r="J29" s="102">
        <v>2229</v>
      </c>
      <c r="K29" s="102">
        <v>2151</v>
      </c>
      <c r="L29" s="102">
        <v>1878</v>
      </c>
      <c r="M29" s="102">
        <v>1297</v>
      </c>
      <c r="N29" s="102">
        <v>1231</v>
      </c>
      <c r="O29" s="102">
        <v>1087</v>
      </c>
      <c r="P29" s="102">
        <v>897</v>
      </c>
      <c r="Q29" s="102">
        <v>820</v>
      </c>
      <c r="R29" s="102">
        <v>716</v>
      </c>
      <c r="S29" s="102">
        <v>826</v>
      </c>
      <c r="T29" s="102">
        <v>846</v>
      </c>
      <c r="U29" s="102">
        <v>943</v>
      </c>
      <c r="V29" s="102">
        <v>872</v>
      </c>
      <c r="W29" s="102">
        <v>1018</v>
      </c>
      <c r="DA29" s="175" t="s">
        <v>212</v>
      </c>
    </row>
    <row r="30" spans="1:105" ht="11.45" customHeight="1" x14ac:dyDescent="0.25">
      <c r="A30" s="92" t="s">
        <v>173</v>
      </c>
      <c r="B30" s="102">
        <v>2030</v>
      </c>
      <c r="C30" s="102">
        <v>1824</v>
      </c>
      <c r="D30" s="102">
        <v>1842</v>
      </c>
      <c r="E30" s="102">
        <v>1610</v>
      </c>
      <c r="F30" s="102">
        <v>1707</v>
      </c>
      <c r="G30" s="102">
        <v>1738</v>
      </c>
      <c r="H30" s="102">
        <v>2164</v>
      </c>
      <c r="I30" s="102">
        <v>2127</v>
      </c>
      <c r="J30" s="102">
        <v>1970</v>
      </c>
      <c r="K30" s="102">
        <v>1674</v>
      </c>
      <c r="L30" s="102">
        <v>1681</v>
      </c>
      <c r="M30" s="102">
        <v>1373</v>
      </c>
      <c r="N30" s="102">
        <v>1235</v>
      </c>
      <c r="O30" s="102">
        <v>1095</v>
      </c>
      <c r="P30" s="102">
        <v>1041</v>
      </c>
      <c r="Q30" s="102">
        <v>1092</v>
      </c>
      <c r="R30" s="102">
        <v>995</v>
      </c>
      <c r="S30" s="102">
        <v>1170</v>
      </c>
      <c r="T30" s="102">
        <v>1259</v>
      </c>
      <c r="U30" s="102">
        <v>1259</v>
      </c>
      <c r="V30" s="102">
        <v>1259</v>
      </c>
      <c r="W30" s="102">
        <v>1471</v>
      </c>
      <c r="DA30" s="175" t="s">
        <v>213</v>
      </c>
    </row>
    <row r="31" spans="1:105" ht="11.45" customHeight="1" x14ac:dyDescent="0.25">
      <c r="A31" s="85" t="s">
        <v>174</v>
      </c>
      <c r="B31" s="86">
        <v>410</v>
      </c>
      <c r="C31" s="86">
        <v>396</v>
      </c>
      <c r="D31" s="86">
        <v>405</v>
      </c>
      <c r="E31" s="86">
        <v>383</v>
      </c>
      <c r="F31" s="86">
        <v>415</v>
      </c>
      <c r="G31" s="86">
        <v>521</v>
      </c>
      <c r="H31" s="86">
        <v>604</v>
      </c>
      <c r="I31" s="86">
        <v>655</v>
      </c>
      <c r="J31" s="86">
        <v>750</v>
      </c>
      <c r="K31" s="86">
        <v>598</v>
      </c>
      <c r="L31" s="86">
        <v>720</v>
      </c>
      <c r="M31" s="86">
        <v>665</v>
      </c>
      <c r="N31" s="86">
        <v>703</v>
      </c>
      <c r="O31" s="86">
        <v>676</v>
      </c>
      <c r="P31" s="86">
        <v>623</v>
      </c>
      <c r="Q31" s="86">
        <v>564</v>
      </c>
      <c r="R31" s="86">
        <v>503</v>
      </c>
      <c r="S31" s="86">
        <v>711</v>
      </c>
      <c r="T31" s="86">
        <v>707</v>
      </c>
      <c r="U31" s="86">
        <v>929</v>
      </c>
      <c r="V31" s="86">
        <v>764</v>
      </c>
      <c r="W31" s="86">
        <v>1064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10080469</v>
      </c>
      <c r="C34" s="11">
        <f t="shared" si="24"/>
        <v>9949629</v>
      </c>
      <c r="D34" s="11">
        <f t="shared" ref="D34:V34" si="25">SUM(D35:D37)</f>
        <v>10167890</v>
      </c>
      <c r="E34" s="11">
        <f t="shared" si="25"/>
        <v>10292388</v>
      </c>
      <c r="F34" s="11">
        <f t="shared" si="25"/>
        <v>10772720</v>
      </c>
      <c r="G34" s="11">
        <f t="shared" si="25"/>
        <v>11396575</v>
      </c>
      <c r="H34" s="11">
        <f t="shared" si="25"/>
        <v>11732269</v>
      </c>
      <c r="I34" s="11">
        <f t="shared" si="25"/>
        <v>13041481</v>
      </c>
      <c r="J34" s="11">
        <f t="shared" si="25"/>
        <v>13485154</v>
      </c>
      <c r="K34" s="11">
        <f t="shared" si="25"/>
        <v>13231860</v>
      </c>
      <c r="L34" s="11">
        <f t="shared" si="25"/>
        <v>14009837</v>
      </c>
      <c r="M34" s="11">
        <f t="shared" si="25"/>
        <v>14772782</v>
      </c>
      <c r="N34" s="11">
        <f t="shared" si="25"/>
        <v>15190251</v>
      </c>
      <c r="O34" s="11">
        <f t="shared" si="25"/>
        <v>16007129</v>
      </c>
      <c r="P34" s="11">
        <f t="shared" si="25"/>
        <v>17360965</v>
      </c>
      <c r="Q34" s="11">
        <f t="shared" si="25"/>
        <v>19296333</v>
      </c>
      <c r="R34" s="11">
        <f t="shared" si="25"/>
        <v>22168327</v>
      </c>
      <c r="S34" s="11">
        <f t="shared" si="25"/>
        <v>25905112</v>
      </c>
      <c r="T34" s="11">
        <f t="shared" si="25"/>
        <v>27853612</v>
      </c>
      <c r="U34" s="11">
        <f t="shared" si="25"/>
        <v>29664209</v>
      </c>
      <c r="V34" s="11">
        <f t="shared" si="25"/>
        <v>9092064</v>
      </c>
      <c r="W34" s="11">
        <f t="shared" ref="W34" si="26">SUM(W35:W37)</f>
        <v>12526920</v>
      </c>
      <c r="DA34" s="189" t="s">
        <v>215</v>
      </c>
    </row>
    <row r="35" spans="1:105" ht="11.45" customHeight="1" x14ac:dyDescent="0.25">
      <c r="A35" s="83" t="s">
        <v>27</v>
      </c>
      <c r="B35" s="84">
        <v>2692000</v>
      </c>
      <c r="C35" s="84">
        <v>2771016</v>
      </c>
      <c r="D35" s="84">
        <v>2816761</v>
      </c>
      <c r="E35" s="84">
        <v>2749249</v>
      </c>
      <c r="F35" s="84">
        <v>2887728</v>
      </c>
      <c r="G35" s="84">
        <v>2910035</v>
      </c>
      <c r="H35" s="84">
        <v>2349173</v>
      </c>
      <c r="I35" s="84">
        <v>2352457</v>
      </c>
      <c r="J35" s="84">
        <v>2504187</v>
      </c>
      <c r="K35" s="84">
        <v>2784067</v>
      </c>
      <c r="L35" s="84">
        <v>2792103</v>
      </c>
      <c r="M35" s="84">
        <v>2537076</v>
      </c>
      <c r="N35" s="84">
        <v>2601484</v>
      </c>
      <c r="O35" s="84">
        <v>2686720</v>
      </c>
      <c r="P35" s="84">
        <v>2707012</v>
      </c>
      <c r="Q35" s="84">
        <v>3308494</v>
      </c>
      <c r="R35" s="84">
        <v>4118214</v>
      </c>
      <c r="S35" s="84">
        <v>4737288</v>
      </c>
      <c r="T35" s="84">
        <v>5066801</v>
      </c>
      <c r="U35" s="84">
        <v>4982478</v>
      </c>
      <c r="V35" s="84">
        <v>1760850</v>
      </c>
      <c r="W35" s="84">
        <v>3013027</v>
      </c>
      <c r="DA35" s="171" t="s">
        <v>216</v>
      </c>
    </row>
    <row r="36" spans="1:105" ht="11.45" customHeight="1" x14ac:dyDescent="0.25">
      <c r="A36" s="83" t="s">
        <v>173</v>
      </c>
      <c r="B36" s="84">
        <v>6191201</v>
      </c>
      <c r="C36" s="84">
        <v>6006771</v>
      </c>
      <c r="D36" s="84">
        <v>6121450</v>
      </c>
      <c r="E36" s="84">
        <v>6247771</v>
      </c>
      <c r="F36" s="84">
        <v>6519471</v>
      </c>
      <c r="G36" s="84">
        <v>6959159</v>
      </c>
      <c r="H36" s="84">
        <v>7772254</v>
      </c>
      <c r="I36" s="84">
        <v>8850225</v>
      </c>
      <c r="J36" s="84">
        <v>8906286</v>
      </c>
      <c r="K36" s="84">
        <v>8399187</v>
      </c>
      <c r="L36" s="84">
        <v>8889937</v>
      </c>
      <c r="M36" s="84">
        <v>9732155</v>
      </c>
      <c r="N36" s="84">
        <v>9907753</v>
      </c>
      <c r="O36" s="84">
        <v>10560211</v>
      </c>
      <c r="P36" s="84">
        <v>11718933</v>
      </c>
      <c r="Q36" s="84">
        <v>12989496</v>
      </c>
      <c r="R36" s="84">
        <v>14720115</v>
      </c>
      <c r="S36" s="84">
        <v>17082904</v>
      </c>
      <c r="T36" s="84">
        <v>18129222</v>
      </c>
      <c r="U36" s="84">
        <v>19328915</v>
      </c>
      <c r="V36" s="84">
        <v>5845357</v>
      </c>
      <c r="W36" s="84">
        <v>7615812</v>
      </c>
      <c r="DA36" s="171" t="s">
        <v>217</v>
      </c>
    </row>
    <row r="37" spans="1:105" ht="11.45" customHeight="1" x14ac:dyDescent="0.25">
      <c r="A37" s="83" t="s">
        <v>174</v>
      </c>
      <c r="B37" s="84">
        <v>1197268</v>
      </c>
      <c r="C37" s="84">
        <v>1171842</v>
      </c>
      <c r="D37" s="84">
        <v>1229679</v>
      </c>
      <c r="E37" s="84">
        <v>1295368</v>
      </c>
      <c r="F37" s="84">
        <v>1365521</v>
      </c>
      <c r="G37" s="84">
        <v>1527381</v>
      </c>
      <c r="H37" s="84">
        <v>1610842</v>
      </c>
      <c r="I37" s="84">
        <v>1838799</v>
      </c>
      <c r="J37" s="84">
        <v>2074681</v>
      </c>
      <c r="K37" s="84">
        <v>2048606</v>
      </c>
      <c r="L37" s="84">
        <v>2327797</v>
      </c>
      <c r="M37" s="84">
        <v>2503551</v>
      </c>
      <c r="N37" s="84">
        <v>2681014</v>
      </c>
      <c r="O37" s="84">
        <v>2760198</v>
      </c>
      <c r="P37" s="84">
        <v>2935020</v>
      </c>
      <c r="Q37" s="84">
        <v>2998343</v>
      </c>
      <c r="R37" s="84">
        <v>3329998</v>
      </c>
      <c r="S37" s="84">
        <v>4084920</v>
      </c>
      <c r="T37" s="84">
        <v>4657589</v>
      </c>
      <c r="U37" s="84">
        <v>5352816</v>
      </c>
      <c r="V37" s="84">
        <v>1485857</v>
      </c>
      <c r="W37" s="84">
        <v>1898081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79747.107477065205</v>
      </c>
      <c r="C38" s="13">
        <f t="shared" si="27"/>
        <v>74337.500159561459</v>
      </c>
      <c r="D38" s="13">
        <f t="shared" ref="D38:V38" si="28">SUM(D39:D41)</f>
        <v>75115.903207530166</v>
      </c>
      <c r="E38" s="13">
        <f t="shared" si="28"/>
        <v>70682.032224429859</v>
      </c>
      <c r="F38" s="13">
        <f t="shared" si="28"/>
        <v>70829.50129763833</v>
      </c>
      <c r="G38" s="13">
        <f t="shared" si="28"/>
        <v>74547.202955914836</v>
      </c>
      <c r="H38" s="13">
        <f t="shared" si="28"/>
        <v>79223.46708542874</v>
      </c>
      <c r="I38" s="13">
        <f t="shared" si="28"/>
        <v>79302.595990718022</v>
      </c>
      <c r="J38" s="13">
        <f t="shared" si="28"/>
        <v>81193.671956657839</v>
      </c>
      <c r="K38" s="13">
        <f t="shared" si="28"/>
        <v>72706.833023848914</v>
      </c>
      <c r="L38" s="13">
        <f t="shared" si="28"/>
        <v>80792.292371285002</v>
      </c>
      <c r="M38" s="13">
        <f t="shared" si="28"/>
        <v>72017.256969194219</v>
      </c>
      <c r="N38" s="13">
        <f t="shared" si="28"/>
        <v>75405.979641654791</v>
      </c>
      <c r="O38" s="13">
        <f t="shared" si="28"/>
        <v>70702.182908534814</v>
      </c>
      <c r="P38" s="13">
        <f t="shared" si="28"/>
        <v>71684.51439515104</v>
      </c>
      <c r="Q38" s="13">
        <f t="shared" si="28"/>
        <v>67893.173905444157</v>
      </c>
      <c r="R38" s="13">
        <f t="shared" si="28"/>
        <v>68122.905084255937</v>
      </c>
      <c r="S38" s="13">
        <f t="shared" si="28"/>
        <v>85789.778125790705</v>
      </c>
      <c r="T38" s="13">
        <f t="shared" si="28"/>
        <v>87716.037329754894</v>
      </c>
      <c r="U38" s="13">
        <f t="shared" si="28"/>
        <v>109040.29489997297</v>
      </c>
      <c r="V38" s="13">
        <f t="shared" si="28"/>
        <v>73134.787410272809</v>
      </c>
      <c r="W38" s="13">
        <f t="shared" ref="W38" si="29">SUM(W39:W41)</f>
        <v>97632.60581334302</v>
      </c>
      <c r="DA38" s="193" t="s">
        <v>219</v>
      </c>
    </row>
    <row r="39" spans="1:105" ht="11.45" customHeight="1" x14ac:dyDescent="0.25">
      <c r="A39" s="92" t="s">
        <v>27</v>
      </c>
      <c r="B39" s="102">
        <v>25739.733523585332</v>
      </c>
      <c r="C39" s="102">
        <v>23375.066604699856</v>
      </c>
      <c r="D39" s="102">
        <v>23679.258207275154</v>
      </c>
      <c r="E39" s="102">
        <v>24382.205340756558</v>
      </c>
      <c r="F39" s="102">
        <v>23523.193349414578</v>
      </c>
      <c r="G39" s="102">
        <v>25126.073826629126</v>
      </c>
      <c r="H39" s="102">
        <v>21680.381717047625</v>
      </c>
      <c r="I39" s="102">
        <v>20446.865447334505</v>
      </c>
      <c r="J39" s="102">
        <v>20605.440292661191</v>
      </c>
      <c r="K39" s="102">
        <v>20056.16470554781</v>
      </c>
      <c r="L39" s="102">
        <v>18728.710236278905</v>
      </c>
      <c r="M39" s="102">
        <v>14131.35140411445</v>
      </c>
      <c r="N39" s="102">
        <v>13776.501832688318</v>
      </c>
      <c r="O39" s="102">
        <v>12470.607888283828</v>
      </c>
      <c r="P39" s="102">
        <v>11541.715767811238</v>
      </c>
      <c r="Q39" s="102">
        <v>10856.99762400799</v>
      </c>
      <c r="R39" s="102">
        <v>10927.110127776567</v>
      </c>
      <c r="S39" s="102">
        <v>11594.810100003757</v>
      </c>
      <c r="T39" s="102">
        <v>12087.500600646157</v>
      </c>
      <c r="U39" s="102">
        <v>14902.53084548786</v>
      </c>
      <c r="V39" s="102">
        <v>12701.098715685119</v>
      </c>
      <c r="W39" s="102">
        <v>14999.091555181783</v>
      </c>
      <c r="DA39" s="175" t="s">
        <v>220</v>
      </c>
    </row>
    <row r="40" spans="1:105" ht="11.45" customHeight="1" x14ac:dyDescent="0.25">
      <c r="A40" s="92" t="s">
        <v>173</v>
      </c>
      <c r="B40" s="102">
        <v>32634.43317852886</v>
      </c>
      <c r="C40" s="102">
        <v>29642.261670615866</v>
      </c>
      <c r="D40" s="102">
        <v>30017.037930398521</v>
      </c>
      <c r="E40" s="102">
        <v>27639.683485505397</v>
      </c>
      <c r="F40" s="102">
        <v>27361.645484431519</v>
      </c>
      <c r="G40" s="102">
        <v>26384.616190984405</v>
      </c>
      <c r="H40" s="102">
        <v>30264.131946845759</v>
      </c>
      <c r="I40" s="102">
        <v>29258.23593435936</v>
      </c>
      <c r="J40" s="102">
        <v>26903.551149906511</v>
      </c>
      <c r="K40" s="102">
        <v>22811.196734026089</v>
      </c>
      <c r="L40" s="102">
        <v>24241.342712623416</v>
      </c>
      <c r="M40" s="102">
        <v>21267.362956593628</v>
      </c>
      <c r="N40" s="102">
        <v>20330.350313139254</v>
      </c>
      <c r="O40" s="102">
        <v>18113.537276372172</v>
      </c>
      <c r="P40" s="102">
        <v>18943.860883433299</v>
      </c>
      <c r="Q40" s="102">
        <v>19847.936213216854</v>
      </c>
      <c r="R40" s="102">
        <v>20470.644383771476</v>
      </c>
      <c r="S40" s="102">
        <v>22379.870071327536</v>
      </c>
      <c r="T40" s="102">
        <v>23934.879772555163</v>
      </c>
      <c r="U40" s="102">
        <v>24541.234837636999</v>
      </c>
      <c r="V40" s="102">
        <v>22056.627997406333</v>
      </c>
      <c r="W40" s="102">
        <v>25963.633609472934</v>
      </c>
      <c r="DA40" s="175" t="s">
        <v>221</v>
      </c>
    </row>
    <row r="41" spans="1:105" ht="11.45" customHeight="1" x14ac:dyDescent="0.25">
      <c r="A41" s="85" t="s">
        <v>174</v>
      </c>
      <c r="B41" s="86">
        <v>21372.940774951021</v>
      </c>
      <c r="C41" s="86">
        <v>21320.171884245738</v>
      </c>
      <c r="D41" s="86">
        <v>21419.607069856487</v>
      </c>
      <c r="E41" s="86">
        <v>18660.143398167904</v>
      </c>
      <c r="F41" s="86">
        <v>19944.662463792236</v>
      </c>
      <c r="G41" s="86">
        <v>23036.512938301301</v>
      </c>
      <c r="H41" s="86">
        <v>27278.953421535352</v>
      </c>
      <c r="I41" s="86">
        <v>29597.494609024154</v>
      </c>
      <c r="J41" s="86">
        <v>33684.680514090149</v>
      </c>
      <c r="K41" s="86">
        <v>29839.471584275012</v>
      </c>
      <c r="L41" s="86">
        <v>37822.239422382678</v>
      </c>
      <c r="M41" s="86">
        <v>36618.542608486146</v>
      </c>
      <c r="N41" s="86">
        <v>41299.127495827212</v>
      </c>
      <c r="O41" s="86">
        <v>40118.037743878813</v>
      </c>
      <c r="P41" s="86">
        <v>41198.937743906507</v>
      </c>
      <c r="Q41" s="86">
        <v>37188.240068219311</v>
      </c>
      <c r="R41" s="86">
        <v>36725.150572707891</v>
      </c>
      <c r="S41" s="86">
        <v>51815.097954459408</v>
      </c>
      <c r="T41" s="86">
        <v>51693.656956553576</v>
      </c>
      <c r="U41" s="86">
        <v>69596.52921684811</v>
      </c>
      <c r="V41" s="86">
        <v>38377.060697181354</v>
      </c>
      <c r="W41" s="86">
        <v>56669.880648688311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110.85352695653401</v>
      </c>
      <c r="C43" s="54">
        <f t="shared" si="30"/>
        <v>107.71246231741027</v>
      </c>
      <c r="D43" s="54">
        <f t="shared" ref="D43:V43" si="31">SUM(D44,D48)</f>
        <v>106.45727602330061</v>
      </c>
      <c r="E43" s="54">
        <f t="shared" si="31"/>
        <v>108.37334413522427</v>
      </c>
      <c r="F43" s="54">
        <f t="shared" si="31"/>
        <v>111.17632195127017</v>
      </c>
      <c r="G43" s="54">
        <f t="shared" si="31"/>
        <v>121.26641882903081</v>
      </c>
      <c r="H43" s="54">
        <f t="shared" si="31"/>
        <v>131.06715227002866</v>
      </c>
      <c r="I43" s="54">
        <f t="shared" si="31"/>
        <v>141.4356069180223</v>
      </c>
      <c r="J43" s="54">
        <f t="shared" si="31"/>
        <v>140.91766878568487</v>
      </c>
      <c r="K43" s="54">
        <f t="shared" si="31"/>
        <v>131.53769840583416</v>
      </c>
      <c r="L43" s="54">
        <f t="shared" si="31"/>
        <v>136.95294470620348</v>
      </c>
      <c r="M43" s="54">
        <f t="shared" si="31"/>
        <v>141.06091406810495</v>
      </c>
      <c r="N43" s="54">
        <f t="shared" si="31"/>
        <v>141.50893084660191</v>
      </c>
      <c r="O43" s="54">
        <f t="shared" si="31"/>
        <v>143.9242292235632</v>
      </c>
      <c r="P43" s="54">
        <f t="shared" si="31"/>
        <v>152.48951117394586</v>
      </c>
      <c r="Q43" s="54">
        <f t="shared" si="31"/>
        <v>161.04385755086486</v>
      </c>
      <c r="R43" s="54">
        <f t="shared" si="31"/>
        <v>182.43473214710482</v>
      </c>
      <c r="S43" s="54">
        <f t="shared" si="31"/>
        <v>201.78319658500141</v>
      </c>
      <c r="T43" s="54">
        <f t="shared" si="31"/>
        <v>220.36020649821876</v>
      </c>
      <c r="U43" s="54">
        <f t="shared" si="31"/>
        <v>235.39612819234645</v>
      </c>
      <c r="V43" s="54">
        <f t="shared" si="31"/>
        <v>228.18763494249274</v>
      </c>
      <c r="W43" s="54">
        <f t="shared" ref="W43" si="32">SUM(W44,W48)</f>
        <v>221.77749274409172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106.31395140279255</v>
      </c>
      <c r="C44" s="11">
        <f t="shared" si="33"/>
        <v>103.54730907299678</v>
      </c>
      <c r="D44" s="11">
        <f t="shared" ref="D44:V44" si="34">SUM(D45:D47)</f>
        <v>102.28059700615151</v>
      </c>
      <c r="E44" s="11">
        <f t="shared" si="34"/>
        <v>104.4740273378733</v>
      </c>
      <c r="F44" s="11">
        <f t="shared" si="34"/>
        <v>107.12026701498768</v>
      </c>
      <c r="G44" s="11">
        <f t="shared" si="34"/>
        <v>116.81103746605703</v>
      </c>
      <c r="H44" s="11">
        <f t="shared" si="34"/>
        <v>125.94198797644304</v>
      </c>
      <c r="I44" s="11">
        <f t="shared" si="34"/>
        <v>136.12676650492688</v>
      </c>
      <c r="J44" s="11">
        <f t="shared" si="34"/>
        <v>135.26926849483579</v>
      </c>
      <c r="K44" s="11">
        <f t="shared" si="34"/>
        <v>126.18289823237041</v>
      </c>
      <c r="L44" s="11">
        <f t="shared" si="34"/>
        <v>131.60335955017672</v>
      </c>
      <c r="M44" s="11">
        <f t="shared" si="34"/>
        <v>136.16528646745232</v>
      </c>
      <c r="N44" s="11">
        <f t="shared" si="34"/>
        <v>136.88352061977037</v>
      </c>
      <c r="O44" s="11">
        <f t="shared" si="34"/>
        <v>139.75277655210579</v>
      </c>
      <c r="P44" s="11">
        <f t="shared" si="34"/>
        <v>148.68883368283272</v>
      </c>
      <c r="Q44" s="11">
        <f t="shared" si="34"/>
        <v>157.48468686585687</v>
      </c>
      <c r="R44" s="11">
        <f t="shared" si="34"/>
        <v>179.19977137854315</v>
      </c>
      <c r="S44" s="11">
        <f t="shared" si="34"/>
        <v>198.11583544363242</v>
      </c>
      <c r="T44" s="11">
        <f t="shared" si="34"/>
        <v>216.57590905893943</v>
      </c>
      <c r="U44" s="11">
        <f t="shared" si="34"/>
        <v>231.42117781325936</v>
      </c>
      <c r="V44" s="11">
        <f t="shared" si="34"/>
        <v>224.3335810530732</v>
      </c>
      <c r="W44" s="11">
        <f t="shared" ref="W44" si="35">SUM(W45:W47)</f>
        <v>217.24598429288702</v>
      </c>
      <c r="DA44" s="189" t="s">
        <v>224</v>
      </c>
    </row>
    <row r="45" spans="1:105" ht="11.45" customHeight="1" x14ac:dyDescent="0.25">
      <c r="A45" s="83" t="s">
        <v>27</v>
      </c>
      <c r="B45" s="84">
        <v>17.835921325051761</v>
      </c>
      <c r="C45" s="84">
        <v>18.349896480331264</v>
      </c>
      <c r="D45" s="84">
        <v>19.527950310559007</v>
      </c>
      <c r="E45" s="84">
        <v>19.027432712215322</v>
      </c>
      <c r="F45" s="84">
        <v>21.4824016563147</v>
      </c>
      <c r="G45" s="84">
        <v>22.657634184471078</v>
      </c>
      <c r="H45" s="84">
        <v>20.874042051965901</v>
      </c>
      <c r="I45" s="84">
        <v>19.090449919460724</v>
      </c>
      <c r="J45" s="84">
        <v>19.647151071615266</v>
      </c>
      <c r="K45" s="84">
        <v>18.379865075246496</v>
      </c>
      <c r="L45" s="84">
        <v>18.431699687174138</v>
      </c>
      <c r="M45" s="84">
        <v>17.599586135540612</v>
      </c>
      <c r="N45" s="84">
        <v>17.124610591900311</v>
      </c>
      <c r="O45" s="84">
        <v>16.950469238790408</v>
      </c>
      <c r="P45" s="84">
        <v>17.455602536997887</v>
      </c>
      <c r="Q45" s="84">
        <v>18.853632478632477</v>
      </c>
      <c r="R45" s="84">
        <v>28.289017341040463</v>
      </c>
      <c r="S45" s="84">
        <v>28.421417155034629</v>
      </c>
      <c r="T45" s="84">
        <v>30.017057569296377</v>
      </c>
      <c r="U45" s="84">
        <v>31.486956521739131</v>
      </c>
      <c r="V45" s="84">
        <v>30.297895100069013</v>
      </c>
      <c r="W45" s="84">
        <v>29.108833678398895</v>
      </c>
      <c r="DA45" s="171" t="s">
        <v>225</v>
      </c>
    </row>
    <row r="46" spans="1:105" ht="11.45" customHeight="1" x14ac:dyDescent="0.25">
      <c r="A46" s="83" t="s">
        <v>173</v>
      </c>
      <c r="B46" s="84">
        <v>61.099651699362425</v>
      </c>
      <c r="C46" s="84">
        <v>58.834799980052907</v>
      </c>
      <c r="D46" s="84">
        <v>57.146790839736646</v>
      </c>
      <c r="E46" s="84">
        <v>58.541189220252562</v>
      </c>
      <c r="F46" s="84">
        <v>60.099577070384683</v>
      </c>
      <c r="G46" s="84">
        <v>64.832218771335377</v>
      </c>
      <c r="H46" s="84">
        <v>73.835387784942256</v>
      </c>
      <c r="I46" s="84">
        <v>81.123787034638724</v>
      </c>
      <c r="J46" s="84">
        <v>78.828135941739049</v>
      </c>
      <c r="K46" s="84">
        <v>72.718170771802804</v>
      </c>
      <c r="L46" s="84">
        <v>75.060296226638954</v>
      </c>
      <c r="M46" s="84">
        <v>78.385335035108071</v>
      </c>
      <c r="N46" s="84">
        <v>77.902418000535221</v>
      </c>
      <c r="O46" s="84">
        <v>81.37663163763969</v>
      </c>
      <c r="P46" s="84">
        <v>87.135725476900589</v>
      </c>
      <c r="Q46" s="84">
        <v>93.448621954791946</v>
      </c>
      <c r="R46" s="84">
        <v>102.25205838532877</v>
      </c>
      <c r="S46" s="84">
        <v>113.36683208170125</v>
      </c>
      <c r="T46" s="84">
        <v>121.29885148964307</v>
      </c>
      <c r="U46" s="84">
        <v>124.45835922255473</v>
      </c>
      <c r="V46" s="84">
        <v>120.38504910926392</v>
      </c>
      <c r="W46" s="84">
        <v>116.31173899597307</v>
      </c>
      <c r="DA46" s="171" t="s">
        <v>226</v>
      </c>
    </row>
    <row r="47" spans="1:105" ht="11.45" customHeight="1" x14ac:dyDescent="0.25">
      <c r="A47" s="83" t="s">
        <v>174</v>
      </c>
      <c r="B47" s="84">
        <v>27.378378378378379</v>
      </c>
      <c r="C47" s="84">
        <v>26.362612612612612</v>
      </c>
      <c r="D47" s="84">
        <v>25.605855855855857</v>
      </c>
      <c r="E47" s="84">
        <v>26.905405405405407</v>
      </c>
      <c r="F47" s="84">
        <v>25.538288288288289</v>
      </c>
      <c r="G47" s="84">
        <v>29.321184510250568</v>
      </c>
      <c r="H47" s="84">
        <v>31.232558139534884</v>
      </c>
      <c r="I47" s="84">
        <v>35.912529550827422</v>
      </c>
      <c r="J47" s="84">
        <v>36.793981481481481</v>
      </c>
      <c r="K47" s="84">
        <v>35.084862385321102</v>
      </c>
      <c r="L47" s="84">
        <v>38.111363636363635</v>
      </c>
      <c r="M47" s="84">
        <v>40.18036529680365</v>
      </c>
      <c r="N47" s="84">
        <v>41.856492027334852</v>
      </c>
      <c r="O47" s="84">
        <v>41.425675675675677</v>
      </c>
      <c r="P47" s="84">
        <v>44.09750566893424</v>
      </c>
      <c r="Q47" s="84">
        <v>45.182432432432435</v>
      </c>
      <c r="R47" s="84">
        <v>48.658695652173911</v>
      </c>
      <c r="S47" s="84">
        <v>56.327586206896555</v>
      </c>
      <c r="T47" s="84">
        <v>65.260000000000005</v>
      </c>
      <c r="U47" s="84">
        <v>75.475862068965512</v>
      </c>
      <c r="V47" s="84">
        <v>73.650636843740287</v>
      </c>
      <c r="W47" s="84">
        <v>71.825411618515062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4.5395755537414635</v>
      </c>
      <c r="C48" s="13">
        <f t="shared" si="36"/>
        <v>4.1651532444134869</v>
      </c>
      <c r="D48" s="13">
        <f t="shared" ref="D48:V48" si="37">SUM(D49:D51)</f>
        <v>4.1766790171490982</v>
      </c>
      <c r="E48" s="13">
        <f t="shared" si="37"/>
        <v>3.8993167973509788</v>
      </c>
      <c r="F48" s="13">
        <f t="shared" si="37"/>
        <v>4.0560549362824911</v>
      </c>
      <c r="G48" s="13">
        <f t="shared" si="37"/>
        <v>4.4553813629737817</v>
      </c>
      <c r="H48" s="13">
        <f t="shared" si="37"/>
        <v>5.1251642935856152</v>
      </c>
      <c r="I48" s="13">
        <f t="shared" si="37"/>
        <v>5.3088404130954334</v>
      </c>
      <c r="J48" s="13">
        <f t="shared" si="37"/>
        <v>5.6484002908490849</v>
      </c>
      <c r="K48" s="13">
        <f t="shared" si="37"/>
        <v>5.3548001734637634</v>
      </c>
      <c r="L48" s="13">
        <f t="shared" si="37"/>
        <v>5.3495851560267713</v>
      </c>
      <c r="M48" s="13">
        <f t="shared" si="37"/>
        <v>4.8956276006526247</v>
      </c>
      <c r="N48" s="13">
        <f t="shared" si="37"/>
        <v>4.6254102268315567</v>
      </c>
      <c r="O48" s="13">
        <f t="shared" si="37"/>
        <v>4.1714526714574109</v>
      </c>
      <c r="P48" s="13">
        <f t="shared" si="37"/>
        <v>3.8006774911131336</v>
      </c>
      <c r="Q48" s="13">
        <f t="shared" si="37"/>
        <v>3.5591706850079845</v>
      </c>
      <c r="R48" s="13">
        <f t="shared" si="37"/>
        <v>3.2349607685616784</v>
      </c>
      <c r="S48" s="13">
        <f t="shared" si="37"/>
        <v>3.6673611413689935</v>
      </c>
      <c r="T48" s="13">
        <f t="shared" si="37"/>
        <v>3.7842974392793312</v>
      </c>
      <c r="U48" s="13">
        <f t="shared" si="37"/>
        <v>3.9749503790870886</v>
      </c>
      <c r="V48" s="13">
        <f t="shared" si="37"/>
        <v>3.8540538894195411</v>
      </c>
      <c r="W48" s="13">
        <f t="shared" ref="W48" si="38">SUM(W49:W51)</f>
        <v>4.531508451204699</v>
      </c>
      <c r="DA48" s="193" t="s">
        <v>228</v>
      </c>
    </row>
    <row r="49" spans="1:105" ht="11.45" customHeight="1" x14ac:dyDescent="0.25">
      <c r="A49" s="92" t="s">
        <v>27</v>
      </c>
      <c r="B49" s="102">
        <v>1.6090225563909775</v>
      </c>
      <c r="C49" s="102">
        <v>1.4724310776942355</v>
      </c>
      <c r="D49" s="102">
        <v>1.4505012531328321</v>
      </c>
      <c r="E49" s="102">
        <v>1.4041353383458646</v>
      </c>
      <c r="F49" s="102">
        <v>1.4385964912280702</v>
      </c>
      <c r="G49" s="102">
        <v>1.579080025204789</v>
      </c>
      <c r="H49" s="102">
        <v>1.4799210006583279</v>
      </c>
      <c r="I49" s="102">
        <v>1.4535519125683061</v>
      </c>
      <c r="J49" s="102">
        <v>1.5686136523574947</v>
      </c>
      <c r="K49" s="102">
        <v>1.55756698044895</v>
      </c>
      <c r="L49" s="102">
        <v>1.4088522130532632</v>
      </c>
      <c r="M49" s="102">
        <v>1.2479499574141655</v>
      </c>
      <c r="N49" s="102">
        <v>1.0870477017750677</v>
      </c>
      <c r="O49" s="102">
        <v>0.92614544613596994</v>
      </c>
      <c r="P49" s="102">
        <v>0.76524319049687217</v>
      </c>
      <c r="Q49" s="102">
        <v>0.6043409348577744</v>
      </c>
      <c r="R49" s="102">
        <v>0.49826026443980515</v>
      </c>
      <c r="S49" s="102">
        <v>0.57843137254901966</v>
      </c>
      <c r="T49" s="102">
        <v>0.58954703832752609</v>
      </c>
      <c r="U49" s="102">
        <v>0.65851955307262566</v>
      </c>
      <c r="V49" s="102">
        <v>0.59931271477663228</v>
      </c>
      <c r="W49" s="102">
        <v>0.71238628411476557</v>
      </c>
      <c r="DA49" s="175" t="s">
        <v>229</v>
      </c>
    </row>
    <row r="50" spans="1:105" ht="11.45" customHeight="1" x14ac:dyDescent="0.25">
      <c r="A50" s="92" t="s">
        <v>173</v>
      </c>
      <c r="B50" s="102">
        <v>2.0972196640171532</v>
      </c>
      <c r="C50" s="102">
        <v>1.8878441179387635</v>
      </c>
      <c r="D50" s="102">
        <v>1.9030070323089494</v>
      </c>
      <c r="E50" s="102">
        <v>1.7167261744522686</v>
      </c>
      <c r="F50" s="102">
        <v>1.7739625100950709</v>
      </c>
      <c r="G50" s="102">
        <v>1.8042848768636426</v>
      </c>
      <c r="H50" s="102">
        <v>2.3000317116355276</v>
      </c>
      <c r="I50" s="102">
        <v>2.2883028545941126</v>
      </c>
      <c r="J50" s="102">
        <v>2.2279347866397381</v>
      </c>
      <c r="K50" s="102">
        <v>2.0287146744962952</v>
      </c>
      <c r="L50" s="102">
        <v>2.0104380368072881</v>
      </c>
      <c r="M50" s="102">
        <v>1.8007160704055727</v>
      </c>
      <c r="N50" s="102">
        <v>1.5909941040038573</v>
      </c>
      <c r="O50" s="102">
        <v>1.381272137602142</v>
      </c>
      <c r="P50" s="102">
        <v>1.2547325462302961</v>
      </c>
      <c r="Q50" s="102">
        <v>1.2574613290975785</v>
      </c>
      <c r="R50" s="102">
        <v>1.1226654164025749</v>
      </c>
      <c r="S50" s="102">
        <v>1.279769463476462</v>
      </c>
      <c r="T50" s="102">
        <v>1.3678770159388851</v>
      </c>
      <c r="U50" s="102">
        <v>1.3523716293971264</v>
      </c>
      <c r="V50" s="102">
        <v>1.3462375335811283</v>
      </c>
      <c r="W50" s="102">
        <v>1.6070639550317218</v>
      </c>
      <c r="DA50" s="175" t="s">
        <v>230</v>
      </c>
    </row>
    <row r="51" spans="1:105" ht="11.45" customHeight="1" x14ac:dyDescent="0.25">
      <c r="A51" s="85" t="s">
        <v>174</v>
      </c>
      <c r="B51" s="86">
        <v>0.83333333333333337</v>
      </c>
      <c r="C51" s="86">
        <v>0.80487804878048785</v>
      </c>
      <c r="D51" s="86">
        <v>0.82317073170731703</v>
      </c>
      <c r="E51" s="86">
        <v>0.77845528455284552</v>
      </c>
      <c r="F51" s="86">
        <v>0.8434959349593496</v>
      </c>
      <c r="G51" s="86">
        <v>1.0720164609053497</v>
      </c>
      <c r="H51" s="86">
        <v>1.3452115812917596</v>
      </c>
      <c r="I51" s="86">
        <v>1.5669856459330143</v>
      </c>
      <c r="J51" s="86">
        <v>1.8518518518518519</v>
      </c>
      <c r="K51" s="86">
        <v>1.7685185185185186</v>
      </c>
      <c r="L51" s="86">
        <v>1.9302949061662198</v>
      </c>
      <c r="M51" s="86">
        <v>1.8469615728328865</v>
      </c>
      <c r="N51" s="86">
        <v>1.9473684210526316</v>
      </c>
      <c r="O51" s="86">
        <v>1.8640350877192984</v>
      </c>
      <c r="P51" s="86">
        <v>1.7807017543859651</v>
      </c>
      <c r="Q51" s="86">
        <v>1.6973684210526319</v>
      </c>
      <c r="R51" s="86">
        <v>1.6140350877192986</v>
      </c>
      <c r="S51" s="86">
        <v>1.8091603053435115</v>
      </c>
      <c r="T51" s="86">
        <v>1.82687338501292</v>
      </c>
      <c r="U51" s="86">
        <v>1.9640591966173362</v>
      </c>
      <c r="V51" s="86">
        <v>1.9085036410617806</v>
      </c>
      <c r="W51" s="86">
        <v>2.2120582120582122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10.323079635089176</v>
      </c>
      <c r="C53" s="54">
        <f t="shared" si="39"/>
        <v>1.1256383712905027</v>
      </c>
      <c r="D53" s="54">
        <f t="shared" ref="D53:V53" si="40">SUM(D54,D58)</f>
        <v>2.335229116470336</v>
      </c>
      <c r="E53" s="54">
        <f t="shared" si="40"/>
        <v>5.6579995582161651</v>
      </c>
      <c r="F53" s="54">
        <f t="shared" si="40"/>
        <v>6.8817565899890001</v>
      </c>
      <c r="G53" s="54">
        <f t="shared" si="40"/>
        <v>13.680512288340649</v>
      </c>
      <c r="H53" s="54">
        <f t="shared" si="40"/>
        <v>14.61315575669548</v>
      </c>
      <c r="I53" s="54">
        <f t="shared" si="40"/>
        <v>15.13079897506784</v>
      </c>
      <c r="J53" s="54">
        <f t="shared" si="40"/>
        <v>4.1600180148037351</v>
      </c>
      <c r="K53" s="54">
        <f t="shared" si="40"/>
        <v>3.8034364014455369E-2</v>
      </c>
      <c r="L53" s="54">
        <f t="shared" si="40"/>
        <v>9.149401749448872</v>
      </c>
      <c r="M53" s="54">
        <f t="shared" si="40"/>
        <v>8.2648965567382788</v>
      </c>
      <c r="N53" s="54">
        <f t="shared" si="40"/>
        <v>5.3434399342750938</v>
      </c>
      <c r="O53" s="54">
        <f t="shared" si="40"/>
        <v>6.320832901435395</v>
      </c>
      <c r="P53" s="54">
        <f t="shared" si="40"/>
        <v>12.418576434567093</v>
      </c>
      <c r="Q53" s="54">
        <f t="shared" si="40"/>
        <v>12.35719337928227</v>
      </c>
      <c r="R53" s="54">
        <f t="shared" si="40"/>
        <v>25.197603816526435</v>
      </c>
      <c r="S53" s="54">
        <f t="shared" si="40"/>
        <v>22.977738274509203</v>
      </c>
      <c r="T53" s="54">
        <f t="shared" si="40"/>
        <v>22.175904839584184</v>
      </c>
      <c r="U53" s="54">
        <f t="shared" si="40"/>
        <v>18.626337104707691</v>
      </c>
      <c r="V53" s="54">
        <f t="shared" si="40"/>
        <v>5.8012313861759868E-2</v>
      </c>
      <c r="W53" s="54">
        <f t="shared" ref="W53" si="41">SUM(W54,W58)</f>
        <v>0.82318291858495363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9.6768648472358691</v>
      </c>
      <c r="C54" s="11">
        <f t="shared" si="42"/>
        <v>1.1256383712905027</v>
      </c>
      <c r="D54" s="11">
        <f t="shared" ref="D54:V54" si="43">SUM(D55:D57)</f>
        <v>2.1848649022547244</v>
      </c>
      <c r="E54" s="11">
        <f t="shared" si="43"/>
        <v>5.6450073008217911</v>
      </c>
      <c r="F54" s="11">
        <f t="shared" si="43"/>
        <v>6.5861800095774878</v>
      </c>
      <c r="G54" s="11">
        <f t="shared" si="43"/>
        <v>13.142347420169358</v>
      </c>
      <c r="H54" s="11">
        <f t="shared" si="43"/>
        <v>13.754456395980185</v>
      </c>
      <c r="I54" s="11">
        <f t="shared" si="43"/>
        <v>14.808284414078022</v>
      </c>
      <c r="J54" s="11">
        <f t="shared" si="43"/>
        <v>3.6684557232833903</v>
      </c>
      <c r="K54" s="11">
        <f t="shared" si="43"/>
        <v>0</v>
      </c>
      <c r="L54" s="11">
        <f t="shared" si="43"/>
        <v>8.9029806216464848</v>
      </c>
      <c r="M54" s="11">
        <f t="shared" si="43"/>
        <v>8.2648965567382788</v>
      </c>
      <c r="N54" s="11">
        <f t="shared" si="43"/>
        <v>5.2162038177623486</v>
      </c>
      <c r="O54" s="11">
        <f t="shared" si="43"/>
        <v>6.320832901435395</v>
      </c>
      <c r="P54" s="11">
        <f t="shared" si="43"/>
        <v>12.418576434567093</v>
      </c>
      <c r="Q54" s="11">
        <f t="shared" si="43"/>
        <v>12.278372486864296</v>
      </c>
      <c r="R54" s="11">
        <f t="shared" si="43"/>
        <v>25.197603816526435</v>
      </c>
      <c r="S54" s="11">
        <f t="shared" si="43"/>
        <v>22.398583368929469</v>
      </c>
      <c r="T54" s="11">
        <f t="shared" si="43"/>
        <v>21.911650584406985</v>
      </c>
      <c r="U54" s="11">
        <f t="shared" si="43"/>
        <v>18.296845723419935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3.1049344375430916</v>
      </c>
      <c r="C55" s="84">
        <v>1.1256383712905027</v>
      </c>
      <c r="D55" s="84">
        <v>1.7897170462387422</v>
      </c>
      <c r="E55" s="84">
        <v>0.11114561766731512</v>
      </c>
      <c r="F55" s="84">
        <v>3.0666321601103768</v>
      </c>
      <c r="G55" s="84">
        <v>1.7868957441673778</v>
      </c>
      <c r="H55" s="84">
        <v>0</v>
      </c>
      <c r="I55" s="84">
        <v>0</v>
      </c>
      <c r="J55" s="84">
        <v>1.1683643681655411</v>
      </c>
      <c r="K55" s="84">
        <v>0</v>
      </c>
      <c r="L55" s="84">
        <v>0.66349782793864165</v>
      </c>
      <c r="M55" s="84">
        <v>0</v>
      </c>
      <c r="N55" s="84">
        <v>0.13668767237069801</v>
      </c>
      <c r="O55" s="84">
        <v>0.43752186290109663</v>
      </c>
      <c r="P55" s="84">
        <v>1.1167965142184784</v>
      </c>
      <c r="Q55" s="84">
        <v>2.0096931576455894</v>
      </c>
      <c r="R55" s="84">
        <v>10.047048078418985</v>
      </c>
      <c r="S55" s="84">
        <v>0.74406303000516516</v>
      </c>
      <c r="T55" s="84">
        <v>2.2073036302727473</v>
      </c>
      <c r="U55" s="84">
        <v>2.0815621684537575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4.5377712505333685</v>
      </c>
      <c r="C56" s="84">
        <v>0</v>
      </c>
      <c r="D56" s="84">
        <v>0.2731508590187357</v>
      </c>
      <c r="E56" s="84">
        <v>3.3555583798509252</v>
      </c>
      <c r="F56" s="84">
        <v>3.5195478494671111</v>
      </c>
      <c r="G56" s="84">
        <v>6.6938017002857002</v>
      </c>
      <c r="H56" s="84">
        <v>10.964329012941867</v>
      </c>
      <c r="I56" s="84">
        <v>9.2495592490314866</v>
      </c>
      <c r="J56" s="84">
        <v>0.73988567070979272</v>
      </c>
      <c r="K56" s="84">
        <v>0</v>
      </c>
      <c r="L56" s="84">
        <v>4.3342277889113134</v>
      </c>
      <c r="M56" s="84">
        <v>5.3171411425442656</v>
      </c>
      <c r="N56" s="84">
        <v>2.5246356611064513</v>
      </c>
      <c r="O56" s="84">
        <v>5.4353736364394756</v>
      </c>
      <c r="P56" s="84">
        <v>7.751196173336055</v>
      </c>
      <c r="Q56" s="84">
        <v>8.304998811966513</v>
      </c>
      <c r="R56" s="84">
        <v>10.795538764611976</v>
      </c>
      <c r="S56" s="84">
        <v>13.106876030447662</v>
      </c>
      <c r="T56" s="84">
        <v>9.8931794072767918</v>
      </c>
      <c r="U56" s="84">
        <v>5.1206677322466714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2.0341591591594081</v>
      </c>
      <c r="C57" s="84">
        <v>0</v>
      </c>
      <c r="D57" s="84">
        <v>0.12199699699724675</v>
      </c>
      <c r="E57" s="84">
        <v>2.1783033033035508</v>
      </c>
      <c r="F57" s="84">
        <v>0</v>
      </c>
      <c r="G57" s="84">
        <v>4.6616499757162799</v>
      </c>
      <c r="H57" s="84">
        <v>2.7901273830383175</v>
      </c>
      <c r="I57" s="84">
        <v>5.5587251650465355</v>
      </c>
      <c r="J57" s="84">
        <v>1.7602056844080565</v>
      </c>
      <c r="K57" s="84">
        <v>0</v>
      </c>
      <c r="L57" s="84">
        <v>3.9052550047965298</v>
      </c>
      <c r="M57" s="84">
        <v>2.9477554141940132</v>
      </c>
      <c r="N57" s="84">
        <v>2.5548804842851993</v>
      </c>
      <c r="O57" s="84">
        <v>0.4479374020948228</v>
      </c>
      <c r="P57" s="84">
        <v>3.5505837470125599</v>
      </c>
      <c r="Q57" s="84">
        <v>1.9636805172521932</v>
      </c>
      <c r="R57" s="84">
        <v>4.3550169734954736</v>
      </c>
      <c r="S57" s="84">
        <v>8.5476443084766416</v>
      </c>
      <c r="T57" s="84">
        <v>9.8111675468574475</v>
      </c>
      <c r="U57" s="84">
        <v>11.094615822719504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0.64621478785330644</v>
      </c>
      <c r="C58" s="13">
        <f t="shared" si="45"/>
        <v>0</v>
      </c>
      <c r="D58" s="13">
        <f t="shared" ref="D58:V58" si="46">SUM(D59:D61)</f>
        <v>0.15036421421561152</v>
      </c>
      <c r="E58" s="13">
        <f t="shared" si="46"/>
        <v>1.2992257394374346E-2</v>
      </c>
      <c r="F58" s="13">
        <f t="shared" si="46"/>
        <v>0.29557658041151202</v>
      </c>
      <c r="G58" s="13">
        <f t="shared" si="46"/>
        <v>0.53816486817129072</v>
      </c>
      <c r="H58" s="13">
        <f t="shared" si="46"/>
        <v>0.85869936071529485</v>
      </c>
      <c r="I58" s="13">
        <f t="shared" si="46"/>
        <v>0.32251456098981784</v>
      </c>
      <c r="J58" s="13">
        <f t="shared" si="46"/>
        <v>0.49156229152034459</v>
      </c>
      <c r="K58" s="13">
        <f t="shared" si="46"/>
        <v>3.8034364014455369E-2</v>
      </c>
      <c r="L58" s="13">
        <f t="shared" si="46"/>
        <v>0.2464211278023869</v>
      </c>
      <c r="M58" s="13">
        <f t="shared" si="46"/>
        <v>0</v>
      </c>
      <c r="N58" s="13">
        <f t="shared" si="46"/>
        <v>0.12723611651274513</v>
      </c>
      <c r="O58" s="13">
        <f t="shared" si="46"/>
        <v>0</v>
      </c>
      <c r="P58" s="13">
        <f t="shared" si="46"/>
        <v>0</v>
      </c>
      <c r="Q58" s="13">
        <f t="shared" si="46"/>
        <v>7.8820892417975186E-2</v>
      </c>
      <c r="R58" s="13">
        <f t="shared" si="46"/>
        <v>0</v>
      </c>
      <c r="S58" s="13">
        <f t="shared" si="46"/>
        <v>0.57915490557973381</v>
      </c>
      <c r="T58" s="13">
        <f t="shared" si="46"/>
        <v>0.2642542551772008</v>
      </c>
      <c r="U58" s="13">
        <f t="shared" si="46"/>
        <v>0.32949138128775707</v>
      </c>
      <c r="V58" s="13">
        <f t="shared" si="46"/>
        <v>5.8012313861759868E-2</v>
      </c>
      <c r="W58" s="13">
        <f t="shared" ref="W58" si="47">SUM(W59:W61)</f>
        <v>0.82318291858495363</v>
      </c>
      <c r="DA58" s="193" t="s">
        <v>237</v>
      </c>
    </row>
    <row r="59" spans="1:105" ht="11.45" customHeight="1" x14ac:dyDescent="0.25">
      <c r="A59" s="92" t="s">
        <v>27</v>
      </c>
      <c r="B59" s="102">
        <v>0.34168755221372682</v>
      </c>
      <c r="C59" s="102">
        <v>0</v>
      </c>
      <c r="D59" s="102">
        <v>2.7151211361596594E-2</v>
      </c>
      <c r="E59" s="102">
        <v>2.7151211360325611E-3</v>
      </c>
      <c r="F59" s="102">
        <v>8.3542188805205697E-2</v>
      </c>
      <c r="G59" s="102">
        <v>0.18956456989971882</v>
      </c>
      <c r="H59" s="102">
        <v>0</v>
      </c>
      <c r="I59" s="102">
        <v>2.2711947832978252E-2</v>
      </c>
      <c r="J59" s="102">
        <v>0.16414277571218872</v>
      </c>
      <c r="K59" s="102">
        <v>3.8034364014455369E-2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0.12925214403221447</v>
      </c>
      <c r="T59" s="102">
        <v>6.0196701701506372E-2</v>
      </c>
      <c r="U59" s="102">
        <v>0.11805355066809953</v>
      </c>
      <c r="V59" s="102">
        <v>0</v>
      </c>
      <c r="W59" s="102">
        <v>0.16215460526113323</v>
      </c>
      <c r="DA59" s="175" t="s">
        <v>238</v>
      </c>
    </row>
    <row r="60" spans="1:105" ht="11.45" customHeight="1" x14ac:dyDescent="0.25">
      <c r="A60" s="92" t="s">
        <v>173</v>
      </c>
      <c r="B60" s="102">
        <v>0.27363292669617301</v>
      </c>
      <c r="C60" s="102">
        <v>0</v>
      </c>
      <c r="D60" s="102">
        <v>7.8091051634185726E-2</v>
      </c>
      <c r="E60" s="102">
        <v>1.0277136258341785E-2</v>
      </c>
      <c r="F60" s="102">
        <v>0.12016447290680218</v>
      </c>
      <c r="G60" s="102">
        <v>9.3250504032571707E-2</v>
      </c>
      <c r="H60" s="102">
        <v>0.55867497203588501</v>
      </c>
      <c r="I60" s="102">
        <v>5.1199280222584853E-2</v>
      </c>
      <c r="J60" s="102">
        <v>1.5724041596318239E-2</v>
      </c>
      <c r="K60" s="102">
        <v>0</v>
      </c>
      <c r="L60" s="102">
        <v>5.7815471861685674E-2</v>
      </c>
      <c r="M60" s="102">
        <v>0</v>
      </c>
      <c r="N60" s="102">
        <v>0</v>
      </c>
      <c r="O60" s="102">
        <v>0</v>
      </c>
      <c r="P60" s="102">
        <v>0</v>
      </c>
      <c r="Q60" s="102">
        <v>7.8820892417975186E-2</v>
      </c>
      <c r="R60" s="102">
        <v>0</v>
      </c>
      <c r="S60" s="102">
        <v>0.22794827563030651</v>
      </c>
      <c r="T60" s="102">
        <v>0.15951520551328591</v>
      </c>
      <c r="U60" s="102">
        <v>4.742275072224128E-2</v>
      </c>
      <c r="V60" s="102">
        <v>5.8012313861759868E-2</v>
      </c>
      <c r="W60" s="102">
        <v>0.33064447403438879</v>
      </c>
      <c r="DA60" s="175" t="s">
        <v>239</v>
      </c>
    </row>
    <row r="61" spans="1:105" ht="11.45" customHeight="1" x14ac:dyDescent="0.25">
      <c r="A61" s="85" t="s">
        <v>174</v>
      </c>
      <c r="B61" s="86">
        <v>3.0894308943406612E-2</v>
      </c>
      <c r="C61" s="86">
        <v>0</v>
      </c>
      <c r="D61" s="86">
        <v>4.5121951219829204E-2</v>
      </c>
      <c r="E61" s="86">
        <v>0</v>
      </c>
      <c r="F61" s="86">
        <v>9.1869918699504116E-2</v>
      </c>
      <c r="G61" s="86">
        <v>0.25534979423900017</v>
      </c>
      <c r="H61" s="86">
        <v>0.30002438867940984</v>
      </c>
      <c r="I61" s="86">
        <v>0.24860333293425474</v>
      </c>
      <c r="J61" s="86">
        <v>0.31169547421183763</v>
      </c>
      <c r="K61" s="86">
        <v>0</v>
      </c>
      <c r="L61" s="86">
        <v>0.18860565594070122</v>
      </c>
      <c r="M61" s="86">
        <v>0</v>
      </c>
      <c r="N61" s="86">
        <v>0.12723611651274513</v>
      </c>
      <c r="O61" s="86">
        <v>0</v>
      </c>
      <c r="P61" s="86">
        <v>0</v>
      </c>
      <c r="Q61" s="86">
        <v>0</v>
      </c>
      <c r="R61" s="86">
        <v>0</v>
      </c>
      <c r="S61" s="86">
        <v>0.2219544859172129</v>
      </c>
      <c r="T61" s="86">
        <v>4.4542347962408524E-2</v>
      </c>
      <c r="U61" s="86">
        <v>0.16401507989741626</v>
      </c>
      <c r="V61" s="86">
        <v>0</v>
      </c>
      <c r="W61" s="86">
        <v>0.3303838392894316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88.526894940677451</v>
      </c>
      <c r="C66" s="14">
        <f t="shared" si="48"/>
        <v>88.901061491449099</v>
      </c>
      <c r="D66" s="14">
        <f t="shared" ref="D66:V66" si="49">IF(D34=0,0,D34/D24)</f>
        <v>90.784732142857138</v>
      </c>
      <c r="E66" s="14">
        <f t="shared" si="49"/>
        <v>90.971177047702383</v>
      </c>
      <c r="F66" s="14">
        <f t="shared" si="49"/>
        <v>90.632924171931919</v>
      </c>
      <c r="G66" s="14">
        <f t="shared" si="49"/>
        <v>89.234428219081551</v>
      </c>
      <c r="H66" s="14">
        <f t="shared" si="49"/>
        <v>89.072466518873938</v>
      </c>
      <c r="I66" s="14">
        <f t="shared" si="49"/>
        <v>93.275359934771885</v>
      </c>
      <c r="J66" s="14">
        <f t="shared" si="49"/>
        <v>96.385178937738104</v>
      </c>
      <c r="K66" s="14">
        <f t="shared" si="49"/>
        <v>102.44628713446217</v>
      </c>
      <c r="L66" s="14">
        <f t="shared" si="49"/>
        <v>104.29184935942769</v>
      </c>
      <c r="M66" s="14">
        <f t="shared" si="49"/>
        <v>106.94452528323741</v>
      </c>
      <c r="N66" s="14">
        <f t="shared" si="49"/>
        <v>110.65885001202003</v>
      </c>
      <c r="O66" s="14">
        <f t="shared" si="49"/>
        <v>114.15073309182189</v>
      </c>
      <c r="P66" s="14">
        <f t="shared" si="49"/>
        <v>117.24202785018706</v>
      </c>
      <c r="Q66" s="14">
        <f t="shared" si="49"/>
        <v>122.18823730552231</v>
      </c>
      <c r="R66" s="14">
        <f t="shared" si="49"/>
        <v>118.31437065027113</v>
      </c>
      <c r="S66" s="14">
        <f t="shared" si="49"/>
        <v>128.26027241264921</v>
      </c>
      <c r="T66" s="14">
        <f t="shared" si="49"/>
        <v>128.53595078888227</v>
      </c>
      <c r="U66" s="14">
        <f t="shared" si="49"/>
        <v>131.39302466702398</v>
      </c>
      <c r="V66" s="14">
        <f t="shared" si="49"/>
        <v>95.117211365443367</v>
      </c>
      <c r="W66" s="14">
        <f t="shared" ref="W66" si="50">IF(W34=0,0,W34/W24)</f>
        <v>99.267946716537367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78.121825938071325</v>
      </c>
      <c r="C67" s="87">
        <f t="shared" si="48"/>
        <v>78.162473203204328</v>
      </c>
      <c r="D67" s="87">
        <f t="shared" ref="D67:V67" si="51">IF(D35=0,0,D35/D25)</f>
        <v>74.659695716709081</v>
      </c>
      <c r="E67" s="87">
        <f t="shared" si="51"/>
        <v>74.787111340823159</v>
      </c>
      <c r="F67" s="87">
        <f t="shared" si="51"/>
        <v>69.577101002313029</v>
      </c>
      <c r="G67" s="87">
        <f t="shared" si="51"/>
        <v>66.928127874885007</v>
      </c>
      <c r="H67" s="87">
        <f t="shared" si="51"/>
        <v>63.1549049654542</v>
      </c>
      <c r="I67" s="87">
        <f t="shared" si="51"/>
        <v>66.928134513072919</v>
      </c>
      <c r="J67" s="87">
        <f t="shared" si="51"/>
        <v>66.627298124251695</v>
      </c>
      <c r="K67" s="87">
        <f t="shared" si="51"/>
        <v>78.605991303856797</v>
      </c>
      <c r="L67" s="87">
        <f t="shared" si="51"/>
        <v>78.980057705363208</v>
      </c>
      <c r="M67" s="87">
        <f t="shared" si="51"/>
        <v>74.57601410934744</v>
      </c>
      <c r="N67" s="87">
        <f t="shared" si="51"/>
        <v>78.875871687587164</v>
      </c>
      <c r="O67" s="87">
        <f t="shared" si="51"/>
        <v>82.640337116668206</v>
      </c>
      <c r="P67" s="87">
        <f t="shared" si="51"/>
        <v>81.966087325137764</v>
      </c>
      <c r="Q67" s="87">
        <f t="shared" si="51"/>
        <v>93.740975803252681</v>
      </c>
      <c r="R67" s="87">
        <f t="shared" si="51"/>
        <v>76.49838392094216</v>
      </c>
      <c r="S67" s="87">
        <f t="shared" si="51"/>
        <v>88.801394642622824</v>
      </c>
      <c r="T67" s="87">
        <f t="shared" si="51"/>
        <v>89.9772872567126</v>
      </c>
      <c r="U67" s="87">
        <f t="shared" si="51"/>
        <v>85.999689312344657</v>
      </c>
      <c r="V67" s="87">
        <f t="shared" si="51"/>
        <v>58.511663454509204</v>
      </c>
      <c r="W67" s="87">
        <f t="shared" ref="W67" si="52">IF(W35=0,0,W35/W25)</f>
        <v>74.613119706800063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92.056992892616051</v>
      </c>
      <c r="C68" s="87">
        <f t="shared" si="48"/>
        <v>92.752906842080876</v>
      </c>
      <c r="D68" s="87">
        <f t="shared" ref="D68:V68" si="53">IF(D36=0,0,D36/D26)</f>
        <v>97.315708312799075</v>
      </c>
      <c r="E68" s="87">
        <f t="shared" si="53"/>
        <v>96.966895331512291</v>
      </c>
      <c r="F68" s="87">
        <f t="shared" si="53"/>
        <v>98.752931018813058</v>
      </c>
      <c r="G68" s="87">
        <f t="shared" si="53"/>
        <v>97.517747292014064</v>
      </c>
      <c r="H68" s="87">
        <f t="shared" si="53"/>
        <v>95.848438135875398</v>
      </c>
      <c r="I68" s="87">
        <f t="shared" si="53"/>
        <v>98.910613900778969</v>
      </c>
      <c r="J68" s="87">
        <f t="shared" si="53"/>
        <v>103.04742621110969</v>
      </c>
      <c r="K68" s="87">
        <f t="shared" si="53"/>
        <v>107.07239559430931</v>
      </c>
      <c r="L68" s="87">
        <f t="shared" si="53"/>
        <v>108.13429912908092</v>
      </c>
      <c r="M68" s="87">
        <f t="shared" si="53"/>
        <v>112.48965509269962</v>
      </c>
      <c r="N68" s="87">
        <f t="shared" si="53"/>
        <v>115.32175198454269</v>
      </c>
      <c r="O68" s="87">
        <f t="shared" si="53"/>
        <v>118.22366889077963</v>
      </c>
      <c r="P68" s="87">
        <f t="shared" si="53"/>
        <v>122.57657026306156</v>
      </c>
      <c r="Q68" s="87">
        <f t="shared" si="53"/>
        <v>126.64277357460416</v>
      </c>
      <c r="R68" s="87">
        <f t="shared" si="53"/>
        <v>132.43349137659581</v>
      </c>
      <c r="S68" s="87">
        <f t="shared" si="53"/>
        <v>139.46366233978284</v>
      </c>
      <c r="T68" s="87">
        <f t="shared" si="53"/>
        <v>138.36988246069302</v>
      </c>
      <c r="U68" s="87">
        <f t="shared" si="53"/>
        <v>143.17820872747205</v>
      </c>
      <c r="V68" s="87">
        <f t="shared" si="53"/>
        <v>108.04526718544943</v>
      </c>
      <c r="W68" s="87">
        <f t="shared" ref="W68" si="54">IF(W36=0,0,W36/W26)</f>
        <v>107.76736617187169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98.491938137545247</v>
      </c>
      <c r="C69" s="87">
        <f t="shared" si="48"/>
        <v>100.11465185818027</v>
      </c>
      <c r="D69" s="87">
        <f t="shared" ref="D69:V69" si="55">IF(D37=0,0,D37/D27)</f>
        <v>108.16070014952942</v>
      </c>
      <c r="E69" s="87">
        <f t="shared" si="55"/>
        <v>108.43529214799933</v>
      </c>
      <c r="F69" s="87">
        <f t="shared" si="55"/>
        <v>120.42693359202751</v>
      </c>
      <c r="G69" s="87">
        <f t="shared" si="55"/>
        <v>118.65918272218769</v>
      </c>
      <c r="H69" s="87">
        <f t="shared" si="55"/>
        <v>119.94355919583023</v>
      </c>
      <c r="I69" s="87">
        <f t="shared" si="55"/>
        <v>121.04528997432691</v>
      </c>
      <c r="J69" s="87">
        <f t="shared" si="55"/>
        <v>130.52412708398867</v>
      </c>
      <c r="K69" s="87">
        <f t="shared" si="55"/>
        <v>133.92207622409623</v>
      </c>
      <c r="L69" s="87">
        <f t="shared" si="55"/>
        <v>138.81549287375515</v>
      </c>
      <c r="M69" s="87">
        <f t="shared" si="55"/>
        <v>142.25529859651115</v>
      </c>
      <c r="N69" s="87">
        <f t="shared" si="55"/>
        <v>145.9055238095238</v>
      </c>
      <c r="O69" s="87">
        <f t="shared" si="55"/>
        <v>150.06785190017942</v>
      </c>
      <c r="P69" s="87">
        <f t="shared" si="55"/>
        <v>150.92404998200237</v>
      </c>
      <c r="Q69" s="87">
        <f t="shared" si="55"/>
        <v>149.46129305617865</v>
      </c>
      <c r="R69" s="87">
        <f t="shared" si="55"/>
        <v>148.77353348523434</v>
      </c>
      <c r="S69" s="87">
        <f t="shared" si="55"/>
        <v>156.29476584022038</v>
      </c>
      <c r="T69" s="87">
        <f t="shared" si="55"/>
        <v>158.59941430857765</v>
      </c>
      <c r="U69" s="87">
        <f t="shared" si="55"/>
        <v>163.03654970760235</v>
      </c>
      <c r="V69" s="87">
        <f t="shared" si="55"/>
        <v>130.41841481611516</v>
      </c>
      <c r="W69" s="87">
        <f t="shared" ref="W69" si="56">IF(W37=0,0,W37/W27)</f>
        <v>125.35206709813762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15.923943186314936</v>
      </c>
      <c r="C70" s="15">
        <f t="shared" si="48"/>
        <v>16.266411413470777</v>
      </c>
      <c r="D70" s="15">
        <f t="shared" ref="D70:V70" si="57">IF(D38=0,0,D38/D28)</f>
        <v>16.465564052505517</v>
      </c>
      <c r="E70" s="15">
        <f t="shared" si="57"/>
        <v>16.693914082293308</v>
      </c>
      <c r="F70" s="15">
        <f t="shared" si="57"/>
        <v>16.032028360714879</v>
      </c>
      <c r="G70" s="15">
        <f t="shared" si="57"/>
        <v>15.644743537442778</v>
      </c>
      <c r="H70" s="15">
        <f t="shared" si="57"/>
        <v>15.794152130268888</v>
      </c>
      <c r="I70" s="15">
        <f t="shared" si="57"/>
        <v>16.151241545971082</v>
      </c>
      <c r="J70" s="15">
        <f t="shared" si="57"/>
        <v>16.406076370308718</v>
      </c>
      <c r="K70" s="15">
        <f t="shared" si="57"/>
        <v>16.43835248108725</v>
      </c>
      <c r="L70" s="15">
        <f t="shared" si="57"/>
        <v>18.881115300604115</v>
      </c>
      <c r="M70" s="15">
        <f t="shared" si="57"/>
        <v>21.594379900807862</v>
      </c>
      <c r="N70" s="15">
        <f t="shared" si="57"/>
        <v>23.794881553062414</v>
      </c>
      <c r="O70" s="15">
        <f t="shared" si="57"/>
        <v>24.738342515232617</v>
      </c>
      <c r="P70" s="15">
        <f t="shared" si="57"/>
        <v>27.990829517825475</v>
      </c>
      <c r="Q70" s="15">
        <f t="shared" si="57"/>
        <v>27.420506423846589</v>
      </c>
      <c r="R70" s="15">
        <f t="shared" si="57"/>
        <v>30.769153154587144</v>
      </c>
      <c r="S70" s="15">
        <f t="shared" si="57"/>
        <v>31.691827900181273</v>
      </c>
      <c r="T70" s="15">
        <f t="shared" si="57"/>
        <v>31.193469889671015</v>
      </c>
      <c r="U70" s="15">
        <f t="shared" si="57"/>
        <v>34.82602839347588</v>
      </c>
      <c r="V70" s="15">
        <f t="shared" si="57"/>
        <v>25.262448155534649</v>
      </c>
      <c r="W70" s="15">
        <f t="shared" ref="W70" si="58">IF(W38=0,0,W38/W28)</f>
        <v>27.478920859370398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9.9726891566980331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13.240241004887793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14.287825769085293</v>
      </c>
      <c r="U71" s="41">
        <f t="shared" si="59"/>
        <v>15.803320090655207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19.011024442061288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53.838817889509436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1537.8385352970886</v>
      </c>
      <c r="C75" s="62">
        <f t="shared" si="65"/>
        <v>1521.7524707604778</v>
      </c>
      <c r="D75" s="62">
        <f t="shared" ref="D75:V75" si="66">IF(D13=0,0,D13*1000000/D23)</f>
        <v>1496.0344699347972</v>
      </c>
      <c r="E75" s="62">
        <f t="shared" si="66"/>
        <v>1518.1095898969984</v>
      </c>
      <c r="F75" s="62">
        <f t="shared" si="66"/>
        <v>1475.9524029149993</v>
      </c>
      <c r="G75" s="62">
        <f t="shared" si="66"/>
        <v>1503.8395822228374</v>
      </c>
      <c r="H75" s="62">
        <f t="shared" si="66"/>
        <v>1587.7611800368036</v>
      </c>
      <c r="I75" s="62">
        <f t="shared" si="66"/>
        <v>1640.9078592039361</v>
      </c>
      <c r="J75" s="62">
        <f t="shared" si="66"/>
        <v>1632.7725059084948</v>
      </c>
      <c r="K75" s="62">
        <f t="shared" si="66"/>
        <v>1633.5631860610579</v>
      </c>
      <c r="L75" s="62">
        <f t="shared" si="66"/>
        <v>1660.8913201461658</v>
      </c>
      <c r="M75" s="62">
        <f t="shared" si="66"/>
        <v>1674.031011160994</v>
      </c>
      <c r="N75" s="62">
        <f t="shared" si="66"/>
        <v>1696.0775187152281</v>
      </c>
      <c r="O75" s="62">
        <f t="shared" si="66"/>
        <v>1707.7117543251543</v>
      </c>
      <c r="P75" s="62">
        <f t="shared" si="66"/>
        <v>1725.7720776197518</v>
      </c>
      <c r="Q75" s="62">
        <f t="shared" si="66"/>
        <v>1713.0079202301627</v>
      </c>
      <c r="R75" s="62">
        <f t="shared" si="66"/>
        <v>1622.4035965121227</v>
      </c>
      <c r="S75" s="62">
        <f t="shared" si="66"/>
        <v>1680.2651699528049</v>
      </c>
      <c r="T75" s="62">
        <f t="shared" si="66"/>
        <v>1717.3103027597224</v>
      </c>
      <c r="U75" s="62">
        <f t="shared" si="66"/>
        <v>1762.7584940433553</v>
      </c>
      <c r="V75" s="62">
        <f t="shared" si="66"/>
        <v>1627.5640830991824</v>
      </c>
      <c r="W75" s="62">
        <f t="shared" ref="W75" si="67">IF(W13=0,0,W13*1000000/W23)</f>
        <v>1637.625087174026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1568.4114956130629</v>
      </c>
      <c r="C76" s="14">
        <f t="shared" si="65"/>
        <v>1549.1701514304459</v>
      </c>
      <c r="D76" s="14">
        <f t="shared" ref="D76:V76" si="68">IF(D14=0,0,D14*1000000/D24)</f>
        <v>1521.8534689533308</v>
      </c>
      <c r="E76" s="14">
        <f t="shared" si="68"/>
        <v>1543.4015663596924</v>
      </c>
      <c r="F76" s="14">
        <f t="shared" si="68"/>
        <v>1498.6718512039645</v>
      </c>
      <c r="G76" s="14">
        <f t="shared" si="68"/>
        <v>1526.4542860660204</v>
      </c>
      <c r="H76" s="14">
        <f t="shared" si="68"/>
        <v>1605.476326575839</v>
      </c>
      <c r="I76" s="14">
        <f t="shared" si="68"/>
        <v>1654.1342244171317</v>
      </c>
      <c r="J76" s="14">
        <f t="shared" si="68"/>
        <v>1642.176214720032</v>
      </c>
      <c r="K76" s="14">
        <f t="shared" si="68"/>
        <v>1642.8354343597657</v>
      </c>
      <c r="L76" s="14">
        <f t="shared" si="68"/>
        <v>1662.7239007040289</v>
      </c>
      <c r="M76" s="14">
        <f t="shared" si="68"/>
        <v>1672.5841905637878</v>
      </c>
      <c r="N76" s="14">
        <f t="shared" si="68"/>
        <v>1693.6322463907934</v>
      </c>
      <c r="O76" s="14">
        <f t="shared" si="68"/>
        <v>1705.145769127347</v>
      </c>
      <c r="P76" s="14">
        <f t="shared" si="68"/>
        <v>1723.1152698565763</v>
      </c>
      <c r="Q76" s="14">
        <f t="shared" si="68"/>
        <v>1711.3069287827491</v>
      </c>
      <c r="R76" s="14">
        <f t="shared" si="68"/>
        <v>1620.6696709642613</v>
      </c>
      <c r="S76" s="14">
        <f t="shared" si="68"/>
        <v>1677.6735316087747</v>
      </c>
      <c r="T76" s="14">
        <f t="shared" si="68"/>
        <v>1715.4821635590274</v>
      </c>
      <c r="U76" s="14">
        <f t="shared" si="68"/>
        <v>1764.099163387312</v>
      </c>
      <c r="V76" s="14">
        <f t="shared" si="68"/>
        <v>1628.5290020285875</v>
      </c>
      <c r="W76" s="14">
        <f t="shared" ref="W76" si="69">IF(W14=0,0,W14*1000000/W24)</f>
        <v>1636.7209800223845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620.28482640199491</v>
      </c>
      <c r="C77" s="39">
        <f t="shared" si="65"/>
        <v>620.28482640199491</v>
      </c>
      <c r="D77" s="39">
        <f t="shared" ref="D77:V77" si="70">IF(D15=0,0,D15*1000000/D25)</f>
        <v>620.28482640199491</v>
      </c>
      <c r="E77" s="39">
        <f t="shared" si="70"/>
        <v>620.28482640199491</v>
      </c>
      <c r="F77" s="39">
        <f t="shared" si="70"/>
        <v>620.28482640199491</v>
      </c>
      <c r="G77" s="39">
        <f t="shared" si="70"/>
        <v>630.74500764321931</v>
      </c>
      <c r="H77" s="39">
        <f t="shared" si="70"/>
        <v>643.22524428674285</v>
      </c>
      <c r="I77" s="39">
        <f t="shared" si="70"/>
        <v>644.38360012177816</v>
      </c>
      <c r="J77" s="39">
        <f t="shared" si="70"/>
        <v>635.56191745946398</v>
      </c>
      <c r="K77" s="39">
        <f t="shared" si="70"/>
        <v>624.64966937692714</v>
      </c>
      <c r="L77" s="39">
        <f t="shared" si="70"/>
        <v>631.28517814726843</v>
      </c>
      <c r="M77" s="39">
        <f t="shared" si="70"/>
        <v>619.80546319916039</v>
      </c>
      <c r="N77" s="39">
        <f t="shared" si="70"/>
        <v>625.26065304446035</v>
      </c>
      <c r="O77" s="39">
        <f t="shared" si="70"/>
        <v>631.47777486155655</v>
      </c>
      <c r="P77" s="39">
        <f t="shared" si="70"/>
        <v>652.79293550046407</v>
      </c>
      <c r="Q77" s="39">
        <f t="shared" si="70"/>
        <v>668.91233910032281</v>
      </c>
      <c r="R77" s="39">
        <f t="shared" si="70"/>
        <v>644.03129196251939</v>
      </c>
      <c r="S77" s="39">
        <f t="shared" si="70"/>
        <v>665.31040845847474</v>
      </c>
      <c r="T77" s="39">
        <f t="shared" si="70"/>
        <v>665.75586752669517</v>
      </c>
      <c r="U77" s="39">
        <f t="shared" si="70"/>
        <v>696.61480359748111</v>
      </c>
      <c r="V77" s="39">
        <f t="shared" si="70"/>
        <v>665.32264892526121</v>
      </c>
      <c r="W77" s="39">
        <f t="shared" ref="W77" si="71">IF(W15=0,0,W15*1000000/W25)</f>
        <v>700.30585358180485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1628.2410981512744</v>
      </c>
      <c r="C78" s="39">
        <f t="shared" si="65"/>
        <v>1628.2418970834037</v>
      </c>
      <c r="D78" s="39">
        <f t="shared" ref="D78:V78" si="72">IF(D16=0,0,D16*1000000/D26)</f>
        <v>1628.2402609189085</v>
      </c>
      <c r="E78" s="39">
        <f t="shared" si="72"/>
        <v>1628.5007466478655</v>
      </c>
      <c r="F78" s="39">
        <f t="shared" si="72"/>
        <v>1634.1422119071601</v>
      </c>
      <c r="G78" s="39">
        <f t="shared" si="72"/>
        <v>1628.9547677187588</v>
      </c>
      <c r="H78" s="39">
        <f t="shared" si="72"/>
        <v>1635.8419653666231</v>
      </c>
      <c r="I78" s="39">
        <f t="shared" si="72"/>
        <v>1623.2989690679667</v>
      </c>
      <c r="J78" s="39">
        <f t="shared" si="72"/>
        <v>1635.1820458026798</v>
      </c>
      <c r="K78" s="39">
        <f t="shared" si="72"/>
        <v>1638.7783691722143</v>
      </c>
      <c r="L78" s="39">
        <f t="shared" si="72"/>
        <v>1634.5323211077841</v>
      </c>
      <c r="M78" s="39">
        <f t="shared" si="72"/>
        <v>1614.1950767545641</v>
      </c>
      <c r="N78" s="39">
        <f t="shared" si="72"/>
        <v>1613.8159230950218</v>
      </c>
      <c r="O78" s="39">
        <f t="shared" si="72"/>
        <v>1637.3870215813547</v>
      </c>
      <c r="P78" s="39">
        <f t="shared" si="72"/>
        <v>1637.1056172380968</v>
      </c>
      <c r="Q78" s="39">
        <f t="shared" si="72"/>
        <v>1637.0749538919317</v>
      </c>
      <c r="R78" s="39">
        <f t="shared" si="72"/>
        <v>1662.3230875747458</v>
      </c>
      <c r="S78" s="39">
        <f t="shared" si="72"/>
        <v>1682.9085874065604</v>
      </c>
      <c r="T78" s="39">
        <f t="shared" si="72"/>
        <v>1684.6072003018317</v>
      </c>
      <c r="U78" s="39">
        <f t="shared" si="72"/>
        <v>1672.3296076296901</v>
      </c>
      <c r="V78" s="39">
        <f t="shared" si="72"/>
        <v>1651.0687454774302</v>
      </c>
      <c r="W78" s="39">
        <f t="shared" ref="W78" si="73">IF(W16=0,0,W16*1000000/W26)</f>
        <v>1677.3481474518805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3925.0844805784568</v>
      </c>
      <c r="C79" s="39">
        <f t="shared" si="65"/>
        <v>3925.0844805784573</v>
      </c>
      <c r="D79" s="39">
        <f t="shared" ref="D79:V79" si="74">IF(D17=0,0,D17*1000000/D27)</f>
        <v>3925.0844805784573</v>
      </c>
      <c r="E79" s="39">
        <f t="shared" si="74"/>
        <v>3925.0844805784568</v>
      </c>
      <c r="F79" s="39">
        <f t="shared" si="74"/>
        <v>3925.0844805784564</v>
      </c>
      <c r="G79" s="39">
        <f t="shared" si="74"/>
        <v>3983.7800748819791</v>
      </c>
      <c r="H79" s="39">
        <f t="shared" si="74"/>
        <v>4087.2733648484841</v>
      </c>
      <c r="I79" s="39">
        <f t="shared" si="74"/>
        <v>4172.1232202853853</v>
      </c>
      <c r="J79" s="39">
        <f t="shared" si="74"/>
        <v>4060.4270727191697</v>
      </c>
      <c r="K79" s="39">
        <f t="shared" si="74"/>
        <v>4021.1027969625293</v>
      </c>
      <c r="L79" s="39">
        <f t="shared" si="74"/>
        <v>3975.3905988728561</v>
      </c>
      <c r="M79" s="39">
        <f t="shared" si="74"/>
        <v>3994.7118611850397</v>
      </c>
      <c r="N79" s="39">
        <f t="shared" si="74"/>
        <v>3984.4823955816364</v>
      </c>
      <c r="O79" s="39">
        <f t="shared" si="74"/>
        <v>3931.998513506911</v>
      </c>
      <c r="P79" s="39">
        <f t="shared" si="74"/>
        <v>3963.6365972096223</v>
      </c>
      <c r="Q79" s="39">
        <f t="shared" si="74"/>
        <v>3924.7608866538881</v>
      </c>
      <c r="R79" s="39">
        <f t="shared" si="74"/>
        <v>3762.7655287808102</v>
      </c>
      <c r="S79" s="39">
        <f t="shared" si="74"/>
        <v>3719.5044753655948</v>
      </c>
      <c r="T79" s="39">
        <f t="shared" si="74"/>
        <v>3866.1078613875566</v>
      </c>
      <c r="U79" s="39">
        <f t="shared" si="74"/>
        <v>4025.1424177277991</v>
      </c>
      <c r="V79" s="39">
        <f t="shared" si="74"/>
        <v>4065.7544325530903</v>
      </c>
      <c r="W79" s="39">
        <f t="shared" ref="W79" si="75">IF(W17=0,0,W17*1000000/W27)</f>
        <v>3944.4236838163633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842.68829204235874</v>
      </c>
      <c r="C80" s="15">
        <f t="shared" si="65"/>
        <v>850.30127049319503</v>
      </c>
      <c r="D80" s="15">
        <f t="shared" ref="D80:V80" si="76">IF(D18=0,0,D18*1000000/D28)</f>
        <v>862.1616312509384</v>
      </c>
      <c r="E80" s="15">
        <f t="shared" si="76"/>
        <v>842.26903132053587</v>
      </c>
      <c r="F80" s="15">
        <f t="shared" si="76"/>
        <v>864.71285038564599</v>
      </c>
      <c r="G80" s="15">
        <f t="shared" si="76"/>
        <v>897.70382118776718</v>
      </c>
      <c r="H80" s="15">
        <f t="shared" si="76"/>
        <v>1122.5761239092901</v>
      </c>
      <c r="I80" s="15">
        <f t="shared" si="76"/>
        <v>1264.2743143946923</v>
      </c>
      <c r="J80" s="15">
        <f t="shared" si="76"/>
        <v>1366.9281947116167</v>
      </c>
      <c r="K80" s="15">
        <f t="shared" si="76"/>
        <v>1362.7980225944514</v>
      </c>
      <c r="L80" s="15">
        <f t="shared" si="76"/>
        <v>1603.3601109665831</v>
      </c>
      <c r="M80" s="15">
        <f t="shared" si="76"/>
        <v>1733.9580166167839</v>
      </c>
      <c r="N80" s="15">
        <f t="shared" si="76"/>
        <v>1801.9989378529469</v>
      </c>
      <c r="O80" s="15">
        <f t="shared" si="76"/>
        <v>1833.612024555428</v>
      </c>
      <c r="P80" s="15">
        <f t="shared" si="76"/>
        <v>1879.3897191486597</v>
      </c>
      <c r="Q80" s="15">
        <f t="shared" si="76"/>
        <v>1821.4997103553276</v>
      </c>
      <c r="R80" s="15">
        <f t="shared" si="76"/>
        <v>1769.1435071045826</v>
      </c>
      <c r="S80" s="15">
        <f t="shared" si="76"/>
        <v>1873.6308778430196</v>
      </c>
      <c r="T80" s="15">
        <f t="shared" si="76"/>
        <v>1858.1907923228209</v>
      </c>
      <c r="U80" s="15">
        <f t="shared" si="76"/>
        <v>1666.0868569379375</v>
      </c>
      <c r="V80" s="15">
        <f t="shared" si="76"/>
        <v>1595.7040932463522</v>
      </c>
      <c r="W80" s="15">
        <f t="shared" ref="W80" si="77">IF(W18=0,0,W18*1000000/W28)</f>
        <v>1669.7365405337475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123.63823145718837</v>
      </c>
      <c r="C81" s="41">
        <f t="shared" si="65"/>
        <v>123.63823145718837</v>
      </c>
      <c r="D81" s="41">
        <f t="shared" ref="D81:V81" si="78">IF(D19=0,0,D19*1000000/D29)</f>
        <v>123.63823145718835</v>
      </c>
      <c r="E81" s="41">
        <f t="shared" si="78"/>
        <v>123.63823145718835</v>
      </c>
      <c r="F81" s="41">
        <f t="shared" si="78"/>
        <v>123.63823145718837</v>
      </c>
      <c r="G81" s="41">
        <f t="shared" si="78"/>
        <v>134.09841269841269</v>
      </c>
      <c r="H81" s="41">
        <f t="shared" si="78"/>
        <v>214.49904080955173</v>
      </c>
      <c r="I81" s="41">
        <f t="shared" si="78"/>
        <v>283.577788112203</v>
      </c>
      <c r="J81" s="41">
        <f t="shared" si="78"/>
        <v>342.67649691750455</v>
      </c>
      <c r="K81" s="41">
        <f t="shared" si="78"/>
        <v>399.68464030258372</v>
      </c>
      <c r="L81" s="41">
        <f t="shared" si="78"/>
        <v>474.24054054054051</v>
      </c>
      <c r="M81" s="41">
        <f t="shared" si="78"/>
        <v>399.08985145565583</v>
      </c>
      <c r="N81" s="41">
        <f t="shared" si="78"/>
        <v>340.87406716417905</v>
      </c>
      <c r="O81" s="41">
        <f t="shared" si="78"/>
        <v>337.34053421316725</v>
      </c>
      <c r="P81" s="41">
        <f t="shared" si="78"/>
        <v>348.90504008396704</v>
      </c>
      <c r="Q81" s="41">
        <f t="shared" si="78"/>
        <v>355.27378891571794</v>
      </c>
      <c r="R81" s="41">
        <f t="shared" si="78"/>
        <v>320.64208700980674</v>
      </c>
      <c r="S81" s="41">
        <f t="shared" si="78"/>
        <v>332.17054873765431</v>
      </c>
      <c r="T81" s="41">
        <f t="shared" si="78"/>
        <v>322.86535303776679</v>
      </c>
      <c r="U81" s="41">
        <f t="shared" si="78"/>
        <v>327.6295652173913</v>
      </c>
      <c r="V81" s="41">
        <f t="shared" si="78"/>
        <v>296.33741054517156</v>
      </c>
      <c r="W81" s="41">
        <f t="shared" ref="W81" si="79">IF(W19=0,0,W19*1000000/W29)</f>
        <v>331.32061520171521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1275.1674588403457</v>
      </c>
      <c r="C82" s="41">
        <f t="shared" si="65"/>
        <v>1275.2786639025874</v>
      </c>
      <c r="D82" s="41">
        <f t="shared" ref="D82:V82" si="80">IF(D20=0,0,D20*1000000/D30)</f>
        <v>1275.1869150911266</v>
      </c>
      <c r="E82" s="41">
        <f t="shared" si="80"/>
        <v>1280.4604921853756</v>
      </c>
      <c r="F82" s="41">
        <f t="shared" si="80"/>
        <v>1292.5087630247642</v>
      </c>
      <c r="G82" s="41">
        <f t="shared" si="80"/>
        <v>1289.454426046178</v>
      </c>
      <c r="H82" s="41">
        <f t="shared" si="80"/>
        <v>1359.9786778940068</v>
      </c>
      <c r="I82" s="41">
        <f t="shared" si="80"/>
        <v>1396.4941728909389</v>
      </c>
      <c r="J82" s="41">
        <f t="shared" si="80"/>
        <v>1449.6139366178882</v>
      </c>
      <c r="K82" s="41">
        <f t="shared" si="80"/>
        <v>1501.4584386416809</v>
      </c>
      <c r="L82" s="41">
        <f t="shared" si="80"/>
        <v>1548.0143598301895</v>
      </c>
      <c r="M82" s="41">
        <f t="shared" si="80"/>
        <v>1510.6444761327173</v>
      </c>
      <c r="N82" s="41">
        <f t="shared" si="80"/>
        <v>1500.7249768042607</v>
      </c>
      <c r="O82" s="41">
        <f t="shared" si="80"/>
        <v>1496.3639757286467</v>
      </c>
      <c r="P82" s="41">
        <f t="shared" si="80"/>
        <v>1470.5799563988351</v>
      </c>
      <c r="Q82" s="41">
        <f t="shared" si="80"/>
        <v>1448.3179638785637</v>
      </c>
      <c r="R82" s="41">
        <f t="shared" si="80"/>
        <v>1449.9827848822119</v>
      </c>
      <c r="S82" s="41">
        <f t="shared" si="80"/>
        <v>1446.2608308226156</v>
      </c>
      <c r="T82" s="41">
        <f t="shared" si="80"/>
        <v>1427.2028747750767</v>
      </c>
      <c r="U82" s="41">
        <f t="shared" si="80"/>
        <v>1391.6541161481944</v>
      </c>
      <c r="V82" s="41">
        <f t="shared" si="80"/>
        <v>1378.1596682370823</v>
      </c>
      <c r="W82" s="41">
        <f t="shared" ref="W82" si="81">IF(W20=0,0,W20*1000000/W30)</f>
        <v>1405.2741503214327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3205.0976749272459</v>
      </c>
      <c r="C83" s="40">
        <f t="shared" si="65"/>
        <v>3205.0976749272463</v>
      </c>
      <c r="D83" s="40">
        <f t="shared" ref="D83:V83" si="82">IF(D21=0,0,D21*1000000/D31)</f>
        <v>3205.0976749272463</v>
      </c>
      <c r="E83" s="40">
        <f t="shared" si="82"/>
        <v>3205.0976749272463</v>
      </c>
      <c r="F83" s="40">
        <f t="shared" si="82"/>
        <v>3205.0976749272463</v>
      </c>
      <c r="G83" s="40">
        <f t="shared" si="82"/>
        <v>3263.7932692307691</v>
      </c>
      <c r="H83" s="40">
        <f t="shared" si="82"/>
        <v>3651.7452563352585</v>
      </c>
      <c r="I83" s="40">
        <f t="shared" si="82"/>
        <v>4021.0538089101428</v>
      </c>
      <c r="J83" s="40">
        <f t="shared" si="82"/>
        <v>4193.8163584819122</v>
      </c>
      <c r="K83" s="40">
        <f t="shared" si="82"/>
        <v>4438.9507798632549</v>
      </c>
      <c r="L83" s="40">
        <f t="shared" si="82"/>
        <v>4677.6972789115644</v>
      </c>
      <c r="M83" s="40">
        <f t="shared" si="82"/>
        <v>4798.5196727049133</v>
      </c>
      <c r="N83" s="40">
        <f t="shared" si="82"/>
        <v>4889.7913385826778</v>
      </c>
      <c r="O83" s="40">
        <f t="shared" si="82"/>
        <v>4785.8808462527104</v>
      </c>
      <c r="P83" s="40">
        <f t="shared" si="82"/>
        <v>4766.0923197001785</v>
      </c>
      <c r="Q83" s="40">
        <f t="shared" si="82"/>
        <v>4675.7899988892023</v>
      </c>
      <c r="R83" s="40">
        <f t="shared" si="82"/>
        <v>4462.368030760882</v>
      </c>
      <c r="S83" s="40">
        <f t="shared" si="82"/>
        <v>4367.6803670904255</v>
      </c>
      <c r="T83" s="40">
        <f t="shared" si="82"/>
        <v>4462.8571428571431</v>
      </c>
      <c r="U83" s="40">
        <f t="shared" si="82"/>
        <v>3396.6315789473688</v>
      </c>
      <c r="V83" s="40">
        <f t="shared" si="82"/>
        <v>3437.24359377266</v>
      </c>
      <c r="W83" s="40">
        <f t="shared" ref="W83" si="83">IF(W21=0,0,W21*1000000/W31)</f>
        <v>3315.9128450359312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181091.07442141615</v>
      </c>
      <c r="C86" s="11">
        <f t="shared" si="84"/>
        <v>180126.68182962501</v>
      </c>
      <c r="D86" s="11">
        <f t="shared" ref="D86:V86" si="85">IF(D4=0,0,D4*1000000/D24)</f>
        <v>183059.45715167595</v>
      </c>
      <c r="E86" s="11">
        <f t="shared" si="85"/>
        <v>183168.73689722727</v>
      </c>
      <c r="F86" s="11">
        <f t="shared" si="85"/>
        <v>180763.30344164593</v>
      </c>
      <c r="G86" s="11">
        <f t="shared" si="85"/>
        <v>180679.83143831007</v>
      </c>
      <c r="H86" s="11">
        <f t="shared" si="85"/>
        <v>185038.75522536528</v>
      </c>
      <c r="I86" s="11">
        <f t="shared" si="85"/>
        <v>192429.89275855466</v>
      </c>
      <c r="J86" s="11">
        <f t="shared" si="85"/>
        <v>198342.03955045008</v>
      </c>
      <c r="K86" s="11">
        <f t="shared" si="85"/>
        <v>208170.86080629023</v>
      </c>
      <c r="L86" s="11">
        <f t="shared" si="85"/>
        <v>215300.1784355015</v>
      </c>
      <c r="M86" s="11">
        <f t="shared" si="85"/>
        <v>224052.46810610467</v>
      </c>
      <c r="N86" s="11">
        <f t="shared" si="85"/>
        <v>232935.29682570297</v>
      </c>
      <c r="O86" s="11">
        <f t="shared" si="85"/>
        <v>239319.67132833108</v>
      </c>
      <c r="P86" s="11">
        <f t="shared" si="85"/>
        <v>243601.30573773786</v>
      </c>
      <c r="Q86" s="11">
        <f t="shared" si="85"/>
        <v>243363.14329746965</v>
      </c>
      <c r="R86" s="11">
        <f t="shared" si="85"/>
        <v>231067.01867866173</v>
      </c>
      <c r="S86" s="11">
        <f t="shared" si="85"/>
        <v>251132.60420796744</v>
      </c>
      <c r="T86" s="11">
        <f t="shared" si="85"/>
        <v>257017.48521356241</v>
      </c>
      <c r="U86" s="11">
        <f t="shared" si="85"/>
        <v>272710.20700095216</v>
      </c>
      <c r="V86" s="11">
        <f t="shared" si="85"/>
        <v>200092.64039884155</v>
      </c>
      <c r="W86" s="11">
        <f t="shared" ref="W86" si="86">IF(W4=0,0,W4*1000000/W24)</f>
        <v>194165.88192750918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66580.372739402999</v>
      </c>
      <c r="C87" s="36">
        <f t="shared" si="84"/>
        <v>66615.014915656517</v>
      </c>
      <c r="D87" s="36">
        <f t="shared" ref="D87:V87" si="87">IF(D5=0,0,D5*1000000/D25)</f>
        <v>63629.725876727534</v>
      </c>
      <c r="E87" s="36">
        <f t="shared" si="87"/>
        <v>63738.317549342348</v>
      </c>
      <c r="F87" s="36">
        <f t="shared" si="87"/>
        <v>59298.016440800297</v>
      </c>
      <c r="G87" s="36">
        <f t="shared" si="87"/>
        <v>58002.295024920146</v>
      </c>
      <c r="H87" s="36">
        <f t="shared" si="87"/>
        <v>55815.246329937574</v>
      </c>
      <c r="I87" s="36">
        <f t="shared" si="87"/>
        <v>59256.4839002148</v>
      </c>
      <c r="J87" s="36">
        <f t="shared" si="87"/>
        <v>58182.54953330673</v>
      </c>
      <c r="K87" s="36">
        <f t="shared" si="87"/>
        <v>67464.428018116436</v>
      </c>
      <c r="L87" s="36">
        <f t="shared" si="87"/>
        <v>68505.543881934485</v>
      </c>
      <c r="M87" s="36">
        <f t="shared" si="87"/>
        <v>65333.177913437947</v>
      </c>
      <c r="N87" s="36">
        <f t="shared" si="87"/>
        <v>67679.743383392575</v>
      </c>
      <c r="O87" s="36">
        <f t="shared" si="87"/>
        <v>71427.183718190718</v>
      </c>
      <c r="P87" s="36">
        <f t="shared" si="87"/>
        <v>70218.261163521558</v>
      </c>
      <c r="Q87" s="36">
        <f t="shared" si="87"/>
        <v>82432.473109393773</v>
      </c>
      <c r="R87" s="36">
        <f t="shared" si="87"/>
        <v>66985.267245784562</v>
      </c>
      <c r="S87" s="36">
        <f t="shared" si="87"/>
        <v>78388.813507513929</v>
      </c>
      <c r="T87" s="36">
        <f t="shared" si="87"/>
        <v>77306.028831005431</v>
      </c>
      <c r="U87" s="36">
        <f t="shared" si="87"/>
        <v>76077.057233161424</v>
      </c>
      <c r="V87" s="36">
        <f t="shared" si="87"/>
        <v>50565.460927615808</v>
      </c>
      <c r="W87" s="36">
        <f t="shared" ref="W87" si="88">IF(W5=0,0,W5*1000000/W25)</f>
        <v>70135.179619690796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186795.1071745847</v>
      </c>
      <c r="C88" s="36">
        <f t="shared" si="84"/>
        <v>187713.82290733122</v>
      </c>
      <c r="D88" s="36">
        <f t="shared" ref="D88:V88" si="89">IF(D6=0,0,D6*1000000/D26)</f>
        <v>193669.01407840435</v>
      </c>
      <c r="E88" s="36">
        <f t="shared" si="89"/>
        <v>188486.18178732748</v>
      </c>
      <c r="F88" s="36">
        <f t="shared" si="89"/>
        <v>188599.83360427129</v>
      </c>
      <c r="G88" s="36">
        <f t="shared" si="89"/>
        <v>183439.86047267841</v>
      </c>
      <c r="H88" s="36">
        <f t="shared" si="89"/>
        <v>175379.92600286513</v>
      </c>
      <c r="I88" s="36">
        <f t="shared" si="89"/>
        <v>172257.17937205383</v>
      </c>
      <c r="J88" s="36">
        <f t="shared" si="89"/>
        <v>176227.26921496037</v>
      </c>
      <c r="K88" s="36">
        <f t="shared" si="89"/>
        <v>183499.62009108241</v>
      </c>
      <c r="L88" s="36">
        <f t="shared" si="89"/>
        <v>184285.42140582099</v>
      </c>
      <c r="M88" s="36">
        <f t="shared" si="89"/>
        <v>190533.80843965494</v>
      </c>
      <c r="N88" s="36">
        <f t="shared" si="89"/>
        <v>196405.14930738733</v>
      </c>
      <c r="O88" s="36">
        <f t="shared" si="89"/>
        <v>203619.63165375363</v>
      </c>
      <c r="P88" s="36">
        <f t="shared" si="89"/>
        <v>208511.45616720678</v>
      </c>
      <c r="Q88" s="36">
        <f t="shared" si="89"/>
        <v>210799.47467725983</v>
      </c>
      <c r="R88" s="36">
        <f t="shared" si="89"/>
        <v>223578.87792364848</v>
      </c>
      <c r="S88" s="36">
        <f t="shared" si="89"/>
        <v>234945.67748309762</v>
      </c>
      <c r="T88" s="36">
        <f t="shared" si="89"/>
        <v>231718.18874639031</v>
      </c>
      <c r="U88" s="36">
        <f t="shared" si="89"/>
        <v>238097.78766662531</v>
      </c>
      <c r="V88" s="36">
        <f t="shared" si="89"/>
        <v>188960.26666937064</v>
      </c>
      <c r="W88" s="36">
        <f t="shared" ref="W88" si="90">IF(W6=0,0,W6*1000000/W26)</f>
        <v>185226.3810064948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474140.20657663944</v>
      </c>
      <c r="C89" s="36">
        <f t="shared" si="84"/>
        <v>481951.95069768798</v>
      </c>
      <c r="D89" s="36">
        <f t="shared" ref="D89:V89" si="91">IF(D7=0,0,D7*1000000/D27)</f>
        <v>520685.62851056916</v>
      </c>
      <c r="E89" s="36">
        <f t="shared" si="91"/>
        <v>522007.51443687716</v>
      </c>
      <c r="F89" s="36">
        <f t="shared" si="91"/>
        <v>579735.27834303898</v>
      </c>
      <c r="G89" s="36">
        <f t="shared" si="91"/>
        <v>579767.41155597346</v>
      </c>
      <c r="H89" s="36">
        <f t="shared" si="91"/>
        <v>601267.47177090053</v>
      </c>
      <c r="I89" s="36">
        <f t="shared" si="91"/>
        <v>619387.03999347799</v>
      </c>
      <c r="J89" s="36">
        <f t="shared" si="91"/>
        <v>650009.35113399057</v>
      </c>
      <c r="K89" s="36">
        <f t="shared" si="91"/>
        <v>660472.04686599504</v>
      </c>
      <c r="L89" s="36">
        <f t="shared" si="91"/>
        <v>676822.57843918644</v>
      </c>
      <c r="M89" s="36">
        <f t="shared" si="91"/>
        <v>695643.50237265904</v>
      </c>
      <c r="N89" s="36">
        <f t="shared" si="91"/>
        <v>700358.95709905552</v>
      </c>
      <c r="O89" s="36">
        <f t="shared" si="91"/>
        <v>709456.29986012168</v>
      </c>
      <c r="P89" s="36">
        <f t="shared" si="91"/>
        <v>710558.34272538067</v>
      </c>
      <c r="Q89" s="36">
        <f t="shared" si="91"/>
        <v>692985.66643468291</v>
      </c>
      <c r="R89" s="36">
        <f t="shared" si="91"/>
        <v>662889.89048753399</v>
      </c>
      <c r="S89" s="36">
        <f t="shared" si="91"/>
        <v>679587.59567668464</v>
      </c>
      <c r="T89" s="36">
        <f t="shared" si="91"/>
        <v>714491.02200463531</v>
      </c>
      <c r="U89" s="36">
        <f t="shared" si="91"/>
        <v>762012.72170189989</v>
      </c>
      <c r="V89" s="36">
        <f t="shared" si="91"/>
        <v>647924.07111464685</v>
      </c>
      <c r="W89" s="36">
        <f t="shared" ref="W89" si="92">IF(W7=0,0,W7*1000000/W27)</f>
        <v>566663.13534063101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34807.389392299825</v>
      </c>
      <c r="C90" s="13">
        <f t="shared" si="84"/>
        <v>37428.633339657288</v>
      </c>
      <c r="D90" s="13">
        <f t="shared" ref="D90:V90" si="93">IF(D8=0,0,D8*1000000/D28)</f>
        <v>36028.854468715428</v>
      </c>
      <c r="E90" s="13">
        <f t="shared" si="93"/>
        <v>34009.340134019956</v>
      </c>
      <c r="F90" s="13">
        <f t="shared" si="93"/>
        <v>33079.413356245124</v>
      </c>
      <c r="G90" s="13">
        <f t="shared" si="93"/>
        <v>34633.534829886979</v>
      </c>
      <c r="H90" s="13">
        <f t="shared" si="93"/>
        <v>39909.197210508435</v>
      </c>
      <c r="I90" s="13">
        <f t="shared" si="93"/>
        <v>45764.902899009096</v>
      </c>
      <c r="J90" s="13">
        <f t="shared" si="93"/>
        <v>50766.563310429527</v>
      </c>
      <c r="K90" s="13">
        <f t="shared" si="93"/>
        <v>53953.996481616086</v>
      </c>
      <c r="L90" s="13">
        <f t="shared" si="93"/>
        <v>68902.42708124104</v>
      </c>
      <c r="M90" s="13">
        <f t="shared" si="93"/>
        <v>83815.98429092142</v>
      </c>
      <c r="N90" s="13">
        <f t="shared" si="93"/>
        <v>98434.726953953577</v>
      </c>
      <c r="O90" s="13">
        <f t="shared" si="93"/>
        <v>102317.51909306202</v>
      </c>
      <c r="P90" s="13">
        <f t="shared" si="93"/>
        <v>119233.65095309391</v>
      </c>
      <c r="Q90" s="13">
        <f t="shared" si="93"/>
        <v>110817.28576782189</v>
      </c>
      <c r="R90" s="13">
        <f t="shared" si="93"/>
        <v>116070.53622496355</v>
      </c>
      <c r="S90" s="13">
        <f t="shared" si="93"/>
        <v>124600.63687686734</v>
      </c>
      <c r="T90" s="13">
        <f t="shared" si="93"/>
        <v>124234.65141864488</v>
      </c>
      <c r="U90" s="13">
        <f t="shared" si="93"/>
        <v>116052.76089777936</v>
      </c>
      <c r="V90" s="13">
        <f t="shared" si="93"/>
        <v>75398.296242690267</v>
      </c>
      <c r="W90" s="13">
        <f t="shared" ref="W90" si="94">IF(W8=0,0,W8*1000000/W28)</f>
        <v>76349.912265565872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1702.7249135874836</v>
      </c>
      <c r="C91" s="34">
        <f t="shared" si="84"/>
        <v>1689.7422303745418</v>
      </c>
      <c r="D91" s="34">
        <f t="shared" ref="D91:V91" si="95">IF(D9=0,0,D9*1000000/D29)</f>
        <v>1737.6110164288</v>
      </c>
      <c r="E91" s="34">
        <f t="shared" si="95"/>
        <v>1848.2750090871066</v>
      </c>
      <c r="F91" s="34">
        <f t="shared" si="95"/>
        <v>1740.4432140312726</v>
      </c>
      <c r="G91" s="34">
        <f t="shared" si="95"/>
        <v>1847.3529620839513</v>
      </c>
      <c r="H91" s="34">
        <f t="shared" si="95"/>
        <v>2842.3571751140403</v>
      </c>
      <c r="I91" s="34">
        <f t="shared" si="95"/>
        <v>3743.7772891080986</v>
      </c>
      <c r="J91" s="34">
        <f t="shared" si="95"/>
        <v>4352.5004851765652</v>
      </c>
      <c r="K91" s="34">
        <f t="shared" si="95"/>
        <v>5120.4439333471728</v>
      </c>
      <c r="L91" s="34">
        <f t="shared" si="95"/>
        <v>6498.2084524471738</v>
      </c>
      <c r="M91" s="34">
        <f t="shared" si="95"/>
        <v>6146.0150583240156</v>
      </c>
      <c r="N91" s="34">
        <f t="shared" si="95"/>
        <v>5235.1399428773202</v>
      </c>
      <c r="O91" s="34">
        <f t="shared" si="95"/>
        <v>5297.1221153404704</v>
      </c>
      <c r="P91" s="34">
        <f t="shared" si="95"/>
        <v>5891.4961118310684</v>
      </c>
      <c r="Q91" s="34">
        <f t="shared" si="95"/>
        <v>6183.8466383351997</v>
      </c>
      <c r="R91" s="34">
        <f t="shared" si="95"/>
        <v>6653.2353916942484</v>
      </c>
      <c r="S91" s="34">
        <f t="shared" si="95"/>
        <v>6186.6379807579124</v>
      </c>
      <c r="T91" s="34">
        <f t="shared" si="95"/>
        <v>5953.23539095861</v>
      </c>
      <c r="U91" s="34">
        <f t="shared" si="95"/>
        <v>6574.996798655673</v>
      </c>
      <c r="V91" s="34">
        <f t="shared" si="95"/>
        <v>5606.4829473104455</v>
      </c>
      <c r="W91" s="34">
        <f t="shared" ref="W91" si="96">IF(W9=0,0,W9*1000000/W29)</f>
        <v>6552.3727469403029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32041.450668750975</v>
      </c>
      <c r="C92" s="34">
        <f t="shared" si="84"/>
        <v>33411.010431937553</v>
      </c>
      <c r="D92" s="34">
        <f t="shared" ref="D92:V92" si="97">IF(D10=0,0,D10*1000000/D30)</f>
        <v>31392.789980699185</v>
      </c>
      <c r="E92" s="34">
        <f t="shared" si="97"/>
        <v>32143.39191197835</v>
      </c>
      <c r="F92" s="34">
        <f t="shared" si="97"/>
        <v>28988.820691316047</v>
      </c>
      <c r="G92" s="34">
        <f t="shared" si="97"/>
        <v>28188.027528066697</v>
      </c>
      <c r="H92" s="34">
        <f t="shared" si="97"/>
        <v>24999.888562743196</v>
      </c>
      <c r="I92" s="34">
        <f t="shared" si="97"/>
        <v>24779.596880498175</v>
      </c>
      <c r="J92" s="34">
        <f t="shared" si="97"/>
        <v>25177.946778683308</v>
      </c>
      <c r="K92" s="34">
        <f t="shared" si="97"/>
        <v>26846.028761664362</v>
      </c>
      <c r="L92" s="34">
        <f t="shared" si="97"/>
        <v>27950.880182840501</v>
      </c>
      <c r="M92" s="34">
        <f t="shared" si="97"/>
        <v>28540.948972118</v>
      </c>
      <c r="N92" s="34">
        <f t="shared" si="97"/>
        <v>31100.91820597812</v>
      </c>
      <c r="O92" s="34">
        <f t="shared" si="97"/>
        <v>30993.764764452921</v>
      </c>
      <c r="P92" s="34">
        <f t="shared" si="97"/>
        <v>34773.321353251406</v>
      </c>
      <c r="Q92" s="34">
        <f t="shared" si="97"/>
        <v>33594.551485463817</v>
      </c>
      <c r="R92" s="34">
        <f t="shared" si="97"/>
        <v>36585.27562405065</v>
      </c>
      <c r="S92" s="34">
        <f t="shared" si="97"/>
        <v>33351.231874020981</v>
      </c>
      <c r="T92" s="34">
        <f t="shared" si="97"/>
        <v>33461.406455033808</v>
      </c>
      <c r="U92" s="34">
        <f t="shared" si="97"/>
        <v>34249.742542007458</v>
      </c>
      <c r="V92" s="34">
        <f t="shared" si="97"/>
        <v>28663.612871279147</v>
      </c>
      <c r="W92" s="34">
        <f t="shared" ref="W92" si="98">IF(W10=0,0,W10*1000000/W30)</f>
        <v>27325.519805713029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255850.39912434254</v>
      </c>
      <c r="C93" s="35">
        <f t="shared" si="84"/>
        <v>268020.90174999885</v>
      </c>
      <c r="D93" s="35">
        <f t="shared" ref="D93:V93" si="99">IF(D11=0,0,D11*1000000/D31)</f>
        <v>253124.80355259063</v>
      </c>
      <c r="E93" s="35">
        <f t="shared" si="99"/>
        <v>230033.16149814922</v>
      </c>
      <c r="F93" s="35">
        <f t="shared" si="99"/>
        <v>223288.85221300885</v>
      </c>
      <c r="G93" s="35">
        <f t="shared" si="99"/>
        <v>213835.95988032469</v>
      </c>
      <c r="H93" s="35">
        <f t="shared" si="99"/>
        <v>231283.36991469812</v>
      </c>
      <c r="I93" s="35">
        <f t="shared" si="99"/>
        <v>250431.62228716488</v>
      </c>
      <c r="J93" s="35">
        <f t="shared" si="99"/>
        <v>255921.92411713477</v>
      </c>
      <c r="K93" s="35">
        <f t="shared" si="99"/>
        <v>305491.97222497</v>
      </c>
      <c r="L93" s="35">
        <f t="shared" si="99"/>
        <v>327283.91724941623</v>
      </c>
      <c r="M93" s="35">
        <f t="shared" si="99"/>
        <v>349425.86938474991</v>
      </c>
      <c r="N93" s="35">
        <f t="shared" si="99"/>
        <v>379922.55826886761</v>
      </c>
      <c r="O93" s="35">
        <f t="shared" si="99"/>
        <v>373856.99025372806</v>
      </c>
      <c r="P93" s="35">
        <f t="shared" si="99"/>
        <v>423553.2593095125</v>
      </c>
      <c r="Q93" s="35">
        <f t="shared" si="99"/>
        <v>412460.27499213774</v>
      </c>
      <c r="R93" s="35">
        <f t="shared" si="99"/>
        <v>429053.87955404742</v>
      </c>
      <c r="S93" s="35">
        <f t="shared" si="99"/>
        <v>412324.64101402147</v>
      </c>
      <c r="T93" s="35">
        <f t="shared" si="99"/>
        <v>427416.53737141564</v>
      </c>
      <c r="U93" s="35">
        <f t="shared" si="99"/>
        <v>338041.49249669269</v>
      </c>
      <c r="V93" s="35">
        <f t="shared" si="99"/>
        <v>232070.32184239945</v>
      </c>
      <c r="W93" s="35">
        <f t="shared" ref="W93" si="100">IF(W11=0,0,W11*1000000/W31)</f>
        <v>210907.03307233693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1072.3790506603548</v>
      </c>
      <c r="C95" s="62">
        <f t="shared" si="101"/>
        <v>1081.4718881528279</v>
      </c>
      <c r="D95" s="62">
        <f t="shared" ref="D95:V95" si="102">IF(D23=0,0,D23/D43)</f>
        <v>1094.9181150801542</v>
      </c>
      <c r="E95" s="62">
        <f t="shared" si="102"/>
        <v>1083.0430761050086</v>
      </c>
      <c r="F95" s="62">
        <f t="shared" si="102"/>
        <v>1108.8602126452301</v>
      </c>
      <c r="G95" s="62">
        <f t="shared" si="102"/>
        <v>1092.4706219516454</v>
      </c>
      <c r="H95" s="62">
        <f t="shared" si="102"/>
        <v>1043.2209568290646</v>
      </c>
      <c r="I95" s="62">
        <f t="shared" si="102"/>
        <v>1023.2713186848728</v>
      </c>
      <c r="J95" s="62">
        <f t="shared" si="102"/>
        <v>1027.9619386856859</v>
      </c>
      <c r="K95" s="62">
        <f t="shared" si="102"/>
        <v>1015.5415642735252</v>
      </c>
      <c r="L95" s="62">
        <f t="shared" si="102"/>
        <v>1012.1140534608845</v>
      </c>
      <c r="M95" s="62">
        <f t="shared" si="102"/>
        <v>1002.9000657949624</v>
      </c>
      <c r="N95" s="62">
        <f t="shared" si="102"/>
        <v>992.44619516092132</v>
      </c>
      <c r="O95" s="62">
        <f t="shared" si="102"/>
        <v>994.17589916523957</v>
      </c>
      <c r="P95" s="62">
        <f t="shared" si="102"/>
        <v>987.86466584029529</v>
      </c>
      <c r="Q95" s="62">
        <f t="shared" si="102"/>
        <v>995.99576437951885</v>
      </c>
      <c r="R95" s="62">
        <f t="shared" si="102"/>
        <v>1039.1771225181619</v>
      </c>
      <c r="S95" s="62">
        <f t="shared" si="102"/>
        <v>1014.3560190542344</v>
      </c>
      <c r="T95" s="62">
        <f t="shared" si="102"/>
        <v>996.14628016685208</v>
      </c>
      <c r="U95" s="62">
        <f t="shared" si="102"/>
        <v>972.39492322050125</v>
      </c>
      <c r="V95" s="62">
        <f t="shared" si="102"/>
        <v>431.58780283962113</v>
      </c>
      <c r="W95" s="62">
        <f t="shared" ref="W95" si="103">IF(W23=0,0,W23/W43)</f>
        <v>585.0278059988417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1071.063566893338</v>
      </c>
      <c r="C96" s="11">
        <f t="shared" si="104"/>
        <v>1080.8392898081224</v>
      </c>
      <c r="D96" s="11">
        <f t="shared" ref="D96:V96" si="105">IF(D24=0,0,D24/D44)</f>
        <v>1095.0268504324818</v>
      </c>
      <c r="E96" s="11">
        <f t="shared" si="105"/>
        <v>1082.939012527045</v>
      </c>
      <c r="F96" s="11">
        <f t="shared" si="105"/>
        <v>1109.6032834138625</v>
      </c>
      <c r="G96" s="11">
        <f t="shared" si="105"/>
        <v>1093.347022425954</v>
      </c>
      <c r="H96" s="11">
        <f t="shared" si="105"/>
        <v>1045.8466006161261</v>
      </c>
      <c r="I96" s="11">
        <f t="shared" si="105"/>
        <v>1027.1088015224366</v>
      </c>
      <c r="J96" s="11">
        <f t="shared" si="105"/>
        <v>1034.2999674411735</v>
      </c>
      <c r="K96" s="11">
        <f t="shared" si="105"/>
        <v>1023.5856190444207</v>
      </c>
      <c r="L96" s="11">
        <f t="shared" si="105"/>
        <v>1020.7414192096103</v>
      </c>
      <c r="M96" s="11">
        <f t="shared" si="105"/>
        <v>1014.4656070842145</v>
      </c>
      <c r="N96" s="11">
        <f t="shared" si="105"/>
        <v>1002.8307233659335</v>
      </c>
      <c r="O96" s="11">
        <f t="shared" si="105"/>
        <v>1003.4004580060492</v>
      </c>
      <c r="P96" s="11">
        <f t="shared" si="105"/>
        <v>995.89186579985096</v>
      </c>
      <c r="Q96" s="11">
        <f t="shared" si="105"/>
        <v>1002.7832111354196</v>
      </c>
      <c r="R96" s="11">
        <f t="shared" si="105"/>
        <v>1045.5816910848744</v>
      </c>
      <c r="S96" s="11">
        <f t="shared" si="105"/>
        <v>1019.46923903246</v>
      </c>
      <c r="T96" s="11">
        <f t="shared" si="105"/>
        <v>1000.5683501068767</v>
      </c>
      <c r="U96" s="11">
        <f t="shared" si="105"/>
        <v>975.56758691366667</v>
      </c>
      <c r="V96" s="11">
        <f t="shared" si="105"/>
        <v>426.09759783304861</v>
      </c>
      <c r="W96" s="11">
        <f t="shared" ref="W96" si="106">IF(W24=0,0,W24/W44)</f>
        <v>580.87609955482048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1932</v>
      </c>
      <c r="C97" s="36">
        <f t="shared" si="104"/>
        <v>1932</v>
      </c>
      <c r="D97" s="36">
        <f t="shared" ref="D97:V97" si="107">IF(D25=0,0,D25/D45)</f>
        <v>1932</v>
      </c>
      <c r="E97" s="36">
        <f t="shared" si="107"/>
        <v>1931.9999999999998</v>
      </c>
      <c r="F97" s="36">
        <f t="shared" si="107"/>
        <v>1932</v>
      </c>
      <c r="G97" s="36">
        <f t="shared" si="107"/>
        <v>1919</v>
      </c>
      <c r="H97" s="36">
        <f t="shared" si="107"/>
        <v>1781.9739898673249</v>
      </c>
      <c r="I97" s="36">
        <f t="shared" si="107"/>
        <v>1841.1823790579842</v>
      </c>
      <c r="J97" s="36">
        <f t="shared" si="107"/>
        <v>1912.9999999999998</v>
      </c>
      <c r="K97" s="36">
        <f t="shared" si="107"/>
        <v>1927.0000000000002</v>
      </c>
      <c r="L97" s="36">
        <f t="shared" si="107"/>
        <v>1918.0000000000002</v>
      </c>
      <c r="M97" s="36">
        <f t="shared" si="107"/>
        <v>1932.9999999999998</v>
      </c>
      <c r="N97" s="36">
        <f t="shared" si="107"/>
        <v>1926</v>
      </c>
      <c r="O97" s="36">
        <f t="shared" si="107"/>
        <v>1917.9999999999998</v>
      </c>
      <c r="P97" s="36">
        <f t="shared" si="107"/>
        <v>1891.9999999999998</v>
      </c>
      <c r="Q97" s="36">
        <f t="shared" si="107"/>
        <v>1872.0000000000002</v>
      </c>
      <c r="R97" s="36">
        <f t="shared" si="107"/>
        <v>1903</v>
      </c>
      <c r="S97" s="36">
        <f t="shared" si="107"/>
        <v>1877</v>
      </c>
      <c r="T97" s="36">
        <f t="shared" si="107"/>
        <v>1876</v>
      </c>
      <c r="U97" s="36">
        <f t="shared" si="107"/>
        <v>1840</v>
      </c>
      <c r="V97" s="36">
        <f t="shared" si="107"/>
        <v>993.27032127494067</v>
      </c>
      <c r="W97" s="36">
        <f t="shared" ref="W97" si="108">IF(W25=0,0,W25/W45)</f>
        <v>1387.2764689286298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1100.7264056253498</v>
      </c>
      <c r="C98" s="36">
        <f t="shared" si="104"/>
        <v>1100.726101252257</v>
      </c>
      <c r="D98" s="36">
        <f t="shared" ref="D98:V98" si="109">IF(D26=0,0,D26/D46)</f>
        <v>1100.7267263074518</v>
      </c>
      <c r="E98" s="36">
        <f t="shared" si="109"/>
        <v>1100.6267699411458</v>
      </c>
      <c r="F98" s="36">
        <f t="shared" si="109"/>
        <v>1098.4769480604505</v>
      </c>
      <c r="G98" s="36">
        <f t="shared" si="109"/>
        <v>1100.7335758737308</v>
      </c>
      <c r="H98" s="36">
        <f t="shared" si="109"/>
        <v>1098.2403212425061</v>
      </c>
      <c r="I98" s="36">
        <f t="shared" si="109"/>
        <v>1102.9687255822337</v>
      </c>
      <c r="J98" s="36">
        <f t="shared" si="109"/>
        <v>1096.4232373055054</v>
      </c>
      <c r="K98" s="36">
        <f t="shared" si="109"/>
        <v>1078.7400063481443</v>
      </c>
      <c r="L98" s="36">
        <f t="shared" si="109"/>
        <v>1095.2794504269875</v>
      </c>
      <c r="M98" s="36">
        <f t="shared" si="109"/>
        <v>1103.7268637207492</v>
      </c>
      <c r="N98" s="36">
        <f t="shared" si="109"/>
        <v>1102.8412494129482</v>
      </c>
      <c r="O98" s="36">
        <f t="shared" si="109"/>
        <v>1097.6615547046599</v>
      </c>
      <c r="P98" s="36">
        <f t="shared" si="109"/>
        <v>1097.1963505984074</v>
      </c>
      <c r="Q98" s="36">
        <f t="shared" si="109"/>
        <v>1097.5870789150831</v>
      </c>
      <c r="R98" s="36">
        <f t="shared" si="109"/>
        <v>1087.0294618533378</v>
      </c>
      <c r="S98" s="36">
        <f t="shared" si="109"/>
        <v>1080.4747539538184</v>
      </c>
      <c r="T98" s="36">
        <f t="shared" si="109"/>
        <v>1080.1421315286482</v>
      </c>
      <c r="U98" s="36">
        <f t="shared" si="109"/>
        <v>1084.6921078125145</v>
      </c>
      <c r="V98" s="36">
        <f t="shared" si="109"/>
        <v>449.39965884714496</v>
      </c>
      <c r="W98" s="36">
        <f t="shared" ref="W98" si="110">IF(W26=0,0,W26/W46)</f>
        <v>607.58269638154661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444</v>
      </c>
      <c r="C99" s="36">
        <f t="shared" si="104"/>
        <v>444</v>
      </c>
      <c r="D99" s="36">
        <f t="shared" ref="D99:V99" si="111">IF(D27=0,0,D27/D47)</f>
        <v>444</v>
      </c>
      <c r="E99" s="36">
        <f t="shared" si="111"/>
        <v>444</v>
      </c>
      <c r="F99" s="36">
        <f t="shared" si="111"/>
        <v>444</v>
      </c>
      <c r="G99" s="36">
        <f t="shared" si="111"/>
        <v>439</v>
      </c>
      <c r="H99" s="36">
        <f t="shared" si="111"/>
        <v>430</v>
      </c>
      <c r="I99" s="36">
        <f t="shared" si="111"/>
        <v>423</v>
      </c>
      <c r="J99" s="36">
        <f t="shared" si="111"/>
        <v>432</v>
      </c>
      <c r="K99" s="36">
        <f t="shared" si="111"/>
        <v>436</v>
      </c>
      <c r="L99" s="36">
        <f t="shared" si="111"/>
        <v>440</v>
      </c>
      <c r="M99" s="36">
        <f t="shared" si="111"/>
        <v>438.00000000000006</v>
      </c>
      <c r="N99" s="36">
        <f t="shared" si="111"/>
        <v>439</v>
      </c>
      <c r="O99" s="36">
        <f t="shared" si="111"/>
        <v>444</v>
      </c>
      <c r="P99" s="36">
        <f t="shared" si="111"/>
        <v>441</v>
      </c>
      <c r="Q99" s="36">
        <f t="shared" si="111"/>
        <v>444</v>
      </c>
      <c r="R99" s="36">
        <f t="shared" si="111"/>
        <v>460</v>
      </c>
      <c r="S99" s="36">
        <f t="shared" si="111"/>
        <v>464</v>
      </c>
      <c r="T99" s="36">
        <f t="shared" si="111"/>
        <v>449.99999999999994</v>
      </c>
      <c r="U99" s="36">
        <f t="shared" si="111"/>
        <v>435.00000000000006</v>
      </c>
      <c r="V99" s="36">
        <f t="shared" si="111"/>
        <v>154.68976899917075</v>
      </c>
      <c r="W99" s="36">
        <f t="shared" ref="W99" si="112">IF(W27=0,0,W27/W47)</f>
        <v>210.81675216041108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1103.1868377810051</v>
      </c>
      <c r="C100" s="13">
        <f t="shared" si="104"/>
        <v>1097.1985259196679</v>
      </c>
      <c r="D100" s="13">
        <f t="shared" ref="D100:V100" si="113">IF(D28=0,0,D28/D48)</f>
        <v>1092.2553495896634</v>
      </c>
      <c r="E100" s="13">
        <f t="shared" si="113"/>
        <v>1085.8312417386528</v>
      </c>
      <c r="F100" s="13">
        <f t="shared" si="113"/>
        <v>1089.2357399994301</v>
      </c>
      <c r="G100" s="13">
        <f t="shared" si="113"/>
        <v>1069.4931840401559</v>
      </c>
      <c r="H100" s="13">
        <f t="shared" si="113"/>
        <v>978.70033284157557</v>
      </c>
      <c r="I100" s="13">
        <f t="shared" si="113"/>
        <v>924.87240488306918</v>
      </c>
      <c r="J100" s="13">
        <f t="shared" si="113"/>
        <v>876.17727943570571</v>
      </c>
      <c r="K100" s="13">
        <f t="shared" si="113"/>
        <v>825.98787195059299</v>
      </c>
      <c r="L100" s="13">
        <f t="shared" si="113"/>
        <v>799.87510717150383</v>
      </c>
      <c r="M100" s="13">
        <f t="shared" si="113"/>
        <v>681.22011558955569</v>
      </c>
      <c r="N100" s="13">
        <f t="shared" si="113"/>
        <v>685.12841987872514</v>
      </c>
      <c r="O100" s="13">
        <f t="shared" si="113"/>
        <v>685.13302801095415</v>
      </c>
      <c r="P100" s="13">
        <f t="shared" si="113"/>
        <v>673.82723369404869</v>
      </c>
      <c r="Q100" s="13">
        <f t="shared" si="113"/>
        <v>695.66767630152174</v>
      </c>
      <c r="R100" s="13">
        <f t="shared" si="113"/>
        <v>684.39778977115202</v>
      </c>
      <c r="S100" s="13">
        <f t="shared" si="113"/>
        <v>738.13292327940758</v>
      </c>
      <c r="T100" s="13">
        <f t="shared" si="113"/>
        <v>743.07055539891917</v>
      </c>
      <c r="U100" s="13">
        <f t="shared" si="113"/>
        <v>787.68278881485924</v>
      </c>
      <c r="V100" s="13">
        <f t="shared" si="113"/>
        <v>751.15711483629923</v>
      </c>
      <c r="W100" s="13">
        <f t="shared" ref="W100" si="114">IF(W28=0,0,W28/W48)</f>
        <v>784.06562367889592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1596</v>
      </c>
      <c r="C101" s="34">
        <f t="shared" si="104"/>
        <v>1596</v>
      </c>
      <c r="D101" s="34">
        <f t="shared" ref="D101:V101" si="115">IF(D29=0,0,D29/D49)</f>
        <v>1596</v>
      </c>
      <c r="E101" s="34">
        <f t="shared" si="115"/>
        <v>1596</v>
      </c>
      <c r="F101" s="34">
        <f t="shared" si="115"/>
        <v>1596</v>
      </c>
      <c r="G101" s="34">
        <f t="shared" si="115"/>
        <v>1587</v>
      </c>
      <c r="H101" s="34">
        <f t="shared" si="115"/>
        <v>1519</v>
      </c>
      <c r="I101" s="34">
        <f t="shared" si="115"/>
        <v>1464</v>
      </c>
      <c r="J101" s="34">
        <f t="shared" si="115"/>
        <v>1421</v>
      </c>
      <c r="K101" s="34">
        <f t="shared" si="115"/>
        <v>1381</v>
      </c>
      <c r="L101" s="34">
        <f t="shared" si="115"/>
        <v>1333</v>
      </c>
      <c r="M101" s="34">
        <f t="shared" si="115"/>
        <v>1039.3044947791573</v>
      </c>
      <c r="N101" s="34">
        <f t="shared" si="115"/>
        <v>1132.4250058114919</v>
      </c>
      <c r="O101" s="34">
        <f t="shared" si="115"/>
        <v>1173.681741388614</v>
      </c>
      <c r="P101" s="34">
        <f t="shared" si="115"/>
        <v>1172.1763893352363</v>
      </c>
      <c r="Q101" s="34">
        <f t="shared" si="115"/>
        <v>1356.8500041999948</v>
      </c>
      <c r="R101" s="34">
        <f t="shared" si="115"/>
        <v>1437</v>
      </c>
      <c r="S101" s="34">
        <f t="shared" si="115"/>
        <v>1427.9999999999998</v>
      </c>
      <c r="T101" s="34">
        <f t="shared" si="115"/>
        <v>1435.0000000000002</v>
      </c>
      <c r="U101" s="34">
        <f t="shared" si="115"/>
        <v>1432</v>
      </c>
      <c r="V101" s="34">
        <f t="shared" si="115"/>
        <v>1455</v>
      </c>
      <c r="W101" s="34">
        <f t="shared" ref="W101" si="116">IF(W29=0,0,W29/W49)</f>
        <v>1429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967.9482005769504</v>
      </c>
      <c r="C102" s="34">
        <f t="shared" si="104"/>
        <v>966.18146735098469</v>
      </c>
      <c r="D102" s="34">
        <f t="shared" ref="D102:V102" si="117">IF(D30=0,0,D30/D50)</f>
        <v>967.94177253516057</v>
      </c>
      <c r="E102" s="34">
        <f t="shared" si="117"/>
        <v>937.83156799230358</v>
      </c>
      <c r="F102" s="34">
        <f t="shared" si="117"/>
        <v>962.25257878111404</v>
      </c>
      <c r="G102" s="34">
        <f t="shared" si="117"/>
        <v>963.26252150443975</v>
      </c>
      <c r="H102" s="34">
        <f t="shared" si="117"/>
        <v>940.85659299940835</v>
      </c>
      <c r="I102" s="34">
        <f t="shared" si="117"/>
        <v>929.50983115269344</v>
      </c>
      <c r="J102" s="34">
        <f t="shared" si="117"/>
        <v>884.22695844308544</v>
      </c>
      <c r="K102" s="34">
        <f t="shared" si="117"/>
        <v>825.15300009629675</v>
      </c>
      <c r="L102" s="34">
        <f t="shared" si="117"/>
        <v>836.13618983728645</v>
      </c>
      <c r="M102" s="34">
        <f t="shared" si="117"/>
        <v>762.47445256084222</v>
      </c>
      <c r="N102" s="34">
        <f t="shared" si="117"/>
        <v>776.24423427593399</v>
      </c>
      <c r="O102" s="34">
        <f t="shared" si="117"/>
        <v>792.74747545468915</v>
      </c>
      <c r="P102" s="34">
        <f t="shared" si="117"/>
        <v>829.65888079301703</v>
      </c>
      <c r="Q102" s="34">
        <f t="shared" si="117"/>
        <v>868.41636774919959</v>
      </c>
      <c r="R102" s="34">
        <f t="shared" si="117"/>
        <v>886.2836473473451</v>
      </c>
      <c r="S102" s="34">
        <f t="shared" si="117"/>
        <v>914.22715839907914</v>
      </c>
      <c r="T102" s="34">
        <f t="shared" si="117"/>
        <v>920.4043823602417</v>
      </c>
      <c r="U102" s="34">
        <f t="shared" si="117"/>
        <v>930.95712201626816</v>
      </c>
      <c r="V102" s="34">
        <f t="shared" si="117"/>
        <v>935.19900358960604</v>
      </c>
      <c r="W102" s="34">
        <f t="shared" ref="W102" si="118">IF(W30=0,0,W30/W50)</f>
        <v>915.3338268799414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492</v>
      </c>
      <c r="C103" s="35">
        <f t="shared" si="104"/>
        <v>491.99999999999994</v>
      </c>
      <c r="D103" s="35">
        <f t="shared" ref="D103:V103" si="119">IF(D31=0,0,D31/D51)</f>
        <v>492</v>
      </c>
      <c r="E103" s="35">
        <f t="shared" si="119"/>
        <v>492</v>
      </c>
      <c r="F103" s="35">
        <f t="shared" si="119"/>
        <v>492</v>
      </c>
      <c r="G103" s="35">
        <f t="shared" si="119"/>
        <v>486</v>
      </c>
      <c r="H103" s="35">
        <f t="shared" si="119"/>
        <v>449</v>
      </c>
      <c r="I103" s="35">
        <f t="shared" si="119"/>
        <v>418</v>
      </c>
      <c r="J103" s="35">
        <f t="shared" si="119"/>
        <v>405</v>
      </c>
      <c r="K103" s="35">
        <f t="shared" si="119"/>
        <v>338.13612565445027</v>
      </c>
      <c r="L103" s="35">
        <f t="shared" si="119"/>
        <v>373</v>
      </c>
      <c r="M103" s="35">
        <f t="shared" si="119"/>
        <v>360.05080440304823</v>
      </c>
      <c r="N103" s="35">
        <f t="shared" si="119"/>
        <v>361</v>
      </c>
      <c r="O103" s="35">
        <f t="shared" si="119"/>
        <v>362.6541176470588</v>
      </c>
      <c r="P103" s="35">
        <f t="shared" si="119"/>
        <v>349.86206896551721</v>
      </c>
      <c r="Q103" s="35">
        <f t="shared" si="119"/>
        <v>332.2790697674418</v>
      </c>
      <c r="R103" s="35">
        <f t="shared" si="119"/>
        <v>311.64130434782601</v>
      </c>
      <c r="S103" s="35">
        <f t="shared" si="119"/>
        <v>393</v>
      </c>
      <c r="T103" s="35">
        <f t="shared" si="119"/>
        <v>387</v>
      </c>
      <c r="U103" s="35">
        <f t="shared" si="119"/>
        <v>473</v>
      </c>
      <c r="V103" s="35">
        <f t="shared" si="119"/>
        <v>400.31361929964919</v>
      </c>
      <c r="W103" s="35">
        <f t="shared" ref="W103" si="120">IF(W31=0,0,W31/W51)</f>
        <v>481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0.1112618662025671</v>
      </c>
      <c r="C107" s="43">
        <f t="shared" si="124"/>
        <v>0.11714800057637205</v>
      </c>
      <c r="D107" s="43">
        <f t="shared" ref="D107:V107" si="125">IF(D5=0,0,D5/D$4)</f>
        <v>0.11708833836351956</v>
      </c>
      <c r="E107" s="43">
        <f t="shared" si="125"/>
        <v>0.11306396877297638</v>
      </c>
      <c r="F107" s="43">
        <f t="shared" si="125"/>
        <v>0.114546143311471</v>
      </c>
      <c r="G107" s="43">
        <f t="shared" si="125"/>
        <v>0.10929068021269975</v>
      </c>
      <c r="H107" s="43">
        <f t="shared" si="125"/>
        <v>8.5184294091147264E-2</v>
      </c>
      <c r="I107" s="43">
        <f t="shared" si="125"/>
        <v>7.7413434326807251E-2</v>
      </c>
      <c r="J107" s="43">
        <f t="shared" si="125"/>
        <v>7.8803748309879532E-2</v>
      </c>
      <c r="K107" s="43">
        <f t="shared" si="125"/>
        <v>8.8869812587163005E-2</v>
      </c>
      <c r="L107" s="43">
        <f t="shared" si="125"/>
        <v>8.3736075680821032E-2</v>
      </c>
      <c r="M107" s="43">
        <f t="shared" si="125"/>
        <v>7.1814911298824169E-2</v>
      </c>
      <c r="N107" s="43">
        <f t="shared" si="125"/>
        <v>6.9810635389543879E-2</v>
      </c>
      <c r="O107" s="43">
        <f t="shared" si="125"/>
        <v>6.919595653256122E-2</v>
      </c>
      <c r="P107" s="43">
        <f t="shared" si="125"/>
        <v>6.4288885263086265E-2</v>
      </c>
      <c r="Q107" s="43">
        <f t="shared" si="125"/>
        <v>7.5700547285496508E-2</v>
      </c>
      <c r="R107" s="43">
        <f t="shared" si="125"/>
        <v>8.3291860397120734E-2</v>
      </c>
      <c r="S107" s="43">
        <f t="shared" si="125"/>
        <v>8.2445636671124797E-2</v>
      </c>
      <c r="T107" s="43">
        <f t="shared" si="125"/>
        <v>7.8161833690778906E-2</v>
      </c>
      <c r="U107" s="43">
        <f t="shared" si="125"/>
        <v>7.1588021109317487E-2</v>
      </c>
      <c r="V107" s="43">
        <f t="shared" si="125"/>
        <v>7.956084681957247E-2</v>
      </c>
      <c r="W107" s="43">
        <f t="shared" ref="W107" si="126">IF(W5=0,0,W5/W$4)</f>
        <v>0.11558874629263781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0.60922969536703253</v>
      </c>
      <c r="C108" s="43">
        <f t="shared" si="127"/>
        <v>0.60302013178983316</v>
      </c>
      <c r="D108" s="43">
        <f t="shared" ref="D108:V108" si="128">IF(D6=0,0,D6/D$4)</f>
        <v>0.59418448471245078</v>
      </c>
      <c r="E108" s="43">
        <f t="shared" si="128"/>
        <v>0.58602675310751395</v>
      </c>
      <c r="F108" s="43">
        <f t="shared" si="128"/>
        <v>0.57950077271709177</v>
      </c>
      <c r="G108" s="43">
        <f t="shared" si="128"/>
        <v>0.56730319023751941</v>
      </c>
      <c r="H108" s="43">
        <f t="shared" si="128"/>
        <v>0.58349964414748912</v>
      </c>
      <c r="I108" s="43">
        <f t="shared" si="128"/>
        <v>0.57287019676096163</v>
      </c>
      <c r="J108" s="43">
        <f t="shared" si="128"/>
        <v>0.54887338523868079</v>
      </c>
      <c r="K108" s="43">
        <f t="shared" si="128"/>
        <v>0.53536538603686401</v>
      </c>
      <c r="L108" s="43">
        <f t="shared" si="128"/>
        <v>0.52384052153772531</v>
      </c>
      <c r="M108" s="43">
        <f t="shared" si="128"/>
        <v>0.53261698999428775</v>
      </c>
      <c r="N108" s="43">
        <f t="shared" si="128"/>
        <v>0.52771897401229406</v>
      </c>
      <c r="O108" s="43">
        <f t="shared" si="128"/>
        <v>0.541969282741944</v>
      </c>
      <c r="P108" s="43">
        <f t="shared" si="128"/>
        <v>0.55263753047307118</v>
      </c>
      <c r="Q108" s="43">
        <f t="shared" si="128"/>
        <v>0.56257602455764411</v>
      </c>
      <c r="R108" s="43">
        <f t="shared" si="128"/>
        <v>0.5739985092972284</v>
      </c>
      <c r="S108" s="43">
        <f t="shared" si="128"/>
        <v>0.56737693567929859</v>
      </c>
      <c r="T108" s="43">
        <f t="shared" si="128"/>
        <v>0.54510246143937002</v>
      </c>
      <c r="U108" s="43">
        <f t="shared" si="128"/>
        <v>0.52206437250500393</v>
      </c>
      <c r="V108" s="43">
        <f t="shared" si="128"/>
        <v>0.53449210641227063</v>
      </c>
      <c r="W108" s="43">
        <f t="shared" ref="W108" si="129">IF(W6=0,0,W6/W$4)</f>
        <v>0.53422425563167952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0.2795084384304003</v>
      </c>
      <c r="C109" s="43">
        <f t="shared" si="130"/>
        <v>0.27983186763379481</v>
      </c>
      <c r="D109" s="43">
        <f t="shared" ref="D109:V109" si="131">IF(D7=0,0,D7/D$4)</f>
        <v>0.2887271769240296</v>
      </c>
      <c r="E109" s="43">
        <f t="shared" si="131"/>
        <v>0.30090927811950963</v>
      </c>
      <c r="F109" s="43">
        <f t="shared" si="131"/>
        <v>0.30595308397143733</v>
      </c>
      <c r="G109" s="43">
        <f t="shared" si="131"/>
        <v>0.32340612954978076</v>
      </c>
      <c r="H109" s="43">
        <f t="shared" si="131"/>
        <v>0.33131606176136352</v>
      </c>
      <c r="I109" s="43">
        <f t="shared" si="131"/>
        <v>0.34971636891223107</v>
      </c>
      <c r="J109" s="43">
        <f t="shared" si="131"/>
        <v>0.37232286645143975</v>
      </c>
      <c r="K109" s="43">
        <f t="shared" si="131"/>
        <v>0.37576480137597307</v>
      </c>
      <c r="L109" s="43">
        <f t="shared" si="131"/>
        <v>0.39242340278145366</v>
      </c>
      <c r="M109" s="43">
        <f t="shared" si="131"/>
        <v>0.39556809870688808</v>
      </c>
      <c r="N109" s="43">
        <f t="shared" si="131"/>
        <v>0.40247039059816209</v>
      </c>
      <c r="O109" s="43">
        <f t="shared" si="131"/>
        <v>0.38883476072549467</v>
      </c>
      <c r="P109" s="43">
        <f t="shared" si="131"/>
        <v>0.38307358426384253</v>
      </c>
      <c r="Q109" s="43">
        <f t="shared" si="131"/>
        <v>0.36172342815685932</v>
      </c>
      <c r="R109" s="43">
        <f t="shared" si="131"/>
        <v>0.34270963030565088</v>
      </c>
      <c r="S109" s="43">
        <f t="shared" si="131"/>
        <v>0.35017742764957654</v>
      </c>
      <c r="T109" s="43">
        <f t="shared" si="131"/>
        <v>0.37673570486985103</v>
      </c>
      <c r="U109" s="43">
        <f t="shared" si="131"/>
        <v>0.40634760638567857</v>
      </c>
      <c r="V109" s="43">
        <f t="shared" si="131"/>
        <v>0.38594704676815689</v>
      </c>
      <c r="W109" s="43">
        <f t="shared" ref="W109" si="132">IF(W7=0,0,W7/W$4)</f>
        <v>0.35018699807568265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2.5084401181214307E-2</v>
      </c>
      <c r="C111" s="44">
        <f t="shared" si="136"/>
        <v>2.3214971279321903E-2</v>
      </c>
      <c r="D111" s="44">
        <f t="shared" ref="D111:V111" si="137">IF(D9=0,0,D9/D$8)</f>
        <v>2.447359797922876E-2</v>
      </c>
      <c r="E111" s="44">
        <f t="shared" si="137"/>
        <v>2.8764669510669603E-2</v>
      </c>
      <c r="F111" s="44">
        <f t="shared" si="137"/>
        <v>2.7343130246585308E-2</v>
      </c>
      <c r="G111" s="44">
        <f t="shared" si="137"/>
        <v>2.8052477545263813E-2</v>
      </c>
      <c r="H111" s="44">
        <f t="shared" si="137"/>
        <v>3.1918644399066269E-2</v>
      </c>
      <c r="I111" s="44">
        <f t="shared" si="137"/>
        <v>3.5454191950556484E-2</v>
      </c>
      <c r="J111" s="44">
        <f t="shared" si="137"/>
        <v>3.8614790097247435E-2</v>
      </c>
      <c r="K111" s="44">
        <f t="shared" si="137"/>
        <v>4.6153800331492696E-2</v>
      </c>
      <c r="L111" s="44">
        <f t="shared" si="137"/>
        <v>4.1391619590975981E-2</v>
      </c>
      <c r="M111" s="44">
        <f t="shared" si="137"/>
        <v>2.8517464416128235E-2</v>
      </c>
      <c r="N111" s="44">
        <f t="shared" si="137"/>
        <v>2.0659307899867606E-2</v>
      </c>
      <c r="O111" s="44">
        <f t="shared" si="137"/>
        <v>1.969052534627937E-2</v>
      </c>
      <c r="P111" s="44">
        <f t="shared" si="137"/>
        <v>1.730651478192459E-2</v>
      </c>
      <c r="Q111" s="44">
        <f t="shared" si="137"/>
        <v>1.8480529636412196E-2</v>
      </c>
      <c r="R111" s="44">
        <f t="shared" si="137"/>
        <v>1.8537292555760788E-2</v>
      </c>
      <c r="S111" s="44">
        <f t="shared" si="137"/>
        <v>1.5150474432255036E-2</v>
      </c>
      <c r="T111" s="44">
        <f t="shared" si="137"/>
        <v>1.441668322262876E-2</v>
      </c>
      <c r="U111" s="44">
        <f t="shared" si="137"/>
        <v>1.7063522679867223E-2</v>
      </c>
      <c r="V111" s="44">
        <f t="shared" si="137"/>
        <v>2.2397363066763695E-2</v>
      </c>
      <c r="W111" s="44">
        <f t="shared" ref="W111" si="138">IF(W9=0,0,W9/W$8)</f>
        <v>2.4589099451491458E-2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0.37314054059552199</v>
      </c>
      <c r="C112" s="44">
        <f t="shared" si="139"/>
        <v>0.35628232211831473</v>
      </c>
      <c r="D112" s="44">
        <f t="shared" ref="D112:V112" si="140">IF(D10=0,0,D10/D$8)</f>
        <v>0.35181455719148569</v>
      </c>
      <c r="E112" s="44">
        <f t="shared" si="140"/>
        <v>0.35939209489496315</v>
      </c>
      <c r="F112" s="44">
        <f t="shared" si="140"/>
        <v>0.33859501396645642</v>
      </c>
      <c r="G112" s="44">
        <f t="shared" si="140"/>
        <v>0.29686208579319712</v>
      </c>
      <c r="H112" s="44">
        <f t="shared" si="140"/>
        <v>0.27024944426445091</v>
      </c>
      <c r="I112" s="44">
        <f t="shared" si="140"/>
        <v>0.23455661713490331</v>
      </c>
      <c r="J112" s="44">
        <f t="shared" si="140"/>
        <v>0.19742007797865346</v>
      </c>
      <c r="K112" s="44">
        <f t="shared" si="140"/>
        <v>0.18831934984591242</v>
      </c>
      <c r="L112" s="44">
        <f t="shared" si="140"/>
        <v>0.1593625958420577</v>
      </c>
      <c r="M112" s="44">
        <f t="shared" si="140"/>
        <v>0.14018974912858922</v>
      </c>
      <c r="N112" s="44">
        <f t="shared" si="140"/>
        <v>0.12313161862949938</v>
      </c>
      <c r="O112" s="44">
        <f t="shared" si="140"/>
        <v>0.11605830567299019</v>
      </c>
      <c r="P112" s="44">
        <f t="shared" si="140"/>
        <v>0.11854643080171169</v>
      </c>
      <c r="Q112" s="44">
        <f t="shared" si="140"/>
        <v>0.13370059391597774</v>
      </c>
      <c r="R112" s="44">
        <f t="shared" si="140"/>
        <v>0.14165431380277066</v>
      </c>
      <c r="S112" s="44">
        <f t="shared" si="140"/>
        <v>0.11568824254786661</v>
      </c>
      <c r="T112" s="44">
        <f t="shared" si="140"/>
        <v>0.1205901566539081</v>
      </c>
      <c r="U112" s="44">
        <f t="shared" si="140"/>
        <v>0.11867097127704487</v>
      </c>
      <c r="V112" s="44">
        <f t="shared" si="140"/>
        <v>0.16532805607999601</v>
      </c>
      <c r="W112" s="44">
        <f t="shared" ref="W112" si="141">IF(W10=0,0,W10/W$8)</f>
        <v>0.14817582538101767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0.60177505822326383</v>
      </c>
      <c r="C113" s="45">
        <f t="shared" si="142"/>
        <v>0.6205027066023634</v>
      </c>
      <c r="D113" s="45">
        <f t="shared" ref="D113:V113" si="143">IF(D11=0,0,D11/D$8)</f>
        <v>0.62371184482928566</v>
      </c>
      <c r="E113" s="45">
        <f t="shared" si="143"/>
        <v>0.61184323559436726</v>
      </c>
      <c r="F113" s="45">
        <f t="shared" si="143"/>
        <v>0.63406185578695839</v>
      </c>
      <c r="G113" s="45">
        <f t="shared" si="143"/>
        <v>0.67508543666153908</v>
      </c>
      <c r="H113" s="45">
        <f t="shared" si="143"/>
        <v>0.69783191133648292</v>
      </c>
      <c r="I113" s="45">
        <f t="shared" si="143"/>
        <v>0.72998919091454018</v>
      </c>
      <c r="J113" s="45">
        <f t="shared" si="143"/>
        <v>0.76396513192409909</v>
      </c>
      <c r="K113" s="45">
        <f t="shared" si="143"/>
        <v>0.76552684982259489</v>
      </c>
      <c r="L113" s="45">
        <f t="shared" si="143"/>
        <v>0.79924578456696627</v>
      </c>
      <c r="M113" s="45">
        <f t="shared" si="143"/>
        <v>0.83129278645528248</v>
      </c>
      <c r="N113" s="45">
        <f t="shared" si="143"/>
        <v>0.85620907347063302</v>
      </c>
      <c r="O113" s="45">
        <f t="shared" si="143"/>
        <v>0.8642511689807304</v>
      </c>
      <c r="P113" s="45">
        <f t="shared" si="143"/>
        <v>0.86414705441636364</v>
      </c>
      <c r="Q113" s="45">
        <f t="shared" si="143"/>
        <v>0.84781887644761011</v>
      </c>
      <c r="R113" s="45">
        <f t="shared" si="143"/>
        <v>0.83980839364146864</v>
      </c>
      <c r="S113" s="45">
        <f t="shared" si="143"/>
        <v>0.86916128301987838</v>
      </c>
      <c r="T113" s="45">
        <f t="shared" si="143"/>
        <v>0.86499316012346317</v>
      </c>
      <c r="U113" s="45">
        <f t="shared" si="143"/>
        <v>0.86426550604308794</v>
      </c>
      <c r="V113" s="45">
        <f t="shared" si="143"/>
        <v>0.81227458085324034</v>
      </c>
      <c r="W113" s="45">
        <f t="shared" ref="W113" si="144">IF(W11=0,0,W11/W$8)</f>
        <v>0.82723507516749084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0.11968185284098243</v>
      </c>
      <c r="C117" s="43">
        <f t="shared" si="148"/>
        <v>0.12683316699611247</v>
      </c>
      <c r="D117" s="43">
        <f t="shared" ref="D117:V117" si="149">IF(D15=0,0,D15/D$14)</f>
        <v>0.13729795847107434</v>
      </c>
      <c r="E117" s="43">
        <f t="shared" si="149"/>
        <v>0.13058316838275316</v>
      </c>
      <c r="F117" s="43">
        <f t="shared" si="149"/>
        <v>0.14452240560060481</v>
      </c>
      <c r="G117" s="43">
        <f t="shared" si="149"/>
        <v>0.14067523417853586</v>
      </c>
      <c r="H117" s="43">
        <f t="shared" si="149"/>
        <v>0.11314322557317899</v>
      </c>
      <c r="I117" s="43">
        <f t="shared" si="149"/>
        <v>9.7932473973036421E-2</v>
      </c>
      <c r="J117" s="43">
        <f t="shared" si="149"/>
        <v>0.10396975275447554</v>
      </c>
      <c r="K117" s="43">
        <f t="shared" si="149"/>
        <v>0.10426578386375421</v>
      </c>
      <c r="L117" s="43">
        <f t="shared" si="149"/>
        <v>9.9916388489358396E-2</v>
      </c>
      <c r="M117" s="43">
        <f t="shared" si="149"/>
        <v>9.12636827336826E-2</v>
      </c>
      <c r="N117" s="43">
        <f t="shared" si="149"/>
        <v>8.8703381442086435E-2</v>
      </c>
      <c r="O117" s="43">
        <f t="shared" si="149"/>
        <v>8.5860249531688304E-2</v>
      </c>
      <c r="P117" s="43">
        <f t="shared" si="149"/>
        <v>8.4494132480196771E-2</v>
      </c>
      <c r="Q117" s="43">
        <f t="shared" si="149"/>
        <v>8.7356815587927725E-2</v>
      </c>
      <c r="R117" s="43">
        <f t="shared" si="149"/>
        <v>0.11417570277481316</v>
      </c>
      <c r="S117" s="43">
        <f t="shared" si="149"/>
        <v>0.10474506012164798</v>
      </c>
      <c r="T117" s="43">
        <f t="shared" si="149"/>
        <v>0.10084928901765491</v>
      </c>
      <c r="U117" s="43">
        <f t="shared" si="149"/>
        <v>0.10133459839961823</v>
      </c>
      <c r="V117" s="43">
        <f t="shared" si="149"/>
        <v>0.12862143556011343</v>
      </c>
      <c r="W117" s="43">
        <f t="shared" ref="W117" si="150">IF(W15=0,0,W15/W$14)</f>
        <v>0.1369196141292994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0.61315646053752781</v>
      </c>
      <c r="C118" s="43">
        <f t="shared" si="151"/>
        <v>0.60818178733264661</v>
      </c>
      <c r="D118" s="43">
        <f t="shared" ref="D118:V118" si="152">IF(D16=0,0,D16/D$14)</f>
        <v>0.60089554812855484</v>
      </c>
      <c r="E118" s="43">
        <f t="shared" si="152"/>
        <v>0.60089460081017576</v>
      </c>
      <c r="F118" s="43">
        <f t="shared" si="152"/>
        <v>0.60562846877650922</v>
      </c>
      <c r="G118" s="43">
        <f t="shared" si="152"/>
        <v>0.59628847252312167</v>
      </c>
      <c r="H118" s="43">
        <f t="shared" si="152"/>
        <v>0.62727914718509714</v>
      </c>
      <c r="I118" s="43">
        <f t="shared" si="152"/>
        <v>0.62802828033928038</v>
      </c>
      <c r="J118" s="43">
        <f t="shared" si="152"/>
        <v>0.61512048187498436</v>
      </c>
      <c r="K118" s="43">
        <f t="shared" si="152"/>
        <v>0.60584456812832088</v>
      </c>
      <c r="L118" s="43">
        <f t="shared" si="152"/>
        <v>0.60162499758280941</v>
      </c>
      <c r="M118" s="43">
        <f t="shared" si="152"/>
        <v>0.60445048565109494</v>
      </c>
      <c r="N118" s="43">
        <f t="shared" si="152"/>
        <v>0.59637581663436789</v>
      </c>
      <c r="O118" s="43">
        <f t="shared" si="152"/>
        <v>0.61167855519873571</v>
      </c>
      <c r="P118" s="43">
        <f t="shared" si="152"/>
        <v>0.61341223401160816</v>
      </c>
      <c r="Q118" s="43">
        <f t="shared" si="152"/>
        <v>0.62130830245861046</v>
      </c>
      <c r="R118" s="43">
        <f t="shared" si="152"/>
        <v>0.60846959992904703</v>
      </c>
      <c r="S118" s="43">
        <f t="shared" si="152"/>
        <v>0.60835963697189233</v>
      </c>
      <c r="T118" s="43">
        <f t="shared" si="152"/>
        <v>0.59373565999701072</v>
      </c>
      <c r="U118" s="43">
        <f t="shared" si="152"/>
        <v>0.56685107442387073</v>
      </c>
      <c r="V118" s="43">
        <f t="shared" si="152"/>
        <v>0.57381457721848184</v>
      </c>
      <c r="W118" s="43">
        <f t="shared" ref="W118" si="153">IF(W16=0,0,W16/W$14)</f>
        <v>0.5739079553639449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0.26716168662148976</v>
      </c>
      <c r="C119" s="43">
        <f t="shared" si="154"/>
        <v>0.26498504567124098</v>
      </c>
      <c r="D119" s="43">
        <f t="shared" ref="D119:V119" si="155">IF(D17=0,0,D17/D$14)</f>
        <v>0.26180649340037065</v>
      </c>
      <c r="E119" s="43">
        <f t="shared" si="155"/>
        <v>0.26852223080707116</v>
      </c>
      <c r="F119" s="43">
        <f t="shared" si="155"/>
        <v>0.24984912562288603</v>
      </c>
      <c r="G119" s="43">
        <f t="shared" si="155"/>
        <v>0.26303629329834255</v>
      </c>
      <c r="H119" s="43">
        <f t="shared" si="155"/>
        <v>0.25957762724172384</v>
      </c>
      <c r="I119" s="43">
        <f t="shared" si="155"/>
        <v>0.27403924568768323</v>
      </c>
      <c r="J119" s="43">
        <f t="shared" si="155"/>
        <v>0.28090976537054024</v>
      </c>
      <c r="K119" s="43">
        <f t="shared" si="155"/>
        <v>0.28988964800792494</v>
      </c>
      <c r="L119" s="43">
        <f t="shared" si="155"/>
        <v>0.29845861392783207</v>
      </c>
      <c r="M119" s="43">
        <f t="shared" si="155"/>
        <v>0.30428583161522244</v>
      </c>
      <c r="N119" s="43">
        <f t="shared" si="155"/>
        <v>0.31492080192354571</v>
      </c>
      <c r="O119" s="43">
        <f t="shared" si="155"/>
        <v>0.30246119526957599</v>
      </c>
      <c r="P119" s="43">
        <f t="shared" si="155"/>
        <v>0.30209363350819507</v>
      </c>
      <c r="Q119" s="43">
        <f t="shared" si="155"/>
        <v>0.29133488195346186</v>
      </c>
      <c r="R119" s="43">
        <f t="shared" si="155"/>
        <v>0.27735469729613976</v>
      </c>
      <c r="S119" s="43">
        <f t="shared" si="155"/>
        <v>0.2868953029064597</v>
      </c>
      <c r="T119" s="43">
        <f t="shared" si="155"/>
        <v>0.30541505098533422</v>
      </c>
      <c r="U119" s="43">
        <f t="shared" si="155"/>
        <v>0.33181432717651105</v>
      </c>
      <c r="V119" s="43">
        <f t="shared" si="155"/>
        <v>0.29756398722140476</v>
      </c>
      <c r="W119" s="43">
        <f t="shared" ref="W119" si="156">IF(W17=0,0,W17/W$14)</f>
        <v>0.28917243050675556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7.5234410663895676E-2</v>
      </c>
      <c r="C121" s="44">
        <f t="shared" si="160"/>
        <v>7.4770729598082203E-2</v>
      </c>
      <c r="D121" s="44">
        <f t="shared" ref="D121:V121" si="161">IF(D19=0,0,D19/D$18)</f>
        <v>7.277124533479945E-2</v>
      </c>
      <c r="E121" s="44">
        <f t="shared" si="161"/>
        <v>7.7694979115635221E-2</v>
      </c>
      <c r="F121" s="44">
        <f t="shared" si="161"/>
        <v>7.430654069118732E-2</v>
      </c>
      <c r="G121" s="44">
        <f t="shared" si="161"/>
        <v>7.8561311524935215E-2</v>
      </c>
      <c r="H121" s="44">
        <f t="shared" si="161"/>
        <v>8.5634414471757736E-2</v>
      </c>
      <c r="I121" s="44">
        <f t="shared" si="161"/>
        <v>9.7212257260461787E-2</v>
      </c>
      <c r="J121" s="44">
        <f t="shared" si="161"/>
        <v>0.112909694348598</v>
      </c>
      <c r="K121" s="44">
        <f t="shared" si="161"/>
        <v>0.14262952475222662</v>
      </c>
      <c r="L121" s="44">
        <f t="shared" si="161"/>
        <v>0.12981381210584217</v>
      </c>
      <c r="M121" s="44">
        <f t="shared" si="161"/>
        <v>8.951096600118047E-2</v>
      </c>
      <c r="N121" s="44">
        <f t="shared" si="161"/>
        <v>7.3481031736789618E-2</v>
      </c>
      <c r="O121" s="44">
        <f t="shared" si="161"/>
        <v>6.9972662541782429E-2</v>
      </c>
      <c r="P121" s="44">
        <f t="shared" si="161"/>
        <v>6.5023936953027217E-2</v>
      </c>
      <c r="Q121" s="44">
        <f t="shared" si="161"/>
        <v>6.4594757652753534E-2</v>
      </c>
      <c r="R121" s="44">
        <f t="shared" si="161"/>
        <v>5.8612854103774474E-2</v>
      </c>
      <c r="S121" s="44">
        <f t="shared" si="161"/>
        <v>5.4096464240966355E-2</v>
      </c>
      <c r="T121" s="44">
        <f t="shared" si="161"/>
        <v>5.227405445616877E-2</v>
      </c>
      <c r="U121" s="44">
        <f t="shared" si="161"/>
        <v>5.9226227728195878E-2</v>
      </c>
      <c r="V121" s="44">
        <f t="shared" si="161"/>
        <v>5.5937369491488358E-2</v>
      </c>
      <c r="W121" s="44">
        <f t="shared" ref="W121" si="162">IF(W19=0,0,W19/W$18)</f>
        <v>5.685295966631012E-2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0.6133833442684169</v>
      </c>
      <c r="C122" s="44">
        <f t="shared" si="163"/>
        <v>0.59860577136016213</v>
      </c>
      <c r="D122" s="44">
        <f t="shared" ref="D122:V122" si="164">IF(D20=0,0,D20/D$18)</f>
        <v>0.59719959024282931</v>
      </c>
      <c r="E122" s="44">
        <f t="shared" si="164"/>
        <v>0.5780832324943469</v>
      </c>
      <c r="F122" s="44">
        <f t="shared" si="164"/>
        <v>0.57752314361223234</v>
      </c>
      <c r="G122" s="44">
        <f t="shared" si="164"/>
        <v>0.52391374273789748</v>
      </c>
      <c r="H122" s="44">
        <f t="shared" si="164"/>
        <v>0.52265610434089438</v>
      </c>
      <c r="I122" s="44">
        <f t="shared" si="164"/>
        <v>0.47850205907696064</v>
      </c>
      <c r="J122" s="44">
        <f t="shared" si="164"/>
        <v>0.42213895091757686</v>
      </c>
      <c r="K122" s="44">
        <f t="shared" si="164"/>
        <v>0.41698490600491267</v>
      </c>
      <c r="L122" s="44">
        <f t="shared" si="164"/>
        <v>0.37928820480418379</v>
      </c>
      <c r="M122" s="44">
        <f t="shared" si="164"/>
        <v>0.35867275447853614</v>
      </c>
      <c r="N122" s="44">
        <f t="shared" si="164"/>
        <v>0.32455723765339661</v>
      </c>
      <c r="O122" s="44">
        <f t="shared" si="164"/>
        <v>0.31266674365682806</v>
      </c>
      <c r="P122" s="44">
        <f t="shared" si="164"/>
        <v>0.3180628503548763</v>
      </c>
      <c r="Q122" s="44">
        <f t="shared" si="164"/>
        <v>0.35067661752587848</v>
      </c>
      <c r="R122" s="44">
        <f t="shared" si="164"/>
        <v>0.36833691586221878</v>
      </c>
      <c r="S122" s="44">
        <f t="shared" si="164"/>
        <v>0.33362623562232807</v>
      </c>
      <c r="T122" s="44">
        <f t="shared" si="164"/>
        <v>0.34387913199780873</v>
      </c>
      <c r="U122" s="44">
        <f t="shared" si="164"/>
        <v>0.33587395832540717</v>
      </c>
      <c r="V122" s="44">
        <f t="shared" si="164"/>
        <v>0.37559892372294168</v>
      </c>
      <c r="W122" s="44">
        <f t="shared" ref="W122" si="165">IF(W20=0,0,W20/W$18)</f>
        <v>0.34844205905071202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0.31138224506768747</v>
      </c>
      <c r="C123" s="45">
        <f t="shared" si="166"/>
        <v>0.32662349904175569</v>
      </c>
      <c r="D123" s="45">
        <f t="shared" ref="D123:V123" si="167">IF(D21=0,0,D21/D$18)</f>
        <v>0.33002916442237118</v>
      </c>
      <c r="E123" s="45">
        <f t="shared" si="167"/>
        <v>0.34422178839001794</v>
      </c>
      <c r="F123" s="45">
        <f t="shared" si="167"/>
        <v>0.34817031569658041</v>
      </c>
      <c r="G123" s="45">
        <f t="shared" si="167"/>
        <v>0.39752494573716718</v>
      </c>
      <c r="H123" s="45">
        <f t="shared" si="167"/>
        <v>0.39170948118734777</v>
      </c>
      <c r="I123" s="45">
        <f t="shared" si="167"/>
        <v>0.42428568366257757</v>
      </c>
      <c r="J123" s="45">
        <f t="shared" si="167"/>
        <v>0.4649513547338251</v>
      </c>
      <c r="K123" s="45">
        <f t="shared" si="167"/>
        <v>0.44038556924286071</v>
      </c>
      <c r="L123" s="45">
        <f t="shared" si="167"/>
        <v>0.49089798308997412</v>
      </c>
      <c r="M123" s="45">
        <f t="shared" si="167"/>
        <v>0.55181627952028334</v>
      </c>
      <c r="N123" s="45">
        <f t="shared" si="167"/>
        <v>0.60196173060981362</v>
      </c>
      <c r="O123" s="45">
        <f t="shared" si="167"/>
        <v>0.61736059380138952</v>
      </c>
      <c r="P123" s="45">
        <f t="shared" si="167"/>
        <v>0.61691321269209642</v>
      </c>
      <c r="Q123" s="45">
        <f t="shared" si="167"/>
        <v>0.58472862482136789</v>
      </c>
      <c r="R123" s="45">
        <f t="shared" si="167"/>
        <v>0.57305023003400668</v>
      </c>
      <c r="S123" s="45">
        <f t="shared" si="167"/>
        <v>0.61227730013670567</v>
      </c>
      <c r="T123" s="45">
        <f t="shared" si="167"/>
        <v>0.60384681354602243</v>
      </c>
      <c r="U123" s="45">
        <f t="shared" si="167"/>
        <v>0.60489981394639691</v>
      </c>
      <c r="V123" s="45">
        <f t="shared" si="167"/>
        <v>0.5684637067855699</v>
      </c>
      <c r="W123" s="45">
        <f t="shared" ref="W123" si="168">IF(W21=0,0,W21/W$18)</f>
        <v>0.59470498128297788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787.02450558899386</v>
      </c>
      <c r="C3" s="79">
        <f t="shared" si="0"/>
        <v>764.65915735167653</v>
      </c>
      <c r="D3" s="79">
        <f t="shared" ref="D3" si="1">SUM(D4:D5)</f>
        <v>752.95090283748902</v>
      </c>
      <c r="E3" s="79">
        <f t="shared" ref="E3" si="2">SUM(E4:E5)</f>
        <v>792.35640584694738</v>
      </c>
      <c r="F3" s="79">
        <f t="shared" ref="F3" si="3">SUM(F4:F5)</f>
        <v>859.47626827171098</v>
      </c>
      <c r="G3" s="79">
        <f t="shared" ref="G3" si="4">SUM(G4:G5)</f>
        <v>891.43164230438515</v>
      </c>
      <c r="H3" s="79">
        <f t="shared" ref="H3" si="5">SUM(H4:H5)</f>
        <v>932.96216680997441</v>
      </c>
      <c r="I3" s="79">
        <f t="shared" ref="I3" si="6">SUM(I4:I5)</f>
        <v>976.76027515047258</v>
      </c>
      <c r="J3" s="79">
        <f t="shared" ref="J3" si="7">SUM(J4:J5)</f>
        <v>997.30094582975073</v>
      </c>
      <c r="K3" s="79">
        <f t="shared" ref="K3" si="8">SUM(K4:K5)</f>
        <v>934.65176268271705</v>
      </c>
      <c r="L3" s="79">
        <f t="shared" ref="L3" si="9">SUM(L4:L5)</f>
        <v>1014.7846087704215</v>
      </c>
      <c r="M3" s="79">
        <f t="shared" ref="M3" si="10">SUM(M4:M5)</f>
        <v>1036.3284608770423</v>
      </c>
      <c r="N3" s="79">
        <f t="shared" ref="N3" si="11">SUM(N4:N5)</f>
        <v>1044.5208942390368</v>
      </c>
      <c r="O3" s="79">
        <f t="shared" ref="O3" si="12">SUM(O4:O5)</f>
        <v>1056.8691315563201</v>
      </c>
      <c r="P3" s="79">
        <f t="shared" ref="P3" si="13">SUM(P4:P5)</f>
        <v>1085.6023215821151</v>
      </c>
      <c r="Q3" s="79">
        <f t="shared" ref="Q3" si="14">SUM(Q4:Q5)</f>
        <v>1171.8735167669822</v>
      </c>
      <c r="R3" s="79">
        <f t="shared" ref="R3" si="15">SUM(R4:R5)</f>
        <v>1288.9557179707658</v>
      </c>
      <c r="S3" s="79">
        <f t="shared" ref="S3" si="16">SUM(S4:S5)</f>
        <v>1448.9865864144444</v>
      </c>
      <c r="T3" s="79">
        <f t="shared" ref="T3" si="17">SUM(T4:T5)</f>
        <v>1542.8203783319007</v>
      </c>
      <c r="U3" s="79">
        <f t="shared" ref="U3" si="18">SUM(U4:U5)</f>
        <v>1624.6048151332759</v>
      </c>
      <c r="V3" s="79">
        <f t="shared" ref="V3:W3" si="19">SUM(V4:V5)</f>
        <v>610.08787618228723</v>
      </c>
      <c r="W3" s="79">
        <f t="shared" si="19"/>
        <v>780.32923473774736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115.00077386070501</v>
      </c>
      <c r="C4" s="96">
        <f t="shared" si="20"/>
        <v>118.19578675838352</v>
      </c>
      <c r="D4" s="96">
        <f t="shared" ref="D4:V4" si="21">SUM(D7,D11)</f>
        <v>125.65778159931214</v>
      </c>
      <c r="E4" s="96">
        <f t="shared" si="21"/>
        <v>117.13766122098025</v>
      </c>
      <c r="F4" s="96">
        <f t="shared" si="21"/>
        <v>132.07179707652622</v>
      </c>
      <c r="G4" s="96">
        <f t="shared" si="21"/>
        <v>137.40180567497853</v>
      </c>
      <c r="H4" s="96">
        <f t="shared" si="21"/>
        <v>134.20180567497852</v>
      </c>
      <c r="I4" s="96">
        <f t="shared" si="21"/>
        <v>133.5625967325881</v>
      </c>
      <c r="J4" s="96">
        <f t="shared" si="21"/>
        <v>123.2921754084265</v>
      </c>
      <c r="K4" s="96">
        <f t="shared" si="21"/>
        <v>115.07592433361991</v>
      </c>
      <c r="L4" s="96">
        <f t="shared" si="21"/>
        <v>136.66766981943255</v>
      </c>
      <c r="M4" s="96">
        <f t="shared" si="21"/>
        <v>121.2381771281169</v>
      </c>
      <c r="N4" s="96">
        <f t="shared" si="21"/>
        <v>121.21427343078244</v>
      </c>
      <c r="O4" s="96">
        <f t="shared" si="21"/>
        <v>123.2921754084265</v>
      </c>
      <c r="P4" s="96">
        <f t="shared" si="21"/>
        <v>119.16018916595014</v>
      </c>
      <c r="Q4" s="96">
        <f t="shared" si="21"/>
        <v>125.32244196044715</v>
      </c>
      <c r="R4" s="96">
        <f t="shared" si="21"/>
        <v>139.70094582975065</v>
      </c>
      <c r="S4" s="96">
        <f t="shared" si="21"/>
        <v>168.48357695614789</v>
      </c>
      <c r="T4" s="96">
        <f t="shared" si="21"/>
        <v>178.94350816852963</v>
      </c>
      <c r="U4" s="96">
        <f t="shared" si="21"/>
        <v>166.44797936371452</v>
      </c>
      <c r="V4" s="96">
        <f t="shared" si="21"/>
        <v>86.994153052450542</v>
      </c>
      <c r="W4" s="96">
        <f t="shared" ref="W4" si="22">SUM(W7,W11)</f>
        <v>114.49062768701636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672.02373172828891</v>
      </c>
      <c r="C5" s="96">
        <f t="shared" si="23"/>
        <v>646.46337059329301</v>
      </c>
      <c r="D5" s="96">
        <f t="shared" ref="D5:V5" si="24">SUM(D8:D9,D12:D13)</f>
        <v>627.29312123817692</v>
      </c>
      <c r="E5" s="96">
        <f t="shared" si="24"/>
        <v>675.21874462596713</v>
      </c>
      <c r="F5" s="96">
        <f t="shared" si="24"/>
        <v>727.40447119518478</v>
      </c>
      <c r="G5" s="96">
        <f t="shared" si="24"/>
        <v>754.02983662940665</v>
      </c>
      <c r="H5" s="96">
        <f t="shared" si="24"/>
        <v>798.76036113499583</v>
      </c>
      <c r="I5" s="96">
        <f t="shared" si="24"/>
        <v>843.1976784178845</v>
      </c>
      <c r="J5" s="96">
        <f t="shared" si="24"/>
        <v>874.00877042132424</v>
      </c>
      <c r="K5" s="96">
        <f t="shared" si="24"/>
        <v>819.57583834909713</v>
      </c>
      <c r="L5" s="96">
        <f t="shared" si="24"/>
        <v>878.11693895098892</v>
      </c>
      <c r="M5" s="96">
        <f t="shared" si="24"/>
        <v>915.09028374892534</v>
      </c>
      <c r="N5" s="96">
        <f t="shared" si="24"/>
        <v>923.30662080825448</v>
      </c>
      <c r="O5" s="96">
        <f t="shared" si="24"/>
        <v>933.5769561478935</v>
      </c>
      <c r="P5" s="96">
        <f t="shared" si="24"/>
        <v>966.44213241616501</v>
      </c>
      <c r="Q5" s="96">
        <f t="shared" si="24"/>
        <v>1046.5510748065351</v>
      </c>
      <c r="R5" s="96">
        <f t="shared" si="24"/>
        <v>1149.2547721410151</v>
      </c>
      <c r="S5" s="96">
        <f t="shared" si="24"/>
        <v>1280.5030094582967</v>
      </c>
      <c r="T5" s="96">
        <f t="shared" si="24"/>
        <v>1363.876870163371</v>
      </c>
      <c r="U5" s="96">
        <f t="shared" si="24"/>
        <v>1458.1568357695614</v>
      </c>
      <c r="V5" s="96">
        <f t="shared" si="24"/>
        <v>523.09372312983669</v>
      </c>
      <c r="W5" s="96">
        <f t="shared" ref="W5" si="25">SUM(W8:W9,W12:W13)</f>
        <v>665.83860705073096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767.32327945452585</v>
      </c>
      <c r="C6" s="21">
        <f t="shared" si="26"/>
        <v>746.47776060489991</v>
      </c>
      <c r="D6" s="21">
        <f t="shared" ref="D6:V6" si="27">SUM(D7:D9)</f>
        <v>734.6652882874763</v>
      </c>
      <c r="E6" s="21">
        <f t="shared" si="27"/>
        <v>775.17594351273601</v>
      </c>
      <c r="F6" s="21">
        <f t="shared" si="27"/>
        <v>840.10356495012888</v>
      </c>
      <c r="G6" s="21">
        <f t="shared" si="27"/>
        <v>870.94792102451379</v>
      </c>
      <c r="H6" s="21">
        <f t="shared" si="27"/>
        <v>907.93019103323263</v>
      </c>
      <c r="I6" s="21">
        <f t="shared" si="27"/>
        <v>950.41901852127205</v>
      </c>
      <c r="J6" s="21">
        <f t="shared" si="27"/>
        <v>967.92886245619752</v>
      </c>
      <c r="K6" s="21">
        <f t="shared" si="27"/>
        <v>907.3613822718396</v>
      </c>
      <c r="L6" s="21">
        <f t="shared" si="27"/>
        <v>983.08372597496464</v>
      </c>
      <c r="M6" s="21">
        <f t="shared" si="27"/>
        <v>1010.2493853903063</v>
      </c>
      <c r="N6" s="21">
        <f t="shared" si="27"/>
        <v>1018.7301456399532</v>
      </c>
      <c r="O6" s="21">
        <f t="shared" si="27"/>
        <v>1033.0699233265716</v>
      </c>
      <c r="P6" s="21">
        <f t="shared" si="27"/>
        <v>1065.0135292212306</v>
      </c>
      <c r="Q6" s="21">
        <f t="shared" si="27"/>
        <v>1152.0165330638124</v>
      </c>
      <c r="R6" s="21">
        <f t="shared" si="27"/>
        <v>1271.711485014288</v>
      </c>
      <c r="S6" s="21">
        <f t="shared" si="27"/>
        <v>1427.5555132969332</v>
      </c>
      <c r="T6" s="21">
        <f t="shared" si="27"/>
        <v>1522.0987920740681</v>
      </c>
      <c r="U6" s="21">
        <f t="shared" si="27"/>
        <v>1606.9251356694976</v>
      </c>
      <c r="V6" s="21">
        <f t="shared" si="27"/>
        <v>593.53241721128643</v>
      </c>
      <c r="W6" s="21">
        <f t="shared" ref="W6" si="28">SUM(W7:W9)</f>
        <v>760.30450104927445</v>
      </c>
      <c r="DA6" s="189" t="s">
        <v>279</v>
      </c>
    </row>
    <row r="7" spans="1:105" ht="11.45" customHeight="1" x14ac:dyDescent="0.25">
      <c r="A7" s="83" t="s">
        <v>27</v>
      </c>
      <c r="B7" s="96">
        <v>109.37195198873628</v>
      </c>
      <c r="C7" s="96">
        <v>113.02199114090575</v>
      </c>
      <c r="D7" s="96">
        <v>120.54953398744678</v>
      </c>
      <c r="E7" s="96">
        <v>112.40548157634504</v>
      </c>
      <c r="F7" s="96">
        <v>127.21188071157218</v>
      </c>
      <c r="G7" s="96">
        <v>132.14221081100487</v>
      </c>
      <c r="H7" s="96">
        <v>128.5804153602547</v>
      </c>
      <c r="I7" s="96">
        <v>127.70390336443678</v>
      </c>
      <c r="J7" s="96">
        <v>117.74917548520159</v>
      </c>
      <c r="K7" s="96">
        <v>109.54436494081719</v>
      </c>
      <c r="L7" s="96">
        <v>130.62412169067119</v>
      </c>
      <c r="M7" s="96">
        <v>117.52356764848616</v>
      </c>
      <c r="N7" s="96">
        <v>117.74620131736022</v>
      </c>
      <c r="O7" s="96">
        <v>120.14724834086864</v>
      </c>
      <c r="P7" s="96">
        <v>116.69848227570832</v>
      </c>
      <c r="Q7" s="96">
        <v>123.11846170528901</v>
      </c>
      <c r="R7" s="96">
        <v>138.29499218637366</v>
      </c>
      <c r="S7" s="96">
        <v>166.52832509599247</v>
      </c>
      <c r="T7" s="96">
        <v>176.94371437815846</v>
      </c>
      <c r="U7" s="96">
        <v>164.47275369265452</v>
      </c>
      <c r="V7" s="96">
        <v>85.173198539291718</v>
      </c>
      <c r="W7" s="96">
        <v>112.39995680684753</v>
      </c>
      <c r="DA7" s="171" t="s">
        <v>280</v>
      </c>
    </row>
    <row r="8" spans="1:105" ht="11.45" customHeight="1" x14ac:dyDescent="0.25">
      <c r="A8" s="83" t="s">
        <v>173</v>
      </c>
      <c r="B8" s="96">
        <v>384.97342104650198</v>
      </c>
      <c r="C8" s="96">
        <v>370.64615249756827</v>
      </c>
      <c r="D8" s="96">
        <v>359.33219132624242</v>
      </c>
      <c r="E8" s="96">
        <v>383.7087615455942</v>
      </c>
      <c r="F8" s="96">
        <v>426.61068384542034</v>
      </c>
      <c r="G8" s="96">
        <v>444.9529170231574</v>
      </c>
      <c r="H8" s="96">
        <v>475.8205840483331</v>
      </c>
      <c r="I8" s="96">
        <v>513.03704581420789</v>
      </c>
      <c r="J8" s="96">
        <v>526.0204080013873</v>
      </c>
      <c r="K8" s="96">
        <v>479.46674360430058</v>
      </c>
      <c r="L8" s="96">
        <v>510.40369823085462</v>
      </c>
      <c r="M8" s="96">
        <v>538.18251203037994</v>
      </c>
      <c r="N8" s="96">
        <v>534.06039085238251</v>
      </c>
      <c r="O8" s="96">
        <v>544.74849460765859</v>
      </c>
      <c r="P8" s="96">
        <v>574.43920630580021</v>
      </c>
      <c r="Q8" s="96">
        <v>627.56508878241334</v>
      </c>
      <c r="R8" s="96">
        <v>712.51410165461118</v>
      </c>
      <c r="S8" s="96">
        <v>809.47390854010928</v>
      </c>
      <c r="T8" s="96">
        <v>854.68539390387991</v>
      </c>
      <c r="U8" s="96">
        <v>913.16704890734127</v>
      </c>
      <c r="V8" s="96">
        <v>271.90406211292384</v>
      </c>
      <c r="W8" s="96">
        <v>374.39665972242324</v>
      </c>
      <c r="DA8" s="171" t="s">
        <v>281</v>
      </c>
    </row>
    <row r="9" spans="1:105" ht="11.45" customHeight="1" x14ac:dyDescent="0.25">
      <c r="A9" s="83" t="s">
        <v>174</v>
      </c>
      <c r="B9" s="96">
        <v>272.97790641928765</v>
      </c>
      <c r="C9" s="96">
        <v>262.80961696642584</v>
      </c>
      <c r="D9" s="96">
        <v>254.7835629737871</v>
      </c>
      <c r="E9" s="96">
        <v>279.06170039079683</v>
      </c>
      <c r="F9" s="96">
        <v>286.28100039313631</v>
      </c>
      <c r="G9" s="96">
        <v>293.85279319035158</v>
      </c>
      <c r="H9" s="96">
        <v>303.52919162464485</v>
      </c>
      <c r="I9" s="96">
        <v>309.6780693426274</v>
      </c>
      <c r="J9" s="96">
        <v>324.15927896960869</v>
      </c>
      <c r="K9" s="96">
        <v>318.35027372672187</v>
      </c>
      <c r="L9" s="96">
        <v>342.05590605343883</v>
      </c>
      <c r="M9" s="96">
        <v>354.54330571144027</v>
      </c>
      <c r="N9" s="96">
        <v>366.92355347021038</v>
      </c>
      <c r="O9" s="96">
        <v>368.17418037804435</v>
      </c>
      <c r="P9" s="96">
        <v>373.87584063972196</v>
      </c>
      <c r="Q9" s="96">
        <v>401.33298257610988</v>
      </c>
      <c r="R9" s="96">
        <v>420.90239117330322</v>
      </c>
      <c r="S9" s="96">
        <v>451.55327966083149</v>
      </c>
      <c r="T9" s="96">
        <v>490.46968379202951</v>
      </c>
      <c r="U9" s="96">
        <v>529.28533306950192</v>
      </c>
      <c r="V9" s="96">
        <v>236.45515655907082</v>
      </c>
      <c r="W9" s="96">
        <v>273.50788452000376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19.701226134467984</v>
      </c>
      <c r="C10" s="22">
        <f t="shared" si="29"/>
        <v>18.181396746776748</v>
      </c>
      <c r="D10" s="22">
        <f t="shared" ref="D10:V10" si="30">SUM(D11:D13)</f>
        <v>18.285614550012777</v>
      </c>
      <c r="E10" s="22">
        <f t="shared" si="30"/>
        <v>17.180462334211292</v>
      </c>
      <c r="F10" s="22">
        <f t="shared" si="30"/>
        <v>19.372703321582144</v>
      </c>
      <c r="G10" s="22">
        <f t="shared" si="30"/>
        <v>20.483721279871357</v>
      </c>
      <c r="H10" s="22">
        <f t="shared" si="30"/>
        <v>25.03197577674166</v>
      </c>
      <c r="I10" s="22">
        <f t="shared" si="30"/>
        <v>26.341256629200551</v>
      </c>
      <c r="J10" s="22">
        <f t="shared" si="30"/>
        <v>29.372083373553082</v>
      </c>
      <c r="K10" s="22">
        <f t="shared" si="30"/>
        <v>27.290380410877312</v>
      </c>
      <c r="L10" s="22">
        <f t="shared" si="30"/>
        <v>31.700882795456913</v>
      </c>
      <c r="M10" s="22">
        <f t="shared" si="30"/>
        <v>26.079075486735782</v>
      </c>
      <c r="N10" s="22">
        <f t="shared" si="30"/>
        <v>25.790748599083908</v>
      </c>
      <c r="O10" s="22">
        <f t="shared" si="30"/>
        <v>23.799208229748384</v>
      </c>
      <c r="P10" s="22">
        <f t="shared" si="30"/>
        <v>20.588792360884682</v>
      </c>
      <c r="Q10" s="22">
        <f t="shared" si="30"/>
        <v>19.856983703169966</v>
      </c>
      <c r="R10" s="22">
        <f t="shared" si="30"/>
        <v>17.244232956477777</v>
      </c>
      <c r="S10" s="22">
        <f t="shared" si="30"/>
        <v>21.431073117511403</v>
      </c>
      <c r="T10" s="22">
        <f t="shared" si="30"/>
        <v>20.721586257832833</v>
      </c>
      <c r="U10" s="22">
        <f t="shared" si="30"/>
        <v>17.679679463777955</v>
      </c>
      <c r="V10" s="22">
        <f t="shared" si="30"/>
        <v>16.555458971000782</v>
      </c>
      <c r="W10" s="22">
        <f t="shared" ref="W10" si="31">SUM(W11:W13)</f>
        <v>20.024733688472864</v>
      </c>
      <c r="DA10" s="193" t="s">
        <v>283</v>
      </c>
    </row>
    <row r="11" spans="1:105" ht="11.45" customHeight="1" x14ac:dyDescent="0.25">
      <c r="A11" s="92" t="s">
        <v>27</v>
      </c>
      <c r="B11" s="97">
        <v>5.628821871968726</v>
      </c>
      <c r="C11" s="97">
        <v>5.173795617477766</v>
      </c>
      <c r="D11" s="97">
        <v>5.1082476118653659</v>
      </c>
      <c r="E11" s="97">
        <v>4.7321796446352167</v>
      </c>
      <c r="F11" s="97">
        <v>4.859916364954052</v>
      </c>
      <c r="G11" s="97">
        <v>5.2595948639736516</v>
      </c>
      <c r="H11" s="97">
        <v>5.6213903147238087</v>
      </c>
      <c r="I11" s="97">
        <v>5.8586933681513242</v>
      </c>
      <c r="J11" s="97">
        <v>5.5429999232249054</v>
      </c>
      <c r="K11" s="97">
        <v>5.5315593928027162</v>
      </c>
      <c r="L11" s="97">
        <v>6.0435481287613504</v>
      </c>
      <c r="M11" s="97">
        <v>3.7146094796307421</v>
      </c>
      <c r="N11" s="97">
        <v>3.4680721134222203</v>
      </c>
      <c r="O11" s="97">
        <v>3.144927067557862</v>
      </c>
      <c r="P11" s="97">
        <v>2.4617068902418331</v>
      </c>
      <c r="Q11" s="97">
        <v>2.2039802551581449</v>
      </c>
      <c r="R11" s="97">
        <v>1.4059536433770001</v>
      </c>
      <c r="S11" s="97">
        <v>1.9552518601554265</v>
      </c>
      <c r="T11" s="97">
        <v>1.9997937903711613</v>
      </c>
      <c r="U11" s="97">
        <v>1.9752256710600073</v>
      </c>
      <c r="V11" s="97">
        <v>1.8209545131588298</v>
      </c>
      <c r="W11" s="97">
        <v>2.0906708801688261</v>
      </c>
      <c r="DA11" s="175" t="s">
        <v>284</v>
      </c>
    </row>
    <row r="12" spans="1:105" ht="11.45" customHeight="1" x14ac:dyDescent="0.25">
      <c r="A12" s="92" t="s">
        <v>173</v>
      </c>
      <c r="B12" s="97">
        <v>8.6629969328379897</v>
      </c>
      <c r="C12" s="97">
        <v>7.7837109011283525</v>
      </c>
      <c r="D12" s="97">
        <v>7.8448384466974828</v>
      </c>
      <c r="E12" s="97">
        <v>7.1916755460928048</v>
      </c>
      <c r="F12" s="97">
        <v>8.356839720329452</v>
      </c>
      <c r="G12" s="97">
        <v>8.2361643845458765</v>
      </c>
      <c r="H12" s="97">
        <v>10.12702442824113</v>
      </c>
      <c r="I12" s="97">
        <v>9.9869928710291198</v>
      </c>
      <c r="J12" s="97">
        <v>9.9551750312432219</v>
      </c>
      <c r="K12" s="97">
        <v>8.7543719338171861</v>
      </c>
      <c r="L12" s="97">
        <v>9.2380186694607644</v>
      </c>
      <c r="M12" s="97">
        <v>7.4678452394259303</v>
      </c>
      <c r="N12" s="97">
        <v>6.6605295806861156</v>
      </c>
      <c r="O12" s="97">
        <v>5.6482779542686785</v>
      </c>
      <c r="P12" s="97">
        <v>5.2206801384292429</v>
      </c>
      <c r="Q12" s="97">
        <v>5.5370080812231119</v>
      </c>
      <c r="R12" s="97">
        <v>5.2813078741353632</v>
      </c>
      <c r="S12" s="97">
        <v>6.218421710887041</v>
      </c>
      <c r="T12" s="97">
        <v>6.4698929058254002</v>
      </c>
      <c r="U12" s="97">
        <v>6.6296933938928424</v>
      </c>
      <c r="V12" s="97">
        <v>5.1265489471654222</v>
      </c>
      <c r="W12" s="97">
        <v>6.2886424589216761</v>
      </c>
      <c r="DA12" s="175" t="s">
        <v>285</v>
      </c>
    </row>
    <row r="13" spans="1:105" ht="11.45" customHeight="1" x14ac:dyDescent="0.25">
      <c r="A13" s="85" t="s">
        <v>174</v>
      </c>
      <c r="B13" s="98">
        <v>5.4094073296612679</v>
      </c>
      <c r="C13" s="98">
        <v>5.2238902281706281</v>
      </c>
      <c r="D13" s="98">
        <v>5.3325284914499269</v>
      </c>
      <c r="E13" s="98">
        <v>5.2566071434832695</v>
      </c>
      <c r="F13" s="98">
        <v>6.1559472362986414</v>
      </c>
      <c r="G13" s="98">
        <v>6.98796203135183</v>
      </c>
      <c r="H13" s="98">
        <v>9.2835610337767189</v>
      </c>
      <c r="I13" s="98">
        <v>10.495570390020104</v>
      </c>
      <c r="J13" s="98">
        <v>13.873908419084954</v>
      </c>
      <c r="K13" s="98">
        <v>13.004449084257411</v>
      </c>
      <c r="L13" s="98">
        <v>16.419315997234797</v>
      </c>
      <c r="M13" s="98">
        <v>14.896620767679108</v>
      </c>
      <c r="N13" s="98">
        <v>15.662146904975572</v>
      </c>
      <c r="O13" s="98">
        <v>15.006003207921843</v>
      </c>
      <c r="P13" s="98">
        <v>12.906405332213605</v>
      </c>
      <c r="Q13" s="98">
        <v>12.115995366788711</v>
      </c>
      <c r="R13" s="98">
        <v>10.556971438965414</v>
      </c>
      <c r="S13" s="98">
        <v>13.257399546468937</v>
      </c>
      <c r="T13" s="98">
        <v>12.25189956163627</v>
      </c>
      <c r="U13" s="98">
        <v>9.0747603988251058</v>
      </c>
      <c r="V13" s="98">
        <v>9.6079555106765309</v>
      </c>
      <c r="W13" s="98">
        <v>11.645420349382364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430.50646654239557</v>
      </c>
      <c r="C17" s="62">
        <f>IF(C3=0,0,C3/TrAvia_act!C13*100)</f>
        <v>431.36279991074753</v>
      </c>
      <c r="D17" s="62">
        <f>IF(D3=0,0,D3/TrAvia_act!D13*100)</f>
        <v>431.78551358388273</v>
      </c>
      <c r="E17" s="62">
        <f>IF(E3=0,0,E3/TrAvia_act!E13*100)</f>
        <v>444.68168695964943</v>
      </c>
      <c r="F17" s="62">
        <f>IF(F3=0,0,F3/TrAvia_act!F13*100)</f>
        <v>472.35926072741074</v>
      </c>
      <c r="G17" s="62">
        <f>IF(G3=0,0,G3/TrAvia_act!G13*100)</f>
        <v>447.44145102784819</v>
      </c>
      <c r="H17" s="62">
        <f>IF(H3=0,0,H3/TrAvia_act!H13*100)</f>
        <v>429.74287695942081</v>
      </c>
      <c r="I17" s="62">
        <f>IF(I3=0,0,I3/TrAvia_act!I13*100)</f>
        <v>411.29576109296534</v>
      </c>
      <c r="J17" s="62">
        <f>IF(J3=0,0,J3/TrAvia_act!J13*100)</f>
        <v>421.65578919768024</v>
      </c>
      <c r="K17" s="62">
        <f>IF(K3=0,0,K3/TrAvia_act!K13*100)</f>
        <v>428.31762951525417</v>
      </c>
      <c r="L17" s="62">
        <f>IF(L3=0,0,L3/TrAvia_act!L13*100)</f>
        <v>440.79009436048324</v>
      </c>
      <c r="M17" s="62">
        <f>IF(M3=0,0,M3/TrAvia_act!M13*100)</f>
        <v>437.59220075848913</v>
      </c>
      <c r="N17" s="62">
        <f>IF(N3=0,0,N3/TrAvia_act!N13*100)</f>
        <v>438.51112252507545</v>
      </c>
      <c r="O17" s="62">
        <f>IF(O3=0,0,O3/TrAvia_act!O13*100)</f>
        <v>432.52329486227143</v>
      </c>
      <c r="P17" s="62">
        <f>IF(P3=0,0,P3/TrAvia_act!P13*100)</f>
        <v>417.58981857721773</v>
      </c>
      <c r="Q17" s="62">
        <f>IF(Q3=0,0,Q3/TrAvia_act!Q13*100)</f>
        <v>426.50066473910391</v>
      </c>
      <c r="R17" s="62">
        <f>IF(R3=0,0,R3/TrAvia_act!R13*100)</f>
        <v>419.06558484492484</v>
      </c>
      <c r="S17" s="62">
        <f>IF(S3=0,0,S3/TrAvia_act!S13*100)</f>
        <v>421.31908447698311</v>
      </c>
      <c r="T17" s="62">
        <f>IF(T3=0,0,T3/TrAvia_act!T13*100)</f>
        <v>409.27036892532709</v>
      </c>
      <c r="U17" s="62">
        <f>IF(U3=0,0,U3/TrAvia_act!U13*100)</f>
        <v>402.63629585113989</v>
      </c>
      <c r="V17" s="62">
        <f>IF(V3=0,0,V3/TrAvia_act!V13*100)</f>
        <v>380.62124693383066</v>
      </c>
      <c r="W17" s="62">
        <f>IF(W3=0,0,W3/TrAvia_act!W13*100)</f>
        <v>367.2564378019876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429.64805567927192</v>
      </c>
      <c r="C18" s="14">
        <f>IF(C6=0,0,C6/TrAvia_act!C14*100)</f>
        <v>430.54426862111086</v>
      </c>
      <c r="D18" s="14">
        <f>IF(D6=0,0,D6/TrAvia_act!D14*100)</f>
        <v>431.02122749558271</v>
      </c>
      <c r="E18" s="14">
        <f>IF(E6=0,0,E6/TrAvia_act!E14*100)</f>
        <v>443.92439760843649</v>
      </c>
      <c r="F18" s="14">
        <f>IF(F6=0,0,F6/TrAvia_act!F14*100)</f>
        <v>471.61422680992348</v>
      </c>
      <c r="G18" s="14">
        <f>IF(G6=0,0,G6/TrAvia_act!G14*100)</f>
        <v>446.75197019631872</v>
      </c>
      <c r="H18" s="14">
        <f>IF(H6=0,0,H6/TrAvia_act!H14*100)</f>
        <v>429.3485675006292</v>
      </c>
      <c r="I18" s="14">
        <f>IF(I6=0,0,I6/TrAvia_act!I14*100)</f>
        <v>410.94565359656042</v>
      </c>
      <c r="J18" s="14">
        <f>IF(J6=0,0,J6/TrAvia_act!J14*100)</f>
        <v>421.28697306434333</v>
      </c>
      <c r="K18" s="14">
        <f>IF(K6=0,0,K6/TrAvia_act!K14*100)</f>
        <v>427.62349239824357</v>
      </c>
      <c r="L18" s="14">
        <f>IF(L6=0,0,L6/TrAvia_act!L14*100)</f>
        <v>440.13677151352164</v>
      </c>
      <c r="M18" s="14">
        <f>IF(M6=0,0,M6/TrAvia_act!M14*100)</f>
        <v>437.25710533718359</v>
      </c>
      <c r="N18" s="14">
        <f>IF(N6=0,0,N6/TrAvia_act!N14*100)</f>
        <v>438.18877315156942</v>
      </c>
      <c r="O18" s="14">
        <f>IF(O6=0,0,O6/TrAvia_act!O14*100)</f>
        <v>432.04945932278332</v>
      </c>
      <c r="P18" s="14">
        <f>IF(P6=0,0,P6/TrAvia_act!P14*100)</f>
        <v>417.39789420622816</v>
      </c>
      <c r="Q18" s="14">
        <f>IF(Q6=0,0,Q6/TrAvia_act!Q14*100)</f>
        <v>426.27063665210534</v>
      </c>
      <c r="R18" s="14">
        <f>IF(R6=0,0,R6/TrAvia_act!R14*100)</f>
        <v>418.7922802280961</v>
      </c>
      <c r="S18" s="14">
        <f>IF(S6=0,0,S6/TrAvia_act!S14*100)</f>
        <v>421.30075415891542</v>
      </c>
      <c r="T18" s="14">
        <f>IF(T6=0,0,T6/TrAvia_act!T14*100)</f>
        <v>409.44891744513052</v>
      </c>
      <c r="U18" s="14">
        <f>IF(U6=0,0,U6/TrAvia_act!U14*100)</f>
        <v>403.47087297555549</v>
      </c>
      <c r="V18" s="14">
        <f>IF(V6=0,0,V6/TrAvia_act!V14*100)</f>
        <v>381.28135805174566</v>
      </c>
      <c r="W18" s="14">
        <f>IF(W6=0,0,W6/TrAvia_act!W14*100)</f>
        <v>368.11002678377918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511.69613382431976</v>
      </c>
      <c r="C19" s="87">
        <f>IF(C7=0,0,C7/TrAvia_act!C15*100)</f>
        <v>513.96205396923301</v>
      </c>
      <c r="D19" s="87">
        <f>IF(D7=0,0,D7/TrAvia_act!D15*100)</f>
        <v>515.12258916135795</v>
      </c>
      <c r="E19" s="87">
        <f>IF(E7=0,0,E7/TrAvia_act!E15*100)</f>
        <v>492.95697535194228</v>
      </c>
      <c r="F19" s="87">
        <f>IF(F7=0,0,F7/TrAvia_act!F15*100)</f>
        <v>494.13607525074224</v>
      </c>
      <c r="G19" s="87">
        <f>IF(G7=0,0,G7/TrAvia_act!G15*100)</f>
        <v>481.83485336453077</v>
      </c>
      <c r="H19" s="87">
        <f>IF(H7=0,0,H7/TrAvia_act!H15*100)</f>
        <v>537.4076311035094</v>
      </c>
      <c r="I19" s="87">
        <f>IF(I7=0,0,I7/TrAvia_act!I15*100)</f>
        <v>563.82810390348141</v>
      </c>
      <c r="J19" s="87">
        <f>IF(J7=0,0,J7/TrAvia_act!J15*100)</f>
        <v>492.93023062028618</v>
      </c>
      <c r="K19" s="87">
        <f>IF(K7=0,0,K7/TrAvia_act!K15*100)</f>
        <v>495.14168918025609</v>
      </c>
      <c r="L19" s="87">
        <f>IF(L7=0,0,L7/TrAvia_act!L15*100)</f>
        <v>585.3071131045898</v>
      </c>
      <c r="M19" s="87">
        <f>IF(M7=0,0,M7/TrAvia_act!M15*100)</f>
        <v>557.3593070427213</v>
      </c>
      <c r="N19" s="87">
        <f>IF(N7=0,0,N7/TrAvia_act!N15*100)</f>
        <v>570.96412025295558</v>
      </c>
      <c r="O19" s="87">
        <f>IF(O7=0,0,O7/TrAvia_act!O15*100)</f>
        <v>585.22845036551598</v>
      </c>
      <c r="P19" s="87">
        <f>IF(P7=0,0,P7/TrAvia_act!P15*100)</f>
        <v>541.29471327711758</v>
      </c>
      <c r="Q19" s="87">
        <f>IF(Q7=0,0,Q7/TrAvia_act!Q15*100)</f>
        <v>521.49853410814171</v>
      </c>
      <c r="R19" s="87">
        <f>IF(R7=0,0,R7/TrAvia_act!R15*100)</f>
        <v>398.8805267915244</v>
      </c>
      <c r="S19" s="87">
        <f>IF(S7=0,0,S7/TrAvia_act!S15*100)</f>
        <v>469.19545287108679</v>
      </c>
      <c r="T19" s="87">
        <f>IF(T7=0,0,T7/TrAvia_act!T15*100)</f>
        <v>471.97520609164945</v>
      </c>
      <c r="U19" s="87">
        <f>IF(U7=0,0,U7/TrAvia_act!U15*100)</f>
        <v>407.52359321442935</v>
      </c>
      <c r="V19" s="87">
        <f>IF(V7=0,0,V7/TrAvia_act!V15*100)</f>
        <v>425.39338496867379</v>
      </c>
      <c r="W19" s="87">
        <f>IF(W7=0,0,W7/TrAvia_act!W15*100)</f>
        <v>397.45737821015632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351.55551425785092</v>
      </c>
      <c r="C20" s="87">
        <f>IF(C8=0,0,C8/TrAvia_act!C16*100)</f>
        <v>351.50137193225055</v>
      </c>
      <c r="D20" s="87">
        <f>IF(D8=0,0,D8/TrAvia_act!D16*100)</f>
        <v>350.83771854481881</v>
      </c>
      <c r="E20" s="87">
        <f>IF(E8=0,0,E8/TrAvia_act!E16*100)</f>
        <v>365.68920610618795</v>
      </c>
      <c r="F20" s="87">
        <f>IF(F8=0,0,F8/TrAvia_act!F16*100)</f>
        <v>395.43901501218119</v>
      </c>
      <c r="G20" s="87">
        <f>IF(G8=0,0,G8/TrAvia_act!G16*100)</f>
        <v>382.76474897975072</v>
      </c>
      <c r="H20" s="87">
        <f>IF(H8=0,0,H8/TrAvia_act!H16*100)</f>
        <v>358.70706937505338</v>
      </c>
      <c r="I20" s="87">
        <f>IF(I8=0,0,I8/TrAvia_act!I16*100)</f>
        <v>353.21472366766744</v>
      </c>
      <c r="J20" s="87">
        <f>IF(J8=0,0,J8/TrAvia_act!J16*100)</f>
        <v>372.20053725478101</v>
      </c>
      <c r="K20" s="87">
        <f>IF(K8=0,0,K8/TrAvia_act!K16*100)</f>
        <v>372.97398043635997</v>
      </c>
      <c r="L20" s="87">
        <f>IF(L8=0,0,L8/TrAvia_act!L16*100)</f>
        <v>379.82634659918261</v>
      </c>
      <c r="M20" s="87">
        <f>IF(M8=0,0,M8/TrAvia_act!M16*100)</f>
        <v>385.36931507923373</v>
      </c>
      <c r="N20" s="87">
        <f>IF(N8=0,0,N8/TrAvia_act!N16*100)</f>
        <v>385.18772039620626</v>
      </c>
      <c r="O20" s="87">
        <f>IF(O8=0,0,O8/TrAvia_act!O16*100)</f>
        <v>372.45733557396454</v>
      </c>
      <c r="P20" s="87">
        <f>IF(P8=0,0,P8/TrAvia_act!P16*100)</f>
        <v>367.01749692622064</v>
      </c>
      <c r="Q20" s="87">
        <f>IF(Q8=0,0,Q8/TrAvia_act!Q16*100)</f>
        <v>373.74752433004312</v>
      </c>
      <c r="R20" s="87">
        <f>IF(R8=0,0,R8/TrAvia_act!R16*100)</f>
        <v>385.62453086966411</v>
      </c>
      <c r="S20" s="87">
        <f>IF(S8=0,0,S8/TrAvia_act!S16*100)</f>
        <v>392.68263242575716</v>
      </c>
      <c r="T20" s="87">
        <f>IF(T8=0,0,T8/TrAvia_act!T16*100)</f>
        <v>387.23092576738344</v>
      </c>
      <c r="U20" s="87">
        <f>IF(U8=0,0,U8/TrAvia_act!U16*100)</f>
        <v>404.48069788246289</v>
      </c>
      <c r="V20" s="87">
        <f>IF(V8=0,0,V8/TrAvia_act!V16*100)</f>
        <v>304.40041962402955</v>
      </c>
      <c r="W20" s="87">
        <f>IF(W8=0,0,W8/TrAvia_act!W16*100)</f>
        <v>315.84921813357357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572.12088087828795</v>
      </c>
      <c r="C21" s="87">
        <f>IF(C9=0,0,C9/TrAvia_act!C17*100)</f>
        <v>572.03266163477554</v>
      </c>
      <c r="D21" s="87">
        <f>IF(D9=0,0,D9/TrAvia_act!D17*100)</f>
        <v>570.95270064077806</v>
      </c>
      <c r="E21" s="87">
        <f>IF(E9=0,0,E9/TrAvia_act!E17*100)</f>
        <v>595.15312339876766</v>
      </c>
      <c r="F21" s="87">
        <f>IF(F9=0,0,F9/TrAvia_act!F17*100)</f>
        <v>643.23365936808909</v>
      </c>
      <c r="G21" s="87">
        <f>IF(G9=0,0,G9/TrAvia_act!G17*100)</f>
        <v>573.04461665329086</v>
      </c>
      <c r="H21" s="87">
        <f>IF(H9=0,0,H9/TrAvia_act!H17*100)</f>
        <v>552.95624522149365</v>
      </c>
      <c r="I21" s="87">
        <f>IF(I9=0,0,I9/TrAvia_act!I17*100)</f>
        <v>488.61518595350998</v>
      </c>
      <c r="J21" s="87">
        <f>IF(J9=0,0,J9/TrAvia_act!J17*100)</f>
        <v>502.25724565021858</v>
      </c>
      <c r="K21" s="87">
        <f>IF(K9=0,0,K9/TrAvia_act!K17*100)</f>
        <v>517.55175454755113</v>
      </c>
      <c r="L21" s="87">
        <f>IF(L9=0,0,L9/TrAvia_act!L17*100)</f>
        <v>513.10957906340764</v>
      </c>
      <c r="M21" s="87">
        <f>IF(M9=0,0,M9/TrAvia_act!M17*100)</f>
        <v>504.30797878865815</v>
      </c>
      <c r="N21" s="87">
        <f>IF(N9=0,0,N9/TrAvia_act!N17*100)</f>
        <v>501.15991935179903</v>
      </c>
      <c r="O21" s="87">
        <f>IF(O9=0,0,O9/TrAvia_act!O17*100)</f>
        <v>509.0816146086687</v>
      </c>
      <c r="P21" s="87">
        <f>IF(P9=0,0,P9/TrAvia_act!P17*100)</f>
        <v>485.04380108667442</v>
      </c>
      <c r="Q21" s="87">
        <f>IF(Q9=0,0,Q9/TrAvia_act!Q17*100)</f>
        <v>509.72868230986575</v>
      </c>
      <c r="R21" s="87">
        <f>IF(R9=0,0,R9/TrAvia_act!R17*100)</f>
        <v>499.75361185030982</v>
      </c>
      <c r="S21" s="87">
        <f>IF(S9=0,0,S9/TrAvia_act!S17*100)</f>
        <v>464.49901124689472</v>
      </c>
      <c r="T21" s="87">
        <f>IF(T9=0,0,T9/TrAvia_act!T17*100)</f>
        <v>431.99489929987482</v>
      </c>
      <c r="U21" s="87">
        <f>IF(U9=0,0,U9/TrAvia_act!U17*100)</f>
        <v>400.50806808506707</v>
      </c>
      <c r="V21" s="87">
        <f>IF(V9=0,0,V9/TrAvia_act!V17*100)</f>
        <v>510.46920538333671</v>
      </c>
      <c r="W21" s="87">
        <f>IF(W9=0,0,W9/TrAvia_act!W17*100)</f>
        <v>457.93416997602804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466.83345936971205</v>
      </c>
      <c r="C22" s="15">
        <f>IF(C10=0,0,C10/TrAvia_act!C18*100)</f>
        <v>467.88402344571568</v>
      </c>
      <c r="D22" s="15">
        <f>IF(D10=0,0,D10/TrAvia_act!D18*100)</f>
        <v>464.90646802513317</v>
      </c>
      <c r="E22" s="15">
        <f>IF(E10=0,0,E10/TrAvia_act!E18*100)</f>
        <v>481.76268681450171</v>
      </c>
      <c r="F22" s="15">
        <f>IF(F10=0,0,F10/TrAvia_act!F18*100)</f>
        <v>507.09882362893251</v>
      </c>
      <c r="G22" s="15">
        <f>IF(G10=0,0,G10/TrAvia_act!G18*100)</f>
        <v>478.86476091503096</v>
      </c>
      <c r="H22" s="15">
        <f>IF(H10=0,0,H10/TrAvia_act!H18*100)</f>
        <v>444.55121452543807</v>
      </c>
      <c r="I22" s="15">
        <f>IF(I10=0,0,I10/TrAvia_act!I18*100)</f>
        <v>424.33971723314158</v>
      </c>
      <c r="J22" s="15">
        <f>IF(J10=0,0,J10/TrAvia_act!J18*100)</f>
        <v>434.18178220951989</v>
      </c>
      <c r="K22" s="15">
        <f>IF(K10=0,0,K10/TrAvia_act!K18*100)</f>
        <v>452.75281100472819</v>
      </c>
      <c r="L22" s="15">
        <f>IF(L10=0,0,L10/TrAvia_act!L18*100)</f>
        <v>462.05959716247207</v>
      </c>
      <c r="M22" s="15">
        <f>IF(M10=0,0,M10/TrAvia_act!M18*100)</f>
        <v>450.98051191046454</v>
      </c>
      <c r="N22" s="15">
        <f>IF(N10=0,0,N10/TrAvia_act!N18*100)</f>
        <v>451.6345710483094</v>
      </c>
      <c r="O22" s="15">
        <f>IF(O10=0,0,O10/TrAvia_act!O18*100)</f>
        <v>454.14322122025948</v>
      </c>
      <c r="P22" s="15">
        <f>IF(P10=0,0,P10/TrAvia_act!P18*100)</f>
        <v>427.76421305124074</v>
      </c>
      <c r="Q22" s="15">
        <f>IF(Q10=0,0,Q10/TrAvia_act!Q18*100)</f>
        <v>440.28463778136029</v>
      </c>
      <c r="R22" s="15">
        <f>IF(R10=0,0,R10/TrAvia_act!R18*100)</f>
        <v>440.25388978500916</v>
      </c>
      <c r="S22" s="15">
        <f>IF(S10=0,0,S10/TrAvia_act!S18*100)</f>
        <v>422.54369638786261</v>
      </c>
      <c r="T22" s="15">
        <f>IF(T10=0,0,T10/TrAvia_act!T18*100)</f>
        <v>396.56773600142634</v>
      </c>
      <c r="U22" s="15">
        <f>IF(U10=0,0,U10/TrAvia_act!U18*100)</f>
        <v>338.91725546388267</v>
      </c>
      <c r="V22" s="15">
        <f>IF(V10=0,0,V10/TrAvia_act!V18*100)</f>
        <v>358.37713906848927</v>
      </c>
      <c r="W22" s="15">
        <f>IF(W10=0,0,W10/TrAvia_act!W18*100)</f>
        <v>337.53871304020265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1772.840651968756</v>
      </c>
      <c r="C23" s="101">
        <f>IF(C11=0,0,C11/TrAvia_act!C19*100)</f>
        <v>1780.6912396153616</v>
      </c>
      <c r="D23" s="101">
        <f>IF(D11=0,0,D11/TrAvia_act!D19*100)</f>
        <v>1784.7120711804987</v>
      </c>
      <c r="E23" s="101">
        <f>IF(E11=0,0,E11/TrAvia_act!E19*100)</f>
        <v>1707.9162960326962</v>
      </c>
      <c r="F23" s="101">
        <f>IF(F11=0,0,F11/TrAvia_act!F19*100)</f>
        <v>1712.0014475418582</v>
      </c>
      <c r="G23" s="101">
        <f>IF(G11=0,0,G11/TrAvia_act!G19*100)</f>
        <v>1565.1198111740464</v>
      </c>
      <c r="H23" s="101">
        <f>IF(H11=0,0,H11/TrAvia_act!H19*100)</f>
        <v>1165.7947084360464</v>
      </c>
      <c r="I23" s="101">
        <f>IF(I11=0,0,I11/TrAvia_act!I19*100)</f>
        <v>970.86072858464638</v>
      </c>
      <c r="J23" s="101">
        <f>IF(J11=0,0,J11/TrAvia_act!J19*100)</f>
        <v>725.6889087989407</v>
      </c>
      <c r="K23" s="101">
        <f>IF(K11=0,0,K11/TrAvia_act!K19*100)</f>
        <v>643.41282090033337</v>
      </c>
      <c r="L23" s="101">
        <f>IF(L11=0,0,L11/TrAvia_act!L19*100)</f>
        <v>678.57478869506633</v>
      </c>
      <c r="M23" s="101">
        <f>IF(M11=0,0,M11/TrAvia_act!M19*100)</f>
        <v>717.63316715868962</v>
      </c>
      <c r="N23" s="101">
        <f>IF(N11=0,0,N11/TrAvia_act!N19*100)</f>
        <v>826.4871468596109</v>
      </c>
      <c r="O23" s="101">
        <f>IF(O11=0,0,O11/TrAvia_act!O19*100)</f>
        <v>857.65476722641802</v>
      </c>
      <c r="P23" s="101">
        <f>IF(P11=0,0,P11/TrAvia_act!P19*100)</f>
        <v>786.56869026585468</v>
      </c>
      <c r="Q23" s="101">
        <f>IF(Q11=0,0,Q11/TrAvia_act!Q19*100)</f>
        <v>756.53788228406938</v>
      </c>
      <c r="R23" s="101">
        <f>IF(R11=0,0,R11/TrAvia_act!R19*100)</f>
        <v>612.40320173285943</v>
      </c>
      <c r="S23" s="101">
        <f>IF(S11=0,0,S11/TrAvia_act!S19*100)</f>
        <v>712.62579166192688</v>
      </c>
      <c r="T23" s="101">
        <f>IF(T11=0,0,T11/TrAvia_act!T19*100)</f>
        <v>732.13877704949346</v>
      </c>
      <c r="U23" s="101">
        <f>IF(U11=0,0,U11/TrAvia_act!U19*100)</f>
        <v>639.32537647916763</v>
      </c>
      <c r="V23" s="101">
        <f>IF(V11=0,0,V11/TrAvia_act!V19*100)</f>
        <v>704.68679085882025</v>
      </c>
      <c r="W23" s="101">
        <f>IF(W11=0,0,W11/TrAvia_act!W19*100)</f>
        <v>619.85403571634117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334.66084350150578</v>
      </c>
      <c r="C24" s="101">
        <f>IF(C12=0,0,C12/TrAvia_act!C20*100)</f>
        <v>334.62375583088129</v>
      </c>
      <c r="D24" s="101">
        <f>IF(D12=0,0,D12/TrAvia_act!D20*100)</f>
        <v>333.98005413526556</v>
      </c>
      <c r="E24" s="101">
        <f>IF(E12=0,0,E12/TrAvia_act!E20*100)</f>
        <v>348.84943724831248</v>
      </c>
      <c r="F24" s="101">
        <f>IF(F12=0,0,F12/TrAvia_act!F20*100)</f>
        <v>378.76954772191937</v>
      </c>
      <c r="G24" s="101">
        <f>IF(G12=0,0,G12/TrAvia_act!G20*100)</f>
        <v>367.51006425701263</v>
      </c>
      <c r="H24" s="101">
        <f>IF(H12=0,0,H12/TrAvia_act!H20*100)</f>
        <v>344.1062031916976</v>
      </c>
      <c r="I24" s="101">
        <f>IF(I12=0,0,I12/TrAvia_act!I20*100)</f>
        <v>336.22354440243487</v>
      </c>
      <c r="J24" s="101">
        <f>IF(J12=0,0,J12/TrAvia_act!J20*100)</f>
        <v>348.60235632962537</v>
      </c>
      <c r="K24" s="101">
        <f>IF(K12=0,0,K12/TrAvia_act!K20*100)</f>
        <v>348.30220598188049</v>
      </c>
      <c r="L24" s="101">
        <f>IF(L12=0,0,L12/TrAvia_act!L20*100)</f>
        <v>355.00636291152603</v>
      </c>
      <c r="M24" s="101">
        <f>IF(M12=0,0,M12/TrAvia_act!M20*100)</f>
        <v>360.04974279940723</v>
      </c>
      <c r="N24" s="101">
        <f>IF(N12=0,0,N12/TrAvia_act!N20*100)</f>
        <v>359.36906789969902</v>
      </c>
      <c r="O24" s="101">
        <f>IF(O12=0,0,O12/TrAvia_act!O20*100)</f>
        <v>344.71858389820585</v>
      </c>
      <c r="P24" s="101">
        <f>IF(P12=0,0,P12/TrAvia_act!P20*100)</f>
        <v>341.0261748174284</v>
      </c>
      <c r="Q24" s="101">
        <f>IF(Q12=0,0,Q12/TrAvia_act!Q20*100)</f>
        <v>350.0971711571915</v>
      </c>
      <c r="R24" s="101">
        <f>IF(R12=0,0,R12/TrAvia_act!R20*100)</f>
        <v>366.06276743588791</v>
      </c>
      <c r="S24" s="101">
        <f>IF(S12=0,0,S12/TrAvia_act!S20*100)</f>
        <v>367.49182705601311</v>
      </c>
      <c r="T24" s="101">
        <f>IF(T12=0,0,T12/TrAvia_act!T20*100)</f>
        <v>360.06893159052873</v>
      </c>
      <c r="U24" s="101">
        <f>IF(U12=0,0,U12/TrAvia_act!U20*100)</f>
        <v>378.38717259142851</v>
      </c>
      <c r="V24" s="101">
        <f>IF(V12=0,0,V12/TrAvia_act!V20*100)</f>
        <v>295.46078136264435</v>
      </c>
      <c r="W24" s="101">
        <f>IF(W12=0,0,W12/TrAvia_act!W20*100)</f>
        <v>304.21678565217815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411.64662521891665</v>
      </c>
      <c r="C25" s="88">
        <f>IF(C13=0,0,C13/TrAvia_act!C21*100)</f>
        <v>411.58315060177728</v>
      </c>
      <c r="D25" s="88">
        <f>IF(D13=0,0,D13/TrAvia_act!D21*100)</f>
        <v>410.80610799870936</v>
      </c>
      <c r="E25" s="88">
        <f>IF(E13=0,0,E13/TrAvia_act!E21*100)</f>
        <v>428.21855122557491</v>
      </c>
      <c r="F25" s="88">
        <f>IF(F13=0,0,F13/TrAvia_act!F21*100)</f>
        <v>462.81297179645844</v>
      </c>
      <c r="G25" s="88">
        <f>IF(G13=0,0,G13/TrAvia_act!G21*100)</f>
        <v>410.95112230972734</v>
      </c>
      <c r="H25" s="88">
        <f>IF(H13=0,0,H13/TrAvia_act!H21*100)</f>
        <v>420.89831253198702</v>
      </c>
      <c r="I25" s="88">
        <f>IF(I13=0,0,I13/TrAvia_act!I21*100)</f>
        <v>398.4968207167563</v>
      </c>
      <c r="J25" s="88">
        <f>IF(J13=0,0,J13/TrAvia_act!J21*100)</f>
        <v>441.09095338347356</v>
      </c>
      <c r="K25" s="88">
        <f>IF(K13=0,0,K13/TrAvia_act!K21*100)</f>
        <v>489.90339054136376</v>
      </c>
      <c r="L25" s="88">
        <f>IF(L13=0,0,L13/TrAvia_act!L21*100)</f>
        <v>487.51777192861255</v>
      </c>
      <c r="M25" s="88">
        <f>IF(M13=0,0,M13/TrAvia_act!M21*100)</f>
        <v>466.83008538348645</v>
      </c>
      <c r="N25" s="88">
        <f>IF(N13=0,0,N13/TrAvia_act!N21*100)</f>
        <v>455.6230020244347</v>
      </c>
      <c r="O25" s="88">
        <f>IF(O13=0,0,O13/TrAvia_act!O21*100)</f>
        <v>463.82746062093202</v>
      </c>
      <c r="P25" s="88">
        <f>IF(P13=0,0,P13/TrAvia_act!P21*100)</f>
        <v>434.66513182292942</v>
      </c>
      <c r="Q25" s="88">
        <f>IF(Q13=0,0,Q13/TrAvia_act!Q21*100)</f>
        <v>459.43597325234606</v>
      </c>
      <c r="R25" s="88">
        <f>IF(R13=0,0,R13/TrAvia_act!R21*100)</f>
        <v>470.3335682874407</v>
      </c>
      <c r="S25" s="88">
        <f>IF(S13=0,0,S13/TrAvia_act!S21*100)</f>
        <v>426.91154121017121</v>
      </c>
      <c r="T25" s="88">
        <f>IF(T13=0,0,T13/TrAvia_act!T21*100)</f>
        <v>388.30325305321531</v>
      </c>
      <c r="U25" s="88">
        <f>IF(U13=0,0,U13/TrAvia_act!U21*100)</f>
        <v>287.58816530514986</v>
      </c>
      <c r="V25" s="88">
        <f>IF(V13=0,0,V13/TrAvia_act!V21*100)</f>
        <v>365.87043237353635</v>
      </c>
      <c r="W25" s="88">
        <f>IF(W13=0,0,W13/TrAvia_act!W21*100)</f>
        <v>330.07332969485333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37.211383926466944</v>
      </c>
      <c r="C28" s="14">
        <f>IF(C6=0,0,C6/TrAvia_act!C4*1000)</f>
        <v>37.028735723236935</v>
      </c>
      <c r="D28" s="14">
        <f>IF(D6=0,0,D6/TrAvia_act!D4*1000)</f>
        <v>35.832683023482346</v>
      </c>
      <c r="E28" s="14">
        <f>IF(E6=0,0,E6/TrAvia_act!E4*1000)</f>
        <v>37.405597823092009</v>
      </c>
      <c r="F28" s="14">
        <f>IF(F6=0,0,F6/TrAvia_act!F4*1000)</f>
        <v>39.100578098005514</v>
      </c>
      <c r="G28" s="14">
        <f>IF(G6=0,0,G6/TrAvia_act!G4*1000)</f>
        <v>37.743363732738942</v>
      </c>
      <c r="H28" s="14">
        <f>IF(H6=0,0,H6/TrAvia_act!H4*1000)</f>
        <v>37.252139971000943</v>
      </c>
      <c r="I28" s="14">
        <f>IF(I6=0,0,I6/TrAvia_act!I4*1000)</f>
        <v>35.325035016386167</v>
      </c>
      <c r="J28" s="14">
        <f>IF(J6=0,0,J6/TrAvia_act!J4*1000)</f>
        <v>34.880524991359223</v>
      </c>
      <c r="K28" s="14">
        <f>IF(K6=0,0,K6/TrAvia_act!K4*1000)</f>
        <v>33.747039482640254</v>
      </c>
      <c r="L28" s="14">
        <f>IF(L6=0,0,L6/TrAvia_act!L4*1000)</f>
        <v>33.990957875284678</v>
      </c>
      <c r="M28" s="14">
        <f>IF(M6=0,0,M6/TrAvia_act!M4*1000)</f>
        <v>32.64187749328039</v>
      </c>
      <c r="N28" s="14">
        <f>IF(N6=0,0,N6/TrAvia_act!N4*1000)</f>
        <v>31.859947647660618</v>
      </c>
      <c r="O28" s="14">
        <f>IF(O6=0,0,O6/TrAvia_act!O4*1000)</f>
        <v>30.783399606432152</v>
      </c>
      <c r="P28" s="14">
        <f>IF(P6=0,0,P6/TrAvia_act!P4*1000)</f>
        <v>29.524664612719757</v>
      </c>
      <c r="Q28" s="14">
        <f>IF(Q6=0,0,Q6/TrAvia_act!Q4*1000)</f>
        <v>29.974953649728196</v>
      </c>
      <c r="R28" s="14">
        <f>IF(R6=0,0,R6/TrAvia_act!R4*1000)</f>
        <v>29.373467095428413</v>
      </c>
      <c r="S28" s="14">
        <f>IF(S6=0,0,S6/TrAvia_act!S4*1000)</f>
        <v>28.144697751547607</v>
      </c>
      <c r="T28" s="14">
        <f>IF(T6=0,0,T6/TrAvia_act!T4*1000)</f>
        <v>27.328970018597374</v>
      </c>
      <c r="U28" s="14">
        <f>IF(U6=0,0,U6/TrAvia_act!U4*1000)</f>
        <v>26.099596245212808</v>
      </c>
      <c r="V28" s="14">
        <f>IF(V6=0,0,V6/TrAvia_act!V4*1000)</f>
        <v>31.032013385521239</v>
      </c>
      <c r="W28" s="14">
        <f>IF(W6=0,0,W6/TrAvia_act!W4*1000)</f>
        <v>31.02982860905249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47.671308297129862</v>
      </c>
      <c r="C29" s="87">
        <f>IF(C7=0,0,C7/TrAvia_act!C5*1000)</f>
        <v>47.85750837512613</v>
      </c>
      <c r="D29" s="87">
        <f>IF(D7=0,0,D7/TrAvia_act!D5*1000)</f>
        <v>50.215951961308704</v>
      </c>
      <c r="E29" s="87">
        <f>IF(E7=0,0,E7/TrAvia_act!E5*1000)</f>
        <v>47.973298266481621</v>
      </c>
      <c r="F29" s="87">
        <f>IF(F7=0,0,F7/TrAvia_act!F5*1000)</f>
        <v>51.688931275107102</v>
      </c>
      <c r="G29" s="87">
        <f>IF(G7=0,0,G7/TrAvia_act!G5*1000)</f>
        <v>52.397052243813157</v>
      </c>
      <c r="H29" s="87">
        <f>IF(H7=0,0,H7/TrAvia_act!H5*1000)</f>
        <v>61.931851515041274</v>
      </c>
      <c r="I29" s="87">
        <f>IF(I7=0,0,I7/TrAvia_act!I5*1000)</f>
        <v>61.313388768557083</v>
      </c>
      <c r="J29" s="87">
        <f>IF(J7=0,0,J7/TrAvia_act!J5*1000)</f>
        <v>53.845643592400968</v>
      </c>
      <c r="K29" s="87">
        <f>IF(K7=0,0,K7/TrAvia_act!K5*1000)</f>
        <v>45.844914353698449</v>
      </c>
      <c r="L29" s="87">
        <f>IF(L7=0,0,L7/TrAvia_act!L5*1000)</f>
        <v>53.936613627051813</v>
      </c>
      <c r="M29" s="87">
        <f>IF(M7=0,0,M7/TrAvia_act!M5*1000)</f>
        <v>52.875790601779798</v>
      </c>
      <c r="N29" s="87">
        <f>IF(N7=0,0,N7/TrAvia_act!N5*1000)</f>
        <v>52.748633615818449</v>
      </c>
      <c r="O29" s="87">
        <f>IF(O7=0,0,O7/TrAvia_act!O5*1000)</f>
        <v>51.739231534110658</v>
      </c>
      <c r="P29" s="87">
        <f>IF(P7=0,0,P7/TrAvia_act!P5*1000)</f>
        <v>50.322146831317291</v>
      </c>
      <c r="Q29" s="87">
        <f>IF(Q7=0,0,Q7/TrAvia_act!Q5*1000)</f>
        <v>42.317886523280116</v>
      </c>
      <c r="R29" s="87">
        <f>IF(R7=0,0,R7/TrAvia_act!R5*1000)</f>
        <v>38.350453998435334</v>
      </c>
      <c r="S29" s="87">
        <f>IF(S7=0,0,S7/TrAvia_act!S5*1000)</f>
        <v>39.822087416414298</v>
      </c>
      <c r="T29" s="87">
        <f>IF(T7=0,0,T7/TrAvia_act!T5*1000)</f>
        <v>40.646281736905273</v>
      </c>
      <c r="U29" s="87">
        <f>IF(U7=0,0,U7/TrAvia_act!U5*1000)</f>
        <v>37.315713590018468</v>
      </c>
      <c r="V29" s="87">
        <f>IF(V7=0,0,V7/TrAvia_act!V5*1000)</f>
        <v>55.971773722737069</v>
      </c>
      <c r="W29" s="87">
        <f>IF(W7=0,0,W7/TrAvia_act!W5*1000)</f>
        <v>39.686464056863116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30.644118320579985</v>
      </c>
      <c r="C30" s="87">
        <f>IF(C8=0,0,C8/TrAvia_act!C6*1000)</f>
        <v>30.489457398399942</v>
      </c>
      <c r="D30" s="87">
        <f>IF(D8=0,0,D8/TrAvia_act!D6*1000)</f>
        <v>29.496101950121364</v>
      </c>
      <c r="E30" s="87">
        <f>IF(E8=0,0,E8/TrAvia_act!E6*1000)</f>
        <v>31.595162018663761</v>
      </c>
      <c r="F30" s="87">
        <f>IF(F8=0,0,F8/TrAvia_act!F6*1000)</f>
        <v>34.263210858514761</v>
      </c>
      <c r="G30" s="87">
        <f>IF(G8=0,0,G8/TrAvia_act!G6*1000)</f>
        <v>33.989693470035327</v>
      </c>
      <c r="H30" s="87">
        <f>IF(H8=0,0,H8/TrAvia_act!H6*1000)</f>
        <v>33.458109530038392</v>
      </c>
      <c r="I30" s="87">
        <f>IF(I8=0,0,I8/TrAvia_act!I6*1000)</f>
        <v>33.285875159428777</v>
      </c>
      <c r="J30" s="87">
        <f>IF(J8=0,0,J8/TrAvia_act!J6*1000)</f>
        <v>34.535837652613552</v>
      </c>
      <c r="K30" s="87">
        <f>IF(K8=0,0,K8/TrAvia_act!K6*1000)</f>
        <v>33.309152961721644</v>
      </c>
      <c r="L30" s="87">
        <f>IF(L8=0,0,L8/TrAvia_act!L6*1000)</f>
        <v>33.688961133690711</v>
      </c>
      <c r="M30" s="87">
        <f>IF(M8=0,0,M8/TrAvia_act!M6*1000)</f>
        <v>32.648339747546395</v>
      </c>
      <c r="N30" s="87">
        <f>IF(N8=0,0,N8/TrAvia_act!N6*1000)</f>
        <v>31.649988747657023</v>
      </c>
      <c r="O30" s="87">
        <f>IF(O8=0,0,O8/TrAvia_act!O6*1000)</f>
        <v>29.950786297394746</v>
      </c>
      <c r="P30" s="87">
        <f>IF(P8=0,0,P8/TrAvia_act!P6*1000)</f>
        <v>28.815990108512732</v>
      </c>
      <c r="Q30" s="87">
        <f>IF(Q8=0,0,Q8/TrAvia_act!Q6*1000)</f>
        <v>29.02534326029955</v>
      </c>
      <c r="R30" s="87">
        <f>IF(R8=0,0,R8/TrAvia_act!R6*1000)</f>
        <v>28.671427585334495</v>
      </c>
      <c r="S30" s="87">
        <f>IF(S8=0,0,S8/TrAvia_act!S6*1000)</f>
        <v>28.127734943421682</v>
      </c>
      <c r="T30" s="87">
        <f>IF(T8=0,0,T8/TrAvia_act!T6*1000)</f>
        <v>28.15195515105804</v>
      </c>
      <c r="U30" s="87">
        <f>IF(U8=0,0,U8/TrAvia_act!U6*1000)</f>
        <v>28.409547749795337</v>
      </c>
      <c r="V30" s="87">
        <f>IF(V8=0,0,V8/TrAvia_act!V6*1000)</f>
        <v>26.597444415700334</v>
      </c>
      <c r="W30" s="87">
        <f>IF(W8=0,0,W8/TrAvia_act!W6*1000)</f>
        <v>28.602248666290031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47.361998822330712</v>
      </c>
      <c r="C31" s="87">
        <f>IF(C9=0,0,C9/TrAvia_act!C7*1000)</f>
        <v>46.587144617141114</v>
      </c>
      <c r="D31" s="87">
        <f>IF(D9=0,0,D9/TrAvia_act!D7*1000)</f>
        <v>43.040127511105027</v>
      </c>
      <c r="E31" s="87">
        <f>IF(E9=0,0,E9/TrAvia_act!E7*1000)</f>
        <v>44.750817250979978</v>
      </c>
      <c r="F31" s="87">
        <f>IF(F9=0,0,F9/TrAvia_act!F7*1000)</f>
        <v>43.54998821164444</v>
      </c>
      <c r="G31" s="87">
        <f>IF(G9=0,0,G9/TrAvia_act!G7*1000)</f>
        <v>39.375854529577353</v>
      </c>
      <c r="H31" s="87">
        <f>IF(H9=0,0,H9/TrAvia_act!H7*1000)</f>
        <v>37.588651292973864</v>
      </c>
      <c r="I31" s="87">
        <f>IF(I9=0,0,I9/TrAvia_act!I7*1000)</f>
        <v>32.912583432842993</v>
      </c>
      <c r="J31" s="87">
        <f>IF(J9=0,0,J9/TrAvia_act!J7*1000)</f>
        <v>31.374608906005104</v>
      </c>
      <c r="K31" s="87">
        <f>IF(K9=0,0,K9/TrAvia_act!K7*1000)</f>
        <v>31.50971820320305</v>
      </c>
      <c r="L31" s="87">
        <f>IF(L9=0,0,L9/TrAvia_act!L7*1000)</f>
        <v>30.13804594853006</v>
      </c>
      <c r="M31" s="87">
        <f>IF(M9=0,0,M9/TrAvia_act!M7*1000)</f>
        <v>28.959733795919156</v>
      </c>
      <c r="N31" s="87">
        <f>IF(N9=0,0,N9/TrAvia_act!N7*1000)</f>
        <v>28.511991683515067</v>
      </c>
      <c r="O31" s="87">
        <f>IF(O9=0,0,O9/TrAvia_act!O7*1000)</f>
        <v>28.214678653070607</v>
      </c>
      <c r="P31" s="87">
        <f>IF(P9=0,0,P9/TrAvia_act!P7*1000)</f>
        <v>27.056713652292409</v>
      </c>
      <c r="Q31" s="87">
        <f>IF(Q9=0,0,Q9/TrAvia_act!Q7*1000)</f>
        <v>28.86875287663614</v>
      </c>
      <c r="R31" s="87">
        <f>IF(R9=0,0,R9/TrAvia_act!R7*1000)</f>
        <v>28.367541737150894</v>
      </c>
      <c r="S31" s="87">
        <f>IF(S9=0,0,S9/TrAvia_act!S7*1000)</f>
        <v>25.422861778626093</v>
      </c>
      <c r="T31" s="87">
        <f>IF(T9=0,0,T9/TrAvia_act!T7*1000)</f>
        <v>23.37522550775644</v>
      </c>
      <c r="U31" s="87">
        <f>IF(U9=0,0,U9/TrAvia_act!U7*1000)</f>
        <v>21.155841202898873</v>
      </c>
      <c r="V31" s="87">
        <f>IF(V9=0,0,V9/TrAvia_act!V7*1000)</f>
        <v>32.032185976648428</v>
      </c>
      <c r="W31" s="87">
        <f>IF(W9=0,0,W9/TrAvia_act!W7*1000)</f>
        <v>31.875840742603515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113.0205675900291</v>
      </c>
      <c r="C32" s="15">
        <f>IF(C10=0,0,C10/TrAvia_act!C8*1000)</f>
        <v>106.29358971486366</v>
      </c>
      <c r="D32" s="15">
        <f>IF(D10=0,0,D10/TrAvia_act!D8*1000)</f>
        <v>111.2509750205089</v>
      </c>
      <c r="E32" s="15">
        <f>IF(E10=0,0,E10/TrAvia_act!E8*1000)</f>
        <v>119.3124565047731</v>
      </c>
      <c r="F32" s="15">
        <f>IF(F10=0,0,F10/TrAvia_act!F8*1000)</f>
        <v>132.55823629187725</v>
      </c>
      <c r="G32" s="15">
        <f>IF(G10=0,0,G10/TrAvia_act!G8*1000)</f>
        <v>124.12210529969535</v>
      </c>
      <c r="H32" s="15">
        <f>IF(H10=0,0,H10/TrAvia_act!H8*1000)</f>
        <v>125.04450456591279</v>
      </c>
      <c r="I32" s="15">
        <f>IF(I10=0,0,I10/TrAvia_act!I8*1000)</f>
        <v>117.22559671092047</v>
      </c>
      <c r="J32" s="15">
        <f>IF(J10=0,0,J10/TrAvia_act!J8*1000)</f>
        <v>116.90673566047816</v>
      </c>
      <c r="K32" s="15">
        <f>IF(K10=0,0,K10/TrAvia_act!K8*1000)</f>
        <v>114.35865288895862</v>
      </c>
      <c r="L32" s="15">
        <f>IF(L10=0,0,L10/TrAvia_act!L8*1000)</f>
        <v>107.52131069433618</v>
      </c>
      <c r="M32" s="15">
        <f>IF(M10=0,0,M10/TrAvia_act!M8*1000)</f>
        <v>93.297391968919655</v>
      </c>
      <c r="N32" s="15">
        <f>IF(N10=0,0,N10/TrAvia_act!N8*1000)</f>
        <v>82.678648329814592</v>
      </c>
      <c r="O32" s="15">
        <f>IF(O10=0,0,O10/TrAvia_act!O8*1000)</f>
        <v>81.386108525794896</v>
      </c>
      <c r="P32" s="15">
        <f>IF(P10=0,0,P10/TrAvia_act!P8*1000)</f>
        <v>67.425232541481449</v>
      </c>
      <c r="Q32" s="15">
        <f>IF(Q10=0,0,Q10/TrAvia_act!Q8*1000)</f>
        <v>72.369426361236435</v>
      </c>
      <c r="R32" s="15">
        <f>IF(R10=0,0,R10/TrAvia_act!R8*1000)</f>
        <v>67.103361104587691</v>
      </c>
      <c r="S32" s="15">
        <f>IF(S10=0,0,S10/TrAvia_act!S8*1000)</f>
        <v>63.538272085446003</v>
      </c>
      <c r="T32" s="15">
        <f>IF(T10=0,0,T10/TrAvia_act!T8*1000)</f>
        <v>59.315054789904245</v>
      </c>
      <c r="U32" s="15">
        <f>IF(U10=0,0,U10/TrAvia_act!U8*1000)</f>
        <v>48.655937226277302</v>
      </c>
      <c r="V32" s="15">
        <f>IF(V10=0,0,V10/TrAvia_act!V8*1000)</f>
        <v>75.845728117887887</v>
      </c>
      <c r="W32" s="15">
        <f>IF(W10=0,0,W10/TrAvia_act!W8*1000)</f>
        <v>73.818123201976164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1287.294742184813</v>
      </c>
      <c r="C33" s="101">
        <f>IF(C11=0,0,C11/TrAvia_act!C9*1000)</f>
        <v>1302.9295929270324</v>
      </c>
      <c r="D33" s="101">
        <f>IF(D11=0,0,D11/TrAvia_act!D9*1000)</f>
        <v>1269.8966687869993</v>
      </c>
      <c r="E33" s="101">
        <f>IF(E11=0,0,E11/TrAvia_act!E9*1000)</f>
        <v>1142.4909674166486</v>
      </c>
      <c r="F33" s="101">
        <f>IF(F11=0,0,F11/TrAvia_act!F9*1000)</f>
        <v>1216.1777501257702</v>
      </c>
      <c r="G33" s="101">
        <f>IF(G11=0,0,G11/TrAvia_act!G9*1000)</f>
        <v>1136.1125170390756</v>
      </c>
      <c r="H33" s="101">
        <f>IF(H11=0,0,H11/TrAvia_act!H9*1000)</f>
        <v>879.76925957713274</v>
      </c>
      <c r="I33" s="101">
        <f>IF(I11=0,0,I11/TrAvia_act!I9*1000)</f>
        <v>735.39240375761165</v>
      </c>
      <c r="J33" s="101">
        <f>IF(J11=0,0,J11/TrAvia_act!J9*1000)</f>
        <v>571.34177001480464</v>
      </c>
      <c r="K33" s="101">
        <f>IF(K11=0,0,K11/TrAvia_act!K9*1000)</f>
        <v>502.22641871505971</v>
      </c>
      <c r="L33" s="101">
        <f>IF(L11=0,0,L11/TrAvia_act!L9*1000)</f>
        <v>495.22522544924072</v>
      </c>
      <c r="M33" s="101">
        <f>IF(M11=0,0,M11/TrAvia_act!M9*1000)</f>
        <v>465.99318641941795</v>
      </c>
      <c r="N33" s="101">
        <f>IF(N11=0,0,N11/TrAvia_act!N9*1000)</f>
        <v>538.14805006742824</v>
      </c>
      <c r="O33" s="101">
        <f>IF(O11=0,0,O11/TrAvia_act!O9*1000)</f>
        <v>546.18661047808109</v>
      </c>
      <c r="P33" s="101">
        <f>IF(P11=0,0,P11/TrAvia_act!P9*1000)</f>
        <v>465.8201842056493</v>
      </c>
      <c r="Q33" s="101">
        <f>IF(Q11=0,0,Q11/TrAvia_act!Q9*1000)</f>
        <v>434.64544904964606</v>
      </c>
      <c r="R33" s="101">
        <f>IF(R11=0,0,R11/TrAvia_act!R9*1000)</f>
        <v>295.13797293305754</v>
      </c>
      <c r="S33" s="101">
        <f>IF(S11=0,0,S11/TrAvia_act!S9*1000)</f>
        <v>382.62025513241406</v>
      </c>
      <c r="T33" s="101">
        <f>IF(T11=0,0,T11/TrAvia_act!T9*1000)</f>
        <v>397.06517414669293</v>
      </c>
      <c r="U33" s="101">
        <f>IF(U11=0,0,U11/TrAvia_act!U9*1000)</f>
        <v>318.57337964201196</v>
      </c>
      <c r="V33" s="101">
        <f>IF(V11=0,0,V11/TrAvia_act!V9*1000)</f>
        <v>372.47069296566343</v>
      </c>
      <c r="W33" s="101">
        <f>IF(W11=0,0,W11/TrAvia_act!W9*1000)</f>
        <v>313.42908650107535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133.1864221108367</v>
      </c>
      <c r="C34" s="101">
        <f>IF(C12=0,0,C12/TrAvia_act!C10*1000)</f>
        <v>127.72392415829276</v>
      </c>
      <c r="D34" s="101">
        <f>IF(D12=0,0,D12/TrAvia_act!D10*1000)</f>
        <v>135.66395188084883</v>
      </c>
      <c r="E34" s="101">
        <f>IF(E12=0,0,E12/TrAvia_act!E10*1000)</f>
        <v>138.96726373519581</v>
      </c>
      <c r="F34" s="101">
        <f>IF(F12=0,0,F12/TrAvia_act!F10*1000)</f>
        <v>168.87991574771513</v>
      </c>
      <c r="G34" s="101">
        <f>IF(G12=0,0,G12/TrAvia_act!G10*1000)</f>
        <v>168.11658016896445</v>
      </c>
      <c r="H34" s="101">
        <f>IF(H12=0,0,H12/TrAvia_act!H10*1000)</f>
        <v>187.19167411377489</v>
      </c>
      <c r="I34" s="101">
        <f>IF(I12=0,0,I12/TrAvia_act!I10*1000)</f>
        <v>189.48420461039336</v>
      </c>
      <c r="J34" s="101">
        <f>IF(J12=0,0,J12/TrAvia_act!J10*1000)</f>
        <v>200.70692758040968</v>
      </c>
      <c r="K34" s="101">
        <f>IF(K12=0,0,K12/TrAvia_act!K10*1000)</f>
        <v>194.80024066568336</v>
      </c>
      <c r="L34" s="101">
        <f>IF(L12=0,0,L12/TrAvia_act!L10*1000)</f>
        <v>196.61454094583777</v>
      </c>
      <c r="M34" s="101">
        <f>IF(M12=0,0,M12/TrAvia_act!M10*1000)</f>
        <v>190.57080254208773</v>
      </c>
      <c r="N34" s="101">
        <f>IF(N12=0,0,N12/TrAvia_act!N10*1000)</f>
        <v>173.40778574964366</v>
      </c>
      <c r="O34" s="101">
        <f>IF(O12=0,0,O12/TrAvia_act!O10*1000)</f>
        <v>166.4284654122022</v>
      </c>
      <c r="P34" s="101">
        <f>IF(P12=0,0,P12/TrAvia_act!P10*1000)</f>
        <v>144.22155772789969</v>
      </c>
      <c r="Q34" s="101">
        <f>IF(Q12=0,0,Q12/TrAvia_act!Q10*1000)</f>
        <v>150.93281489691185</v>
      </c>
      <c r="R34" s="101">
        <f>IF(R12=0,0,R12/TrAvia_act!R10*1000)</f>
        <v>145.08151214240075</v>
      </c>
      <c r="S34" s="101">
        <f>IF(S12=0,0,S12/TrAvia_act!S10*1000)</f>
        <v>159.36114057980421</v>
      </c>
      <c r="T34" s="101">
        <f>IF(T12=0,0,T12/TrAvia_act!T10*1000)</f>
        <v>153.57735036444802</v>
      </c>
      <c r="U34" s="101">
        <f>IF(U12=0,0,U12/TrAvia_act!U10*1000)</f>
        <v>153.74832835274046</v>
      </c>
      <c r="V34" s="101">
        <f>IF(V12=0,0,V12/TrAvia_act!V10*1000)</f>
        <v>142.05890033765297</v>
      </c>
      <c r="W34" s="101">
        <f>IF(W12=0,0,W12/TrAvia_act!W10*1000)</f>
        <v>156.45008329594583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51.567933679071125</v>
      </c>
      <c r="C35" s="88">
        <f>IF(C13=0,0,C13/TrAvia_act!C11*1000)</f>
        <v>49.218706094178437</v>
      </c>
      <c r="D35" s="88">
        <f>IF(D13=0,0,D13/TrAvia_act!D11*1000)</f>
        <v>52.016779197974373</v>
      </c>
      <c r="E35" s="88">
        <f>IF(E13=0,0,E13/TrAvia_act!E11*1000)</f>
        <v>59.664540275635289</v>
      </c>
      <c r="F35" s="88">
        <f>IF(F13=0,0,F13/TrAvia_act!F11*1000)</f>
        <v>66.432370677239604</v>
      </c>
      <c r="G35" s="88">
        <f>IF(G13=0,0,G13/TrAvia_act!G11*1000)</f>
        <v>62.723758329888341</v>
      </c>
      <c r="H35" s="88">
        <f>IF(H13=0,0,H13/TrAvia_act!H11*1000)</f>
        <v>66.455855289339624</v>
      </c>
      <c r="I35" s="88">
        <f>IF(I13=0,0,I13/TrAvia_act!I11*1000)</f>
        <v>63.984617603294588</v>
      </c>
      <c r="J35" s="88">
        <f>IF(J13=0,0,J13/TrAvia_act!J11*1000)</f>
        <v>72.281984525535236</v>
      </c>
      <c r="K35" s="88">
        <f>IF(K13=0,0,K13/TrAvia_act!K11*1000)</f>
        <v>71.185406990000416</v>
      </c>
      <c r="L35" s="88">
        <f>IF(L13=0,0,L13/TrAvia_act!L11*1000)</f>
        <v>69.678356771610268</v>
      </c>
      <c r="M35" s="88">
        <f>IF(M13=0,0,M13/TrAvia_act!M11*1000)</f>
        <v>64.107827862528012</v>
      </c>
      <c r="N35" s="88">
        <f>IF(N13=0,0,N13/TrAvia_act!N11*1000)</f>
        <v>58.640935118715795</v>
      </c>
      <c r="O35" s="88">
        <f>IF(O13=0,0,O13/TrAvia_act!O11*1000)</f>
        <v>59.376259308277476</v>
      </c>
      <c r="P35" s="88">
        <f>IF(P13=0,0,P13/TrAvia_act!P11*1000)</f>
        <v>48.911302200813985</v>
      </c>
      <c r="Q35" s="88">
        <f>IF(Q13=0,0,Q13/TrAvia_act!Q11*1000)</f>
        <v>52.083224957947671</v>
      </c>
      <c r="R35" s="88">
        <f>IF(R13=0,0,R13/TrAvia_act!R11*1000)</f>
        <v>48.916967750088403</v>
      </c>
      <c r="S35" s="88">
        <f>IF(S13=0,0,S13/TrAvia_act!S11*1000)</f>
        <v>45.221967633134298</v>
      </c>
      <c r="T35" s="88">
        <f>IF(T13=0,0,T13/TrAvia_act!T11*1000)</f>
        <v>40.544569406244513</v>
      </c>
      <c r="U35" s="88">
        <f>IF(U13=0,0,U13/TrAvia_act!U11*1000)</f>
        <v>28.89677940989937</v>
      </c>
      <c r="V35" s="88">
        <f>IF(V13=0,0,V13/TrAvia_act!V11*1000)</f>
        <v>54.189858911851992</v>
      </c>
      <c r="W35" s="88">
        <f>IF(W13=0,0,W13/TrAvia_act!W11*1000)</f>
        <v>51.894637072797579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6620.4943394348265</v>
      </c>
      <c r="C37" s="62">
        <f>IF(C3=0,0,C3/TrAvia_act!C23*1000000)</f>
        <v>6564.2740655833786</v>
      </c>
      <c r="D37" s="62">
        <f>IF(D3=0,0,D3/TrAvia_act!D23*1000000)</f>
        <v>6459.6601193998822</v>
      </c>
      <c r="E37" s="62">
        <f>IF(E3=0,0,E3/TrAvia_act!E23*1000000)</f>
        <v>6750.7553342501888</v>
      </c>
      <c r="F37" s="62">
        <f>IF(F3=0,0,F3/TrAvia_act!F23*1000000)</f>
        <v>6971.7978590977455</v>
      </c>
      <c r="G37" s="62">
        <f>IF(G3=0,0,G3/TrAvia_act!G23*1000000)</f>
        <v>6728.8016478289937</v>
      </c>
      <c r="H37" s="62">
        <f>IF(H3=0,0,H3/TrAvia_act!H23*1000000)</f>
        <v>6823.2905743350084</v>
      </c>
      <c r="I37" s="62">
        <f>IF(I3=0,0,I3/TrAvia_act!I23*1000000)</f>
        <v>6748.9844683471119</v>
      </c>
      <c r="J37" s="62">
        <f>IF(J3=0,0,J3/TrAvia_act!J23*1000000)</f>
        <v>6884.6797955912043</v>
      </c>
      <c r="K37" s="62">
        <f>IF(K3=0,0,K3/TrAvia_act!K23*1000000)</f>
        <v>6996.8391151705846</v>
      </c>
      <c r="L37" s="62">
        <f>IF(L3=0,0,L3/TrAvia_act!L23*1000000)</f>
        <v>7321.0444172973585</v>
      </c>
      <c r="M37" s="62">
        <f>IF(M3=0,0,M3/TrAvia_act!M23*1000000)</f>
        <v>7325.4291431189813</v>
      </c>
      <c r="N37" s="62">
        <f>IF(N3=0,0,N3/TrAvia_act!N23*1000000)</f>
        <v>7437.4885662135912</v>
      </c>
      <c r="O37" s="62">
        <f>IF(O3=0,0,O3/TrAvia_act!O23*1000000)</f>
        <v>7386.2511465574553</v>
      </c>
      <c r="P37" s="62">
        <f>IF(P3=0,0,P3/TrAvia_act!P23*1000000)</f>
        <v>7206.6484879886029</v>
      </c>
      <c r="Q37" s="62">
        <f>IF(Q3=0,0,Q3/TrAvia_act!Q23*1000000)</f>
        <v>7305.9901668151433</v>
      </c>
      <c r="R37" s="62">
        <f>IF(R3=0,0,R3/TrAvia_act!R23*1000000)</f>
        <v>6798.9351202686212</v>
      </c>
      <c r="S37" s="62">
        <f>IF(S3=0,0,S3/TrAvia_act!S23*1000000)</f>
        <v>7079.2778308307816</v>
      </c>
      <c r="T37" s="62">
        <f>IF(T3=0,0,T3/TrAvia_act!T23*1000000)</f>
        <v>7028.4422116973665</v>
      </c>
      <c r="U37" s="62">
        <f>IF(U3=0,0,U3/TrAvia_act!U23*1000000)</f>
        <v>7097.505505217503</v>
      </c>
      <c r="V37" s="62">
        <f>IF(V3=0,0,V3/TrAvia_act!V23*1000000)</f>
        <v>6194.8547077392777</v>
      </c>
      <c r="W37" s="62">
        <f>IF(W3=0,0,W3/TrAvia_act!W23*1000000)</f>
        <v>6014.2835597070225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6738.6494959517149</v>
      </c>
      <c r="C38" s="14">
        <f>IF(C6=0,0,C6/TrAvia_act!C24*1000000)</f>
        <v>6669.8632981727687</v>
      </c>
      <c r="D38" s="14">
        <f>IF(D6=0,0,D6/TrAvia_act!D24*1000000)</f>
        <v>6559.5115025667528</v>
      </c>
      <c r="E38" s="14">
        <f>IF(E6=0,0,E6/TrAvia_act!E24*1000000)</f>
        <v>6851.5361061414369</v>
      </c>
      <c r="F38" s="14">
        <f>IF(F6=0,0,F6/TrAvia_act!F24*1000000)</f>
        <v>7067.9496634735442</v>
      </c>
      <c r="G38" s="14">
        <f>IF(G6=0,0,G6/TrAvia_act!G24*1000000)</f>
        <v>6819.4645971460968</v>
      </c>
      <c r="H38" s="14">
        <f>IF(H6=0,0,H6/TrAvia_act!H24*1000000)</f>
        <v>6893.089609715089</v>
      </c>
      <c r="I38" s="14">
        <f>IF(I6=0,0,I6/TrAvia_act!I24*1000000)</f>
        <v>6797.5926998953773</v>
      </c>
      <c r="J38" s="14">
        <f>IF(J6=0,0,J6/TrAvia_act!J24*1000000)</f>
        <v>6918.2744673766347</v>
      </c>
      <c r="K38" s="14">
        <f>IF(K6=0,0,K6/TrAvia_act!K24*1000000)</f>
        <v>7025.1502587650848</v>
      </c>
      <c r="L38" s="14">
        <f>IF(L6=0,0,L6/TrAvia_act!L24*1000000)</f>
        <v>7318.2592957424058</v>
      </c>
      <c r="M38" s="14">
        <f>IF(M6=0,0,M6/TrAvia_act!M24*1000000)</f>
        <v>7313.4932159865812</v>
      </c>
      <c r="N38" s="14">
        <f>IF(N6=0,0,N6/TrAvia_act!N24*1000000)</f>
        <v>7421.3063621591828</v>
      </c>
      <c r="O38" s="14">
        <f>IF(O6=0,0,O6/TrAvia_act!O24*1000000)</f>
        <v>7367.0730761800178</v>
      </c>
      <c r="P38" s="14">
        <f>IF(P6=0,0,P6/TrAvia_act!P24*1000000)</f>
        <v>7192.2468511273146</v>
      </c>
      <c r="Q38" s="14">
        <f>IF(Q6=0,0,Q6/TrAvia_act!Q24*1000000)</f>
        <v>7294.7989403938145</v>
      </c>
      <c r="R38" s="14">
        <f>IF(R6=0,0,R6/TrAvia_act!R24*1000000)</f>
        <v>6787.2394699964125</v>
      </c>
      <c r="S38" s="14">
        <f>IF(S6=0,0,S6/TrAvia_act!S24*1000000)</f>
        <v>7068.0512409922767</v>
      </c>
      <c r="T38" s="14">
        <f>IF(T6=0,0,T6/TrAvia_act!T24*1000000)</f>
        <v>7024.0231476567405</v>
      </c>
      <c r="U38" s="14">
        <f>IF(U6=0,0,U6/TrAvia_act!U24*1000000)</f>
        <v>7117.6262946732586</v>
      </c>
      <c r="V38" s="14">
        <f>IF(V6=0,0,V6/TrAvia_act!V24*1000000)</f>
        <v>6209.2774952011387</v>
      </c>
      <c r="W38" s="14">
        <f>IF(W6=0,0,W6/TrAvia_act!W24*1000000)</f>
        <v>6024.9340379361338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3173.9734753979014</v>
      </c>
      <c r="C39" s="87">
        <f>IF(C7=0,0,C7/TrAvia_act!C25*1000000)</f>
        <v>3188.0286342351842</v>
      </c>
      <c r="D39" s="87">
        <f>IF(D7=0,0,D7/TrAvia_act!D25*1000000)</f>
        <v>3195.2272579369906</v>
      </c>
      <c r="E39" s="87">
        <f>IF(E7=0,0,E7/TrAvia_act!E25*1000000)</f>
        <v>3057.7373187983198</v>
      </c>
      <c r="F39" s="87">
        <f>IF(F7=0,0,F7/TrAvia_act!F25*1000000)</f>
        <v>3065.0510965586973</v>
      </c>
      <c r="G39" s="87">
        <f>IF(G7=0,0,G7/TrAvia_act!G25*1000000)</f>
        <v>3039.1492826818048</v>
      </c>
      <c r="H39" s="87">
        <f>IF(H7=0,0,H7/TrAvia_act!H25*1000000)</f>
        <v>3456.7415479811461</v>
      </c>
      <c r="I39" s="87">
        <f>IF(I7=0,0,I7/TrAvia_act!I25*1000000)</f>
        <v>3633.2158344316135</v>
      </c>
      <c r="J39" s="87">
        <f>IF(J7=0,0,J7/TrAvia_act!J25*1000000)</f>
        <v>3132.8768254676493</v>
      </c>
      <c r="K39" s="87">
        <f>IF(K7=0,0,K7/TrAvia_act!K25*1000000)</f>
        <v>3092.9009244118015</v>
      </c>
      <c r="L39" s="87">
        <f>IF(L7=0,0,L7/TrAvia_act!L25*1000000)</f>
        <v>3694.9570516709432</v>
      </c>
      <c r="M39" s="87">
        <f>IF(M7=0,0,M7/TrAvia_act!M25*1000000)</f>
        <v>3454.5434346997695</v>
      </c>
      <c r="N39" s="87">
        <f>IF(N7=0,0,N7/TrAvia_act!N25*1000000)</f>
        <v>3570.0139869431878</v>
      </c>
      <c r="O39" s="87">
        <f>IF(O7=0,0,O7/TrAvia_act!O25*1000000)</f>
        <v>3695.5875962249279</v>
      </c>
      <c r="P39" s="87">
        <f>IF(P7=0,0,P7/TrAvia_act!P25*1000000)</f>
        <v>3533.5336485105163</v>
      </c>
      <c r="Q39" s="87">
        <f>IF(Q7=0,0,Q7/TrAvia_act!Q25*1000000)</f>
        <v>3488.3680428766647</v>
      </c>
      <c r="R39" s="87">
        <f>IF(R7=0,0,R7/TrAvia_act!R25*1000000)</f>
        <v>2568.915410082358</v>
      </c>
      <c r="S39" s="87">
        <f>IF(S7=0,0,S7/TrAvia_act!S25*1000000)</f>
        <v>3121.606183965218</v>
      </c>
      <c r="T39" s="87">
        <f>IF(T7=0,0,T7/TrAvia_act!T25*1000000)</f>
        <v>3142.2026278263684</v>
      </c>
      <c r="U39" s="87">
        <f>IF(U7=0,0,U7/TrAvia_act!U25*1000000)</f>
        <v>2838.8696784840949</v>
      </c>
      <c r="V39" s="87">
        <f>IF(V7=0,0,V7/TrAvia_act!V25*1000000)</f>
        <v>2830.2385372264143</v>
      </c>
      <c r="W39" s="87">
        <f>IF(W7=0,0,W7/TrAvia_act!W25*1000000)</f>
        <v>2783.4172850984978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5724.1713659633924</v>
      </c>
      <c r="C40" s="87">
        <f>IF(C8=0,0,C8/TrAvia_act!C26*1000000)</f>
        <v>5723.292606623867</v>
      </c>
      <c r="D40" s="87">
        <f>IF(D8=0,0,D8/TrAvia_act!D26*1000000)</f>
        <v>5712.4809838361034</v>
      </c>
      <c r="E40" s="87">
        <f>IF(E8=0,0,E8/TrAvia_act!E26*1000000)</f>
        <v>5955.251451849922</v>
      </c>
      <c r="F40" s="87">
        <f>IF(F8=0,0,F8/TrAvia_act!F26*1000000)</f>
        <v>6462.0358666639449</v>
      </c>
      <c r="G40" s="87">
        <f>IF(G8=0,0,G8/TrAvia_act!G26*1000000)</f>
        <v>6235.0646276523885</v>
      </c>
      <c r="H40" s="87">
        <f>IF(H8=0,0,H8/TrAvia_act!H26*1000000)</f>
        <v>5867.8807735738892</v>
      </c>
      <c r="I40" s="87">
        <f>IF(I8=0,0,I8/TrAvia_act!I26*1000000)</f>
        <v>5733.7309678935126</v>
      </c>
      <c r="J40" s="87">
        <f>IF(J8=0,0,J8/TrAvia_act!J26*1000000)</f>
        <v>6086.1563595712933</v>
      </c>
      <c r="K40" s="87">
        <f>IF(K8=0,0,K8/TrAvia_act!K26*1000000)</f>
        <v>6112.2169140316737</v>
      </c>
      <c r="L40" s="87">
        <f>IF(L8=0,0,L8/TrAvia_act!L26*1000000)</f>
        <v>6208.3843992465172</v>
      </c>
      <c r="M40" s="87">
        <f>IF(M8=0,0,M8/TrAvia_act!M26*1000000)</f>
        <v>6220.6125113317757</v>
      </c>
      <c r="N40" s="87">
        <f>IF(N8=0,0,N8/TrAvia_act!N26*1000000)</f>
        <v>6216.2207655607062</v>
      </c>
      <c r="O40" s="87">
        <f>IF(O8=0,0,O8/TrAvia_act!O26*1000000)</f>
        <v>6098.5680736158101</v>
      </c>
      <c r="P40" s="87">
        <f>IF(P8=0,0,P8/TrAvia_act!P26*1000000)</f>
        <v>6008.4640584258168</v>
      </c>
      <c r="Q40" s="87">
        <f>IF(Q8=0,0,Q8/TrAvia_act!Q26*1000000)</f>
        <v>6118.5271115982887</v>
      </c>
      <c r="R40" s="87">
        <f>IF(R8=0,0,R8/TrAvia_act!R26*1000000)</f>
        <v>6410.3256079982293</v>
      </c>
      <c r="S40" s="87">
        <f>IF(S8=0,0,S8/TrAvia_act!S26*1000000)</f>
        <v>6608.4897423472057</v>
      </c>
      <c r="T40" s="87">
        <f>IF(T8=0,0,T8/TrAvia_act!T26*1000000)</f>
        <v>6523.3200572727819</v>
      </c>
      <c r="U40" s="87">
        <f>IF(U8=0,0,U8/TrAvia_act!U26*1000000)</f>
        <v>6764.2504678356227</v>
      </c>
      <c r="V40" s="87">
        <f>IF(V8=0,0,V8/TrAvia_act!V26*1000000)</f>
        <v>5025.8601895144975</v>
      </c>
      <c r="W40" s="87">
        <f>IF(W8=0,0,W8/TrAvia_act!W26*1000000)</f>
        <v>5297.8910091047455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22456.227905502437</v>
      </c>
      <c r="C41" s="87">
        <f>IF(C9=0,0,C9/TrAvia_act!C27*1000000)</f>
        <v>22452.765225666455</v>
      </c>
      <c r="D41" s="87">
        <f>IF(D9=0,0,D9/TrAvia_act!D27*1000000)</f>
        <v>22410.375844294758</v>
      </c>
      <c r="E41" s="87">
        <f>IF(E9=0,0,E9/TrAvia_act!E27*1000000)</f>
        <v>23360.262882202984</v>
      </c>
      <c r="F41" s="87">
        <f>IF(F9=0,0,F9/TrAvia_act!F27*1000000)</f>
        <v>25247.46453771376</v>
      </c>
      <c r="G41" s="87">
        <f>IF(G9=0,0,G9/TrAvia_act!G27*1000000)</f>
        <v>22828.837258417618</v>
      </c>
      <c r="H41" s="87">
        <f>IF(H9=0,0,H9/TrAvia_act!H27*1000000)</f>
        <v>22600.833330204383</v>
      </c>
      <c r="I41" s="87">
        <f>IF(I9=0,0,I9/TrAvia_act!I27*1000000)</f>
        <v>20385.627631007002</v>
      </c>
      <c r="J41" s="87">
        <f>IF(J9=0,0,J9/TrAvia_act!J27*1000000)</f>
        <v>20393.789177075101</v>
      </c>
      <c r="K41" s="87">
        <f>IF(K9=0,0,K9/TrAvia_act!K27*1000000)</f>
        <v>20811.288077840221</v>
      </c>
      <c r="L41" s="87">
        <f>IF(L9=0,0,L9/TrAvia_act!L27*1000000)</f>
        <v>20398.109968002795</v>
      </c>
      <c r="M41" s="87">
        <f>IF(M9=0,0,M9/TrAvia_act!M27*1000000)</f>
        <v>20145.65064557306</v>
      </c>
      <c r="N41" s="87">
        <f>IF(N9=0,0,N9/TrAvia_act!N27*1000000)</f>
        <v>19968.628760283558</v>
      </c>
      <c r="O41" s="87">
        <f>IF(O9=0,0,O9/TrAvia_act!O27*1000000)</f>
        <v>20017.081518949835</v>
      </c>
      <c r="P41" s="87">
        <f>IF(P9=0,0,P9/TrAvia_act!P27*1000000)</f>
        <v>19225.373612368076</v>
      </c>
      <c r="Q41" s="87">
        <f>IF(Q9=0,0,Q9/TrAvia_act!Q27*1000000)</f>
        <v>20005.631951353866</v>
      </c>
      <c r="R41" s="87">
        <f>IF(R9=0,0,R9/TrAvia_act!R27*1000000)</f>
        <v>18804.55663554051</v>
      </c>
      <c r="S41" s="87">
        <f>IF(S9=0,0,S9/TrAvia_act!S27*1000000)</f>
        <v>17277.061511357188</v>
      </c>
      <c r="T41" s="87">
        <f>IF(T9=0,0,T9/TrAvia_act!T27*1000000)</f>
        <v>16701.38876262572</v>
      </c>
      <c r="U41" s="87">
        <f>IF(U9=0,0,U9/TrAvia_act!U27*1000000)</f>
        <v>16121.020134914166</v>
      </c>
      <c r="V41" s="87">
        <f>IF(V9=0,0,V9/TrAvia_act!V27*1000000)</f>
        <v>20754.42434469155</v>
      </c>
      <c r="W41" s="87">
        <f>IF(W9=0,0,W9/TrAvia_act!W27*1000000)</f>
        <v>18062.863856822332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3933.9509054448849</v>
      </c>
      <c r="C42" s="15">
        <f>IF(C10=0,0,C10/TrAvia_act!C28*1000000)</f>
        <v>3978.4237957935993</v>
      </c>
      <c r="D42" s="15">
        <f>IF(D10=0,0,D10/TrAvia_act!D28*1000000)</f>
        <v>4008.2451885166111</v>
      </c>
      <c r="E42" s="15">
        <f>IF(E10=0,0,E10/TrAvia_act!E28*1000000)</f>
        <v>4057.7379154962905</v>
      </c>
      <c r="F42" s="15">
        <f>IF(F10=0,0,F10/TrAvia_act!F28*1000000)</f>
        <v>4384.9486920738218</v>
      </c>
      <c r="G42" s="15">
        <f>IF(G10=0,0,G10/TrAvia_act!G28*1000000)</f>
        <v>4298.7872570558984</v>
      </c>
      <c r="H42" s="15">
        <f>IF(H10=0,0,H10/TrAvia_act!H28*1000000)</f>
        <v>4990.4257928113357</v>
      </c>
      <c r="I42" s="15">
        <f>IF(I10=0,0,I10/TrAvia_act!I28*1000000)</f>
        <v>5364.8180507536763</v>
      </c>
      <c r="J42" s="15">
        <f>IF(J10=0,0,J10/TrAvia_act!J28*1000000)</f>
        <v>5934.9531973233143</v>
      </c>
      <c r="K42" s="15">
        <f>IF(K10=0,0,K10/TrAvia_act!K28*1000000)</f>
        <v>6170.1063556132285</v>
      </c>
      <c r="L42" s="15">
        <f>IF(L10=0,0,L10/TrAvia_act!L28*1000000)</f>
        <v>7408.4792697959601</v>
      </c>
      <c r="M42" s="15">
        <f>IF(M10=0,0,M10/TrAvia_act!M28*1000000)</f>
        <v>7819.812739650909</v>
      </c>
      <c r="N42" s="15">
        <f>IF(N10=0,0,N10/TrAvia_act!N28*1000000)</f>
        <v>8138.4501732672479</v>
      </c>
      <c r="O42" s="15">
        <f>IF(O10=0,0,O10/TrAvia_act!O28*1000000)</f>
        <v>8327.2247129980351</v>
      </c>
      <c r="P42" s="15">
        <f>IF(P10=0,0,P10/TrAvia_act!P28*1000000)</f>
        <v>8039.3566422821868</v>
      </c>
      <c r="Q42" s="15">
        <f>IF(Q10=0,0,Q10/TrAvia_act!Q28*1000000)</f>
        <v>8019.783401926481</v>
      </c>
      <c r="R42" s="15">
        <f>IF(R10=0,0,R10/TrAvia_act!R28*1000000)</f>
        <v>7788.7231059068554</v>
      </c>
      <c r="S42" s="15">
        <f>IF(S10=0,0,S10/TrAvia_act!S28*1000000)</f>
        <v>7916.909167902254</v>
      </c>
      <c r="T42" s="15">
        <f>IF(T10=0,0,T10/TrAvia_act!T28*1000000)</f>
        <v>7368.9851557015763</v>
      </c>
      <c r="U42" s="15">
        <f>IF(U10=0,0,U10/TrAvia_act!U28*1000000)</f>
        <v>5646.6558491785227</v>
      </c>
      <c r="V42" s="15">
        <f>IF(V10=0,0,V10/TrAvia_act!V28*1000000)</f>
        <v>5718.6386773750546</v>
      </c>
      <c r="W42" s="15">
        <f>IF(W10=0,0,W10/TrAvia_act!W28*1000000)</f>
        <v>5636.0072300796128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2191.9088286482579</v>
      </c>
      <c r="C43" s="101">
        <f>IF(C11=0,0,C11/TrAvia_act!C29*1000000)</f>
        <v>2201.6151563735175</v>
      </c>
      <c r="D43" s="101">
        <f>IF(D11=0,0,D11/TrAvia_act!D29*1000000)</f>
        <v>2206.5864414105254</v>
      </c>
      <c r="E43" s="101">
        <f>IF(E11=0,0,E11/TrAvia_act!E29*1000000)</f>
        <v>2111.6375031839434</v>
      </c>
      <c r="F43" s="101">
        <f>IF(F11=0,0,F11/TrAvia_act!F29*1000000)</f>
        <v>2116.6883122622176</v>
      </c>
      <c r="G43" s="101">
        <f>IF(G11=0,0,G11/TrAvia_act!G29*1000000)</f>
        <v>2098.8008236127898</v>
      </c>
      <c r="H43" s="101">
        <f>IF(H11=0,0,H11/TrAvia_act!H29*1000000)</f>
        <v>2500.6184674038295</v>
      </c>
      <c r="I43" s="101">
        <f>IF(I11=0,0,I11/TrAvia_act!I29*1000000)</f>
        <v>2753.1453797703589</v>
      </c>
      <c r="J43" s="101">
        <f>IF(J11=0,0,J11/TrAvia_act!J29*1000000)</f>
        <v>2486.7653311910749</v>
      </c>
      <c r="K43" s="101">
        <f>IF(K11=0,0,K11/TrAvia_act!K29*1000000)</f>
        <v>2571.6222188762044</v>
      </c>
      <c r="L43" s="101">
        <f>IF(L11=0,0,L11/TrAvia_act!L29*1000000)</f>
        <v>3218.0767458793134</v>
      </c>
      <c r="M43" s="101">
        <f>IF(M11=0,0,M11/TrAvia_act!M29*1000000)</f>
        <v>2864.0011408101327</v>
      </c>
      <c r="N43" s="101">
        <f>IF(N11=0,0,N11/TrAvia_act!N29*1000000)</f>
        <v>2817.2803520895372</v>
      </c>
      <c r="O43" s="101">
        <f>IF(O11=0,0,O11/TrAvia_act!O29*1000000)</f>
        <v>2893.2171734662943</v>
      </c>
      <c r="P43" s="101">
        <f>IF(P11=0,0,P11/TrAvia_act!P29*1000000)</f>
        <v>2744.3778040600146</v>
      </c>
      <c r="Q43" s="101">
        <f>IF(Q11=0,0,Q11/TrAvia_act!Q29*1000000)</f>
        <v>2687.7807989733474</v>
      </c>
      <c r="R43" s="101">
        <f>IF(R11=0,0,R11/TrAvia_act!R29*1000000)</f>
        <v>1963.6224069511177</v>
      </c>
      <c r="S43" s="101">
        <f>IF(S11=0,0,S11/TrAvia_act!S29*1000000)</f>
        <v>2367.1330026094752</v>
      </c>
      <c r="T43" s="101">
        <f>IF(T11=0,0,T11/TrAvia_act!T29*1000000)</f>
        <v>2363.8224472472357</v>
      </c>
      <c r="U43" s="101">
        <f>IF(U11=0,0,U11/TrAvia_act!U29*1000000)</f>
        <v>2094.618951283147</v>
      </c>
      <c r="V43" s="101">
        <f>IF(V11=0,0,V11/TrAvia_act!V29*1000000)</f>
        <v>2088.2505884848965</v>
      </c>
      <c r="W43" s="101">
        <f>IF(W11=0,0,W11/TrAvia_act!W29*1000000)</f>
        <v>2053.7042044880413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4267.486173811817</v>
      </c>
      <c r="C44" s="101">
        <f>IF(C12=0,0,C12/TrAvia_act!C30*1000000)</f>
        <v>4267.38536246072</v>
      </c>
      <c r="D44" s="101">
        <f>IF(D12=0,0,D12/TrAvia_act!D30*1000000)</f>
        <v>4258.8699493471677</v>
      </c>
      <c r="E44" s="101">
        <f>IF(E12=0,0,E12/TrAvia_act!E30*1000000)</f>
        <v>4466.8792211756554</v>
      </c>
      <c r="F44" s="101">
        <f>IF(F12=0,0,F12/TrAvia_act!F30*1000000)</f>
        <v>4895.6295959750742</v>
      </c>
      <c r="G44" s="101">
        <f>IF(G12=0,0,G12/TrAvia_act!G30*1000000)</f>
        <v>4738.8747897272015</v>
      </c>
      <c r="H44" s="101">
        <f>IF(H12=0,0,H12/TrAvia_act!H30*1000000)</f>
        <v>4679.770992717712</v>
      </c>
      <c r="I44" s="101">
        <f>IF(I12=0,0,I12/TrAvia_act!I30*1000000)</f>
        <v>4695.3422054673811</v>
      </c>
      <c r="J44" s="101">
        <f>IF(J12=0,0,J12/TrAvia_act!J30*1000000)</f>
        <v>5053.3883407326002</v>
      </c>
      <c r="K44" s="101">
        <f>IF(K12=0,0,K12/TrAvia_act!K30*1000000)</f>
        <v>5229.6128636900748</v>
      </c>
      <c r="L44" s="101">
        <f>IF(L12=0,0,L12/TrAvia_act!L30*1000000)</f>
        <v>5495.5494761812997</v>
      </c>
      <c r="M44" s="101">
        <f>IF(M12=0,0,M12/TrAvia_act!M30*1000000)</f>
        <v>5439.0715509293004</v>
      </c>
      <c r="N44" s="101">
        <f>IF(N12=0,0,N12/TrAvia_act!N30*1000000)</f>
        <v>5393.1413608794455</v>
      </c>
      <c r="O44" s="101">
        <f>IF(O12=0,0,O12/TrAvia_act!O30*1000000)</f>
        <v>5158.2447070946837</v>
      </c>
      <c r="P44" s="101">
        <f>IF(P12=0,0,P12/TrAvia_act!P30*1000000)</f>
        <v>5015.0625729387548</v>
      </c>
      <c r="Q44" s="101">
        <f>IF(Q12=0,0,Q12/TrAvia_act!Q30*1000000)</f>
        <v>5070.5202209002855</v>
      </c>
      <c r="R44" s="101">
        <f>IF(R12=0,0,R12/TrAvia_act!R30*1000000)</f>
        <v>5307.847109683782</v>
      </c>
      <c r="S44" s="101">
        <f>IF(S12=0,0,S12/TrAvia_act!S30*1000000)</f>
        <v>5314.8903511855051</v>
      </c>
      <c r="T44" s="101">
        <f>IF(T12=0,0,T12/TrAvia_act!T30*1000000)</f>
        <v>5138.9141428319299</v>
      </c>
      <c r="U44" s="101">
        <f>IF(U12=0,0,U12/TrAvia_act!U30*1000000)</f>
        <v>5265.8406623453866</v>
      </c>
      <c r="V44" s="101">
        <f>IF(V12=0,0,V12/TrAvia_act!V30*1000000)</f>
        <v>4071.9213241981111</v>
      </c>
      <c r="W44" s="101">
        <f>IF(W12=0,0,W12/TrAvia_act!W30*1000000)</f>
        <v>4275.0798497088208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13193.676413807971</v>
      </c>
      <c r="C45" s="88">
        <f>IF(C13=0,0,C13/TrAvia_act!C31*1000000)</f>
        <v>13191.641990329868</v>
      </c>
      <c r="D45" s="88">
        <f>IF(D13=0,0,D13/TrAvia_act!D31*1000000)</f>
        <v>13166.737015925744</v>
      </c>
      <c r="E45" s="88">
        <f>IF(E13=0,0,E13/TrAvia_act!E31*1000000)</f>
        <v>13724.82282893804</v>
      </c>
      <c r="F45" s="88">
        <f>IF(F13=0,0,F13/TrAvia_act!F31*1000000)</f>
        <v>14833.607798309979</v>
      </c>
      <c r="G45" s="88">
        <f>IF(G13=0,0,G13/TrAvia_act!G31*1000000)</f>
        <v>13412.595069773186</v>
      </c>
      <c r="H45" s="88">
        <f>IF(H13=0,0,H13/TrAvia_act!H31*1000000)</f>
        <v>15370.134161881986</v>
      </c>
      <c r="I45" s="88">
        <f>IF(I13=0,0,I13/TrAvia_act!I31*1000000)</f>
        <v>16023.771587816955</v>
      </c>
      <c r="J45" s="88">
        <f>IF(J13=0,0,J13/TrAvia_act!J31*1000000)</f>
        <v>18498.544558779937</v>
      </c>
      <c r="K45" s="88">
        <f>IF(K13=0,0,K13/TrAvia_act!K31*1000000)</f>
        <v>21746.570375012394</v>
      </c>
      <c r="L45" s="88">
        <f>IF(L13=0,0,L13/TrAvia_act!L31*1000000)</f>
        <v>22804.605551714994</v>
      </c>
      <c r="M45" s="88">
        <f>IF(M13=0,0,M13/TrAvia_act!M31*1000000)</f>
        <v>22400.933485231741</v>
      </c>
      <c r="N45" s="88">
        <f>IF(N13=0,0,N13/TrAvia_act!N31*1000000)</f>
        <v>22279.014089581182</v>
      </c>
      <c r="O45" s="88">
        <f>IF(O13=0,0,O13/TrAvia_act!O31*1000000)</f>
        <v>22198.229597517518</v>
      </c>
      <c r="P45" s="88">
        <f>IF(P13=0,0,P13/TrAvia_act!P31*1000000)</f>
        <v>20716.541464227295</v>
      </c>
      <c r="Q45" s="88">
        <f>IF(Q13=0,0,Q13/TrAvia_act!Q31*1000000)</f>
        <v>21482.261288632468</v>
      </c>
      <c r="R45" s="88">
        <f>IF(R13=0,0,R13/TrAvia_act!R31*1000000)</f>
        <v>20988.014789195655</v>
      </c>
      <c r="S45" s="88">
        <f>IF(S13=0,0,S13/TrAvia_act!S31*1000000)</f>
        <v>18646.131570279798</v>
      </c>
      <c r="T45" s="88">
        <f>IF(T13=0,0,T13/TrAvia_act!T31*1000000)</f>
        <v>17329.419464832063</v>
      </c>
      <c r="U45" s="88">
        <f>IF(U13=0,0,U13/TrAvia_act!U31*1000000)</f>
        <v>9768.3104400700813</v>
      </c>
      <c r="V45" s="88">
        <f>IF(V13=0,0,V13/TrAvia_act!V31*1000000)</f>
        <v>12575.857998267711</v>
      </c>
      <c r="W45" s="88">
        <f>IF(W13=0,0,W13/TrAvia_act!W31*1000000)</f>
        <v>10944.94393738944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0.97496745527672735</v>
      </c>
      <c r="C48" s="16">
        <f t="shared" si="35"/>
        <v>0.97622287450300582</v>
      </c>
      <c r="D48" s="16">
        <f t="shared" ref="D48:V48" si="36">IF(D6=0,0,D6/D$3)</f>
        <v>0.97571473188875457</v>
      </c>
      <c r="E48" s="16">
        <f t="shared" si="36"/>
        <v>0.97831725444833473</v>
      </c>
      <c r="F48" s="16">
        <f t="shared" si="36"/>
        <v>0.97745987406896306</v>
      </c>
      <c r="G48" s="16">
        <f t="shared" si="36"/>
        <v>0.9770215456712753</v>
      </c>
      <c r="H48" s="16">
        <f t="shared" si="36"/>
        <v>0.97316935598542842</v>
      </c>
      <c r="I48" s="16">
        <f t="shared" si="36"/>
        <v>0.97303201481536239</v>
      </c>
      <c r="J48" s="16">
        <f t="shared" si="36"/>
        <v>0.97054842523074547</v>
      </c>
      <c r="K48" s="16">
        <f t="shared" si="36"/>
        <v>0.970801552513477</v>
      </c>
      <c r="L48" s="16">
        <f t="shared" si="36"/>
        <v>0.96876097398257965</v>
      </c>
      <c r="M48" s="16">
        <f t="shared" si="36"/>
        <v>0.97483512566598307</v>
      </c>
      <c r="N48" s="16">
        <f t="shared" si="36"/>
        <v>0.97530853739611123</v>
      </c>
      <c r="O48" s="16">
        <f t="shared" si="36"/>
        <v>0.9774814047272794</v>
      </c>
      <c r="P48" s="16">
        <f t="shared" si="36"/>
        <v>0.9810346828193226</v>
      </c>
      <c r="Q48" s="16">
        <f t="shared" si="36"/>
        <v>0.9830553524599206</v>
      </c>
      <c r="R48" s="16">
        <f t="shared" si="36"/>
        <v>0.9866215474154334</v>
      </c>
      <c r="S48" s="16">
        <f t="shared" si="36"/>
        <v>0.98520961248472083</v>
      </c>
      <c r="T48" s="16">
        <f t="shared" si="36"/>
        <v>0.98656902219541798</v>
      </c>
      <c r="U48" s="16">
        <f t="shared" si="36"/>
        <v>0.9891175507427461</v>
      </c>
      <c r="V48" s="16">
        <f t="shared" si="36"/>
        <v>0.97286381254681054</v>
      </c>
      <c r="W48" s="16">
        <f t="shared" ref="W48" si="37">IF(W6=0,0,W6/W$3)</f>
        <v>0.97433809628418855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0.13896892817445938</v>
      </c>
      <c r="C49" s="103">
        <f t="shared" si="38"/>
        <v>0.1478070197084235</v>
      </c>
      <c r="D49" s="103">
        <f t="shared" ref="D49:V49" si="39">IF(D7=0,0,D7/D$3)</f>
        <v>0.16010278164639538</v>
      </c>
      <c r="E49" s="103">
        <f t="shared" si="39"/>
        <v>0.14186227403083232</v>
      </c>
      <c r="F49" s="103">
        <f t="shared" si="39"/>
        <v>0.14801092875708813</v>
      </c>
      <c r="G49" s="103">
        <f t="shared" si="39"/>
        <v>0.14823594377849564</v>
      </c>
      <c r="H49" s="103">
        <f t="shared" si="39"/>
        <v>0.13781953859919374</v>
      </c>
      <c r="I49" s="103">
        <f t="shared" si="39"/>
        <v>0.1307423188814304</v>
      </c>
      <c r="J49" s="103">
        <f t="shared" si="39"/>
        <v>0.11806784700001935</v>
      </c>
      <c r="K49" s="103">
        <f t="shared" si="39"/>
        <v>0.11720340057605373</v>
      </c>
      <c r="L49" s="103">
        <f t="shared" si="39"/>
        <v>0.12872103159797013</v>
      </c>
      <c r="M49" s="103">
        <f t="shared" si="39"/>
        <v>0.11340378276306939</v>
      </c>
      <c r="N49" s="103">
        <f t="shared" si="39"/>
        <v>0.11272747339644333</v>
      </c>
      <c r="O49" s="103">
        <f t="shared" si="39"/>
        <v>0.11368223818207529</v>
      </c>
      <c r="P49" s="103">
        <f t="shared" si="39"/>
        <v>0.10749652976574003</v>
      </c>
      <c r="Q49" s="103">
        <f t="shared" si="39"/>
        <v>0.10506122029701107</v>
      </c>
      <c r="R49" s="103">
        <f t="shared" si="39"/>
        <v>0.10729227564473263</v>
      </c>
      <c r="S49" s="103">
        <f t="shared" si="39"/>
        <v>0.11492744422712098</v>
      </c>
      <c r="T49" s="103">
        <f t="shared" si="39"/>
        <v>0.11468847369612153</v>
      </c>
      <c r="U49" s="103">
        <f t="shared" si="39"/>
        <v>0.10123862256259646</v>
      </c>
      <c r="V49" s="103">
        <f t="shared" si="39"/>
        <v>0.13960808248194551</v>
      </c>
      <c r="W49" s="103">
        <f t="shared" ref="W49" si="40">IF(W7=0,0,W7/W$3)</f>
        <v>0.14404170932365856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0.48915048808854478</v>
      </c>
      <c r="C50" s="103">
        <f t="shared" si="41"/>
        <v>0.48472073986698277</v>
      </c>
      <c r="D50" s="103">
        <f t="shared" ref="D50:V50" si="42">IF(D8=0,0,D8/D$3)</f>
        <v>0.47723190180409125</v>
      </c>
      <c r="E50" s="103">
        <f t="shared" si="42"/>
        <v>0.48426283767523665</v>
      </c>
      <c r="F50" s="103">
        <f t="shared" si="42"/>
        <v>0.49636121390911231</v>
      </c>
      <c r="G50" s="103">
        <f t="shared" si="42"/>
        <v>0.49914418100858182</v>
      </c>
      <c r="H50" s="103">
        <f t="shared" si="42"/>
        <v>0.51001058882728323</v>
      </c>
      <c r="I50" s="103">
        <f t="shared" si="42"/>
        <v>0.52524356166631891</v>
      </c>
      <c r="J50" s="103">
        <f t="shared" si="42"/>
        <v>0.52744400795061941</v>
      </c>
      <c r="K50" s="103">
        <f t="shared" si="42"/>
        <v>0.51298971739816157</v>
      </c>
      <c r="L50" s="103">
        <f t="shared" si="42"/>
        <v>0.50296752022017033</v>
      </c>
      <c r="M50" s="103">
        <f t="shared" si="42"/>
        <v>0.51931654137426408</v>
      </c>
      <c r="N50" s="103">
        <f t="shared" si="42"/>
        <v>0.51129699156612918</v>
      </c>
      <c r="O50" s="103">
        <f t="shared" si="42"/>
        <v>0.51543609169990146</v>
      </c>
      <c r="P50" s="103">
        <f t="shared" si="42"/>
        <v>0.52914331047913987</v>
      </c>
      <c r="Q50" s="103">
        <f t="shared" si="42"/>
        <v>0.53552288690145367</v>
      </c>
      <c r="R50" s="103">
        <f t="shared" si="42"/>
        <v>0.55278400314352105</v>
      </c>
      <c r="S50" s="103">
        <f t="shared" si="42"/>
        <v>0.55864831057075126</v>
      </c>
      <c r="T50" s="103">
        <f t="shared" si="42"/>
        <v>0.55397595592298754</v>
      </c>
      <c r="U50" s="103">
        <f t="shared" si="42"/>
        <v>0.56208564716855702</v>
      </c>
      <c r="V50" s="103">
        <f t="shared" si="42"/>
        <v>0.44568015974092562</v>
      </c>
      <c r="W50" s="103">
        <f t="shared" ref="W50" si="43">IF(W8=0,0,W8/W$3)</f>
        <v>0.47979319889027389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0.3468480390137233</v>
      </c>
      <c r="C51" s="103">
        <f t="shared" si="44"/>
        <v>0.34369511492759947</v>
      </c>
      <c r="D51" s="103">
        <f t="shared" ref="D51:V51" si="45">IF(D9=0,0,D9/D$3)</f>
        <v>0.33838004843826791</v>
      </c>
      <c r="E51" s="103">
        <f t="shared" si="45"/>
        <v>0.35219214274226585</v>
      </c>
      <c r="F51" s="103">
        <f t="shared" si="45"/>
        <v>0.33308773140276249</v>
      </c>
      <c r="G51" s="103">
        <f t="shared" si="45"/>
        <v>0.3296414208841979</v>
      </c>
      <c r="H51" s="103">
        <f t="shared" si="45"/>
        <v>0.32533922855895148</v>
      </c>
      <c r="I51" s="103">
        <f t="shared" si="45"/>
        <v>0.31704613426761302</v>
      </c>
      <c r="J51" s="103">
        <f t="shared" si="45"/>
        <v>0.32503657028010674</v>
      </c>
      <c r="K51" s="103">
        <f t="shared" si="45"/>
        <v>0.34060843453926176</v>
      </c>
      <c r="L51" s="103">
        <f t="shared" si="45"/>
        <v>0.33707242216443922</v>
      </c>
      <c r="M51" s="103">
        <f t="shared" si="45"/>
        <v>0.34211480152864965</v>
      </c>
      <c r="N51" s="103">
        <f t="shared" si="45"/>
        <v>0.35128407243353865</v>
      </c>
      <c r="O51" s="103">
        <f t="shared" si="45"/>
        <v>0.34836307484530266</v>
      </c>
      <c r="P51" s="103">
        <f t="shared" si="45"/>
        <v>0.34439484257444264</v>
      </c>
      <c r="Q51" s="103">
        <f t="shared" si="45"/>
        <v>0.34247124526145578</v>
      </c>
      <c r="R51" s="103">
        <f t="shared" si="45"/>
        <v>0.32654526862717986</v>
      </c>
      <c r="S51" s="103">
        <f t="shared" si="45"/>
        <v>0.31163385768684859</v>
      </c>
      <c r="T51" s="103">
        <f t="shared" si="45"/>
        <v>0.31790459257630882</v>
      </c>
      <c r="U51" s="103">
        <f t="shared" si="45"/>
        <v>0.32579328101159266</v>
      </c>
      <c r="V51" s="103">
        <f t="shared" si="45"/>
        <v>0.38757557032393924</v>
      </c>
      <c r="W51" s="103">
        <f t="shared" ref="W51" si="46">IF(W9=0,0,W9/W$3)</f>
        <v>0.35050318807025621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2.5032544723272585E-2</v>
      </c>
      <c r="C52" s="17">
        <f t="shared" si="47"/>
        <v>2.3777125496994331E-2</v>
      </c>
      <c r="D52" s="17">
        <f t="shared" ref="D52:V52" si="48">IF(D10=0,0,D10/D$3)</f>
        <v>2.4285268111245494E-2</v>
      </c>
      <c r="E52" s="17">
        <f t="shared" si="48"/>
        <v>2.1682745551665158E-2</v>
      </c>
      <c r="F52" s="17">
        <f t="shared" si="48"/>
        <v>2.2540125931037044E-2</v>
      </c>
      <c r="G52" s="17">
        <f t="shared" si="48"/>
        <v>2.2978454328724689E-2</v>
      </c>
      <c r="H52" s="17">
        <f t="shared" si="48"/>
        <v>2.6830644014571459E-2</v>
      </c>
      <c r="I52" s="17">
        <f t="shared" si="48"/>
        <v>2.6967985184637663E-2</v>
      </c>
      <c r="J52" s="17">
        <f t="shared" si="48"/>
        <v>2.9451574769254446E-2</v>
      </c>
      <c r="K52" s="17">
        <f t="shared" si="48"/>
        <v>2.9198447486522828E-2</v>
      </c>
      <c r="L52" s="17">
        <f t="shared" si="48"/>
        <v>3.1239026017420332E-2</v>
      </c>
      <c r="M52" s="17">
        <f t="shared" si="48"/>
        <v>2.5164874334016769E-2</v>
      </c>
      <c r="N52" s="17">
        <f t="shared" si="48"/>
        <v>2.4691462603889033E-2</v>
      </c>
      <c r="O52" s="17">
        <f t="shared" si="48"/>
        <v>2.2518595272720512E-2</v>
      </c>
      <c r="P52" s="17">
        <f t="shared" si="48"/>
        <v>1.8965317180677514E-2</v>
      </c>
      <c r="Q52" s="17">
        <f t="shared" si="48"/>
        <v>1.6944647540079506E-2</v>
      </c>
      <c r="R52" s="17">
        <f t="shared" si="48"/>
        <v>1.3378452584566512E-2</v>
      </c>
      <c r="S52" s="17">
        <f t="shared" si="48"/>
        <v>1.4790387515279323E-2</v>
      </c>
      <c r="T52" s="17">
        <f t="shared" si="48"/>
        <v>1.3430977804582175E-2</v>
      </c>
      <c r="U52" s="17">
        <f t="shared" si="48"/>
        <v>1.0882449257253731E-2</v>
      </c>
      <c r="V52" s="17">
        <f t="shared" si="48"/>
        <v>2.713618745318945E-2</v>
      </c>
      <c r="W52" s="17">
        <f t="shared" ref="W52" si="49">IF(W10=0,0,W10/W$3)</f>
        <v>2.56619037158114E-2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7.1520287259114312E-3</v>
      </c>
      <c r="C53" s="104">
        <f t="shared" si="50"/>
        <v>6.7661461551009336E-3</v>
      </c>
      <c r="D53" s="104">
        <f t="shared" ref="D53:V53" si="51">IF(D11=0,0,D11/D$3)</f>
        <v>6.7843037210194961E-3</v>
      </c>
      <c r="E53" s="104">
        <f t="shared" si="51"/>
        <v>5.972286725664828E-3</v>
      </c>
      <c r="F53" s="104">
        <f t="shared" si="51"/>
        <v>5.6545090822887733E-3</v>
      </c>
      <c r="G53" s="104">
        <f t="shared" si="51"/>
        <v>5.9001662206845116E-3</v>
      </c>
      <c r="H53" s="104">
        <f t="shared" si="51"/>
        <v>6.0253143318176727E-3</v>
      </c>
      <c r="I53" s="104">
        <f t="shared" si="51"/>
        <v>5.9980872658327309E-3</v>
      </c>
      <c r="J53" s="104">
        <f t="shared" si="51"/>
        <v>5.5580012697302216E-3</v>
      </c>
      <c r="K53" s="104">
        <f t="shared" si="51"/>
        <v>5.9183105555009746E-3</v>
      </c>
      <c r="L53" s="104">
        <f t="shared" si="51"/>
        <v>5.9554984146676241E-3</v>
      </c>
      <c r="M53" s="104">
        <f t="shared" si="51"/>
        <v>3.5843939637507176E-3</v>
      </c>
      <c r="N53" s="104">
        <f t="shared" si="51"/>
        <v>3.3202515455172483E-3</v>
      </c>
      <c r="O53" s="104">
        <f t="shared" si="51"/>
        <v>2.9757015070794222E-3</v>
      </c>
      <c r="P53" s="104">
        <f t="shared" si="51"/>
        <v>2.2675954548938659E-3</v>
      </c>
      <c r="Q53" s="104">
        <f t="shared" si="51"/>
        <v>1.8807321981629771E-3</v>
      </c>
      <c r="R53" s="104">
        <f t="shared" si="51"/>
        <v>1.0907695460558001E-3</v>
      </c>
      <c r="S53" s="104">
        <f t="shared" si="51"/>
        <v>1.3493926572458817E-3</v>
      </c>
      <c r="T53" s="104">
        <f t="shared" si="51"/>
        <v>1.2961935287200063E-3</v>
      </c>
      <c r="U53" s="104">
        <f t="shared" si="51"/>
        <v>1.2158191657815369E-3</v>
      </c>
      <c r="V53" s="104">
        <f t="shared" si="51"/>
        <v>2.9847413532517889E-3</v>
      </c>
      <c r="W53" s="104">
        <f t="shared" ref="W53" si="52">IF(W11=0,0,W11/W$3)</f>
        <v>2.6792163962323641E-3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1.1007277246538558E-2</v>
      </c>
      <c r="C54" s="104">
        <f t="shared" si="53"/>
        <v>1.0179320846802498E-2</v>
      </c>
      <c r="D54" s="104">
        <f t="shared" ref="D54:V54" si="54">IF(D12=0,0,D12/D$3)</f>
        <v>1.0418791473832192E-2</v>
      </c>
      <c r="E54" s="104">
        <f t="shared" si="54"/>
        <v>9.0763140084740585E-3</v>
      </c>
      <c r="F54" s="104">
        <f t="shared" si="54"/>
        <v>9.7231768099122866E-3</v>
      </c>
      <c r="G54" s="104">
        <f t="shared" si="54"/>
        <v>9.2392551416001726E-3</v>
      </c>
      <c r="H54" s="104">
        <f t="shared" si="54"/>
        <v>1.0854699995893618E-2</v>
      </c>
      <c r="I54" s="104">
        <f t="shared" si="54"/>
        <v>1.0224609993983013E-2</v>
      </c>
      <c r="J54" s="104">
        <f t="shared" si="54"/>
        <v>9.982117306587485E-3</v>
      </c>
      <c r="K54" s="104">
        <f t="shared" si="54"/>
        <v>9.3664531361815906E-3</v>
      </c>
      <c r="L54" s="104">
        <f t="shared" si="54"/>
        <v>9.1034280473115802E-3</v>
      </c>
      <c r="M54" s="104">
        <f t="shared" si="54"/>
        <v>7.2060601646565907E-3</v>
      </c>
      <c r="N54" s="104">
        <f t="shared" si="54"/>
        <v>6.3766360418653963E-3</v>
      </c>
      <c r="O54" s="104">
        <f t="shared" si="54"/>
        <v>5.344349442727275E-3</v>
      </c>
      <c r="P54" s="104">
        <f t="shared" si="54"/>
        <v>4.8090171093414982E-3</v>
      </c>
      <c r="Q54" s="104">
        <f t="shared" si="54"/>
        <v>4.7249195429374157E-3</v>
      </c>
      <c r="R54" s="104">
        <f t="shared" si="54"/>
        <v>4.0973540056518419E-3</v>
      </c>
      <c r="S54" s="104">
        <f t="shared" si="54"/>
        <v>4.2915660981201276E-3</v>
      </c>
      <c r="T54" s="104">
        <f t="shared" si="54"/>
        <v>4.1935490331159982E-3</v>
      </c>
      <c r="U54" s="104">
        <f t="shared" si="54"/>
        <v>4.0808037327828362E-3</v>
      </c>
      <c r="V54" s="104">
        <f t="shared" si="54"/>
        <v>8.402968076083631E-3</v>
      </c>
      <c r="W54" s="104">
        <f t="shared" ref="W54" si="55">IF(W12=0,0,W12/W$3)</f>
        <v>8.058960473312473E-3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6.8732387508225971E-3</v>
      </c>
      <c r="C55" s="105">
        <f t="shared" si="56"/>
        <v>6.8316584950908971E-3</v>
      </c>
      <c r="D55" s="105">
        <f t="shared" ref="D55:V55" si="57">IF(D13=0,0,D13/D$3)</f>
        <v>7.0821729163938031E-3</v>
      </c>
      <c r="E55" s="105">
        <f t="shared" si="57"/>
        <v>6.6341448175262722E-3</v>
      </c>
      <c r="F55" s="105">
        <f t="shared" si="57"/>
        <v>7.1624400388359856E-3</v>
      </c>
      <c r="G55" s="105">
        <f t="shared" si="57"/>
        <v>7.8390329664400054E-3</v>
      </c>
      <c r="H55" s="105">
        <f t="shared" si="57"/>
        <v>9.9506296868601667E-3</v>
      </c>
      <c r="I55" s="105">
        <f t="shared" si="57"/>
        <v>1.0745287924821914E-2</v>
      </c>
      <c r="J55" s="105">
        <f t="shared" si="57"/>
        <v>1.3911456192936739E-2</v>
      </c>
      <c r="K55" s="105">
        <f t="shared" si="57"/>
        <v>1.3913683794840266E-2</v>
      </c>
      <c r="L55" s="105">
        <f t="shared" si="57"/>
        <v>1.6180099555441127E-2</v>
      </c>
      <c r="M55" s="105">
        <f t="shared" si="57"/>
        <v>1.4374420205609459E-2</v>
      </c>
      <c r="N55" s="105">
        <f t="shared" si="57"/>
        <v>1.4994575016506388E-2</v>
      </c>
      <c r="O55" s="105">
        <f t="shared" si="57"/>
        <v>1.4198544322913816E-2</v>
      </c>
      <c r="P55" s="105">
        <f t="shared" si="57"/>
        <v>1.1888704616442149E-2</v>
      </c>
      <c r="Q55" s="105">
        <f t="shared" si="57"/>
        <v>1.0338995798979116E-2</v>
      </c>
      <c r="R55" s="105">
        <f t="shared" si="57"/>
        <v>8.1903290328588715E-3</v>
      </c>
      <c r="S55" s="105">
        <f t="shared" si="57"/>
        <v>9.1494287599133139E-3</v>
      </c>
      <c r="T55" s="105">
        <f t="shared" si="57"/>
        <v>7.94123524274617E-3</v>
      </c>
      <c r="U55" s="105">
        <f t="shared" si="57"/>
        <v>5.5858263586893589E-3</v>
      </c>
      <c r="V55" s="105">
        <f t="shared" si="57"/>
        <v>1.5748478023854033E-2</v>
      </c>
      <c r="W55" s="105">
        <f t="shared" ref="W55" si="58">IF(W13=0,0,W13/W$3)</f>
        <v>1.4923726846266566E-2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429.9535836150892</v>
      </c>
      <c r="C57" s="62">
        <v>430.04417800046662</v>
      </c>
      <c r="D57" s="62">
        <v>430.0060864961286</v>
      </c>
      <c r="E57" s="62">
        <v>431.76887076028714</v>
      </c>
      <c r="F57" s="62">
        <v>427.11376258504907</v>
      </c>
      <c r="G57" s="62">
        <v>434.72628704353974</v>
      </c>
      <c r="H57" s="62">
        <v>438.90935594072829</v>
      </c>
      <c r="I57" s="62">
        <v>450.4641543144586</v>
      </c>
      <c r="J57" s="62">
        <v>445.6865304293425</v>
      </c>
      <c r="K57" s="62">
        <v>446.62144553606458</v>
      </c>
      <c r="L57" s="62">
        <v>446.35396441624397</v>
      </c>
      <c r="M57" s="62">
        <v>448.40278921408128</v>
      </c>
      <c r="N57" s="62">
        <v>450.56405860533079</v>
      </c>
      <c r="O57" s="62">
        <v>441.25239328965984</v>
      </c>
      <c r="P57" s="62">
        <v>441.9535488245304</v>
      </c>
      <c r="Q57" s="62">
        <v>434.38756515533743</v>
      </c>
      <c r="R57" s="62">
        <v>421.20254991233975</v>
      </c>
      <c r="S57" s="62">
        <v>419.57532800713079</v>
      </c>
      <c r="T57" s="62">
        <v>435.50138767062293</v>
      </c>
      <c r="U57" s="62">
        <v>445.29007053076879</v>
      </c>
      <c r="V57" s="62">
        <v>440.45932456814592</v>
      </c>
      <c r="W57" s="62">
        <v>427.95106059026415</v>
      </c>
      <c r="DA57" s="172" t="s">
        <v>313</v>
      </c>
    </row>
    <row r="58" spans="1:105" ht="11.45" customHeight="1" x14ac:dyDescent="0.25">
      <c r="A58" s="10" t="s">
        <v>33</v>
      </c>
      <c r="B58" s="14">
        <v>430.77849391357682</v>
      </c>
      <c r="C58" s="14">
        <v>430.75675823251606</v>
      </c>
      <c r="D58" s="14">
        <v>430.72713020782334</v>
      </c>
      <c r="E58" s="14">
        <v>432.37152925603664</v>
      </c>
      <c r="F58" s="14">
        <v>427.65424503723239</v>
      </c>
      <c r="G58" s="14">
        <v>435.09653659378495</v>
      </c>
      <c r="H58" s="14">
        <v>438.90370223172641</v>
      </c>
      <c r="I58" s="14">
        <v>449.70895981466458</v>
      </c>
      <c r="J58" s="14">
        <v>443.97790185968643</v>
      </c>
      <c r="K58" s="14">
        <v>444.60839969338821</v>
      </c>
      <c r="L58" s="14">
        <v>443.72807249238514</v>
      </c>
      <c r="M58" s="14">
        <v>446.03148220274562</v>
      </c>
      <c r="N58" s="14">
        <v>448.10086923714698</v>
      </c>
      <c r="O58" s="14">
        <v>438.92246745843244</v>
      </c>
      <c r="P58" s="14">
        <v>440.01202051305978</v>
      </c>
      <c r="Q58" s="14">
        <v>432.81454987750254</v>
      </c>
      <c r="R58" s="14">
        <v>419.99098375573459</v>
      </c>
      <c r="S58" s="14">
        <v>418.18787327643662</v>
      </c>
      <c r="T58" s="14">
        <v>434.26522391373146</v>
      </c>
      <c r="U58" s="14">
        <v>445.20064725499338</v>
      </c>
      <c r="V58" s="14">
        <v>440.23354301259735</v>
      </c>
      <c r="W58" s="14">
        <v>427.603063181717</v>
      </c>
      <c r="DA58" s="189" t="s">
        <v>314</v>
      </c>
    </row>
    <row r="59" spans="1:105" ht="11.45" customHeight="1" x14ac:dyDescent="0.25">
      <c r="A59" s="83" t="s">
        <v>27</v>
      </c>
      <c r="B59" s="87">
        <v>428.36881360283843</v>
      </c>
      <c r="C59" s="87">
        <v>428.36881360283837</v>
      </c>
      <c r="D59" s="87">
        <v>428.36881360283837</v>
      </c>
      <c r="E59" s="87">
        <v>428.36881360283843</v>
      </c>
      <c r="F59" s="87">
        <v>428.36881360283837</v>
      </c>
      <c r="G59" s="87">
        <v>424.12969428673119</v>
      </c>
      <c r="H59" s="87">
        <v>419.55545838685862</v>
      </c>
      <c r="I59" s="87">
        <v>419.39356310721394</v>
      </c>
      <c r="J59" s="87">
        <v>423.07131420853074</v>
      </c>
      <c r="K59" s="87">
        <v>427.71222376817315</v>
      </c>
      <c r="L59" s="87">
        <v>425.32123745720776</v>
      </c>
      <c r="M59" s="87">
        <v>430.61919874627188</v>
      </c>
      <c r="N59" s="87">
        <v>429.00106620800227</v>
      </c>
      <c r="O59" s="87">
        <v>426.77064472695633</v>
      </c>
      <c r="P59" s="87">
        <v>418.85018186894786</v>
      </c>
      <c r="Q59" s="87">
        <v>413.31790526562361</v>
      </c>
      <c r="R59" s="87">
        <v>422.69587157318597</v>
      </c>
      <c r="S59" s="87">
        <v>415.12750189842603</v>
      </c>
      <c r="T59" s="87">
        <v>415.23971833133294</v>
      </c>
      <c r="U59" s="87">
        <v>406.03944901879038</v>
      </c>
      <c r="V59" s="87">
        <v>416.60358133037181</v>
      </c>
      <c r="W59" s="87">
        <v>404.86649250800406</v>
      </c>
      <c r="DA59" s="171" t="s">
        <v>315</v>
      </c>
    </row>
    <row r="60" spans="1:105" ht="11.45" customHeight="1" x14ac:dyDescent="0.25">
      <c r="A60" s="83" t="s">
        <v>173</v>
      </c>
      <c r="B60" s="87">
        <v>327.99399907974788</v>
      </c>
      <c r="C60" s="87">
        <v>327.9939873651083</v>
      </c>
      <c r="D60" s="87">
        <v>327.99385822772228</v>
      </c>
      <c r="E60" s="87">
        <v>328.05483551778838</v>
      </c>
      <c r="F60" s="87">
        <v>328.43080090547147</v>
      </c>
      <c r="G60" s="87">
        <v>328.14212377271878</v>
      </c>
      <c r="H60" s="87">
        <v>329.10947895563311</v>
      </c>
      <c r="I60" s="87">
        <v>328.6503847718102</v>
      </c>
      <c r="J60" s="87">
        <v>328.00039348345916</v>
      </c>
      <c r="K60" s="87">
        <v>327.7144322277012</v>
      </c>
      <c r="L60" s="87">
        <v>328.19125446122257</v>
      </c>
      <c r="M60" s="87">
        <v>326.52720601582962</v>
      </c>
      <c r="N60" s="87">
        <v>325.71140983743419</v>
      </c>
      <c r="O60" s="87">
        <v>325.84842462902373</v>
      </c>
      <c r="P60" s="87">
        <v>325.06348731688269</v>
      </c>
      <c r="Q60" s="87">
        <v>324.87062444241906</v>
      </c>
      <c r="R60" s="87">
        <v>324.66123521500458</v>
      </c>
      <c r="S60" s="87">
        <v>324.65940235564085</v>
      </c>
      <c r="T60" s="87">
        <v>324.83129678163954</v>
      </c>
      <c r="U60" s="87">
        <v>324.21007379293314</v>
      </c>
      <c r="V60" s="87">
        <v>323.91870324743462</v>
      </c>
      <c r="W60" s="87">
        <v>324.53777754401483</v>
      </c>
      <c r="DA60" s="171" t="s">
        <v>316</v>
      </c>
    </row>
    <row r="61" spans="1:105" ht="11.45" customHeight="1" x14ac:dyDescent="0.25">
      <c r="A61" s="83" t="s">
        <v>174</v>
      </c>
      <c r="B61" s="87">
        <v>667.75623146054215</v>
      </c>
      <c r="C61" s="87">
        <v>667.75623146054215</v>
      </c>
      <c r="D61" s="87">
        <v>667.75623146054215</v>
      </c>
      <c r="E61" s="87">
        <v>667.75623146054204</v>
      </c>
      <c r="F61" s="87">
        <v>667.75623146054215</v>
      </c>
      <c r="G61" s="87">
        <v>683.42138082483928</v>
      </c>
      <c r="H61" s="87">
        <v>712.65899545693776</v>
      </c>
      <c r="I61" s="87">
        <v>737.97814660681331</v>
      </c>
      <c r="J61" s="87">
        <v>705.67686234653661</v>
      </c>
      <c r="K61" s="87">
        <v>694.98390900172137</v>
      </c>
      <c r="L61" s="87">
        <v>682.78628364594329</v>
      </c>
      <c r="M61" s="87">
        <v>688.04406338417311</v>
      </c>
      <c r="N61" s="87">
        <v>685.25360876508967</v>
      </c>
      <c r="O61" s="87">
        <v>671.04588288627656</v>
      </c>
      <c r="P61" s="87">
        <v>679.33810925760611</v>
      </c>
      <c r="Q61" s="87">
        <v>668.86462874076494</v>
      </c>
      <c r="R61" s="87">
        <v>628.01494026664921</v>
      </c>
      <c r="S61" s="87">
        <v>617.63172899739175</v>
      </c>
      <c r="T61" s="87">
        <v>653.29023085825133</v>
      </c>
      <c r="U61" s="87">
        <v>663.85311315544277</v>
      </c>
      <c r="V61" s="87">
        <v>674.74602837581597</v>
      </c>
      <c r="W61" s="87">
        <v>642.91774488733824</v>
      </c>
      <c r="DA61" s="171" t="s">
        <v>317</v>
      </c>
    </row>
    <row r="62" spans="1:105" ht="11.45" customHeight="1" x14ac:dyDescent="0.25">
      <c r="A62" s="12" t="s">
        <v>34</v>
      </c>
      <c r="B62" s="15">
        <v>392.20424843149556</v>
      </c>
      <c r="C62" s="15">
        <v>395.68091152964882</v>
      </c>
      <c r="D62" s="15">
        <v>396.30673129840989</v>
      </c>
      <c r="E62" s="15">
        <v>399.77356267328111</v>
      </c>
      <c r="F62" s="15">
        <v>399.88908729542828</v>
      </c>
      <c r="G62" s="15">
        <v>416.41335734490616</v>
      </c>
      <c r="H62" s="15">
        <v>439.1415668880814</v>
      </c>
      <c r="I62" s="15">
        <v>481.63015560147846</v>
      </c>
      <c r="J62" s="15">
        <v>511.10224433008278</v>
      </c>
      <c r="K62" s="15">
        <v>529.27384054039044</v>
      </c>
      <c r="L62" s="15">
        <v>544.59527643160311</v>
      </c>
      <c r="M62" s="15">
        <v>552.45956599075532</v>
      </c>
      <c r="N62" s="15">
        <v>558.7982876637534</v>
      </c>
      <c r="O62" s="15">
        <v>555.55942854934733</v>
      </c>
      <c r="P62" s="15">
        <v>552.03690997713045</v>
      </c>
      <c r="Q62" s="15">
        <v>535.15650478071575</v>
      </c>
      <c r="R62" s="15">
        <v>520.97901555504541</v>
      </c>
      <c r="S62" s="15">
        <v>517.56954598426739</v>
      </c>
      <c r="T62" s="15">
        <v>528.29770258649864</v>
      </c>
      <c r="U62" s="15">
        <v>452.54725435374382</v>
      </c>
      <c r="V62" s="15">
        <v>448.51840701589953</v>
      </c>
      <c r="W62" s="15">
        <v>440.79692575444381</v>
      </c>
      <c r="DA62" s="193" t="s">
        <v>318</v>
      </c>
    </row>
    <row r="63" spans="1:105" ht="11.45" customHeight="1" x14ac:dyDescent="0.25">
      <c r="A63" s="92" t="s">
        <v>27</v>
      </c>
      <c r="B63" s="101">
        <v>1484.1418501932101</v>
      </c>
      <c r="C63" s="101">
        <v>1484.1418501932101</v>
      </c>
      <c r="D63" s="101">
        <v>1484.1418501932101</v>
      </c>
      <c r="E63" s="101">
        <v>1484.1418501932098</v>
      </c>
      <c r="F63" s="101">
        <v>1484.1418501932098</v>
      </c>
      <c r="G63" s="101">
        <v>1377.6790582916763</v>
      </c>
      <c r="H63" s="101">
        <v>910.13879404449983</v>
      </c>
      <c r="I63" s="101">
        <v>722.15758211244156</v>
      </c>
      <c r="J63" s="101">
        <v>622.84303392344498</v>
      </c>
      <c r="K63" s="101">
        <v>555.79147230329465</v>
      </c>
      <c r="L63" s="101">
        <v>493.09544062123166</v>
      </c>
      <c r="M63" s="101">
        <v>554.44776023438249</v>
      </c>
      <c r="N63" s="101">
        <v>620.99150302631904</v>
      </c>
      <c r="O63" s="101">
        <v>625.43418340950427</v>
      </c>
      <c r="P63" s="101">
        <v>608.64152353471832</v>
      </c>
      <c r="Q63" s="101">
        <v>599.60025255775838</v>
      </c>
      <c r="R63" s="101">
        <v>648.96701574497888</v>
      </c>
      <c r="S63" s="101">
        <v>630.50603510917745</v>
      </c>
      <c r="T63" s="101">
        <v>644.1293856915953</v>
      </c>
      <c r="U63" s="101">
        <v>636.99704245771386</v>
      </c>
      <c r="V63" s="101">
        <v>690.12601314806579</v>
      </c>
      <c r="W63" s="101">
        <v>631.40890839045267</v>
      </c>
      <c r="DA63" s="175" t="s">
        <v>319</v>
      </c>
    </row>
    <row r="64" spans="1:105" ht="11.45" customHeight="1" x14ac:dyDescent="0.25">
      <c r="A64" s="92" t="s">
        <v>173</v>
      </c>
      <c r="B64" s="101">
        <v>320.30259752578775</v>
      </c>
      <c r="C64" s="101">
        <v>320.29499938879439</v>
      </c>
      <c r="D64" s="101">
        <v>320.30126807286365</v>
      </c>
      <c r="E64" s="101">
        <v>319.94241212761023</v>
      </c>
      <c r="F64" s="101">
        <v>319.13353990887339</v>
      </c>
      <c r="G64" s="101">
        <v>319.17882417483139</v>
      </c>
      <c r="H64" s="101">
        <v>316.53570750091245</v>
      </c>
      <c r="I64" s="101">
        <v>315.71850170039505</v>
      </c>
      <c r="J64" s="101">
        <v>315.60604259222055</v>
      </c>
      <c r="K64" s="101">
        <v>316.27768570030503</v>
      </c>
      <c r="L64" s="101">
        <v>316.52353027826445</v>
      </c>
      <c r="M64" s="101">
        <v>313.65414301705334</v>
      </c>
      <c r="N64" s="101">
        <v>311.35657734006617</v>
      </c>
      <c r="O64" s="101">
        <v>311.18070186692796</v>
      </c>
      <c r="P64" s="101">
        <v>310.78141421450999</v>
      </c>
      <c r="Q64" s="101">
        <v>310.55406083633267</v>
      </c>
      <c r="R64" s="101">
        <v>309.802717750466</v>
      </c>
      <c r="S64" s="101">
        <v>309.90408723661676</v>
      </c>
      <c r="T64" s="101">
        <v>310.26476123579107</v>
      </c>
      <c r="U64" s="101">
        <v>313.68676629536526</v>
      </c>
      <c r="V64" s="101">
        <v>314.07614464970686</v>
      </c>
      <c r="W64" s="101">
        <v>314.32645688355319</v>
      </c>
      <c r="DA64" s="175" t="s">
        <v>320</v>
      </c>
    </row>
    <row r="65" spans="1:105" ht="11.45" customHeight="1" x14ac:dyDescent="0.25">
      <c r="A65" s="85" t="s">
        <v>174</v>
      </c>
      <c r="B65" s="88">
        <v>533.84133850185674</v>
      </c>
      <c r="C65" s="88">
        <v>533.84133850185674</v>
      </c>
      <c r="D65" s="88">
        <v>533.84133850185674</v>
      </c>
      <c r="E65" s="88">
        <v>533.84133850185674</v>
      </c>
      <c r="F65" s="88">
        <v>533.84133850185674</v>
      </c>
      <c r="G65" s="88">
        <v>544.56256846432086</v>
      </c>
      <c r="H65" s="88">
        <v>602.73398400911731</v>
      </c>
      <c r="I65" s="88">
        <v>668.7424506268942</v>
      </c>
      <c r="J65" s="88">
        <v>688.59728906919713</v>
      </c>
      <c r="K65" s="88">
        <v>730.95206936632417</v>
      </c>
      <c r="L65" s="88">
        <v>720.81299609006885</v>
      </c>
      <c r="M65" s="88">
        <v>707.67970360041659</v>
      </c>
      <c r="N65" s="88">
        <v>692.2104198628075</v>
      </c>
      <c r="O65" s="88">
        <v>679.32680446867198</v>
      </c>
      <c r="P65" s="88">
        <v>676.4213599570279</v>
      </c>
      <c r="Q65" s="88">
        <v>669.85629881683576</v>
      </c>
      <c r="R65" s="88">
        <v>656.71585354902754</v>
      </c>
      <c r="S65" s="88">
        <v>630.72521132625138</v>
      </c>
      <c r="T65" s="88">
        <v>652.4632640114512</v>
      </c>
      <c r="U65" s="88">
        <v>529.65030630359695</v>
      </c>
      <c r="V65" s="88">
        <v>537.34794607857009</v>
      </c>
      <c r="W65" s="88">
        <v>514.89691141021126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1.0012859130575391</v>
      </c>
      <c r="C67" s="59">
        <f t="shared" ref="C67:W67" si="60">IF(C3=0,0,C17/C57)</f>
        <v>1.0030662475571974</v>
      </c>
      <c r="D67" s="59">
        <f t="shared" si="60"/>
        <v>1.0041381439557138</v>
      </c>
      <c r="E67" s="59">
        <f t="shared" si="60"/>
        <v>1.0299067790056855</v>
      </c>
      <c r="F67" s="59">
        <f t="shared" si="60"/>
        <v>1.1059331309497482</v>
      </c>
      <c r="G67" s="59">
        <f t="shared" si="60"/>
        <v>1.0292486660302531</v>
      </c>
      <c r="H67" s="59">
        <f t="shared" si="60"/>
        <v>0.97911532561965864</v>
      </c>
      <c r="I67" s="59">
        <f t="shared" si="60"/>
        <v>0.91304881232758262</v>
      </c>
      <c r="J67" s="59">
        <f t="shared" si="60"/>
        <v>0.94608151785849848</v>
      </c>
      <c r="K67" s="59">
        <f t="shared" si="60"/>
        <v>0.95901715825839717</v>
      </c>
      <c r="L67" s="59">
        <f t="shared" si="60"/>
        <v>0.98753484790252211</v>
      </c>
      <c r="M67" s="59">
        <f t="shared" si="60"/>
        <v>0.97589089828245723</v>
      </c>
      <c r="N67" s="59">
        <f t="shared" si="60"/>
        <v>0.97324922871663622</v>
      </c>
      <c r="O67" s="59">
        <f t="shared" si="60"/>
        <v>0.98021744797277921</v>
      </c>
      <c r="P67" s="59">
        <f t="shared" si="60"/>
        <v>0.94487264484669664</v>
      </c>
      <c r="Q67" s="59">
        <f t="shared" si="60"/>
        <v>0.98184363216425596</v>
      </c>
      <c r="R67" s="59">
        <f t="shared" si="60"/>
        <v>0.99492651441008695</v>
      </c>
      <c r="S67" s="59">
        <f t="shared" si="60"/>
        <v>1.0041560033525676</v>
      </c>
      <c r="T67" s="59">
        <f t="shared" si="60"/>
        <v>0.93976823154204325</v>
      </c>
      <c r="U67" s="59">
        <f t="shared" si="60"/>
        <v>0.90421126024933096</v>
      </c>
      <c r="V67" s="59">
        <f t="shared" si="60"/>
        <v>0.864146189451241</v>
      </c>
      <c r="W67" s="59">
        <f t="shared" si="60"/>
        <v>0.85817391665168041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0.99737582481419862</v>
      </c>
      <c r="C68" s="23">
        <f t="shared" ref="C68:W68" si="62">IF(C6=0,0,C18/C58)</f>
        <v>0.9995067062620745</v>
      </c>
      <c r="D68" s="23">
        <f t="shared" si="62"/>
        <v>1.000682792578256</v>
      </c>
      <c r="E68" s="23">
        <f t="shared" si="62"/>
        <v>1.0267197712399758</v>
      </c>
      <c r="F68" s="23">
        <f t="shared" si="62"/>
        <v>1.102793278174671</v>
      </c>
      <c r="G68" s="23">
        <f t="shared" si="62"/>
        <v>1.0267881553224487</v>
      </c>
      <c r="H68" s="23">
        <f t="shared" si="62"/>
        <v>0.97822954173657795</v>
      </c>
      <c r="I68" s="23">
        <f t="shared" si="62"/>
        <v>0.91380357146079672</v>
      </c>
      <c r="J68" s="23">
        <f t="shared" si="62"/>
        <v>0.94889176082796511</v>
      </c>
      <c r="K68" s="23">
        <f t="shared" si="62"/>
        <v>0.96179805125846074</v>
      </c>
      <c r="L68" s="23">
        <f t="shared" si="62"/>
        <v>0.99190652743989927</v>
      </c>
      <c r="M68" s="23">
        <f t="shared" si="62"/>
        <v>0.9803278978823885</v>
      </c>
      <c r="N68" s="23">
        <f t="shared" si="62"/>
        <v>0.97787976599453585</v>
      </c>
      <c r="O68" s="23">
        <f t="shared" si="62"/>
        <v>0.98434117949020228</v>
      </c>
      <c r="P68" s="23">
        <f t="shared" si="62"/>
        <v>0.9486056624533501</v>
      </c>
      <c r="Q68" s="23">
        <f t="shared" si="62"/>
        <v>0.9848805609070922</v>
      </c>
      <c r="R68" s="23">
        <f t="shared" si="62"/>
        <v>0.99714588271176874</v>
      </c>
      <c r="S68" s="23">
        <f t="shared" si="62"/>
        <v>1.0074437378063832</v>
      </c>
      <c r="T68" s="23">
        <f t="shared" si="62"/>
        <v>0.94285449282595379</v>
      </c>
      <c r="U68" s="23">
        <f t="shared" si="62"/>
        <v>0.90626748964374992</v>
      </c>
      <c r="V68" s="23">
        <f t="shared" si="62"/>
        <v>0.86608883876173703</v>
      </c>
      <c r="W68" s="23">
        <f t="shared" si="62"/>
        <v>0.86086854487135589</v>
      </c>
      <c r="DA68" s="189"/>
    </row>
    <row r="69" spans="1:105" ht="11.45" customHeight="1" x14ac:dyDescent="0.25">
      <c r="A69" s="83" t="s">
        <v>27</v>
      </c>
      <c r="B69" s="91">
        <f t="shared" si="61"/>
        <v>1.1945223778562417</v>
      </c>
      <c r="C69" s="91">
        <f t="shared" ref="C69:W69" si="63">IF(C7=0,0,C19/C59)</f>
        <v>1.1998120256386178</v>
      </c>
      <c r="D69" s="91">
        <f t="shared" si="63"/>
        <v>1.2025212219089161</v>
      </c>
      <c r="E69" s="91">
        <f t="shared" si="63"/>
        <v>1.1507769933246976</v>
      </c>
      <c r="F69" s="91">
        <f t="shared" si="63"/>
        <v>1.1535295277328006</v>
      </c>
      <c r="G69" s="91">
        <f t="shared" si="63"/>
        <v>1.1360554562793432</v>
      </c>
      <c r="H69" s="91">
        <f t="shared" si="63"/>
        <v>1.2808977224841229</v>
      </c>
      <c r="I69" s="91">
        <f t="shared" si="63"/>
        <v>1.3443890262076916</v>
      </c>
      <c r="J69" s="91">
        <f t="shared" si="63"/>
        <v>1.1651232642478855</v>
      </c>
      <c r="K69" s="91">
        <f t="shared" si="63"/>
        <v>1.1576514807503626</v>
      </c>
      <c r="L69" s="91">
        <f t="shared" si="63"/>
        <v>1.3761530381221052</v>
      </c>
      <c r="M69" s="91">
        <f t="shared" si="63"/>
        <v>1.2943206170682762</v>
      </c>
      <c r="N69" s="91">
        <f t="shared" si="63"/>
        <v>1.3309153874599513</v>
      </c>
      <c r="O69" s="91">
        <f t="shared" si="63"/>
        <v>1.3712949979020685</v>
      </c>
      <c r="P69" s="91">
        <f t="shared" si="63"/>
        <v>1.2923349128364015</v>
      </c>
      <c r="Q69" s="91">
        <f t="shared" si="63"/>
        <v>1.2617370974359181</v>
      </c>
      <c r="R69" s="91">
        <f t="shared" si="63"/>
        <v>0.94365844006702548</v>
      </c>
      <c r="S69" s="91">
        <f t="shared" si="63"/>
        <v>1.1302442038299119</v>
      </c>
      <c r="T69" s="91">
        <f t="shared" si="63"/>
        <v>1.1366330947056598</v>
      </c>
      <c r="U69" s="91">
        <f t="shared" si="63"/>
        <v>1.0036551724203779</v>
      </c>
      <c r="V69" s="91">
        <f t="shared" si="63"/>
        <v>1.0210987231800381</v>
      </c>
      <c r="W69" s="91">
        <f t="shared" si="63"/>
        <v>0.98169985801504367</v>
      </c>
      <c r="DA69" s="171"/>
    </row>
    <row r="70" spans="1:105" ht="11.45" customHeight="1" x14ac:dyDescent="0.25">
      <c r="A70" s="83" t="s">
        <v>173</v>
      </c>
      <c r="B70" s="91">
        <f t="shared" si="61"/>
        <v>1.0718352019982365</v>
      </c>
      <c r="C70" s="91">
        <f t="shared" ref="C70:W70" si="64">IF(C8=0,0,C20/C60)</f>
        <v>1.0716701691881165</v>
      </c>
      <c r="D70" s="91">
        <f t="shared" si="64"/>
        <v>1.0696472197392071</v>
      </c>
      <c r="E70" s="91">
        <f t="shared" si="64"/>
        <v>1.1147197557048627</v>
      </c>
      <c r="F70" s="91">
        <f t="shared" si="64"/>
        <v>1.2040253652275321</v>
      </c>
      <c r="G70" s="91">
        <f t="shared" si="64"/>
        <v>1.1664602659939669</v>
      </c>
      <c r="H70" s="91">
        <f t="shared" si="64"/>
        <v>1.08993235476943</v>
      </c>
      <c r="I70" s="91">
        <f t="shared" si="64"/>
        <v>1.074743070551744</v>
      </c>
      <c r="J70" s="91">
        <f t="shared" si="64"/>
        <v>1.1347563742284072</v>
      </c>
      <c r="K70" s="91">
        <f t="shared" si="64"/>
        <v>1.1381066677503289</v>
      </c>
      <c r="L70" s="91">
        <f t="shared" si="64"/>
        <v>1.1573323220410829</v>
      </c>
      <c r="M70" s="91">
        <f t="shared" si="64"/>
        <v>1.1802058388376726</v>
      </c>
      <c r="N70" s="91">
        <f t="shared" si="64"/>
        <v>1.18260432015095</v>
      </c>
      <c r="O70" s="91">
        <f t="shared" si="64"/>
        <v>1.143038626005342</v>
      </c>
      <c r="P70" s="91">
        <f t="shared" si="64"/>
        <v>1.1290640482437198</v>
      </c>
      <c r="Q70" s="91">
        <f t="shared" si="64"/>
        <v>1.1504503522641123</v>
      </c>
      <c r="R70" s="91">
        <f t="shared" si="64"/>
        <v>1.1877750992177647</v>
      </c>
      <c r="S70" s="91">
        <f t="shared" si="64"/>
        <v>1.209521823722209</v>
      </c>
      <c r="T70" s="91">
        <f t="shared" si="64"/>
        <v>1.1920985742568107</v>
      </c>
      <c r="U70" s="91">
        <f t="shared" si="64"/>
        <v>1.2475883094884863</v>
      </c>
      <c r="V70" s="91">
        <f t="shared" si="64"/>
        <v>0.93974326450518209</v>
      </c>
      <c r="W70" s="91">
        <f t="shared" si="64"/>
        <v>0.97322789514307662</v>
      </c>
      <c r="DA70" s="171"/>
    </row>
    <row r="71" spans="1:105" ht="11.45" customHeight="1" x14ac:dyDescent="0.25">
      <c r="A71" s="83" t="s">
        <v>174</v>
      </c>
      <c r="B71" s="91">
        <f t="shared" si="61"/>
        <v>0.85678104362564034</v>
      </c>
      <c r="C71" s="91">
        <f t="shared" ref="C71:W71" si="65">IF(C9=0,0,C21/C61)</f>
        <v>0.85664893067879522</v>
      </c>
      <c r="D71" s="91">
        <f t="shared" si="65"/>
        <v>0.85503163241467373</v>
      </c>
      <c r="E71" s="91">
        <f t="shared" si="65"/>
        <v>0.89127303551630799</v>
      </c>
      <c r="F71" s="91">
        <f t="shared" si="65"/>
        <v>0.96327616136383132</v>
      </c>
      <c r="G71" s="91">
        <f t="shared" si="65"/>
        <v>0.83849383810858857</v>
      </c>
      <c r="H71" s="91">
        <f t="shared" si="65"/>
        <v>0.77590579610512456</v>
      </c>
      <c r="I71" s="91">
        <f t="shared" si="65"/>
        <v>0.6620998036325848</v>
      </c>
      <c r="J71" s="91">
        <f t="shared" si="65"/>
        <v>0.71173829333173633</v>
      </c>
      <c r="K71" s="91">
        <f t="shared" si="65"/>
        <v>0.74469602510792698</v>
      </c>
      <c r="L71" s="91">
        <f t="shared" si="65"/>
        <v>0.7514936830943707</v>
      </c>
      <c r="M71" s="91">
        <f t="shared" si="65"/>
        <v>0.73295884032222958</v>
      </c>
      <c r="N71" s="91">
        <f t="shared" si="65"/>
        <v>0.73134955137989011</v>
      </c>
      <c r="O71" s="91">
        <f t="shared" si="65"/>
        <v>0.75863905522976549</v>
      </c>
      <c r="P71" s="91">
        <f t="shared" si="65"/>
        <v>0.71399468758898232</v>
      </c>
      <c r="Q71" s="91">
        <f t="shared" si="65"/>
        <v>0.76208048745155532</v>
      </c>
      <c r="R71" s="91">
        <f t="shared" si="65"/>
        <v>0.79576707464653496</v>
      </c>
      <c r="S71" s="91">
        <f t="shared" si="65"/>
        <v>0.75206468424302131</v>
      </c>
      <c r="T71" s="91">
        <f t="shared" si="65"/>
        <v>0.6612603080446301</v>
      </c>
      <c r="U71" s="91">
        <f t="shared" si="65"/>
        <v>0.60330826224699374</v>
      </c>
      <c r="V71" s="91">
        <f t="shared" si="65"/>
        <v>0.75653532427910586</v>
      </c>
      <c r="W71" s="91">
        <f t="shared" si="65"/>
        <v>0.71227489615529926</v>
      </c>
      <c r="DA71" s="171"/>
    </row>
    <row r="72" spans="1:105" ht="11.45" customHeight="1" x14ac:dyDescent="0.25">
      <c r="A72" s="12" t="s">
        <v>34</v>
      </c>
      <c r="B72" s="24">
        <f t="shared" si="61"/>
        <v>1.1902814955133043</v>
      </c>
      <c r="C72" s="24">
        <f t="shared" ref="C72:W72" si="66">IF(C10=0,0,C22/C62)</f>
        <v>1.1824781277341365</v>
      </c>
      <c r="D72" s="24">
        <f t="shared" si="66"/>
        <v>1.1730975815171538</v>
      </c>
      <c r="E72" s="24">
        <f t="shared" si="66"/>
        <v>1.2050889098142465</v>
      </c>
      <c r="F72" s="24">
        <f t="shared" si="66"/>
        <v>1.2680986797079068</v>
      </c>
      <c r="G72" s="24">
        <f t="shared" si="66"/>
        <v>1.1499745444486249</v>
      </c>
      <c r="H72" s="24">
        <f t="shared" si="66"/>
        <v>1.0123186872873169</v>
      </c>
      <c r="I72" s="24">
        <f t="shared" si="66"/>
        <v>0.88104889674777453</v>
      </c>
      <c r="J72" s="24">
        <f t="shared" si="66"/>
        <v>0.84950083281010658</v>
      </c>
      <c r="K72" s="24">
        <f t="shared" si="66"/>
        <v>0.85542261174757095</v>
      </c>
      <c r="L72" s="24">
        <f t="shared" si="66"/>
        <v>0.84844584071691476</v>
      </c>
      <c r="M72" s="24">
        <f t="shared" si="66"/>
        <v>0.81631406110544402</v>
      </c>
      <c r="N72" s="24">
        <f t="shared" si="66"/>
        <v>0.80822468683023629</v>
      </c>
      <c r="O72" s="24">
        <f t="shared" si="66"/>
        <v>0.81745209942003605</v>
      </c>
      <c r="P72" s="24">
        <f t="shared" si="66"/>
        <v>0.77488335529767738</v>
      </c>
      <c r="Q72" s="24">
        <f t="shared" si="66"/>
        <v>0.82272126723334904</v>
      </c>
      <c r="R72" s="24">
        <f t="shared" si="66"/>
        <v>0.84505109925774535</v>
      </c>
      <c r="S72" s="24">
        <f t="shared" si="66"/>
        <v>0.81639984358876228</v>
      </c>
      <c r="T72" s="24">
        <f t="shared" si="66"/>
        <v>0.75065201695912342</v>
      </c>
      <c r="U72" s="24">
        <f t="shared" si="66"/>
        <v>0.74891020153877741</v>
      </c>
      <c r="V72" s="24">
        <f t="shared" si="66"/>
        <v>0.79902437327568843</v>
      </c>
      <c r="W72" s="24">
        <f t="shared" si="66"/>
        <v>0.765746522534135</v>
      </c>
      <c r="DA72" s="193"/>
    </row>
    <row r="73" spans="1:105" ht="11.45" customHeight="1" x14ac:dyDescent="0.25">
      <c r="A73" s="92" t="s">
        <v>27</v>
      </c>
      <c r="B73" s="93">
        <f t="shared" si="61"/>
        <v>1.1945223778562422</v>
      </c>
      <c r="C73" s="93">
        <f t="shared" ref="C73:W73" si="67">IF(C11=0,0,C23/C63)</f>
        <v>1.199812025638618</v>
      </c>
      <c r="D73" s="93">
        <f t="shared" si="67"/>
        <v>1.2025212219089163</v>
      </c>
      <c r="E73" s="93">
        <f t="shared" si="67"/>
        <v>1.1507769933246978</v>
      </c>
      <c r="F73" s="93">
        <f t="shared" si="67"/>
        <v>1.1535295277328006</v>
      </c>
      <c r="G73" s="93">
        <f t="shared" si="67"/>
        <v>1.1360554562793435</v>
      </c>
      <c r="H73" s="93">
        <f t="shared" si="67"/>
        <v>1.2808977224841234</v>
      </c>
      <c r="I73" s="93">
        <f t="shared" si="67"/>
        <v>1.3443890262076916</v>
      </c>
      <c r="J73" s="93">
        <f t="shared" si="67"/>
        <v>1.1651232642478855</v>
      </c>
      <c r="K73" s="93">
        <f t="shared" si="67"/>
        <v>1.1576514807503628</v>
      </c>
      <c r="L73" s="93">
        <f t="shared" si="67"/>
        <v>1.3761530381221057</v>
      </c>
      <c r="M73" s="93">
        <f t="shared" si="67"/>
        <v>1.2943206170682762</v>
      </c>
      <c r="N73" s="93">
        <f t="shared" si="67"/>
        <v>1.3309153874599513</v>
      </c>
      <c r="O73" s="93">
        <f t="shared" si="67"/>
        <v>1.3712949979020683</v>
      </c>
      <c r="P73" s="93">
        <f t="shared" si="67"/>
        <v>1.2923349128364012</v>
      </c>
      <c r="Q73" s="93">
        <f t="shared" si="67"/>
        <v>1.2617370974359179</v>
      </c>
      <c r="R73" s="93">
        <f t="shared" si="67"/>
        <v>0.94365844006702537</v>
      </c>
      <c r="S73" s="93">
        <f t="shared" si="67"/>
        <v>1.1302442038299121</v>
      </c>
      <c r="T73" s="93">
        <f t="shared" si="67"/>
        <v>1.1366330947056598</v>
      </c>
      <c r="U73" s="93">
        <f t="shared" si="67"/>
        <v>1.0036551724203779</v>
      </c>
      <c r="V73" s="93">
        <f t="shared" si="67"/>
        <v>1.0210987231800381</v>
      </c>
      <c r="W73" s="93">
        <f t="shared" si="67"/>
        <v>0.98169985801504378</v>
      </c>
      <c r="DA73" s="175"/>
    </row>
    <row r="74" spans="1:105" ht="11.45" customHeight="1" x14ac:dyDescent="0.25">
      <c r="A74" s="92" t="s">
        <v>173</v>
      </c>
      <c r="B74" s="93">
        <f t="shared" si="61"/>
        <v>1.0448271293665112</v>
      </c>
      <c r="C74" s="93">
        <f t="shared" ref="C74:W74" si="68">IF(C12=0,0,C24/C64)</f>
        <v>1.0447361228537126</v>
      </c>
      <c r="D74" s="93">
        <f t="shared" si="68"/>
        <v>1.0427060003374391</v>
      </c>
      <c r="E74" s="93">
        <f t="shared" si="68"/>
        <v>1.0903507132063897</v>
      </c>
      <c r="F74" s="93">
        <f t="shared" si="68"/>
        <v>1.1868685059867874</v>
      </c>
      <c r="G74" s="93">
        <f t="shared" si="68"/>
        <v>1.151423704900008</v>
      </c>
      <c r="H74" s="93">
        <f t="shared" si="68"/>
        <v>1.0871007442049982</v>
      </c>
      <c r="I74" s="93">
        <f t="shared" si="68"/>
        <v>1.0649472317637512</v>
      </c>
      <c r="J74" s="93">
        <f t="shared" si="68"/>
        <v>1.1045490557354054</v>
      </c>
      <c r="K74" s="93">
        <f t="shared" si="68"/>
        <v>1.101254441048114</v>
      </c>
      <c r="L74" s="93">
        <f t="shared" si="68"/>
        <v>1.1215796898241033</v>
      </c>
      <c r="M74" s="93">
        <f t="shared" si="68"/>
        <v>1.1479196140566565</v>
      </c>
      <c r="N74" s="93">
        <f t="shared" si="68"/>
        <v>1.1542041956197162</v>
      </c>
      <c r="O74" s="93">
        <f t="shared" si="68"/>
        <v>1.1077762272212495</v>
      </c>
      <c r="P74" s="93">
        <f t="shared" si="68"/>
        <v>1.0973184341778</v>
      </c>
      <c r="Q74" s="93">
        <f t="shared" si="68"/>
        <v>1.1273308428631328</v>
      </c>
      <c r="R74" s="93">
        <f t="shared" si="68"/>
        <v>1.1815996002034339</v>
      </c>
      <c r="S74" s="93">
        <f t="shared" si="68"/>
        <v>1.1858243959700576</v>
      </c>
      <c r="T74" s="93">
        <f t="shared" si="68"/>
        <v>1.1605215176753125</v>
      </c>
      <c r="U74" s="93">
        <f t="shared" si="68"/>
        <v>1.2062580039960684</v>
      </c>
      <c r="V74" s="93">
        <f t="shared" si="68"/>
        <v>0.94072977650746303</v>
      </c>
      <c r="W74" s="93">
        <f t="shared" si="68"/>
        <v>0.96783703372726171</v>
      </c>
      <c r="DA74" s="175"/>
    </row>
    <row r="75" spans="1:105" ht="11.45" customHeight="1" x14ac:dyDescent="0.25">
      <c r="A75" s="85" t="s">
        <v>174</v>
      </c>
      <c r="B75" s="94">
        <f t="shared" si="61"/>
        <v>0.77110293926307638</v>
      </c>
      <c r="C75" s="94">
        <f t="shared" ref="C75:W75" si="69">IF(C13=0,0,C25/C65)</f>
        <v>0.77098403761091605</v>
      </c>
      <c r="D75" s="94">
        <f t="shared" si="69"/>
        <v>0.7695284691732065</v>
      </c>
      <c r="E75" s="94">
        <f t="shared" si="69"/>
        <v>0.8021457319646772</v>
      </c>
      <c r="F75" s="94">
        <f t="shared" si="69"/>
        <v>0.86694854522744824</v>
      </c>
      <c r="G75" s="94">
        <f t="shared" si="69"/>
        <v>0.75464445429772942</v>
      </c>
      <c r="H75" s="94">
        <f t="shared" si="69"/>
        <v>0.69831521649461248</v>
      </c>
      <c r="I75" s="94">
        <f t="shared" si="69"/>
        <v>0.59588982326932649</v>
      </c>
      <c r="J75" s="94">
        <f t="shared" si="69"/>
        <v>0.64056446399856259</v>
      </c>
      <c r="K75" s="94">
        <f t="shared" si="69"/>
        <v>0.67022642259713427</v>
      </c>
      <c r="L75" s="94">
        <f t="shared" si="69"/>
        <v>0.67634431478493351</v>
      </c>
      <c r="M75" s="94">
        <f t="shared" si="69"/>
        <v>0.6596629562900066</v>
      </c>
      <c r="N75" s="94">
        <f t="shared" si="69"/>
        <v>0.65821459624190115</v>
      </c>
      <c r="O75" s="94">
        <f t="shared" si="69"/>
        <v>0.68277514970678888</v>
      </c>
      <c r="P75" s="94">
        <f t="shared" si="69"/>
        <v>0.64259521883008408</v>
      </c>
      <c r="Q75" s="94">
        <f t="shared" si="69"/>
        <v>0.68587243870639991</v>
      </c>
      <c r="R75" s="94">
        <f t="shared" si="69"/>
        <v>0.71619036718188145</v>
      </c>
      <c r="S75" s="94">
        <f t="shared" si="69"/>
        <v>0.6768582158187193</v>
      </c>
      <c r="T75" s="94">
        <f t="shared" si="69"/>
        <v>0.5951342772401671</v>
      </c>
      <c r="U75" s="94">
        <f t="shared" si="69"/>
        <v>0.5429774360222942</v>
      </c>
      <c r="V75" s="94">
        <f t="shared" si="69"/>
        <v>0.68088179185119546</v>
      </c>
      <c r="W75" s="94">
        <f t="shared" si="69"/>
        <v>0.64104740653976944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2368.9345975200004</v>
      </c>
      <c r="C3" s="79">
        <f t="shared" si="0"/>
        <v>2301.6079839600006</v>
      </c>
      <c r="D3" s="79">
        <f t="shared" ref="D3" si="1">SUM(D4:D5)</f>
        <v>2266.4466907200003</v>
      </c>
      <c r="E3" s="79">
        <f t="shared" ref="E3" si="2">SUM(E4:E5)</f>
        <v>2385.0694389600003</v>
      </c>
      <c r="F3" s="79">
        <f t="shared" ref="F3" si="3">SUM(F4:F5)</f>
        <v>2587.1190768000001</v>
      </c>
      <c r="G3" s="79">
        <f t="shared" ref="G3" si="4">SUM(G4:G5)</f>
        <v>2683.2295162800001</v>
      </c>
      <c r="H3" s="79">
        <f t="shared" ref="H3" si="5">SUM(H4:H5)</f>
        <v>2808.3343532399999</v>
      </c>
      <c r="I3" s="79">
        <f t="shared" ref="I3" si="6">SUM(I4:I5)</f>
        <v>2940.1832455200006</v>
      </c>
      <c r="J3" s="79">
        <f t="shared" ref="J3" si="7">SUM(J4:J5)</f>
        <v>3002.0170154400003</v>
      </c>
      <c r="K3" s="79">
        <f t="shared" ref="K3" si="8">SUM(K4:K5)</f>
        <v>2813.4236030399993</v>
      </c>
      <c r="L3" s="79">
        <f t="shared" ref="L3" si="9">SUM(L4:L5)</f>
        <v>3054.5646415199999</v>
      </c>
      <c r="M3" s="79">
        <f t="shared" ref="M3" si="10">SUM(M4:M5)</f>
        <v>3119.5019030400003</v>
      </c>
      <c r="N3" s="79">
        <f t="shared" ref="N3" si="11">SUM(N4:N5)</f>
        <v>3144.2472590400002</v>
      </c>
      <c r="O3" s="79">
        <f t="shared" ref="O3" si="12">SUM(O4:O5)</f>
        <v>3181.3356729600005</v>
      </c>
      <c r="P3" s="79">
        <f t="shared" ref="P3" si="13">SUM(P4:P5)</f>
        <v>3267.9150577200003</v>
      </c>
      <c r="Q3" s="79">
        <f t="shared" ref="Q3" si="14">SUM(Q4:Q5)</f>
        <v>3527.6180302800008</v>
      </c>
      <c r="R3" s="79">
        <f t="shared" ref="R3" si="15">SUM(R4:R5)</f>
        <v>3880.0716577200023</v>
      </c>
      <c r="S3" s="79">
        <f t="shared" ref="S3" si="16">SUM(S4:S5)</f>
        <v>4361.7964129199981</v>
      </c>
      <c r="T3" s="79">
        <f t="shared" ref="T3" si="17">SUM(T4:T5)</f>
        <v>4644.2991621600022</v>
      </c>
      <c r="U3" s="79">
        <f t="shared" ref="U3" si="18">SUM(U4:U5)</f>
        <v>4890.4686892799982</v>
      </c>
      <c r="V3" s="79">
        <f t="shared" ref="V3:W3" si="19">SUM(V4:V5)</f>
        <v>1836.46311156</v>
      </c>
      <c r="W3" s="79">
        <f t="shared" si="19"/>
        <v>2348.9329575600009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345.9353752799999</v>
      </c>
      <c r="C4" s="96">
        <f t="shared" si="20"/>
        <v>355.55335200000013</v>
      </c>
      <c r="D4" s="96">
        <f t="shared" ref="D4:V4" si="21">SUM(D7,D11)</f>
        <v>378.10043676000009</v>
      </c>
      <c r="E4" s="96">
        <f t="shared" si="21"/>
        <v>352.45224000000013</v>
      </c>
      <c r="F4" s="96">
        <f t="shared" si="21"/>
        <v>397.40670504000008</v>
      </c>
      <c r="G4" s="96">
        <f t="shared" si="21"/>
        <v>413.36656200000016</v>
      </c>
      <c r="H4" s="96">
        <f t="shared" si="21"/>
        <v>403.81868952000008</v>
      </c>
      <c r="I4" s="96">
        <f t="shared" si="21"/>
        <v>401.89751676000003</v>
      </c>
      <c r="J4" s="96">
        <f t="shared" si="21"/>
        <v>370.98037296000007</v>
      </c>
      <c r="K4" s="96">
        <f t="shared" si="21"/>
        <v>346.24691675999992</v>
      </c>
      <c r="L4" s="96">
        <f t="shared" si="21"/>
        <v>411.16114152000023</v>
      </c>
      <c r="M4" s="96">
        <f t="shared" si="21"/>
        <v>364.79720303999994</v>
      </c>
      <c r="N4" s="96">
        <f t="shared" si="21"/>
        <v>364.80884400000002</v>
      </c>
      <c r="O4" s="96">
        <f t="shared" si="21"/>
        <v>370.98037296000012</v>
      </c>
      <c r="P4" s="96">
        <f t="shared" si="21"/>
        <v>358.62541524000011</v>
      </c>
      <c r="Q4" s="96">
        <f t="shared" si="21"/>
        <v>377.17570152000019</v>
      </c>
      <c r="R4" s="96">
        <f t="shared" si="21"/>
        <v>420.45944400000013</v>
      </c>
      <c r="S4" s="96">
        <f t="shared" si="21"/>
        <v>507.08642292000008</v>
      </c>
      <c r="T4" s="96">
        <f t="shared" si="21"/>
        <v>538.60807223999996</v>
      </c>
      <c r="U4" s="96">
        <f t="shared" si="21"/>
        <v>500.96575152000014</v>
      </c>
      <c r="V4" s="96">
        <f t="shared" si="21"/>
        <v>261.78926436</v>
      </c>
      <c r="W4" s="96">
        <f t="shared" ref="W4" si="22">SUM(W7,W11)</f>
        <v>344.55287304000012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2022.9992222400006</v>
      </c>
      <c r="C5" s="96">
        <f t="shared" si="23"/>
        <v>1946.0546319600003</v>
      </c>
      <c r="D5" s="96">
        <f t="shared" ref="D5:V5" si="24">SUM(D8:D9,D12:D13)</f>
        <v>1888.3462539600002</v>
      </c>
      <c r="E5" s="96">
        <f t="shared" si="24"/>
        <v>2032.6171989600002</v>
      </c>
      <c r="F5" s="96">
        <f t="shared" si="24"/>
        <v>2189.7123717600002</v>
      </c>
      <c r="G5" s="96">
        <f t="shared" si="24"/>
        <v>2269.8629542799999</v>
      </c>
      <c r="H5" s="96">
        <f t="shared" si="24"/>
        <v>2404.5156637199998</v>
      </c>
      <c r="I5" s="96">
        <f t="shared" si="24"/>
        <v>2538.2857287600004</v>
      </c>
      <c r="J5" s="96">
        <f t="shared" si="24"/>
        <v>2631.0366424800004</v>
      </c>
      <c r="K5" s="96">
        <f t="shared" si="24"/>
        <v>2467.1766862799996</v>
      </c>
      <c r="L5" s="96">
        <f t="shared" si="24"/>
        <v>2643.4034999999999</v>
      </c>
      <c r="M5" s="96">
        <f t="shared" si="24"/>
        <v>2754.7047000000002</v>
      </c>
      <c r="N5" s="96">
        <f t="shared" si="24"/>
        <v>2779.4384150400001</v>
      </c>
      <c r="O5" s="96">
        <f t="shared" si="24"/>
        <v>2810.3553000000002</v>
      </c>
      <c r="P5" s="96">
        <f t="shared" si="24"/>
        <v>2909.2896424800001</v>
      </c>
      <c r="Q5" s="96">
        <f t="shared" si="24"/>
        <v>3150.4423287600007</v>
      </c>
      <c r="R5" s="96">
        <f t="shared" si="24"/>
        <v>3459.6122137200023</v>
      </c>
      <c r="S5" s="96">
        <f t="shared" si="24"/>
        <v>3854.7099899999985</v>
      </c>
      <c r="T5" s="96">
        <f t="shared" si="24"/>
        <v>4105.691089920002</v>
      </c>
      <c r="U5" s="96">
        <f t="shared" si="24"/>
        <v>4389.5029377599985</v>
      </c>
      <c r="V5" s="96">
        <f t="shared" si="24"/>
        <v>1574.6738472</v>
      </c>
      <c r="W5" s="96">
        <f t="shared" ref="W5" si="25">SUM(W8:W9,W12:W13)</f>
        <v>2004.3800845200008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2309.6401746890015</v>
      </c>
      <c r="C6" s="21">
        <f t="shared" si="26"/>
        <v>2246.8874113088091</v>
      </c>
      <c r="D6" s="21">
        <f t="shared" ref="D6:V6" si="27">SUM(D7:D9)</f>
        <v>2211.4081803492404</v>
      </c>
      <c r="E6" s="21">
        <f t="shared" si="27"/>
        <v>2333.3577357790018</v>
      </c>
      <c r="F6" s="21">
        <f t="shared" si="27"/>
        <v>2528.8075142022244</v>
      </c>
      <c r="G6" s="21">
        <f t="shared" si="27"/>
        <v>2621.5769564826742</v>
      </c>
      <c r="H6" s="21">
        <f t="shared" si="27"/>
        <v>2732.9874972403823</v>
      </c>
      <c r="I6" s="21">
        <f t="shared" si="27"/>
        <v>2860.8952524067308</v>
      </c>
      <c r="J6" s="21">
        <f t="shared" si="27"/>
        <v>2913.6054795194459</v>
      </c>
      <c r="K6" s="21">
        <f t="shared" si="27"/>
        <v>2731.2791567716722</v>
      </c>
      <c r="L6" s="21">
        <f t="shared" si="27"/>
        <v>2959.146273059966</v>
      </c>
      <c r="M6" s="21">
        <f t="shared" si="27"/>
        <v>3041.0009449127483</v>
      </c>
      <c r="N6" s="21">
        <f t="shared" si="27"/>
        <v>3066.6115231006688</v>
      </c>
      <c r="O6" s="21">
        <f t="shared" si="27"/>
        <v>3109.6969623201162</v>
      </c>
      <c r="P6" s="21">
        <f t="shared" si="27"/>
        <v>3205.9381537036807</v>
      </c>
      <c r="Q6" s="21">
        <f t="shared" si="27"/>
        <v>3467.843839756852</v>
      </c>
      <c r="R6" s="21">
        <f t="shared" si="27"/>
        <v>3828.1620259412662</v>
      </c>
      <c r="S6" s="21">
        <f t="shared" si="27"/>
        <v>4297.2834312251889</v>
      </c>
      <c r="T6" s="21">
        <f t="shared" si="27"/>
        <v>4581.9215315934489</v>
      </c>
      <c r="U6" s="21">
        <f t="shared" si="27"/>
        <v>4837.2485045954609</v>
      </c>
      <c r="V6" s="21">
        <f t="shared" si="27"/>
        <v>1786.6279457129726</v>
      </c>
      <c r="W6" s="21">
        <f t="shared" ref="W6" si="28">SUM(W7:W9)</f>
        <v>2288.654131097283</v>
      </c>
      <c r="DA6" s="189" t="s">
        <v>326</v>
      </c>
    </row>
    <row r="7" spans="1:105" ht="11.45" customHeight="1" x14ac:dyDescent="0.25">
      <c r="A7" s="83" t="s">
        <v>27</v>
      </c>
      <c r="B7" s="96">
        <v>329.00324046652173</v>
      </c>
      <c r="C7" s="96">
        <v>339.98968069826776</v>
      </c>
      <c r="D7" s="96">
        <v>362.72987531492129</v>
      </c>
      <c r="E7" s="96">
        <v>338.21371672363341</v>
      </c>
      <c r="F7" s="96">
        <v>382.78311853540157</v>
      </c>
      <c r="G7" s="96">
        <v>397.54333001441375</v>
      </c>
      <c r="H7" s="96">
        <v>386.90369751408082</v>
      </c>
      <c r="I7" s="96">
        <v>384.26837227104897</v>
      </c>
      <c r="J7" s="96">
        <v>354.30174617753613</v>
      </c>
      <c r="K7" s="96">
        <v>329.60324958353561</v>
      </c>
      <c r="L7" s="96">
        <v>392.97928365459848</v>
      </c>
      <c r="M7" s="96">
        <v>353.62020268702366</v>
      </c>
      <c r="N7" s="96">
        <v>354.37126645407955</v>
      </c>
      <c r="O7" s="96">
        <v>361.51743492204514</v>
      </c>
      <c r="P7" s="96">
        <v>351.21664338514296</v>
      </c>
      <c r="Q7" s="96">
        <v>370.54250968403306</v>
      </c>
      <c r="R7" s="96">
        <v>416.22793014966101</v>
      </c>
      <c r="S7" s="96">
        <v>501.20168513376501</v>
      </c>
      <c r="T7" s="96">
        <v>532.58882577873737</v>
      </c>
      <c r="U7" s="96">
        <v>495.02082856865616</v>
      </c>
      <c r="V7" s="96">
        <v>256.30951283985524</v>
      </c>
      <c r="W7" s="96">
        <v>338.26112084249752</v>
      </c>
      <c r="DA7" s="171" t="s">
        <v>327</v>
      </c>
    </row>
    <row r="8" spans="1:105" ht="11.45" customHeight="1" x14ac:dyDescent="0.25">
      <c r="A8" s="83" t="s">
        <v>173</v>
      </c>
      <c r="B8" s="96">
        <v>1158.8890311317589</v>
      </c>
      <c r="C8" s="96">
        <v>1115.7595228080331</v>
      </c>
      <c r="D8" s="96">
        <v>1081.7010014055481</v>
      </c>
      <c r="E8" s="96">
        <v>1155.0820150013089</v>
      </c>
      <c r="F8" s="96">
        <v>1284.2300663981607</v>
      </c>
      <c r="G8" s="96">
        <v>1339.4458596816476</v>
      </c>
      <c r="H8" s="96">
        <v>1432.3670817100701</v>
      </c>
      <c r="I8" s="96">
        <v>1544.4001389553323</v>
      </c>
      <c r="J8" s="96">
        <v>1583.4840735943301</v>
      </c>
      <c r="K8" s="96">
        <v>1443.3431493660671</v>
      </c>
      <c r="L8" s="96">
        <v>1536.4729484983652</v>
      </c>
      <c r="M8" s="96">
        <v>1620.0957672441634</v>
      </c>
      <c r="N8" s="96">
        <v>1607.6869079385228</v>
      </c>
      <c r="O8" s="96">
        <v>1639.8614050035849</v>
      </c>
      <c r="P8" s="96">
        <v>1729.2396275830486</v>
      </c>
      <c r="Q8" s="96">
        <v>1889.1649603605156</v>
      </c>
      <c r="R8" s="96">
        <v>2144.8877553406114</v>
      </c>
      <c r="S8" s="96">
        <v>2436.7667540382499</v>
      </c>
      <c r="T8" s="96">
        <v>2572.8673043744743</v>
      </c>
      <c r="U8" s="96">
        <v>2748.915168462619</v>
      </c>
      <c r="V8" s="96">
        <v>818.51529969590604</v>
      </c>
      <c r="W8" s="96">
        <v>1127.0497092116802</v>
      </c>
      <c r="DA8" s="171" t="s">
        <v>328</v>
      </c>
    </row>
    <row r="9" spans="1:105" ht="11.45" customHeight="1" x14ac:dyDescent="0.25">
      <c r="A9" s="83" t="s">
        <v>174</v>
      </c>
      <c r="B9" s="96">
        <v>821.7479030907208</v>
      </c>
      <c r="C9" s="96">
        <v>791.13820780250808</v>
      </c>
      <c r="D9" s="96">
        <v>766.97730362877098</v>
      </c>
      <c r="E9" s="96">
        <v>840.06200405405946</v>
      </c>
      <c r="F9" s="96">
        <v>861.79432926866207</v>
      </c>
      <c r="G9" s="96">
        <v>884.58776678661275</v>
      </c>
      <c r="H9" s="96">
        <v>913.71671801623131</v>
      </c>
      <c r="I9" s="96">
        <v>932.22674118034956</v>
      </c>
      <c r="J9" s="96">
        <v>975.81965974757964</v>
      </c>
      <c r="K9" s="96">
        <v>958.3327578220692</v>
      </c>
      <c r="L9" s="96">
        <v>1029.6940409070025</v>
      </c>
      <c r="M9" s="96">
        <v>1067.2849749815612</v>
      </c>
      <c r="N9" s="96">
        <v>1104.5533487080663</v>
      </c>
      <c r="O9" s="96">
        <v>1108.3181223944862</v>
      </c>
      <c r="P9" s="96">
        <v>1125.4818827354891</v>
      </c>
      <c r="Q9" s="96">
        <v>1208.1363697123033</v>
      </c>
      <c r="R9" s="96">
        <v>1267.0463404509937</v>
      </c>
      <c r="S9" s="96">
        <v>1359.3149920531744</v>
      </c>
      <c r="T9" s="96">
        <v>1476.4654014402377</v>
      </c>
      <c r="U9" s="96">
        <v>1593.3125075641858</v>
      </c>
      <c r="V9" s="96">
        <v>711.80313317721118</v>
      </c>
      <c r="W9" s="96">
        <v>823.34330104310504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59.294422830998897</v>
      </c>
      <c r="C10" s="22">
        <f t="shared" si="29"/>
        <v>54.720572651191475</v>
      </c>
      <c r="D10" s="22">
        <f t="shared" ref="D10:V10" si="30">SUM(D11:D13)</f>
        <v>55.038510370759823</v>
      </c>
      <c r="E10" s="22">
        <f t="shared" si="30"/>
        <v>51.711703180998335</v>
      </c>
      <c r="F10" s="22">
        <f t="shared" si="30"/>
        <v>58.311562597776089</v>
      </c>
      <c r="G10" s="22">
        <f t="shared" si="30"/>
        <v>61.65255979732629</v>
      </c>
      <c r="H10" s="22">
        <f t="shared" si="30"/>
        <v>75.346855999617816</v>
      </c>
      <c r="I10" s="22">
        <f t="shared" si="30"/>
        <v>79.28799311326955</v>
      </c>
      <c r="J10" s="22">
        <f t="shared" si="30"/>
        <v>88.411535920554613</v>
      </c>
      <c r="K10" s="22">
        <f t="shared" si="30"/>
        <v>82.144446268327613</v>
      </c>
      <c r="L10" s="22">
        <f t="shared" si="30"/>
        <v>95.418368460034316</v>
      </c>
      <c r="M10" s="22">
        <f t="shared" si="30"/>
        <v>78.500958127251849</v>
      </c>
      <c r="N10" s="22">
        <f t="shared" si="30"/>
        <v>77.635735939331511</v>
      </c>
      <c r="O10" s="22">
        <f t="shared" si="30"/>
        <v>71.638710639883783</v>
      </c>
      <c r="P10" s="22">
        <f t="shared" si="30"/>
        <v>61.976904016319658</v>
      </c>
      <c r="Q10" s="22">
        <f t="shared" si="30"/>
        <v>59.774190523148846</v>
      </c>
      <c r="R10" s="22">
        <f t="shared" si="30"/>
        <v>51.909631778736099</v>
      </c>
      <c r="S10" s="22">
        <f t="shared" si="30"/>
        <v>64.512981694809383</v>
      </c>
      <c r="T10" s="22">
        <f t="shared" si="30"/>
        <v>62.377630566553158</v>
      </c>
      <c r="U10" s="22">
        <f t="shared" si="30"/>
        <v>53.220184684537699</v>
      </c>
      <c r="V10" s="22">
        <f t="shared" si="30"/>
        <v>49.835165847027412</v>
      </c>
      <c r="W10" s="22">
        <f t="shared" ref="W10" si="31">SUM(W11:W13)</f>
        <v>60.278826462718087</v>
      </c>
      <c r="DA10" s="193" t="s">
        <v>330</v>
      </c>
    </row>
    <row r="11" spans="1:105" ht="11.45" customHeight="1" x14ac:dyDescent="0.25">
      <c r="A11" s="92" t="s">
        <v>27</v>
      </c>
      <c r="B11" s="97">
        <v>16.932134813478164</v>
      </c>
      <c r="C11" s="97">
        <v>15.56367130173235</v>
      </c>
      <c r="D11" s="97">
        <v>15.370561445078826</v>
      </c>
      <c r="E11" s="97">
        <v>14.23852327636672</v>
      </c>
      <c r="F11" s="97">
        <v>14.623586504598528</v>
      </c>
      <c r="G11" s="97">
        <v>15.823231985586398</v>
      </c>
      <c r="H11" s="97">
        <v>16.914992005919242</v>
      </c>
      <c r="I11" s="97">
        <v>17.629144488951056</v>
      </c>
      <c r="J11" s="97">
        <v>16.678626782463965</v>
      </c>
      <c r="K11" s="97">
        <v>16.643667176464287</v>
      </c>
      <c r="L11" s="97">
        <v>18.181857865401746</v>
      </c>
      <c r="M11" s="97">
        <v>11.177000352976288</v>
      </c>
      <c r="N11" s="97">
        <v>10.437577545920455</v>
      </c>
      <c r="O11" s="97">
        <v>9.4629380379549666</v>
      </c>
      <c r="P11" s="97">
        <v>7.4087718548571617</v>
      </c>
      <c r="Q11" s="97">
        <v>6.6331918359671285</v>
      </c>
      <c r="R11" s="97">
        <v>4.231513850339141</v>
      </c>
      <c r="S11" s="97">
        <v>5.8847377862350916</v>
      </c>
      <c r="T11" s="97">
        <v>6.0192464612625809</v>
      </c>
      <c r="U11" s="97">
        <v>5.9449229513439645</v>
      </c>
      <c r="V11" s="97">
        <v>5.4797515201447631</v>
      </c>
      <c r="W11" s="97">
        <v>6.2917521975025794</v>
      </c>
      <c r="DA11" s="175" t="s">
        <v>331</v>
      </c>
    </row>
    <row r="12" spans="1:105" ht="11.45" customHeight="1" x14ac:dyDescent="0.25">
      <c r="A12" s="92" t="s">
        <v>173</v>
      </c>
      <c r="B12" s="97">
        <v>26.078299366493987</v>
      </c>
      <c r="C12" s="97">
        <v>23.431376535806979</v>
      </c>
      <c r="D12" s="97">
        <v>23.615389348607152</v>
      </c>
      <c r="E12" s="97">
        <v>21.649167059818204</v>
      </c>
      <c r="F12" s="97">
        <v>25.15667149303318</v>
      </c>
      <c r="G12" s="97">
        <v>24.79340141951079</v>
      </c>
      <c r="H12" s="97">
        <v>30.485474804959011</v>
      </c>
      <c r="I12" s="97">
        <v>30.063936519993383</v>
      </c>
      <c r="J12" s="97">
        <v>29.96815498416176</v>
      </c>
      <c r="K12" s="97">
        <v>26.353366372591669</v>
      </c>
      <c r="L12" s="97">
        <v>27.809292590449495</v>
      </c>
      <c r="M12" s="97">
        <v>22.480523228420079</v>
      </c>
      <c r="N12" s="97">
        <v>20.050253473611555</v>
      </c>
      <c r="O12" s="97">
        <v>17.00306308989218</v>
      </c>
      <c r="P12" s="97">
        <v>15.715861450970824</v>
      </c>
      <c r="Q12" s="97">
        <v>16.668106367380283</v>
      </c>
      <c r="R12" s="97">
        <v>15.89836968154213</v>
      </c>
      <c r="S12" s="97">
        <v>18.719372085763005</v>
      </c>
      <c r="T12" s="97">
        <v>19.476378137420937</v>
      </c>
      <c r="U12" s="97">
        <v>19.957427016814847</v>
      </c>
      <c r="V12" s="97">
        <v>15.432497459902383</v>
      </c>
      <c r="W12" s="97">
        <v>18.930758249602547</v>
      </c>
      <c r="DA12" s="175" t="s">
        <v>332</v>
      </c>
    </row>
    <row r="13" spans="1:105" ht="11.45" customHeight="1" x14ac:dyDescent="0.25">
      <c r="A13" s="85" t="s">
        <v>174</v>
      </c>
      <c r="B13" s="98">
        <v>16.28398865102675</v>
      </c>
      <c r="C13" s="98">
        <v>15.725524813652145</v>
      </c>
      <c r="D13" s="98">
        <v>16.052559577073843</v>
      </c>
      <c r="E13" s="98">
        <v>15.82401284481341</v>
      </c>
      <c r="F13" s="98">
        <v>18.531304600144381</v>
      </c>
      <c r="G13" s="98">
        <v>21.035926392229104</v>
      </c>
      <c r="H13" s="98">
        <v>27.946389188739566</v>
      </c>
      <c r="I13" s="98">
        <v>31.594912104325115</v>
      </c>
      <c r="J13" s="98">
        <v>41.764754153928891</v>
      </c>
      <c r="K13" s="98">
        <v>39.147412719271664</v>
      </c>
      <c r="L13" s="98">
        <v>49.427218004183082</v>
      </c>
      <c r="M13" s="98">
        <v>44.84343454585548</v>
      </c>
      <c r="N13" s="98">
        <v>47.147904919799494</v>
      </c>
      <c r="O13" s="98">
        <v>45.17270951203664</v>
      </c>
      <c r="P13" s="98">
        <v>38.852270710491673</v>
      </c>
      <c r="Q13" s="98">
        <v>36.472892319801431</v>
      </c>
      <c r="R13" s="98">
        <v>31.779748246854826</v>
      </c>
      <c r="S13" s="98">
        <v>39.908871822811285</v>
      </c>
      <c r="T13" s="98">
        <v>36.882005967869638</v>
      </c>
      <c r="U13" s="98">
        <v>27.317834716378883</v>
      </c>
      <c r="V13" s="98">
        <v>28.922916866980263</v>
      </c>
      <c r="W13" s="98">
        <v>35.056316015612957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3.0081134558191325</v>
      </c>
      <c r="C18" s="97">
        <f>IF(C4=0,0,C4/TrAvia_ene!C4)</f>
        <v>3.008172810142753</v>
      </c>
      <c r="D18" s="97">
        <f>IF(D4=0,0,D4/TrAvia_ene!D4)</f>
        <v>3.0089695357320378</v>
      </c>
      <c r="E18" s="97">
        <f>IF(E4=0,0,E4/TrAvia_ene!E4)</f>
        <v>3.0088720939638605</v>
      </c>
      <c r="F18" s="97">
        <f>IF(F4=0,0,F4/TrAvia_ene!F4)</f>
        <v>3.0090201983829381</v>
      </c>
      <c r="G18" s="97">
        <f>IF(G4=0,0,G4/TrAvia_ene!G4)</f>
        <v>3.0084507257336286</v>
      </c>
      <c r="H18" s="97">
        <f>IF(H4=0,0,H4/TrAvia_ene!H4)</f>
        <v>3.0090406570087658</v>
      </c>
      <c r="I18" s="97">
        <f>IF(I4=0,0,I4/TrAvia_ene!I4)</f>
        <v>3.0090573752819267</v>
      </c>
      <c r="J18" s="97">
        <f>IF(J4=0,0,J4/TrAvia_ene!J4)</f>
        <v>3.0089530964237095</v>
      </c>
      <c r="K18" s="97">
        <f>IF(K4=0,0,K4/TrAvia_ene!K4)</f>
        <v>3.008856272630803</v>
      </c>
      <c r="L18" s="97">
        <f>IF(L4=0,0,L4/TrAvia_ene!L4)</f>
        <v>3.008474074835934</v>
      </c>
      <c r="M18" s="97">
        <f>IF(M4=0,0,M4/TrAvia_ene!M4)</f>
        <v>3.0089301215285111</v>
      </c>
      <c r="N18" s="97">
        <f>IF(N4=0,0,N4/TrAvia_ene!N4)</f>
        <v>3.0096195247857387</v>
      </c>
      <c r="O18" s="97">
        <f>IF(O4=0,0,O4/TrAvia_ene!O4)</f>
        <v>3.0089530964237099</v>
      </c>
      <c r="P18" s="97">
        <f>IF(P4=0,0,P4/TrAvia_ene!P4)</f>
        <v>3.0096076361590471</v>
      </c>
      <c r="Q18" s="97">
        <f>IF(Q4=0,0,Q4/TrAvia_ene!Q4)</f>
        <v>3.0096421328834313</v>
      </c>
      <c r="R18" s="97">
        <f>IF(R4=0,0,R4/TrAvia_ene!R4)</f>
        <v>3.0097107897351063</v>
      </c>
      <c r="S18" s="97">
        <f>IF(S4=0,0,S4/TrAvia_ene!S4)</f>
        <v>3.0097083174580401</v>
      </c>
      <c r="T18" s="97">
        <f>IF(T4=0,0,T4/TrAvia_ene!T4)</f>
        <v>3.0099335692733651</v>
      </c>
      <c r="U18" s="97">
        <f>IF(U4=0,0,U4/TrAvia_ene!U4)</f>
        <v>3.0097436654686729</v>
      </c>
      <c r="V18" s="97">
        <f>IF(V4=0,0,V4/TrAvia_ene!V4)</f>
        <v>3.009274246306668</v>
      </c>
      <c r="W18" s="97">
        <f>IF(W4=0,0,W4/TrAvia_ene!W4)</f>
        <v>3.0094417333609713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3.0103092000000014</v>
      </c>
      <c r="D19" s="98">
        <f>IF(D5=0,0,D5/TrAvia_ene!D5)</f>
        <v>3.0103092000000014</v>
      </c>
      <c r="E19" s="98">
        <f>IF(E5=0,0,E5/TrAvia_ene!E5)</f>
        <v>3.0103092000000014</v>
      </c>
      <c r="F19" s="98">
        <f>IF(F5=0,0,F5/TrAvia_ene!F5)</f>
        <v>3.0103092000000005</v>
      </c>
      <c r="G19" s="98">
        <f>IF(G5=0,0,G5/TrAvia_ene!G5)</f>
        <v>3.0103092</v>
      </c>
      <c r="H19" s="98">
        <f>IF(H5=0,0,H5/TrAvia_ene!H5)</f>
        <v>3.0103091999999991</v>
      </c>
      <c r="I19" s="98">
        <f>IF(I5=0,0,I5/TrAvia_ene!I5)</f>
        <v>3.0103092000000014</v>
      </c>
      <c r="J19" s="98">
        <f>IF(J5=0,0,J5/TrAvia_ene!J5)</f>
        <v>3.0103092</v>
      </c>
      <c r="K19" s="98">
        <f>IF(K5=0,0,K5/TrAvia_ene!K5)</f>
        <v>3.0103091999999996</v>
      </c>
      <c r="L19" s="98">
        <f>IF(L5=0,0,L5/TrAvia_ene!L5)</f>
        <v>3.0103091999999996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3.0103091999999991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12958.194513716415</v>
      </c>
      <c r="C21" s="54">
        <f>IF(C3=0,0,C3/TrAvia_act!C13*1000)</f>
        <v>12983.929567998393</v>
      </c>
      <c r="D21" s="54">
        <f>IF(D3=0,0,D3/TrAvia_act!D13*1000)</f>
        <v>12997.113685302853</v>
      </c>
      <c r="E21" s="54">
        <f>IF(E3=0,0,E3/TrAvia_act!E13*1000)</f>
        <v>13385.348989498847</v>
      </c>
      <c r="F21" s="54">
        <f>IF(F3=0,0,F3/TrAvia_act!F13*1000)</f>
        <v>14218.538657133651</v>
      </c>
      <c r="G21" s="54">
        <f>IF(G3=0,0,G3/TrAvia_act!G13*1000)</f>
        <v>13468.089433100087</v>
      </c>
      <c r="H21" s="54">
        <f>IF(H3=0,0,H3/TrAvia_act!H13*1000)</f>
        <v>12935.805195101178</v>
      </c>
      <c r="I21" s="54">
        <f>IF(I3=0,0,I3/TrAvia_act!I13*1000)</f>
        <v>12380.570099788711</v>
      </c>
      <c r="J21" s="54">
        <f>IF(J3=0,0,J3/TrAvia_act!J13*1000)</f>
        <v>12692.436110917975</v>
      </c>
      <c r="K21" s="54">
        <f>IF(K3=0,0,K3/TrAvia_act!K13*1000)</f>
        <v>12892.918802373546</v>
      </c>
      <c r="L21" s="54">
        <f>IF(L3=0,0,L3/TrAvia_act!L13*1000)</f>
        <v>13268.055358044974</v>
      </c>
      <c r="M21" s="54">
        <f>IF(M3=0,0,M3/TrAvia_act!M13*1000)</f>
        <v>13172.172284705117</v>
      </c>
      <c r="N21" s="54">
        <f>IF(N3=0,0,N3/TrAvia_act!N13*1000)</f>
        <v>13200.189700968192</v>
      </c>
      <c r="O21" s="54">
        <f>IF(O3=0,0,O3/TrAvia_act!O13*1000)</f>
        <v>13019.6042844517</v>
      </c>
      <c r="P21" s="54">
        <f>IF(P3=0,0,P3/TrAvia_act!P13*1000)</f>
        <v>12570.423155417237</v>
      </c>
      <c r="Q21" s="54">
        <f>IF(Q3=0,0,Q3/TrAvia_act!Q13*1000)</f>
        <v>12838.684493961757</v>
      </c>
      <c r="R21" s="54">
        <f>IF(R3=0,0,R3/TrAvia_act!R13*1000)</f>
        <v>12614.898059046653</v>
      </c>
      <c r="S21" s="54">
        <f>IF(S3=0,0,S3/TrAvia_act!S13*1000)</f>
        <v>12682.712791109405</v>
      </c>
      <c r="T21" s="54">
        <f>IF(T3=0,0,T3/TrAvia_act!T13*1000)</f>
        <v>12320.125260154593</v>
      </c>
      <c r="U21" s="54">
        <f>IF(U3=0,0,U3/TrAvia_act!U13*1000)</f>
        <v>12120.364162937327</v>
      </c>
      <c r="V21" s="54">
        <f>IF(V3=0,0,V3/TrAvia_act!V13*1000)</f>
        <v>11457.314704301672</v>
      </c>
      <c r="W21" s="54">
        <f>IF(W3=0,0,W3/TrAvia_act!W13*1000)</f>
        <v>11055.086907247502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12932.390257718911</v>
      </c>
      <c r="C22" s="11">
        <f>IF(C6=0,0,C6/TrAvia_act!C14*1000)</f>
        <v>12959.321070624032</v>
      </c>
      <c r="D22" s="11">
        <f>IF(D6=0,0,D6/TrAvia_act!D14*1000)</f>
        <v>12974.124183949836</v>
      </c>
      <c r="E22" s="11">
        <f>IF(E6=0,0,E6/TrAvia_act!E14*1000)</f>
        <v>13362.571890024859</v>
      </c>
      <c r="F22" s="11">
        <f>IF(F6=0,0,F6/TrAvia_act!F14*1000)</f>
        <v>14196.125933978203</v>
      </c>
      <c r="G22" s="11">
        <f>IF(G6=0,0,G6/TrAvia_act!G14*1000)</f>
        <v>13447.355944683852</v>
      </c>
      <c r="H22" s="11">
        <f>IF(H6=0,0,H6/TrAvia_act!H14*1000)</f>
        <v>12923.948102242788</v>
      </c>
      <c r="I22" s="11">
        <f>IF(I6=0,0,I6/TrAvia_act!I14*1000)</f>
        <v>12370.043596147452</v>
      </c>
      <c r="J22" s="11">
        <f>IF(J6=0,0,J6/TrAvia_act!J14*1000)</f>
        <v>12681.345507722986</v>
      </c>
      <c r="K22" s="11">
        <f>IF(K6=0,0,K6/TrAvia_act!K14*1000)</f>
        <v>12872.039239855145</v>
      </c>
      <c r="L22" s="11">
        <f>IF(L6=0,0,L6/TrAvia_act!L14*1000)</f>
        <v>13248.404511723666</v>
      </c>
      <c r="M22" s="11">
        <f>IF(M6=0,0,M6/TrAvia_act!M14*1000)</f>
        <v>13162.089378420791</v>
      </c>
      <c r="N22" s="11">
        <f>IF(N6=0,0,N6/TrAvia_act!N14*1000)</f>
        <v>13190.487655549039</v>
      </c>
      <c r="O22" s="11">
        <f>IF(O6=0,0,O6/TrAvia_act!O14*1000)</f>
        <v>13005.343209506937</v>
      </c>
      <c r="P22" s="11">
        <f>IF(P6=0,0,P6/TrAvia_act!P14*1000)</f>
        <v>12564.646341064001</v>
      </c>
      <c r="Q22" s="11">
        <f>IF(Q6=0,0,Q6/TrAvia_act!Q14*1000)</f>
        <v>12831.760299930975</v>
      </c>
      <c r="R22" s="11">
        <f>IF(R6=0,0,R6/TrAvia_act!R14*1000)</f>
        <v>12606.67000981389</v>
      </c>
      <c r="S22" s="11">
        <f>IF(S6=0,0,S6/TrAvia_act!S14*1000)</f>
        <v>12682.160052946454</v>
      </c>
      <c r="T22" s="11">
        <f>IF(T6=0,0,T6/TrAvia_act!T14*1000)</f>
        <v>12325.499637070729</v>
      </c>
      <c r="U22" s="11">
        <f>IF(U6=0,0,U6/TrAvia_act!U14*1000)</f>
        <v>12145.487264008061</v>
      </c>
      <c r="V22" s="11">
        <f>IF(V6=0,0,V6/TrAvia_act!V14*1000)</f>
        <v>11477.181527426925</v>
      </c>
      <c r="W22" s="11">
        <f>IF(W6=0,0,W6/TrAvia_act!W14*1000)</f>
        <v>11080.777929557828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15392.400254475637</v>
      </c>
      <c r="C23" s="84">
        <f>IF(C7=0,0,C7/TrAvia_act!C15*1000)</f>
        <v>15460.866761953688</v>
      </c>
      <c r="D23" s="84">
        <f>IF(D7=0,0,D7/TrAvia_act!D15*1000)</f>
        <v>15499.881779539366</v>
      </c>
      <c r="E23" s="84">
        <f>IF(E7=0,0,E7/TrAvia_act!E15*1000)</f>
        <v>14832.444866612896</v>
      </c>
      <c r="F23" s="84">
        <f>IF(F7=0,0,F7/TrAvia_act!F15*1000)</f>
        <v>14868.654311791548</v>
      </c>
      <c r="G23" s="84">
        <f>IF(G7=0,0,G7/TrAvia_act!G15*1000)</f>
        <v>14495.764142882794</v>
      </c>
      <c r="H23" s="84">
        <f>IF(H7=0,0,H7/TrAvia_act!H15*1000)</f>
        <v>16170.814113772283</v>
      </c>
      <c r="I23" s="84">
        <f>IF(I7=0,0,I7/TrAvia_act!I15*1000)</f>
        <v>16965.911144419952</v>
      </c>
      <c r="J23" s="84">
        <f>IF(J7=0,0,J7/TrAvia_act!J15*1000)</f>
        <v>14832.039437457637</v>
      </c>
      <c r="K23" s="84">
        <f>IF(K7=0,0,K7/TrAvia_act!K15*1000)</f>
        <v>14898.101773310249</v>
      </c>
      <c r="L23" s="84">
        <f>IF(L7=0,0,L7/TrAvia_act!L15*1000)</f>
        <v>17608.812755922223</v>
      </c>
      <c r="M23" s="84">
        <f>IF(M7=0,0,M7/TrAvia_act!M15*1000)</f>
        <v>16770.55207475102</v>
      </c>
      <c r="N23" s="84">
        <f>IF(N7=0,0,N7/TrAvia_act!N15*1000)</f>
        <v>17183.847642654073</v>
      </c>
      <c r="O23" s="84">
        <f>IF(O7=0,0,O7/TrAvia_act!O15*1000)</f>
        <v>17609.249578425686</v>
      </c>
      <c r="P23" s="84">
        <f>IF(P7=0,0,P7/TrAvia_act!P15*1000)</f>
        <v>16290.847024913352</v>
      </c>
      <c r="Q23" s="84">
        <f>IF(Q7=0,0,Q7/TrAvia_act!Q15*1000)</f>
        <v>15695.239604888104</v>
      </c>
      <c r="R23" s="84">
        <f>IF(R7=0,0,R7/TrAvia_act!R15*1000)</f>
        <v>12005.15025299674</v>
      </c>
      <c r="S23" s="84">
        <f>IF(S7=0,0,S7/TrAvia_act!S15*1000)</f>
        <v>14121.414570196019</v>
      </c>
      <c r="T23" s="84">
        <f>IF(T7=0,0,T7/TrAvia_act!T15*1000)</f>
        <v>14206.140166799707</v>
      </c>
      <c r="U23" s="84">
        <f>IF(U7=0,0,U7/TrAvia_act!U15*1000)</f>
        <v>12265.415532061608</v>
      </c>
      <c r="V23" s="84">
        <f>IF(V7=0,0,V7/TrAvia_act!V15*1000)</f>
        <v>12801.253579354479</v>
      </c>
      <c r="W23" s="84">
        <f>IF(W7=0,0,W7/TrAvia_act!W15*1000)</f>
        <v>11961.248212178798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10582.907988811401</v>
      </c>
      <c r="C24" s="84">
        <f>IF(C8=0,0,C8/TrAvia_act!C16*1000)</f>
        <v>10581.27813740276</v>
      </c>
      <c r="D24" s="84">
        <f>IF(D8=0,0,D8/TrAvia_act!D16*1000)</f>
        <v>10561.300118424791</v>
      </c>
      <c r="E24" s="84">
        <f>IF(E8=0,0,E8/TrAvia_act!E16*1000)</f>
        <v>11008.375814821542</v>
      </c>
      <c r="F24" s="84">
        <f>IF(F8=0,0,F8/TrAvia_act!F16*1000)</f>
        <v>11903.937049301076</v>
      </c>
      <c r="G24" s="84">
        <f>IF(G8=0,0,G8/TrAvia_act!G16*1000)</f>
        <v>11522.402452894345</v>
      </c>
      <c r="H24" s="84">
        <f>IF(H8=0,0,H8/TrAvia_act!H16*1000)</f>
        <v>10798.191910447611</v>
      </c>
      <c r="I24" s="84">
        <f>IF(I8=0,0,I8/TrAvia_act!I16*1000)</f>
        <v>10632.855322322375</v>
      </c>
      <c r="J24" s="84">
        <f>IF(J8=0,0,J8/TrAvia_act!J16*1000)</f>
        <v>11204.387015430102</v>
      </c>
      <c r="K24" s="84">
        <f>IF(K8=0,0,K8/TrAvia_act!K16*1000)</f>
        <v>11227.670046681944</v>
      </c>
      <c r="L24" s="84">
        <f>IF(L8=0,0,L8/TrAvia_act!L16*1000)</f>
        <v>11433.947455699081</v>
      </c>
      <c r="M24" s="84">
        <f>IF(M8=0,0,M8/TrAvia_act!M16*1000)</f>
        <v>11600.807945807162</v>
      </c>
      <c r="N24" s="84">
        <f>IF(N8=0,0,N8/TrAvia_act!N16*1000)</f>
        <v>11595.341384357273</v>
      </c>
      <c r="O24" s="84">
        <f>IF(O8=0,0,O8/TrAvia_act!O16*1000)</f>
        <v>11212.117438857927</v>
      </c>
      <c r="P24" s="84">
        <f>IF(P8=0,0,P8/TrAvia_act!P16*1000)</f>
        <v>11048.361475579737</v>
      </c>
      <c r="Q24" s="84">
        <f>IF(Q8=0,0,Q8/TrAvia_act!Q16*1000)</f>
        <v>11250.956109679526</v>
      </c>
      <c r="R24" s="84">
        <f>IF(R8=0,0,R8/TrAvia_act!R16*1000)</f>
        <v>11608.49073022634</v>
      </c>
      <c r="S24" s="84">
        <f>IF(S8=0,0,S8/TrAvia_act!S16*1000)</f>
        <v>11820.961410714752</v>
      </c>
      <c r="T24" s="84">
        <f>IF(T8=0,0,T8/TrAvia_act!T16*1000)</f>
        <v>11656.848183620717</v>
      </c>
      <c r="U24" s="84">
        <f>IF(U8=0,0,U8/TrAvia_act!U16*1000)</f>
        <v>12176.119660579983</v>
      </c>
      <c r="V24" s="84">
        <f>IF(V8=0,0,V8/TrAvia_act!V16*1000)</f>
        <v>9163.3938367807659</v>
      </c>
      <c r="W24" s="84">
        <f>IF(W8=0,0,W8/TrAvia_act!W16*1000)</f>
        <v>9508.038071603034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17222.607512200146</v>
      </c>
      <c r="C25" s="84">
        <f>IF(C9=0,0,C9/TrAvia_act!C17*1000)</f>
        <v>17219.951840196525</v>
      </c>
      <c r="D25" s="84">
        <f>IF(D9=0,0,D9/TrAvia_act!D17*1000)</f>
        <v>17187.441675037808</v>
      </c>
      <c r="E25" s="84">
        <f>IF(E9=0,0,E9/TrAvia_act!E17*1000)</f>
        <v>17915.949227760462</v>
      </c>
      <c r="F25" s="84">
        <f>IF(F9=0,0,F9/TrAvia_act!F17*1000)</f>
        <v>19363.322025454254</v>
      </c>
      <c r="G25" s="84">
        <f>IF(G9=0,0,G9/TrAvia_act!G17*1000)</f>
        <v>17250.414815218748</v>
      </c>
      <c r="H25" s="84">
        <f>IF(H9=0,0,H9/TrAvia_act!H17*1000)</f>
        <v>16645.692721877182</v>
      </c>
      <c r="I25" s="84">
        <f>IF(I9=0,0,I9/TrAvia_act!I17*1000)</f>
        <v>14708.827895355624</v>
      </c>
      <c r="J25" s="84">
        <f>IF(J9=0,0,J9/TrAvia_act!J17*1000)</f>
        <v>15119.496073475129</v>
      </c>
      <c r="K25" s="84">
        <f>IF(K9=0,0,K9/TrAvia_act!K17*1000)</f>
        <v>15579.908081906349</v>
      </c>
      <c r="L25" s="84">
        <f>IF(L9=0,0,L9/TrAvia_act!L17*1000)</f>
        <v>15446.184864627034</v>
      </c>
      <c r="M25" s="84">
        <f>IF(M9=0,0,M9/TrAvia_act!M17*1000)</f>
        <v>15181.229481809023</v>
      </c>
      <c r="N25" s="84">
        <f>IF(N9=0,0,N9/TrAvia_act!N17*1000)</f>
        <v>15086.463158959788</v>
      </c>
      <c r="O25" s="84">
        <f>IF(O9=0,0,O9/TrAvia_act!O17*1000)</f>
        <v>15324.930680073296</v>
      </c>
      <c r="P25" s="84">
        <f>IF(P9=0,0,P9/TrAvia_act!P17*1000)</f>
        <v>14601.318168141865</v>
      </c>
      <c r="Q25" s="84">
        <f>IF(Q9=0,0,Q9/TrAvia_act!Q17*1000)</f>
        <v>15344.40941861266</v>
      </c>
      <c r="R25" s="84">
        <f>IF(R9=0,0,R9/TrAvia_act!R17*1000)</f>
        <v>15044.128954862172</v>
      </c>
      <c r="S25" s="84">
        <f>IF(S9=0,0,S9/TrAvia_act!S17*1000)</f>
        <v>13982.856469474313</v>
      </c>
      <c r="T25" s="84">
        <f>IF(T9=0,0,T9/TrAvia_act!T17*1000)</f>
        <v>13004.382197154871</v>
      </c>
      <c r="U25" s="84">
        <f>IF(U9=0,0,U9/TrAvia_act!U17*1000)</f>
        <v>12056.531220307037</v>
      </c>
      <c r="V25" s="84">
        <f>IF(V9=0,0,V9/TrAvia_act!V17*1000)</f>
        <v>15366.701452821479</v>
      </c>
      <c r="W25" s="84">
        <f>IF(W9=0,0,W9/TrAvia_act!W17*1000)</f>
        <v>13785.234448732012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14050.201922761262</v>
      </c>
      <c r="C26" s="13">
        <f>IF(C10=0,0,C10/TrAvia_act!C18*1000)</f>
        <v>14081.911337110012</v>
      </c>
      <c r="D26" s="13">
        <f>IF(D10=0,0,D10/TrAvia_act!D18*1000)</f>
        <v>13993.382279742264</v>
      </c>
      <c r="E26" s="13">
        <f>IF(E10=0,0,E10/TrAvia_act!E18*1000)</f>
        <v>14500.63949363179</v>
      </c>
      <c r="F26" s="13">
        <f>IF(F10=0,0,F10/TrAvia_act!F18*1000)</f>
        <v>15263.602764388068</v>
      </c>
      <c r="G26" s="13">
        <f>IF(G10=0,0,G10/TrAvia_act!G18*1000)</f>
        <v>14413.024813102575</v>
      </c>
      <c r="H26" s="13">
        <f>IF(H10=0,0,H10/TrAvia_act!H18*1000)</f>
        <v>13381.099695864043</v>
      </c>
      <c r="I26" s="13">
        <f>IF(I10=0,0,I10/TrAvia_act!I18*1000)</f>
        <v>12772.756080425914</v>
      </c>
      <c r="J26" s="13">
        <f>IF(J10=0,0,J10/TrAvia_act!J18*1000)</f>
        <v>13069.102979746795</v>
      </c>
      <c r="K26" s="13">
        <f>IF(K10=0,0,K10/TrAvia_act!K18*1000)</f>
        <v>13627.926176356508</v>
      </c>
      <c r="L26" s="13">
        <f>IF(L10=0,0,L10/TrAvia_act!L18*1000)</f>
        <v>13907.806030834647</v>
      </c>
      <c r="M26" s="13">
        <f>IF(M10=0,0,M10/TrAvia_act!M18*1000)</f>
        <v>13575.021974876443</v>
      </c>
      <c r="N26" s="13">
        <f>IF(N10=0,0,N10/TrAvia_act!N18*1000)</f>
        <v>13595.178195108785</v>
      </c>
      <c r="O26" s="13">
        <f>IF(O10=0,0,O10/TrAvia_act!O18*1000)</f>
        <v>13670.3013394353</v>
      </c>
      <c r="P26" s="13">
        <f>IF(P10=0,0,P10/TrAvia_act!P18*1000)</f>
        <v>12876.666639399769</v>
      </c>
      <c r="Q26" s="13">
        <f>IF(Q10=0,0,Q10/TrAvia_act!Q18*1000)</f>
        <v>13253.602972417841</v>
      </c>
      <c r="R26" s="13">
        <f>IF(R10=0,0,R10/TrAvia_act!R18*1000)</f>
        <v>13252.788549989536</v>
      </c>
      <c r="S26" s="13">
        <f>IF(S10=0,0,S10/TrAvia_act!S18*1000)</f>
        <v>12719.640122945313</v>
      </c>
      <c r="T26" s="13">
        <f>IF(T10=0,0,T10/TrAvia_act!T18*1000)</f>
        <v>11937.771280208191</v>
      </c>
      <c r="U26" s="13">
        <f>IF(U10=0,0,U10/TrAvia_act!U18*1000)</f>
        <v>10202.243182925964</v>
      </c>
      <c r="V26" s="13">
        <f>IF(V10=0,0,V10/TrAvia_act!V18*1000)</f>
        <v>10787.852026660992</v>
      </c>
      <c r="W26" s="13">
        <f>IF(W10=0,0,W10/TrAvia_act!W18*1000)</f>
        <v>10160.653232313345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53329.058202103792</v>
      </c>
      <c r="C27" s="102">
        <f>IF(C11=0,0,C11/TrAvia_act!C19*1000)</f>
        <v>53566.269702703248</v>
      </c>
      <c r="D27" s="102">
        <f>IF(D11=0,0,D11/TrAvia_act!D19*1000)</f>
        <v>53701.442522353507</v>
      </c>
      <c r="E27" s="102">
        <f>IF(E11=0,0,E11/TrAvia_act!E19*1000)</f>
        <v>51389.016819588986</v>
      </c>
      <c r="F27" s="102">
        <f>IF(F11=0,0,F11/TrAvia_act!F19*1000)</f>
        <v>51514.469353142791</v>
      </c>
      <c r="G27" s="102">
        <f>IF(G11=0,0,G11/TrAvia_act!G19*1000)</f>
        <v>47085.85831786639</v>
      </c>
      <c r="H27" s="102">
        <f>IF(H11=0,0,H11/TrAvia_act!H19*1000)</f>
        <v>35079.23675409743</v>
      </c>
      <c r="I27" s="102">
        <f>IF(I11=0,0,I11/TrAvia_act!I19*1000)</f>
        <v>29213.756357192153</v>
      </c>
      <c r="J27" s="102">
        <f>IF(J11=0,0,J11/TrAvia_act!J19*1000)</f>
        <v>21835.638891709161</v>
      </c>
      <c r="K27" s="102">
        <f>IF(K11=0,0,K11/TrAvia_act!K19*1000)</f>
        <v>19359.367020570473</v>
      </c>
      <c r="L27" s="102">
        <f>IF(L11=0,0,L11/TrAvia_act!L19*1000)</f>
        <v>20414.746596263794</v>
      </c>
      <c r="M27" s="102">
        <f>IF(M11=0,0,M11/TrAvia_act!M19*1000)</f>
        <v>21593.080528716862</v>
      </c>
      <c r="N27" s="102">
        <f>IF(N11=0,0,N11/TrAvia_act!N19*1000)</f>
        <v>24874.11854173143</v>
      </c>
      <c r="O27" s="102">
        <f>IF(O11=0,0,O11/TrAvia_act!O19*1000)</f>
        <v>25806.429675084863</v>
      </c>
      <c r="P27" s="102">
        <f>IF(P11=0,0,P11/TrAvia_act!P19*1000)</f>
        <v>23672.631365877362</v>
      </c>
      <c r="Q27" s="102">
        <f>IF(Q11=0,0,Q11/TrAvia_act!Q19*1000)</f>
        <v>22769.08285644541</v>
      </c>
      <c r="R27" s="102">
        <f>IF(R11=0,0,R11/TrAvia_act!R19*1000)</f>
        <v>18431.565239237119</v>
      </c>
      <c r="S27" s="102">
        <f>IF(S11=0,0,S11/TrAvia_act!S19*1000)</f>
        <v>21447.957724000215</v>
      </c>
      <c r="T27" s="102">
        <f>IF(T11=0,0,T11/TrAvia_act!T19*1000)</f>
        <v>22036.890824080187</v>
      </c>
      <c r="U27" s="102">
        <f>IF(U11=0,0,U11/TrAvia_act!U19*1000)</f>
        <v>19242.055020315485</v>
      </c>
      <c r="V27" s="102">
        <f>IF(V11=0,0,V11/TrAvia_act!V19*1000)</f>
        <v>21205.958114439407</v>
      </c>
      <c r="W27" s="102">
        <f>IF(W11=0,0,W11/TrAvia_act!W19*1000)</f>
        <v>18654.146036769791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10074.326160723433</v>
      </c>
      <c r="C28" s="102">
        <f>IF(C12=0,0,C12/TrAvia_act!C20*1000)</f>
        <v>10073.209707162559</v>
      </c>
      <c r="D28" s="102">
        <f>IF(D12=0,0,D12/TrAvia_act!D20*1000)</f>
        <v>10053.832295798884</v>
      </c>
      <c r="E28" s="102">
        <f>IF(E12=0,0,E12/TrAvia_act!E20*1000)</f>
        <v>10501.446703634183</v>
      </c>
      <c r="F28" s="102">
        <f>IF(F12=0,0,F12/TrAvia_act!F20*1000)</f>
        <v>11402.13454187133</v>
      </c>
      <c r="G28" s="102">
        <f>IF(G12=0,0,G12/TrAvia_act!G20*1000)</f>
        <v>11063.189275254763</v>
      </c>
      <c r="H28" s="102">
        <f>IF(H12=0,0,H12/TrAvia_act!H20*1000)</f>
        <v>10358.660692450365</v>
      </c>
      <c r="I28" s="102">
        <f>IF(I12=0,0,I12/TrAvia_act!I20*1000)</f>
        <v>10121.368289712585</v>
      </c>
      <c r="J28" s="102">
        <f>IF(J12=0,0,J12/TrAvia_act!J20*1000)</f>
        <v>10494.008804007495</v>
      </c>
      <c r="K28" s="102">
        <f>IF(K12=0,0,K12/TrAvia_act!K20*1000)</f>
        <v>10484.9733504755</v>
      </c>
      <c r="L28" s="102">
        <f>IF(L12=0,0,L12/TrAvia_act!L20*1000)</f>
        <v>10686.789203311057</v>
      </c>
      <c r="M28" s="102">
        <f>IF(M12=0,0,M12/TrAvia_act!M20*1000)</f>
        <v>10838.610532066892</v>
      </c>
      <c r="N28" s="102">
        <f>IF(N12=0,0,N12/TrAvia_act!N20*1000)</f>
        <v>10818.120112938885</v>
      </c>
      <c r="O28" s="102">
        <f>IF(O12=0,0,O12/TrAvia_act!O20*1000)</f>
        <v>10377.095245197408</v>
      </c>
      <c r="P28" s="102">
        <f>IF(P12=0,0,P12/TrAvia_act!P20*1000)</f>
        <v>10265.942314937131</v>
      </c>
      <c r="Q28" s="102">
        <f>IF(Q12=0,0,Q12/TrAvia_act!Q20*1000)</f>
        <v>10539.007352284683</v>
      </c>
      <c r="R28" s="102">
        <f>IF(R12=0,0,R12/TrAvia_act!R20*1000)</f>
        <v>11019.621165897141</v>
      </c>
      <c r="S28" s="102">
        <f>IF(S12=0,0,S12/TrAvia_act!S20*1000)</f>
        <v>11062.640279115256</v>
      </c>
      <c r="T28" s="102">
        <f>IF(T12=0,0,T12/TrAvia_act!T20*1000)</f>
        <v>10839.188174011393</v>
      </c>
      <c r="U28" s="102">
        <f>IF(U12=0,0,U12/TrAvia_act!U20*1000)</f>
        <v>11390.62386813965</v>
      </c>
      <c r="V28" s="102">
        <f>IF(V12=0,0,V12/TrAvia_act!V20*1000)</f>
        <v>8894.2830837515667</v>
      </c>
      <c r="W28" s="102">
        <f>IF(W12=0,0,W12/TrAvia_act!W20*1000)</f>
        <v>9157.8658864318022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12391.836230454568</v>
      </c>
      <c r="C29" s="86">
        <f>IF(C13=0,0,C13/TrAvia_act!C21*1000)</f>
        <v>12389.925448215159</v>
      </c>
      <c r="D29" s="86">
        <f>IF(D13=0,0,D13/TrAvia_act!D21*1000)</f>
        <v>12366.534063247087</v>
      </c>
      <c r="E29" s="86">
        <f>IF(E13=0,0,E13/TrAvia_act!E21*1000)</f>
        <v>12890.702443650198</v>
      </c>
      <c r="F29" s="86">
        <f>IF(F13=0,0,F13/TrAvia_act!F21*1000)</f>
        <v>13932.101468782199</v>
      </c>
      <c r="G29" s="86">
        <f>IF(G13=0,0,G13/TrAvia_act!G21*1000)</f>
        <v>12370.899442392974</v>
      </c>
      <c r="H29" s="86">
        <f>IF(H13=0,0,H13/TrAvia_act!H21*1000)</f>
        <v>12670.340624795155</v>
      </c>
      <c r="I29" s="86">
        <f>IF(I13=0,0,I13/TrAvia_act!I21*1000)</f>
        <v>11995.986455744023</v>
      </c>
      <c r="J29" s="86">
        <f>IF(J13=0,0,J13/TrAvia_act!J21*1000)</f>
        <v>13278.201550070415</v>
      </c>
      <c r="K29" s="86">
        <f>IF(K13=0,0,K13/TrAvia_act!K21*1000)</f>
        <v>14747.606836578605</v>
      </c>
      <c r="L29" s="86">
        <f>IF(L13=0,0,L13/TrAvia_act!L21*1000)</f>
        <v>14675.792340002043</v>
      </c>
      <c r="M29" s="86">
        <f>IF(M13=0,0,M13/TrAvia_act!M21*1000)</f>
        <v>14053.029008666948</v>
      </c>
      <c r="N29" s="86">
        <f>IF(N13=0,0,N13/TrAvia_act!N21*1000)</f>
        <v>13715.661147257744</v>
      </c>
      <c r="O29" s="86">
        <f>IF(O13=0,0,O13/TrAvia_act!O21*1000)</f>
        <v>13962.640719198294</v>
      </c>
      <c r="P29" s="86">
        <f>IF(P13=0,0,P13/TrAvia_act!P21*1000)</f>
        <v>13084.764452457772</v>
      </c>
      <c r="Q29" s="86">
        <f>IF(Q13=0,0,Q13/TrAvia_act!Q21*1000)</f>
        <v>13830.443370924913</v>
      </c>
      <c r="R29" s="86">
        <f>IF(R13=0,0,R13/TrAvia_act!R21*1000)</f>
        <v>14158.49467684511</v>
      </c>
      <c r="S29" s="86">
        <f>IF(S13=0,0,S13/TrAvia_act!S21*1000)</f>
        <v>12851.357400911582</v>
      </c>
      <c r="T29" s="86">
        <f>IF(T13=0,0,T13/TrAvia_act!T21*1000)</f>
        <v>11689.128550560223</v>
      </c>
      <c r="U29" s="86">
        <f>IF(U13=0,0,U13/TrAvia_act!U21*1000)</f>
        <v>8657.2929982921341</v>
      </c>
      <c r="V29" s="86">
        <f>IF(V13=0,0,V13/TrAvia_act!V21*1000)</f>
        <v>11013.831285820344</v>
      </c>
      <c r="W29" s="86">
        <f>IF(W13=0,0,W13/TrAvia_act!W21*1000)</f>
        <v>9936.2278105505047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112.00612515423886</v>
      </c>
      <c r="C32" s="14">
        <f>IF(C6=0,0,C6/TrAvia_act!C4*1000)</f>
        <v>111.45596633153833</v>
      </c>
      <c r="D32" s="14">
        <f>IF(D6=0,0,D6/TrAvia_act!D4*1000)</f>
        <v>107.85957853909541</v>
      </c>
      <c r="E32" s="14">
        <f>IF(E6=0,0,E6/TrAvia_act!E4*1000)</f>
        <v>112.59462032120703</v>
      </c>
      <c r="F32" s="14">
        <f>IF(F6=0,0,F6/TrAvia_act!F4*1000)</f>
        <v>117.697198094567</v>
      </c>
      <c r="G32" s="14">
        <f>IF(G6=0,0,G6/TrAvia_act!G4*1000)</f>
        <v>113.60855251310407</v>
      </c>
      <c r="H32" s="14">
        <f>IF(H6=0,0,H6/TrAvia_act!H4*1000)</f>
        <v>112.13376732228058</v>
      </c>
      <c r="I32" s="14">
        <f>IF(I6=0,0,I6/TrAvia_act!I4*1000)</f>
        <v>106.33333613916815</v>
      </c>
      <c r="J32" s="14">
        <f>IF(J6=0,0,J6/TrAvia_act!J4*1000)</f>
        <v>104.99541101135237</v>
      </c>
      <c r="K32" s="14">
        <f>IF(K6=0,0,K6/TrAvia_act!K4*1000)</f>
        <v>101.58310386861019</v>
      </c>
      <c r="L32" s="14">
        <f>IF(L6=0,0,L6/TrAvia_act!L4*1000)</f>
        <v>102.31500497542409</v>
      </c>
      <c r="M32" s="14">
        <f>IF(M6=0,0,M6/TrAvia_act!M4*1000)</f>
        <v>98.256907389695215</v>
      </c>
      <c r="N32" s="14">
        <f>IF(N6=0,0,N6/TrAvia_act!N4*1000)</f>
        <v>95.905753844483414</v>
      </c>
      <c r="O32" s="14">
        <f>IF(O6=0,0,O6/TrAvia_act!O4*1000)</f>
        <v>92.662695994245212</v>
      </c>
      <c r="P32" s="14">
        <f>IF(P6=0,0,P6/TrAvia_act!P4*1000)</f>
        <v>88.876099843010593</v>
      </c>
      <c r="Q32" s="14">
        <f>IF(Q6=0,0,Q6/TrAvia_act!Q4*1000)</f>
        <v>90.231741800401039</v>
      </c>
      <c r="R32" s="14">
        <f>IF(R6=0,0,R6/TrAvia_act!R4*1000)</f>
        <v>88.42130674292919</v>
      </c>
      <c r="S32" s="14">
        <f>IF(S6=0,0,S6/TrAvia_act!S4*1000)</f>
        <v>84.722269780768585</v>
      </c>
      <c r="T32" s="14">
        <f>IF(T6=0,0,T6/TrAvia_act!T4*1000)</f>
        <v>82.267456499229468</v>
      </c>
      <c r="U32" s="14">
        <f>IF(U6=0,0,U6/TrAvia_act!U4*1000)</f>
        <v>78.566343948002896</v>
      </c>
      <c r="V32" s="14">
        <f>IF(V6=0,0,V6/TrAvia_act!V4*1000)</f>
        <v>93.411346572793406</v>
      </c>
      <c r="W32" s="14">
        <f>IF(W6=0,0,W6/TrAvia_act!W4*1000)</f>
        <v>93.405399199058735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143.4007039450986</v>
      </c>
      <c r="C33" s="87">
        <f>IF(C7=0,0,C7/TrAvia_act!C5*1000)</f>
        <v>143.96365545523352</v>
      </c>
      <c r="D33" s="87">
        <f>IF(D7=0,0,D7/TrAvia_act!D5*1000)</f>
        <v>151.09826965936139</v>
      </c>
      <c r="E33" s="87">
        <f>IF(E7=0,0,E7/TrAvia_act!E5*1000)</f>
        <v>144.34551840942137</v>
      </c>
      <c r="F33" s="87">
        <f>IF(F7=0,0,F7/TrAvia_act!F5*1000)</f>
        <v>155.53303823962483</v>
      </c>
      <c r="G33" s="87">
        <f>IF(G7=0,0,G7/TrAvia_act!G5*1000)</f>
        <v>157.63394984920257</v>
      </c>
      <c r="H33" s="87">
        <f>IF(H7=0,0,H7/TrAvia_act!H5*1000)</f>
        <v>186.35545917258915</v>
      </c>
      <c r="I33" s="87">
        <f>IF(I7=0,0,I7/TrAvia_act!I5*1000)</f>
        <v>184.49550467755475</v>
      </c>
      <c r="J33" s="87">
        <f>IF(J7=0,0,J7/TrAvia_act!J5*1000)</f>
        <v>162.01901601628239</v>
      </c>
      <c r="K33" s="87">
        <f>IF(K7=0,0,K7/TrAvia_act!K5*1000)</f>
        <v>137.94075812134747</v>
      </c>
      <c r="L33" s="87">
        <f>IF(L7=0,0,L7/TrAvia_act!L5*1000)</f>
        <v>162.26690378142794</v>
      </c>
      <c r="M33" s="87">
        <f>IF(M7=0,0,M7/TrAvia_act!M5*1000)</f>
        <v>159.0995590413294</v>
      </c>
      <c r="N33" s="87">
        <f>IF(N7=0,0,N7/TrAvia_act!N5*1000)</f>
        <v>158.75331763593655</v>
      </c>
      <c r="O33" s="87">
        <f>IF(O7=0,0,O7/TrAvia_act!O5*1000)</f>
        <v>155.68092093114549</v>
      </c>
      <c r="P33" s="87">
        <f>IF(P7=0,0,P7/TrAvia_act!P5*1000)</f>
        <v>151.44991737144932</v>
      </c>
      <c r="Q33" s="87">
        <f>IF(Q7=0,0,Q7/TrAvia_act!Q5*1000)</f>
        <v>127.36169425504379</v>
      </c>
      <c r="R33" s="87">
        <f>IF(R7=0,0,R7/TrAvia_act!R5*1000)</f>
        <v>115.42377519033066</v>
      </c>
      <c r="S33" s="87">
        <f>IF(S7=0,0,S7/TrAvia_act!S5*1000)</f>
        <v>119.85286771572328</v>
      </c>
      <c r="T33" s="87">
        <f>IF(T7=0,0,T7/TrAvia_act!T5*1000)</f>
        <v>122.34260786605408</v>
      </c>
      <c r="U33" s="87">
        <f>IF(U7=0,0,U7/TrAvia_act!U5*1000)</f>
        <v>112.31073260000134</v>
      </c>
      <c r="V33" s="87">
        <f>IF(V7=0,0,V7/TrAvia_act!V5*1000)</f>
        <v>168.43441718393692</v>
      </c>
      <c r="W33" s="87">
        <f>IF(W7=0,0,W7/TrAvia_act!W5*1000)</f>
        <v>119.43410118225403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92.248271306330494</v>
      </c>
      <c r="C34" s="87">
        <f>IF(C8=0,0,C8/TrAvia_act!C6*1000)</f>
        <v>91.782694109411452</v>
      </c>
      <c r="D34" s="87">
        <f>IF(D8=0,0,D8/TrAvia_act!D6*1000)</f>
        <v>88.792387064588311</v>
      </c>
      <c r="E34" s="87">
        <f>IF(E8=0,0,E8/TrAvia_act!E6*1000)</f>
        <v>95.111206900274126</v>
      </c>
      <c r="F34" s="87">
        <f>IF(F8=0,0,F8/TrAvia_act!F6*1000)</f>
        <v>103.14285886892692</v>
      </c>
      <c r="G34" s="87">
        <f>IF(G8=0,0,G8/TrAvia_act!G6*1000)</f>
        <v>102.31948695802728</v>
      </c>
      <c r="H34" s="87">
        <f>IF(H8=0,0,H8/TrAvia_act!H6*1000)</f>
        <v>100.71925493288222</v>
      </c>
      <c r="I34" s="87">
        <f>IF(I8=0,0,I8/TrAvia_act!I6*1000)</f>
        <v>100.20077622247996</v>
      </c>
      <c r="J34" s="87">
        <f>IF(J8=0,0,J8/TrAvia_act!J6*1000)</f>
        <v>103.96354981536901</v>
      </c>
      <c r="K34" s="87">
        <f>IF(K8=0,0,K8/TrAvia_act!K6*1000)</f>
        <v>100.2708496048779</v>
      </c>
      <c r="L34" s="87">
        <f>IF(L8=0,0,L8/TrAvia_act!L6*1000)</f>
        <v>101.41418963919155</v>
      </c>
      <c r="M34" s="87">
        <f>IF(M8=0,0,M8/TrAvia_act!M6*1000)</f>
        <v>98.28159750676457</v>
      </c>
      <c r="N34" s="87">
        <f>IF(N8=0,0,N8/TrAvia_act!N6*1000)</f>
        <v>95.276252306968402</v>
      </c>
      <c r="O34" s="87">
        <f>IF(O8=0,0,O8/TrAvia_act!O6*1000)</f>
        <v>90.161127538281349</v>
      </c>
      <c r="P34" s="87">
        <f>IF(P8=0,0,P8/TrAvia_act!P6*1000)</f>
        <v>86.745040130764878</v>
      </c>
      <c r="Q34" s="87">
        <f>IF(Q8=0,0,Q8/TrAvia_act!Q6*1000)</f>
        <v>87.375257849637734</v>
      </c>
      <c r="R34" s="87">
        <f>IF(R8=0,0,R8/TrAvia_act!R6*1000)</f>
        <v>86.309862237266216</v>
      </c>
      <c r="S34" s="87">
        <f>IF(S8=0,0,S8/TrAvia_act!S6*1000)</f>
        <v>84.67317927534377</v>
      </c>
      <c r="T34" s="87">
        <f>IF(T8=0,0,T8/TrAvia_act!T6*1000)</f>
        <v>84.746089589217434</v>
      </c>
      <c r="U34" s="87">
        <f>IF(U8=0,0,U8/TrAvia_act!U6*1000)</f>
        <v>85.521522959048184</v>
      </c>
      <c r="V34" s="87">
        <f>IF(V8=0,0,V8/TrAvia_act!V6*1000)</f>
        <v>80.066531621071334</v>
      </c>
      <c r="W34" s="87">
        <f>IF(W8=0,0,W8/TrAvia_act!W6*1000)</f>
        <v>86.101612300820619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142.57426078525134</v>
      </c>
      <c r="C35" s="87">
        <f>IF(C9=0,0,C9/TrAvia_act!C7*1000)</f>
        <v>140.24171004271042</v>
      </c>
      <c r="D35" s="87">
        <f>IF(D9=0,0,D9/TrAvia_act!D7*1000)</f>
        <v>129.56409181585261</v>
      </c>
      <c r="E35" s="87">
        <f>IF(E9=0,0,E9/TrAvia_act!E7*1000)</f>
        <v>134.71379687814374</v>
      </c>
      <c r="F35" s="87">
        <f>IF(F9=0,0,F9/TrAvia_act!F7*1000)</f>
        <v>131.09893017340485</v>
      </c>
      <c r="G35" s="87">
        <f>IF(G9=0,0,G9/TrAvia_act!G7*1000)</f>
        <v>118.5334971482484</v>
      </c>
      <c r="H35" s="87">
        <f>IF(H9=0,0,H9/TrAvia_act!H7*1000)</f>
        <v>113.15346280283109</v>
      </c>
      <c r="I35" s="87">
        <f>IF(I9=0,0,I9/TrAvia_act!I7*1000)</f>
        <v>99.077052703654871</v>
      </c>
      <c r="J35" s="87">
        <f>IF(J9=0,0,J9/TrAvia_act!J7*1000)</f>
        <v>94.447273836149108</v>
      </c>
      <c r="K35" s="87">
        <f>IF(K9=0,0,K9/TrAvia_act!K7*1000)</f>
        <v>94.853994596509622</v>
      </c>
      <c r="L35" s="87">
        <f>IF(L9=0,0,L9/TrAvia_act!L7*1000)</f>
        <v>90.724836988882757</v>
      </c>
      <c r="M35" s="87">
        <f>IF(M9=0,0,M9/TrAvia_act!M7*1000)</f>
        <v>87.177753075406358</v>
      </c>
      <c r="N35" s="87">
        <f>IF(N9=0,0,N9/TrAvia_act!N7*1000)</f>
        <v>85.829910875208896</v>
      </c>
      <c r="O35" s="87">
        <f>IF(O9=0,0,O9/TrAvia_act!O7*1000)</f>
        <v>84.934906724382046</v>
      </c>
      <c r="P35" s="87">
        <f>IF(P9=0,0,P9/TrAvia_act!P7*1000)</f>
        <v>81.449074029261453</v>
      </c>
      <c r="Q35" s="87">
        <f>IF(Q9=0,0,Q9/TrAvia_act!Q7*1000)</f>
        <v>86.903872377064246</v>
      </c>
      <c r="R35" s="87">
        <f>IF(R9=0,0,R9/TrAvia_act!R7*1000)</f>
        <v>85.395071872729346</v>
      </c>
      <c r="S35" s="87">
        <f>IF(S9=0,0,S9/TrAvia_act!S7*1000)</f>
        <v>76.530674702526511</v>
      </c>
      <c r="T35" s="87">
        <f>IF(T9=0,0,T9/TrAvia_act!T7*1000)</f>
        <v>70.3666563980739</v>
      </c>
      <c r="U35" s="87">
        <f>IF(U9=0,0,U9/TrAvia_act!U7*1000)</f>
        <v>63.685623406825542</v>
      </c>
      <c r="V35" s="87">
        <f>IF(V9=0,0,V9/TrAvia_act!V7*1000)</f>
        <v>96.426784141615741</v>
      </c>
      <c r="W35" s="87">
        <f>IF(W9=0,0,W9/TrAvia_act!W7*1000)</f>
        <v>95.956136645194206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340.15595159116447</v>
      </c>
      <c r="C36" s="15">
        <f>IF(C10=0,0,C10/TrAvia_act!C8*1000)</f>
        <v>319.91195062498662</v>
      </c>
      <c r="D36" s="15">
        <f>IF(D10=0,0,D10/TrAvia_act!D8*1000)</f>
        <v>334.85819826707126</v>
      </c>
      <c r="E36" s="15">
        <f>IF(E10=0,0,E10/TrAvia_act!E8*1000)</f>
        <v>359.12015733619899</v>
      </c>
      <c r="F36" s="15">
        <f>IF(F10=0,0,F10/TrAvia_act!F8*1000)</f>
        <v>398.99841364799892</v>
      </c>
      <c r="G36" s="15">
        <f>IF(G10=0,0,G10/TrAvia_act!G8*1000)</f>
        <v>373.58668449952455</v>
      </c>
      <c r="H36" s="15">
        <f>IF(H10=0,0,H10/TrAvia_act!H8*1000)</f>
        <v>376.38700049500369</v>
      </c>
      <c r="I36" s="15">
        <f>IF(I10=0,0,I10/TrAvia_act!I8*1000)</f>
        <v>352.85265374966531</v>
      </c>
      <c r="J36" s="15">
        <f>IF(J10=0,0,J10/TrAvia_act!J8*1000)</f>
        <v>351.89550321471916</v>
      </c>
      <c r="K36" s="15">
        <f>IF(K10=0,0,K10/TrAvia_act!K8*1000)</f>
        <v>344.22122653193901</v>
      </c>
      <c r="L36" s="15">
        <f>IF(L10=0,0,L10/TrAvia_act!L8*1000)</f>
        <v>323.63477406403013</v>
      </c>
      <c r="M36" s="15">
        <f>IF(M10=0,0,M10/TrAvia_act!M8*1000)</f>
        <v>280.83567088331148</v>
      </c>
      <c r="N36" s="15">
        <f>IF(N10=0,0,N10/TrAvia_act!N8*1000)</f>
        <v>248.88062806297663</v>
      </c>
      <c r="O36" s="15">
        <f>IF(O10=0,0,O10/TrAvia_act!O8*1000)</f>
        <v>244.98276675850741</v>
      </c>
      <c r="P36" s="15">
        <f>IF(P10=0,0,P10/TrAvia_act!P8*1000)</f>
        <v>202.96514201777441</v>
      </c>
      <c r="Q36" s="15">
        <f>IF(Q10=0,0,Q10/TrAvia_act!Q8*1000)</f>
        <v>217.84899177194586</v>
      </c>
      <c r="R36" s="15">
        <f>IF(R10=0,0,R10/TrAvia_act!R8*1000)</f>
        <v>201.99859134622784</v>
      </c>
      <c r="S36" s="15">
        <f>IF(S10=0,0,S10/TrAvia_act!S8*1000)</f>
        <v>191.26636176789739</v>
      </c>
      <c r="T36" s="15">
        <f>IF(T10=0,0,T10/TrAvia_act!T8*1000)</f>
        <v>178.55450488598183</v>
      </c>
      <c r="U36" s="15">
        <f>IF(U10=0,0,U10/TrAvia_act!U8*1000)</f>
        <v>146.46634123017117</v>
      </c>
      <c r="V36" s="15">
        <f>IF(V10=0,0,V10/TrAvia_act!V8*1000)</f>
        <v>228.31045917629453</v>
      </c>
      <c r="W36" s="15">
        <f>IF(W10=0,0,W10/TrAvia_act!W8*1000)</f>
        <v>222.20868988918909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3872.3286355713572</v>
      </c>
      <c r="C37" s="101">
        <f>IF(C11=0,0,C11/TrAvia_act!C9*1000)</f>
        <v>3919.4373749734641</v>
      </c>
      <c r="D37" s="101">
        <f>IF(D11=0,0,D11/TrAvia_act!D9*1000)</f>
        <v>3821.08038990768</v>
      </c>
      <c r="E37" s="101">
        <f>IF(E11=0,0,E11/TrAvia_act!E9*1000)</f>
        <v>3437.6091894657275</v>
      </c>
      <c r="F37" s="101">
        <f>IF(F11=0,0,F11/TrAvia_act!F9*1000)</f>
        <v>3659.5034149523603</v>
      </c>
      <c r="G37" s="101">
        <f>IF(G11=0,0,G11/TrAvia_act!G9*1000)</f>
        <v>3417.9385264012662</v>
      </c>
      <c r="H37" s="101">
        <f>IF(H11=0,0,H11/TrAvia_act!H9*1000)</f>
        <v>2647.2614708540905</v>
      </c>
      <c r="I37" s="101">
        <f>IF(I11=0,0,I11/TrAvia_act!I9*1000)</f>
        <v>2212.8379362531455</v>
      </c>
      <c r="J37" s="101">
        <f>IF(J11=0,0,J11/TrAvia_act!J9*1000)</f>
        <v>1719.1405880022496</v>
      </c>
      <c r="K37" s="101">
        <f>IF(K11=0,0,K11/TrAvia_act!K9*1000)</f>
        <v>1511.1271102317114</v>
      </c>
      <c r="L37" s="101">
        <f>IF(L11=0,0,L11/TrAvia_act!L9*1000)</f>
        <v>1489.8722519688215</v>
      </c>
      <c r="M37" s="101">
        <f>IF(M11=0,0,M11/TrAvia_act!M9*1000)</f>
        <v>1402.1409350444374</v>
      </c>
      <c r="N37" s="101">
        <f>IF(N11=0,0,N11/TrAvia_act!N9*1000)</f>
        <v>1619.6208787083053</v>
      </c>
      <c r="O37" s="101">
        <f>IF(O11=0,0,O11/TrAvia_act!O9*1000)</f>
        <v>1643.4498928231926</v>
      </c>
      <c r="P37" s="101">
        <f>IF(P11=0,0,P11/TrAvia_act!P9*1000)</f>
        <v>1401.935983462336</v>
      </c>
      <c r="Q37" s="101">
        <f>IF(Q11=0,0,Q11/TrAvia_act!Q9*1000)</f>
        <v>1308.1272563258538</v>
      </c>
      <c r="R37" s="101">
        <f>IF(R11=0,0,R11/TrAvia_act!R9*1000)</f>
        <v>888.27994159717093</v>
      </c>
      <c r="S37" s="101">
        <f>IF(S11=0,0,S11/TrAvia_act!S9*1000)</f>
        <v>1151.5753642999439</v>
      </c>
      <c r="T37" s="101">
        <f>IF(T11=0,0,T11/TrAvia_act!T9*1000)</f>
        <v>1195.1397968535057</v>
      </c>
      <c r="U37" s="101">
        <f>IF(U11=0,0,U11/TrAvia_act!U9*1000)</f>
        <v>958.82421136449182</v>
      </c>
      <c r="V37" s="101">
        <f>IF(V11=0,0,V11/TrAvia_act!V9*1000)</f>
        <v>1120.8664638455689</v>
      </c>
      <c r="W37" s="101">
        <f>IF(W11=0,0,W11/TrAvia_act!W9*1000)</f>
        <v>943.24657336554219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400.93231179533518</v>
      </c>
      <c r="C38" s="101">
        <f>IF(C12=0,0,C12/TrAvia_act!C10*1000)</f>
        <v>384.48850395381106</v>
      </c>
      <c r="D38" s="101">
        <f>IF(D12=0,0,D12/TrAvia_act!D10*1000)</f>
        <v>408.39044245527674</v>
      </c>
      <c r="E38" s="101">
        <f>IF(E12=0,0,E12/TrAvia_act!E10*1000)</f>
        <v>418.33443252088654</v>
      </c>
      <c r="F38" s="101">
        <f>IF(F12=0,0,F12/TrAvia_act!F10*1000)</f>
        <v>508.38076407057173</v>
      </c>
      <c r="G38" s="101">
        <f>IF(G12=0,0,G12/TrAvia_act!G10*1000)</f>
        <v>506.0828879551712</v>
      </c>
      <c r="H38" s="101">
        <f>IF(H12=0,0,H12/TrAvia_act!H10*1000)</f>
        <v>563.50481874809827</v>
      </c>
      <c r="I38" s="101">
        <f>IF(I12=0,0,I12/TrAvia_act!I10*1000)</f>
        <v>570.4060443933497</v>
      </c>
      <c r="J38" s="101">
        <f>IF(J12=0,0,J12/TrAvia_act!J10*1000)</f>
        <v>604.18991059904101</v>
      </c>
      <c r="K38" s="101">
        <f>IF(K12=0,0,K12/TrAvia_act!K10*1000)</f>
        <v>586.4089566381208</v>
      </c>
      <c r="L38" s="101">
        <f>IF(L12=0,0,L12/TrAvia_act!L10*1000)</f>
        <v>591.87056146303212</v>
      </c>
      <c r="M38" s="101">
        <f>IF(M12=0,0,M12/TrAvia_act!M10*1000)</f>
        <v>573.67704014383003</v>
      </c>
      <c r="N38" s="101">
        <f>IF(N12=0,0,N12/TrAvia_act!N10*1000)</f>
        <v>522.01105279378123</v>
      </c>
      <c r="O38" s="101">
        <f>IF(O12=0,0,O12/TrAvia_act!O10*1000)</f>
        <v>501.00114057223402</v>
      </c>
      <c r="P38" s="101">
        <f>IF(P12=0,0,P12/TrAvia_act!P10*1000)</f>
        <v>434.15148206662752</v>
      </c>
      <c r="Q38" s="101">
        <f>IF(Q12=0,0,Q12/TrAvia_act!Q10*1000)</f>
        <v>454.35444126607081</v>
      </c>
      <c r="R38" s="101">
        <f>IF(R12=0,0,R12/TrAvia_act!R10*1000)</f>
        <v>436.74021075218076</v>
      </c>
      <c r="S38" s="101">
        <f>IF(S12=0,0,S12/TrAvia_act!S10*1000)</f>
        <v>479.72630760987818</v>
      </c>
      <c r="T38" s="101">
        <f>IF(T12=0,0,T12/TrAvia_act!T10*1000)</f>
        <v>462.31531071372132</v>
      </c>
      <c r="U38" s="101">
        <f>IF(U12=0,0,U12/TrAvia_act!U10*1000)</f>
        <v>462.83000732487551</v>
      </c>
      <c r="V38" s="101">
        <f>IF(V12=0,0,V12/TrAvia_act!V10*1000)</f>
        <v>427.6412146283198</v>
      </c>
      <c r="W38" s="101">
        <f>IF(W12=0,0,W12/TrAvia_act!W10*1000)</f>
        <v>470.96312508655217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155.23542517909766</v>
      </c>
      <c r="C39" s="88">
        <f>IF(C13=0,0,C13/TrAvia_act!C11*1000)</f>
        <v>148.16352376740144</v>
      </c>
      <c r="D39" s="88">
        <f>IF(D13=0,0,D13/TrAvia_act!D11*1000)</f>
        <v>156.58658897403095</v>
      </c>
      <c r="E39" s="88">
        <f>IF(E13=0,0,E13/TrAvia_act!E11*1000)</f>
        <v>179.60871450551548</v>
      </c>
      <c r="F39" s="88">
        <f>IF(F13=0,0,F13/TrAvia_act!F11*1000)</f>
        <v>199.98197662750468</v>
      </c>
      <c r="G39" s="88">
        <f>IF(G13=0,0,G13/TrAvia_act!G11*1000)</f>
        <v>188.81790675903954</v>
      </c>
      <c r="H39" s="88">
        <f>IF(H13=0,0,H13/TrAvia_act!H11*1000)</f>
        <v>200.05267257136771</v>
      </c>
      <c r="I39" s="88">
        <f>IF(I13=0,0,I13/TrAvia_act!I11*1000)</f>
        <v>192.61348302967968</v>
      </c>
      <c r="J39" s="88">
        <f>IF(J13=0,0,J13/TrAvia_act!J11*1000)</f>
        <v>217.59112301147638</v>
      </c>
      <c r="K39" s="88">
        <f>IF(K13=0,0,K13/TrAvia_act!K11*1000)</f>
        <v>214.29008556774261</v>
      </c>
      <c r="L39" s="88">
        <f>IF(L13=0,0,L13/TrAvia_act!L11*1000)</f>
        <v>209.75339843046066</v>
      </c>
      <c r="M39" s="88">
        <f>IF(M13=0,0,M13/TrAvia_act!M11*1000)</f>
        <v>192.98438400658441</v>
      </c>
      <c r="N39" s="88">
        <f>IF(N13=0,0,N13/TrAvia_act!N11*1000)</f>
        <v>176.52734648447324</v>
      </c>
      <c r="O39" s="88">
        <f>IF(O13=0,0,O13/TrAvia_act!O11*1000)</f>
        <v>178.74089965729331</v>
      </c>
      <c r="P39" s="88">
        <f>IF(P13=0,0,P13/TrAvia_act!P11*1000)</f>
        <v>147.23814299909057</v>
      </c>
      <c r="Q39" s="88">
        <f>IF(Q13=0,0,Q13/TrAvia_act!Q11*1000)</f>
        <v>156.78661125657948</v>
      </c>
      <c r="R39" s="88">
        <f>IF(R13=0,0,R13/TrAvia_act!R11*1000)</f>
        <v>147.25519805419444</v>
      </c>
      <c r="S39" s="88">
        <f>IF(S13=0,0,S13/TrAvia_act!S11*1000)</f>
        <v>136.13210520812646</v>
      </c>
      <c r="T39" s="88">
        <f>IF(T13=0,0,T13/TrAvia_act!T11*1000)</f>
        <v>122.05169029365642</v>
      </c>
      <c r="U39" s="88">
        <f>IF(U13=0,0,U13/TrAvia_act!U11*1000)</f>
        <v>86.98824090799063</v>
      </c>
      <c r="V39" s="88">
        <f>IF(V13=0,0,V13/TrAvia_act!V11*1000)</f>
        <v>163.12823082905007</v>
      </c>
      <c r="W39" s="88">
        <f>IF(W13=0,0,W13/TrAvia_act!W11*1000)</f>
        <v>156.21890341090366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19927.610871068417</v>
      </c>
      <c r="C41" s="54">
        <f>IF(C3=0,0,C3/TrAvia_act!C23*1000000)</f>
        <v>19758.32690028158</v>
      </c>
      <c r="D41" s="54">
        <f>IF(D3=0,0,D3/TrAvia_act!D23*1000000)</f>
        <v>19444.130082874355</v>
      </c>
      <c r="E41" s="54">
        <f>IF(E3=0,0,E3/TrAvia_act!E23*1000000)</f>
        <v>20320.426665076298</v>
      </c>
      <c r="F41" s="54">
        <f>IF(F3=0,0,F3/TrAvia_act!F23*1000000)</f>
        <v>20985.886296936216</v>
      </c>
      <c r="G41" s="54">
        <f>IF(G3=0,0,G3/TrAvia_act!G23*1000000)</f>
        <v>20253.845986413045</v>
      </c>
      <c r="H41" s="54">
        <f>IF(H3=0,0,H3/TrAvia_act!H23*1000000)</f>
        <v>20538.969321300061</v>
      </c>
      <c r="I41" s="54">
        <f>IF(I3=0,0,I3/TrAvia_act!I23*1000000)</f>
        <v>20315.374778168556</v>
      </c>
      <c r="J41" s="54">
        <f>IF(J3=0,0,J3/TrAvia_act!J23*1000000)</f>
        <v>20723.860714907016</v>
      </c>
      <c r="K41" s="54">
        <f>IF(K3=0,0,K3/TrAvia_act!K23*1000000)</f>
        <v>21061.397516431847</v>
      </c>
      <c r="L41" s="54">
        <f>IF(L3=0,0,L3/TrAvia_act!L23*1000000)</f>
        <v>22036.79797939572</v>
      </c>
      <c r="M41" s="54">
        <f>IF(M3=0,0,M3/TrAvia_act!M23*1000000)</f>
        <v>22050.624888951723</v>
      </c>
      <c r="N41" s="54">
        <f>IF(N3=0,0,N3/TrAvia_act!N23*1000000)</f>
        <v>22388.544994588439</v>
      </c>
      <c r="O41" s="54">
        <f>IF(O3=0,0,O3/TrAvia_act!O23*1000000)</f>
        <v>22233.731273220303</v>
      </c>
      <c r="P41" s="54">
        <f>IF(P3=0,0,P3/TrAvia_act!P23*1000000)</f>
        <v>21693.685285483843</v>
      </c>
      <c r="Q41" s="54">
        <f>IF(Q3=0,0,Q3/TrAvia_act!Q23*1000000)</f>
        <v>21992.768223492672</v>
      </c>
      <c r="R41" s="54">
        <f>IF(R3=0,0,R3/TrAvia_act!R23*1000000)</f>
        <v>20466.455980631086</v>
      </c>
      <c r="S41" s="54">
        <f>IF(S3=0,0,S3/TrAvia_act!S23*1000000)</f>
        <v>21310.320563416055</v>
      </c>
      <c r="T41" s="54">
        <f>IF(T3=0,0,T3/TrAvia_act!T23*1000000)</f>
        <v>21157.478040553786</v>
      </c>
      <c r="U41" s="54">
        <f>IF(U3=0,0,U3/TrAvia_act!U23*1000000)</f>
        <v>21365.274879116452</v>
      </c>
      <c r="V41" s="54">
        <f>IF(V3=0,0,V3/TrAvia_act!V23*1000000)</f>
        <v>18647.513901485538</v>
      </c>
      <c r="W41" s="54">
        <f>IF(W3=0,0,W3/TrAvia_act!W23*1000000)</f>
        <v>18104.087660197623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20283.309545960721</v>
      </c>
      <c r="C42" s="11">
        <f>IF(C6=0,0,C6/TrAvia_act!C24*1000000)</f>
        <v>20076.193385414401</v>
      </c>
      <c r="D42" s="11">
        <f>IF(D6=0,0,D6/TrAvia_act!D24*1000000)</f>
        <v>19744.715895975358</v>
      </c>
      <c r="E42" s="11">
        <f>IF(E6=0,0,E6/TrAvia_act!E24*1000000)</f>
        <v>20623.814385658367</v>
      </c>
      <c r="F42" s="11">
        <f>IF(F6=0,0,F6/TrAvia_act!F24*1000000)</f>
        <v>21275.334333399722</v>
      </c>
      <c r="G42" s="11">
        <f>IF(G6=0,0,G6/TrAvia_act!G24*1000000)</f>
        <v>20526.774118018042</v>
      </c>
      <c r="H42" s="11">
        <f>IF(H6=0,0,H6/TrAvia_act!H24*1000000)</f>
        <v>20749.092724045538</v>
      </c>
      <c r="I42" s="11">
        <f>IF(I6=0,0,I6/TrAvia_act!I24*1000000)</f>
        <v>20461.712469919472</v>
      </c>
      <c r="J42" s="11">
        <f>IF(J6=0,0,J6/TrAvia_act!J24*1000000)</f>
        <v>20825.003963429415</v>
      </c>
      <c r="K42" s="11">
        <f>IF(K6=0,0,K6/TrAvia_act!K24*1000000)</f>
        <v>21146.642175703375</v>
      </c>
      <c r="L42" s="11">
        <f>IF(L6=0,0,L6/TrAvia_act!L24*1000000)</f>
        <v>22028.438827838028</v>
      </c>
      <c r="M42" s="11">
        <f>IF(M6=0,0,M6/TrAvia_act!M24*1000000)</f>
        <v>22014.702609134169</v>
      </c>
      <c r="N42" s="11">
        <f>IF(N6=0,0,N6/TrAvia_act!N24*1000000)</f>
        <v>22339.835239057549</v>
      </c>
      <c r="O42" s="11">
        <f>IF(O6=0,0,O6/TrAvia_act!O24*1000000)</f>
        <v>22176.005949739825</v>
      </c>
      <c r="P42" s="11">
        <f>IF(P6=0,0,P6/TrAvia_act!P24*1000000)</f>
        <v>21650.33397063494</v>
      </c>
      <c r="Q42" s="11">
        <f>IF(Q6=0,0,Q6/TrAvia_act!Q24*1000000)</f>
        <v>21959.080309751283</v>
      </c>
      <c r="R42" s="11">
        <f>IF(R6=0,0,R6/TrAvia_act!R24*1000000)</f>
        <v>20431.247736760099</v>
      </c>
      <c r="S42" s="11">
        <f>IF(S6=0,0,S6/TrAvia_act!S24*1000000)</f>
        <v>21276.524244454402</v>
      </c>
      <c r="T42" s="11">
        <f>IF(T6=0,0,T6/TrAvia_act!T24*1000000)</f>
        <v>21144.174784348099</v>
      </c>
      <c r="U42" s="11">
        <f>IF(U6=0,0,U6/TrAvia_act!U24*1000000)</f>
        <v>21425.843921367876</v>
      </c>
      <c r="V42" s="11">
        <f>IF(V6=0,0,V6/TrAvia_act!V24*1000000)</f>
        <v>18690.922978961509</v>
      </c>
      <c r="W42" s="11">
        <f>IF(W6=0,0,W6/TrAvia_act!W24*1000000)</f>
        <v>18136.141712276298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9547.6723197574429</v>
      </c>
      <c r="C43" s="84">
        <f>IF(C7=0,0,C7/TrAvia_act!C25*1000000)</f>
        <v>9590.1410554628164</v>
      </c>
      <c r="D43" s="84">
        <f>IF(D7=0,0,D7/TrAvia_act!D25*1000000)</f>
        <v>9614.3414788730188</v>
      </c>
      <c r="E43" s="84">
        <f>IF(E7=0,0,E7/TrAvia_act!E25*1000000)</f>
        <v>9200.3404892041399</v>
      </c>
      <c r="F43" s="84">
        <f>IF(F7=0,0,F7/TrAvia_act!F25*1000000)</f>
        <v>9222.800658620894</v>
      </c>
      <c r="G43" s="84">
        <f>IF(G7=0,0,G7/TrAvia_act!G25*1000000)</f>
        <v>9143.1308650969113</v>
      </c>
      <c r="H43" s="84">
        <f>IF(H7=0,0,H7/TrAvia_act!H25*1000000)</f>
        <v>10401.475858646687</v>
      </c>
      <c r="I43" s="84">
        <f>IF(I7=0,0,I7/TrAvia_act!I25*1000000)</f>
        <v>10932.554902587526</v>
      </c>
      <c r="J43" s="84">
        <f>IF(J7=0,0,J7/TrAvia_act!J25*1000000)</f>
        <v>9426.6794247049656</v>
      </c>
      <c r="K43" s="84">
        <f>IF(K7=0,0,K7/TrAvia_act!K25*1000000)</f>
        <v>9306.0943470420571</v>
      </c>
      <c r="L43" s="84">
        <f>IF(L7=0,0,L7/TrAvia_act!L25*1000000)</f>
        <v>11116.182497584252</v>
      </c>
      <c r="M43" s="84">
        <f>IF(M7=0,0,M7/TrAvia_act!M25*1000000)</f>
        <v>10394.479796796699</v>
      </c>
      <c r="N43" s="84">
        <f>IF(N7=0,0,N7/TrAvia_act!N25*1000000)</f>
        <v>10744.383798862396</v>
      </c>
      <c r="O43" s="84">
        <f>IF(O7=0,0,O7/TrAvia_act!O25*1000000)</f>
        <v>11119.849740766052</v>
      </c>
      <c r="P43" s="84">
        <f>IF(P7=0,0,P7/TrAvia_act!P25*1000000)</f>
        <v>10634.54985118219</v>
      </c>
      <c r="Q43" s="84">
        <f>IF(Q7=0,0,Q7/TrAvia_act!Q25*1000000)</f>
        <v>10498.739436845726</v>
      </c>
      <c r="R43" s="84">
        <f>IF(R7=0,0,R7/TrAvia_act!R25*1000000)</f>
        <v>7731.6924276416576</v>
      </c>
      <c r="S43" s="84">
        <f>IF(S7=0,0,S7/TrAvia_act!S25*1000000)</f>
        <v>9395.1240957085683</v>
      </c>
      <c r="T43" s="84">
        <f>IF(T7=0,0,T7/TrAvia_act!T25*1000000)</f>
        <v>9457.8211709535681</v>
      </c>
      <c r="U43" s="84">
        <f>IF(U7=0,0,U7/TrAvia_act!U25*1000000)</f>
        <v>8544.2700319085925</v>
      </c>
      <c r="V43" s="84">
        <f>IF(V7=0,0,V7/TrAvia_act!V25*1000000)</f>
        <v>8516.9639409801039</v>
      </c>
      <c r="W43" s="84">
        <f>IF(W7=0,0,W7/TrAvia_act!W25*1000000)</f>
        <v>8376.5321391337111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17231.525725336171</v>
      </c>
      <c r="C44" s="84">
        <f>IF(C8=0,0,C8/TrAvia_act!C26*1000000)</f>
        <v>17228.880388011814</v>
      </c>
      <c r="D44" s="84">
        <f>IF(D8=0,0,D8/TrAvia_act!D26*1000000)</f>
        <v>17196.334060466877</v>
      </c>
      <c r="E44" s="84">
        <f>IF(E8=0,0,E8/TrAvia_act!E26*1000000)</f>
        <v>17927.148233817185</v>
      </c>
      <c r="F44" s="84">
        <f>IF(F8=0,0,F8/TrAvia_act!F26*1000000)</f>
        <v>19452.726020148457</v>
      </c>
      <c r="G44" s="84">
        <f>IF(G8=0,0,G8/TrAvia_act!G26*1000000)</f>
        <v>18769.472411216564</v>
      </c>
      <c r="H44" s="84">
        <f>IF(H8=0,0,H8/TrAvia_act!H26*1000000)</f>
        <v>17664.135477192591</v>
      </c>
      <c r="I44" s="84">
        <f>IF(I8=0,0,I8/TrAvia_act!I26*1000000)</f>
        <v>17260.303082974755</v>
      </c>
      <c r="J44" s="84">
        <f>IF(J8=0,0,J8/TrAvia_act!J26*1000000)</f>
        <v>18321.212481855975</v>
      </c>
      <c r="K44" s="84">
        <f>IF(K8=0,0,K8/TrAvia_act!K26*1000000)</f>
        <v>18399.662808705154</v>
      </c>
      <c r="L44" s="84">
        <f>IF(L8=0,0,L8/TrAvia_act!L26*1000000)</f>
        <v>18689.15667418826</v>
      </c>
      <c r="M44" s="84">
        <f>IF(M8=0,0,M8/TrAvia_act!M26*1000000)</f>
        <v>18725.967072497151</v>
      </c>
      <c r="N44" s="84">
        <f>IF(N8=0,0,N8/TrAvia_act!N26*1000000)</f>
        <v>18712.746559798437</v>
      </c>
      <c r="O44" s="84">
        <f>IF(O8=0,0,O8/TrAvia_act!O26*1000000)</f>
        <v>18358.575578831947</v>
      </c>
      <c r="P44" s="84">
        <f>IF(P8=0,0,P8/TrAvia_act!P26*1000000)</f>
        <v>18087.334632948576</v>
      </c>
      <c r="Q44" s="84">
        <f>IF(Q8=0,0,Q8/TrAvia_act!Q26*1000000)</f>
        <v>18418.658454493758</v>
      </c>
      <c r="R44" s="84">
        <f>IF(R8=0,0,R8/TrAvia_act!R26*1000000)</f>
        <v>19297.062152752664</v>
      </c>
      <c r="S44" s="84">
        <f>IF(S8=0,0,S8/TrAvia_act!S26*1000000)</f>
        <v>19893.597469493427</v>
      </c>
      <c r="T44" s="84">
        <f>IF(T8=0,0,T8/TrAvia_act!T26*1000000)</f>
        <v>19637.210382952791</v>
      </c>
      <c r="U44" s="84">
        <f>IF(U8=0,0,U8/TrAvia_act!U26*1000000)</f>
        <v>20362.485414429881</v>
      </c>
      <c r="V44" s="84">
        <f>IF(V8=0,0,V8/TrAvia_act!V26*1000000)</f>
        <v>15129.393166409234</v>
      </c>
      <c r="W44" s="84">
        <f>IF(W8=0,0,W8/TrAvia_act!W26*1000000)</f>
        <v>15948.290045305301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67600.189461230737</v>
      </c>
      <c r="C45" s="84">
        <f>IF(C9=0,0,C9/TrAvia_act!C27*1000000)</f>
        <v>67589.765724263823</v>
      </c>
      <c r="D45" s="84">
        <f>IF(D9=0,0,D9/TrAvia_act!D27*1000000)</f>
        <v>67462.160579538293</v>
      </c>
      <c r="E45" s="84">
        <f>IF(E9=0,0,E9/TrAvia_act!E27*1000000)</f>
        <v>70321.614268714169</v>
      </c>
      <c r="F45" s="84">
        <f>IF(F9=0,0,F9/TrAvia_act!F27*1000000)</f>
        <v>76002.674774553496</v>
      </c>
      <c r="G45" s="84">
        <f>IF(G9=0,0,G9/TrAvia_act!G27*1000000)</f>
        <v>68721.858824317329</v>
      </c>
      <c r="H45" s="84">
        <f>IF(H9=0,0,H9/TrAvia_act!H27*1000000)</f>
        <v>68035.496501580885</v>
      </c>
      <c r="I45" s="84">
        <f>IF(I9=0,0,I9/TrAvia_act!I27*1000000)</f>
        <v>61367.042405394612</v>
      </c>
      <c r="J45" s="84">
        <f>IF(J9=0,0,J9/TrAvia_act!J27*1000000)</f>
        <v>61391.611182609602</v>
      </c>
      <c r="K45" s="84">
        <f>IF(K9=0,0,K9/TrAvia_act!K27*1000000)</f>
        <v>62648.411964572741</v>
      </c>
      <c r="L45" s="84">
        <f>IF(L9=0,0,L9/TrAvia_act!L27*1000000)</f>
        <v>61404.618099290507</v>
      </c>
      <c r="M45" s="84">
        <f>IF(M9=0,0,M9/TrAvia_act!M27*1000000)</f>
        <v>60644.637478354518</v>
      </c>
      <c r="N45" s="84">
        <f>IF(N9=0,0,N9/TrAvia_act!N27*1000000)</f>
        <v>60111.746868466194</v>
      </c>
      <c r="O45" s="84">
        <f>IF(O9=0,0,O9/TrAvia_act!O27*1000000)</f>
        <v>60257.604653644659</v>
      </c>
      <c r="P45" s="84">
        <f>IF(P9=0,0,P9/TrAvia_act!P27*1000000)</f>
        <v>57874.319058748857</v>
      </c>
      <c r="Q45" s="84">
        <f>IF(Q9=0,0,Q9/TrAvia_act!Q27*1000000)</f>
        <v>60223.137914974497</v>
      </c>
      <c r="R45" s="84">
        <f>IF(R9=0,0,R9/TrAvia_act!R27*1000000)</f>
        <v>56607.529841888652</v>
      </c>
      <c r="S45" s="84">
        <f>IF(S9=0,0,S9/TrAvia_act!S27*1000000)</f>
        <v>52009.297216604464</v>
      </c>
      <c r="T45" s="84">
        <f>IF(T9=0,0,T9/TrAvia_act!T27*1000000)</f>
        <v>50276.344244908832</v>
      </c>
      <c r="U45" s="84">
        <f>IF(U9=0,0,U9/TrAvia_act!U27*1000000)</f>
        <v>48529.255225517358</v>
      </c>
      <c r="V45" s="84">
        <f>IF(V9=0,0,V9/TrAvia_act!V27*1000000)</f>
        <v>62477.234545528932</v>
      </c>
      <c r="W45" s="84">
        <f>IF(W9=0,0,W9/TrAvia_act!W27*1000000)</f>
        <v>54374.805246539756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11839.940661141953</v>
      </c>
      <c r="C46" s="13">
        <f>IF(C10=0,0,C10/TrAvia_act!C28*1000000)</f>
        <v>11973.867100917172</v>
      </c>
      <c r="D46" s="13">
        <f>IF(D10=0,0,D10/TrAvia_act!D28*1000000)</f>
        <v>12064.557293020565</v>
      </c>
      <c r="E46" s="13">
        <f>IF(E10=0,0,E10/TrAvia_act!E28*1000000)</f>
        <v>12213.439579829555</v>
      </c>
      <c r="F46" s="13">
        <f>IF(F10=0,0,F10/TrAvia_act!F28*1000000)</f>
        <v>13198.633453548231</v>
      </c>
      <c r="G46" s="13">
        <f>IF(G10=0,0,G10/TrAvia_act!G28*1000000)</f>
        <v>12938.627449596283</v>
      </c>
      <c r="H46" s="13">
        <f>IF(H10=0,0,H10/TrAvia_act!H28*1000000)</f>
        <v>15021.303030226838</v>
      </c>
      <c r="I46" s="13">
        <f>IF(I10=0,0,I10/TrAvia_act!I28*1000000)</f>
        <v>16148.267436511109</v>
      </c>
      <c r="J46" s="13">
        <f>IF(J10=0,0,J10/TrAvia_act!J28*1000000)</f>
        <v>17864.525342605499</v>
      </c>
      <c r="K46" s="13">
        <f>IF(K10=0,0,K10/TrAvia_act!K28*1000000)</f>
        <v>18572.110845201809</v>
      </c>
      <c r="L46" s="13">
        <f>IF(L10=0,0,L10/TrAvia_act!L28*1000000)</f>
        <v>22299.221420900754</v>
      </c>
      <c r="M46" s="13">
        <f>IF(M10=0,0,M10/TrAvia_act!M28*1000000)</f>
        <v>23538.518179086012</v>
      </c>
      <c r="N46" s="13">
        <f>IF(N10=0,0,N10/TrAvia_act!N28*1000000)</f>
        <v>24498.496667507574</v>
      </c>
      <c r="O46" s="13">
        <f>IF(O10=0,0,O10/TrAvia_act!O28*1000000)</f>
        <v>25066.028915284736</v>
      </c>
      <c r="P46" s="13">
        <f>IF(P10=0,0,P10/TrAvia_act!P28*1000000)</f>
        <v>24200.274898992448</v>
      </c>
      <c r="Q46" s="13">
        <f>IF(Q10=0,0,Q10/TrAvia_act!Q28*1000000)</f>
        <v>24141.433975423603</v>
      </c>
      <c r="R46" s="13">
        <f>IF(R10=0,0,R10/TrAvia_act!R28*1000000)</f>
        <v>23446.084814243946</v>
      </c>
      <c r="S46" s="13">
        <f>IF(S10=0,0,S10/TrAvia_act!S28*1000000)</f>
        <v>23831.910489401322</v>
      </c>
      <c r="T46" s="13">
        <f>IF(T10=0,0,T10/TrAvia_act!T28*1000000)</f>
        <v>22182.656673738678</v>
      </c>
      <c r="U46" s="13">
        <f>IF(U10=0,0,U10/TrAvia_act!U28*1000000)</f>
        <v>16997.823278357617</v>
      </c>
      <c r="V46" s="13">
        <f>IF(V10=0,0,V10/TrAvia_act!V28*1000000)</f>
        <v>17214.219636278896</v>
      </c>
      <c r="W46" s="13">
        <f>IF(W10=0,0,W10/TrAvia_act!W28*1000000)</f>
        <v>16965.613977685924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6593.5104413855779</v>
      </c>
      <c r="C47" s="102">
        <f>IF(C11=0,0,C11/TrAvia_act!C29*1000000)</f>
        <v>6622.8388518010006</v>
      </c>
      <c r="D47" s="102">
        <f>IF(D11=0,0,D11/TrAvia_act!D29*1000000)</f>
        <v>6639.5513801636398</v>
      </c>
      <c r="E47" s="102">
        <f>IF(E11=0,0,E11/TrAvia_act!E29*1000000)</f>
        <v>6353.6471558976882</v>
      </c>
      <c r="F47" s="102">
        <f>IF(F11=0,0,F11/TrAvia_act!F29*1000000)</f>
        <v>6369.1578852781049</v>
      </c>
      <c r="G47" s="102">
        <f>IF(G11=0,0,G11/TrAvia_act!G29*1000000)</f>
        <v>6314.1388609682353</v>
      </c>
      <c r="H47" s="102">
        <f>IF(H11=0,0,H11/TrAvia_act!H29*1000000)</f>
        <v>7524.4626360850716</v>
      </c>
      <c r="I47" s="102">
        <f>IF(I11=0,0,I11/TrAvia_act!I29*1000000)</f>
        <v>8284.37241022136</v>
      </c>
      <c r="J47" s="102">
        <f>IF(J11=0,0,J11/TrAvia_act!J29*1000000)</f>
        <v>7482.5602433665163</v>
      </c>
      <c r="K47" s="102">
        <f>IF(K11=0,0,K11/TrAvia_act!K29*1000000)</f>
        <v>7737.6416441024121</v>
      </c>
      <c r="L47" s="102">
        <f>IF(L11=0,0,L11/TrAvia_act!L29*1000000)</f>
        <v>9681.5004608103009</v>
      </c>
      <c r="M47" s="102">
        <f>IF(M11=0,0,M11/TrAvia_act!M29*1000000)</f>
        <v>8617.5793006756267</v>
      </c>
      <c r="N47" s="102">
        <f>IF(N11=0,0,N11/TrAvia_act!N29*1000000)</f>
        <v>8478.9419544439115</v>
      </c>
      <c r="O47" s="102">
        <f>IF(O11=0,0,O11/TrAvia_act!O29*1000000)</f>
        <v>8705.5547727276607</v>
      </c>
      <c r="P47" s="102">
        <f>IF(P11=0,0,P11/TrAvia_act!P29*1000000)</f>
        <v>8259.5003956044166</v>
      </c>
      <c r="Q47" s="102">
        <f>IF(Q11=0,0,Q11/TrAvia_act!Q29*1000000)</f>
        <v>8089.2583365452783</v>
      </c>
      <c r="R47" s="102">
        <f>IF(R11=0,0,R11/TrAvia_act!R29*1000000)</f>
        <v>5909.9355451663978</v>
      </c>
      <c r="S47" s="102">
        <f>IF(S11=0,0,S11/TrAvia_act!S29*1000000)</f>
        <v>7124.3798864831615</v>
      </c>
      <c r="T47" s="102">
        <f>IF(T11=0,0,T11/TrAvia_act!T29*1000000)</f>
        <v>7114.948535771372</v>
      </c>
      <c r="U47" s="102">
        <f>IF(U11=0,0,U11/TrAvia_act!U29*1000000)</f>
        <v>6304.2661201950841</v>
      </c>
      <c r="V47" s="102">
        <f>IF(V11=0,0,V11/TrAvia_act!V29*1000000)</f>
        <v>6284.1187157623426</v>
      </c>
      <c r="W47" s="102">
        <f>IF(W11=0,0,W11/TrAvia_act!W29*1000000)</f>
        <v>6180.5031409652056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12846.452889898515</v>
      </c>
      <c r="C48" s="102">
        <f>IF(C12=0,0,C12/TrAvia_act!C30*1000000)</f>
        <v>12846.149416560844</v>
      </c>
      <c r="D48" s="102">
        <f>IF(D12=0,0,D12/TrAvia_act!D30*1000000)</f>
        <v>12820.515390123319</v>
      </c>
      <c r="E48" s="102">
        <f>IF(E12=0,0,E12/TrAvia_act!E30*1000000)</f>
        <v>13446.687614793917</v>
      </c>
      <c r="F48" s="102">
        <f>IF(F12=0,0,F12/TrAvia_act!F30*1000000)</f>
        <v>14737.358812556051</v>
      </c>
      <c r="G48" s="102">
        <f>IF(G12=0,0,G12/TrAvia_act!G30*1000000)</f>
        <v>14265.478377163861</v>
      </c>
      <c r="H48" s="102">
        <f>IF(H12=0,0,H12/TrAvia_act!H30*1000000)</f>
        <v>14087.557673271262</v>
      </c>
      <c r="I48" s="102">
        <f>IF(I12=0,0,I12/TrAvia_act!I30*1000000)</f>
        <v>14134.431838266752</v>
      </c>
      <c r="J48" s="102">
        <f>IF(J12=0,0,J12/TrAvia_act!J30*1000000)</f>
        <v>15212.261413280081</v>
      </c>
      <c r="K48" s="102">
        <f>IF(K12=0,0,K12/TrAvia_act!K30*1000000)</f>
        <v>15742.751716004581</v>
      </c>
      <c r="L48" s="102">
        <f>IF(L12=0,0,L12/TrAvia_act!L30*1000000)</f>
        <v>16543.303147203744</v>
      </c>
      <c r="M48" s="102">
        <f>IF(M12=0,0,M12/TrAvia_act!M30*1000000)</f>
        <v>16373.287129220742</v>
      </c>
      <c r="N48" s="102">
        <f>IF(N12=0,0,N12/TrAvia_act!N30*1000000)</f>
        <v>16235.023055555916</v>
      </c>
      <c r="O48" s="102">
        <f>IF(O12=0,0,O12/TrAvia_act!O30*1000000)</f>
        <v>15527.91149761843</v>
      </c>
      <c r="P48" s="102">
        <f>IF(P12=0,0,P12/TrAvia_act!P30*1000000)</f>
        <v>15096.889001893203</v>
      </c>
      <c r="Q48" s="102">
        <f>IF(Q12=0,0,Q12/TrAvia_act!Q30*1000000)</f>
        <v>15263.833669762163</v>
      </c>
      <c r="R48" s="102">
        <f>IF(R12=0,0,R12/TrAvia_act!R30*1000000)</f>
        <v>15978.260986474505</v>
      </c>
      <c r="S48" s="102">
        <f>IF(S12=0,0,S12/TrAvia_act!S30*1000000)</f>
        <v>15999.463321164962</v>
      </c>
      <c r="T48" s="102">
        <f>IF(T12=0,0,T12/TrAvia_act!T30*1000000)</f>
        <v>15469.720522177075</v>
      </c>
      <c r="U48" s="102">
        <f>IF(U12=0,0,U12/TrAvia_act!U30*1000000)</f>
        <v>15851.808591592413</v>
      </c>
      <c r="V48" s="102">
        <f>IF(V12=0,0,V12/TrAvia_act!V30*1000000)</f>
        <v>12257.742223909756</v>
      </c>
      <c r="W48" s="102">
        <f>IF(W12=0,0,W12/TrAvia_act!W30*1000000)</f>
        <v>12869.312202313085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39717.045490309145</v>
      </c>
      <c r="C49" s="86">
        <f>IF(C13=0,0,C13/TrAvia_act!C31*1000000)</f>
        <v>39710.921246596321</v>
      </c>
      <c r="D49" s="86">
        <f>IF(D13=0,0,D13/TrAvia_act!D31*1000000)</f>
        <v>39635.949573021833</v>
      </c>
      <c r="E49" s="86">
        <f>IF(E13=0,0,E13/TrAvia_act!E31*1000000)</f>
        <v>41315.960430322222</v>
      </c>
      <c r="F49" s="86">
        <f>IF(F13=0,0,F13/TrAvia_act!F31*1000000)</f>
        <v>44653.746024444285</v>
      </c>
      <c r="G49" s="86">
        <f>IF(G13=0,0,G13/TrAvia_act!G31*1000000)</f>
        <v>40376.058334412868</v>
      </c>
      <c r="H49" s="86">
        <f>IF(H13=0,0,H13/TrAvia_act!H31*1000000)</f>
        <v>46268.856272747624</v>
      </c>
      <c r="I49" s="86">
        <f>IF(I13=0,0,I13/TrAvia_act!I31*1000000)</f>
        <v>48236.507029503991</v>
      </c>
      <c r="J49" s="86">
        <f>IF(J13=0,0,J13/TrAvia_act!J31*1000000)</f>
        <v>55686.338871905187</v>
      </c>
      <c r="K49" s="86">
        <f>IF(K13=0,0,K13/TrAvia_act!K31*1000000)</f>
        <v>65463.900868347264</v>
      </c>
      <c r="L49" s="86">
        <f>IF(L13=0,0,L13/TrAvia_act!L31*1000000)</f>
        <v>68648.913894698722</v>
      </c>
      <c r="M49" s="86">
        <f>IF(M13=0,0,M13/TrAvia_act!M31*1000000)</f>
        <v>67433.736159181179</v>
      </c>
      <c r="N49" s="86">
        <f>IF(N13=0,0,N13/TrAvia_act!N31*1000000)</f>
        <v>67066.721080795862</v>
      </c>
      <c r="O49" s="86">
        <f>IF(O13=0,0,O13/TrAvia_act!O31*1000000)</f>
        <v>66823.534781119291</v>
      </c>
      <c r="P49" s="86">
        <f>IF(P13=0,0,P13/TrAvia_act!P31*1000000)</f>
        <v>62363.195361944898</v>
      </c>
      <c r="Q49" s="86">
        <f>IF(Q13=0,0,Q13/TrAvia_act!Q31*1000000)</f>
        <v>64668.248793974177</v>
      </c>
      <c r="R49" s="86">
        <f>IF(R13=0,0,R13/TrAvia_act!R31*1000000)</f>
        <v>63180.414009651744</v>
      </c>
      <c r="S49" s="86">
        <f>IF(S13=0,0,S13/TrAvia_act!S31*1000000)</f>
        <v>56130.621410423752</v>
      </c>
      <c r="T49" s="86">
        <f>IF(T13=0,0,T13/TrAvia_act!T31*1000000)</f>
        <v>52166.910845643055</v>
      </c>
      <c r="U49" s="86">
        <f>IF(U13=0,0,U13/TrAvia_act!U31*1000000)</f>
        <v>29405.634786199011</v>
      </c>
      <c r="V49" s="86">
        <f>IF(V13=0,0,V13/TrAvia_act!V31*1000000)</f>
        <v>37857.221030078879</v>
      </c>
      <c r="W49" s="86">
        <f>IF(W13=0,0,W13/TrAvia_act!W31*1000000)</f>
        <v>32947.665428207663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0.97497000428248493</v>
      </c>
      <c r="C52" s="16">
        <f t="shared" si="35"/>
        <v>0.9762250682859368</v>
      </c>
      <c r="D52" s="16">
        <f t="shared" ref="D52:V52" si="36">IF(D6=0,0,D6/D$3)</f>
        <v>0.975715947524327</v>
      </c>
      <c r="E52" s="16">
        <f t="shared" si="36"/>
        <v>0.97831857541072387</v>
      </c>
      <c r="F52" s="16">
        <f t="shared" si="36"/>
        <v>0.97746081225225201</v>
      </c>
      <c r="G52" s="16">
        <f t="shared" si="36"/>
        <v>0.97702300178823298</v>
      </c>
      <c r="H52" s="16">
        <f t="shared" si="36"/>
        <v>0.97317026873502821</v>
      </c>
      <c r="I52" s="16">
        <f t="shared" si="36"/>
        <v>0.97303297567113134</v>
      </c>
      <c r="J52" s="16">
        <f t="shared" si="36"/>
        <v>0.97054928887283609</v>
      </c>
      <c r="K52" s="16">
        <f t="shared" si="36"/>
        <v>0.97080267394516517</v>
      </c>
      <c r="L52" s="16">
        <f t="shared" si="36"/>
        <v>0.9687620398786021</v>
      </c>
      <c r="M52" s="16">
        <f t="shared" si="36"/>
        <v>0.97483541906137272</v>
      </c>
      <c r="N52" s="16">
        <f t="shared" si="36"/>
        <v>0.97530864161012731</v>
      </c>
      <c r="O52" s="16">
        <f t="shared" si="36"/>
        <v>0.97748156183304302</v>
      </c>
      <c r="P52" s="16">
        <f t="shared" si="36"/>
        <v>0.98103472614139475</v>
      </c>
      <c r="Q52" s="16">
        <f t="shared" si="36"/>
        <v>0.98305536767017709</v>
      </c>
      <c r="R52" s="16">
        <f t="shared" si="36"/>
        <v>0.98662147600406969</v>
      </c>
      <c r="S52" s="16">
        <f t="shared" si="36"/>
        <v>0.985209538550741</v>
      </c>
      <c r="T52" s="16">
        <f t="shared" si="36"/>
        <v>0.9865689895528732</v>
      </c>
      <c r="U52" s="16">
        <f t="shared" si="36"/>
        <v>0.98911756969200171</v>
      </c>
      <c r="V52" s="16">
        <f t="shared" si="36"/>
        <v>0.97286350837469615</v>
      </c>
      <c r="W52" s="16">
        <f t="shared" ref="W52" si="37">IF(W6=0,0,W6/W$3)</f>
        <v>0.97433778334596077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0.13888236543590099</v>
      </c>
      <c r="C53" s="103">
        <f t="shared" si="38"/>
        <v>0.14771832695561957</v>
      </c>
      <c r="D53" s="103">
        <f t="shared" ref="D53:V53" si="39">IF(D7=0,0,D7/D$3)</f>
        <v>0.16004341809587852</v>
      </c>
      <c r="E53" s="103">
        <f t="shared" si="39"/>
        <v>0.14180455763632194</v>
      </c>
      <c r="F53" s="103">
        <f t="shared" si="39"/>
        <v>0.14795728653080201</v>
      </c>
      <c r="G53" s="103">
        <f t="shared" si="39"/>
        <v>0.14815852598608986</v>
      </c>
      <c r="H53" s="103">
        <f t="shared" si="39"/>
        <v>0.13776981258221857</v>
      </c>
      <c r="I53" s="103">
        <f t="shared" si="39"/>
        <v>0.13069538194823885</v>
      </c>
      <c r="J53" s="103">
        <f t="shared" si="39"/>
        <v>0.11802123184355327</v>
      </c>
      <c r="K53" s="103">
        <f t="shared" si="39"/>
        <v>0.11715379412733588</v>
      </c>
      <c r="L53" s="103">
        <f t="shared" si="39"/>
        <v>0.12865312402066101</v>
      </c>
      <c r="M53" s="103">
        <f t="shared" si="39"/>
        <v>0.11335790574207234</v>
      </c>
      <c r="N53" s="103">
        <f t="shared" si="39"/>
        <v>0.11270464351530546</v>
      </c>
      <c r="O53" s="103">
        <f t="shared" si="39"/>
        <v>0.11363699781660562</v>
      </c>
      <c r="P53" s="103">
        <f t="shared" si="39"/>
        <v>0.10747422658843041</v>
      </c>
      <c r="Q53" s="103">
        <f t="shared" si="39"/>
        <v>0.10504042855643916</v>
      </c>
      <c r="R53" s="103">
        <f t="shared" si="39"/>
        <v>0.10727325855477725</v>
      </c>
      <c r="S53" s="103">
        <f t="shared" si="39"/>
        <v>0.11490717073570068</v>
      </c>
      <c r="T53" s="103">
        <f t="shared" si="39"/>
        <v>0.11467582237554166</v>
      </c>
      <c r="U53" s="103">
        <f t="shared" si="39"/>
        <v>0.10122155155675598</v>
      </c>
      <c r="V53" s="103">
        <f t="shared" si="39"/>
        <v>0.13956692689684946</v>
      </c>
      <c r="W53" s="103">
        <f t="shared" ref="W53" si="40">IF(W7=0,0,W7/W$3)</f>
        <v>0.14400629007048066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0.48920262819622845</v>
      </c>
      <c r="C54" s="103">
        <f t="shared" si="41"/>
        <v>0.48477391918337376</v>
      </c>
      <c r="D54" s="103">
        <f t="shared" ref="D54:V54" si="42">IF(D8=0,0,D8/D$3)</f>
        <v>0.47726734797451403</v>
      </c>
      <c r="E54" s="103">
        <f t="shared" si="42"/>
        <v>0.4842970171572773</v>
      </c>
      <c r="F54" s="103">
        <f t="shared" si="42"/>
        <v>0.49639387607416241</v>
      </c>
      <c r="G54" s="103">
        <f t="shared" si="42"/>
        <v>0.49919168358681465</v>
      </c>
      <c r="H54" s="103">
        <f t="shared" si="42"/>
        <v>0.51004150558409678</v>
      </c>
      <c r="I54" s="103">
        <f t="shared" si="42"/>
        <v>0.52527343025593964</v>
      </c>
      <c r="J54" s="103">
        <f t="shared" si="42"/>
        <v>0.52747338387828613</v>
      </c>
      <c r="K54" s="103">
        <f t="shared" si="42"/>
        <v>0.51302020350098931</v>
      </c>
      <c r="L54" s="103">
        <f t="shared" si="42"/>
        <v>0.50300881756222771</v>
      </c>
      <c r="M54" s="103">
        <f t="shared" si="42"/>
        <v>0.51934437535215361</v>
      </c>
      <c r="N54" s="103">
        <f t="shared" si="42"/>
        <v>0.51131058580595878</v>
      </c>
      <c r="O54" s="103">
        <f t="shared" si="42"/>
        <v>0.51546318074565634</v>
      </c>
      <c r="P54" s="103">
        <f t="shared" si="42"/>
        <v>0.52915684680908626</v>
      </c>
      <c r="Q54" s="103">
        <f t="shared" si="42"/>
        <v>0.53553557787280193</v>
      </c>
      <c r="R54" s="103">
        <f t="shared" si="42"/>
        <v>0.55279591320769184</v>
      </c>
      <c r="S54" s="103">
        <f t="shared" si="42"/>
        <v>0.55866127699595225</v>
      </c>
      <c r="T54" s="103">
        <f t="shared" si="42"/>
        <v>0.553983973585773</v>
      </c>
      <c r="U54" s="103">
        <f t="shared" si="42"/>
        <v>0.5620964662320187</v>
      </c>
      <c r="V54" s="103">
        <f t="shared" si="42"/>
        <v>0.44570200977280228</v>
      </c>
      <c r="W54" s="103">
        <f t="shared" ref="W54" si="43">IF(W8=0,0,W8/W$3)</f>
        <v>0.47981348534631008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0.34688501065035543</v>
      </c>
      <c r="C55" s="103">
        <f t="shared" si="44"/>
        <v>0.34373282214694351</v>
      </c>
      <c r="D55" s="103">
        <f t="shared" ref="D55:V55" si="45">IF(D9=0,0,D9/D$3)</f>
        <v>0.33840518145393444</v>
      </c>
      <c r="E55" s="103">
        <f t="shared" si="45"/>
        <v>0.35221700061712463</v>
      </c>
      <c r="F55" s="103">
        <f t="shared" si="45"/>
        <v>0.33310964964728756</v>
      </c>
      <c r="G55" s="103">
        <f t="shared" si="45"/>
        <v>0.32967279221532847</v>
      </c>
      <c r="H55" s="103">
        <f t="shared" si="45"/>
        <v>0.32535895056871283</v>
      </c>
      <c r="I55" s="103">
        <f t="shared" si="45"/>
        <v>0.31706416346695288</v>
      </c>
      <c r="J55" s="103">
        <f t="shared" si="45"/>
        <v>0.32505467315099662</v>
      </c>
      <c r="K55" s="103">
        <f t="shared" si="45"/>
        <v>0.34062867631683985</v>
      </c>
      <c r="L55" s="103">
        <f t="shared" si="45"/>
        <v>0.33710009829571341</v>
      </c>
      <c r="M55" s="103">
        <f t="shared" si="45"/>
        <v>0.34213313796714673</v>
      </c>
      <c r="N55" s="103">
        <f t="shared" si="45"/>
        <v>0.35129341228886302</v>
      </c>
      <c r="O55" s="103">
        <f t="shared" si="45"/>
        <v>0.34838138327078111</v>
      </c>
      <c r="P55" s="103">
        <f t="shared" si="45"/>
        <v>0.34440365274387802</v>
      </c>
      <c r="Q55" s="103">
        <f t="shared" si="45"/>
        <v>0.34247936124093598</v>
      </c>
      <c r="R55" s="103">
        <f t="shared" si="45"/>
        <v>0.32655230424160059</v>
      </c>
      <c r="S55" s="103">
        <f t="shared" si="45"/>
        <v>0.3116410908190882</v>
      </c>
      <c r="T55" s="103">
        <f t="shared" si="45"/>
        <v>0.31790919359155861</v>
      </c>
      <c r="U55" s="103">
        <f t="shared" si="45"/>
        <v>0.32579955190322712</v>
      </c>
      <c r="V55" s="103">
        <f t="shared" si="45"/>
        <v>0.3875945717050443</v>
      </c>
      <c r="W55" s="103">
        <f t="shared" ref="W55" si="46">IF(W9=0,0,W9/W$3)</f>
        <v>0.35051800792916998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2.5029995717515071E-2</v>
      </c>
      <c r="C56" s="17">
        <f t="shared" si="47"/>
        <v>2.377493171406311E-2</v>
      </c>
      <c r="D56" s="17">
        <f t="shared" ref="D56:V56" si="48">IF(D10=0,0,D10/D$3)</f>
        <v>2.4284052475672967E-2</v>
      </c>
      <c r="E56" s="17">
        <f t="shared" si="48"/>
        <v>2.1681424589276112E-2</v>
      </c>
      <c r="F56" s="17">
        <f t="shared" si="48"/>
        <v>2.2539187747748157E-2</v>
      </c>
      <c r="G56" s="17">
        <f t="shared" si="48"/>
        <v>2.2976998211767109E-2</v>
      </c>
      <c r="H56" s="17">
        <f t="shared" si="48"/>
        <v>2.6829731264971884E-2</v>
      </c>
      <c r="I56" s="17">
        <f t="shared" si="48"/>
        <v>2.696702432886855E-2</v>
      </c>
      <c r="J56" s="17">
        <f t="shared" si="48"/>
        <v>2.9450711127164044E-2</v>
      </c>
      <c r="K56" s="17">
        <f t="shared" si="48"/>
        <v>2.9197326054835028E-2</v>
      </c>
      <c r="L56" s="17">
        <f t="shared" si="48"/>
        <v>3.123796012139806E-2</v>
      </c>
      <c r="M56" s="17">
        <f t="shared" si="48"/>
        <v>2.5164580938627258E-2</v>
      </c>
      <c r="N56" s="17">
        <f t="shared" si="48"/>
        <v>2.4691358389872686E-2</v>
      </c>
      <c r="O56" s="17">
        <f t="shared" si="48"/>
        <v>2.2518438166956836E-2</v>
      </c>
      <c r="P56" s="17">
        <f t="shared" si="48"/>
        <v>1.8965273858605271E-2</v>
      </c>
      <c r="Q56" s="17">
        <f t="shared" si="48"/>
        <v>1.6944632329822948E-2</v>
      </c>
      <c r="R56" s="17">
        <f t="shared" si="48"/>
        <v>1.3378523995930298E-2</v>
      </c>
      <c r="S56" s="17">
        <f t="shared" si="48"/>
        <v>1.4790461449258991E-2</v>
      </c>
      <c r="T56" s="17">
        <f t="shared" si="48"/>
        <v>1.3431010447126784E-2</v>
      </c>
      <c r="U56" s="17">
        <f t="shared" si="48"/>
        <v>1.0882430307998367E-2</v>
      </c>
      <c r="V56" s="17">
        <f t="shared" si="48"/>
        <v>2.7136491625303863E-2</v>
      </c>
      <c r="W56" s="17">
        <f t="shared" ref="W56" si="49">IF(W10=0,0,W10/W$3)</f>
        <v>2.5662216654039317E-2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7.147573779033049E-3</v>
      </c>
      <c r="C57" s="104">
        <f t="shared" si="50"/>
        <v>6.7620860764283953E-3</v>
      </c>
      <c r="D57" s="104">
        <f t="shared" ref="D57:V57" si="51">IF(D11=0,0,D11/D$3)</f>
        <v>6.7817882097178008E-3</v>
      </c>
      <c r="E57" s="104">
        <f t="shared" si="51"/>
        <v>5.9698569122479594E-3</v>
      </c>
      <c r="F57" s="104">
        <f t="shared" si="51"/>
        <v>5.6524597710772553E-3</v>
      </c>
      <c r="G57" s="104">
        <f t="shared" si="51"/>
        <v>5.8970847963552338E-3</v>
      </c>
      <c r="H57" s="104">
        <f t="shared" si="51"/>
        <v>6.0231403666035233E-3</v>
      </c>
      <c r="I57" s="104">
        <f t="shared" si="51"/>
        <v>5.9959339322856273E-3</v>
      </c>
      <c r="J57" s="104">
        <f t="shared" si="51"/>
        <v>5.5558068780697462E-3</v>
      </c>
      <c r="K57" s="104">
        <f t="shared" si="51"/>
        <v>5.915805625032875E-3</v>
      </c>
      <c r="L57" s="104">
        <f t="shared" si="51"/>
        <v>5.9523565546002535E-3</v>
      </c>
      <c r="M57" s="104">
        <f t="shared" si="51"/>
        <v>3.5829439123227134E-3</v>
      </c>
      <c r="N57" s="104">
        <f t="shared" si="51"/>
        <v>3.3195791189485685E-3</v>
      </c>
      <c r="O57" s="104">
        <f t="shared" si="51"/>
        <v>2.9745173130851653E-3</v>
      </c>
      <c r="P57" s="104">
        <f t="shared" si="51"/>
        <v>2.2671249784644667E-3</v>
      </c>
      <c r="Q57" s="104">
        <f t="shared" si="51"/>
        <v>1.8803599990219538E-3</v>
      </c>
      <c r="R57" s="104">
        <f t="shared" si="51"/>
        <v>1.0905762118902857E-3</v>
      </c>
      <c r="S57" s="104">
        <f t="shared" si="51"/>
        <v>1.3491546209731422E-3</v>
      </c>
      <c r="T57" s="104">
        <f t="shared" si="51"/>
        <v>1.2960505452157627E-3</v>
      </c>
      <c r="U57" s="104">
        <f t="shared" si="51"/>
        <v>1.2156141525607453E-3</v>
      </c>
      <c r="V57" s="104">
        <f t="shared" si="51"/>
        <v>2.9838614702638591E-3</v>
      </c>
      <c r="W57" s="104">
        <f t="shared" ref="W57" si="52">IF(W11=0,0,W11/W$3)</f>
        <v>2.6785575881391938E-3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1.1008450547260755E-2</v>
      </c>
      <c r="C58" s="104">
        <f t="shared" si="53"/>
        <v>1.0180437632777255E-2</v>
      </c>
      <c r="D58" s="104">
        <f t="shared" ref="D58:V58" si="54">IF(D12=0,0,D12/D$3)</f>
        <v>1.0419565324567621E-2</v>
      </c>
      <c r="E58" s="104">
        <f t="shared" si="54"/>
        <v>9.0769546186706563E-3</v>
      </c>
      <c r="F58" s="104">
        <f t="shared" si="54"/>
        <v>9.7238166262332976E-3</v>
      </c>
      <c r="G58" s="104">
        <f t="shared" si="54"/>
        <v>9.2401344234928091E-3</v>
      </c>
      <c r="H58" s="104">
        <f t="shared" si="54"/>
        <v>1.0855358005996562E-2</v>
      </c>
      <c r="I58" s="104">
        <f t="shared" si="54"/>
        <v>1.022519142839217E-2</v>
      </c>
      <c r="J58" s="104">
        <f t="shared" si="54"/>
        <v>9.982673259355054E-3</v>
      </c>
      <c r="K58" s="104">
        <f t="shared" si="54"/>
        <v>9.3670097684955666E-3</v>
      </c>
      <c r="L58" s="104">
        <f t="shared" si="54"/>
        <v>9.104175505878687E-3</v>
      </c>
      <c r="M58" s="104">
        <f t="shared" si="54"/>
        <v>7.2064463902113607E-3</v>
      </c>
      <c r="N58" s="104">
        <f t="shared" si="54"/>
        <v>6.3768055823107518E-3</v>
      </c>
      <c r="O58" s="104">
        <f t="shared" si="54"/>
        <v>5.3446303181430939E-3</v>
      </c>
      <c r="P58" s="104">
        <f t="shared" si="54"/>
        <v>4.809140131670271E-3</v>
      </c>
      <c r="Q58" s="104">
        <f t="shared" si="54"/>
        <v>4.7250315154039706E-3</v>
      </c>
      <c r="R58" s="104">
        <f t="shared" si="54"/>
        <v>4.0974422856108507E-3</v>
      </c>
      <c r="S58" s="104">
        <f t="shared" si="54"/>
        <v>4.2916657068896415E-3</v>
      </c>
      <c r="T58" s="104">
        <f t="shared" si="54"/>
        <v>4.1936097261147864E-3</v>
      </c>
      <c r="U58" s="104">
        <f t="shared" si="54"/>
        <v>4.0808822803756854E-3</v>
      </c>
      <c r="V58" s="104">
        <f t="shared" si="54"/>
        <v>8.4033800421905065E-3</v>
      </c>
      <c r="W58" s="104">
        <f t="shared" ref="W58" si="55">IF(W12=0,0,W12/W$3)</f>
        <v>8.0593012195917402E-3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6.8739713912212676E-3</v>
      </c>
      <c r="C59" s="105">
        <f t="shared" si="56"/>
        <v>6.8324080048574581E-3</v>
      </c>
      <c r="D59" s="105">
        <f t="shared" ref="D59:V59" si="57">IF(D13=0,0,D13/D$3)</f>
        <v>7.0826989413875418E-3</v>
      </c>
      <c r="E59" s="105">
        <f t="shared" si="57"/>
        <v>6.6346130583574987E-3</v>
      </c>
      <c r="F59" s="105">
        <f t="shared" si="57"/>
        <v>7.1629113504376061E-3</v>
      </c>
      <c r="G59" s="105">
        <f t="shared" si="57"/>
        <v>7.8397789919190664E-3</v>
      </c>
      <c r="H59" s="105">
        <f t="shared" si="57"/>
        <v>9.9512328923717971E-3</v>
      </c>
      <c r="I59" s="105">
        <f t="shared" si="57"/>
        <v>1.0745898968190754E-2</v>
      </c>
      <c r="J59" s="105">
        <f t="shared" si="57"/>
        <v>1.3912230989739245E-2</v>
      </c>
      <c r="K59" s="105">
        <f t="shared" si="57"/>
        <v>1.3914510661306587E-2</v>
      </c>
      <c r="L59" s="105">
        <f t="shared" si="57"/>
        <v>1.6181428060919122E-2</v>
      </c>
      <c r="M59" s="105">
        <f t="shared" si="57"/>
        <v>1.4375190636093185E-2</v>
      </c>
      <c r="N59" s="105">
        <f t="shared" si="57"/>
        <v>1.4994973688613364E-2</v>
      </c>
      <c r="O59" s="105">
        <f t="shared" si="57"/>
        <v>1.4199290535728578E-2</v>
      </c>
      <c r="P59" s="105">
        <f t="shared" si="57"/>
        <v>1.1889008748470533E-2</v>
      </c>
      <c r="Q59" s="105">
        <f t="shared" si="57"/>
        <v>1.0339240815397022E-2</v>
      </c>
      <c r="R59" s="105">
        <f t="shared" si="57"/>
        <v>8.1905054984291598E-3</v>
      </c>
      <c r="S59" s="105">
        <f t="shared" si="57"/>
        <v>9.1496411213962073E-3</v>
      </c>
      <c r="T59" s="105">
        <f t="shared" si="57"/>
        <v>7.941350175796235E-3</v>
      </c>
      <c r="U59" s="105">
        <f t="shared" si="57"/>
        <v>5.5859338750619348E-3</v>
      </c>
      <c r="V59" s="105">
        <f t="shared" si="57"/>
        <v>1.5749250112849493E-2</v>
      </c>
      <c r="W59" s="105">
        <f t="shared" ref="W59" si="58">IF(W13=0,0,W13/W$3)</f>
        <v>1.4924357846308384E-2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16578369</v>
      </c>
      <c r="C4" s="11">
        <f t="shared" si="0"/>
        <v>16413752</v>
      </c>
      <c r="D4" s="11">
        <f t="shared" ref="D4" si="1">SUM(D5:D7)</f>
        <v>16744488</v>
      </c>
      <c r="E4" s="11">
        <f t="shared" ref="E4" si="2">SUM(E5:E7)</f>
        <v>16818935</v>
      </c>
      <c r="F4" s="11">
        <f t="shared" ref="F4" si="3">SUM(F5:F7)</f>
        <v>17656219</v>
      </c>
      <c r="G4" s="11">
        <f t="shared" ref="G4" si="4">SUM(G5:G7)</f>
        <v>18937784</v>
      </c>
      <c r="H4" s="11">
        <f t="shared" ref="H4" si="5">SUM(H5:H7)</f>
        <v>19570728</v>
      </c>
      <c r="I4" s="11">
        <f t="shared" ref="I4" si="6">SUM(I5:I7)</f>
        <v>21265691</v>
      </c>
      <c r="J4" s="11">
        <f t="shared" ref="J4" si="7">SUM(J5:J7)</f>
        <v>19641388</v>
      </c>
      <c r="K4" s="11">
        <f t="shared" ref="K4" si="8">SUM(K5:K7)</f>
        <v>18714511</v>
      </c>
      <c r="L4" s="11">
        <f t="shared" ref="L4" si="9">SUM(L5:L7)</f>
        <v>19831633</v>
      </c>
      <c r="M4" s="11">
        <f t="shared" ref="M4" si="10">SUM(M5:M7)</f>
        <v>20237274</v>
      </c>
      <c r="N4" s="11">
        <f t="shared" ref="N4" si="11">SUM(N5:N7)</f>
        <v>20559370</v>
      </c>
      <c r="O4" s="11">
        <f t="shared" ref="O4" si="12">SUM(O5:O7)</f>
        <v>20975060</v>
      </c>
      <c r="P4" s="11">
        <f t="shared" ref="P4" si="13">SUM(P5:P7)</f>
        <v>22196865</v>
      </c>
      <c r="Q4" s="11">
        <f t="shared" ref="Q4" si="14">SUM(Q5:Q7)</f>
        <v>24227115</v>
      </c>
      <c r="R4" s="11">
        <f t="shared" ref="R4" si="15">SUM(R5:R7)</f>
        <v>27990188</v>
      </c>
      <c r="S4" s="11">
        <f t="shared" ref="S4" si="16">SUM(S5:S7)</f>
        <v>31972660</v>
      </c>
      <c r="T4" s="11">
        <f t="shared" ref="T4" si="17">SUM(T5:T7)</f>
        <v>34427157</v>
      </c>
      <c r="U4" s="11">
        <f t="shared" ref="U4" si="18">SUM(U5:U7)</f>
        <v>36604463</v>
      </c>
      <c r="V4" s="11">
        <f t="shared" ref="V4:W4" si="19">SUM(V5:V7)</f>
        <v>14841530</v>
      </c>
      <c r="W4" s="11">
        <f t="shared" si="19"/>
        <v>19497301</v>
      </c>
      <c r="DA4" s="189" t="s">
        <v>361</v>
      </c>
    </row>
    <row r="5" spans="1:105" ht="11.45" customHeight="1" x14ac:dyDescent="0.25">
      <c r="A5" s="83" t="s">
        <v>27</v>
      </c>
      <c r="B5" s="84">
        <v>4624965</v>
      </c>
      <c r="C5" s="84">
        <v>4810158</v>
      </c>
      <c r="D5" s="84">
        <v>4929390</v>
      </c>
      <c r="E5" s="84">
        <v>4809362</v>
      </c>
      <c r="F5" s="84">
        <v>5571366</v>
      </c>
      <c r="G5" s="84">
        <v>5706906</v>
      </c>
      <c r="H5" s="84">
        <v>4680161</v>
      </c>
      <c r="I5" s="84">
        <v>4587080</v>
      </c>
      <c r="J5" s="84">
        <v>4357887</v>
      </c>
      <c r="K5" s="84">
        <v>4475079</v>
      </c>
      <c r="L5" s="84">
        <v>4746506</v>
      </c>
      <c r="M5" s="84">
        <v>4271506</v>
      </c>
      <c r="N5" s="84">
        <v>4354222</v>
      </c>
      <c r="O5" s="84">
        <v>4261986</v>
      </c>
      <c r="P5" s="84">
        <v>4072996</v>
      </c>
      <c r="Q5" s="84">
        <v>4688580</v>
      </c>
      <c r="R5" s="84">
        <v>5916417</v>
      </c>
      <c r="S5" s="84">
        <v>6751134</v>
      </c>
      <c r="T5" s="84">
        <v>6934090</v>
      </c>
      <c r="U5" s="84">
        <v>7099047</v>
      </c>
      <c r="V5" s="84">
        <v>3532970</v>
      </c>
      <c r="W5" s="84">
        <v>4929375</v>
      </c>
      <c r="DA5" s="171" t="s">
        <v>362</v>
      </c>
    </row>
    <row r="6" spans="1:105" ht="11.45" customHeight="1" x14ac:dyDescent="0.25">
      <c r="A6" s="83" t="s">
        <v>173</v>
      </c>
      <c r="B6" s="84">
        <v>9756828</v>
      </c>
      <c r="C6" s="84">
        <v>9462929</v>
      </c>
      <c r="D6" s="84">
        <v>9575016</v>
      </c>
      <c r="E6" s="84">
        <v>9687055</v>
      </c>
      <c r="F6" s="84">
        <v>9800820</v>
      </c>
      <c r="G6" s="84">
        <v>10676362</v>
      </c>
      <c r="H6" s="84">
        <v>12112589</v>
      </c>
      <c r="I6" s="84">
        <v>13450803</v>
      </c>
      <c r="J6" s="84">
        <v>12274425</v>
      </c>
      <c r="K6" s="84">
        <v>11340203</v>
      </c>
      <c r="L6" s="84">
        <v>11948849</v>
      </c>
      <c r="M6" s="84">
        <v>12635521</v>
      </c>
      <c r="N6" s="84">
        <v>12714818</v>
      </c>
      <c r="O6" s="84">
        <v>13176433</v>
      </c>
      <c r="P6" s="84">
        <v>14333631</v>
      </c>
      <c r="Q6" s="84">
        <v>15605315</v>
      </c>
      <c r="R6" s="84">
        <v>17653793</v>
      </c>
      <c r="S6" s="84">
        <v>20038597</v>
      </c>
      <c r="T6" s="84">
        <v>21482776</v>
      </c>
      <c r="U6" s="84">
        <v>22750749</v>
      </c>
      <c r="V6" s="84">
        <v>8922430</v>
      </c>
      <c r="W6" s="84">
        <v>11671050</v>
      </c>
      <c r="DA6" s="171" t="s">
        <v>363</v>
      </c>
    </row>
    <row r="7" spans="1:105" ht="11.45" customHeight="1" x14ac:dyDescent="0.25">
      <c r="A7" s="85" t="s">
        <v>174</v>
      </c>
      <c r="B7" s="86">
        <v>2196576</v>
      </c>
      <c r="C7" s="86">
        <v>2140665</v>
      </c>
      <c r="D7" s="86">
        <v>2240082</v>
      </c>
      <c r="E7" s="86">
        <v>2322518</v>
      </c>
      <c r="F7" s="86">
        <v>2284033</v>
      </c>
      <c r="G7" s="86">
        <v>2554516</v>
      </c>
      <c r="H7" s="86">
        <v>2777978</v>
      </c>
      <c r="I7" s="86">
        <v>3227808</v>
      </c>
      <c r="J7" s="86">
        <v>3009076</v>
      </c>
      <c r="K7" s="86">
        <v>2899229</v>
      </c>
      <c r="L7" s="86">
        <v>3136278</v>
      </c>
      <c r="M7" s="86">
        <v>3330247</v>
      </c>
      <c r="N7" s="86">
        <v>3490330</v>
      </c>
      <c r="O7" s="86">
        <v>3536641</v>
      </c>
      <c r="P7" s="86">
        <v>3790238</v>
      </c>
      <c r="Q7" s="86">
        <v>3933220</v>
      </c>
      <c r="R7" s="86">
        <v>4419978</v>
      </c>
      <c r="S7" s="86">
        <v>5182929</v>
      </c>
      <c r="T7" s="86">
        <v>6010291</v>
      </c>
      <c r="U7" s="86">
        <v>6754667</v>
      </c>
      <c r="V7" s="86">
        <v>2386130</v>
      </c>
      <c r="W7" s="86">
        <v>2896876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145.5915920926679</v>
      </c>
      <c r="C12" s="14">
        <f>IF(C4=0,0,C4/TrAvia_act!C24)</f>
        <v>146.65873228613808</v>
      </c>
      <c r="D12" s="14">
        <f>IF(D4=0,0,D4/TrAvia_act!D24)</f>
        <v>149.50435714285715</v>
      </c>
      <c r="E12" s="14">
        <f>IF(E4=0,0,E4/TrAvia_act!E24)</f>
        <v>148.65727114434458</v>
      </c>
      <c r="F12" s="14">
        <f>IF(F4=0,0,F4/TrAvia_act!F24)</f>
        <v>148.54509889703098</v>
      </c>
      <c r="G12" s="14">
        <f>IF(G4=0,0,G4/TrAvia_act!G24)</f>
        <v>148.281595740516</v>
      </c>
      <c r="H12" s="14">
        <f>IF(H4=0,0,H4/TrAvia_act!H24)</f>
        <v>148.58276898782228</v>
      </c>
      <c r="I12" s="14">
        <f>IF(I4=0,0,I4/TrAvia_act!I24)</f>
        <v>152.09660484776529</v>
      </c>
      <c r="J12" s="14">
        <f>IF(J4=0,0,J4/TrAvia_act!J24)</f>
        <v>140.38688004345681</v>
      </c>
      <c r="K12" s="14">
        <f>IF(K4=0,0,K4/TrAvia_act!K24)</f>
        <v>144.8951370016801</v>
      </c>
      <c r="L12" s="14">
        <f>IF(L4=0,0,L4/TrAvia_act!L24)</f>
        <v>147.63038866101405</v>
      </c>
      <c r="M12" s="14">
        <f>IF(M4=0,0,M4/TrAvia_act!M24)</f>
        <v>146.50359430991421</v>
      </c>
      <c r="N12" s="14">
        <f>IF(N4=0,0,N4/TrAvia_act!N24)</f>
        <v>149.77212958308746</v>
      </c>
      <c r="O12" s="14">
        <f>IF(O4=0,0,O4/TrAvia_act!O24)</f>
        <v>149.57825826511112</v>
      </c>
      <c r="P12" s="14">
        <f>IF(P4=0,0,P4/TrAvia_act!P24)</f>
        <v>149.89981631302422</v>
      </c>
      <c r="Q12" s="14">
        <f>IF(Q4=0,0,Q4/TrAvia_act!Q24)</f>
        <v>153.41093444273474</v>
      </c>
      <c r="R12" s="14">
        <f>IF(R4=0,0,R4/TrAvia_act!R24)</f>
        <v>149.38617053072031</v>
      </c>
      <c r="S12" s="14">
        <f>IF(S4=0,0,S4/TrAvia_act!S24)</f>
        <v>158.30165418149952</v>
      </c>
      <c r="T12" s="14">
        <f>IF(T4=0,0,T4/TrAvia_act!T24)</f>
        <v>158.8708623482342</v>
      </c>
      <c r="U12" s="14">
        <f>IF(U4=0,0,U4/TrAvia_act!U24)</f>
        <v>162.13380609212152</v>
      </c>
      <c r="V12" s="14">
        <f>IF(V4=0,0,V4/TrAvia_act!V24)</f>
        <v>155.26561911537013</v>
      </c>
      <c r="W12" s="14">
        <f>IF(W4=0,0,W4/TrAvia_act!W24)</f>
        <v>154.50382350843549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134.21646014103717</v>
      </c>
      <c r="C13" s="87">
        <f>IF(C5=0,0,C5/TrAvia_act!C25)</f>
        <v>135.68086426717815</v>
      </c>
      <c r="D13" s="87">
        <f>IF(D5=0,0,D5/TrAvia_act!D25)</f>
        <v>130.65601145038167</v>
      </c>
      <c r="E13" s="87">
        <f>IF(E5=0,0,E5/TrAvia_act!E25)</f>
        <v>130.82783384565164</v>
      </c>
      <c r="F13" s="87">
        <f>IF(F5=0,0,F5/TrAvia_act!F25)</f>
        <v>134.23684464148033</v>
      </c>
      <c r="G13" s="87">
        <f>IF(G5=0,0,G5/TrAvia_act!G25)</f>
        <v>131.25358785648575</v>
      </c>
      <c r="H13" s="87">
        <f>IF(H5=0,0,H5/TrAvia_act!H25)</f>
        <v>125.82092641879721</v>
      </c>
      <c r="I13" s="87">
        <f>IF(I5=0,0,I5/TrAvia_act!I25)</f>
        <v>130.50385501721243</v>
      </c>
      <c r="J13" s="87">
        <f>IF(J5=0,0,J5/TrAvia_act!J25)</f>
        <v>115.94750565385127</v>
      </c>
      <c r="K13" s="87">
        <f>IF(K5=0,0,K5/TrAvia_act!K25)</f>
        <v>126.35041504319837</v>
      </c>
      <c r="L13" s="87">
        <f>IF(L5=0,0,L5/TrAvia_act!L25)</f>
        <v>134.26414347137361</v>
      </c>
      <c r="M13" s="87">
        <f>IF(M5=0,0,M5/TrAvia_act!M25)</f>
        <v>125.55867136978249</v>
      </c>
      <c r="N13" s="87">
        <f>IF(N5=0,0,N5/TrAvia_act!N25)</f>
        <v>132.01813110181311</v>
      </c>
      <c r="O13" s="87">
        <f>IF(O5=0,0,O5/TrAvia_act!O25)</f>
        <v>131.09366060717912</v>
      </c>
      <c r="P13" s="87">
        <f>IF(P5=0,0,P5/TrAvia_act!P25)</f>
        <v>123.32695452068067</v>
      </c>
      <c r="Q13" s="87">
        <f>IF(Q5=0,0,Q5/TrAvia_act!Q25)</f>
        <v>132.84354281180939</v>
      </c>
      <c r="R13" s="87">
        <f>IF(R5=0,0,R5/TrAvia_act!R25)</f>
        <v>109.90112196752982</v>
      </c>
      <c r="S13" s="87">
        <f>IF(S5=0,0,S5/TrAvia_act!S25)</f>
        <v>126.55133372073406</v>
      </c>
      <c r="T13" s="87">
        <f>IF(T5=0,0,T5/TrAvia_act!T25)</f>
        <v>123.13698678789601</v>
      </c>
      <c r="U13" s="87">
        <f>IF(U5=0,0,U5/TrAvia_act!U25)</f>
        <v>122.53257042253522</v>
      </c>
      <c r="V13" s="87">
        <f>IF(V5=0,0,V5/TrAvia_act!V25)</f>
        <v>117.39782016348774</v>
      </c>
      <c r="W13" s="87">
        <f>IF(W5=0,0,W5/TrAvia_act!W25)</f>
        <v>122.06861968203656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145.07431528236239</v>
      </c>
      <c r="C14" s="87">
        <f>IF(C6=0,0,C6/TrAvia_act!C26)</f>
        <v>146.12079801114868</v>
      </c>
      <c r="D14" s="87">
        <f>IF(D6=0,0,D6/TrAvia_act!D26)</f>
        <v>152.21874950320336</v>
      </c>
      <c r="E14" s="87">
        <f>IF(E6=0,0,E6/TrAvia_act!E26)</f>
        <v>150.34540290538862</v>
      </c>
      <c r="F14" s="87">
        <f>IF(F6=0,0,F6/TrAvia_act!F26)</f>
        <v>148.45678451331455</v>
      </c>
      <c r="G14" s="87">
        <f>IF(G6=0,0,G6/TrAvia_act!G26)</f>
        <v>149.60640668133345</v>
      </c>
      <c r="H14" s="87">
        <f>IF(H6=0,0,H6/TrAvia_act!H26)</f>
        <v>149.37400880514002</v>
      </c>
      <c r="I14" s="87">
        <f>IF(I6=0,0,I6/TrAvia_act!I26)</f>
        <v>150.32693317835867</v>
      </c>
      <c r="J14" s="87">
        <f>IF(J6=0,0,J6/TrAvia_act!J26)</f>
        <v>142.01743627717548</v>
      </c>
      <c r="K14" s="87">
        <f>IF(K6=0,0,K6/TrAvia_act!K26)</f>
        <v>144.56431339554331</v>
      </c>
      <c r="L14" s="87">
        <f>IF(L6=0,0,L6/TrAvia_act!L26)</f>
        <v>145.34190872378727</v>
      </c>
      <c r="M14" s="87">
        <f>IF(M6=0,0,M6/TrAvia_act!M26)</f>
        <v>146.04837255536549</v>
      </c>
      <c r="N14" s="87">
        <f>IF(N6=0,0,N6/TrAvia_act!N26)</f>
        <v>147.99471564587844</v>
      </c>
      <c r="O14" s="87">
        <f>IF(O6=0,0,O6/TrAvia_act!O26)</f>
        <v>147.51279611302672</v>
      </c>
      <c r="P14" s="87">
        <f>IF(P6=0,0,P6/TrAvia_act!P26)</f>
        <v>149.92553736729249</v>
      </c>
      <c r="Q14" s="87">
        <f>IF(Q6=0,0,Q6/TrAvia_act!Q26)</f>
        <v>152.14603970049137</v>
      </c>
      <c r="R14" s="87">
        <f>IF(R6=0,0,R6/TrAvia_act!R26)</f>
        <v>158.82711806461481</v>
      </c>
      <c r="S14" s="87">
        <f>IF(S6=0,0,S6/TrAvia_act!S26)</f>
        <v>163.5937382643481</v>
      </c>
      <c r="T14" s="87">
        <f>IF(T6=0,0,T6/TrAvia_act!T26)</f>
        <v>163.96562356892076</v>
      </c>
      <c r="U14" s="87">
        <f>IF(U6=0,0,U6/TrAvia_act!U26)</f>
        <v>168.52531500233334</v>
      </c>
      <c r="V14" s="87">
        <f>IF(V6=0,0,V6/TrAvia_act!V26)</f>
        <v>164.92172048575813</v>
      </c>
      <c r="W14" s="87">
        <f>IF(W6=0,0,W6/TrAvia_act!W26)</f>
        <v>165.15091482828396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180.6989141164857</v>
      </c>
      <c r="C15" s="88">
        <f>IF(C7=0,0,C7/TrAvia_act!C27)</f>
        <v>182.88466467321658</v>
      </c>
      <c r="D15" s="88">
        <f>IF(D7=0,0,D7/TrAvia_act!D27)</f>
        <v>197.03421585011876</v>
      </c>
      <c r="E15" s="88">
        <f>IF(E7=0,0,E7/TrAvia_act!E27)</f>
        <v>194.41804788213628</v>
      </c>
      <c r="F15" s="88">
        <f>IF(F7=0,0,F7/TrAvia_act!F27)</f>
        <v>201.43160772554899</v>
      </c>
      <c r="G15" s="88">
        <f>IF(G7=0,0,G7/TrAvia_act!G27)</f>
        <v>198.45525170913612</v>
      </c>
      <c r="H15" s="88">
        <f>IF(H7=0,0,H7/TrAvia_act!H27)</f>
        <v>206.84869694713328</v>
      </c>
      <c r="I15" s="88">
        <f>IF(I7=0,0,I7/TrAvia_act!I27)</f>
        <v>212.48160094792971</v>
      </c>
      <c r="J15" s="88">
        <f>IF(J7=0,0,J7/TrAvia_act!J27)</f>
        <v>189.30959421201635</v>
      </c>
      <c r="K15" s="88">
        <f>IF(K7=0,0,K7/TrAvia_act!K27)</f>
        <v>189.52925410211154</v>
      </c>
      <c r="L15" s="88">
        <f>IF(L7=0,0,L7/TrAvia_act!L27)</f>
        <v>187.02832607788181</v>
      </c>
      <c r="M15" s="88">
        <f>IF(M7=0,0,M7/TrAvia_act!M27)</f>
        <v>189.22933121200069</v>
      </c>
      <c r="N15" s="88">
        <f>IF(N7=0,0,N7/TrAvia_act!N27)</f>
        <v>189.9499319727891</v>
      </c>
      <c r="O15" s="88">
        <f>IF(O7=0,0,O7/TrAvia_act!O27)</f>
        <v>192.28190072310119</v>
      </c>
      <c r="P15" s="88">
        <f>IF(P7=0,0,P7/TrAvia_act!P27)</f>
        <v>194.90091016609244</v>
      </c>
      <c r="Q15" s="88">
        <f>IF(Q7=0,0,Q7/TrAvia_act!Q27)</f>
        <v>196.0630078261303</v>
      </c>
      <c r="R15" s="88">
        <f>IF(R7=0,0,R7/TrAvia_act!R27)</f>
        <v>197.47031229057768</v>
      </c>
      <c r="S15" s="88">
        <f>IF(S7=0,0,S7/TrAvia_act!S27)</f>
        <v>198.30612947658403</v>
      </c>
      <c r="T15" s="88">
        <f>IF(T7=0,0,T7/TrAvia_act!T27)</f>
        <v>204.6613886335002</v>
      </c>
      <c r="U15" s="88">
        <f>IF(U7=0,0,U7/TrAvia_act!U27)</f>
        <v>205.73425316764133</v>
      </c>
      <c r="V15" s="88">
        <f>IF(V7=0,0,V7/TrAvia_act!V27)</f>
        <v>209.43825155797418</v>
      </c>
      <c r="W15" s="88">
        <f>IF(W7=0,0,W7/TrAvia_act!W27)</f>
        <v>191.31396116761326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0.60804950113005696</v>
      </c>
      <c r="C18" s="25">
        <f>IF(TrAvia_act!C34=0,0,(TrAvia_act!C34/TrAvia_act!C24)/TrAvia_png!C12)</f>
        <v>0.60617639403836487</v>
      </c>
      <c r="D18" s="25">
        <f>IF(TrAvia_act!D34=0,0,(TrAvia_act!D34/TrAvia_act!D24)/TrAvia_png!D12)</f>
        <v>0.60723803558520273</v>
      </c>
      <c r="E18" s="25">
        <f>IF(TrAvia_act!E34=0,0,(TrAvia_act!E34/TrAvia_act!E24)/TrAvia_png!E12)</f>
        <v>0.61195242148209739</v>
      </c>
      <c r="F18" s="25">
        <f>IF(TrAvia_act!F34=0,0,(TrAvia_act!F34/TrAvia_act!F24)/TrAvia_png!F12)</f>
        <v>0.61013742523243508</v>
      </c>
      <c r="G18" s="25">
        <f>IF(TrAvia_act!G34=0,0,(TrAvia_act!G34/TrAvia_act!G24)/TrAvia_png!G12)</f>
        <v>0.60179031506537406</v>
      </c>
      <c r="H18" s="25">
        <f>IF(TrAvia_act!H34=0,0,(TrAvia_act!H34/TrAvia_act!H24)/TrAvia_png!H12)</f>
        <v>0.59948045877496225</v>
      </c>
      <c r="I18" s="25">
        <f>IF(TrAvia_act!I34=0,0,(TrAvia_act!I34/TrAvia_act!I24)/TrAvia_png!I12)</f>
        <v>0.61326391886348774</v>
      </c>
      <c r="J18" s="25">
        <f>IF(TrAvia_act!J34=0,0,(TrAvia_act!J34/TrAvia_act!J24)/TrAvia_png!J12)</f>
        <v>0.6865682812233026</v>
      </c>
      <c r="K18" s="25">
        <f>IF(TrAvia_act!K34=0,0,(TrAvia_act!K34/TrAvia_act!K24)/TrAvia_png!K12)</f>
        <v>0.70703744276299818</v>
      </c>
      <c r="L18" s="25">
        <f>IF(TrAvia_act!L34=0,0,(TrAvia_act!L34/TrAvia_act!L24)/TrAvia_png!L12)</f>
        <v>0.70643889991308328</v>
      </c>
      <c r="M18" s="25">
        <f>IF(TrAvia_act!M34=0,0,(TrAvia_act!M34/TrAvia_act!M24)/TrAvia_png!M12)</f>
        <v>0.72997884991822515</v>
      </c>
      <c r="N18" s="25">
        <f>IF(TrAvia_act!N34=0,0,(TrAvia_act!N34/TrAvia_act!N24)/TrAvia_png!N12)</f>
        <v>0.73884807754323223</v>
      </c>
      <c r="O18" s="25">
        <f>IF(TrAvia_act!O34=0,0,(TrAvia_act!O34/TrAvia_act!O24)/TrAvia_png!O12)</f>
        <v>0.76315057024866673</v>
      </c>
      <c r="P18" s="25">
        <f>IF(TrAvia_act!P34=0,0,(TrAvia_act!P34/TrAvia_act!P24)/TrAvia_png!P12)</f>
        <v>0.78213590072291739</v>
      </c>
      <c r="Q18" s="25">
        <f>IF(TrAvia_act!Q34=0,0,(TrAvia_act!Q34/TrAvia_act!Q24)/TrAvia_png!Q12)</f>
        <v>0.79647671627430672</v>
      </c>
      <c r="R18" s="25">
        <f>IF(TrAvia_act!R34=0,0,(TrAvia_act!R34/TrAvia_act!R24)/TrAvia_png!R12)</f>
        <v>0.7920035049425177</v>
      </c>
      <c r="S18" s="25">
        <f>IF(TrAvia_act!S34=0,0,(TrAvia_act!S34/TrAvia_act!S24)/TrAvia_png!S12)</f>
        <v>0.81022698768260126</v>
      </c>
      <c r="T18" s="25">
        <f>IF(TrAvia_act!T34=0,0,(TrAvia_act!T34/TrAvia_act!T24)/TrAvia_png!T12)</f>
        <v>0.80905931326249214</v>
      </c>
      <c r="U18" s="25">
        <f>IF(TrAvia_act!U34=0,0,(TrAvia_act!U34/TrAvia_act!U24)/TrAvia_png!U12)</f>
        <v>0.81039869373305662</v>
      </c>
      <c r="V18" s="25">
        <f>IF(TrAvia_act!V34=0,0,(TrAvia_act!V34/TrAvia_act!V24)/TrAvia_png!V12)</f>
        <v>0.61260961639399714</v>
      </c>
      <c r="W18" s="25">
        <f>IF(TrAvia_act!W34=0,0,(TrAvia_act!W34/TrAvia_act!W24)/TrAvia_png!W12)</f>
        <v>0.6424950817551619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0.58205845882076945</v>
      </c>
      <c r="C19" s="89">
        <f>IF(TrAvia_act!C35=0,0,(TrAvia_act!C35/TrAvia_act!C25)/TrAvia_png!C13)</f>
        <v>0.57607587942017702</v>
      </c>
      <c r="D19" s="89">
        <f>IF(TrAvia_act!D35=0,0,(TrAvia_act!D35/TrAvia_act!D25)/TrAvia_png!D13)</f>
        <v>0.57142181892688559</v>
      </c>
      <c r="E19" s="89">
        <f>IF(TrAvia_act!E35=0,0,(TrAvia_act!E35/TrAvia_act!E25)/TrAvia_png!E13)</f>
        <v>0.57164526188712772</v>
      </c>
      <c r="F19" s="89">
        <f>IF(TrAvia_act!F35=0,0,(TrAvia_act!F35/TrAvia_act!F25)/TrAvia_png!F13)</f>
        <v>0.51831597493325698</v>
      </c>
      <c r="G19" s="89">
        <f>IF(TrAvia_act!G35=0,0,(TrAvia_act!G35/TrAvia_act!G25)/TrAvia_png!G13)</f>
        <v>0.50991465428027027</v>
      </c>
      <c r="H19" s="89">
        <f>IF(TrAvia_act!H35=0,0,(TrAvia_act!H35/TrAvia_act!H25)/TrAvia_png!H13)</f>
        <v>0.50194277504555929</v>
      </c>
      <c r="I19" s="89">
        <f>IF(TrAvia_act!I35=0,0,(TrAvia_act!I35/TrAvia_act!I25)/TrAvia_png!I13)</f>
        <v>0.51284411869860569</v>
      </c>
      <c r="J19" s="89">
        <f>IF(TrAvia_act!J35=0,0,(TrAvia_act!J35/TrAvia_act!J25)/TrAvia_png!J13)</f>
        <v>0.57463330279100855</v>
      </c>
      <c r="K19" s="89">
        <f>IF(TrAvia_act!K35=0,0,(TrAvia_act!K35/TrAvia_act!K25)/TrAvia_png!K13)</f>
        <v>0.62212689429616774</v>
      </c>
      <c r="L19" s="89">
        <f>IF(TrAvia_act!L35=0,0,(TrAvia_act!L35/TrAvia_act!L25)/TrAvia_png!L13)</f>
        <v>0.58824385769237419</v>
      </c>
      <c r="M19" s="89">
        <f>IF(TrAvia_act!M35=0,0,(TrAvia_act!M35/TrAvia_act!M25)/TrAvia_png!M13)</f>
        <v>0.59395351428746668</v>
      </c>
      <c r="N19" s="89">
        <f>IF(TrAvia_act!N35=0,0,(TrAvia_act!N35/TrAvia_act!N25)/TrAvia_png!N13)</f>
        <v>0.59746241693694069</v>
      </c>
      <c r="O19" s="89">
        <f>IF(TrAvia_act!O35=0,0,(TrAvia_act!O35/TrAvia_act!O25)/TrAvia_png!O13)</f>
        <v>0.63039155924022272</v>
      </c>
      <c r="P19" s="89">
        <f>IF(TrAvia_act!P35=0,0,(TrAvia_act!P35/TrAvia_act!P25)/TrAvia_png!P13)</f>
        <v>0.66462427166636051</v>
      </c>
      <c r="Q19" s="89">
        <f>IF(TrAvia_act!Q35=0,0,(TrAvia_act!Q35/TrAvia_act!Q25)/TrAvia_png!Q13)</f>
        <v>0.70564947169505476</v>
      </c>
      <c r="R19" s="89">
        <f>IF(TrAvia_act!R35=0,0,(TrAvia_act!R35/TrAvia_act!R25)/TrAvia_png!R13)</f>
        <v>0.69606554101916751</v>
      </c>
      <c r="S19" s="89">
        <f>IF(TrAvia_act!S35=0,0,(TrAvia_act!S35/TrAvia_act!S25)/TrAvia_png!S13)</f>
        <v>0.70170255841463069</v>
      </c>
      <c r="T19" s="89">
        <f>IF(TrAvia_act!T35=0,0,(TrAvia_act!T35/TrAvia_act!T25)/TrAvia_png!T13)</f>
        <v>0.73070886013882141</v>
      </c>
      <c r="U19" s="89">
        <f>IF(TrAvia_act!U35=0,0,(TrAvia_act!U35/TrAvia_act!U25)/TrAvia_png!U13)</f>
        <v>0.70185167107641344</v>
      </c>
      <c r="V19" s="89">
        <f>IF(TrAvia_act!V35=0,0,(TrAvia_act!V35/TrAvia_act!V25)/TrAvia_png!V13)</f>
        <v>0.49840502466763092</v>
      </c>
      <c r="W19" s="89">
        <f>IF(TrAvia_act!W35=0,0,(TrAvia_act!W35/TrAvia_act!W25)/TrAvia_png!W13)</f>
        <v>0.61123915303664256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0.63455059369704991</v>
      </c>
      <c r="C20" s="89">
        <f>IF(TrAvia_act!C36=0,0,(TrAvia_act!C36/TrAvia_act!C26)/TrAvia_png!C14)</f>
        <v>0.63476868525590757</v>
      </c>
      <c r="D20" s="89">
        <f>IF(TrAvia_act!D36=0,0,(TrAvia_act!D36/TrAvia_act!D26)/TrAvia_png!D14)</f>
        <v>0.63931485858613701</v>
      </c>
      <c r="E20" s="89">
        <f>IF(TrAvia_act!E36=0,0,(TrAvia_act!E36/TrAvia_act!E26)/TrAvia_png!E14)</f>
        <v>0.64496082658764708</v>
      </c>
      <c r="F20" s="89">
        <f>IF(TrAvia_act!F36=0,0,(TrAvia_act!F36/TrAvia_act!F26)/TrAvia_png!F14)</f>
        <v>0.66519648355953898</v>
      </c>
      <c r="G20" s="89">
        <f>IF(TrAvia_act!G36=0,0,(TrAvia_act!G36/TrAvia_act!G26)/TrAvia_png!G14)</f>
        <v>0.65182868471488697</v>
      </c>
      <c r="H20" s="89">
        <f>IF(TrAvia_act!H36=0,0,(TrAvia_act!H36/TrAvia_act!H26)/TrAvia_png!H14)</f>
        <v>0.64166744203076653</v>
      </c>
      <c r="I20" s="89">
        <f>IF(TrAvia_act!I36=0,0,(TrAvia_act!I36/TrAvia_act!I26)/TrAvia_png!I14)</f>
        <v>0.65797001115844167</v>
      </c>
      <c r="J20" s="89">
        <f>IF(TrAvia_act!J36=0,0,(TrAvia_act!J36/TrAvia_act!J26)/TrAvia_png!J14)</f>
        <v>0.7255970035256234</v>
      </c>
      <c r="K20" s="89">
        <f>IF(TrAvia_act!K36=0,0,(TrAvia_act!K36/TrAvia_act!K26)/TrAvia_png!K14)</f>
        <v>0.74065578896603523</v>
      </c>
      <c r="L20" s="89">
        <f>IF(TrAvia_act!L36=0,0,(TrAvia_act!L36/TrAvia_act!L26)/TrAvia_png!L14)</f>
        <v>0.7439994429588993</v>
      </c>
      <c r="M20" s="89">
        <f>IF(TrAvia_act!M36=0,0,(TrAvia_act!M36/TrAvia_act!M26)/TrAvia_png!M14)</f>
        <v>0.77022190062443807</v>
      </c>
      <c r="N20" s="89">
        <f>IF(TrAvia_act!N36=0,0,(TrAvia_act!N36/TrAvia_act!N26)/TrAvia_png!N14)</f>
        <v>0.77922884936300307</v>
      </c>
      <c r="O20" s="89">
        <f>IF(TrAvia_act!O36=0,0,(TrAvia_act!O36/TrAvia_act!O26)/TrAvia_png!O14)</f>
        <v>0.80144687109174395</v>
      </c>
      <c r="P20" s="89">
        <f>IF(TrAvia_act!P36=0,0,(TrAvia_act!P36/TrAvia_act!P26)/TrAvia_png!P14)</f>
        <v>0.81758299763681663</v>
      </c>
      <c r="Q20" s="89">
        <f>IF(TrAvia_act!Q36=0,0,(TrAvia_act!Q36/TrAvia_act!Q26)/TrAvia_png!Q14)</f>
        <v>0.83237640509018884</v>
      </c>
      <c r="R20" s="89">
        <f>IF(TrAvia_act!R36=0,0,(TrAvia_act!R36/TrAvia_act!R26)/TrAvia_png!R14)</f>
        <v>0.83382166087480469</v>
      </c>
      <c r="S20" s="89">
        <f>IF(TrAvia_act!S36=0,0,(TrAvia_act!S36/TrAvia_act!S26)/TrAvia_png!S14)</f>
        <v>0.85250000286946237</v>
      </c>
      <c r="T20" s="89">
        <f>IF(TrAvia_act!T36=0,0,(TrAvia_act!T36/TrAvia_act!T26)/TrAvia_png!T14)</f>
        <v>0.84389568647925206</v>
      </c>
      <c r="U20" s="89">
        <f>IF(TrAvia_act!U36=0,0,(TrAvia_act!U36/TrAvia_act!U26)/TrAvia_png!U14)</f>
        <v>0.84959466609209222</v>
      </c>
      <c r="V20" s="89">
        <f>IF(TrAvia_act!V36=0,0,(TrAvia_act!V36/TrAvia_act!V26)/TrAvia_png!V14)</f>
        <v>0.6551306090381207</v>
      </c>
      <c r="W20" s="89">
        <f>IF(TrAvia_act!W36=0,0,(TrAvia_act!W36/TrAvia_act!W26)/TrAvia_png!W14)</f>
        <v>0.65253871759610327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0.54506104045569104</v>
      </c>
      <c r="C21" s="90">
        <f>IF(TrAvia_act!C37=0,0,(TrAvia_act!C37/TrAvia_act!C27)/TrAvia_png!C15)</f>
        <v>0.54741961026129726</v>
      </c>
      <c r="D21" s="90">
        <f>IF(TrAvia_act!D37=0,0,(TrAvia_act!D37/TrAvia_act!D27)/TrAvia_png!D15)</f>
        <v>0.5489437440236562</v>
      </c>
      <c r="E21" s="90">
        <f>IF(TrAvia_act!E37=0,0,(TrAvia_act!E37/TrAvia_act!E27)/TrAvia_png!E15)</f>
        <v>0.55774293245520601</v>
      </c>
      <c r="F21" s="90">
        <f>IF(TrAvia_act!F37=0,0,(TrAvia_act!F37/TrAvia_act!F27)/TrAvia_png!F15)</f>
        <v>0.5978551973636107</v>
      </c>
      <c r="G21" s="90">
        <f>IF(TrAvia_act!G37=0,0,(TrAvia_act!G37/TrAvia_act!G27)/TrAvia_png!G15)</f>
        <v>0.59791404712282092</v>
      </c>
      <c r="H21" s="90">
        <f>IF(TrAvia_act!H37=0,0,(TrAvia_act!H37/TrAvia_act!H27)/TrAvia_png!H15)</f>
        <v>0.57986132359579523</v>
      </c>
      <c r="I21" s="90">
        <f>IF(TrAvia_act!I37=0,0,(TrAvia_act!I37/TrAvia_act!I27)/TrAvia_png!I15)</f>
        <v>0.56967421854087974</v>
      </c>
      <c r="J21" s="90">
        <f>IF(TrAvia_act!J37=0,0,(TrAvia_act!J37/TrAvia_act!J27)/TrAvia_png!J15)</f>
        <v>0.68947444331748353</v>
      </c>
      <c r="K21" s="90">
        <f>IF(TrAvia_act!K37=0,0,(TrAvia_act!K37/TrAvia_act!K27)/TrAvia_png!K15)</f>
        <v>0.70660372119622139</v>
      </c>
      <c r="L21" s="90">
        <f>IF(TrAvia_act!L37=0,0,(TrAvia_act!L37/TrAvia_act!L27)/TrAvia_png!L15)</f>
        <v>0.74221641066257515</v>
      </c>
      <c r="M21" s="90">
        <f>IF(TrAvia_act!M37=0,0,(TrAvia_act!M37/TrAvia_act!M27)/TrAvia_png!M15)</f>
        <v>0.75176135583937154</v>
      </c>
      <c r="N21" s="90">
        <f>IF(TrAvia_act!N37=0,0,(TrAvia_act!N37/TrAvia_act!N27)/TrAvia_png!N15)</f>
        <v>0.76812622302189193</v>
      </c>
      <c r="O21" s="90">
        <f>IF(TrAvia_act!O37=0,0,(TrAvia_act!O37/TrAvia_act!O27)/TrAvia_png!O15)</f>
        <v>0.78045750190647001</v>
      </c>
      <c r="P21" s="90">
        <f>IF(TrAvia_act!P37=0,0,(TrAvia_act!P37/TrAvia_act!P27)/TrAvia_png!P15)</f>
        <v>0.77436298195522291</v>
      </c>
      <c r="Q21" s="90">
        <f>IF(TrAvia_act!Q37=0,0,(TrAvia_act!Q37/TrAvia_act!Q27)/TrAvia_png!Q15)</f>
        <v>0.76231255815845533</v>
      </c>
      <c r="R21" s="90">
        <f>IF(TrAvia_act!R37=0,0,(TrAvia_act!R37/TrAvia_act!R27)/TrAvia_png!R15)</f>
        <v>0.75339696260931621</v>
      </c>
      <c r="S21" s="90">
        <f>IF(TrAvia_act!S37=0,0,(TrAvia_act!S37/TrAvia_act!S27)/TrAvia_png!S15)</f>
        <v>0.78814894049291429</v>
      </c>
      <c r="T21" s="90">
        <f>IF(TrAvia_act!T37=0,0,(TrAvia_act!T37/TrAvia_act!T27)/TrAvia_png!T15)</f>
        <v>0.77493568946994407</v>
      </c>
      <c r="U21" s="90">
        <f>IF(TrAvia_act!U37=0,0,(TrAvia_act!U37/TrAvia_act!U27)/TrAvia_png!U15)</f>
        <v>0.79246186377507588</v>
      </c>
      <c r="V21" s="90">
        <f>IF(TrAvia_act!V37=0,0,(TrAvia_act!V37/TrAvia_act!V27)/TrAvia_png!V15)</f>
        <v>0.62270580395871145</v>
      </c>
      <c r="W21" s="90">
        <f>IF(TrAvia_act!W37=0,0,(TrAvia_act!W37/TrAvia_act!W27)/TrAvia_png!W15)</f>
        <v>0.65521651599861364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2.9510499164388863E-2</v>
      </c>
      <c r="C24" s="23">
        <f>IF(TrAvia_ene!C6=0,0,TrAvia_ene!C6/(C12*TrAvia_act!C14))</f>
        <v>2.9356879192239213E-2</v>
      </c>
      <c r="D24" s="23">
        <f>IF(TrAvia_ene!D6=0,0,TrAvia_ene!D6/(D12*TrAvia_act!D14))</f>
        <v>2.8830011093504478E-2</v>
      </c>
      <c r="E24" s="23">
        <f>IF(TrAvia_ene!E6=0,0,TrAvia_ene!E6/(E12*TrAvia_act!E14))</f>
        <v>2.9862272742608786E-2</v>
      </c>
      <c r="F24" s="23">
        <f>IF(TrAvia_ene!F6=0,0,TrAvia_ene!F6/(F12*TrAvia_act!F14))</f>
        <v>3.1748891771706228E-2</v>
      </c>
      <c r="G24" s="23">
        <f>IF(TrAvia_ene!G6=0,0,TrAvia_ene!G6/(G12*TrAvia_act!G14))</f>
        <v>3.0128618994504766E-2</v>
      </c>
      <c r="H24" s="23">
        <f>IF(TrAvia_ene!H6=0,0,TrAvia_ene!H6/(H12*TrAvia_act!H14))</f>
        <v>2.8896255630813977E-2</v>
      </c>
      <c r="I24" s="23">
        <f>IF(TrAvia_ene!I6=0,0,TrAvia_ene!I6/(I12*TrAvia_act!I14))</f>
        <v>2.7018726289641984E-2</v>
      </c>
      <c r="J24" s="23">
        <f>IF(TrAvia_ene!J6=0,0,TrAvia_ene!J6/(J12*TrAvia_act!J14))</f>
        <v>3.0008998913141585E-2</v>
      </c>
      <c r="K24" s="23">
        <f>IF(TrAvia_ene!K6=0,0,TrAvia_ene!K6/(K12*TrAvia_act!K14))</f>
        <v>2.9512618659747369E-2</v>
      </c>
      <c r="L24" s="23">
        <f>IF(TrAvia_ene!L6=0,0,TrAvia_ene!L6/(L12*TrAvia_act!L14))</f>
        <v>2.981342632133516E-2</v>
      </c>
      <c r="M24" s="23">
        <f>IF(TrAvia_ene!M6=0,0,TrAvia_ene!M6/(M12*TrAvia_act!M14))</f>
        <v>2.9846169126213271E-2</v>
      </c>
      <c r="N24" s="23">
        <f>IF(TrAvia_ene!N6=0,0,TrAvia_ene!N6/(N12*TrAvia_act!N14))</f>
        <v>2.9257030288033673E-2</v>
      </c>
      <c r="O24" s="23">
        <f>IF(TrAvia_ene!O6=0,0,TrAvia_ene!O6/(O12*TrAvia_act!O14))</f>
        <v>2.8884509308633805E-2</v>
      </c>
      <c r="P24" s="23">
        <f>IF(TrAvia_ene!P6=0,0,TrAvia_ene!P6/(P12*TrAvia_act!P14))</f>
        <v>2.7845123794855646E-2</v>
      </c>
      <c r="Q24" s="23">
        <f>IF(TrAvia_ene!Q6=0,0,TrAvia_ene!Q6/(Q12*TrAvia_act!Q14))</f>
        <v>2.7786196479444799E-2</v>
      </c>
      <c r="R24" s="23">
        <f>IF(TrAvia_ene!R6=0,0,TrAvia_ene!R6/(R12*TrAvia_act!R14))</f>
        <v>2.8034206830542873E-2</v>
      </c>
      <c r="S24" s="23">
        <f>IF(TrAvia_ene!S6=0,0,TrAvia_ene!S6/(S12*TrAvia_act!S14))</f>
        <v>2.661379354102493E-2</v>
      </c>
      <c r="T24" s="23">
        <f>IF(TrAvia_ene!T6=0,0,TrAvia_ene!T6/(T12*TrAvia_act!T14))</f>
        <v>2.577243626635866E-2</v>
      </c>
      <c r="U24" s="23">
        <f>IF(TrAvia_ene!U6=0,0,TrAvia_ene!U6/(U12*TrAvia_act!U14))</f>
        <v>2.4885055294779829E-2</v>
      </c>
      <c r="V24" s="23">
        <f>IF(TrAvia_ene!V6=0,0,TrAvia_ene!V6/(V12*TrAvia_act!V14))</f>
        <v>2.4556715145574788E-2</v>
      </c>
      <c r="W24" s="23">
        <f>IF(TrAvia_ene!W6=0,0,TrAvia_ene!W6/(W12*TrAvia_act!W14))</f>
        <v>2.382530208151654E-2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3.812469299865455E-2</v>
      </c>
      <c r="C25" s="91">
        <f>IF(TrAvia_ene!C7=0,0,TrAvia_ene!C7/(C13*TrAvia_act!C15))</f>
        <v>3.788021669416524E-2</v>
      </c>
      <c r="D25" s="91">
        <f>IF(TrAvia_ene!D7=0,0,TrAvia_ene!D7/(D13*TrAvia_act!D15))</f>
        <v>3.9425862112512332E-2</v>
      </c>
      <c r="E25" s="91">
        <f>IF(TrAvia_ene!E7=0,0,TrAvia_ene!E7/(E13*TrAvia_act!E15))</f>
        <v>3.7679823999342846E-2</v>
      </c>
      <c r="F25" s="91">
        <f>IF(TrAvia_ene!F7=0,0,TrAvia_ene!F7/(F13*TrAvia_act!F15))</f>
        <v>3.6810763585100686E-2</v>
      </c>
      <c r="G25" s="91">
        <f>IF(TrAvia_ene!G7=0,0,TrAvia_ene!G7/(G13*TrAvia_act!G15))</f>
        <v>3.6710223410530679E-2</v>
      </c>
      <c r="H25" s="91">
        <f>IF(TrAvia_ene!H7=0,0,TrAvia_ene!H7/(H13*TrAvia_act!H15))</f>
        <v>4.2712102541252836E-2</v>
      </c>
      <c r="I25" s="91">
        <f>IF(TrAvia_ene!I7=0,0,TrAvia_ene!I7/(I13*TrAvia_act!I15))</f>
        <v>4.32039424298322E-2</v>
      </c>
      <c r="J25" s="91">
        <f>IF(TrAvia_ene!J7=0,0,TrAvia_ene!J7/(J13*TrAvia_act!J15))</f>
        <v>4.2513224225096839E-2</v>
      </c>
      <c r="K25" s="91">
        <f>IF(TrAvia_ene!K7=0,0,TrAvia_ene!K7/(K13*TrAvia_act!K15))</f>
        <v>3.9187974888010492E-2</v>
      </c>
      <c r="L25" s="91">
        <f>IF(TrAvia_ene!L7=0,0,TrAvia_ene!L7/(L13*TrAvia_act!L15))</f>
        <v>4.3593702530816264E-2</v>
      </c>
      <c r="M25" s="91">
        <f>IF(TrAvia_ene!M7=0,0,TrAvia_ene!M7/(M13*TrAvia_act!M15))</f>
        <v>4.4390347632880245E-2</v>
      </c>
      <c r="N25" s="91">
        <f>IF(TrAvia_ene!N7=0,0,TrAvia_ene!N7/(N13*TrAvia_act!N15))</f>
        <v>4.3248917060689562E-2</v>
      </c>
      <c r="O25" s="91">
        <f>IF(TrAvia_ene!O7=0,0,TrAvia_ene!O7/(O13*TrAvia_act!O15))</f>
        <v>4.464200996867021E-2</v>
      </c>
      <c r="P25" s="91">
        <f>IF(TrAvia_ene!P7=0,0,TrAvia_ene!P7/(P13*TrAvia_act!P15))</f>
        <v>4.3891030584587092E-2</v>
      </c>
      <c r="Q25" s="91">
        <f>IF(TrAvia_ene!Q7=0,0,TrAvia_ene!Q7/(Q13*TrAvia_act!Q15))</f>
        <v>3.9256596374195915E-2</v>
      </c>
      <c r="R25" s="91">
        <f>IF(TrAvia_ene!R7=0,0,TrAvia_ene!R7/(R13*TrAvia_act!R15))</f>
        <v>3.6294490870563932E-2</v>
      </c>
      <c r="S25" s="91">
        <f>IF(TrAvia_ene!S7=0,0,TrAvia_ene!S7/(S13*TrAvia_act!S15))</f>
        <v>3.7075504388320343E-2</v>
      </c>
      <c r="T25" s="91">
        <f>IF(TrAvia_ene!T7=0,0,TrAvia_ene!T7/(T13*TrAvia_act!T15))</f>
        <v>3.8329280129668006E-2</v>
      </c>
      <c r="U25" s="91">
        <f>IF(TrAvia_ene!U7=0,0,TrAvia_ene!U7/(U13*TrAvia_act!U15))</f>
        <v>3.325838932531533E-2</v>
      </c>
      <c r="V25" s="91">
        <f>IF(TrAvia_ene!V7=0,0,TrAvia_ene!V7/(V13*TrAvia_act!V15))</f>
        <v>3.6235203036672457E-2</v>
      </c>
      <c r="W25" s="91">
        <f>IF(TrAvia_ene!W7=0,0,TrAvia_ene!W7/(W13*TrAvia_act!W15))</f>
        <v>3.2560159953102637E-2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2.4232788110949074E-2</v>
      </c>
      <c r="C26" s="93">
        <f>IF(TrAvia_ene!C8=0,0,TrAvia_ene!C8/(C14*TrAvia_act!C16))</f>
        <v>2.4055533279077206E-2</v>
      </c>
      <c r="D26" s="93">
        <f>IF(TrAvia_ene!D8=0,0,TrAvia_ene!D8/(D14*TrAvia_act!D16))</f>
        <v>2.3048259146120211E-2</v>
      </c>
      <c r="E26" s="93">
        <f>IF(TrAvia_ene!E8=0,0,TrAvia_ene!E8/(E14*TrAvia_act!E16))</f>
        <v>2.4323271549334554E-2</v>
      </c>
      <c r="F26" s="93">
        <f>IF(TrAvia_ene!F8=0,0,TrAvia_ene!F8/(F14*TrAvia_act!F16))</f>
        <v>2.6636641518846566E-2</v>
      </c>
      <c r="G26" s="93">
        <f>IF(TrAvia_ene!G8=0,0,TrAvia_ene!G8/(G14*TrAvia_act!G16))</f>
        <v>2.5584783263664115E-2</v>
      </c>
      <c r="H26" s="93">
        <f>IF(TrAvia_ene!H8=0,0,TrAvia_ene!H8/(H14*TrAvia_act!H16))</f>
        <v>2.4014021732722629E-2</v>
      </c>
      <c r="I26" s="93">
        <f>IF(TrAvia_ene!I8=0,0,TrAvia_ene!I8/(I14*TrAvia_act!I16))</f>
        <v>2.3496436480120838E-2</v>
      </c>
      <c r="J26" s="93">
        <f>IF(TrAvia_ene!J8=0,0,TrAvia_ene!J8/(J14*TrAvia_act!J16))</f>
        <v>2.620808733149901E-2</v>
      </c>
      <c r="K26" s="93">
        <f>IF(TrAvia_ene!K8=0,0,TrAvia_ene!K8/(K14*TrAvia_act!K16))</f>
        <v>2.5799865241697896E-2</v>
      </c>
      <c r="L26" s="93">
        <f>IF(TrAvia_ene!L8=0,0,TrAvia_ene!L8/(L14*TrAvia_act!L16))</f>
        <v>2.6133298367576659E-2</v>
      </c>
      <c r="M26" s="93">
        <f>IF(TrAvia_ene!M8=0,0,TrAvia_ene!M8/(M14*TrAvia_act!M16))</f>
        <v>2.6386416249393269E-2</v>
      </c>
      <c r="N26" s="93">
        <f>IF(TrAvia_ene!N8=0,0,TrAvia_ene!N8/(N14*TrAvia_act!N16))</f>
        <v>2.602712662510754E-2</v>
      </c>
      <c r="O26" s="93">
        <f>IF(TrAvia_ene!O8=0,0,TrAvia_ene!O8/(O14*TrAvia_act!O16))</f>
        <v>2.5249154336996066E-2</v>
      </c>
      <c r="P26" s="93">
        <f>IF(TrAvia_ene!P8=0,0,TrAvia_ene!P8/(P14*TrAvia_act!P16))</f>
        <v>2.4479985422836213E-2</v>
      </c>
      <c r="Q26" s="93">
        <f>IF(TrAvia_ene!Q8=0,0,TrAvia_ene!Q8/(Q14*TrAvia_act!Q16))</f>
        <v>2.4565051122315613E-2</v>
      </c>
      <c r="R26" s="93">
        <f>IF(TrAvia_ene!R8=0,0,TrAvia_ene!R8/(R14*TrAvia_act!R16))</f>
        <v>2.4279514453746022E-2</v>
      </c>
      <c r="S26" s="93">
        <f>IF(TrAvia_ene!S8=0,0,TrAvia_ene!S8/(S14*TrAvia_act!S16))</f>
        <v>2.4003524620925802E-2</v>
      </c>
      <c r="T26" s="93">
        <f>IF(TrAvia_ene!T8=0,0,TrAvia_ene!T8/(T14*TrAvia_act!T16))</f>
        <v>2.3616592145280751E-2</v>
      </c>
      <c r="U26" s="93">
        <f>IF(TrAvia_ene!U8=0,0,TrAvia_ene!U8/(U14*TrAvia_act!U16))</f>
        <v>2.4001183316397452E-2</v>
      </c>
      <c r="V26" s="93">
        <f>IF(TrAvia_ene!V8=0,0,TrAvia_ene!V8/(V14*TrAvia_act!V16))</f>
        <v>1.8457266800725385E-2</v>
      </c>
      <c r="W26" s="93">
        <f>IF(TrAvia_ene!W8=0,0,TrAvia_ene!W8/(W14*TrAvia_act!W16))</f>
        <v>1.9124884561613147E-2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3.1661556112588259E-2</v>
      </c>
      <c r="C27" s="94">
        <f>IF(TrAvia_ene!C9=0,0,TrAvia_ene!C9/(C15*TrAvia_act!C17))</f>
        <v>3.1278328484069425E-2</v>
      </c>
      <c r="D27" s="94">
        <f>IF(TrAvia_ene!D9=0,0,TrAvia_ene!D9/(D15*TrAvia_act!D17))</f>
        <v>2.8977337675964564E-2</v>
      </c>
      <c r="E27" s="94">
        <f>IF(TrAvia_ene!E9=0,0,TrAvia_ene!E9/(E15*TrAvia_act!E17))</f>
        <v>3.0612030615571884E-2</v>
      </c>
      <c r="F27" s="94">
        <f>IF(TrAvia_ene!F9=0,0,TrAvia_ene!F9/(F15*TrAvia_act!F17))</f>
        <v>3.1933104572371598E-2</v>
      </c>
      <c r="G27" s="94">
        <f>IF(TrAvia_ene!G9=0,0,TrAvia_ene!G9/(G15*TrAvia_act!G17))</f>
        <v>2.8875255843224933E-2</v>
      </c>
      <c r="H27" s="94">
        <f>IF(TrAvia_ene!H9=0,0,TrAvia_ene!H9/(H15*TrAvia_act!H17))</f>
        <v>2.6732401672456226E-2</v>
      </c>
      <c r="I27" s="94">
        <f>IF(TrAvia_ene!I9=0,0,TrAvia_ene!I9/(I15*TrAvia_act!I17))</f>
        <v>2.2995646859477914E-2</v>
      </c>
      <c r="J27" s="94">
        <f>IF(TrAvia_ene!J9=0,0,TrAvia_ene!J9/(J15*TrAvia_act!J17))</f>
        <v>2.6530997952893924E-2</v>
      </c>
      <c r="K27" s="94">
        <f>IF(TrAvia_ene!K9=0,0,TrAvia_ene!K9/(K15*TrAvia_act!K17))</f>
        <v>2.7307222676490505E-2</v>
      </c>
      <c r="L27" s="94">
        <f>IF(TrAvia_ene!L9=0,0,TrAvia_ene!L9/(L15*TrAvia_act!L17))</f>
        <v>2.7434859190780543E-2</v>
      </c>
      <c r="M27" s="94">
        <f>IF(TrAvia_ene!M9=0,0,TrAvia_ene!M9/(M15*TrAvia_act!M17))</f>
        <v>2.665062416902288E-2</v>
      </c>
      <c r="N27" s="94">
        <f>IF(TrAvia_ene!N9=0,0,TrAvia_ene!N9/(N15*TrAvia_act!N17))</f>
        <v>2.63837904097587E-2</v>
      </c>
      <c r="O27" s="94">
        <f>IF(TrAvia_ene!O9=0,0,TrAvia_ene!O9/(O15*TrAvia_act!O17))</f>
        <v>2.6475794793696175E-2</v>
      </c>
      <c r="P27" s="94">
        <f>IF(TrAvia_ene!P9=0,0,TrAvia_ene!P9/(P15*TrAvia_act!P17))</f>
        <v>2.4886687326053297E-2</v>
      </c>
      <c r="Q27" s="94">
        <f>IF(TrAvia_ene!Q9=0,0,TrAvia_ene!Q9/(Q15*TrAvia_act!Q17))</f>
        <v>2.5998207819085163E-2</v>
      </c>
      <c r="R27" s="94">
        <f>IF(TrAvia_ene!R9=0,0,TrAvia_ene!R9/(R15*TrAvia_act!R17))</f>
        <v>2.5307784550161753E-2</v>
      </c>
      <c r="S27" s="94">
        <f>IF(TrAvia_ene!S9=0,0,TrAvia_ene!S9/(S15*TrAvia_act!S17))</f>
        <v>2.3423331012153242E-2</v>
      </c>
      <c r="T27" s="94">
        <f>IF(TrAvia_ene!T9=0,0,TrAvia_ene!T9/(T15*TrAvia_act!T17))</f>
        <v>2.1107786973608142E-2</v>
      </c>
      <c r="U27" s="94">
        <f>IF(TrAvia_ene!U9=0,0,TrAvia_ene!U9/(U15*TrAvia_act!U17))</f>
        <v>1.9467252628988106E-2</v>
      </c>
      <c r="V27" s="94">
        <f>IF(TrAvia_ene!V9=0,0,TrAvia_ene!V9/(V15*TrAvia_act!V17))</f>
        <v>2.4373255677319995E-2</v>
      </c>
      <c r="W27" s="94">
        <f>IF(TrAvia_ene!W9=0,0,TrAvia_ene!W9/(W15*TrAvia_act!W17))</f>
        <v>2.3936265141404109E-2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304.024</v>
      </c>
      <c r="C3" s="54">
        <f t="shared" si="0"/>
        <v>311.303</v>
      </c>
      <c r="D3" s="54">
        <f t="shared" si="0"/>
        <v>309.803</v>
      </c>
      <c r="E3" s="54">
        <f t="shared" si="0"/>
        <v>317.69200000000001</v>
      </c>
      <c r="F3" s="54">
        <f t="shared" si="0"/>
        <v>323.35899999999998</v>
      </c>
      <c r="G3" s="54">
        <f t="shared" si="0"/>
        <v>375.58600000000001</v>
      </c>
      <c r="H3" s="54">
        <f t="shared" si="0"/>
        <v>376.30799999999999</v>
      </c>
      <c r="I3" s="54">
        <f t="shared" si="0"/>
        <v>432.47899999999998</v>
      </c>
      <c r="J3" s="54">
        <f t="shared" si="0"/>
        <v>452.036</v>
      </c>
      <c r="K3" s="54">
        <f t="shared" si="0"/>
        <v>402.08800000000002</v>
      </c>
      <c r="L3" s="54">
        <f t="shared" si="0"/>
        <v>389.58699999999999</v>
      </c>
      <c r="M3" s="54">
        <f t="shared" si="0"/>
        <v>395.58699999999999</v>
      </c>
      <c r="N3" s="54">
        <f t="shared" si="0"/>
        <v>323.85899999999998</v>
      </c>
      <c r="O3" s="54">
        <f t="shared" si="0"/>
        <v>337.416</v>
      </c>
      <c r="P3" s="54">
        <f t="shared" si="0"/>
        <v>322.637</v>
      </c>
      <c r="Q3" s="54">
        <f t="shared" si="0"/>
        <v>303.19099999999997</v>
      </c>
      <c r="R3" s="54">
        <f t="shared" ref="R3:V3" si="1">SUM(R4:R5)</f>
        <v>408.03300000000002</v>
      </c>
      <c r="S3" s="54">
        <f t="shared" si="1"/>
        <v>348.80599999999998</v>
      </c>
      <c r="T3" s="54">
        <f t="shared" si="1"/>
        <v>354.02800000000002</v>
      </c>
      <c r="U3" s="54">
        <f t="shared" si="1"/>
        <v>354.97300000000001</v>
      </c>
      <c r="V3" s="54">
        <f t="shared" si="1"/>
        <v>314.02499999999998</v>
      </c>
      <c r="W3" s="54">
        <f t="shared" ref="W3" si="2">SUM(W4:W5)</f>
        <v>324.97000000000003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304.024</v>
      </c>
      <c r="C4" s="56">
        <v>311.303</v>
      </c>
      <c r="D4" s="56">
        <v>309.803</v>
      </c>
      <c r="E4" s="56">
        <v>317.69200000000001</v>
      </c>
      <c r="F4" s="56">
        <v>323.35899999999998</v>
      </c>
      <c r="G4" s="56">
        <v>375.58600000000001</v>
      </c>
      <c r="H4" s="56">
        <v>376.30799999999999</v>
      </c>
      <c r="I4" s="56">
        <v>432.47899999999998</v>
      </c>
      <c r="J4" s="56">
        <v>452.036</v>
      </c>
      <c r="K4" s="56">
        <v>402.08800000000002</v>
      </c>
      <c r="L4" s="56">
        <v>389.58699999999999</v>
      </c>
      <c r="M4" s="56">
        <v>395.58699999999999</v>
      </c>
      <c r="N4" s="56">
        <v>323.85899999999998</v>
      </c>
      <c r="O4" s="56">
        <v>337.416</v>
      </c>
      <c r="P4" s="56">
        <v>322.637</v>
      </c>
      <c r="Q4" s="56">
        <v>303.19099999999997</v>
      </c>
      <c r="R4" s="56">
        <v>408.03300000000002</v>
      </c>
      <c r="S4" s="56">
        <v>348.80599999999998</v>
      </c>
      <c r="T4" s="56">
        <v>354.02800000000002</v>
      </c>
      <c r="U4" s="56">
        <v>354.97300000000001</v>
      </c>
      <c r="V4" s="56">
        <v>314.02499999999998</v>
      </c>
      <c r="W4" s="56">
        <v>324.97000000000003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9.5000000000000001E-2</v>
      </c>
      <c r="C7" s="59">
        <f t="shared" si="3"/>
        <v>0.11600000000000001</v>
      </c>
      <c r="D7" s="59">
        <f t="shared" si="3"/>
        <v>0.186</v>
      </c>
      <c r="E7" s="59">
        <f t="shared" si="3"/>
        <v>0.13400000000000001</v>
      </c>
      <c r="F7" s="59">
        <f t="shared" si="3"/>
        <v>0.128</v>
      </c>
      <c r="G7" s="59">
        <f t="shared" si="3"/>
        <v>0.09</v>
      </c>
      <c r="H7" s="59">
        <f t="shared" si="3"/>
        <v>0.108</v>
      </c>
      <c r="I7" s="59">
        <f t="shared" si="3"/>
        <v>0.27900000000000003</v>
      </c>
      <c r="J7" s="59">
        <f t="shared" si="3"/>
        <v>0.28599999999999998</v>
      </c>
      <c r="K7" s="59">
        <f t="shared" si="3"/>
        <v>0.26800000000000002</v>
      </c>
      <c r="L7" s="59">
        <f t="shared" si="3"/>
        <v>0.25600000000000001</v>
      </c>
      <c r="M7" s="59">
        <f t="shared" si="3"/>
        <v>0.246</v>
      </c>
      <c r="N7" s="59">
        <f t="shared" si="3"/>
        <v>0.20399999999999999</v>
      </c>
      <c r="O7" s="59">
        <f t="shared" si="3"/>
        <v>0.19600000000000001</v>
      </c>
      <c r="P7" s="59">
        <f t="shared" si="3"/>
        <v>0.13100000000000001</v>
      </c>
      <c r="Q7" s="59">
        <f t="shared" si="3"/>
        <v>0.13200000000000001</v>
      </c>
      <c r="R7" s="59">
        <f t="shared" ref="R7:V7" si="4">SUM(R8:R9)</f>
        <v>0.19800000000000001</v>
      </c>
      <c r="S7" s="59">
        <f t="shared" si="4"/>
        <v>0.16600000000000001</v>
      </c>
      <c r="T7" s="59">
        <f t="shared" si="4"/>
        <v>0.16600000000000001</v>
      </c>
      <c r="U7" s="59">
        <f t="shared" si="4"/>
        <v>0.183</v>
      </c>
      <c r="V7" s="59">
        <f t="shared" si="4"/>
        <v>0.184</v>
      </c>
      <c r="W7" s="59">
        <f t="shared" ref="W7" si="5">SUM(W8:W9)</f>
        <v>0.17699999999999999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9.5000000000000001E-2</v>
      </c>
      <c r="C8" s="60">
        <v>0.11600000000000001</v>
      </c>
      <c r="D8" s="60">
        <v>0.186</v>
      </c>
      <c r="E8" s="60">
        <v>0.13400000000000001</v>
      </c>
      <c r="F8" s="60">
        <v>0.128</v>
      </c>
      <c r="G8" s="60">
        <v>0.09</v>
      </c>
      <c r="H8" s="60">
        <v>0.108</v>
      </c>
      <c r="I8" s="60">
        <v>0.27900000000000003</v>
      </c>
      <c r="J8" s="60">
        <v>0.28599999999999998</v>
      </c>
      <c r="K8" s="60">
        <v>0.26800000000000002</v>
      </c>
      <c r="L8" s="60">
        <v>0.25600000000000001</v>
      </c>
      <c r="M8" s="60">
        <v>0.246</v>
      </c>
      <c r="N8" s="60">
        <v>0.20399999999999999</v>
      </c>
      <c r="O8" s="60">
        <v>0.19600000000000001</v>
      </c>
      <c r="P8" s="60">
        <v>0.13100000000000001</v>
      </c>
      <c r="Q8" s="60">
        <v>0.13200000000000001</v>
      </c>
      <c r="R8" s="60">
        <v>0.19800000000000001</v>
      </c>
      <c r="S8" s="60">
        <v>0.16600000000000001</v>
      </c>
      <c r="T8" s="60">
        <v>0.16600000000000001</v>
      </c>
      <c r="U8" s="60">
        <v>0.183</v>
      </c>
      <c r="V8" s="60">
        <v>0.184</v>
      </c>
      <c r="W8" s="60">
        <v>0.17699999999999999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3200.2526315789473</v>
      </c>
      <c r="C13" s="62">
        <f t="shared" si="6"/>
        <v>2683.6465517241377</v>
      </c>
      <c r="D13" s="62">
        <f t="shared" si="6"/>
        <v>1665.6075268817203</v>
      </c>
      <c r="E13" s="62">
        <f t="shared" si="6"/>
        <v>2370.8358208955224</v>
      </c>
      <c r="F13" s="62">
        <f t="shared" ref="F13:V13" si="7">IF(F3=0,0,F3/F7)</f>
        <v>2526.2421875</v>
      </c>
      <c r="G13" s="62">
        <f t="shared" si="7"/>
        <v>4173.1777777777779</v>
      </c>
      <c r="H13" s="62">
        <f t="shared" si="7"/>
        <v>3484.3333333333335</v>
      </c>
      <c r="I13" s="62">
        <f t="shared" si="7"/>
        <v>1550.1039426523296</v>
      </c>
      <c r="J13" s="62">
        <f t="shared" si="7"/>
        <v>1580.5454545454547</v>
      </c>
      <c r="K13" s="62">
        <f t="shared" si="7"/>
        <v>1500.3283582089553</v>
      </c>
      <c r="L13" s="62">
        <f t="shared" si="7"/>
        <v>1521.82421875</v>
      </c>
      <c r="M13" s="62">
        <f t="shared" si="7"/>
        <v>1608.0772357723577</v>
      </c>
      <c r="N13" s="62">
        <f t="shared" si="7"/>
        <v>1587.5441176470588</v>
      </c>
      <c r="O13" s="62">
        <f t="shared" si="7"/>
        <v>1721.5102040816325</v>
      </c>
      <c r="P13" s="62">
        <f t="shared" si="7"/>
        <v>2462.8778625954196</v>
      </c>
      <c r="Q13" s="62">
        <f t="shared" si="7"/>
        <v>2296.901515151515</v>
      </c>
      <c r="R13" s="62">
        <f t="shared" si="7"/>
        <v>2060.7727272727275</v>
      </c>
      <c r="S13" s="62">
        <f t="shared" si="7"/>
        <v>2101.2409638554213</v>
      </c>
      <c r="T13" s="62">
        <f t="shared" si="7"/>
        <v>2132.6987951807228</v>
      </c>
      <c r="U13" s="62">
        <f t="shared" si="7"/>
        <v>1939.7431693989072</v>
      </c>
      <c r="V13" s="62">
        <f t="shared" si="7"/>
        <v>1706.657608695652</v>
      </c>
      <c r="W13" s="62">
        <f t="shared" ref="W13" si="8">IF(W3=0,0,W3/W7)</f>
        <v>1835.9887005649721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3200.2526315789473</v>
      </c>
      <c r="C14" s="63">
        <f t="shared" si="6"/>
        <v>2683.6465517241377</v>
      </c>
      <c r="D14" s="63">
        <f t="shared" si="6"/>
        <v>1665.6075268817203</v>
      </c>
      <c r="E14" s="63">
        <f t="shared" si="6"/>
        <v>2370.8358208955224</v>
      </c>
      <c r="F14" s="63">
        <f t="shared" ref="F14:V14" si="9">IF(F4=0,0,F4/F8)</f>
        <v>2526.2421875</v>
      </c>
      <c r="G14" s="63">
        <f t="shared" si="9"/>
        <v>4173.1777777777779</v>
      </c>
      <c r="H14" s="63">
        <f t="shared" si="9"/>
        <v>3484.3333333333335</v>
      </c>
      <c r="I14" s="63">
        <f t="shared" si="9"/>
        <v>1550.1039426523296</v>
      </c>
      <c r="J14" s="63">
        <f t="shared" si="9"/>
        <v>1580.5454545454547</v>
      </c>
      <c r="K14" s="63">
        <f t="shared" si="9"/>
        <v>1500.3283582089553</v>
      </c>
      <c r="L14" s="63">
        <f t="shared" si="9"/>
        <v>1521.82421875</v>
      </c>
      <c r="M14" s="63">
        <f t="shared" si="9"/>
        <v>1608.0772357723577</v>
      </c>
      <c r="N14" s="63">
        <f t="shared" si="9"/>
        <v>1587.5441176470588</v>
      </c>
      <c r="O14" s="63">
        <f t="shared" si="9"/>
        <v>1721.5102040816325</v>
      </c>
      <c r="P14" s="63">
        <f t="shared" si="9"/>
        <v>2462.8778625954196</v>
      </c>
      <c r="Q14" s="63">
        <f t="shared" si="9"/>
        <v>2296.901515151515</v>
      </c>
      <c r="R14" s="63">
        <f t="shared" si="9"/>
        <v>2060.7727272727275</v>
      </c>
      <c r="S14" s="63">
        <f t="shared" si="9"/>
        <v>2101.2409638554213</v>
      </c>
      <c r="T14" s="63">
        <f t="shared" si="9"/>
        <v>2132.6987951807228</v>
      </c>
      <c r="U14" s="63">
        <f t="shared" si="9"/>
        <v>1939.7431693989072</v>
      </c>
      <c r="V14" s="63">
        <f t="shared" si="9"/>
        <v>1706.657608695652</v>
      </c>
      <c r="W14" s="63">
        <f t="shared" ref="W14" si="10">IF(W4=0,0,W4/W8)</f>
        <v>1835.9887005649721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44.501547721410141</v>
      </c>
      <c r="C3" s="62">
        <f t="shared" ref="C3:V3" si="0">SUM(C4,C10)</f>
        <v>50.711006018916592</v>
      </c>
      <c r="D3" s="62">
        <f t="shared" si="0"/>
        <v>91.097764402407563</v>
      </c>
      <c r="E3" s="62">
        <f t="shared" si="0"/>
        <v>66.164832330180559</v>
      </c>
      <c r="F3" s="62">
        <f t="shared" si="0"/>
        <v>25.873000859845231</v>
      </c>
      <c r="G3" s="62">
        <f t="shared" si="0"/>
        <v>17.593637145313838</v>
      </c>
      <c r="H3" s="62">
        <f t="shared" si="0"/>
        <v>20.540756663800519</v>
      </c>
      <c r="I3" s="62">
        <f t="shared" si="0"/>
        <v>125.96732588134134</v>
      </c>
      <c r="J3" s="62">
        <f t="shared" si="0"/>
        <v>137.79019776440239</v>
      </c>
      <c r="K3" s="62">
        <f t="shared" si="0"/>
        <v>197.69277730008602</v>
      </c>
      <c r="L3" s="62">
        <f t="shared" si="0"/>
        <v>122.57575236457436</v>
      </c>
      <c r="M3" s="62">
        <f t="shared" si="0"/>
        <v>116.938950988822</v>
      </c>
      <c r="N3" s="62">
        <f t="shared" si="0"/>
        <v>117.89432502149612</v>
      </c>
      <c r="O3" s="62">
        <f t="shared" si="0"/>
        <v>121.78761822871884</v>
      </c>
      <c r="P3" s="62">
        <f t="shared" si="0"/>
        <v>86.295098882201202</v>
      </c>
      <c r="Q3" s="62">
        <f t="shared" si="0"/>
        <v>98.619432502149607</v>
      </c>
      <c r="R3" s="62">
        <f t="shared" si="0"/>
        <v>111.3498710232158</v>
      </c>
      <c r="S3" s="62">
        <f t="shared" si="0"/>
        <v>98.403353396388638</v>
      </c>
      <c r="T3" s="62">
        <f t="shared" si="0"/>
        <v>102.68022355975924</v>
      </c>
      <c r="U3" s="62">
        <f t="shared" si="0"/>
        <v>87.816337059329328</v>
      </c>
      <c r="V3" s="62">
        <f t="shared" si="0"/>
        <v>62.750816852966452</v>
      </c>
      <c r="W3" s="62">
        <f t="shared" ref="W3" si="1">SUM(W4,W10)</f>
        <v>73.466809974204651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44.501547721410141</v>
      </c>
      <c r="C4" s="71">
        <f t="shared" ref="C4:V4" si="2">SUM(C5:C9)</f>
        <v>50.711006018916592</v>
      </c>
      <c r="D4" s="71">
        <f t="shared" si="2"/>
        <v>91.097764402407563</v>
      </c>
      <c r="E4" s="71">
        <f t="shared" si="2"/>
        <v>66.164832330180559</v>
      </c>
      <c r="F4" s="71">
        <f t="shared" si="2"/>
        <v>25.873000859845231</v>
      </c>
      <c r="G4" s="71">
        <f t="shared" si="2"/>
        <v>17.593637145313838</v>
      </c>
      <c r="H4" s="71">
        <f t="shared" si="2"/>
        <v>20.540756663800519</v>
      </c>
      <c r="I4" s="71">
        <f t="shared" si="2"/>
        <v>125.96732588134134</v>
      </c>
      <c r="J4" s="71">
        <f t="shared" si="2"/>
        <v>137.79019776440239</v>
      </c>
      <c r="K4" s="71">
        <f t="shared" si="2"/>
        <v>197.69277730008602</v>
      </c>
      <c r="L4" s="71">
        <f t="shared" si="2"/>
        <v>122.57575236457436</v>
      </c>
      <c r="M4" s="71">
        <f t="shared" si="2"/>
        <v>116.938950988822</v>
      </c>
      <c r="N4" s="71">
        <f t="shared" si="2"/>
        <v>117.89432502149612</v>
      </c>
      <c r="O4" s="71">
        <f t="shared" si="2"/>
        <v>121.78761822871884</v>
      </c>
      <c r="P4" s="71">
        <f t="shared" si="2"/>
        <v>86.295098882201202</v>
      </c>
      <c r="Q4" s="71">
        <f t="shared" si="2"/>
        <v>98.619432502149607</v>
      </c>
      <c r="R4" s="71">
        <f t="shared" si="2"/>
        <v>111.3498710232158</v>
      </c>
      <c r="S4" s="71">
        <f t="shared" si="2"/>
        <v>98.403353396388638</v>
      </c>
      <c r="T4" s="71">
        <f t="shared" si="2"/>
        <v>102.68022355975924</v>
      </c>
      <c r="U4" s="71">
        <f t="shared" si="2"/>
        <v>87.816337059329328</v>
      </c>
      <c r="V4" s="71">
        <f t="shared" si="2"/>
        <v>62.750816852966452</v>
      </c>
      <c r="W4" s="71">
        <f t="shared" ref="W4" si="3">SUM(W5:W9)</f>
        <v>73.466809974204651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44.501547721410141</v>
      </c>
      <c r="C5" s="73">
        <v>50.711006018916592</v>
      </c>
      <c r="D5" s="73">
        <v>89.003095442820282</v>
      </c>
      <c r="E5" s="73">
        <v>65.199914015477205</v>
      </c>
      <c r="F5" s="73">
        <v>25.873000859845231</v>
      </c>
      <c r="G5" s="73">
        <v>17.593637145313838</v>
      </c>
      <c r="H5" s="73">
        <v>20.540756663800519</v>
      </c>
      <c r="I5" s="73">
        <v>39.027429062768697</v>
      </c>
      <c r="J5" s="73">
        <v>44.162596732588128</v>
      </c>
      <c r="K5" s="73">
        <v>82.16302665520206</v>
      </c>
      <c r="L5" s="73">
        <v>45.18968185726569</v>
      </c>
      <c r="M5" s="73">
        <v>34.919260533104037</v>
      </c>
      <c r="N5" s="73">
        <v>34.919260533104037</v>
      </c>
      <c r="O5" s="73">
        <v>35.946345657781599</v>
      </c>
      <c r="P5" s="73">
        <v>33.892261392949273</v>
      </c>
      <c r="Q5" s="73">
        <v>47.243680137575232</v>
      </c>
      <c r="R5" s="73">
        <v>38.000343938091142</v>
      </c>
      <c r="S5" s="73">
        <v>36.506018916595011</v>
      </c>
      <c r="T5" s="73">
        <v>38.217110920034393</v>
      </c>
      <c r="U5" s="73">
        <v>26.402063628546859</v>
      </c>
      <c r="V5" s="73">
        <v>16.720206362854679</v>
      </c>
      <c r="W5" s="73">
        <v>28.139810834049872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2.0946689595872812</v>
      </c>
      <c r="E6" s="73">
        <v>0.96491831470335399</v>
      </c>
      <c r="F6" s="73">
        <v>0</v>
      </c>
      <c r="G6" s="73">
        <v>0</v>
      </c>
      <c r="H6" s="73">
        <v>0</v>
      </c>
      <c r="I6" s="73">
        <v>86.939896818572635</v>
      </c>
      <c r="J6" s="73">
        <v>93.627601031814265</v>
      </c>
      <c r="K6" s="73">
        <v>114.6460017196905</v>
      </c>
      <c r="L6" s="73">
        <v>77.386070507308659</v>
      </c>
      <c r="M6" s="73">
        <v>80.252192605331032</v>
      </c>
      <c r="N6" s="73">
        <v>81.207566638005147</v>
      </c>
      <c r="O6" s="73">
        <v>84.073774720550318</v>
      </c>
      <c r="P6" s="73">
        <v>50.635339638864998</v>
      </c>
      <c r="Q6" s="73">
        <v>48.724591573516769</v>
      </c>
      <c r="R6" s="73">
        <v>70.698366294067057</v>
      </c>
      <c r="S6" s="73">
        <v>59.810834049871019</v>
      </c>
      <c r="T6" s="73">
        <v>62.171625107480658</v>
      </c>
      <c r="U6" s="73">
        <v>59.791745485812569</v>
      </c>
      <c r="V6" s="73">
        <v>44.938349097162501</v>
      </c>
      <c r="W6" s="73">
        <v>42.983662940670683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0.88374892519346515</v>
      </c>
      <c r="L7" s="73">
        <v>0</v>
      </c>
      <c r="M7" s="73">
        <v>1.7674978503869301</v>
      </c>
      <c r="N7" s="73">
        <v>1.7674978503869301</v>
      </c>
      <c r="O7" s="73">
        <v>1.7674978503869301</v>
      </c>
      <c r="P7" s="73">
        <v>1.7674978503869301</v>
      </c>
      <c r="Q7" s="73">
        <v>2.6511607910576092</v>
      </c>
      <c r="R7" s="73">
        <v>2.6511607910576092</v>
      </c>
      <c r="S7" s="73">
        <v>2.086500429922614</v>
      </c>
      <c r="T7" s="73">
        <v>2.2914875322441959</v>
      </c>
      <c r="U7" s="73">
        <v>1.622527944969905</v>
      </c>
      <c r="V7" s="73">
        <v>1.092261392949269</v>
      </c>
      <c r="W7" s="73">
        <v>2.3433361994840931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46843.734443589623</v>
      </c>
      <c r="C19" s="62">
        <f>IF(C3=0,0,C3/TrNavi_act!C7*100)</f>
        <v>43716.384499066029</v>
      </c>
      <c r="D19" s="62">
        <f>IF(D3=0,0,D3/TrNavi_act!D7*100)</f>
        <v>48977.292689466427</v>
      </c>
      <c r="E19" s="62">
        <f>IF(E3=0,0,E3/TrNavi_act!E7*100)</f>
        <v>49376.740544910863</v>
      </c>
      <c r="F19" s="62">
        <f>IF(F3=0,0,F3/TrNavi_act!F7*100)</f>
        <v>20213.281921754085</v>
      </c>
      <c r="G19" s="62">
        <f>IF(G3=0,0,G3/TrNavi_act!G7*100)</f>
        <v>19548.485717015377</v>
      </c>
      <c r="H19" s="62">
        <f>IF(H3=0,0,H3/TrNavi_act!H7*100)</f>
        <v>19019.219133148628</v>
      </c>
      <c r="I19" s="62">
        <f>IF(I3=0,0,I3/TrNavi_act!I7*100)</f>
        <v>45149.579168939541</v>
      </c>
      <c r="J19" s="62">
        <f>IF(J3=0,0,J3/TrNavi_act!J7*100)</f>
        <v>48178.390826714131</v>
      </c>
      <c r="K19" s="62">
        <f>IF(K3=0,0,K3/TrNavi_act!K7*100)</f>
        <v>73765.96167913657</v>
      </c>
      <c r="L19" s="62">
        <f>IF(L3=0,0,L3/TrNavi_act!L7*100)</f>
        <v>47881.153267411857</v>
      </c>
      <c r="M19" s="62">
        <f>IF(M3=0,0,M3/TrNavi_act!M7*100)</f>
        <v>47536.15893854553</v>
      </c>
      <c r="N19" s="62">
        <f>IF(N3=0,0,N3/TrNavi_act!N7*100)</f>
        <v>57791.335794851046</v>
      </c>
      <c r="O19" s="62">
        <f>IF(O3=0,0,O3/TrNavi_act!O7*100)</f>
        <v>62136.539912611646</v>
      </c>
      <c r="P19" s="62">
        <f>IF(P3=0,0,P3/TrNavi_act!P7*100)</f>
        <v>65874.121284123059</v>
      </c>
      <c r="Q19" s="62">
        <f>IF(Q3=0,0,Q3/TrNavi_act!Q7*100)</f>
        <v>74711.691289507275</v>
      </c>
      <c r="R19" s="62">
        <f>IF(R3=0,0,R3/TrNavi_act!R7*100)</f>
        <v>56237.308597583731</v>
      </c>
      <c r="S19" s="62">
        <f>IF(S3=0,0,S3/TrNavi_act!S7*100)</f>
        <v>59279.128552041344</v>
      </c>
      <c r="T19" s="62">
        <f>IF(T3=0,0,T3/TrNavi_act!T7*100)</f>
        <v>61855.55636130074</v>
      </c>
      <c r="U19" s="62">
        <f>IF(U3=0,0,U3/TrNavi_act!U7*100)</f>
        <v>47987.069431327502</v>
      </c>
      <c r="V19" s="62">
        <f>IF(V3=0,0,V3/TrNavi_act!V7*100)</f>
        <v>34103.704811394811</v>
      </c>
      <c r="W19" s="62">
        <f>IF(W3=0,0,W3/TrNavi_act!W7*100)</f>
        <v>41506.67230181054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46843.734443589623</v>
      </c>
      <c r="C20" s="63">
        <f>IF(C4=0,0,C4/TrNavi_act!C8*100)</f>
        <v>43716.384499066029</v>
      </c>
      <c r="D20" s="63">
        <f>IF(D4=0,0,D4/TrNavi_act!D8*100)</f>
        <v>48977.292689466427</v>
      </c>
      <c r="E20" s="63">
        <f>IF(E4=0,0,E4/TrNavi_act!E8*100)</f>
        <v>49376.740544910863</v>
      </c>
      <c r="F20" s="63">
        <f>IF(F4=0,0,F4/TrNavi_act!F8*100)</f>
        <v>20213.281921754085</v>
      </c>
      <c r="G20" s="63">
        <f>IF(G4=0,0,G4/TrNavi_act!G8*100)</f>
        <v>19548.485717015377</v>
      </c>
      <c r="H20" s="63">
        <f>IF(H4=0,0,H4/TrNavi_act!H8*100)</f>
        <v>19019.219133148628</v>
      </c>
      <c r="I20" s="63">
        <f>IF(I4=0,0,I4/TrNavi_act!I8*100)</f>
        <v>45149.579168939541</v>
      </c>
      <c r="J20" s="63">
        <f>IF(J4=0,0,J4/TrNavi_act!J8*100)</f>
        <v>48178.390826714131</v>
      </c>
      <c r="K20" s="63">
        <f>IF(K4=0,0,K4/TrNavi_act!K8*100)</f>
        <v>73765.96167913657</v>
      </c>
      <c r="L20" s="63">
        <f>IF(L4=0,0,L4/TrNavi_act!L8*100)</f>
        <v>47881.153267411857</v>
      </c>
      <c r="M20" s="63">
        <f>IF(M4=0,0,M4/TrNavi_act!M8*100)</f>
        <v>47536.15893854553</v>
      </c>
      <c r="N20" s="63">
        <f>IF(N4=0,0,N4/TrNavi_act!N8*100)</f>
        <v>57791.335794851046</v>
      </c>
      <c r="O20" s="63">
        <f>IF(O4=0,0,O4/TrNavi_act!O8*100)</f>
        <v>62136.539912611646</v>
      </c>
      <c r="P20" s="63">
        <f>IF(P4=0,0,P4/TrNavi_act!P8*100)</f>
        <v>65874.121284123059</v>
      </c>
      <c r="Q20" s="63">
        <f>IF(Q4=0,0,Q4/TrNavi_act!Q8*100)</f>
        <v>74711.691289507275</v>
      </c>
      <c r="R20" s="63">
        <f>IF(R4=0,0,R4/TrNavi_act!R8*100)</f>
        <v>56237.308597583731</v>
      </c>
      <c r="S20" s="63">
        <f>IF(S4=0,0,S4/TrNavi_act!S8*100)</f>
        <v>59279.128552041344</v>
      </c>
      <c r="T20" s="63">
        <f>IF(T4=0,0,T4/TrNavi_act!T8*100)</f>
        <v>61855.55636130074</v>
      </c>
      <c r="U20" s="63">
        <f>IF(U4=0,0,U4/TrNavi_act!U8*100)</f>
        <v>47987.069431327502</v>
      </c>
      <c r="V20" s="63">
        <f>IF(V4=0,0,V4/TrNavi_act!V8*100)</f>
        <v>34103.704811394811</v>
      </c>
      <c r="W20" s="63">
        <f>IF(W4=0,0,W4/TrNavi_act!W8*100)</f>
        <v>41506.67230181054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146.37511420614865</v>
      </c>
      <c r="C23" s="62">
        <f>IF(C3=0,0,C3/TrNavi_act!C3*1000)</f>
        <v>162.89918831144124</v>
      </c>
      <c r="D23" s="62">
        <f>IF(D3=0,0,D3/TrNavi_act!D3*1000)</f>
        <v>294.05062056341467</v>
      </c>
      <c r="E23" s="62">
        <f>IF(E3=0,0,E3/TrNavi_act!E3*1000)</f>
        <v>208.26722841677019</v>
      </c>
      <c r="F23" s="62">
        <f>IF(F3=0,0,F3/TrNavi_act!F3*1000)</f>
        <v>80.013238721808364</v>
      </c>
      <c r="G23" s="62">
        <f>IF(G3=0,0,G3/TrNavi_act!G3*1000)</f>
        <v>46.843165467599533</v>
      </c>
      <c r="H23" s="62">
        <f>IF(H3=0,0,H3/TrNavi_act!H3*1000)</f>
        <v>54.584958767287752</v>
      </c>
      <c r="I23" s="62">
        <f>IF(I3=0,0,I3/TrNavi_act!I3*1000)</f>
        <v>291.26807516975703</v>
      </c>
      <c r="J23" s="62">
        <f>IF(J3=0,0,J3/TrNavi_act!J3*1000)</f>
        <v>304.82129247317113</v>
      </c>
      <c r="K23" s="62">
        <f>IF(K3=0,0,K3/TrNavi_act!K3*1000)</f>
        <v>491.66544960328588</v>
      </c>
      <c r="L23" s="62">
        <f>IF(L3=0,0,L3/TrNavi_act!L3*1000)</f>
        <v>314.6299860225684</v>
      </c>
      <c r="M23" s="62">
        <f>IF(M3=0,0,M3/TrNavi_act!M3*1000)</f>
        <v>295.6086802367671</v>
      </c>
      <c r="N23" s="62">
        <f>IF(N3=0,0,N3/TrNavi_act!N3*1000)</f>
        <v>364.02979389640592</v>
      </c>
      <c r="O23" s="62">
        <f>IF(O3=0,0,O3/TrNavi_act!O3*1000)</f>
        <v>360.94203662161499</v>
      </c>
      <c r="P23" s="62">
        <f>IF(P3=0,0,P3/TrNavi_act!P3*1000)</f>
        <v>267.46807986127197</v>
      </c>
      <c r="Q23" s="62">
        <f>IF(Q3=0,0,Q3/TrNavi_act!Q3*1000)</f>
        <v>325.27163570867742</v>
      </c>
      <c r="R23" s="62">
        <f>IF(R3=0,0,R3/TrNavi_act!R3*1000)</f>
        <v>272.89427821577129</v>
      </c>
      <c r="S23" s="62">
        <f>IF(S3=0,0,S3/TrNavi_act!S3*1000)</f>
        <v>282.11485294515757</v>
      </c>
      <c r="T23" s="62">
        <f>IF(T3=0,0,T3/TrNavi_act!T3*1000)</f>
        <v>290.03418814263063</v>
      </c>
      <c r="U23" s="62">
        <f>IF(U3=0,0,U3/TrNavi_act!U3*1000)</f>
        <v>247.38877903200898</v>
      </c>
      <c r="V23" s="62">
        <f>IF(V3=0,0,V3/TrNavi_act!V3*1000)</f>
        <v>199.8274559444836</v>
      </c>
      <c r="W23" s="62">
        <f>IF(W3=0,0,W3/TrNavi_act!W3*1000)</f>
        <v>226.07259123674385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146.37511420614865</v>
      </c>
      <c r="C24" s="63">
        <f>IF(C4=0,0,C4/TrNavi_act!C4*1000)</f>
        <v>162.89918831144124</v>
      </c>
      <c r="D24" s="63">
        <f>IF(D4=0,0,D4/TrNavi_act!D4*1000)</f>
        <v>294.05062056341467</v>
      </c>
      <c r="E24" s="63">
        <f>IF(E4=0,0,E4/TrNavi_act!E4*1000)</f>
        <v>208.26722841677019</v>
      </c>
      <c r="F24" s="63">
        <f>IF(F4=0,0,F4/TrNavi_act!F4*1000)</f>
        <v>80.013238721808364</v>
      </c>
      <c r="G24" s="63">
        <f>IF(G4=0,0,G4/TrNavi_act!G4*1000)</f>
        <v>46.843165467599533</v>
      </c>
      <c r="H24" s="63">
        <f>IF(H4=0,0,H4/TrNavi_act!H4*1000)</f>
        <v>54.584958767287752</v>
      </c>
      <c r="I24" s="63">
        <f>IF(I4=0,0,I4/TrNavi_act!I4*1000)</f>
        <v>291.26807516975703</v>
      </c>
      <c r="J24" s="63">
        <f>IF(J4=0,0,J4/TrNavi_act!J4*1000)</f>
        <v>304.82129247317113</v>
      </c>
      <c r="K24" s="63">
        <f>IF(K4=0,0,K4/TrNavi_act!K4*1000)</f>
        <v>491.66544960328588</v>
      </c>
      <c r="L24" s="63">
        <f>IF(L4=0,0,L4/TrNavi_act!L4*1000)</f>
        <v>314.6299860225684</v>
      </c>
      <c r="M24" s="63">
        <f>IF(M4=0,0,M4/TrNavi_act!M4*1000)</f>
        <v>295.6086802367671</v>
      </c>
      <c r="N24" s="63">
        <f>IF(N4=0,0,N4/TrNavi_act!N4*1000)</f>
        <v>364.02979389640592</v>
      </c>
      <c r="O24" s="63">
        <f>IF(O4=0,0,O4/TrNavi_act!O4*1000)</f>
        <v>360.94203662161499</v>
      </c>
      <c r="P24" s="63">
        <f>IF(P4=0,0,P4/TrNavi_act!P4*1000)</f>
        <v>267.46807986127197</v>
      </c>
      <c r="Q24" s="63">
        <f>IF(Q4=0,0,Q4/TrNavi_act!Q4*1000)</f>
        <v>325.27163570867742</v>
      </c>
      <c r="R24" s="63">
        <f>IF(R4=0,0,R4/TrNavi_act!R4*1000)</f>
        <v>272.89427821577129</v>
      </c>
      <c r="S24" s="63">
        <f>IF(S4=0,0,S4/TrNavi_act!S4*1000)</f>
        <v>282.11485294515757</v>
      </c>
      <c r="T24" s="63">
        <f>IF(T4=0,0,T4/TrNavi_act!T4*1000)</f>
        <v>290.03418814263063</v>
      </c>
      <c r="U24" s="63">
        <f>IF(U4=0,0,U4/TrNavi_act!U4*1000)</f>
        <v>247.38877903200898</v>
      </c>
      <c r="V24" s="63">
        <f>IF(V4=0,0,V4/TrNavi_act!V4*1000)</f>
        <v>199.8274559444836</v>
      </c>
      <c r="W24" s="63">
        <f>IF(W4=0,0,W4/TrNavi_act!W4*1000)</f>
        <v>226.07259123674385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138.06243827999998</v>
      </c>
      <c r="C3" s="54">
        <f t="shared" ref="C3:V3" si="1">SUM(C4:C5)</f>
        <v>157.32677844</v>
      </c>
      <c r="D3" s="54">
        <f t="shared" si="1"/>
        <v>282.23642987999995</v>
      </c>
      <c r="E3" s="54">
        <f t="shared" si="1"/>
        <v>205.40433707999998</v>
      </c>
      <c r="F3" s="54">
        <f t="shared" si="1"/>
        <v>80.268884280000009</v>
      </c>
      <c r="G3" s="54">
        <f t="shared" si="1"/>
        <v>54.58283063999999</v>
      </c>
      <c r="H3" s="54">
        <f t="shared" si="1"/>
        <v>63.726029640000014</v>
      </c>
      <c r="I3" s="54">
        <f t="shared" si="1"/>
        <v>402.81539868000004</v>
      </c>
      <c r="J3" s="54">
        <f t="shared" si="1"/>
        <v>440.41890132000003</v>
      </c>
      <c r="K3" s="54">
        <f t="shared" si="1"/>
        <v>626.42402568000023</v>
      </c>
      <c r="L3" s="54">
        <f t="shared" si="1"/>
        <v>390.97331856</v>
      </c>
      <c r="M3" s="54">
        <f t="shared" si="1"/>
        <v>368.39807747999998</v>
      </c>
      <c r="N3" s="54">
        <f t="shared" si="1"/>
        <v>371.49404651999998</v>
      </c>
      <c r="O3" s="54">
        <f t="shared" si="1"/>
        <v>383.96868048000005</v>
      </c>
      <c r="P3" s="54">
        <f t="shared" si="1"/>
        <v>269.23601988000001</v>
      </c>
      <c r="Q3" s="54">
        <f t="shared" si="1"/>
        <v>304.46577432000004</v>
      </c>
      <c r="R3" s="54">
        <f t="shared" si="1"/>
        <v>346.99691952000001</v>
      </c>
      <c r="S3" s="54">
        <f t="shared" si="1"/>
        <v>307.07894340000001</v>
      </c>
      <c r="T3" s="54">
        <f t="shared" si="1"/>
        <v>320.03780724000001</v>
      </c>
      <c r="U3" s="54">
        <f t="shared" si="1"/>
        <v>275.67038448000005</v>
      </c>
      <c r="V3" s="54">
        <f t="shared" si="1"/>
        <v>197.49954167999999</v>
      </c>
      <c r="W3" s="54">
        <f t="shared" ref="W3" si="2">SUM(W4:W5)</f>
        <v>226.59361416000002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138.06243827999998</v>
      </c>
      <c r="C4" s="56">
        <v>157.32677844</v>
      </c>
      <c r="D4" s="56">
        <v>282.23642987999995</v>
      </c>
      <c r="E4" s="56">
        <v>205.40433707999998</v>
      </c>
      <c r="F4" s="56">
        <v>80.268884280000009</v>
      </c>
      <c r="G4" s="56">
        <v>54.58283063999999</v>
      </c>
      <c r="H4" s="56">
        <v>63.726029640000014</v>
      </c>
      <c r="I4" s="56">
        <v>402.81539868000004</v>
      </c>
      <c r="J4" s="56">
        <v>440.41890132000003</v>
      </c>
      <c r="K4" s="56">
        <v>626.42402568000023</v>
      </c>
      <c r="L4" s="56">
        <v>390.97331856</v>
      </c>
      <c r="M4" s="56">
        <v>368.39807747999998</v>
      </c>
      <c r="N4" s="56">
        <v>371.49404651999998</v>
      </c>
      <c r="O4" s="56">
        <v>383.96868048000005</v>
      </c>
      <c r="P4" s="56">
        <v>269.23601988000001</v>
      </c>
      <c r="Q4" s="56">
        <v>304.46577432000004</v>
      </c>
      <c r="R4" s="56">
        <v>346.99691952000001</v>
      </c>
      <c r="S4" s="56">
        <v>307.07894340000001</v>
      </c>
      <c r="T4" s="56">
        <v>320.03780724000001</v>
      </c>
      <c r="U4" s="56">
        <v>275.67038448000005</v>
      </c>
      <c r="V4" s="56">
        <v>197.49954167999999</v>
      </c>
      <c r="W4" s="56">
        <v>226.59361416000002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3.0981707589801282</v>
      </c>
      <c r="E9" s="79">
        <f>IF(E3=0,0,E3/TrNavi_ene!E3)</f>
        <v>3.1044337277993286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3.1977768509545399</v>
      </c>
      <c r="J9" s="79">
        <f>IF(J3=0,0,J3/TrNavi_ene!J3)</f>
        <v>3.1963006691741658</v>
      </c>
      <c r="K9" s="79">
        <f>IF(K3=0,0,K3/TrNavi_ene!K3)</f>
        <v>3.1686743149403247</v>
      </c>
      <c r="L9" s="79">
        <f>IF(L3=0,0,L3/TrNavi_ene!L3)</f>
        <v>3.1896464922127232</v>
      </c>
      <c r="M9" s="79">
        <f>IF(M3=0,0,M3/TrNavi_ene!M3)</f>
        <v>3.1503453243326471</v>
      </c>
      <c r="N9" s="79">
        <f>IF(N3=0,0,N3/TrNavi_ene!N3)</f>
        <v>3.1510765802532403</v>
      </c>
      <c r="O9" s="79">
        <f>IF(O3=0,0,O3/TrNavi_ene!O3)</f>
        <v>3.1527727207777518</v>
      </c>
      <c r="P9" s="79">
        <f>IF(P3=0,0,P3/TrNavi_ene!P3)</f>
        <v>3.1199456674535582</v>
      </c>
      <c r="Q9" s="79">
        <f>IF(Q3=0,0,Q3/TrNavi_ene!Q3)</f>
        <v>3.0872797236321921</v>
      </c>
      <c r="R9" s="79">
        <f>IF(R3=0,0,R3/TrNavi_ene!R3)</f>
        <v>3.1162758998405411</v>
      </c>
      <c r="S9" s="79">
        <f>IF(S3=0,0,S3/TrNavi_ene!S3)</f>
        <v>3.1206146213638051</v>
      </c>
      <c r="T9" s="79">
        <f>IF(T3=0,0,T3/TrNavi_ene!T3)</f>
        <v>3.1168397978189053</v>
      </c>
      <c r="U9" s="79">
        <f>IF(U3=0,0,U3/TrNavi_ene!U3)</f>
        <v>3.1391697002091448</v>
      </c>
      <c r="V9" s="79">
        <f>IF(V3=0,0,V3/TrNavi_ene!V3)</f>
        <v>3.1473620836325975</v>
      </c>
      <c r="W9" s="79">
        <f>IF(W3=0,0,W3/TrNavi_ene!W3)</f>
        <v>3.0842990765430076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3.0981707589801282</v>
      </c>
      <c r="E10" s="80">
        <f>IF(E4=0,0,E4/TrNavi_ene!E4)</f>
        <v>3.1044337277993286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3.1977768509545399</v>
      </c>
      <c r="J10" s="80">
        <f>IF(J4=0,0,J4/TrNavi_ene!J4)</f>
        <v>3.1963006691741658</v>
      </c>
      <c r="K10" s="80">
        <f>IF(K4=0,0,K4/TrNavi_ene!K4)</f>
        <v>3.1686743149403247</v>
      </c>
      <c r="L10" s="80">
        <f>IF(L4=0,0,L4/TrNavi_ene!L4)</f>
        <v>3.1896464922127232</v>
      </c>
      <c r="M10" s="80">
        <f>IF(M4=0,0,M4/TrNavi_ene!M4)</f>
        <v>3.1503453243326471</v>
      </c>
      <c r="N10" s="80">
        <f>IF(N4=0,0,N4/TrNavi_ene!N4)</f>
        <v>3.1510765802532403</v>
      </c>
      <c r="O10" s="80">
        <f>IF(O4=0,0,O4/TrNavi_ene!O4)</f>
        <v>3.1527727207777518</v>
      </c>
      <c r="P10" s="80">
        <f>IF(P4=0,0,P4/TrNavi_ene!P4)</f>
        <v>3.1199456674535582</v>
      </c>
      <c r="Q10" s="80">
        <f>IF(Q4=0,0,Q4/TrNavi_ene!Q4)</f>
        <v>3.0872797236321921</v>
      </c>
      <c r="R10" s="80">
        <f>IF(R4=0,0,R4/TrNavi_ene!R4)</f>
        <v>3.1162758998405411</v>
      </c>
      <c r="S10" s="80">
        <f>IF(S4=0,0,S4/TrNavi_ene!S4)</f>
        <v>3.1206146213638051</v>
      </c>
      <c r="T10" s="80">
        <f>IF(T4=0,0,T4/TrNavi_ene!T4)</f>
        <v>3.1168397978189053</v>
      </c>
      <c r="U10" s="80">
        <f>IF(U4=0,0,U4/TrNavi_ene!U4)</f>
        <v>3.1391697002091448</v>
      </c>
      <c r="V10" s="80">
        <f>IF(V4=0,0,V4/TrNavi_ene!V4)</f>
        <v>3.1473620836325975</v>
      </c>
      <c r="W10" s="80">
        <f>IF(W4=0,0,W4/TrNavi_ene!W4)</f>
        <v>3.0842990765430076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1453288.8239999998</v>
      </c>
      <c r="C13" s="54">
        <f>IF(C3=0,0,C3/TrNavi_act!C7*1000)</f>
        <v>1356265.3313793102</v>
      </c>
      <c r="D13" s="54">
        <f>IF(D3=0,0,D3/TrNavi_act!D7*1000)</f>
        <v>1517400.1606451611</v>
      </c>
      <c r="E13" s="54">
        <f>IF(E3=0,0,E3/TrNavi_act!E7*1000)</f>
        <v>1532868.1871641788</v>
      </c>
      <c r="F13" s="54">
        <f>IF(F3=0,0,F3/TrNavi_act!F7*1000)</f>
        <v>627100.65843750013</v>
      </c>
      <c r="G13" s="54">
        <f>IF(G3=0,0,G3/TrNavi_act!G7*1000)</f>
        <v>606475.89599999995</v>
      </c>
      <c r="H13" s="54">
        <f>IF(H3=0,0,H3/TrNavi_act!H7*1000)</f>
        <v>590055.83000000007</v>
      </c>
      <c r="I13" s="54">
        <f>IF(I3=0,0,I3/TrNavi_act!I7*1000)</f>
        <v>1443782.790967742</v>
      </c>
      <c r="J13" s="54">
        <f>IF(J3=0,0,J3/TrNavi_act!J7*1000)</f>
        <v>1539926.2283916087</v>
      </c>
      <c r="K13" s="54">
        <f>IF(K3=0,0,K3/TrNavi_act!K7*1000)</f>
        <v>2337403.0808955231</v>
      </c>
      <c r="L13" s="54">
        <f>IF(L3=0,0,L3/TrNavi_act!L7*1000)</f>
        <v>1527239.525625</v>
      </c>
      <c r="M13" s="54">
        <f>IF(M3=0,0,M3/TrNavi_act!M7*1000)</f>
        <v>1497553.160487805</v>
      </c>
      <c r="N13" s="54">
        <f>IF(N3=0,0,N3/TrNavi_act!N7*1000)</f>
        <v>1821049.2476470587</v>
      </c>
      <c r="O13" s="54">
        <f>IF(O3=0,0,O3/TrNavi_act!O7*1000)</f>
        <v>1959023.8800000001</v>
      </c>
      <c r="P13" s="54">
        <f>IF(P3=0,0,P3/TrNavi_act!P7*1000)</f>
        <v>2055236.7929770993</v>
      </c>
      <c r="Q13" s="54">
        <f>IF(Q3=0,0,Q3/TrNavi_act!Q7*1000)</f>
        <v>2306558.8963636365</v>
      </c>
      <c r="R13" s="54">
        <f>IF(R3=0,0,R3/TrNavi_act!R7*1000)</f>
        <v>1752509.6945454546</v>
      </c>
      <c r="S13" s="54">
        <f>IF(S3=0,0,S3/TrNavi_act!S7*1000)</f>
        <v>1849873.153012048</v>
      </c>
      <c r="T13" s="54">
        <f>IF(T3=0,0,T3/TrNavi_act!T7*1000)</f>
        <v>1927938.5978313254</v>
      </c>
      <c r="U13" s="54">
        <f>IF(U3=0,0,U3/TrNavi_act!U7*1000)</f>
        <v>1506395.5436065579</v>
      </c>
      <c r="V13" s="54">
        <f>IF(V3=0,0,V3/TrNavi_act!V7*1000)</f>
        <v>1073367.074347826</v>
      </c>
      <c r="W13" s="54">
        <f>IF(W3=0,0,W3/TrNavi_act!W7*1000)</f>
        <v>1280189.9105084746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1453288.8239999998</v>
      </c>
      <c r="C14" s="56">
        <f>IF(C4=0,0,C4/TrNavi_act!C8*1000)</f>
        <v>1356265.3313793102</v>
      </c>
      <c r="D14" s="56">
        <f>IF(D4=0,0,D4/TrNavi_act!D8*1000)</f>
        <v>1517400.1606451611</v>
      </c>
      <c r="E14" s="56">
        <f>IF(E4=0,0,E4/TrNavi_act!E8*1000)</f>
        <v>1532868.1871641788</v>
      </c>
      <c r="F14" s="56">
        <f>IF(F4=0,0,F4/TrNavi_act!F8*1000)</f>
        <v>627100.65843750013</v>
      </c>
      <c r="G14" s="56">
        <f>IF(G4=0,0,G4/TrNavi_act!G8*1000)</f>
        <v>606475.89599999995</v>
      </c>
      <c r="H14" s="56">
        <f>IF(H4=0,0,H4/TrNavi_act!H8*1000)</f>
        <v>590055.83000000007</v>
      </c>
      <c r="I14" s="56">
        <f>IF(I4=0,0,I4/TrNavi_act!I8*1000)</f>
        <v>1443782.790967742</v>
      </c>
      <c r="J14" s="56">
        <f>IF(J4=0,0,J4/TrNavi_act!J8*1000)</f>
        <v>1539926.2283916087</v>
      </c>
      <c r="K14" s="56">
        <f>IF(K4=0,0,K4/TrNavi_act!K8*1000)</f>
        <v>2337403.0808955231</v>
      </c>
      <c r="L14" s="56">
        <f>IF(L4=0,0,L4/TrNavi_act!L8*1000)</f>
        <v>1527239.525625</v>
      </c>
      <c r="M14" s="56">
        <f>IF(M4=0,0,M4/TrNavi_act!M8*1000)</f>
        <v>1497553.160487805</v>
      </c>
      <c r="N14" s="56">
        <f>IF(N4=0,0,N4/TrNavi_act!N8*1000)</f>
        <v>1821049.2476470587</v>
      </c>
      <c r="O14" s="56">
        <f>IF(O4=0,0,O4/TrNavi_act!O8*1000)</f>
        <v>1959023.8800000001</v>
      </c>
      <c r="P14" s="56">
        <f>IF(P4=0,0,P4/TrNavi_act!P8*1000)</f>
        <v>2055236.7929770993</v>
      </c>
      <c r="Q14" s="56">
        <f>IF(Q4=0,0,Q4/TrNavi_act!Q8*1000)</f>
        <v>2306558.8963636365</v>
      </c>
      <c r="R14" s="56">
        <f>IF(R4=0,0,R4/TrNavi_act!R8*1000)</f>
        <v>1752509.6945454546</v>
      </c>
      <c r="S14" s="56">
        <f>IF(S4=0,0,S4/TrNavi_act!S8*1000)</f>
        <v>1849873.153012048</v>
      </c>
      <c r="T14" s="56">
        <f>IF(T4=0,0,T4/TrNavi_act!T8*1000)</f>
        <v>1927938.5978313254</v>
      </c>
      <c r="U14" s="56">
        <f>IF(U4=0,0,U4/TrNavi_act!U8*1000)</f>
        <v>1506395.5436065579</v>
      </c>
      <c r="V14" s="56">
        <f>IF(V4=0,0,V4/TrNavi_act!V8*1000)</f>
        <v>1073367.074347826</v>
      </c>
      <c r="W14" s="56">
        <f>IF(W4=0,0,W4/TrNavi_act!W8*1000)</f>
        <v>1280189.9105084746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454.11690616530262</v>
      </c>
      <c r="C17" s="62">
        <f>IF(C3=0,0,C3/TrNavi_act!C3*1000)</f>
        <v>505.38150432215554</v>
      </c>
      <c r="D17" s="62">
        <f>IF(D3=0,0,D3/TrNavi_act!D3*1000)</f>
        <v>911.01903428953221</v>
      </c>
      <c r="E17" s="62">
        <f>IF(E3=0,0,E3/TrNavi_act!E3*1000)</f>
        <v>646.55180829230824</v>
      </c>
      <c r="F17" s="62">
        <f>IF(F3=0,0,F3/TrNavi_act!F3*1000)</f>
        <v>248.23457605942625</v>
      </c>
      <c r="G17" s="62">
        <f>IF(G3=0,0,G3/TrNavi_act!G3*1000)</f>
        <v>145.32711719819162</v>
      </c>
      <c r="H17" s="62">
        <f>IF(H3=0,0,H3/TrNavi_act!H3*1000)</f>
        <v>169.34540227685835</v>
      </c>
      <c r="I17" s="62">
        <f>IF(I3=0,0,I3/TrNavi_act!I3*1000)</f>
        <v>931.41030819993591</v>
      </c>
      <c r="J17" s="62">
        <f>IF(J3=0,0,J3/TrNavi_act!J3*1000)</f>
        <v>974.30050111053117</v>
      </c>
      <c r="K17" s="62">
        <f>IF(K3=0,0,K3/TrNavi_act!K3*1000)</f>
        <v>1557.9276817015186</v>
      </c>
      <c r="L17" s="62">
        <f>IF(L3=0,0,L3/TrNavi_act!L3*1000)</f>
        <v>1003.5584312618236</v>
      </c>
      <c r="M17" s="62">
        <f>IF(M3=0,0,M3/TrNavi_act!M3*1000)</f>
        <v>931.26942361604404</v>
      </c>
      <c r="N17" s="62">
        <f>IF(N3=0,0,N3/TrNavi_act!N3*1000)</f>
        <v>1147.0857580613788</v>
      </c>
      <c r="O17" s="62">
        <f>IF(O3=0,0,O3/TrNavi_act!O3*1000)</f>
        <v>1137.9682068425921</v>
      </c>
      <c r="P17" s="62">
        <f>IF(P3=0,0,P3/TrNavi_act!P3*1000)</f>
        <v>834.48587694529772</v>
      </c>
      <c r="Q17" s="62">
        <f>IF(Q3=0,0,Q3/TrNavi_act!Q3*1000)</f>
        <v>1004.2045255960766</v>
      </c>
      <c r="R17" s="62">
        <f>IF(R3=0,0,R3/TrNavi_act!R3*1000)</f>
        <v>850.41386240818747</v>
      </c>
      <c r="S17" s="62">
        <f>IF(S3=0,0,S3/TrNavi_act!S3*1000)</f>
        <v>880.37173500455845</v>
      </c>
      <c r="T17" s="62">
        <f>IF(T3=0,0,T3/TrNavi_act!T3*1000)</f>
        <v>903.99010033104719</v>
      </c>
      <c r="U17" s="62">
        <f>IF(U3=0,0,U3/TrNavi_act!U3*1000)</f>
        <v>776.59535930901802</v>
      </c>
      <c r="V17" s="62">
        <f>IF(V3=0,0,V3/TrNavi_act!V3*1000)</f>
        <v>628.92935810843085</v>
      </c>
      <c r="W17" s="62">
        <f>IF(W3=0,0,W3/TrNavi_act!W3*1000)</f>
        <v>697.27548438317376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454.11690616530262</v>
      </c>
      <c r="C18" s="63">
        <f>IF(C4=0,0,C4/TrNavi_act!C4*1000)</f>
        <v>505.38150432215554</v>
      </c>
      <c r="D18" s="63">
        <f>IF(D4=0,0,D4/TrNavi_act!D4*1000)</f>
        <v>911.01903428953221</v>
      </c>
      <c r="E18" s="63">
        <f>IF(E4=0,0,E4/TrNavi_act!E4*1000)</f>
        <v>646.55180829230824</v>
      </c>
      <c r="F18" s="63">
        <f>IF(F4=0,0,F4/TrNavi_act!F4*1000)</f>
        <v>248.23457605942625</v>
      </c>
      <c r="G18" s="63">
        <f>IF(G4=0,0,G4/TrNavi_act!G4*1000)</f>
        <v>145.32711719819162</v>
      </c>
      <c r="H18" s="63">
        <f>IF(H4=0,0,H4/TrNavi_act!H4*1000)</f>
        <v>169.34540227685835</v>
      </c>
      <c r="I18" s="63">
        <f>IF(I4=0,0,I4/TrNavi_act!I4*1000)</f>
        <v>931.41030819993591</v>
      </c>
      <c r="J18" s="63">
        <f>IF(J4=0,0,J4/TrNavi_act!J4*1000)</f>
        <v>974.30050111053117</v>
      </c>
      <c r="K18" s="63">
        <f>IF(K4=0,0,K4/TrNavi_act!K4*1000)</f>
        <v>1557.9276817015186</v>
      </c>
      <c r="L18" s="63">
        <f>IF(L4=0,0,L4/TrNavi_act!L4*1000)</f>
        <v>1003.5584312618236</v>
      </c>
      <c r="M18" s="63">
        <f>IF(M4=0,0,M4/TrNavi_act!M4*1000)</f>
        <v>931.26942361604404</v>
      </c>
      <c r="N18" s="63">
        <f>IF(N4=0,0,N4/TrNavi_act!N4*1000)</f>
        <v>1147.0857580613788</v>
      </c>
      <c r="O18" s="63">
        <f>IF(O4=0,0,O4/TrNavi_act!O4*1000)</f>
        <v>1137.9682068425921</v>
      </c>
      <c r="P18" s="63">
        <f>IF(P4=0,0,P4/TrNavi_act!P4*1000)</f>
        <v>834.48587694529772</v>
      </c>
      <c r="Q18" s="63">
        <f>IF(Q4=0,0,Q4/TrNavi_act!Q4*1000)</f>
        <v>1004.2045255960766</v>
      </c>
      <c r="R18" s="63">
        <f>IF(R4=0,0,R4/TrNavi_act!R4*1000)</f>
        <v>850.41386240818747</v>
      </c>
      <c r="S18" s="63">
        <f>IF(S4=0,0,S4/TrNavi_act!S4*1000)</f>
        <v>880.37173500455845</v>
      </c>
      <c r="T18" s="63">
        <f>IF(T4=0,0,T4/TrNavi_act!T4*1000)</f>
        <v>903.99010033104719</v>
      </c>
      <c r="U18" s="63">
        <f>IF(U4=0,0,U4/TrNavi_act!U4*1000)</f>
        <v>776.59535930901802</v>
      </c>
      <c r="V18" s="63">
        <f>IF(V4=0,0,V4/TrNavi_act!V4*1000)</f>
        <v>628.92935810843085</v>
      </c>
      <c r="W18" s="63">
        <f>IF(W4=0,0,W4/TrNavi_act!W4*1000)</f>
        <v>697.27548438317376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123879.61343699999</v>
      </c>
      <c r="C3" s="54">
        <f t="shared" si="0"/>
        <v>122719.23788</v>
      </c>
      <c r="D3" s="54">
        <f t="shared" si="0"/>
        <v>123424.57705600001</v>
      </c>
      <c r="E3" s="54">
        <f t="shared" si="0"/>
        <v>119241.910385</v>
      </c>
      <c r="F3" s="54">
        <f t="shared" si="0"/>
        <v>118082.84119600001</v>
      </c>
      <c r="G3" s="54">
        <f t="shared" si="0"/>
        <v>124464.95624</v>
      </c>
      <c r="H3" s="54">
        <f t="shared" si="0"/>
        <v>133496.04364399999</v>
      </c>
      <c r="I3" s="54">
        <f t="shared" si="0"/>
        <v>132891.77451000002</v>
      </c>
      <c r="J3" s="54">
        <f t="shared" si="0"/>
        <v>131840.454245</v>
      </c>
      <c r="K3" s="54">
        <f t="shared" si="0"/>
        <v>111302.224961</v>
      </c>
      <c r="L3" s="54">
        <f t="shared" si="0"/>
        <v>126150.84386000001</v>
      </c>
      <c r="M3" s="54">
        <f t="shared" si="0"/>
        <v>141613.73754300002</v>
      </c>
      <c r="N3" s="54">
        <f t="shared" si="0"/>
        <v>141215.69161899999</v>
      </c>
      <c r="O3" s="54">
        <f t="shared" si="0"/>
        <v>170574.26906699999</v>
      </c>
      <c r="P3" s="54">
        <f t="shared" si="0"/>
        <v>174334.98317299999</v>
      </c>
      <c r="Q3" s="54">
        <f t="shared" si="0"/>
        <v>188012.22816699999</v>
      </c>
      <c r="R3" s="54">
        <f t="shared" ref="R3:W3" si="1">SUM(R4:R5)</f>
        <v>192831.02832300001</v>
      </c>
      <c r="S3" s="54">
        <f t="shared" si="1"/>
        <v>204748.39295400001</v>
      </c>
      <c r="T3" s="54">
        <f t="shared" si="1"/>
        <v>195628.70917599997</v>
      </c>
      <c r="U3" s="54">
        <f t="shared" si="1"/>
        <v>180603.82022200001</v>
      </c>
      <c r="V3" s="54">
        <f t="shared" si="1"/>
        <v>166882.61333299999</v>
      </c>
      <c r="W3" s="54">
        <f t="shared" si="1"/>
        <v>178140.19741000002</v>
      </c>
      <c r="DA3" s="172" t="s">
        <v>387</v>
      </c>
    </row>
    <row r="4" spans="1:105" ht="11.45" customHeight="1" x14ac:dyDescent="0.25">
      <c r="A4" s="55" t="s">
        <v>170</v>
      </c>
      <c r="B4" s="56">
        <v>20938.128197999999</v>
      </c>
      <c r="C4" s="56">
        <v>20180.537816</v>
      </c>
      <c r="D4" s="56">
        <v>19969.948437999999</v>
      </c>
      <c r="E4" s="56">
        <v>17596.194653999999</v>
      </c>
      <c r="F4" s="56">
        <v>19154.378618000002</v>
      </c>
      <c r="G4" s="56">
        <v>20644.359805</v>
      </c>
      <c r="H4" s="56">
        <v>20160.730477000001</v>
      </c>
      <c r="I4" s="56">
        <v>18775.961467000001</v>
      </c>
      <c r="J4" s="56">
        <v>17950.230006999998</v>
      </c>
      <c r="K4" s="56">
        <v>16792.273561000002</v>
      </c>
      <c r="L4" s="56">
        <v>18341.617492000001</v>
      </c>
      <c r="M4" s="56">
        <v>18628.171537000002</v>
      </c>
      <c r="N4" s="56">
        <v>18124.081183000002</v>
      </c>
      <c r="O4" s="56">
        <v>21462.559781</v>
      </c>
      <c r="P4" s="56">
        <v>22758.530397999999</v>
      </c>
      <c r="Q4" s="56">
        <v>23080.802442</v>
      </c>
      <c r="R4" s="56">
        <v>23638.999646</v>
      </c>
      <c r="S4" s="56">
        <v>25246.792842999999</v>
      </c>
      <c r="T4" s="56">
        <v>26534.774093</v>
      </c>
      <c r="U4" s="56">
        <v>28528.245319999998</v>
      </c>
      <c r="V4" s="56">
        <v>25962.027889000001</v>
      </c>
      <c r="W4" s="56">
        <v>26541.884238999999</v>
      </c>
      <c r="DA4" s="181" t="s">
        <v>388</v>
      </c>
    </row>
    <row r="5" spans="1:105" ht="11.45" customHeight="1" x14ac:dyDescent="0.25">
      <c r="A5" s="57" t="s">
        <v>171</v>
      </c>
      <c r="B5" s="58">
        <v>102941.485239</v>
      </c>
      <c r="C5" s="58">
        <v>102538.700064</v>
      </c>
      <c r="D5" s="58">
        <v>103454.628618</v>
      </c>
      <c r="E5" s="58">
        <v>101645.715731</v>
      </c>
      <c r="F5" s="58">
        <v>98928.462578000006</v>
      </c>
      <c r="G5" s="58">
        <v>103820.596435</v>
      </c>
      <c r="H5" s="58">
        <v>113335.313167</v>
      </c>
      <c r="I5" s="58">
        <v>114115.813043</v>
      </c>
      <c r="J5" s="58">
        <v>113890.224238</v>
      </c>
      <c r="K5" s="58">
        <v>94509.951400000005</v>
      </c>
      <c r="L5" s="58">
        <v>107809.226368</v>
      </c>
      <c r="M5" s="58">
        <v>122985.56600600001</v>
      </c>
      <c r="N5" s="58">
        <v>123091.610436</v>
      </c>
      <c r="O5" s="58">
        <v>149111.709286</v>
      </c>
      <c r="P5" s="58">
        <v>151576.45277499998</v>
      </c>
      <c r="Q5" s="58">
        <v>164931.42572500001</v>
      </c>
      <c r="R5" s="58">
        <v>169192.02867699999</v>
      </c>
      <c r="S5" s="58">
        <v>179501.60011100001</v>
      </c>
      <c r="T5" s="58">
        <v>169093.93508299999</v>
      </c>
      <c r="U5" s="58">
        <v>152075.57490200002</v>
      </c>
      <c r="V5" s="58">
        <v>140920.585444</v>
      </c>
      <c r="W5" s="58">
        <v>151598.31317100002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8.6522229999999993</v>
      </c>
      <c r="C7" s="59">
        <f t="shared" si="2"/>
        <v>8.2605000000000004</v>
      </c>
      <c r="D7" s="59">
        <f t="shared" si="2"/>
        <v>8.5039770000000008</v>
      </c>
      <c r="E7" s="59">
        <f t="shared" si="2"/>
        <v>7.8644160000000003</v>
      </c>
      <c r="F7" s="59">
        <f t="shared" si="2"/>
        <v>7.8152400000000002</v>
      </c>
      <c r="G7" s="59">
        <f t="shared" si="2"/>
        <v>8.3422009999999993</v>
      </c>
      <c r="H7" s="59">
        <f t="shared" si="2"/>
        <v>8.197241</v>
      </c>
      <c r="I7" s="59">
        <f t="shared" si="2"/>
        <v>7.8877459999999999</v>
      </c>
      <c r="J7" s="59">
        <f t="shared" si="2"/>
        <v>7.1803799999999995</v>
      </c>
      <c r="K7" s="59">
        <f t="shared" si="2"/>
        <v>6.0953110000000006</v>
      </c>
      <c r="L7" s="59">
        <f t="shared" si="2"/>
        <v>6.6821289999999998</v>
      </c>
      <c r="M7" s="59">
        <f t="shared" si="2"/>
        <v>6.9083870000000012</v>
      </c>
      <c r="N7" s="59">
        <f t="shared" si="2"/>
        <v>6.4608280000000002</v>
      </c>
      <c r="O7" s="59">
        <f t="shared" si="2"/>
        <v>7.3173589999999997</v>
      </c>
      <c r="P7" s="59">
        <f t="shared" si="2"/>
        <v>7.3094399999999995</v>
      </c>
      <c r="Q7" s="59">
        <f t="shared" si="2"/>
        <v>7.3256589999999999</v>
      </c>
      <c r="R7" s="59">
        <f t="shared" si="2"/>
        <v>7.355232</v>
      </c>
      <c r="S7" s="59">
        <f t="shared" si="2"/>
        <v>7.7088950000000001</v>
      </c>
      <c r="T7" s="59">
        <f t="shared" si="2"/>
        <v>7.8165230000000001</v>
      </c>
      <c r="U7" s="59">
        <f t="shared" si="2"/>
        <v>7.6980360000000001</v>
      </c>
      <c r="V7" s="59">
        <f t="shared" si="2"/>
        <v>6.7700839999999998</v>
      </c>
      <c r="W7" s="59">
        <f t="shared" si="2"/>
        <v>7.3355360000000003</v>
      </c>
      <c r="DA7" s="172" t="s">
        <v>961</v>
      </c>
    </row>
    <row r="8" spans="1:105" ht="11.45" customHeight="1" x14ac:dyDescent="0.25">
      <c r="A8" s="55" t="s">
        <v>170</v>
      </c>
      <c r="B8" s="60">
        <v>3.5705710000000002</v>
      </c>
      <c r="C8" s="60">
        <v>3.4059979999999999</v>
      </c>
      <c r="D8" s="60">
        <v>3.398536</v>
      </c>
      <c r="E8" s="60">
        <v>2.910568</v>
      </c>
      <c r="F8" s="60">
        <v>3.1203880000000002</v>
      </c>
      <c r="G8" s="60">
        <v>3.371375</v>
      </c>
      <c r="H8" s="60">
        <v>3.1613510000000002</v>
      </c>
      <c r="I8" s="60">
        <v>2.9245259999999997</v>
      </c>
      <c r="J8" s="60">
        <v>2.610827</v>
      </c>
      <c r="K8" s="60">
        <v>2.340697</v>
      </c>
      <c r="L8" s="60">
        <v>2.564073</v>
      </c>
      <c r="M8" s="60">
        <v>2.5210310000000002</v>
      </c>
      <c r="N8" s="60">
        <v>2.355664</v>
      </c>
      <c r="O8" s="60">
        <v>2.6654390000000001</v>
      </c>
      <c r="P8" s="60">
        <v>2.7302819999999999</v>
      </c>
      <c r="Q8" s="60">
        <v>2.620231</v>
      </c>
      <c r="R8" s="60">
        <v>2.619459</v>
      </c>
      <c r="S8" s="60">
        <v>2.754286</v>
      </c>
      <c r="T8" s="60">
        <v>3.0158519999999998</v>
      </c>
      <c r="U8" s="60">
        <v>3.2987229999999998</v>
      </c>
      <c r="V8" s="60">
        <v>2.7676889999999998</v>
      </c>
      <c r="W8" s="60">
        <v>3.0324900000000001</v>
      </c>
      <c r="DA8" s="181" t="s">
        <v>962</v>
      </c>
    </row>
    <row r="9" spans="1:105" ht="11.45" customHeight="1" x14ac:dyDescent="0.25">
      <c r="A9" s="57" t="s">
        <v>171</v>
      </c>
      <c r="B9" s="61">
        <v>5.0816520000000001</v>
      </c>
      <c r="C9" s="61">
        <v>4.8545020000000001</v>
      </c>
      <c r="D9" s="61">
        <v>5.1054410000000008</v>
      </c>
      <c r="E9" s="61">
        <v>4.9538479999999998</v>
      </c>
      <c r="F9" s="61">
        <v>4.694852</v>
      </c>
      <c r="G9" s="61">
        <v>4.9708259999999997</v>
      </c>
      <c r="H9" s="61">
        <v>5.0358900000000002</v>
      </c>
      <c r="I9" s="61">
        <v>4.9632199999999997</v>
      </c>
      <c r="J9" s="61">
        <v>4.569553</v>
      </c>
      <c r="K9" s="61">
        <v>3.7546140000000001</v>
      </c>
      <c r="L9" s="61">
        <v>4.1180560000000002</v>
      </c>
      <c r="M9" s="61">
        <v>4.3873560000000005</v>
      </c>
      <c r="N9" s="61">
        <v>4.1051640000000003</v>
      </c>
      <c r="O9" s="61">
        <v>4.6519199999999996</v>
      </c>
      <c r="P9" s="61">
        <v>4.5791579999999996</v>
      </c>
      <c r="Q9" s="61">
        <v>4.7054279999999995</v>
      </c>
      <c r="R9" s="61">
        <v>4.735773</v>
      </c>
      <c r="S9" s="61">
        <v>4.9546089999999996</v>
      </c>
      <c r="T9" s="61">
        <v>4.8006710000000004</v>
      </c>
      <c r="U9" s="61">
        <v>4.3993130000000003</v>
      </c>
      <c r="V9" s="61">
        <v>4.0023949999999999</v>
      </c>
      <c r="W9" s="61">
        <v>4.3030460000000001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14317.663037233322</v>
      </c>
      <c r="C13" s="62">
        <f t="shared" si="3"/>
        <v>14856.1513080322</v>
      </c>
      <c r="D13" s="62">
        <f t="shared" si="3"/>
        <v>14513.747750728864</v>
      </c>
      <c r="E13" s="62">
        <f t="shared" si="3"/>
        <v>15162.207897573067</v>
      </c>
      <c r="F13" s="62">
        <f t="shared" si="3"/>
        <v>15109.304537800503</v>
      </c>
      <c r="G13" s="62">
        <f t="shared" si="3"/>
        <v>14919.918165481749</v>
      </c>
      <c r="H13" s="62">
        <f t="shared" si="3"/>
        <v>16285.484792261201</v>
      </c>
      <c r="I13" s="62">
        <f t="shared" si="3"/>
        <v>16847.877012013319</v>
      </c>
      <c r="J13" s="62">
        <f t="shared" si="3"/>
        <v>18361.20849384016</v>
      </c>
      <c r="K13" s="62">
        <f t="shared" si="3"/>
        <v>18260.302872322674</v>
      </c>
      <c r="L13" s="62">
        <f t="shared" si="3"/>
        <v>18878.839941581497</v>
      </c>
      <c r="M13" s="62">
        <f t="shared" si="3"/>
        <v>20498.813622195747</v>
      </c>
      <c r="N13" s="62">
        <f t="shared" si="3"/>
        <v>21857.212669800214</v>
      </c>
      <c r="O13" s="62">
        <f t="shared" si="3"/>
        <v>23310.906170791946</v>
      </c>
      <c r="P13" s="62">
        <f t="shared" si="3"/>
        <v>23850.662044287936</v>
      </c>
      <c r="Q13" s="62">
        <f t="shared" si="3"/>
        <v>25664.889420460331</v>
      </c>
      <c r="R13" s="62">
        <f t="shared" si="3"/>
        <v>26216.851939272616</v>
      </c>
      <c r="S13" s="62">
        <f t="shared" si="3"/>
        <v>26560.018388368244</v>
      </c>
      <c r="T13" s="62">
        <f t="shared" si="3"/>
        <v>25027.586968783944</v>
      </c>
      <c r="U13" s="62">
        <f t="shared" si="3"/>
        <v>23461.025672262382</v>
      </c>
      <c r="V13" s="62">
        <f t="shared" si="3"/>
        <v>24650.00631203394</v>
      </c>
      <c r="W13" s="62">
        <f t="shared" si="3"/>
        <v>24284.550905346252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5864.0839792851057</v>
      </c>
      <c r="C14" s="63">
        <f t="shared" si="3"/>
        <v>5924.9999019376992</v>
      </c>
      <c r="D14" s="63">
        <f t="shared" si="3"/>
        <v>5876.0444020601808</v>
      </c>
      <c r="E14" s="63">
        <f t="shared" si="3"/>
        <v>6045.622247616272</v>
      </c>
      <c r="F14" s="63">
        <f t="shared" si="3"/>
        <v>6138.4605433683255</v>
      </c>
      <c r="G14" s="63">
        <f t="shared" si="3"/>
        <v>6123.4243609803125</v>
      </c>
      <c r="H14" s="63">
        <f t="shared" si="3"/>
        <v>6377.2515222131296</v>
      </c>
      <c r="I14" s="63">
        <f t="shared" si="3"/>
        <v>6420.172522658374</v>
      </c>
      <c r="J14" s="63">
        <f t="shared" si="3"/>
        <v>6875.3042645108226</v>
      </c>
      <c r="K14" s="63">
        <f t="shared" si="3"/>
        <v>7174.0483971227377</v>
      </c>
      <c r="L14" s="63">
        <f t="shared" si="3"/>
        <v>7153.3132995823444</v>
      </c>
      <c r="M14" s="63">
        <f t="shared" si="3"/>
        <v>7389.1084786343363</v>
      </c>
      <c r="N14" s="63">
        <f t="shared" si="3"/>
        <v>7693.8312013088462</v>
      </c>
      <c r="O14" s="63">
        <f t="shared" si="3"/>
        <v>8052.1669342273444</v>
      </c>
      <c r="P14" s="63">
        <f t="shared" si="3"/>
        <v>8335.5969815572171</v>
      </c>
      <c r="Q14" s="63">
        <f t="shared" si="3"/>
        <v>8808.6899368796112</v>
      </c>
      <c r="R14" s="63">
        <f t="shared" si="3"/>
        <v>9024.3823804839085</v>
      </c>
      <c r="S14" s="63">
        <f t="shared" si="3"/>
        <v>9166.365745242143</v>
      </c>
      <c r="T14" s="63">
        <f t="shared" si="3"/>
        <v>8798.4337736069283</v>
      </c>
      <c r="U14" s="63">
        <f t="shared" si="3"/>
        <v>8648.2694424478796</v>
      </c>
      <c r="V14" s="63">
        <f t="shared" si="3"/>
        <v>9380.3992749907957</v>
      </c>
      <c r="W14" s="63">
        <f t="shared" si="3"/>
        <v>8752.5051159278337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20257.484227373305</v>
      </c>
      <c r="C15" s="64">
        <f t="shared" si="3"/>
        <v>21122.393206141434</v>
      </c>
      <c r="D15" s="64">
        <f t="shared" si="3"/>
        <v>20263.602814722566</v>
      </c>
      <c r="E15" s="64">
        <f t="shared" si="3"/>
        <v>20518.537454318342</v>
      </c>
      <c r="F15" s="64">
        <f t="shared" si="3"/>
        <v>21071.689283922049</v>
      </c>
      <c r="G15" s="64">
        <f t="shared" si="3"/>
        <v>20885.984831293634</v>
      </c>
      <c r="H15" s="64">
        <f t="shared" si="3"/>
        <v>22505.51802501643</v>
      </c>
      <c r="I15" s="64">
        <f t="shared" si="3"/>
        <v>22992.293922695349</v>
      </c>
      <c r="J15" s="64">
        <f t="shared" si="3"/>
        <v>24923.712283892975</v>
      </c>
      <c r="K15" s="64">
        <f t="shared" si="3"/>
        <v>25171.682468557356</v>
      </c>
      <c r="L15" s="64">
        <f t="shared" si="3"/>
        <v>26179.64067705733</v>
      </c>
      <c r="M15" s="64">
        <f t="shared" si="3"/>
        <v>28031.818253636131</v>
      </c>
      <c r="N15" s="64">
        <f t="shared" si="3"/>
        <v>29984.578067039463</v>
      </c>
      <c r="O15" s="64">
        <f t="shared" si="3"/>
        <v>32053.799137990336</v>
      </c>
      <c r="P15" s="64">
        <f t="shared" si="3"/>
        <v>33101.380816080164</v>
      </c>
      <c r="Q15" s="64">
        <f t="shared" si="3"/>
        <v>35051.312170752593</v>
      </c>
      <c r="R15" s="64">
        <f t="shared" si="3"/>
        <v>35726.38060924795</v>
      </c>
      <c r="S15" s="64">
        <f t="shared" si="3"/>
        <v>36229.216091723894</v>
      </c>
      <c r="T15" s="64">
        <f t="shared" si="3"/>
        <v>35222.979263315479</v>
      </c>
      <c r="U15" s="64">
        <f t="shared" si="3"/>
        <v>34568.027985733228</v>
      </c>
      <c r="V15" s="64">
        <f t="shared" si="3"/>
        <v>35209.064933371141</v>
      </c>
      <c r="W15" s="64">
        <f t="shared" si="3"/>
        <v>35230.465389168516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0.16901996718490131</v>
      </c>
      <c r="C18" s="66">
        <f t="shared" si="4"/>
        <v>0.1644447778899456</v>
      </c>
      <c r="D18" s="66">
        <f t="shared" si="4"/>
        <v>0.16179879983659384</v>
      </c>
      <c r="E18" s="66">
        <f t="shared" si="4"/>
        <v>0.14756719845553151</v>
      </c>
      <c r="F18" s="66">
        <f t="shared" si="4"/>
        <v>0.162211363005795</v>
      </c>
      <c r="G18" s="66">
        <f t="shared" si="4"/>
        <v>0.16586483801265667</v>
      </c>
      <c r="H18" s="66">
        <f t="shared" si="4"/>
        <v>0.15102118330010997</v>
      </c>
      <c r="I18" s="66">
        <f t="shared" si="4"/>
        <v>0.14128761194009884</v>
      </c>
      <c r="J18" s="66">
        <f t="shared" si="4"/>
        <v>0.13615115413394258</v>
      </c>
      <c r="K18" s="66">
        <f t="shared" si="4"/>
        <v>0.15087096027850269</v>
      </c>
      <c r="L18" s="66">
        <f t="shared" si="4"/>
        <v>0.14539433055521378</v>
      </c>
      <c r="M18" s="66">
        <f t="shared" si="4"/>
        <v>0.13154212197346807</v>
      </c>
      <c r="N18" s="66">
        <f t="shared" si="4"/>
        <v>0.12834325261741297</v>
      </c>
      <c r="O18" s="66">
        <f t="shared" si="4"/>
        <v>0.12582530705478037</v>
      </c>
      <c r="P18" s="66">
        <f t="shared" si="4"/>
        <v>0.13054482803038875</v>
      </c>
      <c r="Q18" s="66">
        <f t="shared" si="4"/>
        <v>0.12276224087668759</v>
      </c>
      <c r="R18" s="66">
        <f t="shared" si="4"/>
        <v>0.12258919039939822</v>
      </c>
      <c r="S18" s="66">
        <f t="shared" si="4"/>
        <v>0.12330642736068798</v>
      </c>
      <c r="T18" s="66">
        <f t="shared" si="4"/>
        <v>0.13563844593549731</v>
      </c>
      <c r="U18" s="66">
        <f t="shared" si="4"/>
        <v>0.15796036476378406</v>
      </c>
      <c r="V18" s="66">
        <f t="shared" si="4"/>
        <v>0.15557059762238379</v>
      </c>
      <c r="W18" s="66">
        <f t="shared" si="4"/>
        <v>0.1489943573931958</v>
      </c>
      <c r="DA18" s="181"/>
    </row>
    <row r="19" spans="1:105" ht="11.45" customHeight="1" x14ac:dyDescent="0.25">
      <c r="A19" s="57" t="s">
        <v>171</v>
      </c>
      <c r="B19" s="67">
        <f t="shared" si="4"/>
        <v>0.83098003281509869</v>
      </c>
      <c r="C19" s="67">
        <f t="shared" si="4"/>
        <v>0.8355552221100544</v>
      </c>
      <c r="D19" s="67">
        <f t="shared" si="4"/>
        <v>0.83820120016340605</v>
      </c>
      <c r="E19" s="67">
        <f t="shared" si="4"/>
        <v>0.85243280154446854</v>
      </c>
      <c r="F19" s="67">
        <f t="shared" si="4"/>
        <v>0.83778863699420503</v>
      </c>
      <c r="G19" s="67">
        <f t="shared" si="4"/>
        <v>0.83413516198734339</v>
      </c>
      <c r="H19" s="67">
        <f t="shared" si="4"/>
        <v>0.84897881669989017</v>
      </c>
      <c r="I19" s="67">
        <f t="shared" si="4"/>
        <v>0.85871238805990102</v>
      </c>
      <c r="J19" s="67">
        <f t="shared" si="4"/>
        <v>0.86384884586605737</v>
      </c>
      <c r="K19" s="67">
        <f t="shared" si="4"/>
        <v>0.84912903972149734</v>
      </c>
      <c r="L19" s="67">
        <f t="shared" si="4"/>
        <v>0.85460566944478622</v>
      </c>
      <c r="M19" s="67">
        <f t="shared" si="4"/>
        <v>0.86845787802653185</v>
      </c>
      <c r="N19" s="67">
        <f t="shared" si="4"/>
        <v>0.87165674738258714</v>
      </c>
      <c r="O19" s="67">
        <f t="shared" si="4"/>
        <v>0.87417469294521966</v>
      </c>
      <c r="P19" s="67">
        <f t="shared" si="4"/>
        <v>0.8694551719696112</v>
      </c>
      <c r="Q19" s="67">
        <f t="shared" si="4"/>
        <v>0.87723775912331248</v>
      </c>
      <c r="R19" s="67">
        <f t="shared" si="4"/>
        <v>0.87741080960060169</v>
      </c>
      <c r="S19" s="67">
        <f t="shared" si="4"/>
        <v>0.87669357263931202</v>
      </c>
      <c r="T19" s="67">
        <f t="shared" si="4"/>
        <v>0.86436155406450277</v>
      </c>
      <c r="U19" s="67">
        <f t="shared" si="4"/>
        <v>0.84203963523621606</v>
      </c>
      <c r="V19" s="67">
        <f t="shared" si="4"/>
        <v>0.84442940237761632</v>
      </c>
      <c r="W19" s="67">
        <f t="shared" si="4"/>
        <v>0.85100564260680411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0.41267671903509656</v>
      </c>
      <c r="C22" s="66">
        <f t="shared" si="5"/>
        <v>0.41232346710247558</v>
      </c>
      <c r="D22" s="66">
        <f t="shared" si="5"/>
        <v>0.3996407798374807</v>
      </c>
      <c r="E22" s="66">
        <f t="shared" si="5"/>
        <v>0.37009334195953009</v>
      </c>
      <c r="F22" s="66">
        <f t="shared" si="5"/>
        <v>0.39926963215461075</v>
      </c>
      <c r="G22" s="66">
        <f t="shared" si="5"/>
        <v>0.40413495191496829</v>
      </c>
      <c r="H22" s="66">
        <f t="shared" si="5"/>
        <v>0.38566037036119838</v>
      </c>
      <c r="I22" s="66">
        <f t="shared" si="5"/>
        <v>0.37076827778176424</v>
      </c>
      <c r="J22" s="66">
        <f t="shared" si="5"/>
        <v>0.36360568660711551</v>
      </c>
      <c r="K22" s="66">
        <f t="shared" si="5"/>
        <v>0.38401600837102484</v>
      </c>
      <c r="L22" s="66">
        <f t="shared" si="5"/>
        <v>0.38372096677570877</v>
      </c>
      <c r="M22" s="66">
        <f t="shared" si="5"/>
        <v>0.36492324474584298</v>
      </c>
      <c r="N22" s="66">
        <f t="shared" si="5"/>
        <v>0.36460713704187758</v>
      </c>
      <c r="O22" s="66">
        <f t="shared" si="5"/>
        <v>0.3642624340284521</v>
      </c>
      <c r="P22" s="66">
        <f t="shared" si="5"/>
        <v>0.3735282046230628</v>
      </c>
      <c r="Q22" s="66">
        <f t="shared" si="5"/>
        <v>0.35767853786260051</v>
      </c>
      <c r="R22" s="66">
        <f t="shared" si="5"/>
        <v>0.35613546928227419</v>
      </c>
      <c r="S22" s="66">
        <f t="shared" si="5"/>
        <v>0.35728674472800576</v>
      </c>
      <c r="T22" s="66">
        <f t="shared" si="5"/>
        <v>0.38583037496339484</v>
      </c>
      <c r="U22" s="66">
        <f t="shared" si="5"/>
        <v>0.428514883536528</v>
      </c>
      <c r="V22" s="66">
        <f t="shared" si="5"/>
        <v>0.40881161888094741</v>
      </c>
      <c r="W22" s="66">
        <f t="shared" si="5"/>
        <v>0.41339719415186565</v>
      </c>
      <c r="DA22" s="181"/>
    </row>
    <row r="23" spans="1:105" ht="11.45" customHeight="1" x14ac:dyDescent="0.25">
      <c r="A23" s="57" t="s">
        <v>171</v>
      </c>
      <c r="B23" s="67">
        <f t="shared" si="5"/>
        <v>0.58732328096490349</v>
      </c>
      <c r="C23" s="67">
        <f t="shared" si="5"/>
        <v>0.58767653289752431</v>
      </c>
      <c r="D23" s="67">
        <f t="shared" si="5"/>
        <v>0.6003592201625193</v>
      </c>
      <c r="E23" s="67">
        <f t="shared" si="5"/>
        <v>0.62990665804046986</v>
      </c>
      <c r="F23" s="67">
        <f t="shared" si="5"/>
        <v>0.60073036784538925</v>
      </c>
      <c r="G23" s="67">
        <f t="shared" si="5"/>
        <v>0.59586504808503182</v>
      </c>
      <c r="H23" s="67">
        <f t="shared" si="5"/>
        <v>0.61433962963880162</v>
      </c>
      <c r="I23" s="67">
        <f t="shared" si="5"/>
        <v>0.62923172221823576</v>
      </c>
      <c r="J23" s="67">
        <f t="shared" si="5"/>
        <v>0.63639431339288455</v>
      </c>
      <c r="K23" s="67">
        <f t="shared" si="5"/>
        <v>0.6159839916289751</v>
      </c>
      <c r="L23" s="67">
        <f t="shared" si="5"/>
        <v>0.61627903322429134</v>
      </c>
      <c r="M23" s="67">
        <f t="shared" si="5"/>
        <v>0.63507675525415697</v>
      </c>
      <c r="N23" s="67">
        <f t="shared" si="5"/>
        <v>0.63539286295812236</v>
      </c>
      <c r="O23" s="67">
        <f t="shared" si="5"/>
        <v>0.63573756597154796</v>
      </c>
      <c r="P23" s="67">
        <f t="shared" si="5"/>
        <v>0.6264717953769372</v>
      </c>
      <c r="Q23" s="67">
        <f t="shared" si="5"/>
        <v>0.64232146213739949</v>
      </c>
      <c r="R23" s="67">
        <f t="shared" si="5"/>
        <v>0.64386453071772587</v>
      </c>
      <c r="S23" s="67">
        <f t="shared" si="5"/>
        <v>0.64271325527199419</v>
      </c>
      <c r="T23" s="67">
        <f t="shared" si="5"/>
        <v>0.61416962503660522</v>
      </c>
      <c r="U23" s="67">
        <f t="shared" si="5"/>
        <v>0.571485116463472</v>
      </c>
      <c r="V23" s="67">
        <f t="shared" si="5"/>
        <v>0.59118838111905259</v>
      </c>
      <c r="W23" s="67">
        <f t="shared" si="5"/>
        <v>0.58660280584813429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666.64402407566649</v>
      </c>
      <c r="C3" s="62">
        <f t="shared" ref="C3:W3" si="0">SUM(C4,C10)</f>
        <v>476.77196904557172</v>
      </c>
      <c r="D3" s="62">
        <f t="shared" si="0"/>
        <v>483.63688736027507</v>
      </c>
      <c r="E3" s="62">
        <f t="shared" si="0"/>
        <v>580.7053310404126</v>
      </c>
      <c r="F3" s="62">
        <f t="shared" si="0"/>
        <v>655.94196044711941</v>
      </c>
      <c r="G3" s="62">
        <f t="shared" si="0"/>
        <v>577.51332760103196</v>
      </c>
      <c r="H3" s="62">
        <f t="shared" si="0"/>
        <v>632.04978503869302</v>
      </c>
      <c r="I3" s="62">
        <f t="shared" si="0"/>
        <v>493.69441100601887</v>
      </c>
      <c r="J3" s="62">
        <f t="shared" si="0"/>
        <v>526.5357695614789</v>
      </c>
      <c r="K3" s="62">
        <f t="shared" si="0"/>
        <v>474.06139294926902</v>
      </c>
      <c r="L3" s="62">
        <f t="shared" si="0"/>
        <v>458.39303525365426</v>
      </c>
      <c r="M3" s="62">
        <f t="shared" si="0"/>
        <v>558.92338779019769</v>
      </c>
      <c r="N3" s="62">
        <f t="shared" si="0"/>
        <v>603.49191745485791</v>
      </c>
      <c r="O3" s="62">
        <f t="shared" si="0"/>
        <v>643.42699914015475</v>
      </c>
      <c r="P3" s="62">
        <f t="shared" si="0"/>
        <v>605.09217540842656</v>
      </c>
      <c r="Q3" s="62">
        <f t="shared" si="0"/>
        <v>641.27730008598451</v>
      </c>
      <c r="R3" s="62">
        <f t="shared" si="0"/>
        <v>762.94539982803099</v>
      </c>
      <c r="S3" s="62">
        <f t="shared" si="0"/>
        <v>776.82424763542554</v>
      </c>
      <c r="T3" s="62">
        <f t="shared" si="0"/>
        <v>808.40825451418755</v>
      </c>
      <c r="U3" s="62">
        <f t="shared" si="0"/>
        <v>952.30128976784181</v>
      </c>
      <c r="V3" s="62">
        <f t="shared" si="0"/>
        <v>686.58968185726565</v>
      </c>
      <c r="W3" s="62">
        <f t="shared" si="0"/>
        <v>659.35984522785918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230.94805086167395</v>
      </c>
      <c r="C4" s="71">
        <f t="shared" ref="C4:W4" si="1">SUM(C5:C9)</f>
        <v>164.76638735770538</v>
      </c>
      <c r="D4" s="71">
        <f t="shared" si="1"/>
        <v>163.6492780823279</v>
      </c>
      <c r="E4" s="71">
        <f t="shared" si="1"/>
        <v>186.02863247246796</v>
      </c>
      <c r="F4" s="71">
        <f t="shared" si="1"/>
        <v>222.99997761799011</v>
      </c>
      <c r="G4" s="71">
        <f t="shared" si="1"/>
        <v>198.98119585942001</v>
      </c>
      <c r="H4" s="71">
        <f t="shared" si="1"/>
        <v>207.21942966034112</v>
      </c>
      <c r="I4" s="71">
        <f t="shared" si="1"/>
        <v>156.98260249249191</v>
      </c>
      <c r="J4" s="71">
        <f t="shared" si="1"/>
        <v>164.97694641293759</v>
      </c>
      <c r="K4" s="71">
        <f t="shared" si="1"/>
        <v>157.9474011341585</v>
      </c>
      <c r="L4" s="71">
        <f t="shared" si="1"/>
        <v>150.13369167140655</v>
      </c>
      <c r="M4" s="71">
        <f t="shared" si="1"/>
        <v>174.3600159747111</v>
      </c>
      <c r="N4" s="71">
        <f t="shared" si="1"/>
        <v>186.31913585791318</v>
      </c>
      <c r="O4" s="71">
        <f t="shared" si="1"/>
        <v>197.03280834919482</v>
      </c>
      <c r="P4" s="71">
        <f t="shared" si="1"/>
        <v>188.44027579925262</v>
      </c>
      <c r="Q4" s="71">
        <f t="shared" si="1"/>
        <v>192.69621056787793</v>
      </c>
      <c r="R4" s="71">
        <f t="shared" si="1"/>
        <v>227.77059168796853</v>
      </c>
      <c r="S4" s="71">
        <f t="shared" si="1"/>
        <v>233.38790344627279</v>
      </c>
      <c r="T4" s="71">
        <f t="shared" si="1"/>
        <v>257.16401595938044</v>
      </c>
      <c r="U4" s="71">
        <f t="shared" si="1"/>
        <v>330.1325871116174</v>
      </c>
      <c r="V4" s="71">
        <f t="shared" si="1"/>
        <v>210.34333087950975</v>
      </c>
      <c r="W4" s="71">
        <f t="shared" si="1"/>
        <v>201.39834894600841</v>
      </c>
      <c r="DA4" s="186" t="s">
        <v>969</v>
      </c>
    </row>
    <row r="5" spans="1:105" ht="11.45" customHeight="1" x14ac:dyDescent="0.25">
      <c r="A5" s="72" t="s">
        <v>145</v>
      </c>
      <c r="B5" s="73">
        <v>156.00477516477642</v>
      </c>
      <c r="C5" s="73">
        <v>116.74450649120156</v>
      </c>
      <c r="D5" s="73">
        <v>95.603666432843355</v>
      </c>
      <c r="E5" s="73">
        <v>109.84873282716572</v>
      </c>
      <c r="F5" s="73">
        <v>109.92700404157536</v>
      </c>
      <c r="G5" s="73">
        <v>103.16290183118375</v>
      </c>
      <c r="H5" s="73">
        <v>99.498877326499937</v>
      </c>
      <c r="I5" s="73">
        <v>36.492780263126804</v>
      </c>
      <c r="J5" s="73">
        <v>40.133167744285871</v>
      </c>
      <c r="K5" s="73">
        <v>31.586036413346857</v>
      </c>
      <c r="L5" s="73">
        <v>37.078800576286675</v>
      </c>
      <c r="M5" s="73">
        <v>38.301703545483669</v>
      </c>
      <c r="N5" s="73">
        <v>34.984717374666737</v>
      </c>
      <c r="O5" s="73">
        <v>42.040379589424013</v>
      </c>
      <c r="P5" s="73">
        <v>41.553465043020012</v>
      </c>
      <c r="Q5" s="73">
        <v>76.976750161519647</v>
      </c>
      <c r="R5" s="73">
        <v>89.551875681485754</v>
      </c>
      <c r="S5" s="73">
        <v>91.859833459430888</v>
      </c>
      <c r="T5" s="73">
        <v>98.887700886896653</v>
      </c>
      <c r="U5" s="73">
        <v>115.23972950234595</v>
      </c>
      <c r="V5" s="73">
        <v>99.555892327639384</v>
      </c>
      <c r="W5" s="73">
        <v>99.998882820339929</v>
      </c>
      <c r="DA5" s="187" t="s">
        <v>970</v>
      </c>
    </row>
    <row r="6" spans="1:105" ht="11.45" customHeight="1" x14ac:dyDescent="0.25">
      <c r="A6" s="72" t="s">
        <v>146</v>
      </c>
      <c r="B6" s="73">
        <v>74.94327569689753</v>
      </c>
      <c r="C6" s="73">
        <v>48.021880866503821</v>
      </c>
      <c r="D6" s="73">
        <v>68.045611649484542</v>
      </c>
      <c r="E6" s="73">
        <v>76.179899645302243</v>
      </c>
      <c r="F6" s="73">
        <v>113.07297357641477</v>
      </c>
      <c r="G6" s="73">
        <v>95.818294028236267</v>
      </c>
      <c r="H6" s="73">
        <v>107.72055233384118</v>
      </c>
      <c r="I6" s="73">
        <v>120.4898222293651</v>
      </c>
      <c r="J6" s="73">
        <v>124.84377866865171</v>
      </c>
      <c r="K6" s="73">
        <v>126.36136472081165</v>
      </c>
      <c r="L6" s="73">
        <v>113.05489109511988</v>
      </c>
      <c r="M6" s="73">
        <v>136.05831242922744</v>
      </c>
      <c r="N6" s="73">
        <v>151.33441848324645</v>
      </c>
      <c r="O6" s="73">
        <v>154.9924287597708</v>
      </c>
      <c r="P6" s="73">
        <v>146.88681075623259</v>
      </c>
      <c r="Q6" s="73">
        <v>115.71946040635828</v>
      </c>
      <c r="R6" s="73">
        <v>138.21871600648277</v>
      </c>
      <c r="S6" s="73">
        <v>141.5280699868419</v>
      </c>
      <c r="T6" s="73">
        <v>158.27631507248381</v>
      </c>
      <c r="U6" s="73">
        <v>214.89285760927143</v>
      </c>
      <c r="V6" s="73">
        <v>110.78743855187037</v>
      </c>
      <c r="W6" s="73">
        <v>101.39946612566847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435.69597321399249</v>
      </c>
      <c r="C10" s="71">
        <f t="shared" ref="C10:W10" si="2">SUM(C11:C15)</f>
        <v>312.00558168786637</v>
      </c>
      <c r="D10" s="71">
        <f t="shared" si="2"/>
        <v>319.98760927794717</v>
      </c>
      <c r="E10" s="71">
        <f t="shared" si="2"/>
        <v>394.67669856794458</v>
      </c>
      <c r="F10" s="71">
        <f t="shared" si="2"/>
        <v>432.9419828291293</v>
      </c>
      <c r="G10" s="71">
        <f t="shared" si="2"/>
        <v>378.53213174161192</v>
      </c>
      <c r="H10" s="71">
        <f t="shared" si="2"/>
        <v>424.8303553783519</v>
      </c>
      <c r="I10" s="71">
        <f t="shared" si="2"/>
        <v>336.71180851352699</v>
      </c>
      <c r="J10" s="71">
        <f t="shared" si="2"/>
        <v>361.55882314854125</v>
      </c>
      <c r="K10" s="71">
        <f t="shared" si="2"/>
        <v>316.11399181511052</v>
      </c>
      <c r="L10" s="71">
        <f t="shared" si="2"/>
        <v>308.25934358224771</v>
      </c>
      <c r="M10" s="71">
        <f t="shared" si="2"/>
        <v>384.56337181548656</v>
      </c>
      <c r="N10" s="71">
        <f t="shared" si="2"/>
        <v>417.17278159694479</v>
      </c>
      <c r="O10" s="71">
        <f t="shared" si="2"/>
        <v>446.3941907909599</v>
      </c>
      <c r="P10" s="71">
        <f t="shared" si="2"/>
        <v>416.65189960917388</v>
      </c>
      <c r="Q10" s="71">
        <f t="shared" si="2"/>
        <v>448.58108951810658</v>
      </c>
      <c r="R10" s="71">
        <f t="shared" si="2"/>
        <v>535.17480814006251</v>
      </c>
      <c r="S10" s="71">
        <f t="shared" si="2"/>
        <v>543.43634418915281</v>
      </c>
      <c r="T10" s="71">
        <f t="shared" si="2"/>
        <v>551.24423855480711</v>
      </c>
      <c r="U10" s="71">
        <f t="shared" si="2"/>
        <v>622.16870265622447</v>
      </c>
      <c r="V10" s="71">
        <f t="shared" si="2"/>
        <v>476.24635097775587</v>
      </c>
      <c r="W10" s="71">
        <f t="shared" si="2"/>
        <v>457.96149628185077</v>
      </c>
      <c r="DA10" s="186" t="s">
        <v>975</v>
      </c>
    </row>
    <row r="11" spans="1:105" ht="11.45" customHeight="1" x14ac:dyDescent="0.25">
      <c r="A11" s="72" t="s">
        <v>145</v>
      </c>
      <c r="B11" s="73">
        <v>56.153694310717967</v>
      </c>
      <c r="C11" s="73">
        <v>41.598141832100247</v>
      </c>
      <c r="D11" s="73">
        <v>35.831071314362156</v>
      </c>
      <c r="E11" s="73">
        <v>44.354276631131768</v>
      </c>
      <c r="F11" s="73">
        <v>40.136280567195051</v>
      </c>
      <c r="G11" s="73">
        <v>37.58610934680425</v>
      </c>
      <c r="H11" s="73">
        <v>39.151165665761468</v>
      </c>
      <c r="I11" s="73">
        <v>14.859068404113087</v>
      </c>
      <c r="J11" s="73">
        <v>16.353848592773456</v>
      </c>
      <c r="K11" s="73">
        <v>11.549561179086506</v>
      </c>
      <c r="L11" s="73">
        <v>14.273048090953214</v>
      </c>
      <c r="M11" s="73">
        <v>16.131314511266122</v>
      </c>
      <c r="N11" s="73">
        <v>15.340132152418382</v>
      </c>
      <c r="O11" s="73">
        <v>18.55480527729997</v>
      </c>
      <c r="P11" s="73">
        <v>18.014720683549204</v>
      </c>
      <c r="Q11" s="73">
        <v>34.970283372444264</v>
      </c>
      <c r="R11" s="73">
        <v>40.881830251446353</v>
      </c>
      <c r="S11" s="73">
        <v>41.927182877628418</v>
      </c>
      <c r="T11" s="73">
        <v>41.346005046035458</v>
      </c>
      <c r="U11" s="73">
        <v>42.220545648126965</v>
      </c>
      <c r="V11" s="73">
        <v>43.909971816814625</v>
      </c>
      <c r="W11" s="73">
        <v>44.820549681809659</v>
      </c>
      <c r="DA11" s="187" t="s">
        <v>976</v>
      </c>
    </row>
    <row r="12" spans="1:105" ht="11.45" customHeight="1" x14ac:dyDescent="0.25">
      <c r="A12" s="72" t="s">
        <v>146</v>
      </c>
      <c r="B12" s="73">
        <v>379.54227890327451</v>
      </c>
      <c r="C12" s="73">
        <v>270.40743985576614</v>
      </c>
      <c r="D12" s="73">
        <v>284.15653796358504</v>
      </c>
      <c r="E12" s="73">
        <v>350.32242193681282</v>
      </c>
      <c r="F12" s="73">
        <v>392.80570226193424</v>
      </c>
      <c r="G12" s="73">
        <v>340.9460223948077</v>
      </c>
      <c r="H12" s="73">
        <v>385.67918971259041</v>
      </c>
      <c r="I12" s="73">
        <v>321.8527401094139</v>
      </c>
      <c r="J12" s="73">
        <v>345.20497455576782</v>
      </c>
      <c r="K12" s="73">
        <v>304.56443063602404</v>
      </c>
      <c r="L12" s="73">
        <v>293.98629549129447</v>
      </c>
      <c r="M12" s="73">
        <v>368.43205730422045</v>
      </c>
      <c r="N12" s="73">
        <v>401.8326494445264</v>
      </c>
      <c r="O12" s="73">
        <v>427.83938551365992</v>
      </c>
      <c r="P12" s="73">
        <v>398.63717892562465</v>
      </c>
      <c r="Q12" s="73">
        <v>413.61080614566231</v>
      </c>
      <c r="R12" s="73">
        <v>494.29297788861612</v>
      </c>
      <c r="S12" s="73">
        <v>501.50916131152434</v>
      </c>
      <c r="T12" s="73">
        <v>509.89823350877163</v>
      </c>
      <c r="U12" s="73">
        <v>579.9481570080975</v>
      </c>
      <c r="V12" s="73">
        <v>432.33637916094125</v>
      </c>
      <c r="W12" s="73">
        <v>413.1409466000411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7704.8872188761961</v>
      </c>
      <c r="C19" s="62">
        <f>IF(C3=0,0,C3/MBunk_act!C7*100)</f>
        <v>5771.70835960985</v>
      </c>
      <c r="D19" s="62">
        <f>IF(D3=0,0,D3/MBunk_act!D7*100)</f>
        <v>5687.1848002443448</v>
      </c>
      <c r="E19" s="62">
        <f>IF(E3=0,0,E3/MBunk_act!E7*100)</f>
        <v>7383.9599919487046</v>
      </c>
      <c r="F19" s="62">
        <f>IF(F3=0,0,F3/MBunk_act!F7*100)</f>
        <v>8393.1134609700966</v>
      </c>
      <c r="G19" s="62">
        <f>IF(G3=0,0,G3/MBunk_act!G7*100)</f>
        <v>6922.7932484608318</v>
      </c>
      <c r="H19" s="62">
        <f>IF(H3=0,0,H3/MBunk_act!H7*100)</f>
        <v>7710.5185151771548</v>
      </c>
      <c r="I19" s="62">
        <f>IF(I3=0,0,I3/MBunk_act!I7*100)</f>
        <v>6259.004930001789</v>
      </c>
      <c r="J19" s="62">
        <f>IF(J3=0,0,J3/MBunk_act!J7*100)</f>
        <v>7332.9791676969589</v>
      </c>
      <c r="K19" s="62">
        <f>IF(K3=0,0,K3/MBunk_act!K7*100)</f>
        <v>7777.4767021612024</v>
      </c>
      <c r="L19" s="62">
        <f>IF(L3=0,0,L3/MBunk_act!L7*100)</f>
        <v>6859.9848230055759</v>
      </c>
      <c r="M19" s="62">
        <f>IF(M3=0,0,M3/MBunk_act!M7*100)</f>
        <v>8090.5048861651439</v>
      </c>
      <c r="N19" s="62">
        <f>IF(N3=0,0,N3/MBunk_act!N7*100)</f>
        <v>9340.7829066933518</v>
      </c>
      <c r="O19" s="62">
        <f>IF(O3=0,0,O3/MBunk_act!O7*100)</f>
        <v>8793.158831487628</v>
      </c>
      <c r="P19" s="62">
        <f>IF(P3=0,0,P3/MBunk_act!P7*100)</f>
        <v>8278.2289123164919</v>
      </c>
      <c r="Q19" s="62">
        <f>IF(Q3=0,0,Q3/MBunk_act!Q7*100)</f>
        <v>8753.8513611674316</v>
      </c>
      <c r="R19" s="62">
        <f>IF(R3=0,0,R3/MBunk_act!R7*100)</f>
        <v>10372.825763049092</v>
      </c>
      <c r="S19" s="62">
        <f>IF(S3=0,0,S3/MBunk_act!S7*100)</f>
        <v>10076.985711122354</v>
      </c>
      <c r="T19" s="62">
        <f>IF(T3=0,0,T3/MBunk_act!T7*100)</f>
        <v>10342.299952474874</v>
      </c>
      <c r="U19" s="62">
        <f>IF(U3=0,0,U3/MBunk_act!U7*100)</f>
        <v>12370.704550717115</v>
      </c>
      <c r="V19" s="62">
        <f>IF(V3=0,0,V3/MBunk_act!V7*100)</f>
        <v>10141.523825365619</v>
      </c>
      <c r="W19" s="62">
        <f>IF(W3=0,0,W3/MBunk_act!W7*100)</f>
        <v>8988.5707769392611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6468.0985439492433</v>
      </c>
      <c r="C20" s="63">
        <f>IF(C4=0,0,C4/MBunk_act!C8*100)</f>
        <v>4837.536233365533</v>
      </c>
      <c r="D20" s="63">
        <f>IF(D4=0,0,D4/MBunk_act!D8*100)</f>
        <v>4815.2874673779497</v>
      </c>
      <c r="E20" s="63">
        <f>IF(E4=0,0,E4/MBunk_act!E8*100)</f>
        <v>6391.4889627202647</v>
      </c>
      <c r="F20" s="63">
        <f>IF(F4=0,0,F4/MBunk_act!F8*100)</f>
        <v>7146.5464428779396</v>
      </c>
      <c r="G20" s="63">
        <f>IF(G4=0,0,G4/MBunk_act!G8*100)</f>
        <v>5902.0784059744174</v>
      </c>
      <c r="H20" s="63">
        <f>IF(H4=0,0,H4/MBunk_act!H8*100)</f>
        <v>6554.7745144509772</v>
      </c>
      <c r="I20" s="63">
        <f>IF(I4=0,0,I4/MBunk_act!I8*100)</f>
        <v>5367.796439234663</v>
      </c>
      <c r="J20" s="63">
        <f>IF(J4=0,0,J4/MBunk_act!J8*100)</f>
        <v>6318.9535887646944</v>
      </c>
      <c r="K20" s="63">
        <f>IF(K4=0,0,K4/MBunk_act!K8*100)</f>
        <v>6747.8789922043943</v>
      </c>
      <c r="L20" s="63">
        <f>IF(L4=0,0,L4/MBunk_act!L8*100)</f>
        <v>5855.2814865803957</v>
      </c>
      <c r="M20" s="63">
        <f>IF(M4=0,0,M4/MBunk_act!M8*100)</f>
        <v>6916.2186412904521</v>
      </c>
      <c r="N20" s="63">
        <f>IF(N4=0,0,N4/MBunk_act!N8*100)</f>
        <v>7909.4105041259354</v>
      </c>
      <c r="O20" s="63">
        <f>IF(O4=0,0,O4/MBunk_act!O8*100)</f>
        <v>7392.1334665394643</v>
      </c>
      <c r="P20" s="63">
        <f>IF(P4=0,0,P4/MBunk_act!P8*100)</f>
        <v>6901.8612655854822</v>
      </c>
      <c r="Q20" s="63">
        <f>IF(Q4=0,0,Q4/MBunk_act!Q8*100)</f>
        <v>7354.1687953420105</v>
      </c>
      <c r="R20" s="63">
        <f>IF(R4=0,0,R4/MBunk_act!R8*100)</f>
        <v>8695.3295198729411</v>
      </c>
      <c r="S20" s="63">
        <f>IF(S4=0,0,S4/MBunk_act!S8*100)</f>
        <v>8473.6263208059281</v>
      </c>
      <c r="T20" s="63">
        <f>IF(T4=0,0,T4/MBunk_act!T8*100)</f>
        <v>8527.0767915461511</v>
      </c>
      <c r="U20" s="63">
        <f>IF(U4=0,0,U4/MBunk_act!U8*100)</f>
        <v>10007.890541631336</v>
      </c>
      <c r="V20" s="63">
        <f>IF(V4=0,0,V4/MBunk_act!V8*100)</f>
        <v>7599.9626720888709</v>
      </c>
      <c r="W20" s="63">
        <f>IF(W4=0,0,W4/MBunk_act!W8*100)</f>
        <v>6641.3524511542792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8573.904179467474</v>
      </c>
      <c r="C21" s="64">
        <f>IF(C10=0,0,C10/MBunk_act!C9*100)</f>
        <v>6427.138802041206</v>
      </c>
      <c r="D21" s="64">
        <f>IF(D10=0,0,D10/MBunk_act!D9*100)</f>
        <v>6267.5802007690845</v>
      </c>
      <c r="E21" s="64">
        <f>IF(E10=0,0,E10/MBunk_act!E9*100)</f>
        <v>7967.0732442324552</v>
      </c>
      <c r="F21" s="64">
        <f>IF(F10=0,0,F10/MBunk_act!F9*100)</f>
        <v>9221.632179866996</v>
      </c>
      <c r="G21" s="64">
        <f>IF(G10=0,0,G10/MBunk_act!G9*100)</f>
        <v>7615.0750748791434</v>
      </c>
      <c r="H21" s="64">
        <f>IF(H10=0,0,H10/MBunk_act!H9*100)</f>
        <v>8436.053118283995</v>
      </c>
      <c r="I21" s="64">
        <f>IF(I10=0,0,I10/MBunk_act!I9*100)</f>
        <v>6784.1403063641546</v>
      </c>
      <c r="J21" s="64">
        <f>IF(J10=0,0,J10/MBunk_act!J9*100)</f>
        <v>7912.3455433943145</v>
      </c>
      <c r="K21" s="64">
        <f>IF(K10=0,0,K10/MBunk_act!K9*100)</f>
        <v>8419.3472835053217</v>
      </c>
      <c r="L21" s="64">
        <f>IF(L10=0,0,L10/MBunk_act!L9*100)</f>
        <v>7485.5549216000882</v>
      </c>
      <c r="M21" s="64">
        <f>IF(M10=0,0,M10/MBunk_act!M9*100)</f>
        <v>8765.2648158819684</v>
      </c>
      <c r="N21" s="64">
        <f>IF(N10=0,0,N10/MBunk_act!N9*100)</f>
        <v>10162.14654510623</v>
      </c>
      <c r="O21" s="64">
        <f>IF(O10=0,0,O10/MBunk_act!O9*100)</f>
        <v>9595.9128873875707</v>
      </c>
      <c r="P21" s="64">
        <f>IF(P10=0,0,P10/MBunk_act!P9*100)</f>
        <v>9098.8758109935043</v>
      </c>
      <c r="Q21" s="64">
        <f>IF(Q10=0,0,Q10/MBunk_act!Q9*100)</f>
        <v>9533.2685893420676</v>
      </c>
      <c r="R21" s="64">
        <f>IF(R10=0,0,R10/MBunk_act!R9*100)</f>
        <v>11300.685403207935</v>
      </c>
      <c r="S21" s="64">
        <f>IF(S10=0,0,S10/MBunk_act!S9*100)</f>
        <v>10968.299298474467</v>
      </c>
      <c r="T21" s="64">
        <f>IF(T10=0,0,T10/MBunk_act!T9*100)</f>
        <v>11482.64979113976</v>
      </c>
      <c r="U21" s="64">
        <f>IF(U10=0,0,U10/MBunk_act!U9*100)</f>
        <v>14142.405931476675</v>
      </c>
      <c r="V21" s="64">
        <f>IF(V10=0,0,V10/MBunk_act!V9*100)</f>
        <v>11899.034227700062</v>
      </c>
      <c r="W21" s="64">
        <f>IF(W10=0,0,W10/MBunk_act!W9*100)</f>
        <v>10642.728343639617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5.3813860536035163</v>
      </c>
      <c r="C23" s="62">
        <f>IF(C3=0,0,C3/MBunk_act!C3*1000)</f>
        <v>3.8850629883456356</v>
      </c>
      <c r="D23" s="62">
        <f>IF(D3=0,0,D3/MBunk_act!D3*1000)</f>
        <v>3.9184812206473274</v>
      </c>
      <c r="E23" s="62">
        <f>IF(E3=0,0,E3/MBunk_act!E3*1000)</f>
        <v>4.8699767486571757</v>
      </c>
      <c r="F23" s="62">
        <f>IF(F3=0,0,F3/MBunk_act!F3*1000)</f>
        <v>5.5549303675574082</v>
      </c>
      <c r="G23" s="62">
        <f>IF(G3=0,0,G3/MBunk_act!G3*1000)</f>
        <v>4.6399673052344133</v>
      </c>
      <c r="H23" s="62">
        <f>IF(H3=0,0,H3/MBunk_act!H3*1000)</f>
        <v>4.734595631344769</v>
      </c>
      <c r="I23" s="62">
        <f>IF(I3=0,0,I3/MBunk_act!I3*1000)</f>
        <v>3.7150110518606154</v>
      </c>
      <c r="J23" s="62">
        <f>IF(J3=0,0,J3/MBunk_act!J3*1000)</f>
        <v>3.9937344920172522</v>
      </c>
      <c r="K23" s="62">
        <f>IF(K3=0,0,K3/MBunk_act!K3*1000)</f>
        <v>4.2592265618713272</v>
      </c>
      <c r="L23" s="62">
        <f>IF(L3=0,0,L3/MBunk_act!L3*1000)</f>
        <v>3.6336898052174016</v>
      </c>
      <c r="M23" s="62">
        <f>IF(M3=0,0,M3/MBunk_act!M3*1000)</f>
        <v>3.9468161598410219</v>
      </c>
      <c r="N23" s="62">
        <f>IF(N3=0,0,N3/MBunk_act!N3*1000)</f>
        <v>4.2735471570898751</v>
      </c>
      <c r="O23" s="62">
        <f>IF(O3=0,0,O3/MBunk_act!O3*1000)</f>
        <v>3.7721222706070785</v>
      </c>
      <c r="P23" s="62">
        <f>IF(P3=0,0,P3/MBunk_act!P3*1000)</f>
        <v>3.4708591723553726</v>
      </c>
      <c r="Q23" s="62">
        <f>IF(Q3=0,0,Q3/MBunk_act!Q3*1000)</f>
        <v>3.4108276165759617</v>
      </c>
      <c r="R23" s="62">
        <f>IF(R3=0,0,R3/MBunk_act!R3*1000)</f>
        <v>3.9565489354237409</v>
      </c>
      <c r="S23" s="62">
        <f>IF(S3=0,0,S3/MBunk_act!S3*1000)</f>
        <v>3.7940431982289184</v>
      </c>
      <c r="T23" s="62">
        <f>IF(T3=0,0,T3/MBunk_act!T3*1000)</f>
        <v>4.1323600095264768</v>
      </c>
      <c r="U23" s="62">
        <f>IF(U3=0,0,U3/MBunk_act!U3*1000)</f>
        <v>5.2728745637676084</v>
      </c>
      <c r="V23" s="62">
        <f>IF(V3=0,0,V3/MBunk_act!V3*1000)</f>
        <v>4.1142073949143798</v>
      </c>
      <c r="W23" s="62">
        <f>IF(W3=0,0,W3/MBunk_act!W3*1000)</f>
        <v>3.701353511528362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11.030023728851464</v>
      </c>
      <c r="C24" s="63">
        <f>IF(C4=0,0,C4/MBunk_act!C4*1000)</f>
        <v>8.1646182505141915</v>
      </c>
      <c r="D24" s="63">
        <f>IF(D4=0,0,D4/MBunk_act!D4*1000)</f>
        <v>8.194777196866788</v>
      </c>
      <c r="E24" s="63">
        <f>IF(E4=0,0,E4/MBunk_act!E4*1000)</f>
        <v>10.57209448579154</v>
      </c>
      <c r="F24" s="63">
        <f>IF(F4=0,0,F4/MBunk_act!F4*1000)</f>
        <v>11.642245465923372</v>
      </c>
      <c r="G24" s="63">
        <f>IF(G4=0,0,G4/MBunk_act!G4*1000)</f>
        <v>9.638525860764517</v>
      </c>
      <c r="H24" s="63">
        <f>IF(H4=0,0,H4/MBunk_act!H4*1000)</f>
        <v>10.278369124409634</v>
      </c>
      <c r="I24" s="63">
        <f>IF(I4=0,0,I4/MBunk_act!I4*1000)</f>
        <v>8.3608289657176424</v>
      </c>
      <c r="J24" s="63">
        <f>IF(J4=0,0,J4/MBunk_act!J4*1000)</f>
        <v>9.190798466014197</v>
      </c>
      <c r="K24" s="63">
        <f>IF(K4=0,0,K4/MBunk_act!K4*1000)</f>
        <v>9.4059568860878251</v>
      </c>
      <c r="L24" s="63">
        <f>IF(L4=0,0,L4/MBunk_act!L4*1000)</f>
        <v>8.1854117684489829</v>
      </c>
      <c r="M24" s="63">
        <f>IF(M4=0,0,M4/MBunk_act!M4*1000)</f>
        <v>9.3600177359538712</v>
      </c>
      <c r="N24" s="63">
        <f>IF(N4=0,0,N4/MBunk_act!N4*1000)</f>
        <v>10.280197598798912</v>
      </c>
      <c r="O24" s="63">
        <f>IF(O4=0,0,O4/MBunk_act!O4*1000)</f>
        <v>9.1803032983801192</v>
      </c>
      <c r="P24" s="63">
        <f>IF(P4=0,0,P4/MBunk_act!P4*1000)</f>
        <v>8.2799843620751794</v>
      </c>
      <c r="Q24" s="63">
        <f>IF(Q4=0,0,Q4/MBunk_act!Q4*1000)</f>
        <v>8.3487656485127122</v>
      </c>
      <c r="R24" s="63">
        <f>IF(R4=0,0,R4/MBunk_act!R4*1000)</f>
        <v>9.6353735394429023</v>
      </c>
      <c r="S24" s="63">
        <f>IF(S4=0,0,S4/MBunk_act!S4*1000)</f>
        <v>9.2442594549581614</v>
      </c>
      <c r="T24" s="63">
        <f>IF(T4=0,0,T4/MBunk_act!T4*1000)</f>
        <v>9.6915849013096178</v>
      </c>
      <c r="U24" s="63">
        <f>IF(U4=0,0,U4/MBunk_act!U4*1000)</f>
        <v>11.572130827134146</v>
      </c>
      <c r="V24" s="63">
        <f>IF(V4=0,0,V4/MBunk_act!V4*1000)</f>
        <v>8.1019607473972144</v>
      </c>
      <c r="W24" s="63">
        <f>IF(W4=0,0,W4/MBunk_act!W4*1000)</f>
        <v>7.5879446663428123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4.2324624732432596</v>
      </c>
      <c r="C25" s="64">
        <f>IF(C10=0,0,C10/MBunk_act!C5*1000)</f>
        <v>3.0428080470410359</v>
      </c>
      <c r="D25" s="64">
        <f>IF(D10=0,0,D10/MBunk_act!D5*1000)</f>
        <v>3.0930236138537812</v>
      </c>
      <c r="E25" s="64">
        <f>IF(E10=0,0,E10/MBunk_act!E5*1000)</f>
        <v>3.8828660483087702</v>
      </c>
      <c r="F25" s="64">
        <f>IF(F10=0,0,F10/MBunk_act!F5*1000)</f>
        <v>4.3763136669366194</v>
      </c>
      <c r="G25" s="64">
        <f>IF(G10=0,0,G10/MBunk_act!G5*1000)</f>
        <v>3.6460215481289722</v>
      </c>
      <c r="H25" s="64">
        <f>IF(H10=0,0,H10/MBunk_act!H5*1000)</f>
        <v>3.748437653781949</v>
      </c>
      <c r="I25" s="64">
        <f>IF(I10=0,0,I10/MBunk_act!I5*1000)</f>
        <v>2.9506148143259563</v>
      </c>
      <c r="J25" s="64">
        <f>IF(J10=0,0,J10/MBunk_act!J5*1000)</f>
        <v>3.1746256148638392</v>
      </c>
      <c r="K25" s="64">
        <f>IF(K10=0,0,K10/MBunk_act!K5*1000)</f>
        <v>3.3447693828261826</v>
      </c>
      <c r="L25" s="64">
        <f>IF(L10=0,0,L10/MBunk_act!L5*1000)</f>
        <v>2.8593039201489474</v>
      </c>
      <c r="M25" s="64">
        <f>IF(M10=0,0,M10/MBunk_act!M5*1000)</f>
        <v>3.1268984182804442</v>
      </c>
      <c r="N25" s="64">
        <f>IF(N10=0,0,N10/MBunk_act!N5*1000)</f>
        <v>3.3891244100169504</v>
      </c>
      <c r="O25" s="64">
        <f>IF(O10=0,0,O10/MBunk_act!O5*1000)</f>
        <v>2.9936897171151373</v>
      </c>
      <c r="P25" s="64">
        <f>IF(P10=0,0,P10/MBunk_act!P5*1000)</f>
        <v>2.7487904089407063</v>
      </c>
      <c r="Q25" s="64">
        <f>IF(Q10=0,0,Q10/MBunk_act!Q5*1000)</f>
        <v>2.7198036247261488</v>
      </c>
      <c r="R25" s="64">
        <f>IF(R10=0,0,R10/MBunk_act!R5*1000)</f>
        <v>3.1631206997449657</v>
      </c>
      <c r="S25" s="64">
        <f>IF(S10=0,0,S10/MBunk_act!S5*1000)</f>
        <v>3.0274735370219723</v>
      </c>
      <c r="T25" s="64">
        <f>IF(T10=0,0,T10/MBunk_act!T5*1000)</f>
        <v>3.2599882324828986</v>
      </c>
      <c r="U25" s="64">
        <f>IF(U10=0,0,U10/MBunk_act!U5*1000)</f>
        <v>4.0911810003490707</v>
      </c>
      <c r="V25" s="64">
        <f>IF(V10=0,0,V10/MBunk_act!V5*1000)</f>
        <v>3.379537130627448</v>
      </c>
      <c r="W25" s="64">
        <f>IF(W10=0,0,W10/MBunk_act!W5*1000)</f>
        <v>3.0208878100462697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0.34643384253221854</v>
      </c>
      <c r="C28" s="77">
        <f t="shared" si="3"/>
        <v>0.34558740457737852</v>
      </c>
      <c r="D28" s="77">
        <f t="shared" si="3"/>
        <v>0.33837220104433602</v>
      </c>
      <c r="E28" s="77">
        <f t="shared" si="3"/>
        <v>0.32034944838404078</v>
      </c>
      <c r="F28" s="77">
        <f t="shared" si="3"/>
        <v>0.33996906901028767</v>
      </c>
      <c r="G28" s="77">
        <f t="shared" si="3"/>
        <v>0.34454823178883198</v>
      </c>
      <c r="H28" s="77">
        <f t="shared" si="3"/>
        <v>0.32785301817269902</v>
      </c>
      <c r="I28" s="77">
        <f t="shared" si="3"/>
        <v>0.31797524742603994</v>
      </c>
      <c r="J28" s="77">
        <f t="shared" si="3"/>
        <v>0.31332524008831786</v>
      </c>
      <c r="K28" s="77">
        <f t="shared" si="3"/>
        <v>0.33317921156060265</v>
      </c>
      <c r="L28" s="77">
        <f t="shared" si="3"/>
        <v>0.3275217556225069</v>
      </c>
      <c r="M28" s="77">
        <f t="shared" si="3"/>
        <v>0.31195691535484715</v>
      </c>
      <c r="N28" s="77">
        <f t="shared" si="3"/>
        <v>0.30873509730451382</v>
      </c>
      <c r="O28" s="77">
        <f t="shared" si="3"/>
        <v>0.30622402947420624</v>
      </c>
      <c r="P28" s="77">
        <f t="shared" si="3"/>
        <v>0.31142408290449097</v>
      </c>
      <c r="Q28" s="77">
        <f t="shared" si="3"/>
        <v>0.30048812041536571</v>
      </c>
      <c r="R28" s="77">
        <f t="shared" si="3"/>
        <v>0.29854114296948164</v>
      </c>
      <c r="S28" s="77">
        <f t="shared" si="3"/>
        <v>0.30043848934515366</v>
      </c>
      <c r="T28" s="77">
        <f t="shared" si="3"/>
        <v>0.3181115661837508</v>
      </c>
      <c r="U28" s="77">
        <f t="shared" si="3"/>
        <v>0.34666821378778062</v>
      </c>
      <c r="V28" s="77">
        <f t="shared" si="3"/>
        <v>0.30635958628233184</v>
      </c>
      <c r="W28" s="77">
        <f t="shared" si="3"/>
        <v>0.30544527453959514</v>
      </c>
      <c r="DA28" s="184"/>
    </row>
    <row r="29" spans="1:105" ht="11.45" customHeight="1" x14ac:dyDescent="0.25">
      <c r="A29" s="57" t="s">
        <v>171</v>
      </c>
      <c r="B29" s="78">
        <f>IF(B10=0,0,B10/B$3)</f>
        <v>0.65356615746778135</v>
      </c>
      <c r="C29" s="78">
        <f t="shared" ref="C29:W29" si="4">IF(C10=0,0,C10/C$3)</f>
        <v>0.65441259542262153</v>
      </c>
      <c r="D29" s="78">
        <f t="shared" si="4"/>
        <v>0.66162779895566393</v>
      </c>
      <c r="E29" s="78">
        <f t="shared" si="4"/>
        <v>0.67965055161595911</v>
      </c>
      <c r="F29" s="78">
        <f t="shared" si="4"/>
        <v>0.66003093098971233</v>
      </c>
      <c r="G29" s="78">
        <f t="shared" si="4"/>
        <v>0.65545176821116802</v>
      </c>
      <c r="H29" s="78">
        <f t="shared" si="4"/>
        <v>0.67214698182730104</v>
      </c>
      <c r="I29" s="78">
        <f t="shared" si="4"/>
        <v>0.68202475257396011</v>
      </c>
      <c r="J29" s="78">
        <f t="shared" si="4"/>
        <v>0.68667475991168203</v>
      </c>
      <c r="K29" s="78">
        <f t="shared" si="4"/>
        <v>0.66682078843939729</v>
      </c>
      <c r="L29" s="78">
        <f t="shared" si="4"/>
        <v>0.67247824437749304</v>
      </c>
      <c r="M29" s="78">
        <f t="shared" si="4"/>
        <v>0.68804308464515285</v>
      </c>
      <c r="N29" s="78">
        <f t="shared" si="4"/>
        <v>0.69126490269548624</v>
      </c>
      <c r="O29" s="78">
        <f t="shared" si="4"/>
        <v>0.69377597052579376</v>
      </c>
      <c r="P29" s="78">
        <f t="shared" si="4"/>
        <v>0.68857591709550892</v>
      </c>
      <c r="Q29" s="78">
        <f t="shared" si="4"/>
        <v>0.69951187958463423</v>
      </c>
      <c r="R29" s="78">
        <f t="shared" si="4"/>
        <v>0.70145885703051847</v>
      </c>
      <c r="S29" s="78">
        <f t="shared" si="4"/>
        <v>0.6995615106548464</v>
      </c>
      <c r="T29" s="78">
        <f t="shared" si="4"/>
        <v>0.6818884338162492</v>
      </c>
      <c r="U29" s="78">
        <f t="shared" si="4"/>
        <v>0.65333178621221943</v>
      </c>
      <c r="V29" s="78">
        <f t="shared" si="4"/>
        <v>0.69364041371766816</v>
      </c>
      <c r="W29" s="78">
        <f t="shared" si="4"/>
        <v>0.69455472546040486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2131.002677160001</v>
      </c>
      <c r="C3" s="62">
        <f t="shared" ref="C3:W3" si="1">SUM(C4:C5)</f>
        <v>1523.1419161199997</v>
      </c>
      <c r="D3" s="62">
        <f t="shared" si="1"/>
        <v>1549.1059703999999</v>
      </c>
      <c r="E3" s="62">
        <f t="shared" si="1"/>
        <v>1860.5185736399994</v>
      </c>
      <c r="F3" s="62">
        <f t="shared" si="1"/>
        <v>2104.9010935199999</v>
      </c>
      <c r="G3" s="62">
        <f t="shared" si="1"/>
        <v>1852.0334845200007</v>
      </c>
      <c r="H3" s="62">
        <f t="shared" si="1"/>
        <v>2029.0534149600003</v>
      </c>
      <c r="I3" s="62">
        <f t="shared" si="1"/>
        <v>1592.7628168800004</v>
      </c>
      <c r="J3" s="62">
        <f t="shared" si="1"/>
        <v>1698.4784743200005</v>
      </c>
      <c r="K3" s="62">
        <f t="shared" si="1"/>
        <v>1530.1033768800003</v>
      </c>
      <c r="L3" s="62">
        <f t="shared" si="1"/>
        <v>1478.1935667600001</v>
      </c>
      <c r="M3" s="62">
        <f t="shared" si="1"/>
        <v>1803.5448303600001</v>
      </c>
      <c r="N3" s="62">
        <f t="shared" si="1"/>
        <v>1948.7126664</v>
      </c>
      <c r="O3" s="62">
        <f t="shared" si="1"/>
        <v>2076.5344215599998</v>
      </c>
      <c r="P3" s="62">
        <f t="shared" si="1"/>
        <v>1952.6213354400004</v>
      </c>
      <c r="Q3" s="62">
        <f t="shared" si="1"/>
        <v>2062.4731455600004</v>
      </c>
      <c r="R3" s="62">
        <f t="shared" si="1"/>
        <v>2454.1945455600007</v>
      </c>
      <c r="S3" s="62">
        <f t="shared" si="1"/>
        <v>2498.7341782800004</v>
      </c>
      <c r="T3" s="62">
        <f t="shared" si="1"/>
        <v>2600.2311102000003</v>
      </c>
      <c r="U3" s="62">
        <f t="shared" si="1"/>
        <v>3064.1766001200003</v>
      </c>
      <c r="V3" s="62">
        <f t="shared" si="1"/>
        <v>2205.01993356</v>
      </c>
      <c r="W3" s="62">
        <f t="shared" si="1"/>
        <v>2116.6001164800005</v>
      </c>
      <c r="DA3" s="172" t="s">
        <v>985</v>
      </c>
    </row>
    <row r="4" spans="1:105" ht="11.45" customHeight="1" x14ac:dyDescent="0.25">
      <c r="A4" s="55" t="s">
        <v>170</v>
      </c>
      <c r="B4" s="63">
        <v>726.85206753731006</v>
      </c>
      <c r="C4" s="63">
        <v>517.80925210341945</v>
      </c>
      <c r="D4" s="63">
        <v>517.11007803522614</v>
      </c>
      <c r="E4" s="63">
        <v>587.66407684742853</v>
      </c>
      <c r="F4" s="63">
        <v>707.46198251203293</v>
      </c>
      <c r="G4" s="63">
        <v>630.56167998418164</v>
      </c>
      <c r="H4" s="63">
        <v>657.76459978439379</v>
      </c>
      <c r="I4" s="63">
        <v>503.67318124006079</v>
      </c>
      <c r="J4" s="63">
        <v>529.07654589157733</v>
      </c>
      <c r="K4" s="63">
        <v>507.42713278377744</v>
      </c>
      <c r="L4" s="63">
        <v>481.34991917127655</v>
      </c>
      <c r="M4" s="63">
        <v>559.68976389849854</v>
      </c>
      <c r="N4" s="63">
        <v>598.94901901443086</v>
      </c>
      <c r="O4" s="63">
        <v>632.64693031962133</v>
      </c>
      <c r="P4" s="63">
        <v>604.91518239283482</v>
      </c>
      <c r="Q4" s="63">
        <v>613.7750096159906</v>
      </c>
      <c r="R4" s="63">
        <v>725.69904087108853</v>
      </c>
      <c r="S4" s="63">
        <v>743.58928520479492</v>
      </c>
      <c r="T4" s="63">
        <v>819.6730962074696</v>
      </c>
      <c r="U4" s="63">
        <v>1053.878578651229</v>
      </c>
      <c r="V4" s="63">
        <v>667.85771346147419</v>
      </c>
      <c r="W4" s="63">
        <v>638.81183170433303</v>
      </c>
      <c r="DA4" s="181" t="s">
        <v>986</v>
      </c>
    </row>
    <row r="5" spans="1:105" ht="11.45" customHeight="1" x14ac:dyDescent="0.25">
      <c r="A5" s="57" t="s">
        <v>171</v>
      </c>
      <c r="B5" s="64">
        <v>1404.1506096226908</v>
      </c>
      <c r="C5" s="64">
        <v>1005.3326640165801</v>
      </c>
      <c r="D5" s="64">
        <v>1031.9958923647739</v>
      </c>
      <c r="E5" s="64">
        <v>1272.8544967925709</v>
      </c>
      <c r="F5" s="64">
        <v>1397.4391110079669</v>
      </c>
      <c r="G5" s="64">
        <v>1221.471804535819</v>
      </c>
      <c r="H5" s="64">
        <v>1371.2888151756065</v>
      </c>
      <c r="I5" s="64">
        <v>1089.0896356399396</v>
      </c>
      <c r="J5" s="64">
        <v>1169.4019284284232</v>
      </c>
      <c r="K5" s="64">
        <v>1022.6762440962227</v>
      </c>
      <c r="L5" s="64">
        <v>996.84364758872357</v>
      </c>
      <c r="M5" s="64">
        <v>1243.8550664615016</v>
      </c>
      <c r="N5" s="64">
        <v>1349.7636473855691</v>
      </c>
      <c r="O5" s="64">
        <v>1443.8874912403787</v>
      </c>
      <c r="P5" s="64">
        <v>1347.7061530471656</v>
      </c>
      <c r="Q5" s="64">
        <v>1448.6981359440099</v>
      </c>
      <c r="R5" s="64">
        <v>1728.4955046889124</v>
      </c>
      <c r="S5" s="64">
        <v>1755.1448930752056</v>
      </c>
      <c r="T5" s="64">
        <v>1780.5580139925305</v>
      </c>
      <c r="U5" s="64">
        <v>2010.2980214687716</v>
      </c>
      <c r="V5" s="64">
        <v>1537.1622200985257</v>
      </c>
      <c r="W5" s="64">
        <v>1477.7882847756675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3.1966125851270282</v>
      </c>
      <c r="C9" s="79">
        <f>IF(C3=0,0,C3/MBunk_ene!C3)</f>
        <v>3.1946968677061882</v>
      </c>
      <c r="D9" s="79">
        <f>IF(D3=0,0,D3/MBunk_ene!D3)</f>
        <v>3.2030351920738136</v>
      </c>
      <c r="E9" s="79">
        <f>IF(E3=0,0,E3/MBunk_ene!E3)</f>
        <v>3.2038944266391138</v>
      </c>
      <c r="F9" s="79">
        <f>IF(F3=0,0,F3/MBunk_ene!F3)</f>
        <v>3.2089746051391574</v>
      </c>
      <c r="G9" s="79">
        <f>IF(G3=0,0,G3/MBunk_ene!G3)</f>
        <v>3.2069103793903357</v>
      </c>
      <c r="H9" s="79">
        <f>IF(H3=0,0,H3/MBunk_ene!H3)</f>
        <v>3.2102746697964388</v>
      </c>
      <c r="I9" s="79">
        <f>IF(I3=0,0,I3/MBunk_ene!I3)</f>
        <v>3.2262119671040437</v>
      </c>
      <c r="J9" s="79">
        <f>IF(J3=0,0,J3/MBunk_ene!J3)</f>
        <v>3.2257608552113464</v>
      </c>
      <c r="K9" s="79">
        <f>IF(K3=0,0,K3/MBunk_ene!K3)</f>
        <v>3.2276481477658359</v>
      </c>
      <c r="L9" s="79">
        <f>IF(L3=0,0,L3/MBunk_ene!L3)</f>
        <v>3.2247295510108125</v>
      </c>
      <c r="M9" s="79">
        <f>IF(M3=0,0,M3/MBunk_ene!M3)</f>
        <v>3.2268193991499139</v>
      </c>
      <c r="N9" s="79">
        <f>IF(N3=0,0,N3/MBunk_ene!N3)</f>
        <v>3.2290617488605662</v>
      </c>
      <c r="O9" s="79">
        <f>IF(O3=0,0,O3/MBunk_ene!O3)</f>
        <v>3.227303834521992</v>
      </c>
      <c r="P9" s="79">
        <f>IF(P3=0,0,P3/MBunk_ene!P3)</f>
        <v>3.2269816315539286</v>
      </c>
      <c r="Q9" s="79">
        <f>IF(Q3=0,0,Q3/MBunk_ene!Q3)</f>
        <v>3.2161954668962358</v>
      </c>
      <c r="R9" s="79">
        <f>IF(R3=0,0,R3/MBunk_ene!R3)</f>
        <v>3.2167368020217171</v>
      </c>
      <c r="S9" s="79">
        <f>IF(S3=0,0,S3/MBunk_ene!S3)</f>
        <v>3.2166016777744701</v>
      </c>
      <c r="T9" s="79">
        <f>IF(T3=0,0,T3/MBunk_ene!T3)</f>
        <v>3.2164826319872346</v>
      </c>
      <c r="U9" s="79">
        <f>IF(U3=0,0,U3/MBunk_ene!U3)</f>
        <v>3.2176545732359609</v>
      </c>
      <c r="V9" s="79">
        <f>IF(V3=0,0,V3/MBunk_ene!V3)</f>
        <v>3.2115541375385819</v>
      </c>
      <c r="W9" s="79">
        <f>IF(W3=0,0,W3/MBunk_ene!W3)</f>
        <v>3.210083434408344</v>
      </c>
      <c r="DA9" s="172"/>
    </row>
    <row r="10" spans="1:105" ht="11.45" customHeight="1" x14ac:dyDescent="0.25">
      <c r="A10" s="55" t="s">
        <v>170</v>
      </c>
      <c r="B10" s="80">
        <f>IF(B4=0,0,B4/MBunk_ene!B4)</f>
        <v>3.1472535266065407</v>
      </c>
      <c r="C10" s="80">
        <f>IF(C4=0,0,C4/MBunk_ene!C4)</f>
        <v>3.1426874158457041</v>
      </c>
      <c r="D10" s="80">
        <f>IF(D4=0,0,D4/MBunk_ene!D4)</f>
        <v>3.1598677616841111</v>
      </c>
      <c r="E10" s="80">
        <f>IF(E4=0,0,E4/MBunk_ene!E4)</f>
        <v>3.1589979942168429</v>
      </c>
      <c r="F10" s="80">
        <f>IF(F4=0,0,F4/MBunk_ene!F4)</f>
        <v>3.1724755763157519</v>
      </c>
      <c r="G10" s="80">
        <f>IF(G4=0,0,G4/MBunk_ene!G4)</f>
        <v>3.1689511024432315</v>
      </c>
      <c r="H10" s="80">
        <f>IF(H4=0,0,H4/MBunk_ene!H4)</f>
        <v>3.1742419176741934</v>
      </c>
      <c r="I10" s="80">
        <f>IF(I4=0,0,I4/MBunk_ene!I4)</f>
        <v>3.2084649715509097</v>
      </c>
      <c r="J10" s="80">
        <f>IF(J4=0,0,J4/MBunk_ene!J4)</f>
        <v>3.2069725946272385</v>
      </c>
      <c r="K10" s="80">
        <f>IF(K4=0,0,K4/MBunk_ene!K4)</f>
        <v>3.2126336308172321</v>
      </c>
      <c r="L10" s="80">
        <f>IF(L4=0,0,L4/MBunk_ene!L4)</f>
        <v>3.2061418980144296</v>
      </c>
      <c r="M10" s="80">
        <f>IF(M4=0,0,M4/MBunk_ene!M4)</f>
        <v>3.2099662343439741</v>
      </c>
      <c r="N10" s="80">
        <f>IF(N4=0,0,N4/MBunk_ene!N4)</f>
        <v>3.2146403870785925</v>
      </c>
      <c r="O10" s="80">
        <f>IF(O4=0,0,O4/MBunk_ene!O4)</f>
        <v>3.2108709997088494</v>
      </c>
      <c r="P10" s="80">
        <f>IF(P4=0,0,P4/MBunk_ene!P4)</f>
        <v>3.2101162016832179</v>
      </c>
      <c r="Q10" s="80">
        <f>IF(Q4=0,0,Q4/MBunk_ene!Q4)</f>
        <v>3.1851950165869307</v>
      </c>
      <c r="R10" s="80">
        <f>IF(R4=0,0,R4/MBunk_ene!R4)</f>
        <v>3.1860963063451617</v>
      </c>
      <c r="S10" s="80">
        <f>IF(S4=0,0,S4/MBunk_ene!S4)</f>
        <v>3.1860660909359142</v>
      </c>
      <c r="T10" s="80">
        <f>IF(T4=0,0,T4/MBunk_ene!T4)</f>
        <v>3.1873553271035346</v>
      </c>
      <c r="U10" s="80">
        <f>IF(U4=0,0,U4/MBunk_ene!U4)</f>
        <v>3.1922888554316331</v>
      </c>
      <c r="V10" s="80">
        <f>IF(V4=0,0,V4/MBunk_ene!V4)</f>
        <v>3.1750838529986045</v>
      </c>
      <c r="W10" s="80">
        <f>IF(W4=0,0,W4/MBunk_ene!W4)</f>
        <v>3.1718821680886173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3.2227761924552856</v>
      </c>
      <c r="C11" s="81">
        <f>IF(C5=0,0,C5/MBunk_ene!C10)</f>
        <v>3.2221624324090632</v>
      </c>
      <c r="D11" s="81">
        <f>IF(D5=0,0,D5/MBunk_ene!D10)</f>
        <v>3.2251120432240334</v>
      </c>
      <c r="E11" s="81">
        <f>IF(E5=0,0,E5/MBunk_ene!E10)</f>
        <v>3.2250561064563223</v>
      </c>
      <c r="F11" s="81">
        <f>IF(F5=0,0,F5/MBunk_ene!F10)</f>
        <v>3.2277745435454777</v>
      </c>
      <c r="G11" s="81">
        <f>IF(G5=0,0,G5/MBunk_ene!G10)</f>
        <v>3.2268642530182943</v>
      </c>
      <c r="H11" s="81">
        <f>IF(H5=0,0,H5/MBunk_ene!H10)</f>
        <v>3.2278503591259224</v>
      </c>
      <c r="I11" s="81">
        <f>IF(I5=0,0,I5/MBunk_ene!I10)</f>
        <v>3.234486014755217</v>
      </c>
      <c r="J11" s="81">
        <f>IF(J5=0,0,J5/MBunk_ene!J10)</f>
        <v>3.2343338166802007</v>
      </c>
      <c r="K11" s="81">
        <f>IF(K5=0,0,K5/MBunk_ene!K10)</f>
        <v>3.2351502007996151</v>
      </c>
      <c r="L11" s="81">
        <f>IF(L5=0,0,L5/MBunk_ene!L10)</f>
        <v>3.2337824249040237</v>
      </c>
      <c r="M11" s="81">
        <f>IF(M5=0,0,M5/MBunk_ene!M10)</f>
        <v>3.2344605795122447</v>
      </c>
      <c r="N11" s="81">
        <f>IF(N5=0,0,N5/MBunk_ene!N10)</f>
        <v>3.2355026668294369</v>
      </c>
      <c r="O11" s="81">
        <f>IF(O5=0,0,O5/MBunk_ene!O10)</f>
        <v>3.2345570821205665</v>
      </c>
      <c r="P11" s="81">
        <f>IF(P5=0,0,P5/MBunk_ene!P10)</f>
        <v>3.2346094049045147</v>
      </c>
      <c r="Q11" s="81">
        <f>IF(Q5=0,0,Q5/MBunk_ene!Q10)</f>
        <v>3.2295122772569185</v>
      </c>
      <c r="R11" s="81">
        <f>IF(R5=0,0,R5/MBunk_ene!R10)</f>
        <v>3.2297774080512056</v>
      </c>
      <c r="S11" s="81">
        <f>IF(S5=0,0,S5/MBunk_ene!S10)</f>
        <v>3.2297157005463291</v>
      </c>
      <c r="T11" s="81">
        <f>IF(T5=0,0,T5/MBunk_ene!T10)</f>
        <v>3.2300709730057338</v>
      </c>
      <c r="U11" s="81">
        <f>IF(U5=0,0,U5/MBunk_ene!U10)</f>
        <v>3.2311140256432176</v>
      </c>
      <c r="V11" s="81">
        <f>IF(V5=0,0,V5/MBunk_ene!V10)</f>
        <v>3.2276619378661073</v>
      </c>
      <c r="W11" s="81">
        <f>IF(W5=0,0,W5/MBunk_ene!W10)</f>
        <v>3.2268832571596104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24629.539450844033</v>
      </c>
      <c r="C13" s="62">
        <f>IF(C3=0,0,C3/MBunk_act!C7*100)</f>
        <v>18438.858617759211</v>
      </c>
      <c r="D13" s="62">
        <f>IF(D3=0,0,D3/MBunk_act!D7*100)</f>
        <v>18216.25305900992</v>
      </c>
      <c r="E13" s="62">
        <f>IF(E3=0,0,E3/MBunk_act!E7*100)</f>
        <v>23657.428264730646</v>
      </c>
      <c r="F13" s="62">
        <f>IF(F3=0,0,F3/MBunk_act!F7*100)</f>
        <v>26933.287954304666</v>
      </c>
      <c r="G13" s="62">
        <f>IF(G3=0,0,G3/MBunk_act!G7*100)</f>
        <v>22200.77752286238</v>
      </c>
      <c r="H13" s="62">
        <f>IF(H3=0,0,H3/MBunk_act!H7*100)</f>
        <v>24752.88228026967</v>
      </c>
      <c r="I13" s="62">
        <f>IF(I3=0,0,I3/MBunk_act!I7*100)</f>
        <v>20192.876607334976</v>
      </c>
      <c r="J13" s="62">
        <f>IF(J3=0,0,J3/MBunk_act!J7*100)</f>
        <v>23654.437151237129</v>
      </c>
      <c r="K13" s="62">
        <f>IF(K3=0,0,K3/MBunk_act!K7*100)</f>
        <v>25102.958272022544</v>
      </c>
      <c r="L13" s="62">
        <f>IF(L3=0,0,L3/MBunk_act!L7*100)</f>
        <v>22121.59577823176</v>
      </c>
      <c r="M13" s="62">
        <f>IF(M3=0,0,M3/MBunk_act!M7*100)</f>
        <v>26106.598115594854</v>
      </c>
      <c r="N13" s="62">
        <f>IF(N3=0,0,N3/MBunk_act!N7*100)</f>
        <v>30161.964788414116</v>
      </c>
      <c r="O13" s="62">
        <f>IF(O3=0,0,O3/MBunk_act!O7*100)</f>
        <v>28378.195214420943</v>
      </c>
      <c r="P13" s="62">
        <f>IF(P3=0,0,P3/MBunk_act!P7*100)</f>
        <v>26713.692641843976</v>
      </c>
      <c r="Q13" s="62">
        <f>IF(Q3=0,0,Q3/MBunk_act!Q7*100)</f>
        <v>28154.097065670139</v>
      </c>
      <c r="R13" s="62">
        <f>IF(R3=0,0,R3/MBunk_act!R7*100)</f>
        <v>33366.650372959011</v>
      </c>
      <c r="S13" s="62">
        <f>IF(S3=0,0,S3/MBunk_act!S7*100)</f>
        <v>32413.649145305528</v>
      </c>
      <c r="T13" s="62">
        <f>IF(T3=0,0,T3/MBunk_act!T7*100)</f>
        <v>33265.828171937836</v>
      </c>
      <c r="U13" s="62">
        <f>IF(U3=0,0,U3/MBunk_act!U7*100)</f>
        <v>39804.654071765835</v>
      </c>
      <c r="V13" s="62">
        <f>IF(V3=0,0,V3/MBunk_act!V7*100)</f>
        <v>32570.052802299058</v>
      </c>
      <c r="W13" s="62">
        <f>IF(W3=0,0,W3/MBunk_act!W7*100)</f>
        <v>28854.062150059661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20356.745952882888</v>
      </c>
      <c r="C14" s="63">
        <f>IF(C4=0,0,C4/MBunk_act!C8*100)</f>
        <v>15202.86424429549</v>
      </c>
      <c r="D14" s="63">
        <f>IF(D4=0,0,D4/MBunk_act!D8*100)</f>
        <v>15215.671631409117</v>
      </c>
      <c r="E14" s="63">
        <f>IF(E4=0,0,E4/MBunk_act!E8*100)</f>
        <v>20190.700813292406</v>
      </c>
      <c r="F14" s="63">
        <f>IF(F4=0,0,F4/MBunk_act!F8*100)</f>
        <v>22672.244045036477</v>
      </c>
      <c r="G14" s="63">
        <f>IF(G4=0,0,G4/MBunk_act!G8*100)</f>
        <v>18703.397871319023</v>
      </c>
      <c r="H14" s="63">
        <f>IF(H4=0,0,H4/MBunk_act!H8*100)</f>
        <v>20806.4400246728</v>
      </c>
      <c r="I14" s="63">
        <f>IF(I4=0,0,I4/MBunk_act!I8*100)</f>
        <v>17222.386849700117</v>
      </c>
      <c r="J14" s="63">
        <f>IF(J4=0,0,J4/MBunk_act!J8*100)</f>
        <v>20264.710985889807</v>
      </c>
      <c r="K14" s="63">
        <f>IF(K4=0,0,K4/MBunk_act!K8*100)</f>
        <v>21678.46298704093</v>
      </c>
      <c r="L14" s="63">
        <f>IF(L4=0,0,L4/MBunk_act!L8*100)</f>
        <v>18772.863298793622</v>
      </c>
      <c r="M14" s="63">
        <f>IF(M4=0,0,M4/MBunk_act!M8*100)</f>
        <v>22200.828307882708</v>
      </c>
      <c r="N14" s="63">
        <f>IF(N4=0,0,N4/MBunk_act!N8*100)</f>
        <v>25425.91044454688</v>
      </c>
      <c r="O14" s="63">
        <f>IF(O4=0,0,O4/MBunk_act!O8*100)</f>
        <v>23735.186973688811</v>
      </c>
      <c r="P14" s="63">
        <f>IF(P4=0,0,P4/MBunk_act!P8*100)</f>
        <v>22155.776670425796</v>
      </c>
      <c r="Q14" s="63">
        <f>IF(Q4=0,0,Q4/MBunk_act!Q8*100)</f>
        <v>23424.461798062483</v>
      </c>
      <c r="R14" s="63">
        <f>IF(R4=0,0,R4/MBunk_act!R8*100)</f>
        <v>27704.157265721227</v>
      </c>
      <c r="S14" s="63">
        <f>IF(S4=0,0,S4/MBunk_act!S8*100)</f>
        <v>26997.533487981822</v>
      </c>
      <c r="T14" s="63">
        <f>IF(T4=0,0,T4/MBunk_act!T8*100)</f>
        <v>27178.823636155546</v>
      </c>
      <c r="U14" s="63">
        <f>IF(U4=0,0,U4/MBunk_act!U8*100)</f>
        <v>31948.07744242936</v>
      </c>
      <c r="V14" s="63">
        <f>IF(V4=0,0,V4/MBunk_act!V8*100)</f>
        <v>24130.518763541506</v>
      </c>
      <c r="W14" s="63">
        <f>IF(W4=0,0,W4/MBunk_act!W8*100)</f>
        <v>21065.58741180789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27631.774265980646</v>
      </c>
      <c r="C15" s="64">
        <f>IF(C5=0,0,C5/MBunk_act!C9*100)</f>
        <v>20709.285195815763</v>
      </c>
      <c r="D15" s="64">
        <f>IF(D5=0,0,D5/MBunk_act!D9*100)</f>
        <v>20213.648387372879</v>
      </c>
      <c r="E15" s="64">
        <f>IF(E5=0,0,E5/MBunk_act!E9*100)</f>
        <v>25694.258216896662</v>
      </c>
      <c r="F15" s="64">
        <f>IF(F5=0,0,F5/MBunk_act!F9*100)</f>
        <v>29765.349600114485</v>
      </c>
      <c r="G15" s="64">
        <f>IF(G5=0,0,G5/MBunk_act!G9*100)</f>
        <v>24572.813543178116</v>
      </c>
      <c r="H15" s="64">
        <f>IF(H5=0,0,H5/MBunk_act!H9*100)</f>
        <v>27230.317087458356</v>
      </c>
      <c r="I15" s="64">
        <f>IF(I5=0,0,I5/MBunk_act!I9*100)</f>
        <v>21943.206943072029</v>
      </c>
      <c r="J15" s="64">
        <f>IF(J5=0,0,J5/MBunk_act!J9*100)</f>
        <v>25591.166760259115</v>
      </c>
      <c r="K15" s="64">
        <f>IF(K5=0,0,K5/MBunk_act!K9*100)</f>
        <v>27237.853054833937</v>
      </c>
      <c r="L15" s="64">
        <f>IF(L5=0,0,L5/MBunk_act!L9*100)</f>
        <v>24206.655946124178</v>
      </c>
      <c r="M15" s="64">
        <f>IF(M5=0,0,M5/MBunk_act!M9*100)</f>
        <v>28350.903515955884</v>
      </c>
      <c r="N15" s="64">
        <f>IF(N5=0,0,N5/MBunk_act!N9*100)</f>
        <v>32879.652247402759</v>
      </c>
      <c r="O15" s="64">
        <f>IF(O5=0,0,O5/MBunk_act!O9*100)</f>
        <v>31038.527989311486</v>
      </c>
      <c r="P15" s="64">
        <f>IF(P5=0,0,P5/MBunk_act!P9*100)</f>
        <v>29431.309272297785</v>
      </c>
      <c r="Q15" s="64">
        <f>IF(Q5=0,0,Q5/MBunk_act!Q9*100)</f>
        <v>30787.807951667946</v>
      </c>
      <c r="R15" s="64">
        <f>IF(R5=0,0,R5/MBunk_act!R9*100)</f>
        <v>36498.698410775018</v>
      </c>
      <c r="S15" s="64">
        <f>IF(S5=0,0,S5/MBunk_act!S9*100)</f>
        <v>35424.488452574275</v>
      </c>
      <c r="T15" s="64">
        <f>IF(T5=0,0,T5/MBunk_act!T9*100)</f>
        <v>37089.773783550889</v>
      </c>
      <c r="U15" s="64">
        <f>IF(U5=0,0,U5/MBunk_act!U9*100)</f>
        <v>45695.726161534119</v>
      </c>
      <c r="V15" s="64">
        <f>IF(V5=0,0,V5/MBunk_act!V9*100)</f>
        <v>38406.059874113518</v>
      </c>
      <c r="W15" s="64">
        <f>IF(W5=0,0,W5/MBunk_act!W9*100)</f>
        <v>34342.841902588712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17.202206384376069</v>
      </c>
      <c r="C17" s="62">
        <f>IF(C3=0,0,C3/MBunk_act!C3*1000)</f>
        <v>12.411598559709043</v>
      </c>
      <c r="D17" s="62">
        <f>IF(D3=0,0,D3/MBunk_act!D3*1000)</f>
        <v>12.551033249213745</v>
      </c>
      <c r="E17" s="62">
        <f>IF(E3=0,0,E3/MBunk_act!E3*1000)</f>
        <v>15.602891362884797</v>
      </c>
      <c r="F17" s="62">
        <f>IF(F3=0,0,F3/MBunk_act!F3*1000)</f>
        <v>17.825630482808048</v>
      </c>
      <c r="G17" s="62">
        <f>IF(G3=0,0,G3/MBunk_act!G3*1000)</f>
        <v>14.879959311188045</v>
      </c>
      <c r="H17" s="62">
        <f>IF(H3=0,0,H3/MBunk_act!H3*1000)</f>
        <v>15.19935242703499</v>
      </c>
      <c r="I17" s="62">
        <f>IF(I3=0,0,I3/MBunk_act!I3*1000)</f>
        <v>11.985413113436499</v>
      </c>
      <c r="J17" s="62">
        <f>IF(J3=0,0,J3/MBunk_act!J3*1000)</f>
        <v>12.882832390456624</v>
      </c>
      <c r="K17" s="62">
        <f>IF(K3=0,0,K3/MBunk_act!K3*1000)</f>
        <v>13.747284723339039</v>
      </c>
      <c r="L17" s="62">
        <f>IF(L3=0,0,L3/MBunk_act!L3*1000)</f>
        <v>11.717666894091279</v>
      </c>
      <c r="M17" s="62">
        <f>IF(M3=0,0,M3/MBunk_act!M3*1000)</f>
        <v>12.735662949453378</v>
      </c>
      <c r="N17" s="62">
        <f>IF(N3=0,0,N3/MBunk_act!N3*1000)</f>
        <v>13.799547656910732</v>
      </c>
      <c r="O17" s="62">
        <f>IF(O3=0,0,O3/MBunk_act!O3*1000)</f>
        <v>12.173784668216028</v>
      </c>
      <c r="P17" s="62">
        <f>IF(P3=0,0,P3/MBunk_act!P3*1000)</f>
        <v>11.200398794901259</v>
      </c>
      <c r="Q17" s="62">
        <f>IF(Q3=0,0,Q3/MBunk_act!Q3*1000)</f>
        <v>10.9698883187961</v>
      </c>
      <c r="R17" s="62">
        <f>IF(R3=0,0,R3/MBunk_act!R3*1000)</f>
        <v>12.727176569577395</v>
      </c>
      <c r="S17" s="62">
        <f>IF(S3=0,0,S3/MBunk_act!S3*1000)</f>
        <v>12.203925716971957</v>
      </c>
      <c r="T17" s="62">
        <f>IF(T3=0,0,T3/MBunk_act!T3*1000)</f>
        <v>13.291664199760515</v>
      </c>
      <c r="U17" s="62">
        <f>IF(U3=0,0,U3/MBunk_act!U3*1000)</f>
        <v>16.966288954206419</v>
      </c>
      <c r="V17" s="62">
        <f>IF(V3=0,0,V3/MBunk_act!V3*1000)</f>
        <v>13.212999781829106</v>
      </c>
      <c r="W17" s="62">
        <f>IF(W3=0,0,W3/MBunk_act!W3*1000)</f>
        <v>11.881653592246348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34.714281079181596</v>
      </c>
      <c r="C18" s="63">
        <f>IF(C4=0,0,C4/MBunk_act!C4*1000)</f>
        <v>25.658843031075115</v>
      </c>
      <c r="D18" s="63">
        <f>IF(D4=0,0,D4/MBunk_act!D4*1000)</f>
        <v>25.894412278563447</v>
      </c>
      <c r="E18" s="63">
        <f>IF(E4=0,0,E4/MBunk_act!E4*1000)</f>
        <v>33.397225275286424</v>
      </c>
      <c r="F18" s="63">
        <f>IF(F4=0,0,F4/MBunk_act!F4*1000)</f>
        <v>36.9347393941147</v>
      </c>
      <c r="G18" s="63">
        <f>IF(G4=0,0,G4/MBunk_act!G4*1000)</f>
        <v>30.544017152397313</v>
      </c>
      <c r="H18" s="63">
        <f>IF(H4=0,0,H4/MBunk_act!H4*1000)</f>
        <v>32.626030120029256</v>
      </c>
      <c r="I18" s="63">
        <f>IF(I4=0,0,I4/MBunk_act!I4*1000)</f>
        <v>26.825426869633272</v>
      </c>
      <c r="J18" s="63">
        <f>IF(J4=0,0,J4/MBunk_act!J4*1000)</f>
        <v>29.47463880324959</v>
      </c>
      <c r="K18" s="63">
        <f>IF(K4=0,0,K4/MBunk_act!K4*1000)</f>
        <v>30.21789342226268</v>
      </c>
      <c r="L18" s="63">
        <f>IF(L4=0,0,L4/MBunk_act!L4*1000)</f>
        <v>26.243591623324672</v>
      </c>
      <c r="M18" s="63">
        <f>IF(M4=0,0,M4/MBunk_act!M4*1000)</f>
        <v>30.045340885272658</v>
      </c>
      <c r="N18" s="63">
        <f>IF(N4=0,0,N4/MBunk_act!N4*1000)</f>
        <v>33.047138388247355</v>
      </c>
      <c r="O18" s="63">
        <f>IF(O4=0,0,O4/MBunk_act!O4*1000)</f>
        <v>29.476769629300225</v>
      </c>
      <c r="P18" s="63">
        <f>IF(P4=0,0,P4/MBunk_act!P4*1000)</f>
        <v>26.57971195038122</v>
      </c>
      <c r="Q18" s="63">
        <f>IF(Q4=0,0,Q4/MBunk_act!Q4*1000)</f>
        <v>26.592446738294843</v>
      </c>
      <c r="R18" s="63">
        <f>IF(R4=0,0,R4/MBunk_act!R4*1000)</f>
        <v>30.699228044274935</v>
      </c>
      <c r="S18" s="63">
        <f>IF(S4=0,0,S4/MBunk_act!S4*1000)</f>
        <v>29.452821585255915</v>
      </c>
      <c r="T18" s="63">
        <f>IF(T4=0,0,T4/MBunk_act!T4*1000)</f>
        <v>30.890524763265397</v>
      </c>
      <c r="U18" s="63">
        <f>IF(U4=0,0,U4/MBunk_act!U4*1000)</f>
        <v>36.941584273057181</v>
      </c>
      <c r="V18" s="63">
        <f>IF(V4=0,0,V4/MBunk_act!V4*1000)</f>
        <v>25.724404746689402</v>
      </c>
      <c r="W18" s="63">
        <f>IF(W4=0,0,W4/MBunk_act!W4*1000)</f>
        <v>24.0680663796159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13.640279294228794</v>
      </c>
      <c r="C19" s="64">
        <f>IF(C5=0,0,C5/MBunk_act!C5*1000)</f>
        <v>9.8044217782076135</v>
      </c>
      <c r="D19" s="64">
        <f>IF(D5=0,0,D5/MBunk_act!D5*1000)</f>
        <v>9.9753477070161516</v>
      </c>
      <c r="E19" s="64">
        <f>IF(E5=0,0,E5/MBunk_act!E5*1000)</f>
        <v>12.522460859650128</v>
      </c>
      <c r="F19" s="64">
        <f>IF(F5=0,0,F5/MBunk_act!F5*1000)</f>
        <v>14.125753848708181</v>
      </c>
      <c r="G19" s="64">
        <f>IF(G5=0,0,G5/MBunk_act!G5*1000)</f>
        <v>11.765216599391799</v>
      </c>
      <c r="H19" s="64">
        <f>IF(H5=0,0,H5/MBunk_act!H5*1000)</f>
        <v>12.099395826921194</v>
      </c>
      <c r="I19" s="64">
        <f>IF(I5=0,0,I5/MBunk_act!I5*1000)</f>
        <v>9.543722351866867</v>
      </c>
      <c r="J19" s="64">
        <f>IF(J5=0,0,J5/MBunk_act!J5*1000)</f>
        <v>10.267798981453289</v>
      </c>
      <c r="K19" s="64">
        <f>IF(K5=0,0,K5/MBunk_act!K5*1000)</f>
        <v>10.820831340478529</v>
      </c>
      <c r="L19" s="64">
        <f>IF(L5=0,0,L5/MBunk_act!L5*1000)</f>
        <v>9.2463667644368446</v>
      </c>
      <c r="M19" s="64">
        <f>IF(M5=0,0,M5/MBunk_act!M5*1000)</f>
        <v>10.113829670067286</v>
      </c>
      <c r="N19" s="64">
        <f>IF(N5=0,0,N5/MBunk_act!N5*1000)</f>
        <v>10.965521066826584</v>
      </c>
      <c r="O19" s="64">
        <f>IF(O5=0,0,O5/MBunk_act!O5*1000)</f>
        <v>9.6832602761662816</v>
      </c>
      <c r="P19" s="64">
        <f>IF(P5=0,0,P5/MBunk_act!P5*1000)</f>
        <v>8.8912633088709363</v>
      </c>
      <c r="Q19" s="64">
        <f>IF(Q5=0,0,Q5/MBunk_act!Q5*1000)</f>
        <v>8.783639197780964</v>
      </c>
      <c r="R19" s="64">
        <f>IF(R5=0,0,R5/MBunk_act!R5*1000)</f>
        <v>10.216175774975412</v>
      </c>
      <c r="S19" s="64">
        <f>IF(S5=0,0,S5/MBunk_act!S5*1000)</f>
        <v>9.7778788155083909</v>
      </c>
      <c r="T19" s="64">
        <f>IF(T5=0,0,T5/MBunk_act!T5*1000)</f>
        <v>10.529993362083278</v>
      </c>
      <c r="U19" s="64">
        <f>IF(U5=0,0,U5/MBunk_act!U5*1000)</f>
        <v>13.219072311672932</v>
      </c>
      <c r="V19" s="64">
        <f>IF(V5=0,0,V5/MBunk_act!V5*1000)</f>
        <v>10.908003364131451</v>
      </c>
      <c r="W19" s="64">
        <f>IF(W5=0,0,W5/MBunk_act!W5*1000)</f>
        <v>9.7480522959958691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0.34108453984017972</v>
      </c>
      <c r="C22" s="77">
        <f t="shared" si="2"/>
        <v>0.33996126468797422</v>
      </c>
      <c r="D22" s="77">
        <f t="shared" si="2"/>
        <v>0.33381194567451145</v>
      </c>
      <c r="E22" s="77">
        <f t="shared" si="2"/>
        <v>0.31586036558490088</v>
      </c>
      <c r="F22" s="77">
        <f t="shared" si="2"/>
        <v>0.33610224475153511</v>
      </c>
      <c r="G22" s="77">
        <f t="shared" si="2"/>
        <v>0.34046991334371418</v>
      </c>
      <c r="H22" s="77">
        <f t="shared" si="2"/>
        <v>0.3241731316360445</v>
      </c>
      <c r="I22" s="77">
        <f t="shared" si="2"/>
        <v>0.31622610466678652</v>
      </c>
      <c r="J22" s="77">
        <f t="shared" si="2"/>
        <v>0.31150029505283977</v>
      </c>
      <c r="K22" s="77">
        <f t="shared" si="2"/>
        <v>0.33162931371242432</v>
      </c>
      <c r="L22" s="77">
        <f t="shared" si="2"/>
        <v>0.32563388854839243</v>
      </c>
      <c r="M22" s="77">
        <f t="shared" si="2"/>
        <v>0.31032761397274533</v>
      </c>
      <c r="N22" s="77">
        <f t="shared" si="2"/>
        <v>0.30735625079140755</v>
      </c>
      <c r="O22" s="77">
        <f t="shared" si="2"/>
        <v>0.30466479329745194</v>
      </c>
      <c r="P22" s="77">
        <f t="shared" si="2"/>
        <v>0.3097964625366158</v>
      </c>
      <c r="Q22" s="77">
        <f t="shared" si="2"/>
        <v>0.29759175819442685</v>
      </c>
      <c r="R22" s="77">
        <f t="shared" si="2"/>
        <v>0.29569743856858655</v>
      </c>
      <c r="S22" s="77">
        <f t="shared" si="2"/>
        <v>0.29758639060864145</v>
      </c>
      <c r="T22" s="77">
        <f t="shared" si="2"/>
        <v>0.31523086274605155</v>
      </c>
      <c r="U22" s="77">
        <f t="shared" si="2"/>
        <v>0.3439353262504376</v>
      </c>
      <c r="V22" s="77">
        <f t="shared" si="2"/>
        <v>0.30288057867269225</v>
      </c>
      <c r="W22" s="77">
        <f t="shared" si="2"/>
        <v>0.30181035460146594</v>
      </c>
      <c r="DA22" s="184"/>
    </row>
    <row r="23" spans="1:105" ht="11.45" customHeight="1" x14ac:dyDescent="0.25">
      <c r="A23" s="57" t="s">
        <v>171</v>
      </c>
      <c r="B23" s="78">
        <f t="shared" si="2"/>
        <v>0.65891546015982017</v>
      </c>
      <c r="C23" s="78">
        <f t="shared" si="2"/>
        <v>0.66003873531202573</v>
      </c>
      <c r="D23" s="78">
        <f t="shared" si="2"/>
        <v>0.66618805432548867</v>
      </c>
      <c r="E23" s="78">
        <f t="shared" si="2"/>
        <v>0.68413963441509917</v>
      </c>
      <c r="F23" s="78">
        <f t="shared" si="2"/>
        <v>0.66389775524846484</v>
      </c>
      <c r="G23" s="78">
        <f t="shared" si="2"/>
        <v>0.65953008665628587</v>
      </c>
      <c r="H23" s="78">
        <f t="shared" si="2"/>
        <v>0.67582686836395545</v>
      </c>
      <c r="I23" s="78">
        <f t="shared" si="2"/>
        <v>0.68377389533321342</v>
      </c>
      <c r="J23" s="78">
        <f t="shared" si="2"/>
        <v>0.68849970494716017</v>
      </c>
      <c r="K23" s="78">
        <f t="shared" si="2"/>
        <v>0.66837068628757557</v>
      </c>
      <c r="L23" s="78">
        <f t="shared" si="2"/>
        <v>0.67436611145160763</v>
      </c>
      <c r="M23" s="78">
        <f t="shared" si="2"/>
        <v>0.68967238602725467</v>
      </c>
      <c r="N23" s="78">
        <f t="shared" si="2"/>
        <v>0.69264374920859251</v>
      </c>
      <c r="O23" s="78">
        <f t="shared" si="2"/>
        <v>0.69533520670254811</v>
      </c>
      <c r="P23" s="78">
        <f t="shared" si="2"/>
        <v>0.69020353746338414</v>
      </c>
      <c r="Q23" s="78">
        <f t="shared" si="2"/>
        <v>0.70240824180557315</v>
      </c>
      <c r="R23" s="78">
        <f t="shared" si="2"/>
        <v>0.70430256143141357</v>
      </c>
      <c r="S23" s="78">
        <f t="shared" si="2"/>
        <v>0.70241360939135855</v>
      </c>
      <c r="T23" s="78">
        <f t="shared" si="2"/>
        <v>0.68476913725394839</v>
      </c>
      <c r="U23" s="78">
        <f t="shared" si="2"/>
        <v>0.65606467374956245</v>
      </c>
      <c r="V23" s="78">
        <f t="shared" si="2"/>
        <v>0.69711942132730775</v>
      </c>
      <c r="W23" s="78">
        <f t="shared" si="2"/>
        <v>0.69818964539853412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2024-05-20T16:55:06Z</dcterms:created>
  <dcterms:modified xsi:type="dcterms:W3CDTF">2024-05-20T16:55:06Z</dcterms:modified>
</cp:coreProperties>
</file>