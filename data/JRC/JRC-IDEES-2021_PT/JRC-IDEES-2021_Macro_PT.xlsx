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Y122" i="59"/>
  <c r="X122" i="59"/>
  <c r="W122" i="59"/>
  <c r="T90" i="59"/>
  <c r="Y89" i="59"/>
  <c r="U121" i="59"/>
  <c r="Y120" i="59"/>
  <c r="W85" i="59"/>
  <c r="U116" i="59"/>
  <c r="V115" i="59"/>
  <c r="U115" i="59"/>
  <c r="U113" i="59"/>
  <c r="Y80" i="59"/>
  <c r="W80" i="59"/>
  <c r="Y111" i="59"/>
  <c r="V111" i="59"/>
  <c r="U109" i="59"/>
  <c r="Y75" i="59"/>
  <c r="Y107" i="59"/>
  <c r="W75" i="59"/>
  <c r="O106" i="59"/>
  <c r="M106" i="59"/>
  <c r="G106" i="59"/>
  <c r="Y73" i="59"/>
  <c r="W105" i="59"/>
  <c r="W72" i="59"/>
  <c r="W104" i="59"/>
  <c r="Y71" i="59"/>
  <c r="V103" i="59"/>
  <c r="T71" i="59"/>
  <c r="W69" i="59"/>
  <c r="W101" i="59"/>
  <c r="V101" i="59"/>
  <c r="U100" i="59"/>
  <c r="T67" i="59"/>
  <c r="W98" i="59"/>
  <c r="Y70" i="59"/>
  <c r="W81" i="59"/>
  <c r="V113" i="59"/>
  <c r="T112" i="59"/>
  <c r="X110" i="59"/>
  <c r="T80" i="59"/>
  <c r="W78" i="59"/>
  <c r="W87" i="59"/>
  <c r="T118" i="59"/>
  <c r="Y114" i="59"/>
  <c r="W113" i="59"/>
  <c r="W110" i="59"/>
  <c r="Y77" i="59"/>
  <c r="U108" i="59"/>
  <c r="W73" i="59"/>
  <c r="Y102" i="59"/>
  <c r="Y99" i="59"/>
  <c r="W67" i="59"/>
  <c r="Y20" i="59"/>
  <c r="U20" i="59"/>
  <c r="X13" i="59"/>
  <c r="Y13" i="59"/>
  <c r="T10" i="59"/>
  <c r="W5" i="59"/>
  <c r="T5" i="59"/>
  <c r="Y5" i="59"/>
  <c r="U5" i="59"/>
  <c r="Y82" i="59" l="1"/>
  <c r="Y67" i="59"/>
  <c r="W74" i="59"/>
  <c r="U101" i="59"/>
  <c r="U103" i="59"/>
  <c r="U71" i="59"/>
  <c r="Y69" i="59"/>
  <c r="X20" i="59"/>
  <c r="Y95" i="59" s="1"/>
  <c r="T83" i="59"/>
  <c r="W90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Y84" i="59"/>
  <c r="Y65" i="59"/>
  <c r="Y72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X95" i="59" l="1"/>
  <c r="V96" i="59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<sst xmlns="http://schemas.openxmlformats.org/spreadsheetml/2006/main" count="722" uniqueCount="281">
  <si>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</si>
  <si>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</si>
  <si>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</si>
  <si>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</si>
  <si>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</si>
  <si>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</si>
  <si>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</si>
  <si>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</si>
  <si>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</si>
  <si>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</si>
  <si>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</si>
  <si>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</si>
  <si>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</si>
  <si>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</si>
  <si>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</si>
  <si>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</si>
  <si>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</si>
  <si>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</si>
  <si>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</si>
  <si>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</si>
  <si>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</si>
  <si>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</si>
  <si>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</si>
  <si>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</si>
  <si>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</si>
  <si>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</si>
  <si>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</si>
  <si>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</si>
  <si>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</si>
  <si>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</si>
  <si>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</si>
  <si>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</si>
  <si>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</si>
  <si>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</si>
  <si>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</si>
  <si>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</si>
  <si>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</si>
  <si>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</si>
  <si>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</si>
  <si>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</si>
  <si>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</si>
  <si>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</si>
  <si>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</si>
  <si>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</si>
  <si>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</si>
  <si>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</si>
  <si>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</si>
  <si>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</si>
  <si>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</si>
  <si>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</si>
  <si>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</si>
  <si>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</si>
  <si>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</si>
  <si>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</si>
  <si>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</si>
  <si>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</si>
  <si>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</si>
  <si>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</si>
  <si>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</si>
  <si>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</si>
  <si>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</si>
  <si>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</si>
  <si>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</si>
  <si>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</si>
  <si>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</si>
  <si>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</si>
  <si>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</si>
  <si>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</si>
  <si>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</si>
  <si>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</si>
  <si>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</si>
  <si>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</si>
  <si>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</si>
  <si>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</si>
  <si>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</si>
  <si>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</si>
  <si>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</si>
  <si>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</si>
  <si>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</si>
  <si>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</si>
  <si>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</si>
  <si>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</si>
  <si>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</si>
  <si>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</si>
  <si>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</si>
  <si>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</si>
  <si>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</si>
  <si>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</si>
  <si>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</si>
  <si>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</si>
  <si>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</si>
  <si>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</si>
  <si>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</si>
  <si>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</si>
  <si>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</si>
  <si>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</si>
  <si>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</si>
  <si>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</si>
  <si>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</si>
  <si>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</si>
  <si>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</si>
  <si>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</si>
  <si>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</si>
  <si>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</si>
  <si>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</si>
  <si>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</si>
  <si>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</si>
  <si>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</si>
  <si>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</si>
  <si>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</si>
  <si>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</si>
  <si>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</si>
  <si>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</si>
  <si>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</si>
  <si>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</si>
  <si>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</si>
  <si>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</si>
  <si>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</si>
  <si>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</si>
  <si>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</si>
  <si>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</si>
  <si>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</si>
  <si>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</si>
  <si>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</si>
  <si>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</si>
  <si>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</si>
  <si>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</si>
  <si>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</si>
  <si>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</si>
  <si>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</si>
  <si>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</si>
  <si>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</si>
  <si>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</si>
  <si>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</si>
  <si>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</si>
  <si>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</si>
  <si>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</si>
  <si>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</si>
  <si>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</si>
  <si>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</si>
  <si>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</si>
  <si>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</si>
  <si>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</si>
  <si>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</si>
  <si>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</si>
  <si>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</si>
  <si>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</si>
  <si>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</si>
  <si>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</si>
  <si>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</si>
  <si>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</si>
  <si>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</si>
  <si>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</si>
  <si>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</si>
  <si>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</si>
  <si>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</si>
  <si>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</si>
  <si>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</si>
  <si>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</si>
  <si>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</si>
  <si>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</si>
  <si>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</si>
  <si>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</si>
  <si>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</si>
  <si>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</si>
  <si>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</si>
  <si>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</si>
  <si>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</si>
  <si>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</si>
  <si>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</si>
  <si>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</si>
  <si>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</si>
  <si>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</si>
  <si>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</si>
  <si>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</si>
  <si>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</si>
  <si>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</si>
  <si>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</si>
  <si>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</si>
  <si>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</si>
  <si>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</si>
  <si>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</si>
  <si>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</si>
  <si>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</si>
  <si>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</si>
  <si>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</si>
  <si>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</si>
  <si>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</si>
  <si>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</si>
  <si>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</si>
  <si>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</si>
  <si>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</si>
  <si>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</si>
  <si>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</si>
  <si>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</si>
  <si>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</si>
  <si>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</si>
  <si>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</si>
  <si>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</si>
  <si>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</si>
  <si>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</si>
  <si>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</si>
  <si>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</si>
  <si>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</si>
  <si>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</si>
  <si>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</si>
  <si>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</si>
  <si>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</si>
  <si>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</si>
  <si>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</si>
  <si>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</si>
  <si>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</si>
  <si>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</si>
  <si>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</si>
  <si>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</si>
  <si>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</si>
  <si>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</si>
  <si>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</si>
  <si>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</si>
  <si>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</si>
  <si>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</si>
  <si>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</si>
  <si>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</si>
  <si>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</si>
  <si>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</si>
  <si>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</si>
  <si>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</si>
  <si>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</si>
  <si>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</si>
  <si>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</si>
  <si>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</si>
  <si>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</si>
  <si>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</si>
  <si>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</si>
  <si>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</si>
  <si>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</si>
  <si>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</si>
  <si>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</si>
  <si>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</si>
  <si>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</si>
  <si>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</si>
  <si>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</si>
  <si>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</si>
  <si>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</si>
  <si>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</si>
  <si>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</si>
  <si>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</si>
  <si>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</si>
  <si>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</si>
  <si>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</si>
  <si>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</si>
  <si>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</si>
  <si>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</si>
  <si>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</si>
  <si>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</si>
  <si>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</si>
  <si>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</si>
  <si>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</si>
  <si>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</si>
  <si>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</si>
  <si>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</si>
  <si>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</si>
  <si>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</si>
  <si>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</si>
  <si>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</si>
  <si>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</si>
  <si>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</si>
  <si>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</si>
  <si>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</si>
  <si>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</si>
  <si>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</si>
  <si>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</si>
  <si>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</si>
  <si>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</si>
  <si>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</si>
  <si>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</si>
  <si>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</si>
  <si>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</si>
  <si>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</si>
  <si>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PT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</si>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</sst>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45432.788090277776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134018.47623184472</v>
      </c>
      <c r="E2" s="19">
        <v>141699.43003350435</v>
      </c>
      <c r="F2" s="19">
        <v>148775.12475850721</v>
      </c>
      <c r="G2" s="19">
        <v>152443.74600604831</v>
      </c>
      <c r="H2" s="19">
        <v>158893.56874028913</v>
      </c>
      <c r="I2" s="19">
        <v>165471.85298371271</v>
      </c>
      <c r="J2" s="19">
        <v>173515.83317203942</v>
      </c>
      <c r="K2" s="19">
        <v>183142.45682554774</v>
      </c>
      <c r="L2" s="19">
        <v>186919.39826064795</v>
      </c>
      <c r="M2" s="19">
        <v>183071.87850473181</v>
      </c>
      <c r="N2" s="19">
        <v>187448.00091839823</v>
      </c>
      <c r="O2" s="19">
        <v>183780.19679799091</v>
      </c>
      <c r="P2" s="19">
        <v>175639.54943378785</v>
      </c>
      <c r="Q2" s="19">
        <v>177933.18695008938</v>
      </c>
      <c r="R2" s="19">
        <v>180604.71688328913</v>
      </c>
      <c r="S2" s="19">
        <v>187555.88404800001</v>
      </c>
      <c r="T2" s="19">
        <v>194626.51001307552</v>
      </c>
      <c r="U2" s="19">
        <v>204496.34663696677</v>
      </c>
      <c r="V2" s="19">
        <v>214136.88536151513</v>
      </c>
      <c r="W2" s="19">
        <v>223727.9109417946</v>
      </c>
      <c r="X2" s="19">
        <v>209268.5951021456</v>
      </c>
      <c r="Y2" s="19">
        <v>225481.79569354755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85902.36232690778</v>
      </c>
      <c r="E3" s="23">
        <v>89980.015707947066</v>
      </c>
      <c r="F3" s="23">
        <v>94315.175908534104</v>
      </c>
      <c r="G3" s="23">
        <v>97376.460938019736</v>
      </c>
      <c r="H3" s="23">
        <v>102202.50591549296</v>
      </c>
      <c r="I3" s="23">
        <v>107788.95244344993</v>
      </c>
      <c r="J3" s="23">
        <v>113297.73067801353</v>
      </c>
      <c r="K3" s="23">
        <v>120074.05718571632</v>
      </c>
      <c r="L3" s="23">
        <v>125108.60050474183</v>
      </c>
      <c r="M3" s="23">
        <v>119853.27954977704</v>
      </c>
      <c r="N3" s="23">
        <v>124934.63604038954</v>
      </c>
      <c r="O3" s="23">
        <v>122417.62098012365</v>
      </c>
      <c r="P3" s="23">
        <v>118008.9535636775</v>
      </c>
      <c r="Q3" s="23">
        <v>117684.16439447556</v>
      </c>
      <c r="R3" s="23">
        <v>120757.04564851151</v>
      </c>
      <c r="S3" s="23">
        <v>124302.825633</v>
      </c>
      <c r="T3" s="23">
        <v>128748.35621435361</v>
      </c>
      <c r="U3" s="23">
        <v>133514.78769680721</v>
      </c>
      <c r="V3" s="23">
        <v>139138.89974753049</v>
      </c>
      <c r="W3" s="23">
        <v>144891.66526734634</v>
      </c>
      <c r="X3" s="23">
        <v>135523.74630058953</v>
      </c>
      <c r="Y3" s="23">
        <v>144755.94545479846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112521.7</v>
      </c>
      <c r="E4" s="27">
        <v>119098.20000000001</v>
      </c>
      <c r="F4" s="27">
        <v>124721.49999999999</v>
      </c>
      <c r="G4" s="27">
        <v>127734.3</v>
      </c>
      <c r="H4" s="27">
        <v>133144.79999999999</v>
      </c>
      <c r="I4" s="27">
        <v>137485.70000000001</v>
      </c>
      <c r="J4" s="27">
        <v>143562.1</v>
      </c>
      <c r="K4" s="27">
        <v>152166</v>
      </c>
      <c r="L4" s="27">
        <v>156158.20000000001</v>
      </c>
      <c r="M4" s="27">
        <v>155546.5</v>
      </c>
      <c r="N4" s="27">
        <v>157970.79999999999</v>
      </c>
      <c r="O4" s="27">
        <v>154128.20000000001</v>
      </c>
      <c r="P4" s="27">
        <v>147214.79999999999</v>
      </c>
      <c r="Q4" s="27">
        <v>149802.29999999999</v>
      </c>
      <c r="R4" s="27">
        <v>151135.79999999999</v>
      </c>
      <c r="S4" s="27">
        <v>156517.29999999999</v>
      </c>
      <c r="T4" s="27">
        <v>161993.29999999999</v>
      </c>
      <c r="U4" s="27">
        <v>169642.3</v>
      </c>
      <c r="V4" s="27">
        <v>177465.9</v>
      </c>
      <c r="W4" s="27">
        <v>185536.3</v>
      </c>
      <c r="X4" s="27">
        <v>174768</v>
      </c>
      <c r="Y4" s="27">
        <v>187070.1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3993.4</v>
      </c>
      <c r="E6" s="19">
        <v>4020</v>
      </c>
      <c r="F6" s="19">
        <v>3881.6000000000004</v>
      </c>
      <c r="G6" s="19">
        <v>3872.5</v>
      </c>
      <c r="H6" s="19">
        <v>3961.7</v>
      </c>
      <c r="I6" s="19">
        <v>3652.3</v>
      </c>
      <c r="J6" s="19">
        <v>3746.1</v>
      </c>
      <c r="K6" s="19">
        <v>3506.4</v>
      </c>
      <c r="L6" s="19">
        <v>3517.2</v>
      </c>
      <c r="M6" s="19">
        <v>3421.7</v>
      </c>
      <c r="N6" s="19">
        <v>3479.2</v>
      </c>
      <c r="O6" s="19">
        <v>3229.6</v>
      </c>
      <c r="P6" s="19">
        <v>3238.2</v>
      </c>
      <c r="Q6" s="19">
        <v>3572.6</v>
      </c>
      <c r="R6" s="19">
        <v>3592.8</v>
      </c>
      <c r="S6" s="19">
        <v>3773</v>
      </c>
      <c r="T6" s="19">
        <v>3852.5</v>
      </c>
      <c r="U6" s="19">
        <v>4106.8</v>
      </c>
      <c r="V6" s="19">
        <v>4178.6000000000004</v>
      </c>
      <c r="W6" s="19">
        <v>4477.3</v>
      </c>
      <c r="X6" s="19">
        <v>4359.2</v>
      </c>
      <c r="Y6" s="19">
        <v>4645.8999999999996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22809.399999999994</v>
      </c>
      <c r="E7" s="23">
        <v>23554.900000000005</v>
      </c>
      <c r="F7" s="23">
        <v>24016.59999999998</v>
      </c>
      <c r="G7" s="23">
        <v>23897.09999999998</v>
      </c>
      <c r="H7" s="23">
        <v>24390.399999999994</v>
      </c>
      <c r="I7" s="23">
        <v>24365.300000000017</v>
      </c>
      <c r="J7" s="23">
        <v>25478.099999999991</v>
      </c>
      <c r="K7" s="23">
        <v>26829.5</v>
      </c>
      <c r="L7" s="23">
        <v>25983.500000000018</v>
      </c>
      <c r="M7" s="23">
        <v>25064.899999999972</v>
      </c>
      <c r="N7" s="23">
        <v>26607.599999999988</v>
      </c>
      <c r="O7" s="23">
        <v>25601.5</v>
      </c>
      <c r="P7" s="23">
        <v>24998.399999999991</v>
      </c>
      <c r="Q7" s="23">
        <v>25401.09999999998</v>
      </c>
      <c r="R7" s="23">
        <v>26472.799999999996</v>
      </c>
      <c r="S7" s="23">
        <v>28588.599999999977</v>
      </c>
      <c r="T7" s="23">
        <v>29521.299999999985</v>
      </c>
      <c r="U7" s="23">
        <v>30595.600000000013</v>
      </c>
      <c r="V7" s="23">
        <v>32135.399999999994</v>
      </c>
      <c r="W7" s="23">
        <v>32285.500000000004</v>
      </c>
      <c r="X7" s="23">
        <v>30603.300000000017</v>
      </c>
      <c r="Y7" s="23">
        <v>32954.400000000023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8602.7999999999993</v>
      </c>
      <c r="E8" s="23">
        <v>9226.5999999999985</v>
      </c>
      <c r="F8" s="23">
        <v>9479.4</v>
      </c>
      <c r="G8" s="23">
        <v>9157.7999999999993</v>
      </c>
      <c r="H8" s="23">
        <v>9465</v>
      </c>
      <c r="I8" s="23">
        <v>9538.2999999999993</v>
      </c>
      <c r="J8" s="23">
        <v>9682.1</v>
      </c>
      <c r="K8" s="23">
        <v>10291.200000000001</v>
      </c>
      <c r="L8" s="23">
        <v>10528.8</v>
      </c>
      <c r="M8" s="23">
        <v>9767.9</v>
      </c>
      <c r="N8" s="23">
        <v>9224.9</v>
      </c>
      <c r="O8" s="23">
        <v>8464.2999999999975</v>
      </c>
      <c r="P8" s="23">
        <v>7168.6</v>
      </c>
      <c r="Q8" s="23">
        <v>6767.1</v>
      </c>
      <c r="R8" s="23">
        <v>6298</v>
      </c>
      <c r="S8" s="23">
        <v>6391.4</v>
      </c>
      <c r="T8" s="23">
        <v>6523.4</v>
      </c>
      <c r="U8" s="23">
        <v>6864.3</v>
      </c>
      <c r="V8" s="23">
        <v>7463.8</v>
      </c>
      <c r="W8" s="23">
        <v>8087.2</v>
      </c>
      <c r="X8" s="23">
        <v>8298.2999999999993</v>
      </c>
      <c r="Y8" s="23">
        <v>8620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25502.5</v>
      </c>
      <c r="E9" s="23">
        <v>26934.5</v>
      </c>
      <c r="F9" s="23">
        <v>28281.8</v>
      </c>
      <c r="G9" s="23">
        <v>28676.700000000004</v>
      </c>
      <c r="H9" s="23">
        <v>29924.2</v>
      </c>
      <c r="I9" s="23">
        <v>30683.1</v>
      </c>
      <c r="J9" s="23">
        <v>32099.899999999994</v>
      </c>
      <c r="K9" s="23">
        <v>34191</v>
      </c>
      <c r="L9" s="23">
        <v>34730.800000000003</v>
      </c>
      <c r="M9" s="23">
        <v>35559.9</v>
      </c>
      <c r="N9" s="23">
        <v>35977</v>
      </c>
      <c r="O9" s="23">
        <v>36306.300000000003</v>
      </c>
      <c r="P9" s="23">
        <v>36023.000000000007</v>
      </c>
      <c r="Q9" s="23">
        <v>36925.5</v>
      </c>
      <c r="R9" s="23">
        <v>37195.399999999994</v>
      </c>
      <c r="S9" s="23">
        <v>38670.1</v>
      </c>
      <c r="T9" s="23">
        <v>40000</v>
      </c>
      <c r="U9" s="23">
        <v>41821.5</v>
      </c>
      <c r="V9" s="23">
        <v>43171.4</v>
      </c>
      <c r="W9" s="23">
        <v>45023.8</v>
      </c>
      <c r="X9" s="23">
        <v>36095.19999999999</v>
      </c>
      <c r="Y9" s="23">
        <v>39568.69999999999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4046.3</v>
      </c>
      <c r="E10" s="23">
        <v>4422.3999999999996</v>
      </c>
      <c r="F10" s="23">
        <v>4768.8999999999996</v>
      </c>
      <c r="G10" s="23">
        <v>4893.6000000000004</v>
      </c>
      <c r="H10" s="23">
        <v>5163.0000000000009</v>
      </c>
      <c r="I10" s="23">
        <v>5341.4</v>
      </c>
      <c r="J10" s="23">
        <v>5587.1</v>
      </c>
      <c r="K10" s="23">
        <v>5798.7</v>
      </c>
      <c r="L10" s="23">
        <v>5976.7</v>
      </c>
      <c r="M10" s="23">
        <v>5984.7</v>
      </c>
      <c r="N10" s="23">
        <v>5740.3</v>
      </c>
      <c r="O10" s="23">
        <v>5724.4</v>
      </c>
      <c r="P10" s="23">
        <v>5428.7</v>
      </c>
      <c r="Q10" s="23">
        <v>5226.8999999999996</v>
      </c>
      <c r="R10" s="23">
        <v>5202.7</v>
      </c>
      <c r="S10" s="23">
        <v>5347.9</v>
      </c>
      <c r="T10" s="23">
        <v>5645</v>
      </c>
      <c r="U10" s="23">
        <v>5941.2</v>
      </c>
      <c r="V10" s="23">
        <v>6248.3</v>
      </c>
      <c r="W10" s="23">
        <v>7145</v>
      </c>
      <c r="X10" s="23">
        <v>7751.8</v>
      </c>
      <c r="Y10" s="23">
        <v>8503.6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6529</v>
      </c>
      <c r="E11" s="23">
        <v>7607.2</v>
      </c>
      <c r="F11" s="23">
        <v>7767.3</v>
      </c>
      <c r="G11" s="23">
        <v>8215</v>
      </c>
      <c r="H11" s="23">
        <v>8800.5000000000018</v>
      </c>
      <c r="I11" s="23">
        <v>9008.2000000000007</v>
      </c>
      <c r="J11" s="23">
        <v>10669.7</v>
      </c>
      <c r="K11" s="23">
        <v>11674</v>
      </c>
      <c r="L11" s="23">
        <v>12601.9</v>
      </c>
      <c r="M11" s="23">
        <v>10955.1</v>
      </c>
      <c r="N11" s="23">
        <v>10385.999999999998</v>
      </c>
      <c r="O11" s="23">
        <v>10772.8</v>
      </c>
      <c r="P11" s="23">
        <v>9231.2999999999993</v>
      </c>
      <c r="Q11" s="23">
        <v>8219.9</v>
      </c>
      <c r="R11" s="23">
        <v>8043.1</v>
      </c>
      <c r="S11" s="23">
        <v>8242.4</v>
      </c>
      <c r="T11" s="23">
        <v>8344.2000000000007</v>
      </c>
      <c r="U11" s="23">
        <v>8509.9</v>
      </c>
      <c r="V11" s="23">
        <v>8661</v>
      </c>
      <c r="W11" s="23">
        <v>9108.7999999999975</v>
      </c>
      <c r="X11" s="23">
        <v>9228.7999999999975</v>
      </c>
      <c r="Y11" s="23">
        <v>9396.2000000000007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8595</v>
      </c>
      <c r="E12" s="23">
        <v>8798.4</v>
      </c>
      <c r="F12" s="23">
        <v>9679.7000000000007</v>
      </c>
      <c r="G12" s="23">
        <v>10456.700000000001</v>
      </c>
      <c r="H12" s="23">
        <v>10940.7</v>
      </c>
      <c r="I12" s="23">
        <v>11922.3</v>
      </c>
      <c r="J12" s="23">
        <v>12484.4</v>
      </c>
      <c r="K12" s="23">
        <v>13958.2</v>
      </c>
      <c r="L12" s="23">
        <v>14671.9</v>
      </c>
      <c r="M12" s="23">
        <v>15243.6</v>
      </c>
      <c r="N12" s="23">
        <v>16833.099999999999</v>
      </c>
      <c r="O12" s="23">
        <v>16649.5</v>
      </c>
      <c r="P12" s="23">
        <v>17481.3</v>
      </c>
      <c r="Q12" s="23">
        <v>18636.7</v>
      </c>
      <c r="R12" s="23">
        <v>18955.900000000005</v>
      </c>
      <c r="S12" s="23">
        <v>19321.400000000001</v>
      </c>
      <c r="T12" s="23">
        <v>20253.199999999997</v>
      </c>
      <c r="U12" s="23">
        <v>21194.7</v>
      </c>
      <c r="V12" s="23">
        <v>22209.8</v>
      </c>
      <c r="W12" s="23">
        <v>23207</v>
      </c>
      <c r="X12" s="23">
        <v>23464.5</v>
      </c>
      <c r="Y12" s="23">
        <v>24349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7100.3000000000011</v>
      </c>
      <c r="E13" s="23">
        <v>7285.1</v>
      </c>
      <c r="F13" s="23">
        <v>7570.1</v>
      </c>
      <c r="G13" s="23">
        <v>7903.4</v>
      </c>
      <c r="H13" s="23">
        <v>8318.1</v>
      </c>
      <c r="I13" s="23">
        <v>8858.6</v>
      </c>
      <c r="J13" s="23">
        <v>9209.2000000000007</v>
      </c>
      <c r="K13" s="23">
        <v>10333.5</v>
      </c>
      <c r="L13" s="23">
        <v>11120.7</v>
      </c>
      <c r="M13" s="23">
        <v>11082.6</v>
      </c>
      <c r="N13" s="23">
        <v>11239.6</v>
      </c>
      <c r="O13" s="23">
        <v>10791.4</v>
      </c>
      <c r="P13" s="23">
        <v>10054.9</v>
      </c>
      <c r="Q13" s="23">
        <v>10199.5</v>
      </c>
      <c r="R13" s="23">
        <v>10926.1</v>
      </c>
      <c r="S13" s="23">
        <v>11094.8</v>
      </c>
      <c r="T13" s="23">
        <v>11832.4</v>
      </c>
      <c r="U13" s="23">
        <v>12961.6</v>
      </c>
      <c r="V13" s="23">
        <v>14308.5</v>
      </c>
      <c r="W13" s="23">
        <v>15379.7</v>
      </c>
      <c r="X13" s="23">
        <v>14662.1</v>
      </c>
      <c r="Y13" s="23">
        <v>16330.2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22715.9</v>
      </c>
      <c r="E14" s="23">
        <v>24558.400000000001</v>
      </c>
      <c r="F14" s="23">
        <v>26298.5</v>
      </c>
      <c r="G14" s="23">
        <v>27523.599999999999</v>
      </c>
      <c r="H14" s="23">
        <v>28891.8</v>
      </c>
      <c r="I14" s="23">
        <v>30710.9</v>
      </c>
      <c r="J14" s="23">
        <v>31037.299999999996</v>
      </c>
      <c r="K14" s="23">
        <v>31724.6</v>
      </c>
      <c r="L14" s="23">
        <v>32808</v>
      </c>
      <c r="M14" s="23">
        <v>34128.199999999997</v>
      </c>
      <c r="N14" s="23">
        <v>33988.9</v>
      </c>
      <c r="O14" s="23">
        <v>32130.9</v>
      </c>
      <c r="P14" s="23">
        <v>29249.5</v>
      </c>
      <c r="Q14" s="23">
        <v>30606.2</v>
      </c>
      <c r="R14" s="23">
        <v>30098.7</v>
      </c>
      <c r="S14" s="23">
        <v>30574.2</v>
      </c>
      <c r="T14" s="23">
        <v>31401.4</v>
      </c>
      <c r="U14" s="23">
        <v>32695.3</v>
      </c>
      <c r="V14" s="23">
        <v>33918.699999999997</v>
      </c>
      <c r="W14" s="23">
        <v>35384</v>
      </c>
      <c r="X14" s="23">
        <v>35630.800000000003</v>
      </c>
      <c r="Y14" s="23">
        <v>37839.69999999999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2627.1</v>
      </c>
      <c r="E15" s="23">
        <v>2690.7</v>
      </c>
      <c r="F15" s="23">
        <v>2977.6</v>
      </c>
      <c r="G15" s="23">
        <v>3137.9</v>
      </c>
      <c r="H15" s="23">
        <v>3289.4</v>
      </c>
      <c r="I15" s="23">
        <v>3405.3</v>
      </c>
      <c r="J15" s="23">
        <v>3568.2</v>
      </c>
      <c r="K15" s="23">
        <v>3858.8999999999996</v>
      </c>
      <c r="L15" s="23">
        <v>4218.7</v>
      </c>
      <c r="M15" s="23">
        <v>4337.8999999999987</v>
      </c>
      <c r="N15" s="23">
        <v>4494.2</v>
      </c>
      <c r="O15" s="23">
        <v>4457.5</v>
      </c>
      <c r="P15" s="23">
        <v>4340.8999999999996</v>
      </c>
      <c r="Q15" s="23">
        <v>4246.8</v>
      </c>
      <c r="R15" s="23">
        <v>4350.3</v>
      </c>
      <c r="S15" s="23">
        <v>4513.5</v>
      </c>
      <c r="T15" s="23">
        <v>4619.8999999999996</v>
      </c>
      <c r="U15" s="23">
        <v>4951.3999999999996</v>
      </c>
      <c r="V15" s="23">
        <v>5170.3999999999996</v>
      </c>
      <c r="W15" s="23">
        <v>5438</v>
      </c>
      <c r="X15" s="23">
        <v>4674</v>
      </c>
      <c r="Y15" s="23">
        <v>4862.3999999999987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112521.70000000001</v>
      </c>
      <c r="E16" s="30">
        <f t="shared" ref="E16:S16" si="0">SUM(E6:E15)</f>
        <v>119098.2</v>
      </c>
      <c r="F16" s="30">
        <f t="shared" si="0"/>
        <v>124721.49999999999</v>
      </c>
      <c r="G16" s="30">
        <f t="shared" si="0"/>
        <v>127734.29999999996</v>
      </c>
      <c r="H16" s="30">
        <f t="shared" si="0"/>
        <v>133144.79999999999</v>
      </c>
      <c r="I16" s="30">
        <f t="shared" si="0"/>
        <v>137485.70000000001</v>
      </c>
      <c r="J16" s="30">
        <f t="shared" si="0"/>
        <v>143562.09999999998</v>
      </c>
      <c r="K16" s="30">
        <f t="shared" si="0"/>
        <v>152166</v>
      </c>
      <c r="L16" s="30">
        <f t="shared" si="0"/>
        <v>156158.20000000001</v>
      </c>
      <c r="M16" s="30">
        <f t="shared" si="0"/>
        <v>155546.49999999997</v>
      </c>
      <c r="N16" s="30">
        <f t="shared" si="0"/>
        <v>157970.79999999999</v>
      </c>
      <c r="O16" s="30">
        <f t="shared" si="0"/>
        <v>154128.19999999998</v>
      </c>
      <c r="P16" s="30">
        <f t="shared" si="0"/>
        <v>147214.79999999999</v>
      </c>
      <c r="Q16" s="30">
        <f t="shared" si="0"/>
        <v>149802.29999999996</v>
      </c>
      <c r="R16" s="30">
        <f t="shared" si="0"/>
        <v>151135.79999999999</v>
      </c>
      <c r="S16" s="30">
        <f t="shared" si="0"/>
        <v>156517.29999999996</v>
      </c>
      <c r="T16" s="30">
        <f t="shared" ref="T16:Y16" si="1">SUM(T6:T15)</f>
        <v>161993.29999999996</v>
      </c>
      <c r="U16" s="30">
        <f t="shared" si="1"/>
        <v>169642.3</v>
      </c>
      <c r="V16" s="30">
        <f t="shared" si="1"/>
        <v>177465.9</v>
      </c>
      <c r="W16" s="30">
        <f t="shared" si="1"/>
        <v>185536.30000000002</v>
      </c>
      <c r="X16" s="30">
        <f t="shared" si="1"/>
        <v>174768</v>
      </c>
      <c r="Y16" s="30">
        <f t="shared" si="1"/>
        <v>187070.1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3993.4</v>
      </c>
      <c r="E18" s="19">
        <v>4020</v>
      </c>
      <c r="F18" s="19">
        <v>3881.6000000000004</v>
      </c>
      <c r="G18" s="19">
        <v>3872.5</v>
      </c>
      <c r="H18" s="19">
        <v>3961.7</v>
      </c>
      <c r="I18" s="19">
        <v>3652.3</v>
      </c>
      <c r="J18" s="19">
        <v>3746.1</v>
      </c>
      <c r="K18" s="19">
        <v>3506.4</v>
      </c>
      <c r="L18" s="19">
        <v>3517.2</v>
      </c>
      <c r="M18" s="19">
        <v>3421.7</v>
      </c>
      <c r="N18" s="19">
        <v>3479.2</v>
      </c>
      <c r="O18" s="19">
        <v>3229.6</v>
      </c>
      <c r="P18" s="19">
        <v>3238.2</v>
      </c>
      <c r="Q18" s="19">
        <v>3572.6</v>
      </c>
      <c r="R18" s="19">
        <v>3592.8</v>
      </c>
      <c r="S18" s="19">
        <v>3773</v>
      </c>
      <c r="T18" s="19">
        <v>3852.5</v>
      </c>
      <c r="U18" s="19">
        <v>4106.8</v>
      </c>
      <c r="V18" s="19">
        <v>4178.6000000000004</v>
      </c>
      <c r="W18" s="19">
        <v>4477.3</v>
      </c>
      <c r="X18" s="19">
        <v>4359.2</v>
      </c>
      <c r="Y18" s="19">
        <v>4645.8999999999996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628.79999999999995</v>
      </c>
      <c r="E19" s="23">
        <v>649.70000000000005</v>
      </c>
      <c r="F19" s="23">
        <v>579.5</v>
      </c>
      <c r="G19" s="23">
        <v>535.9</v>
      </c>
      <c r="H19" s="23">
        <v>608.79999999999995</v>
      </c>
      <c r="I19" s="23">
        <v>658</v>
      </c>
      <c r="J19" s="23">
        <v>803.2</v>
      </c>
      <c r="K19" s="23">
        <v>804.1</v>
      </c>
      <c r="L19" s="23">
        <v>608</v>
      </c>
      <c r="M19" s="23">
        <v>646.1</v>
      </c>
      <c r="N19" s="23">
        <v>714</v>
      </c>
      <c r="O19" s="23">
        <v>650.1</v>
      </c>
      <c r="P19" s="23">
        <v>635.70000000000005</v>
      </c>
      <c r="Q19" s="23">
        <v>569.90000000000009</v>
      </c>
      <c r="R19" s="23">
        <v>529.70000000000005</v>
      </c>
      <c r="S19" s="23">
        <v>500.5</v>
      </c>
      <c r="T19" s="23">
        <v>533.4</v>
      </c>
      <c r="U19" s="23">
        <v>608.70000000000016</v>
      </c>
      <c r="V19" s="23">
        <v>603.40000000000009</v>
      </c>
      <c r="W19" s="23">
        <v>577.20000000000005</v>
      </c>
      <c r="X19" s="23">
        <v>546.4</v>
      </c>
      <c r="Y19" s="23">
        <v>793.6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19325.499999999996</v>
      </c>
      <c r="E20" s="23">
        <v>19929.000000000004</v>
      </c>
      <c r="F20" s="23">
        <v>20235.199999999983</v>
      </c>
      <c r="G20" s="23">
        <v>19684.799999999981</v>
      </c>
      <c r="H20" s="23">
        <v>19872.499999999993</v>
      </c>
      <c r="I20" s="23">
        <v>19924.700000000015</v>
      </c>
      <c r="J20" s="23">
        <v>20521.899999999987</v>
      </c>
      <c r="K20" s="23">
        <v>21485.599999999999</v>
      </c>
      <c r="L20" s="23">
        <v>21316.200000000019</v>
      </c>
      <c r="M20" s="23">
        <v>19529.499999999971</v>
      </c>
      <c r="N20" s="23">
        <v>20837.099999999984</v>
      </c>
      <c r="O20" s="23">
        <v>19974.7</v>
      </c>
      <c r="P20" s="23">
        <v>19175.599999999991</v>
      </c>
      <c r="Q20" s="23">
        <v>19684.199999999979</v>
      </c>
      <c r="R20" s="23">
        <v>20405.599999999999</v>
      </c>
      <c r="S20" s="23">
        <v>21814.799999999977</v>
      </c>
      <c r="T20" s="23">
        <v>22664.899999999987</v>
      </c>
      <c r="U20" s="23">
        <v>24185.000000000011</v>
      </c>
      <c r="V20" s="23">
        <v>25160.599999999995</v>
      </c>
      <c r="W20" s="23">
        <v>25500.5</v>
      </c>
      <c r="X20" s="23">
        <v>24098.600000000024</v>
      </c>
      <c r="Y20" s="23">
        <v>26715.500000000022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2119.9</v>
      </c>
      <c r="E21" s="23">
        <v>2222.6</v>
      </c>
      <c r="F21" s="23">
        <v>2375.8000000000002</v>
      </c>
      <c r="G21" s="23">
        <v>2681.2</v>
      </c>
      <c r="H21" s="23">
        <v>2810.2</v>
      </c>
      <c r="I21" s="23">
        <v>2599.1</v>
      </c>
      <c r="J21" s="23">
        <v>2827.9</v>
      </c>
      <c r="K21" s="23">
        <v>3158.3</v>
      </c>
      <c r="L21" s="23">
        <v>2645.8</v>
      </c>
      <c r="M21" s="23">
        <v>3396.2</v>
      </c>
      <c r="N21" s="23">
        <v>3341.3</v>
      </c>
      <c r="O21" s="23">
        <v>3191.6</v>
      </c>
      <c r="P21" s="23">
        <v>3391.5</v>
      </c>
      <c r="Q21" s="23">
        <v>3384</v>
      </c>
      <c r="R21" s="23">
        <v>3790.1</v>
      </c>
      <c r="S21" s="23">
        <v>4553.2</v>
      </c>
      <c r="T21" s="23">
        <v>4607.7</v>
      </c>
      <c r="U21" s="23">
        <v>4115</v>
      </c>
      <c r="V21" s="23">
        <v>4686.8</v>
      </c>
      <c r="W21" s="23">
        <v>4435.7</v>
      </c>
      <c r="X21" s="23">
        <v>4110.7</v>
      </c>
      <c r="Y21" s="23">
        <v>3489.8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735.2</v>
      </c>
      <c r="E22" s="23">
        <v>753.6</v>
      </c>
      <c r="F22" s="23">
        <v>826.1</v>
      </c>
      <c r="G22" s="23">
        <v>995.2</v>
      </c>
      <c r="H22" s="23">
        <v>1098.9000000000001</v>
      </c>
      <c r="I22" s="23">
        <v>1183.5</v>
      </c>
      <c r="J22" s="23">
        <v>1325.1</v>
      </c>
      <c r="K22" s="23">
        <v>1381.5</v>
      </c>
      <c r="L22" s="23">
        <v>1413.5</v>
      </c>
      <c r="M22" s="23">
        <v>1493.1</v>
      </c>
      <c r="N22" s="23">
        <v>1715.2</v>
      </c>
      <c r="O22" s="23">
        <v>1785.1</v>
      </c>
      <c r="P22" s="23">
        <v>1795.6</v>
      </c>
      <c r="Q22" s="23">
        <v>1763</v>
      </c>
      <c r="R22" s="23">
        <v>1747.4</v>
      </c>
      <c r="S22" s="23">
        <v>1720.1</v>
      </c>
      <c r="T22" s="23">
        <v>1715.3</v>
      </c>
      <c r="U22" s="23">
        <v>1686.9</v>
      </c>
      <c r="V22" s="23">
        <v>1684.6</v>
      </c>
      <c r="W22" s="23">
        <v>1772.1</v>
      </c>
      <c r="X22" s="23">
        <v>1847.6</v>
      </c>
      <c r="Y22" s="23">
        <v>1955.5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8602.7999999999993</v>
      </c>
      <c r="E23" s="23">
        <v>9226.5999999999985</v>
      </c>
      <c r="F23" s="23">
        <v>9479.4</v>
      </c>
      <c r="G23" s="23">
        <v>9157.7999999999993</v>
      </c>
      <c r="H23" s="23">
        <v>9465</v>
      </c>
      <c r="I23" s="23">
        <v>9538.2999999999993</v>
      </c>
      <c r="J23" s="23">
        <v>9682.1</v>
      </c>
      <c r="K23" s="23">
        <v>10291.200000000001</v>
      </c>
      <c r="L23" s="23">
        <v>10528.8</v>
      </c>
      <c r="M23" s="23">
        <v>9767.9</v>
      </c>
      <c r="N23" s="23">
        <v>9224.9</v>
      </c>
      <c r="O23" s="23">
        <v>8464.2999999999975</v>
      </c>
      <c r="P23" s="23">
        <v>7168.6</v>
      </c>
      <c r="Q23" s="23">
        <v>6767.1</v>
      </c>
      <c r="R23" s="23">
        <v>6298</v>
      </c>
      <c r="S23" s="23">
        <v>6391.4</v>
      </c>
      <c r="T23" s="23">
        <v>6523.4</v>
      </c>
      <c r="U23" s="23">
        <v>6864.3</v>
      </c>
      <c r="V23" s="23">
        <v>7463.8</v>
      </c>
      <c r="W23" s="23">
        <v>8087.2</v>
      </c>
      <c r="X23" s="23">
        <v>8298.2999999999993</v>
      </c>
      <c r="Y23" s="23">
        <v>8620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15888.9</v>
      </c>
      <c r="E24" s="23">
        <v>16844.800000000003</v>
      </c>
      <c r="F24" s="23">
        <v>17552.7</v>
      </c>
      <c r="G24" s="23">
        <v>17598.8</v>
      </c>
      <c r="H24" s="23">
        <v>18216.299999999996</v>
      </c>
      <c r="I24" s="23">
        <v>18526.7</v>
      </c>
      <c r="J24" s="23">
        <v>19104.799999999996</v>
      </c>
      <c r="K24" s="23">
        <v>20082.599999999999</v>
      </c>
      <c r="L24" s="23">
        <v>20607.900000000001</v>
      </c>
      <c r="M24" s="23">
        <v>21041.1</v>
      </c>
      <c r="N24" s="23">
        <v>20882.599999999999</v>
      </c>
      <c r="O24" s="23">
        <v>21571.100000000006</v>
      </c>
      <c r="P24" s="23">
        <v>21569.3</v>
      </c>
      <c r="Q24" s="23">
        <v>22257.200000000001</v>
      </c>
      <c r="R24" s="23">
        <v>22347.699999999997</v>
      </c>
      <c r="S24" s="23">
        <v>22932.5</v>
      </c>
      <c r="T24" s="23">
        <v>23352.1</v>
      </c>
      <c r="U24" s="23">
        <v>23336.600000000006</v>
      </c>
      <c r="V24" s="23">
        <v>23559.100000000006</v>
      </c>
      <c r="W24" s="23">
        <v>24280.9</v>
      </c>
      <c r="X24" s="23">
        <v>22825.199999999997</v>
      </c>
      <c r="Y24" s="23">
        <v>23843.099999999991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4647.5</v>
      </c>
      <c r="E25" s="23">
        <v>4882.5</v>
      </c>
      <c r="F25" s="23">
        <v>5062.8999999999996</v>
      </c>
      <c r="G25" s="23">
        <v>5236.1000000000004</v>
      </c>
      <c r="H25" s="23">
        <v>5436.2</v>
      </c>
      <c r="I25" s="23">
        <v>5574.3</v>
      </c>
      <c r="J25" s="23">
        <v>6026</v>
      </c>
      <c r="K25" s="23">
        <v>6816.9</v>
      </c>
      <c r="L25" s="23">
        <v>6808.9</v>
      </c>
      <c r="M25" s="23">
        <v>6996.8</v>
      </c>
      <c r="N25" s="23">
        <v>7411.6</v>
      </c>
      <c r="O25" s="23">
        <v>7139.9</v>
      </c>
      <c r="P25" s="23">
        <v>6921.2</v>
      </c>
      <c r="Q25" s="23">
        <v>7197</v>
      </c>
      <c r="R25" s="23">
        <v>7128.9</v>
      </c>
      <c r="S25" s="23">
        <v>7661</v>
      </c>
      <c r="T25" s="23">
        <v>7806.5</v>
      </c>
      <c r="U25" s="23">
        <v>8455.1</v>
      </c>
      <c r="V25" s="23">
        <v>8799.7999999999975</v>
      </c>
      <c r="W25" s="23">
        <v>9404.6</v>
      </c>
      <c r="X25" s="23">
        <v>6936.1</v>
      </c>
      <c r="Y25" s="23">
        <v>7826.7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4966.1000000000004</v>
      </c>
      <c r="E26" s="23">
        <v>5207.2</v>
      </c>
      <c r="F26" s="23">
        <v>5666.2</v>
      </c>
      <c r="G26" s="23">
        <v>5841.8</v>
      </c>
      <c r="H26" s="23">
        <v>6271.7</v>
      </c>
      <c r="I26" s="23">
        <v>6582.1</v>
      </c>
      <c r="J26" s="23">
        <v>6969.1</v>
      </c>
      <c r="K26" s="23">
        <v>7291.5</v>
      </c>
      <c r="L26" s="23">
        <v>7314</v>
      </c>
      <c r="M26" s="23">
        <v>7522</v>
      </c>
      <c r="N26" s="23">
        <v>7682.8</v>
      </c>
      <c r="O26" s="23">
        <v>7595.3</v>
      </c>
      <c r="P26" s="23">
        <v>7532.5</v>
      </c>
      <c r="Q26" s="23">
        <v>7471.3</v>
      </c>
      <c r="R26" s="23">
        <v>7718.8</v>
      </c>
      <c r="S26" s="23">
        <v>8076.6</v>
      </c>
      <c r="T26" s="23">
        <v>8841.4</v>
      </c>
      <c r="U26" s="23">
        <v>10029.799999999997</v>
      </c>
      <c r="V26" s="23">
        <v>10812.5</v>
      </c>
      <c r="W26" s="23">
        <v>11338.3</v>
      </c>
      <c r="X26" s="23">
        <v>6333.9</v>
      </c>
      <c r="Y26" s="23">
        <v>7898.9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4046.3</v>
      </c>
      <c r="E27" s="23">
        <v>4422.3999999999996</v>
      </c>
      <c r="F27" s="23">
        <v>4768.8999999999996</v>
      </c>
      <c r="G27" s="23">
        <v>4893.6000000000004</v>
      </c>
      <c r="H27" s="23">
        <v>5163.0000000000009</v>
      </c>
      <c r="I27" s="23">
        <v>5341.4</v>
      </c>
      <c r="J27" s="23">
        <v>5587.1</v>
      </c>
      <c r="K27" s="23">
        <v>5798.7</v>
      </c>
      <c r="L27" s="23">
        <v>5976.7</v>
      </c>
      <c r="M27" s="23">
        <v>5984.7</v>
      </c>
      <c r="N27" s="23">
        <v>5740.3</v>
      </c>
      <c r="O27" s="23">
        <v>5724.4</v>
      </c>
      <c r="P27" s="23">
        <v>5428.7</v>
      </c>
      <c r="Q27" s="23">
        <v>5226.8999999999996</v>
      </c>
      <c r="R27" s="23">
        <v>5202.7</v>
      </c>
      <c r="S27" s="23">
        <v>5347.9</v>
      </c>
      <c r="T27" s="23">
        <v>5645</v>
      </c>
      <c r="U27" s="23">
        <v>5941.2</v>
      </c>
      <c r="V27" s="23">
        <v>6248.3</v>
      </c>
      <c r="W27" s="23">
        <v>7145</v>
      </c>
      <c r="X27" s="23">
        <v>7751.8</v>
      </c>
      <c r="Y27" s="23">
        <v>8503.6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6529</v>
      </c>
      <c r="E28" s="23">
        <v>7607.2</v>
      </c>
      <c r="F28" s="23">
        <v>7767.3</v>
      </c>
      <c r="G28" s="23">
        <v>8215</v>
      </c>
      <c r="H28" s="23">
        <v>8800.5000000000018</v>
      </c>
      <c r="I28" s="23">
        <v>9008.2000000000007</v>
      </c>
      <c r="J28" s="23">
        <v>10669.7</v>
      </c>
      <c r="K28" s="23">
        <v>11674</v>
      </c>
      <c r="L28" s="23">
        <v>12601.9</v>
      </c>
      <c r="M28" s="23">
        <v>10955.1</v>
      </c>
      <c r="N28" s="23">
        <v>10385.999999999998</v>
      </c>
      <c r="O28" s="23">
        <v>10772.8</v>
      </c>
      <c r="P28" s="23">
        <v>9231.2999999999993</v>
      </c>
      <c r="Q28" s="23">
        <v>8219.9</v>
      </c>
      <c r="R28" s="23">
        <v>8043.1</v>
      </c>
      <c r="S28" s="23">
        <v>8242.4</v>
      </c>
      <c r="T28" s="23">
        <v>8344.2000000000007</v>
      </c>
      <c r="U28" s="23">
        <v>8509.9</v>
      </c>
      <c r="V28" s="23">
        <v>8661</v>
      </c>
      <c r="W28" s="23">
        <v>9108.7999999999975</v>
      </c>
      <c r="X28" s="23">
        <v>9228.7999999999975</v>
      </c>
      <c r="Y28" s="23">
        <v>9396.2000000000007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8595</v>
      </c>
      <c r="E29" s="23">
        <v>8798.4</v>
      </c>
      <c r="F29" s="23">
        <v>9679.7000000000007</v>
      </c>
      <c r="G29" s="23">
        <v>10456.700000000001</v>
      </c>
      <c r="H29" s="23">
        <v>10940.7</v>
      </c>
      <c r="I29" s="23">
        <v>11922.3</v>
      </c>
      <c r="J29" s="23">
        <v>12484.4</v>
      </c>
      <c r="K29" s="23">
        <v>13958.2</v>
      </c>
      <c r="L29" s="23">
        <v>14671.9</v>
      </c>
      <c r="M29" s="23">
        <v>15243.6</v>
      </c>
      <c r="N29" s="23">
        <v>16833.099999999999</v>
      </c>
      <c r="O29" s="23">
        <v>16649.5</v>
      </c>
      <c r="P29" s="23">
        <v>17481.3</v>
      </c>
      <c r="Q29" s="23">
        <v>18636.7</v>
      </c>
      <c r="R29" s="23">
        <v>18955.900000000005</v>
      </c>
      <c r="S29" s="23">
        <v>19321.400000000001</v>
      </c>
      <c r="T29" s="23">
        <v>20253.199999999997</v>
      </c>
      <c r="U29" s="23">
        <v>21194.7</v>
      </c>
      <c r="V29" s="23">
        <v>22209.8</v>
      </c>
      <c r="W29" s="23">
        <v>23207</v>
      </c>
      <c r="X29" s="23">
        <v>23464.5</v>
      </c>
      <c r="Y29" s="23">
        <v>24349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3892.2000000000007</v>
      </c>
      <c r="E30" s="23">
        <v>4004.1000000000004</v>
      </c>
      <c r="F30" s="23">
        <v>4061</v>
      </c>
      <c r="G30" s="23">
        <v>4268.7</v>
      </c>
      <c r="H30" s="23">
        <v>4479.3999999999996</v>
      </c>
      <c r="I30" s="23">
        <v>4815.9000000000005</v>
      </c>
      <c r="J30" s="23">
        <v>4850.4000000000015</v>
      </c>
      <c r="K30" s="23">
        <v>5475.2</v>
      </c>
      <c r="L30" s="23">
        <v>5974.5999999999985</v>
      </c>
      <c r="M30" s="23">
        <v>5894.9</v>
      </c>
      <c r="N30" s="23">
        <v>5822.3000000000011</v>
      </c>
      <c r="O30" s="23">
        <v>5589.6</v>
      </c>
      <c r="P30" s="23">
        <v>5222.2999999999993</v>
      </c>
      <c r="Q30" s="23">
        <v>5349.7000000000007</v>
      </c>
      <c r="R30" s="23">
        <v>5786.7999999999993</v>
      </c>
      <c r="S30" s="23">
        <v>5697.1999999999989</v>
      </c>
      <c r="T30" s="23">
        <v>5916.4</v>
      </c>
      <c r="U30" s="23">
        <v>6373</v>
      </c>
      <c r="V30" s="23">
        <v>7169.2999999999993</v>
      </c>
      <c r="W30" s="23">
        <v>7923.9</v>
      </c>
      <c r="X30" s="23">
        <v>8089.8000000000011</v>
      </c>
      <c r="Y30" s="23">
        <v>8746.7000000000007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3208.1</v>
      </c>
      <c r="E31" s="23">
        <v>3281</v>
      </c>
      <c r="F31" s="23">
        <v>3509.1</v>
      </c>
      <c r="G31" s="23">
        <v>3634.7</v>
      </c>
      <c r="H31" s="23">
        <v>3838.7</v>
      </c>
      <c r="I31" s="23">
        <v>4042.7</v>
      </c>
      <c r="J31" s="23">
        <v>4358.8</v>
      </c>
      <c r="K31" s="23">
        <v>4858.3</v>
      </c>
      <c r="L31" s="23">
        <v>5146.1000000000004</v>
      </c>
      <c r="M31" s="23">
        <v>5187.7</v>
      </c>
      <c r="N31" s="23">
        <v>5417.3</v>
      </c>
      <c r="O31" s="23">
        <v>5201.7999999999993</v>
      </c>
      <c r="P31" s="23">
        <v>4832.6000000000004</v>
      </c>
      <c r="Q31" s="23">
        <v>4849.7999999999993</v>
      </c>
      <c r="R31" s="23">
        <v>5139.3</v>
      </c>
      <c r="S31" s="23">
        <v>5397.6</v>
      </c>
      <c r="T31" s="23">
        <v>5916</v>
      </c>
      <c r="U31" s="23">
        <v>6588.6</v>
      </c>
      <c r="V31" s="23">
        <v>7139.2</v>
      </c>
      <c r="W31" s="23">
        <v>7455.8</v>
      </c>
      <c r="X31" s="23">
        <v>6572.3</v>
      </c>
      <c r="Y31" s="23">
        <v>7583.5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9612.6000000000022</v>
      </c>
      <c r="E32" s="23">
        <v>10016.599999999999</v>
      </c>
      <c r="F32" s="23">
        <v>10555.799999999997</v>
      </c>
      <c r="G32" s="23">
        <v>11150.4</v>
      </c>
      <c r="H32" s="23">
        <v>11492.400000000005</v>
      </c>
      <c r="I32" s="23">
        <v>12220.900000000001</v>
      </c>
      <c r="J32" s="23">
        <v>12434.299999999997</v>
      </c>
      <c r="K32" s="23">
        <v>12664.9</v>
      </c>
      <c r="L32" s="23">
        <v>13060.199999999997</v>
      </c>
      <c r="M32" s="23">
        <v>13703.3</v>
      </c>
      <c r="N32" s="23">
        <v>13145.700000000003</v>
      </c>
      <c r="O32" s="23">
        <v>12474.1</v>
      </c>
      <c r="P32" s="23">
        <v>11145.099999999999</v>
      </c>
      <c r="Q32" s="23">
        <v>12003.2</v>
      </c>
      <c r="R32" s="23">
        <v>11392.8</v>
      </c>
      <c r="S32" s="23">
        <v>11593.8</v>
      </c>
      <c r="T32" s="23">
        <v>11738.500000000002</v>
      </c>
      <c r="U32" s="23">
        <v>11978.799999999997</v>
      </c>
      <c r="V32" s="23">
        <v>12274.699999999997</v>
      </c>
      <c r="W32" s="23">
        <v>12783</v>
      </c>
      <c r="X32" s="23">
        <v>12931.900000000001</v>
      </c>
      <c r="Y32" s="23">
        <v>13497.399999999996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7504.2</v>
      </c>
      <c r="E33" s="23">
        <v>8068.5</v>
      </c>
      <c r="F33" s="23">
        <v>8778.2000000000007</v>
      </c>
      <c r="G33" s="23">
        <v>9061.0999999999985</v>
      </c>
      <c r="H33" s="23">
        <v>9469.7999999999993</v>
      </c>
      <c r="I33" s="23">
        <v>10007.1</v>
      </c>
      <c r="J33" s="23">
        <v>10096.799999999999</v>
      </c>
      <c r="K33" s="23">
        <v>9975</v>
      </c>
      <c r="L33" s="23">
        <v>10493.9</v>
      </c>
      <c r="M33" s="23">
        <v>10858.3</v>
      </c>
      <c r="N33" s="23">
        <v>11061.2</v>
      </c>
      <c r="O33" s="23">
        <v>10153.200000000001</v>
      </c>
      <c r="P33" s="23">
        <v>8984.1</v>
      </c>
      <c r="Q33" s="23">
        <v>9379.4000000000015</v>
      </c>
      <c r="R33" s="23">
        <v>9375.9</v>
      </c>
      <c r="S33" s="23">
        <v>9338.2999999999993</v>
      </c>
      <c r="T33" s="23">
        <v>9461.1</v>
      </c>
      <c r="U33" s="23">
        <v>9811.7000000000007</v>
      </c>
      <c r="V33" s="23">
        <v>10091.4</v>
      </c>
      <c r="W33" s="23">
        <v>10367.5</v>
      </c>
      <c r="X33" s="23">
        <v>10494.5</v>
      </c>
      <c r="Y33" s="23">
        <v>10757.6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5599.1</v>
      </c>
      <c r="E34" s="23">
        <v>6473.3</v>
      </c>
      <c r="F34" s="23">
        <v>6964.5000000000009</v>
      </c>
      <c r="G34" s="23">
        <v>7312.1000000000013</v>
      </c>
      <c r="H34" s="23">
        <v>7929.6</v>
      </c>
      <c r="I34" s="23">
        <v>8482.9</v>
      </c>
      <c r="J34" s="23">
        <v>8506.2000000000007</v>
      </c>
      <c r="K34" s="23">
        <v>9084.7000000000007</v>
      </c>
      <c r="L34" s="23">
        <v>9253.9</v>
      </c>
      <c r="M34" s="23">
        <v>9566.6</v>
      </c>
      <c r="N34" s="23">
        <v>9782</v>
      </c>
      <c r="O34" s="23">
        <v>9503.6</v>
      </c>
      <c r="P34" s="23">
        <v>9120.2999999999993</v>
      </c>
      <c r="Q34" s="23">
        <v>9223.6</v>
      </c>
      <c r="R34" s="23">
        <v>9330</v>
      </c>
      <c r="S34" s="23">
        <v>9642.1</v>
      </c>
      <c r="T34" s="23">
        <v>10201.799999999997</v>
      </c>
      <c r="U34" s="23">
        <v>10904.8</v>
      </c>
      <c r="V34" s="23">
        <v>11552.6</v>
      </c>
      <c r="W34" s="23">
        <v>12233.5</v>
      </c>
      <c r="X34" s="23">
        <v>12204.4</v>
      </c>
      <c r="Y34" s="23">
        <v>13584.7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845.30000000000018</v>
      </c>
      <c r="E35" s="23">
        <v>863.10000000000014</v>
      </c>
      <c r="F35" s="23">
        <v>941.09999999999968</v>
      </c>
      <c r="G35" s="23">
        <v>988.60000000000025</v>
      </c>
      <c r="H35" s="23">
        <v>1061.5999999999997</v>
      </c>
      <c r="I35" s="23">
        <v>1056.5999999999997</v>
      </c>
      <c r="J35" s="23">
        <v>1089.8000000000002</v>
      </c>
      <c r="K35" s="23">
        <v>1112.7999999999995</v>
      </c>
      <c r="L35" s="23">
        <v>1192.7</v>
      </c>
      <c r="M35" s="23">
        <v>1225.299999999999</v>
      </c>
      <c r="N35" s="23">
        <v>1258.8999999999999</v>
      </c>
      <c r="O35" s="23">
        <v>1241.5999999999999</v>
      </c>
      <c r="P35" s="23">
        <v>1086.6000000000001</v>
      </c>
      <c r="Q35" s="23">
        <v>1036.9999999999998</v>
      </c>
      <c r="R35" s="23">
        <v>1107.3000000000002</v>
      </c>
      <c r="S35" s="23">
        <v>1240.8999999999999</v>
      </c>
      <c r="T35" s="23">
        <v>1328.9999999999993</v>
      </c>
      <c r="U35" s="23">
        <v>1540.0999999999997</v>
      </c>
      <c r="V35" s="23">
        <v>1641.8999999999994</v>
      </c>
      <c r="W35" s="23">
        <v>1774.7</v>
      </c>
      <c r="X35" s="23">
        <v>1325.9</v>
      </c>
      <c r="Y35" s="23">
        <v>1567.8999999999987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1055.2</v>
      </c>
      <c r="E36" s="23">
        <v>1060.5</v>
      </c>
      <c r="F36" s="23">
        <v>1198.3</v>
      </c>
      <c r="G36" s="23">
        <v>1271.9000000000001</v>
      </c>
      <c r="H36" s="23">
        <v>1344.2</v>
      </c>
      <c r="I36" s="23">
        <v>1421.3</v>
      </c>
      <c r="J36" s="23">
        <v>1515.8</v>
      </c>
      <c r="K36" s="23">
        <v>1668.7</v>
      </c>
      <c r="L36" s="23">
        <v>1870.3</v>
      </c>
      <c r="M36" s="23">
        <v>1903</v>
      </c>
      <c r="N36" s="23">
        <v>2003.3</v>
      </c>
      <c r="O36" s="23">
        <v>2015.3</v>
      </c>
      <c r="P36" s="23">
        <v>2103.6999999999998</v>
      </c>
      <c r="Q36" s="23">
        <v>2103.8000000000002</v>
      </c>
      <c r="R36" s="23">
        <v>2130.3000000000002</v>
      </c>
      <c r="S36" s="23">
        <v>2187.4</v>
      </c>
      <c r="T36" s="23">
        <v>2194.1000000000004</v>
      </c>
      <c r="U36" s="23">
        <v>2297.3000000000002</v>
      </c>
      <c r="V36" s="23">
        <v>2369.9</v>
      </c>
      <c r="W36" s="23">
        <v>2433.1999999999998</v>
      </c>
      <c r="X36" s="23">
        <v>2163.9</v>
      </c>
      <c r="Y36" s="23">
        <v>2168.8000000000002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726.6</v>
      </c>
      <c r="E37" s="23">
        <v>767.1</v>
      </c>
      <c r="F37" s="23">
        <v>838.2</v>
      </c>
      <c r="G37" s="23">
        <v>877.39999999999986</v>
      </c>
      <c r="H37" s="23">
        <v>883.6</v>
      </c>
      <c r="I37" s="23">
        <v>927.4</v>
      </c>
      <c r="J37" s="23">
        <v>962.6</v>
      </c>
      <c r="K37" s="23">
        <v>1077.4000000000001</v>
      </c>
      <c r="L37" s="23">
        <v>1155.7</v>
      </c>
      <c r="M37" s="23">
        <v>1209.5999999999999</v>
      </c>
      <c r="N37" s="23">
        <v>1232</v>
      </c>
      <c r="O37" s="23">
        <v>1200.5999999999999</v>
      </c>
      <c r="P37" s="23">
        <v>1150.5999999999997</v>
      </c>
      <c r="Q37" s="23">
        <v>1106</v>
      </c>
      <c r="R37" s="23">
        <v>1112.7</v>
      </c>
      <c r="S37" s="23">
        <v>1085.2</v>
      </c>
      <c r="T37" s="23">
        <v>1096.8</v>
      </c>
      <c r="U37" s="23">
        <v>1113.9999999999998</v>
      </c>
      <c r="V37" s="23">
        <v>1158.5999999999999</v>
      </c>
      <c r="W37" s="23">
        <v>1230.0999999999999</v>
      </c>
      <c r="X37" s="23">
        <v>1184.2</v>
      </c>
      <c r="Y37" s="23">
        <v>1125.7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112521.70000000001</v>
      </c>
      <c r="E39" s="30">
        <f t="shared" ref="E39:S39" si="2">SUM(E18:E38)</f>
        <v>119098.2</v>
      </c>
      <c r="F39" s="30">
        <f t="shared" si="2"/>
        <v>124721.49999999999</v>
      </c>
      <c r="G39" s="30">
        <f t="shared" si="2"/>
        <v>127734.29999999996</v>
      </c>
      <c r="H39" s="30">
        <f t="shared" si="2"/>
        <v>133144.80000000002</v>
      </c>
      <c r="I39" s="30">
        <f t="shared" si="2"/>
        <v>137485.69999999998</v>
      </c>
      <c r="J39" s="30">
        <f t="shared" si="2"/>
        <v>143562.09999999998</v>
      </c>
      <c r="K39" s="30">
        <f t="shared" si="2"/>
        <v>152165.99999999997</v>
      </c>
      <c r="L39" s="30">
        <f t="shared" si="2"/>
        <v>156158.20000000001</v>
      </c>
      <c r="M39" s="30">
        <f t="shared" si="2"/>
        <v>155546.49999999997</v>
      </c>
      <c r="N39" s="30">
        <f t="shared" si="2"/>
        <v>157970.79999999999</v>
      </c>
      <c r="O39" s="30">
        <f t="shared" si="2"/>
        <v>154128.20000000001</v>
      </c>
      <c r="P39" s="30">
        <f t="shared" si="2"/>
        <v>147214.80000000002</v>
      </c>
      <c r="Q39" s="30">
        <f t="shared" si="2"/>
        <v>149802.29999999996</v>
      </c>
      <c r="R39" s="30">
        <f t="shared" si="2"/>
        <v>151135.80000000002</v>
      </c>
      <c r="S39" s="30">
        <f t="shared" si="2"/>
        <v>156517.29999999996</v>
      </c>
      <c r="T39" s="30">
        <f t="shared" ref="T39:Y39" si="3">SUM(T18:T38)</f>
        <v>161993.29999999996</v>
      </c>
      <c r="U39" s="30">
        <f t="shared" si="3"/>
        <v>169642.3</v>
      </c>
      <c r="V39" s="30">
        <f t="shared" si="3"/>
        <v>177465.9</v>
      </c>
      <c r="W39" s="30">
        <f t="shared" si="3"/>
        <v>185536.30000000002</v>
      </c>
      <c r="X39" s="30">
        <f t="shared" si="3"/>
        <v>174768</v>
      </c>
      <c r="Y39" s="30">
        <f t="shared" si="3"/>
        <v>187070.10000000003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2466.4</v>
      </c>
      <c r="E41" s="19">
        <v>2708.9</v>
      </c>
      <c r="F41" s="19">
        <v>2916</v>
      </c>
      <c r="G41" s="19">
        <v>3010.4</v>
      </c>
      <c r="H41" s="19">
        <v>3093.4</v>
      </c>
      <c r="I41" s="19">
        <v>3182.4</v>
      </c>
      <c r="J41" s="19">
        <v>3239.1</v>
      </c>
      <c r="K41" s="19">
        <v>3221.4</v>
      </c>
      <c r="L41" s="19">
        <v>3358.9</v>
      </c>
      <c r="M41" s="19">
        <v>3543.3</v>
      </c>
      <c r="N41" s="19">
        <v>3567.8</v>
      </c>
      <c r="O41" s="19">
        <v>3418.1</v>
      </c>
      <c r="P41" s="19">
        <v>3354.5</v>
      </c>
      <c r="Q41" s="19">
        <v>3509.5</v>
      </c>
      <c r="R41" s="19">
        <v>3743.7</v>
      </c>
      <c r="S41" s="19">
        <v>3854.2</v>
      </c>
      <c r="T41" s="19">
        <v>4083.1</v>
      </c>
      <c r="U41" s="19">
        <v>4138.3999999999996</v>
      </c>
      <c r="V41" s="19">
        <v>4262.8</v>
      </c>
      <c r="W41" s="19">
        <v>4310</v>
      </c>
      <c r="X41" s="19">
        <v>4168.5</v>
      </c>
      <c r="Y41" s="19">
        <v>4249.2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3812.2</v>
      </c>
      <c r="E42" s="23">
        <v>3873.2</v>
      </c>
      <c r="F42" s="23">
        <v>3987.2</v>
      </c>
      <c r="G42" s="23">
        <v>3863.4</v>
      </c>
      <c r="H42" s="23">
        <v>3685.1</v>
      </c>
      <c r="I42" s="23">
        <v>3414.6</v>
      </c>
      <c r="J42" s="23">
        <v>3445</v>
      </c>
      <c r="K42" s="23">
        <v>3585.2</v>
      </c>
      <c r="L42" s="23">
        <v>3489</v>
      </c>
      <c r="M42" s="23">
        <v>3317.9</v>
      </c>
      <c r="N42" s="23">
        <v>3363.4</v>
      </c>
      <c r="O42" s="23">
        <v>3384.3</v>
      </c>
      <c r="P42" s="23">
        <v>3374.5</v>
      </c>
      <c r="Q42" s="23">
        <v>3563.5</v>
      </c>
      <c r="R42" s="23">
        <v>3765.1</v>
      </c>
      <c r="S42" s="23">
        <v>3940</v>
      </c>
      <c r="T42" s="23">
        <v>4107.8</v>
      </c>
      <c r="U42" s="23">
        <v>4185.8</v>
      </c>
      <c r="V42" s="23">
        <v>4265.8999999999996</v>
      </c>
      <c r="W42" s="23">
        <v>4134.6000000000004</v>
      </c>
      <c r="X42" s="23">
        <v>3907.7</v>
      </c>
      <c r="Y42" s="23">
        <v>4238.3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2554.3000000000002</v>
      </c>
      <c r="E43" s="23">
        <v>2462.6999999999998</v>
      </c>
      <c r="F43" s="23">
        <v>2415.9</v>
      </c>
      <c r="G43" s="23">
        <v>2303.1</v>
      </c>
      <c r="H43" s="23">
        <v>2229.6</v>
      </c>
      <c r="I43" s="23">
        <v>2353</v>
      </c>
      <c r="J43" s="23">
        <v>2542.3000000000002</v>
      </c>
      <c r="K43" s="23">
        <v>2649.2</v>
      </c>
      <c r="L43" s="23">
        <v>2390.5</v>
      </c>
      <c r="M43" s="23">
        <v>2097.1999999999998</v>
      </c>
      <c r="N43" s="23">
        <v>2457.6</v>
      </c>
      <c r="O43" s="23">
        <v>2272.9999999999995</v>
      </c>
      <c r="P43" s="23">
        <v>2101.9</v>
      </c>
      <c r="Q43" s="23">
        <v>2107.1</v>
      </c>
      <c r="R43" s="23">
        <v>2075.1999999999998</v>
      </c>
      <c r="S43" s="23">
        <v>2273.1</v>
      </c>
      <c r="T43" s="23">
        <v>2254.1</v>
      </c>
      <c r="U43" s="23">
        <v>2322.1</v>
      </c>
      <c r="V43" s="23">
        <v>2600.4</v>
      </c>
      <c r="W43" s="23">
        <v>2585.6</v>
      </c>
      <c r="X43" s="23">
        <v>2355.6000000000004</v>
      </c>
      <c r="Y43" s="23">
        <v>2658.1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206.3</v>
      </c>
      <c r="E44" s="23">
        <v>202.1</v>
      </c>
      <c r="F44" s="23">
        <v>158.1</v>
      </c>
      <c r="G44" s="23">
        <v>182.8</v>
      </c>
      <c r="H44" s="23">
        <v>315</v>
      </c>
      <c r="I44" s="23">
        <v>545.9</v>
      </c>
      <c r="J44" s="23">
        <v>624.70000000000016</v>
      </c>
      <c r="K44" s="23">
        <v>545</v>
      </c>
      <c r="L44" s="23">
        <v>652.5</v>
      </c>
      <c r="M44" s="23">
        <v>158.19999999999999</v>
      </c>
      <c r="N44" s="23">
        <v>430.8</v>
      </c>
      <c r="O44" s="23">
        <v>309.8</v>
      </c>
      <c r="P44" s="23">
        <v>255.49999999999997</v>
      </c>
      <c r="Q44" s="23">
        <v>211.2</v>
      </c>
      <c r="R44" s="23">
        <v>188</v>
      </c>
      <c r="S44" s="23">
        <v>589.29999999999995</v>
      </c>
      <c r="T44" s="23">
        <v>415.1</v>
      </c>
      <c r="U44" s="23">
        <v>823.7</v>
      </c>
      <c r="V44" s="23">
        <v>554.6</v>
      </c>
      <c r="W44" s="23">
        <v>430.5</v>
      </c>
      <c r="X44" s="23">
        <v>-72.2</v>
      </c>
      <c r="Y44" s="23">
        <v>154.00000000000003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691.2</v>
      </c>
      <c r="E45" s="23">
        <v>695.8</v>
      </c>
      <c r="F45" s="23">
        <v>706.9</v>
      </c>
      <c r="G45" s="23">
        <v>718.2</v>
      </c>
      <c r="H45" s="23">
        <v>771.1</v>
      </c>
      <c r="I45" s="23">
        <v>771.1</v>
      </c>
      <c r="J45" s="23">
        <v>760</v>
      </c>
      <c r="K45" s="23">
        <v>851.6</v>
      </c>
      <c r="L45" s="23">
        <v>739.7</v>
      </c>
      <c r="M45" s="23">
        <v>681.8</v>
      </c>
      <c r="N45" s="23">
        <v>805.6</v>
      </c>
      <c r="O45" s="23">
        <v>814</v>
      </c>
      <c r="P45" s="23">
        <v>671.5</v>
      </c>
      <c r="Q45" s="23">
        <v>708.7</v>
      </c>
      <c r="R45" s="23">
        <v>704.4</v>
      </c>
      <c r="S45" s="23">
        <v>878.7</v>
      </c>
      <c r="T45" s="23">
        <v>952.5</v>
      </c>
      <c r="U45" s="23">
        <v>940.4</v>
      </c>
      <c r="V45" s="23">
        <v>824.6</v>
      </c>
      <c r="W45" s="23">
        <v>863.9</v>
      </c>
      <c r="X45" s="23">
        <v>920.9</v>
      </c>
      <c r="Y45" s="23">
        <v>1145.9000000000003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339.1</v>
      </c>
      <c r="E46" s="23">
        <v>356.1</v>
      </c>
      <c r="F46" s="23">
        <v>386.7</v>
      </c>
      <c r="G46" s="23">
        <v>364.2</v>
      </c>
      <c r="H46" s="23">
        <v>372.5</v>
      </c>
      <c r="I46" s="23">
        <v>387.8</v>
      </c>
      <c r="J46" s="23">
        <v>366.6</v>
      </c>
      <c r="K46" s="23">
        <v>437.3</v>
      </c>
      <c r="L46" s="23">
        <v>440.1</v>
      </c>
      <c r="M46" s="23">
        <v>468</v>
      </c>
      <c r="N46" s="23">
        <v>427.9</v>
      </c>
      <c r="O46" s="23">
        <v>428.5</v>
      </c>
      <c r="P46" s="23">
        <v>449.1</v>
      </c>
      <c r="Q46" s="23">
        <v>487.1</v>
      </c>
      <c r="R46" s="23">
        <v>454.1</v>
      </c>
      <c r="S46" s="23">
        <v>505.2</v>
      </c>
      <c r="T46" s="23">
        <v>521.20000000000005</v>
      </c>
      <c r="U46" s="23">
        <v>591.29999999999995</v>
      </c>
      <c r="V46" s="23">
        <v>604.79999999999984</v>
      </c>
      <c r="W46" s="23">
        <v>620.79999999999995</v>
      </c>
      <c r="X46" s="23">
        <v>744</v>
      </c>
      <c r="Y46" s="23">
        <v>762.2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2510.8000000000002</v>
      </c>
      <c r="E47" s="23">
        <v>2567.1</v>
      </c>
      <c r="F47" s="23">
        <v>2605.6</v>
      </c>
      <c r="G47" s="23">
        <v>2469.3000000000002</v>
      </c>
      <c r="H47" s="23">
        <v>2497.9</v>
      </c>
      <c r="I47" s="23">
        <v>2461</v>
      </c>
      <c r="J47" s="23">
        <v>2482.1</v>
      </c>
      <c r="K47" s="23">
        <v>2624.1</v>
      </c>
      <c r="L47" s="23">
        <v>2566.9</v>
      </c>
      <c r="M47" s="23">
        <v>2476.8000000000002</v>
      </c>
      <c r="N47" s="23">
        <v>2481</v>
      </c>
      <c r="O47" s="23">
        <v>2378.1000000000004</v>
      </c>
      <c r="P47" s="23">
        <v>2259.6999999999998</v>
      </c>
      <c r="Q47" s="23">
        <v>2257.6</v>
      </c>
      <c r="R47" s="23">
        <v>2291.6999999999994</v>
      </c>
      <c r="S47" s="23">
        <v>2449.4</v>
      </c>
      <c r="T47" s="23">
        <v>2560.6</v>
      </c>
      <c r="U47" s="23">
        <v>2699.5</v>
      </c>
      <c r="V47" s="23">
        <v>2828.8</v>
      </c>
      <c r="W47" s="23">
        <v>3028.3</v>
      </c>
      <c r="X47" s="23">
        <v>3093.2</v>
      </c>
      <c r="Y47" s="23">
        <v>3340.1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1881.7</v>
      </c>
      <c r="E48" s="23">
        <v>1914</v>
      </c>
      <c r="F48" s="23">
        <v>1981.6</v>
      </c>
      <c r="G48" s="23">
        <v>1923.2000000000003</v>
      </c>
      <c r="H48" s="23">
        <v>2075.4</v>
      </c>
      <c r="I48" s="23">
        <v>2081.9999999999995</v>
      </c>
      <c r="J48" s="23">
        <v>2273.1</v>
      </c>
      <c r="K48" s="23">
        <v>2452</v>
      </c>
      <c r="L48" s="23">
        <v>2612.3000000000002</v>
      </c>
      <c r="M48" s="23">
        <v>2203.5</v>
      </c>
      <c r="N48" s="23">
        <v>2334.4</v>
      </c>
      <c r="O48" s="23">
        <v>2236.3000000000006</v>
      </c>
      <c r="P48" s="23">
        <v>2157.5</v>
      </c>
      <c r="Q48" s="23">
        <v>2198.5</v>
      </c>
      <c r="R48" s="23">
        <v>2343.8000000000002</v>
      </c>
      <c r="S48" s="23">
        <v>2297.6999999999998</v>
      </c>
      <c r="T48" s="23">
        <v>2582.5000000000005</v>
      </c>
      <c r="U48" s="23">
        <v>2838.2</v>
      </c>
      <c r="V48" s="23">
        <v>3018.7</v>
      </c>
      <c r="W48" s="23">
        <v>3086</v>
      </c>
      <c r="X48" s="23">
        <v>2953</v>
      </c>
      <c r="Y48" s="23">
        <v>3547.7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706.8</v>
      </c>
      <c r="E49" s="23">
        <v>738.6</v>
      </c>
      <c r="F49" s="23">
        <v>632.79999999999995</v>
      </c>
      <c r="G49" s="23">
        <v>633.20000000000005</v>
      </c>
      <c r="H49" s="23">
        <v>662.3</v>
      </c>
      <c r="I49" s="23">
        <v>703.3</v>
      </c>
      <c r="J49" s="23">
        <v>716.3</v>
      </c>
      <c r="K49" s="23">
        <v>786.5</v>
      </c>
      <c r="L49" s="23">
        <v>696.3</v>
      </c>
      <c r="M49" s="23">
        <v>448.5</v>
      </c>
      <c r="N49" s="23">
        <v>575.90000000000009</v>
      </c>
      <c r="O49" s="23">
        <v>452</v>
      </c>
      <c r="P49" s="23">
        <v>398.9</v>
      </c>
      <c r="Q49" s="23">
        <v>406.5</v>
      </c>
      <c r="R49" s="23">
        <v>404.3</v>
      </c>
      <c r="S49" s="23">
        <v>418.5</v>
      </c>
      <c r="T49" s="23">
        <v>465.5</v>
      </c>
      <c r="U49" s="23">
        <v>503.9</v>
      </c>
      <c r="V49" s="23">
        <v>549.49999999999989</v>
      </c>
      <c r="W49" s="23">
        <v>493.4</v>
      </c>
      <c r="X49" s="23">
        <v>436.8</v>
      </c>
      <c r="Y49" s="23">
        <v>465.8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696.3</v>
      </c>
      <c r="E50" s="23">
        <v>717.8</v>
      </c>
      <c r="F50" s="23">
        <v>691.1</v>
      </c>
      <c r="G50" s="23">
        <v>634.20000000000005</v>
      </c>
      <c r="H50" s="23">
        <v>612</v>
      </c>
      <c r="I50" s="23">
        <v>608.4</v>
      </c>
      <c r="J50" s="23">
        <v>610.79999999999995</v>
      </c>
      <c r="K50" s="23">
        <v>633.70000000000005</v>
      </c>
      <c r="L50" s="23">
        <v>662.8</v>
      </c>
      <c r="M50" s="23">
        <v>629.59999999999991</v>
      </c>
      <c r="N50" s="23">
        <v>668.3</v>
      </c>
      <c r="O50" s="23">
        <v>605.70000000000005</v>
      </c>
      <c r="P50" s="23">
        <v>556.5</v>
      </c>
      <c r="Q50" s="23">
        <v>579.4</v>
      </c>
      <c r="R50" s="23">
        <v>580.79999999999995</v>
      </c>
      <c r="S50" s="23">
        <v>591.6</v>
      </c>
      <c r="T50" s="23">
        <v>600</v>
      </c>
      <c r="U50" s="23">
        <v>646.79999999999995</v>
      </c>
      <c r="V50" s="23">
        <v>647.79999999999995</v>
      </c>
      <c r="W50" s="23">
        <v>690.1</v>
      </c>
      <c r="X50" s="23">
        <v>656.2</v>
      </c>
      <c r="Y50" s="23">
        <v>712.4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613.79999999999995</v>
      </c>
      <c r="E51" s="23">
        <v>614.40000000000009</v>
      </c>
      <c r="F51" s="23">
        <v>658.9</v>
      </c>
      <c r="G51" s="23">
        <v>643.4</v>
      </c>
      <c r="H51" s="23">
        <v>630.70000000000005</v>
      </c>
      <c r="I51" s="23">
        <v>628.29999999999995</v>
      </c>
      <c r="J51" s="23">
        <v>671.6</v>
      </c>
      <c r="K51" s="23">
        <v>754.1</v>
      </c>
      <c r="L51" s="23">
        <v>786.6</v>
      </c>
      <c r="M51" s="23">
        <v>725.4</v>
      </c>
      <c r="N51" s="23">
        <v>712</v>
      </c>
      <c r="O51" s="23">
        <v>653.6</v>
      </c>
      <c r="P51" s="23">
        <v>701.1</v>
      </c>
      <c r="Q51" s="23">
        <v>737.7</v>
      </c>
      <c r="R51" s="23">
        <v>826.1</v>
      </c>
      <c r="S51" s="23">
        <v>833.5</v>
      </c>
      <c r="T51" s="23">
        <v>857.4</v>
      </c>
      <c r="U51" s="23">
        <v>896.4</v>
      </c>
      <c r="V51" s="23">
        <v>924.1</v>
      </c>
      <c r="W51" s="23">
        <v>946.9</v>
      </c>
      <c r="X51" s="23">
        <v>920.7</v>
      </c>
      <c r="Y51" s="23">
        <v>994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1494.3</v>
      </c>
      <c r="E52" s="23">
        <v>1597.1</v>
      </c>
      <c r="F52" s="23">
        <v>1557.4</v>
      </c>
      <c r="G52" s="23">
        <v>1420.7</v>
      </c>
      <c r="H52" s="23">
        <v>1406.1</v>
      </c>
      <c r="I52" s="23">
        <v>1344.8</v>
      </c>
      <c r="J52" s="23">
        <v>1356.5</v>
      </c>
      <c r="K52" s="23">
        <v>1425.1</v>
      </c>
      <c r="L52" s="23">
        <v>1301.9000000000003</v>
      </c>
      <c r="M52" s="23">
        <v>1100.9999999999998</v>
      </c>
      <c r="N52" s="23">
        <v>1324.7</v>
      </c>
      <c r="O52" s="23">
        <v>1362.1</v>
      </c>
      <c r="P52" s="23">
        <v>1299</v>
      </c>
      <c r="Q52" s="23">
        <v>1334.9</v>
      </c>
      <c r="R52" s="23">
        <v>1386.3</v>
      </c>
      <c r="S52" s="23">
        <v>1458.7</v>
      </c>
      <c r="T52" s="23">
        <v>1512.4</v>
      </c>
      <c r="U52" s="23">
        <v>1692.6</v>
      </c>
      <c r="V52" s="23">
        <v>1985.4</v>
      </c>
      <c r="W52" s="23">
        <v>2074.6</v>
      </c>
      <c r="X52" s="23">
        <v>1859.8</v>
      </c>
      <c r="Y52" s="23">
        <v>2051.1999999999998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1352.2999999999936</v>
      </c>
      <c r="E53" s="23">
        <v>1481.2000000000021</v>
      </c>
      <c r="F53" s="23">
        <v>1536.9999999999825</v>
      </c>
      <c r="G53" s="23">
        <v>1518.6999999999848</v>
      </c>
      <c r="H53" s="23">
        <v>1521.3999999999933</v>
      </c>
      <c r="I53" s="23">
        <v>1442.1000000000195</v>
      </c>
      <c r="J53" s="23">
        <v>1433.799999999987</v>
      </c>
      <c r="K53" s="23">
        <v>1520.4000000000021</v>
      </c>
      <c r="L53" s="23">
        <v>1618.7000000000162</v>
      </c>
      <c r="M53" s="23">
        <v>1678.299999999972</v>
      </c>
      <c r="N53" s="23">
        <v>1687.6999999999812</v>
      </c>
      <c r="O53" s="23">
        <v>1659.2000000000012</v>
      </c>
      <c r="P53" s="23">
        <v>1595.8999999999921</v>
      </c>
      <c r="Q53" s="23">
        <v>1582.4999999999764</v>
      </c>
      <c r="R53" s="23">
        <v>1642.1</v>
      </c>
      <c r="S53" s="23">
        <v>1724.8999999999796</v>
      </c>
      <c r="T53" s="23">
        <v>1752.6999999999875</v>
      </c>
      <c r="U53" s="23">
        <v>1905.9000000000076</v>
      </c>
      <c r="V53" s="23">
        <v>2093.1999999999957</v>
      </c>
      <c r="W53" s="23">
        <v>2235.8000000000015</v>
      </c>
      <c r="X53" s="23">
        <v>2154.4000000000237</v>
      </c>
      <c r="Y53" s="23">
        <v>2396.6000000000272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19325.499999999993</v>
      </c>
      <c r="E54" s="30">
        <f t="shared" ref="E54:S54" si="4">SUM(E41:E53)</f>
        <v>19929</v>
      </c>
      <c r="F54" s="30">
        <f t="shared" si="4"/>
        <v>20235.199999999986</v>
      </c>
      <c r="G54" s="30">
        <f t="shared" si="4"/>
        <v>19684.799999999992</v>
      </c>
      <c r="H54" s="30">
        <f t="shared" si="4"/>
        <v>19872.499999999993</v>
      </c>
      <c r="I54" s="30">
        <f t="shared" si="4"/>
        <v>19924.700000000019</v>
      </c>
      <c r="J54" s="30">
        <f t="shared" si="4"/>
        <v>20521.899999999991</v>
      </c>
      <c r="K54" s="30">
        <f t="shared" si="4"/>
        <v>21485.599999999999</v>
      </c>
      <c r="L54" s="30">
        <f t="shared" si="4"/>
        <v>21316.200000000015</v>
      </c>
      <c r="M54" s="30">
        <f t="shared" si="4"/>
        <v>19529.499999999971</v>
      </c>
      <c r="N54" s="30">
        <f t="shared" si="4"/>
        <v>20837.099999999984</v>
      </c>
      <c r="O54" s="30">
        <f t="shared" si="4"/>
        <v>19974.7</v>
      </c>
      <c r="P54" s="30">
        <f t="shared" si="4"/>
        <v>19175.599999999991</v>
      </c>
      <c r="Q54" s="30">
        <f t="shared" si="4"/>
        <v>19684.199999999983</v>
      </c>
      <c r="R54" s="30">
        <f t="shared" si="4"/>
        <v>20405.599999999995</v>
      </c>
      <c r="S54" s="30">
        <f t="shared" si="4"/>
        <v>21814.799999999977</v>
      </c>
      <c r="T54" s="30">
        <f t="shared" ref="T54:Y54" si="5">SUM(T41:T53)</f>
        <v>22664.899999999991</v>
      </c>
      <c r="U54" s="30">
        <f t="shared" si="5"/>
        <v>24185.000000000011</v>
      </c>
      <c r="V54" s="30">
        <f t="shared" si="5"/>
        <v>25160.6</v>
      </c>
      <c r="W54" s="30">
        <f t="shared" si="5"/>
        <v>25500.500000000004</v>
      </c>
      <c r="X54" s="30">
        <f t="shared" si="5"/>
        <v>24098.60000000002</v>
      </c>
      <c r="Y54" s="30">
        <f t="shared" si="5"/>
        <v>26715.500000000029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2466.4</v>
      </c>
      <c r="E56" s="19">
        <v>2708.9</v>
      </c>
      <c r="F56" s="19">
        <v>2916</v>
      </c>
      <c r="G56" s="19">
        <v>3010.4</v>
      </c>
      <c r="H56" s="19">
        <v>3093.4</v>
      </c>
      <c r="I56" s="19">
        <v>3182.4</v>
      </c>
      <c r="J56" s="19">
        <v>3239.1</v>
      </c>
      <c r="K56" s="19">
        <v>3221.4</v>
      </c>
      <c r="L56" s="19">
        <v>3358.9</v>
      </c>
      <c r="M56" s="19">
        <v>3543.3</v>
      </c>
      <c r="N56" s="19">
        <v>3567.8</v>
      </c>
      <c r="O56" s="19">
        <v>3418.1</v>
      </c>
      <c r="P56" s="19">
        <v>3354.5</v>
      </c>
      <c r="Q56" s="19">
        <v>3509.5</v>
      </c>
      <c r="R56" s="19">
        <v>3743.7</v>
      </c>
      <c r="S56" s="19">
        <v>3854.2</v>
      </c>
      <c r="T56" s="19">
        <v>4083.1</v>
      </c>
      <c r="U56" s="19">
        <v>4138.3999999999996</v>
      </c>
      <c r="V56" s="19">
        <v>4262.8</v>
      </c>
      <c r="W56" s="19">
        <v>4310</v>
      </c>
      <c r="X56" s="19">
        <v>4168.5</v>
      </c>
      <c r="Y56" s="19">
        <v>4249.2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3812.2</v>
      </c>
      <c r="E57" s="23">
        <v>3873.2</v>
      </c>
      <c r="F57" s="23">
        <v>3987.2</v>
      </c>
      <c r="G57" s="23">
        <v>3863.4</v>
      </c>
      <c r="H57" s="23">
        <v>3685.1</v>
      </c>
      <c r="I57" s="23">
        <v>3414.6</v>
      </c>
      <c r="J57" s="23">
        <v>3445</v>
      </c>
      <c r="K57" s="23">
        <v>3585.2</v>
      </c>
      <c r="L57" s="23">
        <v>3489</v>
      </c>
      <c r="M57" s="23">
        <v>3317.9</v>
      </c>
      <c r="N57" s="23">
        <v>3363.4</v>
      </c>
      <c r="O57" s="23">
        <v>3384.3</v>
      </c>
      <c r="P57" s="23">
        <v>3374.5</v>
      </c>
      <c r="Q57" s="23">
        <v>3563.5</v>
      </c>
      <c r="R57" s="23">
        <v>3765.1</v>
      </c>
      <c r="S57" s="23">
        <v>3940</v>
      </c>
      <c r="T57" s="23">
        <v>4107.8</v>
      </c>
      <c r="U57" s="23">
        <v>4185.8</v>
      </c>
      <c r="V57" s="23">
        <v>4265.8999999999996</v>
      </c>
      <c r="W57" s="23">
        <v>4134.6000000000004</v>
      </c>
      <c r="X57" s="23">
        <v>3907.7</v>
      </c>
      <c r="Y57" s="23">
        <v>4238.3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981.6</v>
      </c>
      <c r="E58" s="23">
        <v>947.19999999999982</v>
      </c>
      <c r="F58" s="23">
        <v>928.9</v>
      </c>
      <c r="G58" s="23">
        <v>886.9</v>
      </c>
      <c r="H58" s="23">
        <v>859.6</v>
      </c>
      <c r="I58" s="23">
        <v>906</v>
      </c>
      <c r="J58" s="23">
        <v>977.70000000000016</v>
      </c>
      <c r="K58" s="23">
        <v>1019.1000000000001</v>
      </c>
      <c r="L58" s="23">
        <v>921.6</v>
      </c>
      <c r="M58" s="23">
        <v>807.5</v>
      </c>
      <c r="N58" s="23">
        <v>941.3</v>
      </c>
      <c r="O58" s="23">
        <v>911.6</v>
      </c>
      <c r="P58" s="23">
        <v>871.4</v>
      </c>
      <c r="Q58" s="23">
        <v>881.6</v>
      </c>
      <c r="R58" s="23">
        <v>907</v>
      </c>
      <c r="S58" s="23">
        <v>951.7</v>
      </c>
      <c r="T58" s="23">
        <v>969.5</v>
      </c>
      <c r="U58" s="23">
        <v>997.2</v>
      </c>
      <c r="V58" s="23">
        <v>1048.5999999999999</v>
      </c>
      <c r="W58" s="23">
        <v>1094.0999999999999</v>
      </c>
      <c r="X58" s="23">
        <v>1097.8</v>
      </c>
      <c r="Y58" s="23">
        <v>1167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1022.7</v>
      </c>
      <c r="E59" s="23">
        <v>980.29999999999984</v>
      </c>
      <c r="F59" s="23">
        <v>964</v>
      </c>
      <c r="G59" s="23">
        <v>908.9</v>
      </c>
      <c r="H59" s="23">
        <v>872.6</v>
      </c>
      <c r="I59" s="23">
        <v>929.80000000000018</v>
      </c>
      <c r="J59" s="23">
        <v>1013</v>
      </c>
      <c r="K59" s="23">
        <v>1053.2</v>
      </c>
      <c r="L59" s="23">
        <v>935.6</v>
      </c>
      <c r="M59" s="23">
        <v>828.2</v>
      </c>
      <c r="N59" s="23">
        <v>983.5</v>
      </c>
      <c r="O59" s="23">
        <v>890.6</v>
      </c>
      <c r="P59" s="23">
        <v>811.3</v>
      </c>
      <c r="Q59" s="23">
        <v>821</v>
      </c>
      <c r="R59" s="23">
        <v>751.8</v>
      </c>
      <c r="S59" s="23">
        <v>896.6</v>
      </c>
      <c r="T59" s="23">
        <v>873.7</v>
      </c>
      <c r="U59" s="23">
        <v>881</v>
      </c>
      <c r="V59" s="23">
        <v>1117.8000000000002</v>
      </c>
      <c r="W59" s="23">
        <v>1060.5</v>
      </c>
      <c r="X59" s="23">
        <v>887.3</v>
      </c>
      <c r="Y59" s="23">
        <v>1106.3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549.99999999999989</v>
      </c>
      <c r="E60" s="23">
        <v>535.19999999999982</v>
      </c>
      <c r="F60" s="23">
        <v>523.00000000000023</v>
      </c>
      <c r="G60" s="23">
        <v>507.29999999999995</v>
      </c>
      <c r="H60" s="23">
        <v>497.4</v>
      </c>
      <c r="I60" s="23">
        <v>517.19999999999993</v>
      </c>
      <c r="J60" s="23">
        <v>551.6</v>
      </c>
      <c r="K60" s="23">
        <v>576.89999999999975</v>
      </c>
      <c r="L60" s="23">
        <v>533.29999999999984</v>
      </c>
      <c r="M60" s="23">
        <v>461.49999999999966</v>
      </c>
      <c r="N60" s="23">
        <v>532.79999999999984</v>
      </c>
      <c r="O60" s="23">
        <v>470.79999999999984</v>
      </c>
      <c r="P60" s="23">
        <v>419.20000000000022</v>
      </c>
      <c r="Q60" s="23">
        <v>404.50000000000006</v>
      </c>
      <c r="R60" s="23">
        <v>416.39999999999981</v>
      </c>
      <c r="S60" s="23">
        <v>424.79999999999984</v>
      </c>
      <c r="T60" s="23">
        <v>410.89999999999992</v>
      </c>
      <c r="U60" s="23">
        <v>443.90000000000015</v>
      </c>
      <c r="V60" s="23">
        <v>434.00000000000017</v>
      </c>
      <c r="W60" s="23">
        <v>431.00000000000017</v>
      </c>
      <c r="X60" s="23">
        <v>370.50000000000006</v>
      </c>
      <c r="Y60" s="23">
        <v>384.80000000000013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206.3</v>
      </c>
      <c r="E61" s="23">
        <v>202.1</v>
      </c>
      <c r="F61" s="23">
        <v>158.1</v>
      </c>
      <c r="G61" s="23">
        <v>182.8</v>
      </c>
      <c r="H61" s="23">
        <v>315</v>
      </c>
      <c r="I61" s="23">
        <v>545.9</v>
      </c>
      <c r="J61" s="23">
        <v>624.70000000000016</v>
      </c>
      <c r="K61" s="23">
        <v>545</v>
      </c>
      <c r="L61" s="23">
        <v>652.5</v>
      </c>
      <c r="M61" s="23">
        <v>158.19999999999999</v>
      </c>
      <c r="N61" s="23">
        <v>430.8</v>
      </c>
      <c r="O61" s="23">
        <v>309.8</v>
      </c>
      <c r="P61" s="23">
        <v>255.49999999999997</v>
      </c>
      <c r="Q61" s="23">
        <v>211.2</v>
      </c>
      <c r="R61" s="23">
        <v>188</v>
      </c>
      <c r="S61" s="23">
        <v>589.29999999999995</v>
      </c>
      <c r="T61" s="23">
        <v>415.1</v>
      </c>
      <c r="U61" s="23">
        <v>823.7</v>
      </c>
      <c r="V61" s="23">
        <v>554.6</v>
      </c>
      <c r="W61" s="23">
        <v>430.5</v>
      </c>
      <c r="X61" s="23">
        <v>-72.2</v>
      </c>
      <c r="Y61" s="23">
        <v>154.00000000000003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691.2</v>
      </c>
      <c r="E62" s="23">
        <v>695.8</v>
      </c>
      <c r="F62" s="23">
        <v>706.9</v>
      </c>
      <c r="G62" s="23">
        <v>718.2</v>
      </c>
      <c r="H62" s="23">
        <v>771.1</v>
      </c>
      <c r="I62" s="23">
        <v>771.1</v>
      </c>
      <c r="J62" s="23">
        <v>760</v>
      </c>
      <c r="K62" s="23">
        <v>851.6</v>
      </c>
      <c r="L62" s="23">
        <v>739.7</v>
      </c>
      <c r="M62" s="23">
        <v>681.8</v>
      </c>
      <c r="N62" s="23">
        <v>805.6</v>
      </c>
      <c r="O62" s="23">
        <v>814</v>
      </c>
      <c r="P62" s="23">
        <v>671.5</v>
      </c>
      <c r="Q62" s="23">
        <v>708.7</v>
      </c>
      <c r="R62" s="23">
        <v>704.4</v>
      </c>
      <c r="S62" s="23">
        <v>878.7</v>
      </c>
      <c r="T62" s="23">
        <v>952.5</v>
      </c>
      <c r="U62" s="23">
        <v>940.4</v>
      </c>
      <c r="V62" s="23">
        <v>824.6</v>
      </c>
      <c r="W62" s="23">
        <v>863.9</v>
      </c>
      <c r="X62" s="23">
        <v>920.9</v>
      </c>
      <c r="Y62" s="23">
        <v>1145.9000000000003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339.1</v>
      </c>
      <c r="E63" s="23">
        <v>356.1</v>
      </c>
      <c r="F63" s="23">
        <v>386.7</v>
      </c>
      <c r="G63" s="23">
        <v>364.2</v>
      </c>
      <c r="H63" s="23">
        <v>372.5</v>
      </c>
      <c r="I63" s="23">
        <v>387.8</v>
      </c>
      <c r="J63" s="23">
        <v>366.6</v>
      </c>
      <c r="K63" s="23">
        <v>437.3</v>
      </c>
      <c r="L63" s="23">
        <v>440.1</v>
      </c>
      <c r="M63" s="23">
        <v>468</v>
      </c>
      <c r="N63" s="23">
        <v>427.9</v>
      </c>
      <c r="O63" s="23">
        <v>428.5</v>
      </c>
      <c r="P63" s="23">
        <v>449.1</v>
      </c>
      <c r="Q63" s="23">
        <v>487.1</v>
      </c>
      <c r="R63" s="23">
        <v>454.1</v>
      </c>
      <c r="S63" s="23">
        <v>505.2</v>
      </c>
      <c r="T63" s="23">
        <v>521.20000000000005</v>
      </c>
      <c r="U63" s="23">
        <v>591.29999999999995</v>
      </c>
      <c r="V63" s="23">
        <v>604.79999999999984</v>
      </c>
      <c r="W63" s="23">
        <v>620.79999999999995</v>
      </c>
      <c r="X63" s="23">
        <v>744</v>
      </c>
      <c r="Y63" s="23">
        <v>762.2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942.10000000000014</v>
      </c>
      <c r="E64" s="23">
        <v>962.1</v>
      </c>
      <c r="F64" s="23">
        <v>976.8</v>
      </c>
      <c r="G64" s="23">
        <v>922.7</v>
      </c>
      <c r="H64" s="23">
        <v>930.8</v>
      </c>
      <c r="I64" s="23">
        <v>912.8</v>
      </c>
      <c r="J64" s="23">
        <v>918.6</v>
      </c>
      <c r="K64" s="23">
        <v>970</v>
      </c>
      <c r="L64" s="23">
        <v>945.4</v>
      </c>
      <c r="M64" s="23">
        <v>922.5</v>
      </c>
      <c r="N64" s="23">
        <v>896.9</v>
      </c>
      <c r="O64" s="23">
        <v>953.8</v>
      </c>
      <c r="P64" s="23">
        <v>980.39999999999986</v>
      </c>
      <c r="Q64" s="23">
        <v>1025.8</v>
      </c>
      <c r="R64" s="23">
        <v>1071.5999999999997</v>
      </c>
      <c r="S64" s="23">
        <v>1186.9000000000001</v>
      </c>
      <c r="T64" s="23">
        <v>1231.5999999999999</v>
      </c>
      <c r="U64" s="23">
        <v>1251.1999999999998</v>
      </c>
      <c r="V64" s="23">
        <v>1291.7</v>
      </c>
      <c r="W64" s="23">
        <v>1375.2</v>
      </c>
      <c r="X64" s="23">
        <v>1388.7</v>
      </c>
      <c r="Y64" s="23">
        <v>1489.4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1568.7</v>
      </c>
      <c r="E65" s="23">
        <v>1605</v>
      </c>
      <c r="F65" s="23">
        <v>1628.8</v>
      </c>
      <c r="G65" s="23">
        <v>1546.6000000000004</v>
      </c>
      <c r="H65" s="23">
        <v>1567.1</v>
      </c>
      <c r="I65" s="23">
        <v>1548.2</v>
      </c>
      <c r="J65" s="23">
        <v>1563.5</v>
      </c>
      <c r="K65" s="23">
        <v>1654.1</v>
      </c>
      <c r="L65" s="23">
        <v>1621.5</v>
      </c>
      <c r="M65" s="23">
        <v>1554.3000000000002</v>
      </c>
      <c r="N65" s="23">
        <v>1584.1</v>
      </c>
      <c r="O65" s="23">
        <v>1424.3000000000002</v>
      </c>
      <c r="P65" s="23">
        <v>1279.3</v>
      </c>
      <c r="Q65" s="23">
        <v>1231.7999999999997</v>
      </c>
      <c r="R65" s="23">
        <v>1220.0999999999997</v>
      </c>
      <c r="S65" s="23">
        <v>1262.5</v>
      </c>
      <c r="T65" s="23">
        <v>1329.0000000000002</v>
      </c>
      <c r="U65" s="23">
        <v>1448.3000000000002</v>
      </c>
      <c r="V65" s="23">
        <v>1537.0999999999997</v>
      </c>
      <c r="W65" s="23">
        <v>1653.1</v>
      </c>
      <c r="X65" s="23">
        <v>1704.5000000000002</v>
      </c>
      <c r="Y65" s="23">
        <v>1850.7000000000003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302.89999999999998</v>
      </c>
      <c r="E66" s="23">
        <v>305.39999999999998</v>
      </c>
      <c r="F66" s="23">
        <v>323.39999999999998</v>
      </c>
      <c r="G66" s="23">
        <v>296.00000000000006</v>
      </c>
      <c r="H66" s="23">
        <v>305.2</v>
      </c>
      <c r="I66" s="23">
        <v>298</v>
      </c>
      <c r="J66" s="23">
        <v>325.7</v>
      </c>
      <c r="K66" s="23">
        <v>330.5</v>
      </c>
      <c r="L66" s="23">
        <v>362.5</v>
      </c>
      <c r="M66" s="23">
        <v>337.3</v>
      </c>
      <c r="N66" s="23">
        <v>349.1</v>
      </c>
      <c r="O66" s="23">
        <v>366.2</v>
      </c>
      <c r="P66" s="23">
        <v>321.89999999999998</v>
      </c>
      <c r="Q66" s="23">
        <v>337.8</v>
      </c>
      <c r="R66" s="23">
        <v>362.5</v>
      </c>
      <c r="S66" s="23">
        <v>302.5</v>
      </c>
      <c r="T66" s="23">
        <v>393</v>
      </c>
      <c r="U66" s="23">
        <v>473.7</v>
      </c>
      <c r="V66" s="23">
        <v>498.5</v>
      </c>
      <c r="W66" s="23">
        <v>466.6</v>
      </c>
      <c r="X66" s="23">
        <v>436.2</v>
      </c>
      <c r="Y66" s="23">
        <v>751.7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1578.8</v>
      </c>
      <c r="E67" s="23">
        <v>1608.6</v>
      </c>
      <c r="F67" s="23">
        <v>1658.2</v>
      </c>
      <c r="G67" s="23">
        <v>1627.2</v>
      </c>
      <c r="H67" s="23">
        <v>1770.2</v>
      </c>
      <c r="I67" s="23">
        <v>1783.9999999999998</v>
      </c>
      <c r="J67" s="23">
        <v>1947.4</v>
      </c>
      <c r="K67" s="23">
        <v>2121.5</v>
      </c>
      <c r="L67" s="23">
        <v>2249.8000000000002</v>
      </c>
      <c r="M67" s="23">
        <v>1866.2</v>
      </c>
      <c r="N67" s="23">
        <v>1985.3</v>
      </c>
      <c r="O67" s="23">
        <v>1870.1000000000004</v>
      </c>
      <c r="P67" s="23">
        <v>1835.6</v>
      </c>
      <c r="Q67" s="23">
        <v>1860.7</v>
      </c>
      <c r="R67" s="23">
        <v>1981.3000000000002</v>
      </c>
      <c r="S67" s="23">
        <v>1995.1999999999998</v>
      </c>
      <c r="T67" s="23">
        <v>2189.5</v>
      </c>
      <c r="U67" s="23">
        <v>2364.4999999999995</v>
      </c>
      <c r="V67" s="23">
        <v>2520.1999999999998</v>
      </c>
      <c r="W67" s="23">
        <v>2619.4</v>
      </c>
      <c r="X67" s="23">
        <v>2516.8000000000002</v>
      </c>
      <c r="Y67" s="23">
        <v>2796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706.8</v>
      </c>
      <c r="E68" s="23">
        <v>738.6</v>
      </c>
      <c r="F68" s="23">
        <v>632.79999999999995</v>
      </c>
      <c r="G68" s="23">
        <v>633.20000000000005</v>
      </c>
      <c r="H68" s="23">
        <v>662.3</v>
      </c>
      <c r="I68" s="23">
        <v>703.3</v>
      </c>
      <c r="J68" s="23">
        <v>716.3</v>
      </c>
      <c r="K68" s="23">
        <v>786.5</v>
      </c>
      <c r="L68" s="23">
        <v>696.3</v>
      </c>
      <c r="M68" s="23">
        <v>448.5</v>
      </c>
      <c r="N68" s="23">
        <v>575.90000000000009</v>
      </c>
      <c r="O68" s="23">
        <v>452</v>
      </c>
      <c r="P68" s="23">
        <v>398.9</v>
      </c>
      <c r="Q68" s="23">
        <v>406.5</v>
      </c>
      <c r="R68" s="23">
        <v>404.3</v>
      </c>
      <c r="S68" s="23">
        <v>418.5</v>
      </c>
      <c r="T68" s="23">
        <v>465.5</v>
      </c>
      <c r="U68" s="23">
        <v>503.9</v>
      </c>
      <c r="V68" s="23">
        <v>549.49999999999989</v>
      </c>
      <c r="W68" s="23">
        <v>493.4</v>
      </c>
      <c r="X68" s="23">
        <v>436.8</v>
      </c>
      <c r="Y68" s="23">
        <v>465.8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696.3</v>
      </c>
      <c r="E69" s="23">
        <v>717.8</v>
      </c>
      <c r="F69" s="23">
        <v>691.1</v>
      </c>
      <c r="G69" s="23">
        <v>634.20000000000005</v>
      </c>
      <c r="H69" s="23">
        <v>612</v>
      </c>
      <c r="I69" s="23">
        <v>608.4</v>
      </c>
      <c r="J69" s="23">
        <v>610.79999999999995</v>
      </c>
      <c r="K69" s="23">
        <v>633.70000000000005</v>
      </c>
      <c r="L69" s="23">
        <v>662.8</v>
      </c>
      <c r="M69" s="23">
        <v>629.59999999999991</v>
      </c>
      <c r="N69" s="23">
        <v>668.3</v>
      </c>
      <c r="O69" s="23">
        <v>605.70000000000005</v>
      </c>
      <c r="P69" s="23">
        <v>556.5</v>
      </c>
      <c r="Q69" s="23">
        <v>579.4</v>
      </c>
      <c r="R69" s="23">
        <v>580.79999999999995</v>
      </c>
      <c r="S69" s="23">
        <v>591.6</v>
      </c>
      <c r="T69" s="23">
        <v>600</v>
      </c>
      <c r="U69" s="23">
        <v>646.79999999999995</v>
      </c>
      <c r="V69" s="23">
        <v>647.79999999999995</v>
      </c>
      <c r="W69" s="23">
        <v>690.1</v>
      </c>
      <c r="X69" s="23">
        <v>656.2</v>
      </c>
      <c r="Y69" s="23">
        <v>712.4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613.79999999999995</v>
      </c>
      <c r="E70" s="23">
        <v>614.40000000000009</v>
      </c>
      <c r="F70" s="23">
        <v>658.9</v>
      </c>
      <c r="G70" s="23">
        <v>643.4</v>
      </c>
      <c r="H70" s="23">
        <v>630.70000000000005</v>
      </c>
      <c r="I70" s="23">
        <v>628.29999999999995</v>
      </c>
      <c r="J70" s="23">
        <v>671.6</v>
      </c>
      <c r="K70" s="23">
        <v>754.1</v>
      </c>
      <c r="L70" s="23">
        <v>786.6</v>
      </c>
      <c r="M70" s="23">
        <v>725.4</v>
      </c>
      <c r="N70" s="23">
        <v>712</v>
      </c>
      <c r="O70" s="23">
        <v>653.6</v>
      </c>
      <c r="P70" s="23">
        <v>701.1</v>
      </c>
      <c r="Q70" s="23">
        <v>737.7</v>
      </c>
      <c r="R70" s="23">
        <v>826.1</v>
      </c>
      <c r="S70" s="23">
        <v>833.5</v>
      </c>
      <c r="T70" s="23">
        <v>857.4</v>
      </c>
      <c r="U70" s="23">
        <v>896.4</v>
      </c>
      <c r="V70" s="23">
        <v>924.1</v>
      </c>
      <c r="W70" s="23">
        <v>946.9</v>
      </c>
      <c r="X70" s="23">
        <v>920.7</v>
      </c>
      <c r="Y70" s="23">
        <v>994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1377.6</v>
      </c>
      <c r="E71" s="23">
        <v>1475.2</v>
      </c>
      <c r="F71" s="23">
        <v>1437.2</v>
      </c>
      <c r="G71" s="23">
        <v>1308.6999999999998</v>
      </c>
      <c r="H71" s="23">
        <v>1296.5</v>
      </c>
      <c r="I71" s="23">
        <v>1240.0999999999997</v>
      </c>
      <c r="J71" s="23">
        <v>1248.0000000000002</v>
      </c>
      <c r="K71" s="23">
        <v>1313</v>
      </c>
      <c r="L71" s="23">
        <v>1197.8</v>
      </c>
      <c r="M71" s="23">
        <v>1015.7000000000002</v>
      </c>
      <c r="N71" s="23">
        <v>1222.5999999999999</v>
      </c>
      <c r="O71" s="23">
        <v>1260.5</v>
      </c>
      <c r="P71" s="23">
        <v>1205.9000000000001</v>
      </c>
      <c r="Q71" s="23">
        <v>1202.1999999999998</v>
      </c>
      <c r="R71" s="23">
        <v>1290.4000000000001</v>
      </c>
      <c r="S71" s="23">
        <v>1341.4</v>
      </c>
      <c r="T71" s="23">
        <v>1355.4</v>
      </c>
      <c r="U71" s="23">
        <v>1507</v>
      </c>
      <c r="V71" s="23">
        <v>1782.7</v>
      </c>
      <c r="W71" s="23">
        <v>1860.7</v>
      </c>
      <c r="X71" s="23">
        <v>1643.8</v>
      </c>
      <c r="Y71" s="23">
        <v>1782.4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116.69999999999995</v>
      </c>
      <c r="E72" s="23">
        <v>121.89999999999991</v>
      </c>
      <c r="F72" s="23">
        <v>120.19999999999996</v>
      </c>
      <c r="G72" s="23">
        <v>112.00000000000018</v>
      </c>
      <c r="H72" s="23">
        <v>109.59999999999998</v>
      </c>
      <c r="I72" s="23">
        <v>104.70000000000026</v>
      </c>
      <c r="J72" s="23">
        <v>108.50000000000001</v>
      </c>
      <c r="K72" s="23">
        <v>112.10000000000005</v>
      </c>
      <c r="L72" s="23">
        <v>104.10000000000036</v>
      </c>
      <c r="M72" s="23">
        <v>85.299999999999841</v>
      </c>
      <c r="N72" s="23">
        <v>102.10000000000018</v>
      </c>
      <c r="O72" s="23">
        <v>101.59999999999992</v>
      </c>
      <c r="P72" s="23">
        <v>93.09999999999998</v>
      </c>
      <c r="Q72" s="23">
        <v>132.70000000000007</v>
      </c>
      <c r="R72" s="23">
        <v>95.899999999999906</v>
      </c>
      <c r="S72" s="23">
        <v>117.29999999999997</v>
      </c>
      <c r="T72" s="23">
        <v>156.99999999999986</v>
      </c>
      <c r="U72" s="23">
        <v>185.6</v>
      </c>
      <c r="V72" s="23">
        <v>202.69999999999993</v>
      </c>
      <c r="W72" s="23">
        <v>213.90000000000006</v>
      </c>
      <c r="X72" s="23">
        <v>216.00000000000009</v>
      </c>
      <c r="Y72" s="23">
        <v>268.79999999999973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791.4</v>
      </c>
      <c r="E73" s="23">
        <v>864.3</v>
      </c>
      <c r="F73" s="23">
        <v>895.6</v>
      </c>
      <c r="G73" s="23">
        <v>885.9</v>
      </c>
      <c r="H73" s="23">
        <v>888.3</v>
      </c>
      <c r="I73" s="23">
        <v>844.5</v>
      </c>
      <c r="J73" s="23">
        <v>841.1</v>
      </c>
      <c r="K73" s="23">
        <v>892.3</v>
      </c>
      <c r="L73" s="23">
        <v>950.3</v>
      </c>
      <c r="M73" s="23">
        <v>981.5</v>
      </c>
      <c r="N73" s="23">
        <v>988.4</v>
      </c>
      <c r="O73" s="23">
        <v>953</v>
      </c>
      <c r="P73" s="23">
        <v>901.6</v>
      </c>
      <c r="Q73" s="23">
        <v>922.4</v>
      </c>
      <c r="R73" s="23">
        <v>966.4</v>
      </c>
      <c r="S73" s="23">
        <v>1022.7</v>
      </c>
      <c r="T73" s="23">
        <v>1038.8</v>
      </c>
      <c r="U73" s="23">
        <v>1141.3</v>
      </c>
      <c r="V73" s="23">
        <v>1232.4000000000001</v>
      </c>
      <c r="W73" s="23">
        <v>1302.8</v>
      </c>
      <c r="X73" s="23">
        <v>1246.9000000000001</v>
      </c>
      <c r="Y73" s="23">
        <v>1395.4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560.89999999999372</v>
      </c>
      <c r="E74" s="23">
        <v>616.90000000000191</v>
      </c>
      <c r="F74" s="23">
        <v>641.39999999998247</v>
      </c>
      <c r="G74" s="23">
        <v>632.79999999998483</v>
      </c>
      <c r="H74" s="23">
        <v>633.09999999999332</v>
      </c>
      <c r="I74" s="23">
        <v>597.60000000001946</v>
      </c>
      <c r="J74" s="23">
        <v>592.69999999998709</v>
      </c>
      <c r="K74" s="23">
        <v>628.10000000000207</v>
      </c>
      <c r="L74" s="23">
        <v>668.40000000001612</v>
      </c>
      <c r="M74" s="23">
        <v>696.7999999999721</v>
      </c>
      <c r="N74" s="23">
        <v>699.2999999999812</v>
      </c>
      <c r="O74" s="23">
        <v>706.2000000000013</v>
      </c>
      <c r="P74" s="23">
        <v>694.299999999992</v>
      </c>
      <c r="Q74" s="23">
        <v>660.09999999997626</v>
      </c>
      <c r="R74" s="23">
        <v>675.7</v>
      </c>
      <c r="S74" s="23">
        <v>702.19999999997958</v>
      </c>
      <c r="T74" s="23">
        <v>713.89999999998747</v>
      </c>
      <c r="U74" s="23">
        <v>764.60000000000753</v>
      </c>
      <c r="V74" s="23">
        <v>860.79999999999563</v>
      </c>
      <c r="W74" s="23">
        <v>933.00000000000193</v>
      </c>
      <c r="X74" s="23">
        <v>907.50000000002331</v>
      </c>
      <c r="Y74" s="23">
        <v>1001.2000000000269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19325.499999999996</v>
      </c>
      <c r="E75" s="30">
        <f t="shared" ref="E75:S75" si="6">SUM(E56:E74)</f>
        <v>19929.000000000004</v>
      </c>
      <c r="F75" s="30">
        <f t="shared" si="6"/>
        <v>20235.199999999983</v>
      </c>
      <c r="G75" s="30">
        <f t="shared" si="6"/>
        <v>19684.799999999992</v>
      </c>
      <c r="H75" s="30">
        <f t="shared" si="6"/>
        <v>19872.499999999993</v>
      </c>
      <c r="I75" s="30">
        <f t="shared" si="6"/>
        <v>19924.700000000019</v>
      </c>
      <c r="J75" s="30">
        <f t="shared" si="6"/>
        <v>20521.899999999983</v>
      </c>
      <c r="K75" s="30">
        <f t="shared" si="6"/>
        <v>21485.600000000002</v>
      </c>
      <c r="L75" s="30">
        <f t="shared" si="6"/>
        <v>21316.200000000015</v>
      </c>
      <c r="M75" s="30">
        <f t="shared" si="6"/>
        <v>19529.499999999975</v>
      </c>
      <c r="N75" s="30">
        <f t="shared" si="6"/>
        <v>20837.099999999977</v>
      </c>
      <c r="O75" s="30">
        <f t="shared" si="6"/>
        <v>19974.7</v>
      </c>
      <c r="P75" s="30">
        <f t="shared" si="6"/>
        <v>19175.599999999988</v>
      </c>
      <c r="Q75" s="30">
        <f t="shared" si="6"/>
        <v>19684.199999999979</v>
      </c>
      <c r="R75" s="30">
        <f t="shared" si="6"/>
        <v>20405.600000000002</v>
      </c>
      <c r="S75" s="30">
        <f t="shared" si="6"/>
        <v>21814.799999999977</v>
      </c>
      <c r="T75" s="30">
        <f t="shared" ref="T75:Y75" si="7">SUM(T56:T74)</f>
        <v>22664.899999999991</v>
      </c>
      <c r="U75" s="30">
        <f t="shared" si="7"/>
        <v>24185.000000000007</v>
      </c>
      <c r="V75" s="30">
        <f t="shared" si="7"/>
        <v>25160.6</v>
      </c>
      <c r="W75" s="30">
        <f t="shared" si="7"/>
        <v>25500.500000000007</v>
      </c>
      <c r="X75" s="30">
        <f t="shared" si="7"/>
        <v>24098.600000000024</v>
      </c>
      <c r="Y75" s="30">
        <f t="shared" si="7"/>
        <v>26715.500000000029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174310.30270123522</v>
      </c>
      <c r="E2" s="19">
        <v>177697.36153282379</v>
      </c>
      <c r="F2" s="19">
        <v>179068.07019306862</v>
      </c>
      <c r="G2" s="19">
        <v>177402.5043419119</v>
      </c>
      <c r="H2" s="19">
        <v>180575.23750785762</v>
      </c>
      <c r="I2" s="19">
        <v>181987.19052374232</v>
      </c>
      <c r="J2" s="19">
        <v>184943.49151260318</v>
      </c>
      <c r="K2" s="19">
        <v>189580.61449375568</v>
      </c>
      <c r="L2" s="19">
        <v>190184.8725218481</v>
      </c>
      <c r="M2" s="19">
        <v>184247.37676851492</v>
      </c>
      <c r="N2" s="19">
        <v>187448.00091839823</v>
      </c>
      <c r="O2" s="19">
        <v>184268.50834510542</v>
      </c>
      <c r="P2" s="19">
        <v>176792.23480471456</v>
      </c>
      <c r="Q2" s="19">
        <v>175162.12217724536</v>
      </c>
      <c r="R2" s="19">
        <v>176549.3776780249</v>
      </c>
      <c r="S2" s="19">
        <v>179713.2</v>
      </c>
      <c r="T2" s="19">
        <v>183341.82093455372</v>
      </c>
      <c r="U2" s="19">
        <v>189770.18062079319</v>
      </c>
      <c r="V2" s="19">
        <v>195177.35691116459</v>
      </c>
      <c r="W2" s="19">
        <v>200413.77634014547</v>
      </c>
      <c r="X2" s="19">
        <v>183778.51506291874</v>
      </c>
      <c r="Y2" s="19">
        <v>194323.9013509381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111623.84490937508</v>
      </c>
      <c r="E3" s="23">
        <v>112617.19884848005</v>
      </c>
      <c r="F3" s="23">
        <v>114062.88280930993</v>
      </c>
      <c r="G3" s="23">
        <v>113699.10435993149</v>
      </c>
      <c r="H3" s="23">
        <v>116605.63380281691</v>
      </c>
      <c r="I3" s="23">
        <v>118444.19195139766</v>
      </c>
      <c r="J3" s="23">
        <v>120240.41207099265</v>
      </c>
      <c r="K3" s="23">
        <v>123257.80632304044</v>
      </c>
      <c r="L3" s="23">
        <v>124947.41833508956</v>
      </c>
      <c r="M3" s="23">
        <v>122058.88357599528</v>
      </c>
      <c r="N3" s="23">
        <v>124934.63604038954</v>
      </c>
      <c r="O3" s="23">
        <v>120361.84074027967</v>
      </c>
      <c r="P3" s="23">
        <v>113961.0568252448</v>
      </c>
      <c r="Q3" s="23">
        <v>112771.82375184518</v>
      </c>
      <c r="R3" s="23">
        <v>115457.54436228273</v>
      </c>
      <c r="S3" s="23">
        <v>117810.3</v>
      </c>
      <c r="T3" s="23">
        <v>120825.80798479087</v>
      </c>
      <c r="U3" s="23">
        <v>123364.36753594931</v>
      </c>
      <c r="V3" s="23">
        <v>126591.18180683682</v>
      </c>
      <c r="W3" s="23">
        <v>130721.45910081771</v>
      </c>
      <c r="X3" s="23">
        <v>121542.69060078161</v>
      </c>
      <c r="Y3" s="23">
        <v>127288.18748608325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148739.85459352279</v>
      </c>
      <c r="E4" s="27">
        <v>152058.37291251725</v>
      </c>
      <c r="F4" s="27">
        <v>153079.47223074562</v>
      </c>
      <c r="G4" s="27">
        <v>151817.03649999405</v>
      </c>
      <c r="H4" s="27">
        <v>154356.46548725915</v>
      </c>
      <c r="I4" s="27">
        <v>155121.4586318557</v>
      </c>
      <c r="J4" s="27">
        <v>157649.6749538786</v>
      </c>
      <c r="K4" s="27">
        <v>162120.17898998508</v>
      </c>
      <c r="L4" s="27">
        <v>163181.53318843004</v>
      </c>
      <c r="M4" s="27">
        <v>158946.36269811261</v>
      </c>
      <c r="N4" s="27">
        <v>161454.99887573841</v>
      </c>
      <c r="O4" s="27">
        <v>159829.31154272915</v>
      </c>
      <c r="P4" s="27">
        <v>154613.03366066268</v>
      </c>
      <c r="Q4" s="27">
        <v>153659.14452764386</v>
      </c>
      <c r="R4" s="27">
        <v>154138.41635050788</v>
      </c>
      <c r="S4" s="27">
        <v>156517.29999999999</v>
      </c>
      <c r="T4" s="27">
        <v>159089.90915786888</v>
      </c>
      <c r="U4" s="27">
        <v>164318.38434715229</v>
      </c>
      <c r="V4" s="27">
        <v>168757.98782807152</v>
      </c>
      <c r="W4" s="27">
        <v>173213.86560113524</v>
      </c>
      <c r="X4" s="27">
        <v>159730.93022830717</v>
      </c>
      <c r="Y4" s="27">
        <v>168475.46313391032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5278.783873099801</v>
      </c>
      <c r="E6" s="19">
        <v>5132.5264286808642</v>
      </c>
      <c r="F6" s="19">
        <v>4764.1607855170305</v>
      </c>
      <c r="G6" s="19">
        <v>4602.6124059569511</v>
      </c>
      <c r="H6" s="19">
        <v>4592.8493589000445</v>
      </c>
      <c r="I6" s="19">
        <v>4120.7929505477769</v>
      </c>
      <c r="J6" s="19">
        <v>4113.7002547658794</v>
      </c>
      <c r="K6" s="19">
        <v>3735.776688685276</v>
      </c>
      <c r="L6" s="19">
        <v>3675.3887309814413</v>
      </c>
      <c r="M6" s="19">
        <v>3496.4899193754404</v>
      </c>
      <c r="N6" s="19">
        <v>3555.937123116862</v>
      </c>
      <c r="O6" s="19">
        <v>3349.0610060871277</v>
      </c>
      <c r="P6" s="19">
        <v>3400.9347266712175</v>
      </c>
      <c r="Q6" s="19">
        <v>3664.5809826648888</v>
      </c>
      <c r="R6" s="19">
        <v>3664.1781911638718</v>
      </c>
      <c r="S6" s="19">
        <v>3773</v>
      </c>
      <c r="T6" s="19">
        <v>3783.4520009820772</v>
      </c>
      <c r="U6" s="19">
        <v>3977.9155366137156</v>
      </c>
      <c r="V6" s="19">
        <v>3973.5640928109556</v>
      </c>
      <c r="W6" s="19">
        <v>4179.9391302724198</v>
      </c>
      <c r="X6" s="19">
        <v>3984.1336574844167</v>
      </c>
      <c r="Y6" s="19">
        <v>4184.100795230418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30151.222736285519</v>
      </c>
      <c r="E7" s="23">
        <v>30073.668351973858</v>
      </c>
      <c r="F7" s="23">
        <v>29477.262964099398</v>
      </c>
      <c r="G7" s="23">
        <v>28402.605274730478</v>
      </c>
      <c r="H7" s="23">
        <v>28276.101926777803</v>
      </c>
      <c r="I7" s="23">
        <v>27490.719951258608</v>
      </c>
      <c r="J7" s="23">
        <v>27978.235087411042</v>
      </c>
      <c r="K7" s="23">
        <v>28584.594076283829</v>
      </c>
      <c r="L7" s="23">
        <v>27152.127570640383</v>
      </c>
      <c r="M7" s="23">
        <v>25612.756869437231</v>
      </c>
      <c r="N7" s="23">
        <v>27194.456368430721</v>
      </c>
      <c r="O7" s="23">
        <v>26548.484439973865</v>
      </c>
      <c r="P7" s="23">
        <v>26254.686761539662</v>
      </c>
      <c r="Q7" s="23">
        <v>26055.082572571526</v>
      </c>
      <c r="R7" s="23">
        <v>26998.735364908411</v>
      </c>
      <c r="S7" s="23">
        <v>28588.599999999977</v>
      </c>
      <c r="T7" s="23">
        <v>28992.192487110224</v>
      </c>
      <c r="U7" s="23">
        <v>29635.412630763283</v>
      </c>
      <c r="V7" s="23">
        <v>30558.577405857737</v>
      </c>
      <c r="W7" s="23">
        <v>30141.251377037552</v>
      </c>
      <c r="X7" s="23">
        <v>27970.186630595737</v>
      </c>
      <c r="Y7" s="23">
        <v>29678.755730071978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11371.844018506277</v>
      </c>
      <c r="E8" s="23">
        <v>11780.041877330064</v>
      </c>
      <c r="F8" s="23">
        <v>11634.734581159866</v>
      </c>
      <c r="G8" s="23">
        <v>10884.390933834102</v>
      </c>
      <c r="H8" s="23">
        <v>10972.895267685317</v>
      </c>
      <c r="I8" s="23">
        <v>10761.810201848111</v>
      </c>
      <c r="J8" s="23">
        <v>10632.192743564967</v>
      </c>
      <c r="K8" s="23">
        <v>10964.415086298744</v>
      </c>
      <c r="L8" s="23">
        <v>11002.340745694701</v>
      </c>
      <c r="M8" s="23">
        <v>9981.4021929062637</v>
      </c>
      <c r="N8" s="23">
        <v>9428.3640972179637</v>
      </c>
      <c r="O8" s="23">
        <v>8777.3894828533776</v>
      </c>
      <c r="P8" s="23">
        <v>7528.8557475187727</v>
      </c>
      <c r="Q8" s="23">
        <v>6941.3273156221157</v>
      </c>
      <c r="R8" s="23">
        <v>6423.1224248358012</v>
      </c>
      <c r="S8" s="23">
        <v>6391.4</v>
      </c>
      <c r="T8" s="23">
        <v>6406.4817088141417</v>
      </c>
      <c r="U8" s="23">
        <v>6648.8764044943828</v>
      </c>
      <c r="V8" s="23">
        <v>7097.565614302016</v>
      </c>
      <c r="W8" s="23">
        <v>7550.0868233844312</v>
      </c>
      <c r="X8" s="23">
        <v>7584.3127936095916</v>
      </c>
      <c r="Y8" s="23">
        <v>7763.1780397525145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33711.169861202907</v>
      </c>
      <c r="E9" s="23">
        <v>34388.565446095708</v>
      </c>
      <c r="F9" s="23">
        <v>34712.243019331087</v>
      </c>
      <c r="G9" s="23">
        <v>34083.340266470164</v>
      </c>
      <c r="H9" s="23">
        <v>34691.506874724662</v>
      </c>
      <c r="I9" s="23">
        <v>34618.925658065462</v>
      </c>
      <c r="J9" s="23">
        <v>35249.824299393833</v>
      </c>
      <c r="K9" s="23">
        <v>36427.658214361814</v>
      </c>
      <c r="L9" s="23">
        <v>36292.844006019062</v>
      </c>
      <c r="M9" s="23">
        <v>36337.151674313565</v>
      </c>
      <c r="N9" s="23">
        <v>36770.5075529936</v>
      </c>
      <c r="O9" s="23">
        <v>37649.248701170764</v>
      </c>
      <c r="P9" s="23">
        <v>37833.324581210945</v>
      </c>
      <c r="Q9" s="23">
        <v>37876.192429992821</v>
      </c>
      <c r="R9" s="23">
        <v>37934.361359278744</v>
      </c>
      <c r="S9" s="23">
        <v>38670.1</v>
      </c>
      <c r="T9" s="23">
        <v>39283.083722072181</v>
      </c>
      <c r="U9" s="23">
        <v>40509.00813638125</v>
      </c>
      <c r="V9" s="23">
        <v>41053.06200076075</v>
      </c>
      <c r="W9" s="23">
        <v>42033.534365255706</v>
      </c>
      <c r="X9" s="23">
        <v>32989.562578829027</v>
      </c>
      <c r="Y9" s="23">
        <v>35635.59894449597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5348.7111698612025</v>
      </c>
      <c r="E10" s="23">
        <v>5646.2897706960821</v>
      </c>
      <c r="F10" s="23">
        <v>5853.2065050629026</v>
      </c>
      <c r="G10" s="23">
        <v>5816.2282943294867</v>
      </c>
      <c r="H10" s="23">
        <v>5985.5317767627357</v>
      </c>
      <c r="I10" s="23">
        <v>6026.5595559115882</v>
      </c>
      <c r="J10" s="23">
        <v>6135.3553544759734</v>
      </c>
      <c r="K10" s="23">
        <v>6178.0311101640746</v>
      </c>
      <c r="L10" s="23">
        <v>6245.5066042467815</v>
      </c>
      <c r="M10" s="23">
        <v>6115.5107754876808</v>
      </c>
      <c r="N10" s="23">
        <v>5866.9078718750643</v>
      </c>
      <c r="O10" s="23">
        <v>5936.1421919882196</v>
      </c>
      <c r="P10" s="23">
        <v>5701.5176180223698</v>
      </c>
      <c r="Q10" s="23">
        <v>5361.4729715868289</v>
      </c>
      <c r="R10" s="23">
        <v>5306.0620895035281</v>
      </c>
      <c r="S10" s="23">
        <v>5347.9</v>
      </c>
      <c r="T10" s="23">
        <v>5543.8251902774364</v>
      </c>
      <c r="U10" s="23">
        <v>5754.7462223944212</v>
      </c>
      <c r="V10" s="23">
        <v>5941.7078737162419</v>
      </c>
      <c r="W10" s="23">
        <v>6670.4632447672575</v>
      </c>
      <c r="X10" s="23">
        <v>7084.8337507083188</v>
      </c>
      <c r="Y10" s="23">
        <v>7658.3481181948355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8630.5353602114992</v>
      </c>
      <c r="E11" s="23">
        <v>9712.4763801644458</v>
      </c>
      <c r="F11" s="23">
        <v>9533.3537895059835</v>
      </c>
      <c r="G11" s="23">
        <v>9763.8375506614211</v>
      </c>
      <c r="H11" s="23">
        <v>10202.531939066523</v>
      </c>
      <c r="I11" s="23">
        <v>10163.712470805927</v>
      </c>
      <c r="J11" s="23">
        <v>11716.704735131338</v>
      </c>
      <c r="K11" s="23">
        <v>12437.673130193905</v>
      </c>
      <c r="L11" s="23">
        <v>13168.679986624311</v>
      </c>
      <c r="M11" s="23">
        <v>11194.551455636054</v>
      </c>
      <c r="N11" s="23">
        <v>10615.07328141289</v>
      </c>
      <c r="O11" s="23">
        <v>11171.279541235883</v>
      </c>
      <c r="P11" s="23">
        <v>9695.2160899017999</v>
      </c>
      <c r="Q11" s="23">
        <v>8431.5314391219617</v>
      </c>
      <c r="R11" s="23">
        <v>8202.8923428384933</v>
      </c>
      <c r="S11" s="23">
        <v>8242.4</v>
      </c>
      <c r="T11" s="23">
        <v>8194.6476798428685</v>
      </c>
      <c r="U11" s="23">
        <v>8242.83223556761</v>
      </c>
      <c r="V11" s="23">
        <v>8236.0213008748578</v>
      </c>
      <c r="W11" s="23">
        <v>8503.8370334410047</v>
      </c>
      <c r="X11" s="23">
        <v>8434.7524082841301</v>
      </c>
      <c r="Y11" s="23">
        <v>8462.2243036105083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11361.533377395901</v>
      </c>
      <c r="E12" s="23">
        <v>11233.338440324806</v>
      </c>
      <c r="F12" s="23">
        <v>11880.576864068735</v>
      </c>
      <c r="G12" s="23">
        <v>12428.182606938684</v>
      </c>
      <c r="H12" s="23">
        <v>12683.693106726334</v>
      </c>
      <c r="I12" s="23">
        <v>13451.613995103293</v>
      </c>
      <c r="J12" s="23">
        <v>13709.479047702716</v>
      </c>
      <c r="K12" s="23">
        <v>14871.29767739186</v>
      </c>
      <c r="L12" s="23">
        <v>15331.779802708577</v>
      </c>
      <c r="M12" s="23">
        <v>15576.78748428894</v>
      </c>
      <c r="N12" s="23">
        <v>17204.370311318246</v>
      </c>
      <c r="O12" s="23">
        <v>17265.355220723195</v>
      </c>
      <c r="P12" s="23">
        <v>18359.817255684502</v>
      </c>
      <c r="Q12" s="23">
        <v>19116.524771771466</v>
      </c>
      <c r="R12" s="23">
        <v>19332.497042385676</v>
      </c>
      <c r="S12" s="23">
        <v>19321.400000000001</v>
      </c>
      <c r="T12" s="23">
        <v>19890.203780996806</v>
      </c>
      <c r="U12" s="23">
        <v>20529.542812863234</v>
      </c>
      <c r="V12" s="23">
        <v>21120.007607455307</v>
      </c>
      <c r="W12" s="23">
        <v>21665.701962395204</v>
      </c>
      <c r="X12" s="23">
        <v>21445.610250973368</v>
      </c>
      <c r="Y12" s="23">
        <v>21928.726460549184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9385.7237276933247</v>
      </c>
      <c r="E13" s="23">
        <v>9301.2358919360613</v>
      </c>
      <c r="F13" s="23">
        <v>9291.3163547100339</v>
      </c>
      <c r="G13" s="23">
        <v>9393.4891902492363</v>
      </c>
      <c r="H13" s="23">
        <v>9643.2794639337808</v>
      </c>
      <c r="I13" s="23">
        <v>9994.9227696855505</v>
      </c>
      <c r="J13" s="23">
        <v>10112.887639462358</v>
      </c>
      <c r="K13" s="23">
        <v>11009.482207543149</v>
      </c>
      <c r="L13" s="23">
        <v>11620.861896004013</v>
      </c>
      <c r="M13" s="23">
        <v>11324.838291045462</v>
      </c>
      <c r="N13" s="23">
        <v>11487.500255513993</v>
      </c>
      <c r="O13" s="23">
        <v>11190.567544305371</v>
      </c>
      <c r="P13" s="23">
        <v>10560.205849918604</v>
      </c>
      <c r="Q13" s="23">
        <v>10462.098676787364</v>
      </c>
      <c r="R13" s="23">
        <v>11143.168930771426</v>
      </c>
      <c r="S13" s="23">
        <v>11094.8</v>
      </c>
      <c r="T13" s="23">
        <v>11620.328995826172</v>
      </c>
      <c r="U13" s="23">
        <v>12554.823711739637</v>
      </c>
      <c r="V13" s="23">
        <v>13606.409281095473</v>
      </c>
      <c r="W13" s="23">
        <v>14358.253823029669</v>
      </c>
      <c r="X13" s="23">
        <v>13400.570310929132</v>
      </c>
      <c r="Y13" s="23">
        <v>14706.989562037879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30027.627230667546</v>
      </c>
      <c r="E14" s="23">
        <v>31354.884837342321</v>
      </c>
      <c r="F14" s="23">
        <v>32277.999386314823</v>
      </c>
      <c r="G14" s="23">
        <v>32712.837396151514</v>
      </c>
      <c r="H14" s="23">
        <v>33494.632381923999</v>
      </c>
      <c r="I14" s="23">
        <v>34650.291658674731</v>
      </c>
      <c r="J14" s="23">
        <v>34082.952648686638</v>
      </c>
      <c r="K14" s="23">
        <v>33799.91476667377</v>
      </c>
      <c r="L14" s="23">
        <v>34283.564621300786</v>
      </c>
      <c r="M14" s="23">
        <v>34874.158244857499</v>
      </c>
      <c r="N14" s="23">
        <v>34738.55808344065</v>
      </c>
      <c r="O14" s="23">
        <v>33319.403108894257</v>
      </c>
      <c r="P14" s="23">
        <v>30719.424460431652</v>
      </c>
      <c r="Q14" s="23">
        <v>31394.194276336035</v>
      </c>
      <c r="R14" s="23">
        <v>30696.671154081505</v>
      </c>
      <c r="S14" s="23">
        <v>30574.2</v>
      </c>
      <c r="T14" s="23">
        <v>30838.595629756936</v>
      </c>
      <c r="U14" s="23">
        <v>31669.217357613328</v>
      </c>
      <c r="V14" s="23">
        <v>32254.374286801063</v>
      </c>
      <c r="W14" s="23">
        <v>33033.96381425397</v>
      </c>
      <c r="X14" s="23">
        <v>32565.119637340747</v>
      </c>
      <c r="Y14" s="23">
        <v>34078.460333042131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3472.70323859881</v>
      </c>
      <c r="E15" s="23">
        <v>3435.3454879730352</v>
      </c>
      <c r="F15" s="23">
        <v>3654.6179809757596</v>
      </c>
      <c r="G15" s="23">
        <v>3729.5125806719993</v>
      </c>
      <c r="H15" s="23">
        <v>3813.4433907579587</v>
      </c>
      <c r="I15" s="23">
        <v>3842.1094199546433</v>
      </c>
      <c r="J15" s="23">
        <v>3918.3431432838447</v>
      </c>
      <c r="K15" s="23">
        <v>4111.3360323886636</v>
      </c>
      <c r="L15" s="23">
        <v>4408.4392242099984</v>
      </c>
      <c r="M15" s="23">
        <v>4432.7157907644505</v>
      </c>
      <c r="N15" s="23">
        <v>4593.3239304184299</v>
      </c>
      <c r="O15" s="23">
        <v>4622.3803054970804</v>
      </c>
      <c r="P15" s="23">
        <v>4559.050569763167</v>
      </c>
      <c r="Q15" s="23">
        <v>4356.1390911888402</v>
      </c>
      <c r="R15" s="23">
        <v>4436.7274507404236</v>
      </c>
      <c r="S15" s="23">
        <v>4513.5</v>
      </c>
      <c r="T15" s="23">
        <v>4537.0979621900315</v>
      </c>
      <c r="U15" s="23">
        <v>4796.0092987214257</v>
      </c>
      <c r="V15" s="23">
        <v>4916.6983643971089</v>
      </c>
      <c r="W15" s="23">
        <v>5076.8340272980186</v>
      </c>
      <c r="X15" s="23">
        <v>4271.8482095527079</v>
      </c>
      <c r="Y15" s="23">
        <v>4379.0808469248977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148739.85459352279</v>
      </c>
      <c r="E16" s="30">
        <f t="shared" ref="E16:S16" si="0">SUM(E6:E15)</f>
        <v>152058.37291251725</v>
      </c>
      <c r="F16" s="30">
        <f t="shared" si="0"/>
        <v>153079.4722307456</v>
      </c>
      <c r="G16" s="30">
        <f t="shared" si="0"/>
        <v>151817.03649999402</v>
      </c>
      <c r="H16" s="30">
        <f t="shared" si="0"/>
        <v>154356.46548725915</v>
      </c>
      <c r="I16" s="30">
        <f t="shared" si="0"/>
        <v>155121.45863185573</v>
      </c>
      <c r="J16" s="30">
        <f t="shared" si="0"/>
        <v>157649.67495387862</v>
      </c>
      <c r="K16" s="30">
        <f t="shared" si="0"/>
        <v>162120.17898998508</v>
      </c>
      <c r="L16" s="30">
        <f t="shared" si="0"/>
        <v>163181.53318843007</v>
      </c>
      <c r="M16" s="30">
        <f t="shared" si="0"/>
        <v>158946.36269811261</v>
      </c>
      <c r="N16" s="30">
        <f t="shared" si="0"/>
        <v>161454.99887573844</v>
      </c>
      <c r="O16" s="30">
        <f t="shared" si="0"/>
        <v>159829.31154272915</v>
      </c>
      <c r="P16" s="30">
        <f t="shared" si="0"/>
        <v>154613.03366066271</v>
      </c>
      <c r="Q16" s="30">
        <f t="shared" si="0"/>
        <v>153659.14452764386</v>
      </c>
      <c r="R16" s="30">
        <f t="shared" si="0"/>
        <v>154138.41635050788</v>
      </c>
      <c r="S16" s="30">
        <f t="shared" si="0"/>
        <v>156517.29999999996</v>
      </c>
      <c r="T16" s="30">
        <f t="shared" ref="T16:Y16" si="1">SUM(T6:T15)</f>
        <v>159089.90915786885</v>
      </c>
      <c r="U16" s="30">
        <f t="shared" si="1"/>
        <v>164318.38434715226</v>
      </c>
      <c r="V16" s="30">
        <f t="shared" si="1"/>
        <v>168757.98782807149</v>
      </c>
      <c r="W16" s="30">
        <f t="shared" si="1"/>
        <v>173213.86560113524</v>
      </c>
      <c r="X16" s="30">
        <f t="shared" si="1"/>
        <v>159730.93022830717</v>
      </c>
      <c r="Y16" s="30">
        <f t="shared" si="1"/>
        <v>168475.46313391029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5278.783873099801</v>
      </c>
      <c r="E18" s="19">
        <v>5132.5264286808642</v>
      </c>
      <c r="F18" s="19">
        <v>4764.1607855170305</v>
      </c>
      <c r="G18" s="19">
        <v>4602.6124059569511</v>
      </c>
      <c r="H18" s="19">
        <v>4592.8493589000445</v>
      </c>
      <c r="I18" s="19">
        <v>4120.7929505477769</v>
      </c>
      <c r="J18" s="19">
        <v>4113.7002547658794</v>
      </c>
      <c r="K18" s="19">
        <v>3735.776688685276</v>
      </c>
      <c r="L18" s="19">
        <v>3675.3887309814413</v>
      </c>
      <c r="M18" s="19">
        <v>3496.4899193754404</v>
      </c>
      <c r="N18" s="19">
        <v>3555.937123116862</v>
      </c>
      <c r="O18" s="19">
        <v>3349.0610060871277</v>
      </c>
      <c r="P18" s="19">
        <v>3400.9347266712175</v>
      </c>
      <c r="Q18" s="19">
        <v>3664.5809826648888</v>
      </c>
      <c r="R18" s="19">
        <v>3664.1781911638718</v>
      </c>
      <c r="S18" s="19">
        <v>3773</v>
      </c>
      <c r="T18" s="19">
        <v>3783.4520009820772</v>
      </c>
      <c r="U18" s="19">
        <v>3977.9155366137156</v>
      </c>
      <c r="V18" s="19">
        <v>3973.5640928109556</v>
      </c>
      <c r="W18" s="19">
        <v>4179.9391302724198</v>
      </c>
      <c r="X18" s="19">
        <v>3984.1336574844167</v>
      </c>
      <c r="Y18" s="19">
        <v>4184.100795230418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831.19629874421662</v>
      </c>
      <c r="E19" s="23">
        <v>829.50308972984021</v>
      </c>
      <c r="F19" s="23">
        <v>711.26112304387857</v>
      </c>
      <c r="G19" s="23">
        <v>636.93737594637321</v>
      </c>
      <c r="H19" s="23">
        <v>705.78960792042471</v>
      </c>
      <c r="I19" s="23">
        <v>742.40389931288155</v>
      </c>
      <c r="J19" s="23">
        <v>882.01704295879824</v>
      </c>
      <c r="K19" s="23">
        <v>856.70147027487747</v>
      </c>
      <c r="L19" s="23">
        <v>635.34525998996821</v>
      </c>
      <c r="M19" s="23">
        <v>660.22215182759214</v>
      </c>
      <c r="N19" s="23">
        <v>729.7479609983443</v>
      </c>
      <c r="O19" s="23">
        <v>674.14681696099876</v>
      </c>
      <c r="P19" s="23">
        <v>667.64690437431079</v>
      </c>
      <c r="Q19" s="23">
        <v>584.57277669504572</v>
      </c>
      <c r="R19" s="23">
        <v>540.22355484844775</v>
      </c>
      <c r="S19" s="23">
        <v>500.5</v>
      </c>
      <c r="T19" s="23">
        <v>523.8399214338325</v>
      </c>
      <c r="U19" s="23">
        <v>589.59705540488198</v>
      </c>
      <c r="V19" s="23">
        <v>573.7923164701408</v>
      </c>
      <c r="W19" s="23">
        <v>538.86513434284973</v>
      </c>
      <c r="X19" s="23">
        <v>499.38764691904146</v>
      </c>
      <c r="Y19" s="23">
        <v>714.716716049605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25545.935228023787</v>
      </c>
      <c r="E20" s="23">
        <v>25444.308258005214</v>
      </c>
      <c r="F20" s="23">
        <v>24836.084688554751</v>
      </c>
      <c r="G20" s="23">
        <v>23396.12774403649</v>
      </c>
      <c r="H20" s="23">
        <v>23038.442811101573</v>
      </c>
      <c r="I20" s="23">
        <v>22480.509076959548</v>
      </c>
      <c r="J20" s="23">
        <v>22535.689185627678</v>
      </c>
      <c r="K20" s="23">
        <v>22891.114425740467</v>
      </c>
      <c r="L20" s="23">
        <v>22274.91222203647</v>
      </c>
      <c r="M20" s="23">
        <v>19956.366683356977</v>
      </c>
      <c r="N20" s="23">
        <v>21296.682406328553</v>
      </c>
      <c r="O20" s="23">
        <v>20713.552414629845</v>
      </c>
      <c r="P20" s="23">
        <v>20139.263771464572</v>
      </c>
      <c r="Q20" s="23">
        <v>20190.993948097221</v>
      </c>
      <c r="R20" s="23">
        <v>20810.998245828741</v>
      </c>
      <c r="S20" s="23">
        <v>21814.799999999977</v>
      </c>
      <c r="T20" s="23">
        <v>22258.679106309832</v>
      </c>
      <c r="U20" s="23">
        <v>23425.997675319653</v>
      </c>
      <c r="V20" s="23">
        <v>23926.017497147201</v>
      </c>
      <c r="W20" s="23">
        <v>23806.878652650448</v>
      </c>
      <c r="X20" s="23">
        <v>22025.152174310439</v>
      </c>
      <c r="Y20" s="23">
        <v>24059.998018678478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2802.2471910112358</v>
      </c>
      <c r="E21" s="23">
        <v>2837.6998110413156</v>
      </c>
      <c r="F21" s="23">
        <v>2915.9864989260514</v>
      </c>
      <c r="G21" s="23">
        <v>3186.7073938932931</v>
      </c>
      <c r="H21" s="23">
        <v>3257.9007164552854</v>
      </c>
      <c r="I21" s="23">
        <v>2932.4954022858819</v>
      </c>
      <c r="J21" s="23">
        <v>3105.3984011244843</v>
      </c>
      <c r="K21" s="23">
        <v>3364.9051779245683</v>
      </c>
      <c r="L21" s="23">
        <v>2764.7968567129242</v>
      </c>
      <c r="M21" s="23">
        <v>3470.4325522935592</v>
      </c>
      <c r="N21" s="23">
        <v>3414.9956051593385</v>
      </c>
      <c r="O21" s="23">
        <v>3309.6554084182799</v>
      </c>
      <c r="P21" s="23">
        <v>3561.9387701517617</v>
      </c>
      <c r="Q21" s="23">
        <v>3471.1252436147297</v>
      </c>
      <c r="R21" s="23">
        <v>3865.3979521070451</v>
      </c>
      <c r="S21" s="23">
        <v>4553.2</v>
      </c>
      <c r="T21" s="23">
        <v>4525.1166216547999</v>
      </c>
      <c r="U21" s="23">
        <v>3985.8581944982566</v>
      </c>
      <c r="V21" s="23">
        <v>4456.827691137315</v>
      </c>
      <c r="W21" s="23">
        <v>4141.1020034729354</v>
      </c>
      <c r="X21" s="23">
        <v>3757.0146416363536</v>
      </c>
      <c r="Y21" s="23">
        <v>3142.9163251889008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971.84401850627887</v>
      </c>
      <c r="E22" s="23">
        <v>962.15719319748735</v>
      </c>
      <c r="F22" s="23">
        <v>1013.9306535747162</v>
      </c>
      <c r="G22" s="23">
        <v>1182.8327608543209</v>
      </c>
      <c r="H22" s="23">
        <v>1273.9687913005173</v>
      </c>
      <c r="I22" s="23">
        <v>1335.3115727002967</v>
      </c>
      <c r="J22" s="23">
        <v>1455.1304577000792</v>
      </c>
      <c r="K22" s="23">
        <v>1471.8730023439164</v>
      </c>
      <c r="L22" s="23">
        <v>1477.0732319010199</v>
      </c>
      <c r="M22" s="23">
        <v>1525.7354819591053</v>
      </c>
      <c r="N22" s="23">
        <v>1753.0303959444821</v>
      </c>
      <c r="O22" s="23">
        <v>1851.1297999647422</v>
      </c>
      <c r="P22" s="23">
        <v>1885.8373155490206</v>
      </c>
      <c r="Q22" s="23">
        <v>1808.3906041645298</v>
      </c>
      <c r="R22" s="23">
        <v>1782.1156121241788</v>
      </c>
      <c r="S22" s="23">
        <v>1720.1</v>
      </c>
      <c r="T22" s="23">
        <v>1684.5568377117604</v>
      </c>
      <c r="U22" s="23">
        <v>1633.9597055404884</v>
      </c>
      <c r="V22" s="23">
        <v>1601.9399011030812</v>
      </c>
      <c r="W22" s="23">
        <v>1654.4055865713165</v>
      </c>
      <c r="X22" s="23">
        <v>1688.6321677299065</v>
      </c>
      <c r="Y22" s="23">
        <v>1761.1246701549933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11371.844018506277</v>
      </c>
      <c r="E23" s="23">
        <v>11780.041877330064</v>
      </c>
      <c r="F23" s="23">
        <v>11634.734581159866</v>
      </c>
      <c r="G23" s="23">
        <v>10884.390933834102</v>
      </c>
      <c r="H23" s="23">
        <v>10972.895267685317</v>
      </c>
      <c r="I23" s="23">
        <v>10761.810201848111</v>
      </c>
      <c r="J23" s="23">
        <v>10632.192743564967</v>
      </c>
      <c r="K23" s="23">
        <v>10964.415086298744</v>
      </c>
      <c r="L23" s="23">
        <v>11002.340745694701</v>
      </c>
      <c r="M23" s="23">
        <v>9981.4021929062637</v>
      </c>
      <c r="N23" s="23">
        <v>9428.3640972179637</v>
      </c>
      <c r="O23" s="23">
        <v>8777.3894828533776</v>
      </c>
      <c r="P23" s="23">
        <v>7528.8557475187727</v>
      </c>
      <c r="Q23" s="23">
        <v>6941.3273156221157</v>
      </c>
      <c r="R23" s="23">
        <v>6423.1224248358012</v>
      </c>
      <c r="S23" s="23">
        <v>6391.4</v>
      </c>
      <c r="T23" s="23">
        <v>6406.4817088141417</v>
      </c>
      <c r="U23" s="23">
        <v>6648.8764044943828</v>
      </c>
      <c r="V23" s="23">
        <v>7097.565614302016</v>
      </c>
      <c r="W23" s="23">
        <v>7550.0868233844312</v>
      </c>
      <c r="X23" s="23">
        <v>7584.3127936095916</v>
      </c>
      <c r="Y23" s="23">
        <v>7763.1780397525145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21003.172504957038</v>
      </c>
      <c r="E24" s="23">
        <v>21506.562484040656</v>
      </c>
      <c r="F24" s="23">
        <v>21543.663700521633</v>
      </c>
      <c r="G24" s="23">
        <v>20916.83801419114</v>
      </c>
      <c r="H24" s="23">
        <v>21118.389018989539</v>
      </c>
      <c r="I24" s="23">
        <v>20903.182859270459</v>
      </c>
      <c r="J24" s="23">
        <v>20979.530879381531</v>
      </c>
      <c r="K24" s="23">
        <v>21396.334966972085</v>
      </c>
      <c r="L24" s="23">
        <v>21534.755893663267</v>
      </c>
      <c r="M24" s="23">
        <v>21501.006529669634</v>
      </c>
      <c r="N24" s="23">
        <v>21343.185952862779</v>
      </c>
      <c r="O24" s="23">
        <v>22369.002312486391</v>
      </c>
      <c r="P24" s="23">
        <v>22653.258415165677</v>
      </c>
      <c r="Q24" s="23">
        <v>22830.238998871682</v>
      </c>
      <c r="R24" s="23">
        <v>22791.6819646718</v>
      </c>
      <c r="S24" s="23">
        <v>22932.5</v>
      </c>
      <c r="T24" s="23">
        <v>22933.562484655045</v>
      </c>
      <c r="U24" s="23">
        <v>22604.223169314224</v>
      </c>
      <c r="V24" s="23">
        <v>22403.100038037283</v>
      </c>
      <c r="W24" s="23">
        <v>22668.278656384784</v>
      </c>
      <c r="X24" s="23">
        <v>20861.315736560216</v>
      </c>
      <c r="Y24" s="23">
        <v>21473.112566081567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6143.4236615994705</v>
      </c>
      <c r="E25" s="23">
        <v>6233.7214646851544</v>
      </c>
      <c r="F25" s="23">
        <v>6214.0533906106166</v>
      </c>
      <c r="G25" s="23">
        <v>6223.3024709699666</v>
      </c>
      <c r="H25" s="23">
        <v>6302.2560226297855</v>
      </c>
      <c r="I25" s="23">
        <v>6289.3344315194454</v>
      </c>
      <c r="J25" s="23">
        <v>6617.3240797680755</v>
      </c>
      <c r="K25" s="23">
        <v>7262.8382697634779</v>
      </c>
      <c r="L25" s="23">
        <v>7115.1354288580505</v>
      </c>
      <c r="M25" s="23">
        <v>7149.7327842552186</v>
      </c>
      <c r="N25" s="23">
        <v>7575.0700108337933</v>
      </c>
      <c r="O25" s="23">
        <v>7404.0007051528</v>
      </c>
      <c r="P25" s="23">
        <v>7269.0227380139677</v>
      </c>
      <c r="Q25" s="23">
        <v>7382.2956200635963</v>
      </c>
      <c r="R25" s="23">
        <v>7270.5299228980539</v>
      </c>
      <c r="S25" s="23">
        <v>7661</v>
      </c>
      <c r="T25" s="23">
        <v>7666.584826908912</v>
      </c>
      <c r="U25" s="23">
        <v>8189.7520340953124</v>
      </c>
      <c r="V25" s="23">
        <v>8368.0106504374271</v>
      </c>
      <c r="W25" s="23">
        <v>8779.9914110200352</v>
      </c>
      <c r="X25" s="23">
        <v>6339.316723636829</v>
      </c>
      <c r="Y25" s="23">
        <v>7048.7315039131099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6564.5736946463985</v>
      </c>
      <c r="E26" s="23">
        <v>6648.2814973698996</v>
      </c>
      <c r="F26" s="23">
        <v>6954.5259281988347</v>
      </c>
      <c r="G26" s="23">
        <v>6943.1997813090557</v>
      </c>
      <c r="H26" s="23">
        <v>7270.8618331053358</v>
      </c>
      <c r="I26" s="23">
        <v>7426.4083672755578</v>
      </c>
      <c r="J26" s="23">
        <v>7652.9693402442244</v>
      </c>
      <c r="K26" s="23">
        <v>7768.4849776262517</v>
      </c>
      <c r="L26" s="23">
        <v>7642.9526834977432</v>
      </c>
      <c r="M26" s="23">
        <v>7686.4123603887147</v>
      </c>
      <c r="N26" s="23">
        <v>7852.2515892970296</v>
      </c>
      <c r="O26" s="23">
        <v>7876.2456835315706</v>
      </c>
      <c r="P26" s="23">
        <v>7911.0434280312975</v>
      </c>
      <c r="Q26" s="23">
        <v>7663.6578110575447</v>
      </c>
      <c r="R26" s="23">
        <v>7872.149471708889</v>
      </c>
      <c r="S26" s="23">
        <v>8076.6</v>
      </c>
      <c r="T26" s="23">
        <v>8682.9364105082241</v>
      </c>
      <c r="U26" s="23">
        <v>9715.0329329717151</v>
      </c>
      <c r="V26" s="23">
        <v>10281.951312286041</v>
      </c>
      <c r="W26" s="23">
        <v>10585.264297850887</v>
      </c>
      <c r="X26" s="23">
        <v>5788.9301186319844</v>
      </c>
      <c r="Y26" s="23">
        <v>7113.7548745012919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5348.7111698612025</v>
      </c>
      <c r="E27" s="23">
        <v>5646.2897706960821</v>
      </c>
      <c r="F27" s="23">
        <v>5853.2065050629026</v>
      </c>
      <c r="G27" s="23">
        <v>5816.2282943294867</v>
      </c>
      <c r="H27" s="23">
        <v>5985.5317767627357</v>
      </c>
      <c r="I27" s="23">
        <v>6026.5595559115882</v>
      </c>
      <c r="J27" s="23">
        <v>6135.3553544759734</v>
      </c>
      <c r="K27" s="23">
        <v>6178.0311101640746</v>
      </c>
      <c r="L27" s="23">
        <v>6245.5066042467815</v>
      </c>
      <c r="M27" s="23">
        <v>6115.5107754876808</v>
      </c>
      <c r="N27" s="23">
        <v>5866.9078718750643</v>
      </c>
      <c r="O27" s="23">
        <v>5936.1421919882196</v>
      </c>
      <c r="P27" s="23">
        <v>5701.5176180223698</v>
      </c>
      <c r="Q27" s="23">
        <v>5361.4729715868289</v>
      </c>
      <c r="R27" s="23">
        <v>5306.0620895035281</v>
      </c>
      <c r="S27" s="23">
        <v>5347.9</v>
      </c>
      <c r="T27" s="23">
        <v>5543.8251902774364</v>
      </c>
      <c r="U27" s="23">
        <v>5754.7462223944212</v>
      </c>
      <c r="V27" s="23">
        <v>5941.7078737162419</v>
      </c>
      <c r="W27" s="23">
        <v>6670.4632447672575</v>
      </c>
      <c r="X27" s="23">
        <v>7084.8337507083188</v>
      </c>
      <c r="Y27" s="23">
        <v>7658.3481181948355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8630.5353602114992</v>
      </c>
      <c r="E28" s="23">
        <v>9712.4763801644458</v>
      </c>
      <c r="F28" s="23">
        <v>9533.3537895059835</v>
      </c>
      <c r="G28" s="23">
        <v>9763.8375506614211</v>
      </c>
      <c r="H28" s="23">
        <v>10202.531939066523</v>
      </c>
      <c r="I28" s="23">
        <v>10163.712470805927</v>
      </c>
      <c r="J28" s="23">
        <v>11716.704735131338</v>
      </c>
      <c r="K28" s="23">
        <v>12437.673130193905</v>
      </c>
      <c r="L28" s="23">
        <v>13168.679986624311</v>
      </c>
      <c r="M28" s="23">
        <v>11194.551455636054</v>
      </c>
      <c r="N28" s="23">
        <v>10615.07328141289</v>
      </c>
      <c r="O28" s="23">
        <v>11171.279541235883</v>
      </c>
      <c r="P28" s="23">
        <v>9695.2160899017999</v>
      </c>
      <c r="Q28" s="23">
        <v>8431.5314391219617</v>
      </c>
      <c r="R28" s="23">
        <v>8202.8923428384933</v>
      </c>
      <c r="S28" s="23">
        <v>8242.4</v>
      </c>
      <c r="T28" s="23">
        <v>8194.6476798428685</v>
      </c>
      <c r="U28" s="23">
        <v>8242.83223556761</v>
      </c>
      <c r="V28" s="23">
        <v>8236.0213008748578</v>
      </c>
      <c r="W28" s="23">
        <v>8503.8370334410047</v>
      </c>
      <c r="X28" s="23">
        <v>8434.7524082841301</v>
      </c>
      <c r="Y28" s="23">
        <v>8462.2243036105083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11361.533377395901</v>
      </c>
      <c r="E29" s="23">
        <v>11233.338440324806</v>
      </c>
      <c r="F29" s="23">
        <v>11880.576864068735</v>
      </c>
      <c r="G29" s="23">
        <v>12428.182606938684</v>
      </c>
      <c r="H29" s="23">
        <v>12683.693106726334</v>
      </c>
      <c r="I29" s="23">
        <v>13451.613995103293</v>
      </c>
      <c r="J29" s="23">
        <v>13709.479047702716</v>
      </c>
      <c r="K29" s="23">
        <v>14871.29767739186</v>
      </c>
      <c r="L29" s="23">
        <v>15331.779802708577</v>
      </c>
      <c r="M29" s="23">
        <v>15576.78748428894</v>
      </c>
      <c r="N29" s="23">
        <v>17204.370311318246</v>
      </c>
      <c r="O29" s="23">
        <v>17265.355220723195</v>
      </c>
      <c r="P29" s="23">
        <v>18359.817255684502</v>
      </c>
      <c r="Q29" s="23">
        <v>19116.524771771466</v>
      </c>
      <c r="R29" s="23">
        <v>19332.497042385676</v>
      </c>
      <c r="S29" s="23">
        <v>19321.400000000001</v>
      </c>
      <c r="T29" s="23">
        <v>19890.203780996806</v>
      </c>
      <c r="U29" s="23">
        <v>20529.542812863234</v>
      </c>
      <c r="V29" s="23">
        <v>21120.007607455307</v>
      </c>
      <c r="W29" s="23">
        <v>21665.701962395204</v>
      </c>
      <c r="X29" s="23">
        <v>21445.610250973368</v>
      </c>
      <c r="Y29" s="23">
        <v>21928.726460549184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5145.0099140779912</v>
      </c>
      <c r="E30" s="23">
        <v>5112.2261375823509</v>
      </c>
      <c r="F30" s="23">
        <v>4984.3510279226757</v>
      </c>
      <c r="G30" s="23">
        <v>5073.5110593436893</v>
      </c>
      <c r="H30" s="23">
        <v>5193.0255744394726</v>
      </c>
      <c r="I30" s="23">
        <v>5433.6518825241737</v>
      </c>
      <c r="J30" s="23">
        <v>5326.3638759553742</v>
      </c>
      <c r="K30" s="23">
        <v>5833.3688472192625</v>
      </c>
      <c r="L30" s="23">
        <v>6243.3121551579998</v>
      </c>
      <c r="M30" s="23">
        <v>6023.747969058154</v>
      </c>
      <c r="N30" s="23">
        <v>5950.7164612334182</v>
      </c>
      <c r="O30" s="23">
        <v>5796.3560192050436</v>
      </c>
      <c r="P30" s="23">
        <v>5484.7450506747873</v>
      </c>
      <c r="Q30" s="23">
        <v>5487.4346086778141</v>
      </c>
      <c r="R30" s="23">
        <v>5901.7664096601793</v>
      </c>
      <c r="S30" s="23">
        <v>5697.1999999999989</v>
      </c>
      <c r="T30" s="23">
        <v>5810.3609133316968</v>
      </c>
      <c r="U30" s="23">
        <v>6172.994963192561</v>
      </c>
      <c r="V30" s="23">
        <v>6817.516165842525</v>
      </c>
      <c r="W30" s="23">
        <v>7397.632429000877</v>
      </c>
      <c r="X30" s="23">
        <v>7393.7521706545785</v>
      </c>
      <c r="Y30" s="23">
        <v>7877.2841485270683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4240.7138136153335</v>
      </c>
      <c r="E31" s="23">
        <v>4189.0097543537104</v>
      </c>
      <c r="F31" s="23">
        <v>4306.9653267873582</v>
      </c>
      <c r="G31" s="23">
        <v>4319.978130905547</v>
      </c>
      <c r="H31" s="23">
        <v>4450.2538894943082</v>
      </c>
      <c r="I31" s="23">
        <v>4561.2708871613768</v>
      </c>
      <c r="J31" s="23">
        <v>4786.5237635069843</v>
      </c>
      <c r="K31" s="23">
        <v>5176.1133603238868</v>
      </c>
      <c r="L31" s="23">
        <v>5377.5497408460133</v>
      </c>
      <c r="M31" s="23">
        <v>5301.090321987308</v>
      </c>
      <c r="N31" s="23">
        <v>5536.7837942805745</v>
      </c>
      <c r="O31" s="23">
        <v>5394.2115251003279</v>
      </c>
      <c r="P31" s="23">
        <v>5075.4607992438168</v>
      </c>
      <c r="Q31" s="23">
        <v>4974.6640681095496</v>
      </c>
      <c r="R31" s="23">
        <v>5241.4025211112466</v>
      </c>
      <c r="S31" s="23">
        <v>5397.6</v>
      </c>
      <c r="T31" s="23">
        <v>5809.9680824944753</v>
      </c>
      <c r="U31" s="23">
        <v>6381.8287485470755</v>
      </c>
      <c r="V31" s="23">
        <v>6788.8931152529485</v>
      </c>
      <c r="W31" s="23">
        <v>6960.6213940287917</v>
      </c>
      <c r="X31" s="23">
        <v>6006.8181402745531</v>
      </c>
      <c r="Y31" s="23">
        <v>6829.705413510811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12706.675479180438</v>
      </c>
      <c r="E32" s="23">
        <v>12788.672692916602</v>
      </c>
      <c r="F32" s="23">
        <v>12955.876035593737</v>
      </c>
      <c r="G32" s="23">
        <v>13252.67123857518</v>
      </c>
      <c r="H32" s="23">
        <v>13323.285956085238</v>
      </c>
      <c r="I32" s="23">
        <v>13788.51643330212</v>
      </c>
      <c r="J32" s="23">
        <v>13654.462795396643</v>
      </c>
      <c r="K32" s="23">
        <v>13493.394417217132</v>
      </c>
      <c r="L32" s="23">
        <v>13647.592375856879</v>
      </c>
      <c r="M32" s="23">
        <v>14002.820326790037</v>
      </c>
      <c r="N32" s="23">
        <v>13435.641135708594</v>
      </c>
      <c r="O32" s="23">
        <v>12935.509628446693</v>
      </c>
      <c r="P32" s="23">
        <v>11705.193509426033</v>
      </c>
      <c r="Q32" s="23">
        <v>12312.237152528465</v>
      </c>
      <c r="R32" s="23">
        <v>11619.140864031329</v>
      </c>
      <c r="S32" s="23">
        <v>11593.800000000001</v>
      </c>
      <c r="T32" s="23">
        <v>11528.111956788609</v>
      </c>
      <c r="U32" s="23">
        <v>11602.867105772953</v>
      </c>
      <c r="V32" s="23">
        <v>11672.403955876758</v>
      </c>
      <c r="W32" s="23">
        <v>11934.014227832029</v>
      </c>
      <c r="X32" s="23">
        <v>11819.237026340325</v>
      </c>
      <c r="Y32" s="23">
        <v>12155.767897187419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9919.6298744216783</v>
      </c>
      <c r="E33" s="23">
        <v>10301.440171594913</v>
      </c>
      <c r="F33" s="23">
        <v>10774.102485424979</v>
      </c>
      <c r="G33" s="23">
        <v>10769.459334181156</v>
      </c>
      <c r="H33" s="23">
        <v>10978.459968930418</v>
      </c>
      <c r="I33" s="23">
        <v>11290.74477327346</v>
      </c>
      <c r="J33" s="23">
        <v>11087.586752174295</v>
      </c>
      <c r="K33" s="23">
        <v>10627.530364372469</v>
      </c>
      <c r="L33" s="23">
        <v>10965.87109179067</v>
      </c>
      <c r="M33" s="23">
        <v>11095.635646478167</v>
      </c>
      <c r="N33" s="23">
        <v>11305.165470861184</v>
      </c>
      <c r="O33" s="23">
        <v>10528.760901351197</v>
      </c>
      <c r="P33" s="23">
        <v>9435.5931313343481</v>
      </c>
      <c r="Q33" s="23">
        <v>9620.8841932505911</v>
      </c>
      <c r="R33" s="23">
        <v>9562.1710928894863</v>
      </c>
      <c r="S33" s="23">
        <v>9338.2999999999993</v>
      </c>
      <c r="T33" s="23">
        <v>9291.5295850724287</v>
      </c>
      <c r="U33" s="23">
        <v>9503.7776055792347</v>
      </c>
      <c r="V33" s="23">
        <v>9596.2343096234308</v>
      </c>
      <c r="W33" s="23">
        <v>9678.9401945590671</v>
      </c>
      <c r="X33" s="23">
        <v>9591.5513554024164</v>
      </c>
      <c r="Y33" s="23">
        <v>9688.3020974990304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7401.3218770654321</v>
      </c>
      <c r="E34" s="23">
        <v>8264.7719728308057</v>
      </c>
      <c r="F34" s="23">
        <v>8548.0208652961046</v>
      </c>
      <c r="G34" s="23">
        <v>8690.7068233951777</v>
      </c>
      <c r="H34" s="23">
        <v>9192.8864569083453</v>
      </c>
      <c r="I34" s="23">
        <v>9571.0304520991522</v>
      </c>
      <c r="J34" s="23">
        <v>9340.9031011157003</v>
      </c>
      <c r="K34" s="23">
        <v>9678.9899850841684</v>
      </c>
      <c r="L34" s="23">
        <v>9670.1011536532351</v>
      </c>
      <c r="M34" s="23">
        <v>9775.7022715892945</v>
      </c>
      <c r="N34" s="23">
        <v>9997.7514768708734</v>
      </c>
      <c r="O34" s="23">
        <v>9855.1325790963674</v>
      </c>
      <c r="P34" s="23">
        <v>9578.6378196712685</v>
      </c>
      <c r="Q34" s="23">
        <v>9461.0729305569803</v>
      </c>
      <c r="R34" s="23">
        <v>9515.3591971606893</v>
      </c>
      <c r="S34" s="23">
        <v>9642.1</v>
      </c>
      <c r="T34" s="23">
        <v>10018.954087895898</v>
      </c>
      <c r="U34" s="23">
        <v>10562.57264626114</v>
      </c>
      <c r="V34" s="23">
        <v>10985.736021300876</v>
      </c>
      <c r="W34" s="23">
        <v>11421.009391862875</v>
      </c>
      <c r="X34" s="23">
        <v>11154.331255598005</v>
      </c>
      <c r="Y34" s="23">
        <v>12234.390338355683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1117.382683410443</v>
      </c>
      <c r="E35" s="23">
        <v>1101.9610847249887</v>
      </c>
      <c r="F35" s="23">
        <v>1155.0782448603863</v>
      </c>
      <c r="G35" s="23">
        <v>1174.9884117570157</v>
      </c>
      <c r="H35" s="23">
        <v>1230.7264253750375</v>
      </c>
      <c r="I35" s="23">
        <v>1192.1336778328121</v>
      </c>
      <c r="J35" s="23">
        <v>1196.7407537556007</v>
      </c>
      <c r="K35" s="23">
        <v>1185.5955678670355</v>
      </c>
      <c r="L35" s="23">
        <v>1246.3425848520315</v>
      </c>
      <c r="M35" s="23">
        <v>1252.0820347227179</v>
      </c>
      <c r="N35" s="23">
        <v>1286.6662578442795</v>
      </c>
      <c r="O35" s="23">
        <v>1287.5260543589848</v>
      </c>
      <c r="P35" s="23">
        <v>1141.2067426350891</v>
      </c>
      <c r="Q35" s="23">
        <v>1063.6988409067596</v>
      </c>
      <c r="R35" s="23">
        <v>1129.2987394443767</v>
      </c>
      <c r="S35" s="23">
        <v>1240.8999999999999</v>
      </c>
      <c r="T35" s="23">
        <v>1305.1804566658477</v>
      </c>
      <c r="U35" s="23">
        <v>1491.7667570709025</v>
      </c>
      <c r="V35" s="23">
        <v>1561.3351084062376</v>
      </c>
      <c r="W35" s="23">
        <v>1656.8329069962842</v>
      </c>
      <c r="X35" s="23">
        <v>1211.8193284223225</v>
      </c>
      <c r="Y35" s="23">
        <v>1412.0518385763294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1394.8446794448116</v>
      </c>
      <c r="E36" s="23">
        <v>1353.99111383484</v>
      </c>
      <c r="F36" s="23">
        <v>1470.7579011966861</v>
      </c>
      <c r="G36" s="23">
        <v>1511.7011540701476</v>
      </c>
      <c r="H36" s="23">
        <v>1558.3482111804124</v>
      </c>
      <c r="I36" s="23">
        <v>1603.6149879838883</v>
      </c>
      <c r="J36" s="23">
        <v>1664.5436176754811</v>
      </c>
      <c r="K36" s="23">
        <v>1777.860643511613</v>
      </c>
      <c r="L36" s="23">
        <v>1954.418157498746</v>
      </c>
      <c r="M36" s="23">
        <v>1944.5948845811915</v>
      </c>
      <c r="N36" s="23">
        <v>2047.4847202632816</v>
      </c>
      <c r="O36" s="23">
        <v>2089.8447626849729</v>
      </c>
      <c r="P36" s="23">
        <v>2209.4207845402507</v>
      </c>
      <c r="Q36" s="23">
        <v>2157.9649194789213</v>
      </c>
      <c r="R36" s="23">
        <v>2172.6226900012239</v>
      </c>
      <c r="S36" s="23">
        <v>2187.4</v>
      </c>
      <c r="T36" s="23">
        <v>2154.7753498649645</v>
      </c>
      <c r="U36" s="23">
        <v>2225.2034095311897</v>
      </c>
      <c r="V36" s="23">
        <v>2253.6135412704452</v>
      </c>
      <c r="W36" s="23">
        <v>2271.598483858319</v>
      </c>
      <c r="X36" s="23">
        <v>1977.7176595316869</v>
      </c>
      <c r="Y36" s="23">
        <v>1953.2227996073382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960.47587574355578</v>
      </c>
      <c r="E37" s="23">
        <v>979.39328941320673</v>
      </c>
      <c r="F37" s="23">
        <v>1028.7818349186869</v>
      </c>
      <c r="G37" s="23">
        <v>1042.8230148448363</v>
      </c>
      <c r="H37" s="23">
        <v>1024.3687542025089</v>
      </c>
      <c r="I37" s="23">
        <v>1046.3607541379426</v>
      </c>
      <c r="J37" s="23">
        <v>1057.0587718527629</v>
      </c>
      <c r="K37" s="23">
        <v>1147.8798210100151</v>
      </c>
      <c r="L37" s="23">
        <v>1207.6784818592209</v>
      </c>
      <c r="M37" s="23">
        <v>1236.0388714605408</v>
      </c>
      <c r="N37" s="23">
        <v>1259.1729523108686</v>
      </c>
      <c r="O37" s="23">
        <v>1245.0094884531227</v>
      </c>
      <c r="P37" s="23">
        <v>1208.4230425878272</v>
      </c>
      <c r="Q37" s="23">
        <v>1134.4753308031593</v>
      </c>
      <c r="R37" s="23">
        <v>1134.806021294823</v>
      </c>
      <c r="S37" s="23">
        <v>1085.2</v>
      </c>
      <c r="T37" s="23">
        <v>1077.1421556592193</v>
      </c>
      <c r="U37" s="23">
        <v>1079.0391321193335</v>
      </c>
      <c r="V37" s="23">
        <v>1101.749714720426</v>
      </c>
      <c r="W37" s="23">
        <v>1148.4026364434153</v>
      </c>
      <c r="X37" s="23">
        <v>1082.3112215986985</v>
      </c>
      <c r="Y37" s="23">
        <v>1013.8062087412303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148739.85459352285</v>
      </c>
      <c r="E39" s="30">
        <f t="shared" ref="E39:S39" si="2">SUM(E18:E38)</f>
        <v>152058.37291251725</v>
      </c>
      <c r="F39" s="30">
        <f t="shared" si="2"/>
        <v>153079.47223074562</v>
      </c>
      <c r="G39" s="30">
        <f t="shared" si="2"/>
        <v>151817.03649999405</v>
      </c>
      <c r="H39" s="30">
        <f t="shared" si="2"/>
        <v>154356.46548725915</v>
      </c>
      <c r="I39" s="30">
        <f t="shared" si="2"/>
        <v>155121.4586318557</v>
      </c>
      <c r="J39" s="30">
        <f t="shared" si="2"/>
        <v>157649.6749538786</v>
      </c>
      <c r="K39" s="30">
        <f t="shared" si="2"/>
        <v>162120.17898998508</v>
      </c>
      <c r="L39" s="30">
        <f t="shared" si="2"/>
        <v>163181.53318843004</v>
      </c>
      <c r="M39" s="30">
        <f t="shared" si="2"/>
        <v>158946.36269811259</v>
      </c>
      <c r="N39" s="30">
        <f t="shared" si="2"/>
        <v>161454.99887573844</v>
      </c>
      <c r="O39" s="30">
        <f t="shared" si="2"/>
        <v>159829.31154272915</v>
      </c>
      <c r="P39" s="30">
        <f t="shared" si="2"/>
        <v>154613.03366066265</v>
      </c>
      <c r="Q39" s="30">
        <f t="shared" si="2"/>
        <v>153659.14452764386</v>
      </c>
      <c r="R39" s="30">
        <f t="shared" si="2"/>
        <v>154138.41635050785</v>
      </c>
      <c r="S39" s="30">
        <f t="shared" si="2"/>
        <v>156517.29999999996</v>
      </c>
      <c r="T39" s="30">
        <f t="shared" ref="T39:Y39" si="3">SUM(T18:T38)</f>
        <v>159089.90915786885</v>
      </c>
      <c r="U39" s="30">
        <f t="shared" si="3"/>
        <v>164318.38434715226</v>
      </c>
      <c r="V39" s="30">
        <f t="shared" si="3"/>
        <v>168757.98782807146</v>
      </c>
      <c r="W39" s="30">
        <f t="shared" si="3"/>
        <v>173213.86560113521</v>
      </c>
      <c r="X39" s="30">
        <f t="shared" si="3"/>
        <v>159730.93022830714</v>
      </c>
      <c r="Y39" s="30">
        <f t="shared" si="3"/>
        <v>168475.46313391029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3260.2775941837408</v>
      </c>
      <c r="E41" s="19">
        <v>3458.5822991675604</v>
      </c>
      <c r="F41" s="19">
        <v>3579.0119668610005</v>
      </c>
      <c r="G41" s="19">
        <v>3577.9740185649594</v>
      </c>
      <c r="H41" s="19">
        <v>3586.2180899162977</v>
      </c>
      <c r="I41" s="19">
        <v>3590.6172783788966</v>
      </c>
      <c r="J41" s="19">
        <v>3556.9489589739087</v>
      </c>
      <c r="K41" s="19">
        <v>3432.1329639889195</v>
      </c>
      <c r="L41" s="19">
        <v>3509.9690687176058</v>
      </c>
      <c r="M41" s="19">
        <v>3620.7477953423731</v>
      </c>
      <c r="N41" s="19">
        <v>3646.4912818625949</v>
      </c>
      <c r="O41" s="19">
        <v>3544.5335103128596</v>
      </c>
      <c r="P41" s="19">
        <v>3523.0793467415847</v>
      </c>
      <c r="Q41" s="19">
        <v>3599.8563955277468</v>
      </c>
      <c r="R41" s="19">
        <v>3818.0761228735769</v>
      </c>
      <c r="S41" s="19">
        <v>3854.2</v>
      </c>
      <c r="T41" s="19">
        <v>4009.9189786398233</v>
      </c>
      <c r="U41" s="19">
        <v>4008.5238279736532</v>
      </c>
      <c r="V41" s="19">
        <v>4053.6325599087108</v>
      </c>
      <c r="W41" s="19">
        <v>4023.7503967735311</v>
      </c>
      <c r="X41" s="19">
        <v>3809.8415193668084</v>
      </c>
      <c r="Y41" s="19">
        <v>3826.8324972756827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5039.2597488433576</v>
      </c>
      <c r="E42" s="23">
        <v>4945.0998416832645</v>
      </c>
      <c r="F42" s="23">
        <v>4893.7710954280456</v>
      </c>
      <c r="G42" s="23">
        <v>4591.7967125046052</v>
      </c>
      <c r="H42" s="23">
        <v>4272.1834496510473</v>
      </c>
      <c r="I42" s="23">
        <v>3852.6023626045062</v>
      </c>
      <c r="J42" s="23">
        <v>3783.0536765351844</v>
      </c>
      <c r="K42" s="23">
        <v>3819.731515022374</v>
      </c>
      <c r="L42" s="23">
        <v>3645.9204146463803</v>
      </c>
      <c r="M42" s="23">
        <v>3390.4211074891937</v>
      </c>
      <c r="N42" s="23">
        <v>3437.5830420473826</v>
      </c>
      <c r="O42" s="23">
        <v>3509.4832681758317</v>
      </c>
      <c r="P42" s="23">
        <v>3544.0844404768154</v>
      </c>
      <c r="Q42" s="23">
        <v>3655.246691968407</v>
      </c>
      <c r="R42" s="23">
        <v>3839.9012768734956</v>
      </c>
      <c r="S42" s="23">
        <v>3940</v>
      </c>
      <c r="T42" s="23">
        <v>4034.1762828382025</v>
      </c>
      <c r="U42" s="23">
        <v>4054.4362650135608</v>
      </c>
      <c r="V42" s="23">
        <v>4056.5804488398626</v>
      </c>
      <c r="W42" s="23">
        <v>3859.9996265660889</v>
      </c>
      <c r="X42" s="23">
        <v>3571.4807977041328</v>
      </c>
      <c r="Y42" s="23">
        <v>3817.0159496384085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3376.4705882352941</v>
      </c>
      <c r="E43" s="23">
        <v>3144.2469741075529</v>
      </c>
      <c r="F43" s="23">
        <v>2965.2040503221851</v>
      </c>
      <c r="G43" s="23">
        <v>2737.3212736370442</v>
      </c>
      <c r="H43" s="23">
        <v>2584.8037283498343</v>
      </c>
      <c r="I43" s="23">
        <v>2654.8273177556384</v>
      </c>
      <c r="J43" s="23">
        <v>2791.7728191162264</v>
      </c>
      <c r="K43" s="23">
        <v>2822.5015981248666</v>
      </c>
      <c r="L43" s="23">
        <v>2498.0145460625313</v>
      </c>
      <c r="M43" s="23">
        <v>2143.0396174165394</v>
      </c>
      <c r="N43" s="23">
        <v>2511.8047464279143</v>
      </c>
      <c r="O43" s="23">
        <v>2357.076934244501</v>
      </c>
      <c r="P43" s="23">
        <v>2207.5303261040804</v>
      </c>
      <c r="Q43" s="23">
        <v>2161.3498820391837</v>
      </c>
      <c r="R43" s="23">
        <v>2116.4280177864803</v>
      </c>
      <c r="S43" s="23">
        <v>2273.1</v>
      </c>
      <c r="T43" s="23">
        <v>2213.6999754480726</v>
      </c>
      <c r="U43" s="23">
        <v>2249.2251065478499</v>
      </c>
      <c r="V43" s="23">
        <v>2472.8033472803349</v>
      </c>
      <c r="W43" s="23">
        <v>2413.876804152585</v>
      </c>
      <c r="X43" s="23">
        <v>2152.9237574716217</v>
      </c>
      <c r="Y43" s="23">
        <v>2393.88672244387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272.70323859881029</v>
      </c>
      <c r="E44" s="23">
        <v>258.0307440886574</v>
      </c>
      <c r="F44" s="23">
        <v>194.04725375882174</v>
      </c>
      <c r="G44" s="23">
        <v>217.26469924052438</v>
      </c>
      <c r="H44" s="23">
        <v>365.18351920981246</v>
      </c>
      <c r="I44" s="23">
        <v>615.92445081292101</v>
      </c>
      <c r="J44" s="23">
        <v>686.00105420363718</v>
      </c>
      <c r="K44" s="23">
        <v>580.65203494566379</v>
      </c>
      <c r="L44" s="23">
        <v>681.84668115699719</v>
      </c>
      <c r="M44" s="23">
        <v>161.65786166092721</v>
      </c>
      <c r="N44" s="23">
        <v>440.30171092169007</v>
      </c>
      <c r="O44" s="23">
        <v>321.25931994234338</v>
      </c>
      <c r="P44" s="23">
        <v>268.34007246757335</v>
      </c>
      <c r="Q44" s="23">
        <v>216.63760385680584</v>
      </c>
      <c r="R44" s="23">
        <v>191.73499775629256</v>
      </c>
      <c r="S44" s="23">
        <v>589.29999999999995</v>
      </c>
      <c r="T44" s="23">
        <v>407.66020132580405</v>
      </c>
      <c r="U44" s="23">
        <v>797.84967067028288</v>
      </c>
      <c r="V44" s="23">
        <v>527.38683910232032</v>
      </c>
      <c r="W44" s="23">
        <v>401.90824728793621</v>
      </c>
      <c r="X44" s="23">
        <v>-65.987899171952407</v>
      </c>
      <c r="Y44" s="23">
        <v>138.69250790277115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913.68142762723062</v>
      </c>
      <c r="E45" s="23">
        <v>888.36116643685205</v>
      </c>
      <c r="F45" s="23">
        <v>867.62810678122128</v>
      </c>
      <c r="G45" s="23">
        <v>853.60780631588955</v>
      </c>
      <c r="H45" s="23">
        <v>893.94606877043293</v>
      </c>
      <c r="I45" s="23">
        <v>870.01162121605307</v>
      </c>
      <c r="J45" s="23">
        <v>834.57787929368362</v>
      </c>
      <c r="K45" s="23">
        <v>907.30875772427021</v>
      </c>
      <c r="L45" s="23">
        <v>772.96856712924262</v>
      </c>
      <c r="M45" s="23">
        <v>696.7024657422262</v>
      </c>
      <c r="N45" s="23">
        <v>823.36828764743154</v>
      </c>
      <c r="O45" s="23">
        <v>844.1093816432134</v>
      </c>
      <c r="P45" s="23">
        <v>705.24602216037385</v>
      </c>
      <c r="Q45" s="23">
        <v>726.94635347215103</v>
      </c>
      <c r="R45" s="23">
        <v>718.39432138049199</v>
      </c>
      <c r="S45" s="23">
        <v>878.7</v>
      </c>
      <c r="T45" s="23">
        <v>935.42843113184381</v>
      </c>
      <c r="U45" s="23">
        <v>910.88725300271221</v>
      </c>
      <c r="V45" s="23">
        <v>784.13845568657291</v>
      </c>
      <c r="W45" s="23">
        <v>806.52389043449034</v>
      </c>
      <c r="X45" s="23">
        <v>841.66560038020725</v>
      </c>
      <c r="Y45" s="23">
        <v>1031.998342894711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448.24851288830138</v>
      </c>
      <c r="E46" s="23">
        <v>454.64991573464073</v>
      </c>
      <c r="F46" s="23">
        <v>474.62411782755447</v>
      </c>
      <c r="G46" s="23">
        <v>432.86544564222635</v>
      </c>
      <c r="H46" s="23">
        <v>431.84400287509567</v>
      </c>
      <c r="I46" s="23">
        <v>437.54442576525145</v>
      </c>
      <c r="J46" s="23">
        <v>402.57401388034793</v>
      </c>
      <c r="K46" s="23">
        <v>465.90666950777756</v>
      </c>
      <c r="L46" s="23">
        <v>459.89383046313327</v>
      </c>
      <c r="M46" s="23">
        <v>478.22932526747121</v>
      </c>
      <c r="N46" s="23">
        <v>437.33774861511415</v>
      </c>
      <c r="O46" s="23">
        <v>444.34996318687581</v>
      </c>
      <c r="P46" s="23">
        <v>471.66937982460746</v>
      </c>
      <c r="Q46" s="23">
        <v>499.6409888193661</v>
      </c>
      <c r="R46" s="23">
        <v>463.12160894219392</v>
      </c>
      <c r="S46" s="23">
        <v>505.2</v>
      </c>
      <c r="T46" s="23">
        <v>511.85858089860062</v>
      </c>
      <c r="U46" s="23">
        <v>572.74312282061214</v>
      </c>
      <c r="V46" s="23">
        <v>575.12362114872565</v>
      </c>
      <c r="W46" s="23">
        <v>579.56943070000182</v>
      </c>
      <c r="X46" s="23">
        <v>679.98610781070067</v>
      </c>
      <c r="Y46" s="23">
        <v>686.43785404865037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3318.9689358889623</v>
      </c>
      <c r="E47" s="23">
        <v>3277.5394515091161</v>
      </c>
      <c r="F47" s="23">
        <v>3198.0362074255909</v>
      </c>
      <c r="G47" s="23">
        <v>2934.8562463601033</v>
      </c>
      <c r="H47" s="23">
        <v>2895.8473416958427</v>
      </c>
      <c r="I47" s="23">
        <v>2776.6808453024337</v>
      </c>
      <c r="J47" s="23">
        <v>2725.665466045858</v>
      </c>
      <c r="K47" s="23">
        <v>2795.7596420200298</v>
      </c>
      <c r="L47" s="23">
        <v>2682.3482695201474</v>
      </c>
      <c r="M47" s="23">
        <v>2530.9367368001554</v>
      </c>
      <c r="N47" s="23">
        <v>2535.7208560740787</v>
      </c>
      <c r="O47" s="23">
        <v>2466.0645214812357</v>
      </c>
      <c r="P47" s="23">
        <v>2373.260515675051</v>
      </c>
      <c r="Q47" s="23">
        <v>2315.7246897117652</v>
      </c>
      <c r="R47" s="23">
        <v>2337.2292253090191</v>
      </c>
      <c r="S47" s="23">
        <v>2449.4</v>
      </c>
      <c r="T47" s="23">
        <v>2514.7066044684507</v>
      </c>
      <c r="U47" s="23">
        <v>2614.7810925997678</v>
      </c>
      <c r="V47" s="23">
        <v>2689.9961962723469</v>
      </c>
      <c r="W47" s="23">
        <v>2827.1747857422934</v>
      </c>
      <c r="X47" s="23">
        <v>2827.0605224194346</v>
      </c>
      <c r="Y47" s="23">
        <v>3008.0964002989995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2487.3760740251155</v>
      </c>
      <c r="E48" s="23">
        <v>2443.6954190286501</v>
      </c>
      <c r="F48" s="23">
        <v>2432.157103405953</v>
      </c>
      <c r="G48" s="23">
        <v>2285.795785445167</v>
      </c>
      <c r="H48" s="23">
        <v>2406.0377008509358</v>
      </c>
      <c r="I48" s="23">
        <v>2349.0652254854394</v>
      </c>
      <c r="J48" s="23">
        <v>2496.156549240095</v>
      </c>
      <c r="K48" s="23">
        <v>2612.401448966546</v>
      </c>
      <c r="L48" s="23">
        <v>2729.7901688680827</v>
      </c>
      <c r="M48" s="23">
        <v>2251.6630731343434</v>
      </c>
      <c r="N48" s="23">
        <v>2385.8874511968274</v>
      </c>
      <c r="O48" s="23">
        <v>2319.0194228116934</v>
      </c>
      <c r="P48" s="23">
        <v>2265.9244866880217</v>
      </c>
      <c r="Q48" s="23">
        <v>2255.1030874961534</v>
      </c>
      <c r="R48" s="23">
        <v>2390.3642964957371</v>
      </c>
      <c r="S48" s="23">
        <v>2297.6999999999998</v>
      </c>
      <c r="T48" s="23">
        <v>2536.2140928062854</v>
      </c>
      <c r="U48" s="23">
        <v>2749.128244866331</v>
      </c>
      <c r="V48" s="23">
        <v>2870.5781666032713</v>
      </c>
      <c r="W48" s="23">
        <v>2881.0426274810015</v>
      </c>
      <c r="X48" s="23">
        <v>2698.9233553292997</v>
      </c>
      <c r="Y48" s="23">
        <v>3195.0611057575402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934.30270984798403</v>
      </c>
      <c r="E49" s="23">
        <v>943.00597518002144</v>
      </c>
      <c r="F49" s="23">
        <v>776.67996317888924</v>
      </c>
      <c r="G49" s="23">
        <v>752.58209824452979</v>
      </c>
      <c r="H49" s="23">
        <v>767.81284054812306</v>
      </c>
      <c r="I49" s="23">
        <v>793.51468447834282</v>
      </c>
      <c r="J49" s="23">
        <v>786.58965123429687</v>
      </c>
      <c r="K49" s="23">
        <v>837.95013850415512</v>
      </c>
      <c r="L49" s="23">
        <v>727.61661929443244</v>
      </c>
      <c r="M49" s="23">
        <v>458.30310338132654</v>
      </c>
      <c r="N49" s="23">
        <v>588.60203184726402</v>
      </c>
      <c r="O49" s="23">
        <v>468.71921437682118</v>
      </c>
      <c r="P49" s="23">
        <v>418.94659454917814</v>
      </c>
      <c r="Q49" s="23">
        <v>416.96584265052826</v>
      </c>
      <c r="R49" s="23">
        <v>412.33223187696319</v>
      </c>
      <c r="S49" s="23">
        <v>418.5</v>
      </c>
      <c r="T49" s="23">
        <v>457.156886815615</v>
      </c>
      <c r="U49" s="23">
        <v>488.08601317318869</v>
      </c>
      <c r="V49" s="23">
        <v>522.53708634461771</v>
      </c>
      <c r="W49" s="23">
        <v>460.63072987658006</v>
      </c>
      <c r="X49" s="23">
        <v>399.21765039208879</v>
      </c>
      <c r="Y49" s="23">
        <v>419.49980637084934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920.42300066093844</v>
      </c>
      <c r="E50" s="23">
        <v>916.44961952913536</v>
      </c>
      <c r="F50" s="23">
        <v>848.23565510892922</v>
      </c>
      <c r="G50" s="23">
        <v>753.77063598654581</v>
      </c>
      <c r="H50" s="23">
        <v>709.49940875049276</v>
      </c>
      <c r="I50" s="23">
        <v>686.44153851361261</v>
      </c>
      <c r="J50" s="23">
        <v>670.73706404287088</v>
      </c>
      <c r="K50" s="23">
        <v>675.15448540379293</v>
      </c>
      <c r="L50" s="23">
        <v>692.60993144959036</v>
      </c>
      <c r="M50" s="23">
        <v>643.36150253931589</v>
      </c>
      <c r="N50" s="23">
        <v>683.04000327057906</v>
      </c>
      <c r="O50" s="23">
        <v>628.1044870531872</v>
      </c>
      <c r="P50" s="23">
        <v>584.46673318279682</v>
      </c>
      <c r="Q50" s="23">
        <v>594.3173658836804</v>
      </c>
      <c r="R50" s="23">
        <v>592.33875902582292</v>
      </c>
      <c r="S50" s="23">
        <v>591.6</v>
      </c>
      <c r="T50" s="23">
        <v>589.24625583108275</v>
      </c>
      <c r="U50" s="23">
        <v>626.50135606354127</v>
      </c>
      <c r="V50" s="23">
        <v>616.01369341955115</v>
      </c>
      <c r="W50" s="23">
        <v>644.26685587318184</v>
      </c>
      <c r="X50" s="23">
        <v>599.74043541045933</v>
      </c>
      <c r="Y50" s="23">
        <v>641.58793915541662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811.36814276272287</v>
      </c>
      <c r="E51" s="23">
        <v>784.43388999540377</v>
      </c>
      <c r="F51" s="23">
        <v>808.71432954894146</v>
      </c>
      <c r="G51" s="23">
        <v>764.70518321309294</v>
      </c>
      <c r="H51" s="23">
        <v>731.17855735120236</v>
      </c>
      <c r="I51" s="23">
        <v>708.89417923751273</v>
      </c>
      <c r="J51" s="23">
        <v>737.50329438636572</v>
      </c>
      <c r="K51" s="23">
        <v>803.43064138077989</v>
      </c>
      <c r="L51" s="23">
        <v>821.97793011202145</v>
      </c>
      <c r="M51" s="23">
        <v>741.25545416458033</v>
      </c>
      <c r="N51" s="23">
        <v>727.70384906277468</v>
      </c>
      <c r="O51" s="23">
        <v>677.77627990418216</v>
      </c>
      <c r="P51" s="23">
        <v>736.33356088851542</v>
      </c>
      <c r="Q51" s="23">
        <v>756.69299415324656</v>
      </c>
      <c r="R51" s="23">
        <v>842.51213641741106</v>
      </c>
      <c r="S51" s="23">
        <v>833.5</v>
      </c>
      <c r="T51" s="23">
        <v>842.03289958261723</v>
      </c>
      <c r="U51" s="23">
        <v>868.26811313444409</v>
      </c>
      <c r="V51" s="23">
        <v>878.75618105743627</v>
      </c>
      <c r="W51" s="23">
        <v>884.01142707769293</v>
      </c>
      <c r="X51" s="23">
        <v>841.48280841574206</v>
      </c>
      <c r="Y51" s="23">
        <v>895.19709646334104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1975.2808988764043</v>
      </c>
      <c r="E52" s="23">
        <v>2039.0940197129871</v>
      </c>
      <c r="F52" s="23">
        <v>1911.5065971156798</v>
      </c>
      <c r="G52" s="23">
        <v>1688.555570082128</v>
      </c>
      <c r="H52" s="23">
        <v>1630.109670987039</v>
      </c>
      <c r="I52" s="23">
        <v>1517.3020726382417</v>
      </c>
      <c r="J52" s="23">
        <v>1489.611701660371</v>
      </c>
      <c r="K52" s="23">
        <v>1518.3251651395697</v>
      </c>
      <c r="L52" s="23">
        <v>1360.453937468651</v>
      </c>
      <c r="M52" s="23">
        <v>1125.0651434177046</v>
      </c>
      <c r="N52" s="23">
        <v>1353.9175405245192</v>
      </c>
      <c r="O52" s="23">
        <v>1412.4832785457259</v>
      </c>
      <c r="P52" s="23">
        <v>1364.2808381032401</v>
      </c>
      <c r="Q52" s="23">
        <v>1369.2686429377372</v>
      </c>
      <c r="R52" s="23">
        <v>1413.8416350507894</v>
      </c>
      <c r="S52" s="23">
        <v>1458.7</v>
      </c>
      <c r="T52" s="23">
        <v>1485.2933955315491</v>
      </c>
      <c r="U52" s="23">
        <v>1639.4808213870594</v>
      </c>
      <c r="V52" s="23">
        <v>1887.980220616204</v>
      </c>
      <c r="W52" s="23">
        <v>1936.8149821685306</v>
      </c>
      <c r="X52" s="23">
        <v>1699.7824775622864</v>
      </c>
      <c r="Y52" s="23">
        <v>1847.312157208858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1787.5743555849222</v>
      </c>
      <c r="E53" s="23">
        <v>1891.1189418313697</v>
      </c>
      <c r="F53" s="23">
        <v>1886.4682417919394</v>
      </c>
      <c r="G53" s="23">
        <v>1805.0322687996777</v>
      </c>
      <c r="H53" s="23">
        <v>1763.7784321454164</v>
      </c>
      <c r="I53" s="23">
        <v>1627.0830747707005</v>
      </c>
      <c r="J53" s="23">
        <v>1574.4970570148325</v>
      </c>
      <c r="K53" s="23">
        <v>1619.8593650117218</v>
      </c>
      <c r="L53" s="23">
        <v>1691.5022571476511</v>
      </c>
      <c r="M53" s="23">
        <v>1714.9834970008196</v>
      </c>
      <c r="N53" s="23">
        <v>1724.9238568303808</v>
      </c>
      <c r="O53" s="23">
        <v>1720.5728329513768</v>
      </c>
      <c r="P53" s="23">
        <v>1676.1014546027327</v>
      </c>
      <c r="Q53" s="23">
        <v>1623.2434095804456</v>
      </c>
      <c r="R53" s="23">
        <v>1674.7236160404682</v>
      </c>
      <c r="S53" s="23">
        <v>1724.8999999999796</v>
      </c>
      <c r="T53" s="23">
        <v>1721.2865209918855</v>
      </c>
      <c r="U53" s="23">
        <v>1846.0867880666483</v>
      </c>
      <c r="V53" s="23">
        <v>1990.4906808672458</v>
      </c>
      <c r="W53" s="23">
        <v>2087.3088485165354</v>
      </c>
      <c r="X53" s="23">
        <v>1969.0350412196094</v>
      </c>
      <c r="Y53" s="23">
        <v>2158.3796392193835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25545.935228023787</v>
      </c>
      <c r="E54" s="30">
        <f t="shared" ref="E54:S54" si="4">SUM(E41:E53)</f>
        <v>25444.308258005214</v>
      </c>
      <c r="F54" s="30">
        <f t="shared" si="4"/>
        <v>24836.084688554751</v>
      </c>
      <c r="G54" s="30">
        <f t="shared" si="4"/>
        <v>23396.12774403649</v>
      </c>
      <c r="H54" s="30">
        <f t="shared" si="4"/>
        <v>23038.442811101573</v>
      </c>
      <c r="I54" s="30">
        <f t="shared" si="4"/>
        <v>22480.509076959548</v>
      </c>
      <c r="J54" s="30">
        <f t="shared" si="4"/>
        <v>22535.689185627678</v>
      </c>
      <c r="K54" s="30">
        <f t="shared" si="4"/>
        <v>22891.114425740467</v>
      </c>
      <c r="L54" s="30">
        <f t="shared" si="4"/>
        <v>22274.91222203647</v>
      </c>
      <c r="M54" s="30">
        <f t="shared" si="4"/>
        <v>19956.366683356977</v>
      </c>
      <c r="N54" s="30">
        <f t="shared" si="4"/>
        <v>21296.682406328553</v>
      </c>
      <c r="O54" s="30">
        <f t="shared" si="4"/>
        <v>20713.552414629845</v>
      </c>
      <c r="P54" s="30">
        <f t="shared" si="4"/>
        <v>20139.263771464572</v>
      </c>
      <c r="Q54" s="30">
        <f t="shared" si="4"/>
        <v>20190.993948097221</v>
      </c>
      <c r="R54" s="30">
        <f t="shared" si="4"/>
        <v>20810.998245828741</v>
      </c>
      <c r="S54" s="30">
        <f t="shared" si="4"/>
        <v>21814.799999999977</v>
      </c>
      <c r="T54" s="30">
        <f t="shared" ref="T54:Y54" si="5">SUM(T41:T53)</f>
        <v>22258.679106309832</v>
      </c>
      <c r="U54" s="30">
        <f t="shared" si="5"/>
        <v>23425.997675319653</v>
      </c>
      <c r="V54" s="30">
        <f t="shared" si="5"/>
        <v>23926.017497147201</v>
      </c>
      <c r="W54" s="30">
        <f t="shared" si="5"/>
        <v>23806.878652650448</v>
      </c>
      <c r="X54" s="30">
        <f t="shared" si="5"/>
        <v>22025.152174310439</v>
      </c>
      <c r="Y54" s="30">
        <f t="shared" si="5"/>
        <v>24059.998018678478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3260.2775941837408</v>
      </c>
      <c r="E56" s="19">
        <v>3458.5822991675604</v>
      </c>
      <c r="F56" s="19">
        <v>3579.0119668610005</v>
      </c>
      <c r="G56" s="19">
        <v>3577.9740185649594</v>
      </c>
      <c r="H56" s="19">
        <v>3586.2180899162977</v>
      </c>
      <c r="I56" s="19">
        <v>3590.6172783788966</v>
      </c>
      <c r="J56" s="19">
        <v>3556.9489589739087</v>
      </c>
      <c r="K56" s="19">
        <v>3432.1329639889195</v>
      </c>
      <c r="L56" s="19">
        <v>3509.9690687176058</v>
      </c>
      <c r="M56" s="19">
        <v>3620.7477953423731</v>
      </c>
      <c r="N56" s="19">
        <v>3646.4912818625949</v>
      </c>
      <c r="O56" s="19">
        <v>3544.5335103128596</v>
      </c>
      <c r="P56" s="19">
        <v>3523.0793467415847</v>
      </c>
      <c r="Q56" s="19">
        <v>3599.8563955277468</v>
      </c>
      <c r="R56" s="19">
        <v>3818.0761228735769</v>
      </c>
      <c r="S56" s="19">
        <v>3854.2</v>
      </c>
      <c r="T56" s="19">
        <v>4009.9189786398233</v>
      </c>
      <c r="U56" s="19">
        <v>4008.5238279736532</v>
      </c>
      <c r="V56" s="19">
        <v>4053.6325599087108</v>
      </c>
      <c r="W56" s="19">
        <v>4023.7503967735311</v>
      </c>
      <c r="X56" s="19">
        <v>3809.8415193668084</v>
      </c>
      <c r="Y56" s="19">
        <v>3826.8324972756827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5039.2597488433576</v>
      </c>
      <c r="E57" s="23">
        <v>4945.0998416832645</v>
      </c>
      <c r="F57" s="23">
        <v>4893.7710954280456</v>
      </c>
      <c r="G57" s="23">
        <v>4591.7967125046052</v>
      </c>
      <c r="H57" s="23">
        <v>4272.1834496510473</v>
      </c>
      <c r="I57" s="23">
        <v>3852.6023626045062</v>
      </c>
      <c r="J57" s="23">
        <v>3783.0536765351844</v>
      </c>
      <c r="K57" s="23">
        <v>3819.731515022374</v>
      </c>
      <c r="L57" s="23">
        <v>3645.9204146463803</v>
      </c>
      <c r="M57" s="23">
        <v>3390.4211074891937</v>
      </c>
      <c r="N57" s="23">
        <v>3437.5830420473826</v>
      </c>
      <c r="O57" s="23">
        <v>3509.4832681758317</v>
      </c>
      <c r="P57" s="23">
        <v>3544.0844404768154</v>
      </c>
      <c r="Q57" s="23">
        <v>3655.246691968407</v>
      </c>
      <c r="R57" s="23">
        <v>3839.9012768734956</v>
      </c>
      <c r="S57" s="23">
        <v>3940</v>
      </c>
      <c r="T57" s="23">
        <v>4034.1762828382025</v>
      </c>
      <c r="U57" s="23">
        <v>4054.4362650135608</v>
      </c>
      <c r="V57" s="23">
        <v>4056.5804488398626</v>
      </c>
      <c r="W57" s="23">
        <v>3859.9996265660889</v>
      </c>
      <c r="X57" s="23">
        <v>3571.4807977041328</v>
      </c>
      <c r="Y57" s="23">
        <v>3817.0159496384085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1297.5545274289491</v>
      </c>
      <c r="E58" s="23">
        <v>1209.3355804095806</v>
      </c>
      <c r="F58" s="23">
        <v>1140.1043264805155</v>
      </c>
      <c r="G58" s="23">
        <v>1054.1141233939884</v>
      </c>
      <c r="H58" s="23">
        <v>996.54524797699924</v>
      </c>
      <c r="I58" s="23">
        <v>1022.2157033092259</v>
      </c>
      <c r="J58" s="23">
        <v>1073.6405165597823</v>
      </c>
      <c r="K58" s="23">
        <v>1085.7660345194972</v>
      </c>
      <c r="L58" s="23">
        <v>963.04965724795181</v>
      </c>
      <c r="M58" s="23">
        <v>825.14995759291241</v>
      </c>
      <c r="N58" s="23">
        <v>962.06128247582842</v>
      </c>
      <c r="O58" s="23">
        <v>945.31954828741186</v>
      </c>
      <c r="P58" s="23">
        <v>915.19193404400562</v>
      </c>
      <c r="Q58" s="23">
        <v>904.29787670530311</v>
      </c>
      <c r="R58" s="23">
        <v>925.01937747317743</v>
      </c>
      <c r="S58" s="23">
        <v>951.7</v>
      </c>
      <c r="T58" s="23">
        <v>952.12374171372448</v>
      </c>
      <c r="U58" s="23">
        <v>965.9046881053855</v>
      </c>
      <c r="V58" s="23">
        <v>997.14720426017482</v>
      </c>
      <c r="W58" s="23">
        <v>1021.435106522023</v>
      </c>
      <c r="X58" s="23">
        <v>1003.3450929497139</v>
      </c>
      <c r="Y58" s="23">
        <v>1051.0010176787916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1351.8836748182418</v>
      </c>
      <c r="E59" s="23">
        <v>1251.5959348347887</v>
      </c>
      <c r="F59" s="23">
        <v>1183.1850260816202</v>
      </c>
      <c r="G59" s="23">
        <v>1080.2619537183402</v>
      </c>
      <c r="H59" s="23">
        <v>1011.6163138491503</v>
      </c>
      <c r="I59" s="23">
        <v>1049.0686103056494</v>
      </c>
      <c r="J59" s="23">
        <v>1112.4044627953967</v>
      </c>
      <c r="K59" s="23">
        <v>1122.0967398252717</v>
      </c>
      <c r="L59" s="23">
        <v>977.67931783982613</v>
      </c>
      <c r="M59" s="23">
        <v>846.3024085182044</v>
      </c>
      <c r="N59" s="23">
        <v>1005.1920443163468</v>
      </c>
      <c r="O59" s="23">
        <v>923.54277062831181</v>
      </c>
      <c r="P59" s="23">
        <v>852.0716273696371</v>
      </c>
      <c r="Q59" s="23">
        <v>842.13765514411739</v>
      </c>
      <c r="R59" s="23">
        <v>766.7360176233019</v>
      </c>
      <c r="S59" s="23">
        <v>896.6</v>
      </c>
      <c r="T59" s="23">
        <v>858.04075619936168</v>
      </c>
      <c r="U59" s="23">
        <v>853.35141418055025</v>
      </c>
      <c r="V59" s="23">
        <v>1062.9516926588058</v>
      </c>
      <c r="W59" s="23">
        <v>990.06665795320873</v>
      </c>
      <c r="X59" s="23">
        <v>810.95655035004665</v>
      </c>
      <c r="Y59" s="23">
        <v>996.33455514828381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727.03238598810299</v>
      </c>
      <c r="E60" s="23">
        <v>683.31545886318349</v>
      </c>
      <c r="F60" s="23">
        <v>641.91469776004942</v>
      </c>
      <c r="G60" s="23">
        <v>602.94519652471558</v>
      </c>
      <c r="H60" s="23">
        <v>576.64216652368475</v>
      </c>
      <c r="I60" s="23">
        <v>583.54300414076329</v>
      </c>
      <c r="J60" s="23">
        <v>605.72783976104733</v>
      </c>
      <c r="K60" s="23">
        <v>614.63882378009771</v>
      </c>
      <c r="L60" s="23">
        <v>557.28557097475323</v>
      </c>
      <c r="M60" s="23">
        <v>471.58725130542257</v>
      </c>
      <c r="N60" s="23">
        <v>544.55141963573908</v>
      </c>
      <c r="O60" s="23">
        <v>488.21461532877731</v>
      </c>
      <c r="P60" s="23">
        <v>440.26676469043764</v>
      </c>
      <c r="Q60" s="23">
        <v>414.91435018976313</v>
      </c>
      <c r="R60" s="23">
        <v>424.67262269000094</v>
      </c>
      <c r="S60" s="23">
        <v>424.79999999999984</v>
      </c>
      <c r="T60" s="23">
        <v>403.5354775349864</v>
      </c>
      <c r="U60" s="23">
        <v>429.96900426191416</v>
      </c>
      <c r="V60" s="23">
        <v>412.70445036135425</v>
      </c>
      <c r="W60" s="23">
        <v>402.37503967735324</v>
      </c>
      <c r="X60" s="23">
        <v>338.62211417186109</v>
      </c>
      <c r="Y60" s="23">
        <v>346.55114961679453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272.70323859881029</v>
      </c>
      <c r="E61" s="23">
        <v>258.0307440886574</v>
      </c>
      <c r="F61" s="23">
        <v>194.04725375882174</v>
      </c>
      <c r="G61" s="23">
        <v>217.26469924052438</v>
      </c>
      <c r="H61" s="23">
        <v>365.18351920981246</v>
      </c>
      <c r="I61" s="23">
        <v>615.92445081292101</v>
      </c>
      <c r="J61" s="23">
        <v>686.00105420363718</v>
      </c>
      <c r="K61" s="23">
        <v>580.65203494566379</v>
      </c>
      <c r="L61" s="23">
        <v>681.84668115699719</v>
      </c>
      <c r="M61" s="23">
        <v>161.65786166092721</v>
      </c>
      <c r="N61" s="23">
        <v>440.30171092169007</v>
      </c>
      <c r="O61" s="23">
        <v>321.25931994234338</v>
      </c>
      <c r="P61" s="23">
        <v>268.34007246757335</v>
      </c>
      <c r="Q61" s="23">
        <v>216.63760385680584</v>
      </c>
      <c r="R61" s="23">
        <v>191.73499775629256</v>
      </c>
      <c r="S61" s="23">
        <v>589.29999999999995</v>
      </c>
      <c r="T61" s="23">
        <v>407.66020132580405</v>
      </c>
      <c r="U61" s="23">
        <v>797.84967067028288</v>
      </c>
      <c r="V61" s="23">
        <v>527.38683910232032</v>
      </c>
      <c r="W61" s="23">
        <v>401.90824728793621</v>
      </c>
      <c r="X61" s="23">
        <v>-65.987899171952407</v>
      </c>
      <c r="Y61" s="23">
        <v>138.69250790277115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913.68142762723062</v>
      </c>
      <c r="E62" s="23">
        <v>888.36116643685205</v>
      </c>
      <c r="F62" s="23">
        <v>867.62810678122128</v>
      </c>
      <c r="G62" s="23">
        <v>853.60780631588955</v>
      </c>
      <c r="H62" s="23">
        <v>893.94606877043293</v>
      </c>
      <c r="I62" s="23">
        <v>870.01162121605307</v>
      </c>
      <c r="J62" s="23">
        <v>834.57787929368362</v>
      </c>
      <c r="K62" s="23">
        <v>907.30875772427021</v>
      </c>
      <c r="L62" s="23">
        <v>772.96856712924262</v>
      </c>
      <c r="M62" s="23">
        <v>696.7024657422262</v>
      </c>
      <c r="N62" s="23">
        <v>823.36828764743154</v>
      </c>
      <c r="O62" s="23">
        <v>844.1093816432134</v>
      </c>
      <c r="P62" s="23">
        <v>705.24602216037385</v>
      </c>
      <c r="Q62" s="23">
        <v>726.94635347215103</v>
      </c>
      <c r="R62" s="23">
        <v>718.39432138049199</v>
      </c>
      <c r="S62" s="23">
        <v>878.7</v>
      </c>
      <c r="T62" s="23">
        <v>935.42843113184381</v>
      </c>
      <c r="U62" s="23">
        <v>910.88725300271221</v>
      </c>
      <c r="V62" s="23">
        <v>784.13845568657291</v>
      </c>
      <c r="W62" s="23">
        <v>806.52389043449034</v>
      </c>
      <c r="X62" s="23">
        <v>841.66560038020725</v>
      </c>
      <c r="Y62" s="23">
        <v>1031.998342894711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448.24851288830138</v>
      </c>
      <c r="E63" s="23">
        <v>454.64991573464073</v>
      </c>
      <c r="F63" s="23">
        <v>474.62411782755447</v>
      </c>
      <c r="G63" s="23">
        <v>432.86544564222635</v>
      </c>
      <c r="H63" s="23">
        <v>431.84400287509567</v>
      </c>
      <c r="I63" s="23">
        <v>437.54442576525145</v>
      </c>
      <c r="J63" s="23">
        <v>402.57401388034793</v>
      </c>
      <c r="K63" s="23">
        <v>465.90666950777756</v>
      </c>
      <c r="L63" s="23">
        <v>459.89383046313327</v>
      </c>
      <c r="M63" s="23">
        <v>478.22932526747121</v>
      </c>
      <c r="N63" s="23">
        <v>437.33774861511415</v>
      </c>
      <c r="O63" s="23">
        <v>444.34996318687581</v>
      </c>
      <c r="P63" s="23">
        <v>471.66937982460746</v>
      </c>
      <c r="Q63" s="23">
        <v>499.6409888193661</v>
      </c>
      <c r="R63" s="23">
        <v>463.12160894219392</v>
      </c>
      <c r="S63" s="23">
        <v>505.2</v>
      </c>
      <c r="T63" s="23">
        <v>511.85858089860062</v>
      </c>
      <c r="U63" s="23">
        <v>572.74312282061214</v>
      </c>
      <c r="V63" s="23">
        <v>575.12362114872565</v>
      </c>
      <c r="W63" s="23">
        <v>579.56943070000182</v>
      </c>
      <c r="X63" s="23">
        <v>679.98610781070067</v>
      </c>
      <c r="Y63" s="23">
        <v>686.43785404865037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1245.340383344349</v>
      </c>
      <c r="E64" s="23">
        <v>1228.3591236402635</v>
      </c>
      <c r="F64" s="23">
        <v>1198.8953666768948</v>
      </c>
      <c r="G64" s="23">
        <v>1096.6637745581611</v>
      </c>
      <c r="H64" s="23">
        <v>1079.0883164460108</v>
      </c>
      <c r="I64" s="23">
        <v>1029.8879624510612</v>
      </c>
      <c r="J64" s="23">
        <v>1008.7411051568129</v>
      </c>
      <c r="K64" s="23">
        <v>1033.4540805454933</v>
      </c>
      <c r="L64" s="23">
        <v>987.92008025413816</v>
      </c>
      <c r="M64" s="23">
        <v>942.66357384453454</v>
      </c>
      <c r="N64" s="23">
        <v>916.68199750618351</v>
      </c>
      <c r="O64" s="23">
        <v>989.08050148807979</v>
      </c>
      <c r="P64" s="23">
        <v>1029.6696949010134</v>
      </c>
      <c r="Q64" s="23">
        <v>1052.2104831264746</v>
      </c>
      <c r="R64" s="23">
        <v>1092.8894872108674</v>
      </c>
      <c r="S64" s="23">
        <v>1186.9000000000001</v>
      </c>
      <c r="T64" s="23">
        <v>1209.5261478026023</v>
      </c>
      <c r="U64" s="23">
        <v>1211.933359163115</v>
      </c>
      <c r="V64" s="23">
        <v>1228.3187523773299</v>
      </c>
      <c r="W64" s="23">
        <v>1283.8657878521949</v>
      </c>
      <c r="X64" s="23">
        <v>1269.2160052644085</v>
      </c>
      <c r="Y64" s="23">
        <v>1341.3546835739437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2073.6285525446133</v>
      </c>
      <c r="E65" s="23">
        <v>2049.1803278688526</v>
      </c>
      <c r="F65" s="23">
        <v>1999.1408407486961</v>
      </c>
      <c r="G65" s="23">
        <v>1838.1924718019422</v>
      </c>
      <c r="H65" s="23">
        <v>1816.7590252498319</v>
      </c>
      <c r="I65" s="23">
        <v>1746.7928828513725</v>
      </c>
      <c r="J65" s="23">
        <v>1716.9243608890451</v>
      </c>
      <c r="K65" s="23">
        <v>1762.3055614745365</v>
      </c>
      <c r="L65" s="23">
        <v>1694.4281892660092</v>
      </c>
      <c r="M65" s="23">
        <v>1588.2731629556208</v>
      </c>
      <c r="N65" s="23">
        <v>1619.0388585678952</v>
      </c>
      <c r="O65" s="23">
        <v>1476.9840199931559</v>
      </c>
      <c r="P65" s="23">
        <v>1343.5908207740376</v>
      </c>
      <c r="Q65" s="23">
        <v>1263.5142065852906</v>
      </c>
      <c r="R65" s="23">
        <v>1244.3397380981517</v>
      </c>
      <c r="S65" s="23">
        <v>1262.5</v>
      </c>
      <c r="T65" s="23">
        <v>1305.1804566658484</v>
      </c>
      <c r="U65" s="23">
        <v>1402.8477334366528</v>
      </c>
      <c r="V65" s="23">
        <v>1461.6774438950169</v>
      </c>
      <c r="W65" s="23">
        <v>1543.3089978900985</v>
      </c>
      <c r="X65" s="23">
        <v>1557.8445171550261</v>
      </c>
      <c r="Y65" s="23">
        <v>1666.7417167250558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400.39656311962977</v>
      </c>
      <c r="E66" s="23">
        <v>389.91879883560591</v>
      </c>
      <c r="F66" s="23">
        <v>396.9315741024854</v>
      </c>
      <c r="G66" s="23">
        <v>351.80717163673535</v>
      </c>
      <c r="H66" s="23">
        <v>353.8222541677294</v>
      </c>
      <c r="I66" s="23">
        <v>336.22547415689769</v>
      </c>
      <c r="J66" s="23">
        <v>357.6605464288852</v>
      </c>
      <c r="K66" s="23">
        <v>352.12017898998511</v>
      </c>
      <c r="L66" s="23">
        <v>378.80371175388734</v>
      </c>
      <c r="M66" s="23">
        <v>344.67254575367099</v>
      </c>
      <c r="N66" s="23">
        <v>356.79973835367224</v>
      </c>
      <c r="O66" s="23">
        <v>379.74552279821222</v>
      </c>
      <c r="P66" s="23">
        <v>338.07698366853958</v>
      </c>
      <c r="Q66" s="23">
        <v>346.4970766232434</v>
      </c>
      <c r="R66" s="23">
        <v>369.70179088646836</v>
      </c>
      <c r="S66" s="23">
        <v>302.5</v>
      </c>
      <c r="T66" s="23">
        <v>385.95629756935921</v>
      </c>
      <c r="U66" s="23">
        <v>458.83378535451379</v>
      </c>
      <c r="V66" s="23">
        <v>474.03955876759227</v>
      </c>
      <c r="W66" s="23">
        <v>435.61065780383512</v>
      </c>
      <c r="X66" s="23">
        <v>398.66927449869303</v>
      </c>
      <c r="Y66" s="23">
        <v>676.9815466916433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2086.9795109054858</v>
      </c>
      <c r="E67" s="23">
        <v>2053.7766201930444</v>
      </c>
      <c r="F67" s="23">
        <v>2035.2255293034675</v>
      </c>
      <c r="G67" s="23">
        <v>1933.9886138084316</v>
      </c>
      <c r="H67" s="23">
        <v>2052.2154466832062</v>
      </c>
      <c r="I67" s="23">
        <v>2012.8397513285418</v>
      </c>
      <c r="J67" s="23">
        <v>2138.49600281121</v>
      </c>
      <c r="K67" s="23">
        <v>2260.2812699765609</v>
      </c>
      <c r="L67" s="23">
        <v>2350.9864571141952</v>
      </c>
      <c r="M67" s="23">
        <v>1906.9905273806726</v>
      </c>
      <c r="N67" s="23">
        <v>2029.0877128431553</v>
      </c>
      <c r="O67" s="23">
        <v>1939.2739000134811</v>
      </c>
      <c r="P67" s="23">
        <v>1927.8475030194822</v>
      </c>
      <c r="Q67" s="23">
        <v>1908.60601087291</v>
      </c>
      <c r="R67" s="23">
        <v>2020.6625056092687</v>
      </c>
      <c r="S67" s="23">
        <v>1995.1999999999998</v>
      </c>
      <c r="T67" s="23">
        <v>2150.2577952369261</v>
      </c>
      <c r="U67" s="23">
        <v>2290.294459511817</v>
      </c>
      <c r="V67" s="23">
        <v>2396.5386078356792</v>
      </c>
      <c r="W67" s="23">
        <v>2445.4319696771663</v>
      </c>
      <c r="X67" s="23">
        <v>2300.2540808306067</v>
      </c>
      <c r="Y67" s="23">
        <v>2518.0795590658968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934.30270984798403</v>
      </c>
      <c r="E68" s="23">
        <v>943.00597518002144</v>
      </c>
      <c r="F68" s="23">
        <v>776.67996317888924</v>
      </c>
      <c r="G68" s="23">
        <v>752.58209824452979</v>
      </c>
      <c r="H68" s="23">
        <v>767.81284054812306</v>
      </c>
      <c r="I68" s="23">
        <v>793.51468447834282</v>
      </c>
      <c r="J68" s="23">
        <v>786.58965123429687</v>
      </c>
      <c r="K68" s="23">
        <v>837.95013850415512</v>
      </c>
      <c r="L68" s="23">
        <v>727.61661929443244</v>
      </c>
      <c r="M68" s="23">
        <v>458.30310338132654</v>
      </c>
      <c r="N68" s="23">
        <v>588.60203184726402</v>
      </c>
      <c r="O68" s="23">
        <v>468.71921437682118</v>
      </c>
      <c r="P68" s="23">
        <v>418.94659454917814</v>
      </c>
      <c r="Q68" s="23">
        <v>416.96584265052826</v>
      </c>
      <c r="R68" s="23">
        <v>412.33223187696319</v>
      </c>
      <c r="S68" s="23">
        <v>418.5</v>
      </c>
      <c r="T68" s="23">
        <v>457.156886815615</v>
      </c>
      <c r="U68" s="23">
        <v>488.08601317318869</v>
      </c>
      <c r="V68" s="23">
        <v>522.53708634461771</v>
      </c>
      <c r="W68" s="23">
        <v>460.63072987658006</v>
      </c>
      <c r="X68" s="23">
        <v>399.21765039208879</v>
      </c>
      <c r="Y68" s="23">
        <v>419.49980637084934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920.42300066093844</v>
      </c>
      <c r="E69" s="23">
        <v>916.44961952913536</v>
      </c>
      <c r="F69" s="23">
        <v>848.23565510892922</v>
      </c>
      <c r="G69" s="23">
        <v>753.77063598654581</v>
      </c>
      <c r="H69" s="23">
        <v>709.49940875049276</v>
      </c>
      <c r="I69" s="23">
        <v>686.44153851361261</v>
      </c>
      <c r="J69" s="23">
        <v>670.73706404287088</v>
      </c>
      <c r="K69" s="23">
        <v>675.15448540379293</v>
      </c>
      <c r="L69" s="23">
        <v>692.60993144959036</v>
      </c>
      <c r="M69" s="23">
        <v>643.36150253931589</v>
      </c>
      <c r="N69" s="23">
        <v>683.04000327057906</v>
      </c>
      <c r="O69" s="23">
        <v>628.1044870531872</v>
      </c>
      <c r="P69" s="23">
        <v>584.46673318279682</v>
      </c>
      <c r="Q69" s="23">
        <v>594.3173658836804</v>
      </c>
      <c r="R69" s="23">
        <v>592.33875902582292</v>
      </c>
      <c r="S69" s="23">
        <v>591.6</v>
      </c>
      <c r="T69" s="23">
        <v>589.24625583108275</v>
      </c>
      <c r="U69" s="23">
        <v>626.50135606354127</v>
      </c>
      <c r="V69" s="23">
        <v>616.01369341955115</v>
      </c>
      <c r="W69" s="23">
        <v>644.26685587318184</v>
      </c>
      <c r="X69" s="23">
        <v>599.74043541045933</v>
      </c>
      <c r="Y69" s="23">
        <v>641.58793915541662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811.36814276272287</v>
      </c>
      <c r="E70" s="23">
        <v>784.43388999540377</v>
      </c>
      <c r="F70" s="23">
        <v>808.71432954894146</v>
      </c>
      <c r="G70" s="23">
        <v>764.70518321309294</v>
      </c>
      <c r="H70" s="23">
        <v>731.17855735120236</v>
      </c>
      <c r="I70" s="23">
        <v>708.89417923751273</v>
      </c>
      <c r="J70" s="23">
        <v>737.50329438636572</v>
      </c>
      <c r="K70" s="23">
        <v>803.43064138077989</v>
      </c>
      <c r="L70" s="23">
        <v>821.97793011202145</v>
      </c>
      <c r="M70" s="23">
        <v>741.25545416458033</v>
      </c>
      <c r="N70" s="23">
        <v>727.70384906277468</v>
      </c>
      <c r="O70" s="23">
        <v>677.77627990418216</v>
      </c>
      <c r="P70" s="23">
        <v>736.33356088851542</v>
      </c>
      <c r="Q70" s="23">
        <v>756.69299415324656</v>
      </c>
      <c r="R70" s="23">
        <v>842.51213641741106</v>
      </c>
      <c r="S70" s="23">
        <v>833.5</v>
      </c>
      <c r="T70" s="23">
        <v>842.03289958261723</v>
      </c>
      <c r="U70" s="23">
        <v>868.26811313444409</v>
      </c>
      <c r="V70" s="23">
        <v>878.75618105743627</v>
      </c>
      <c r="W70" s="23">
        <v>884.01142707769293</v>
      </c>
      <c r="X70" s="23">
        <v>841.48280841574206</v>
      </c>
      <c r="Y70" s="23">
        <v>895.19709646334104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1821.0178453403832</v>
      </c>
      <c r="E71" s="23">
        <v>1883.4584546243809</v>
      </c>
      <c r="F71" s="23">
        <v>1763.9766799631791</v>
      </c>
      <c r="G71" s="23">
        <v>1555.4393429763361</v>
      </c>
      <c r="H71" s="23">
        <v>1503.0489925572122</v>
      </c>
      <c r="I71" s="23">
        <v>1399.1718473220428</v>
      </c>
      <c r="J71" s="23">
        <v>1370.4647281033122</v>
      </c>
      <c r="K71" s="23">
        <v>1398.8919667590028</v>
      </c>
      <c r="L71" s="23">
        <v>1251.6719612104998</v>
      </c>
      <c r="M71" s="23">
        <v>1037.9006958849798</v>
      </c>
      <c r="N71" s="23">
        <v>1249.5656262136913</v>
      </c>
      <c r="O71" s="23">
        <v>1307.125154252175</v>
      </c>
      <c r="P71" s="23">
        <v>1266.5021267657407</v>
      </c>
      <c r="Q71" s="23">
        <v>1233.1521181659657</v>
      </c>
      <c r="R71" s="23">
        <v>1316.0363888548934</v>
      </c>
      <c r="S71" s="23">
        <v>1341.4</v>
      </c>
      <c r="T71" s="23">
        <v>1331.1072919224159</v>
      </c>
      <c r="U71" s="23">
        <v>1459.705540488183</v>
      </c>
      <c r="V71" s="23">
        <v>1695.2263217953596</v>
      </c>
      <c r="W71" s="23">
        <v>1737.121197975988</v>
      </c>
      <c r="X71" s="23">
        <v>1502.3671559398249</v>
      </c>
      <c r="Y71" s="23">
        <v>1605.2306888694759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154.26305353602106</v>
      </c>
      <c r="E72" s="23">
        <v>155.6355650886062</v>
      </c>
      <c r="F72" s="23">
        <v>147.52991715250073</v>
      </c>
      <c r="G72" s="23">
        <v>133.11622710579195</v>
      </c>
      <c r="H72" s="23">
        <v>127.06067842982679</v>
      </c>
      <c r="I72" s="23">
        <v>118.1302253161989</v>
      </c>
      <c r="J72" s="23">
        <v>119.1469735570588</v>
      </c>
      <c r="K72" s="23">
        <v>119.43319838056686</v>
      </c>
      <c r="L72" s="23">
        <v>108.78197625815119</v>
      </c>
      <c r="M72" s="23">
        <v>87.164447532724807</v>
      </c>
      <c r="N72" s="23">
        <v>104.35191431082785</v>
      </c>
      <c r="O72" s="23">
        <v>105.35812429355087</v>
      </c>
      <c r="P72" s="23">
        <v>97.778711337499317</v>
      </c>
      <c r="Q72" s="23">
        <v>136.11652477177154</v>
      </c>
      <c r="R72" s="23">
        <v>97.805246195895961</v>
      </c>
      <c r="S72" s="23">
        <v>117.29999999999995</v>
      </c>
      <c r="T72" s="23">
        <v>154.18610360913317</v>
      </c>
      <c r="U72" s="23">
        <v>179.77528089887642</v>
      </c>
      <c r="V72" s="23">
        <v>192.75389882084437</v>
      </c>
      <c r="W72" s="23">
        <v>199.69378419254258</v>
      </c>
      <c r="X72" s="23">
        <v>197.41532162246153</v>
      </c>
      <c r="Y72" s="23">
        <v>242.08146833938213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1046.1335095836087</v>
      </c>
      <c r="E73" s="23">
        <v>1103.4931821663858</v>
      </c>
      <c r="F73" s="23">
        <v>1099.2328935256214</v>
      </c>
      <c r="G73" s="23">
        <v>1052.9255856519724</v>
      </c>
      <c r="H73" s="23">
        <v>1029.817524171671</v>
      </c>
      <c r="I73" s="23">
        <v>952.82688901174538</v>
      </c>
      <c r="J73" s="23">
        <v>923.63612404462799</v>
      </c>
      <c r="K73" s="23">
        <v>950.67121244406565</v>
      </c>
      <c r="L73" s="23">
        <v>993.04046146129417</v>
      </c>
      <c r="M73" s="23">
        <v>1002.9531682692799</v>
      </c>
      <c r="N73" s="23">
        <v>1010.2001185584922</v>
      </c>
      <c r="O73" s="23">
        <v>988.25090995820926</v>
      </c>
      <c r="P73" s="23">
        <v>946.90962558420415</v>
      </c>
      <c r="Q73" s="23">
        <v>946.14832290491336</v>
      </c>
      <c r="R73" s="23">
        <v>985.59947782809115</v>
      </c>
      <c r="S73" s="23">
        <v>1022.7</v>
      </c>
      <c r="T73" s="23">
        <v>1020.1816842622145</v>
      </c>
      <c r="U73" s="23">
        <v>1105.4823711739637</v>
      </c>
      <c r="V73" s="23">
        <v>1171.9284899201218</v>
      </c>
      <c r="W73" s="23">
        <v>1216.2742498646301</v>
      </c>
      <c r="X73" s="23">
        <v>1139.6165024585521</v>
      </c>
      <c r="Y73" s="23">
        <v>1256.6982177112134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741.4408460013135</v>
      </c>
      <c r="E74" s="23">
        <v>787.62575966498389</v>
      </c>
      <c r="F74" s="23">
        <v>787.23534826631794</v>
      </c>
      <c r="G74" s="23">
        <v>752.10668314770533</v>
      </c>
      <c r="H74" s="23">
        <v>733.96090797374541</v>
      </c>
      <c r="I74" s="23">
        <v>674.2561857589551</v>
      </c>
      <c r="J74" s="23">
        <v>650.86093297020454</v>
      </c>
      <c r="K74" s="23">
        <v>669.18815256765618</v>
      </c>
      <c r="L74" s="23">
        <v>698.46179568635694</v>
      </c>
      <c r="M74" s="23">
        <v>712.03032873153973</v>
      </c>
      <c r="N74" s="23">
        <v>714.72373827188858</v>
      </c>
      <c r="O74" s="23">
        <v>732.3219229931675</v>
      </c>
      <c r="P74" s="23">
        <v>729.19182901852855</v>
      </c>
      <c r="Q74" s="23">
        <v>677.09508667553223</v>
      </c>
      <c r="R74" s="23">
        <v>689.12413821237703</v>
      </c>
      <c r="S74" s="23">
        <v>702.19999999997958</v>
      </c>
      <c r="T74" s="23">
        <v>701.10483672967098</v>
      </c>
      <c r="U74" s="23">
        <v>740.60441689268464</v>
      </c>
      <c r="V74" s="23">
        <v>818.56219094712401</v>
      </c>
      <c r="W74" s="23">
        <v>871.0345986519053</v>
      </c>
      <c r="X74" s="23">
        <v>829.41853876105733</v>
      </c>
      <c r="Y74" s="23">
        <v>901.68142150817016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25545.935228023787</v>
      </c>
      <c r="E75" s="30">
        <f t="shared" ref="E75:S75" si="6">SUM(E56:E74)</f>
        <v>25444.308258005221</v>
      </c>
      <c r="F75" s="30">
        <f t="shared" si="6"/>
        <v>24836.084688554751</v>
      </c>
      <c r="G75" s="30">
        <f t="shared" si="6"/>
        <v>23396.12774403649</v>
      </c>
      <c r="H75" s="30">
        <f t="shared" si="6"/>
        <v>23038.44281110157</v>
      </c>
      <c r="I75" s="30">
        <f t="shared" si="6"/>
        <v>22480.509076959548</v>
      </c>
      <c r="J75" s="30">
        <f t="shared" si="6"/>
        <v>22535.689185627674</v>
      </c>
      <c r="K75" s="30">
        <f t="shared" si="6"/>
        <v>22891.114425740467</v>
      </c>
      <c r="L75" s="30">
        <f t="shared" si="6"/>
        <v>22274.912222036466</v>
      </c>
      <c r="M75" s="30">
        <f t="shared" si="6"/>
        <v>19956.36668335697</v>
      </c>
      <c r="N75" s="30">
        <f t="shared" si="6"/>
        <v>21296.682406328557</v>
      </c>
      <c r="O75" s="30">
        <f t="shared" si="6"/>
        <v>20713.552414629845</v>
      </c>
      <c r="P75" s="30">
        <f t="shared" si="6"/>
        <v>20139.263771464564</v>
      </c>
      <c r="Q75" s="30">
        <f t="shared" si="6"/>
        <v>20190.993948097221</v>
      </c>
      <c r="R75" s="30">
        <f t="shared" si="6"/>
        <v>20810.998245828745</v>
      </c>
      <c r="S75" s="30">
        <f t="shared" si="6"/>
        <v>21814.799999999977</v>
      </c>
      <c r="T75" s="30">
        <f t="shared" ref="T75:Y75" si="7">SUM(T56:T74)</f>
        <v>22258.679106309828</v>
      </c>
      <c r="U75" s="30">
        <f t="shared" si="7"/>
        <v>23425.997675319653</v>
      </c>
      <c r="V75" s="30">
        <f t="shared" si="7"/>
        <v>23926.017497147197</v>
      </c>
      <c r="W75" s="30">
        <f t="shared" si="7"/>
        <v>23806.878652650448</v>
      </c>
      <c r="X75" s="30">
        <f t="shared" si="7"/>
        <v>22025.152174310439</v>
      </c>
      <c r="Y75" s="30">
        <f t="shared" si="7"/>
        <v>24059.998018678478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10249022</v>
      </c>
      <c r="E3" s="42">
        <v>10330774</v>
      </c>
      <c r="F3" s="42">
        <v>10394669</v>
      </c>
      <c r="G3" s="42">
        <v>10444592</v>
      </c>
      <c r="H3" s="42">
        <v>10473050</v>
      </c>
      <c r="I3" s="42">
        <v>10494672</v>
      </c>
      <c r="J3" s="42">
        <v>10511988</v>
      </c>
      <c r="K3" s="42">
        <v>10532588</v>
      </c>
      <c r="L3" s="42">
        <v>10553339</v>
      </c>
      <c r="M3" s="42">
        <v>10563014</v>
      </c>
      <c r="N3" s="42">
        <v>10573479</v>
      </c>
      <c r="O3" s="42">
        <v>10572721</v>
      </c>
      <c r="P3" s="42">
        <v>10542398</v>
      </c>
      <c r="Q3" s="42">
        <v>10487289</v>
      </c>
      <c r="R3" s="42">
        <v>10427301</v>
      </c>
      <c r="S3" s="42">
        <v>10374822</v>
      </c>
      <c r="T3" s="42">
        <v>10341330</v>
      </c>
      <c r="U3" s="42">
        <v>10309573</v>
      </c>
      <c r="V3" s="42">
        <v>10291027</v>
      </c>
      <c r="W3" s="42">
        <v>10276617</v>
      </c>
      <c r="X3" s="42">
        <v>10295909</v>
      </c>
      <c r="Y3" s="42">
        <v>10298252</v>
      </c>
    </row>
    <row r="4" spans="1:25" x14ac:dyDescent="0.25">
      <c r="A4" s="43" t="s">
        <v>239</v>
      </c>
      <c r="B4" s="44"/>
      <c r="C4" s="44"/>
      <c r="D4" s="45">
        <v>3593762</v>
      </c>
      <c r="E4" s="45">
        <v>3643473</v>
      </c>
      <c r="F4" s="45">
        <v>3687431</v>
      </c>
      <c r="G4" s="45">
        <v>3726920</v>
      </c>
      <c r="H4" s="45">
        <v>3759171</v>
      </c>
      <c r="I4" s="45">
        <v>3783227</v>
      </c>
      <c r="J4" s="45">
        <v>3828109</v>
      </c>
      <c r="K4" s="45">
        <v>3842608</v>
      </c>
      <c r="L4" s="45">
        <v>3869945</v>
      </c>
      <c r="M4" s="45">
        <v>3915128</v>
      </c>
      <c r="N4" s="45">
        <v>3926283</v>
      </c>
      <c r="O4" s="45">
        <v>4003302</v>
      </c>
      <c r="P4" s="45">
        <v>4046986</v>
      </c>
      <c r="Q4" s="45">
        <v>4042902</v>
      </c>
      <c r="R4" s="45">
        <v>4105237</v>
      </c>
      <c r="S4" s="45">
        <v>4123538</v>
      </c>
      <c r="T4" s="45">
        <v>4106962</v>
      </c>
      <c r="U4" s="45">
        <v>4132093</v>
      </c>
      <c r="V4" s="45">
        <v>4156311</v>
      </c>
      <c r="W4" s="45">
        <v>4182587</v>
      </c>
      <c r="X4" s="45">
        <v>4155777</v>
      </c>
      <c r="Y4" s="45">
        <v>4152521</v>
      </c>
    </row>
    <row r="5" spans="1:25" x14ac:dyDescent="0.25">
      <c r="A5" s="46" t="s">
        <v>240</v>
      </c>
      <c r="B5" s="47"/>
      <c r="C5" s="47"/>
      <c r="D5" s="48">
        <f>D3/D4</f>
        <v>2.8518922510728313</v>
      </c>
      <c r="E5" s="48">
        <f t="shared" ref="E5:S5" si="0">E3/E4</f>
        <v>2.8354193924313424</v>
      </c>
      <c r="F5" s="48">
        <f t="shared" si="0"/>
        <v>2.8189460358715865</v>
      </c>
      <c r="G5" s="48">
        <f t="shared" si="0"/>
        <v>2.8024728193790045</v>
      </c>
      <c r="H5" s="48">
        <f t="shared" si="0"/>
        <v>2.7859998919974642</v>
      </c>
      <c r="I5" s="48">
        <f t="shared" si="0"/>
        <v>2.774000079826032</v>
      </c>
      <c r="J5" s="48">
        <f t="shared" si="0"/>
        <v>2.7460001792007489</v>
      </c>
      <c r="K5" s="48">
        <f t="shared" si="0"/>
        <v>2.7409998625933221</v>
      </c>
      <c r="L5" s="48">
        <f t="shared" si="0"/>
        <v>2.7269997377223709</v>
      </c>
      <c r="M5" s="48">
        <f t="shared" si="0"/>
        <v>2.6979996567162043</v>
      </c>
      <c r="N5" s="48">
        <f t="shared" si="0"/>
        <v>2.6929997149976197</v>
      </c>
      <c r="O5" s="48">
        <f t="shared" si="0"/>
        <v>2.6410001044138065</v>
      </c>
      <c r="P5" s="48">
        <f t="shared" si="0"/>
        <v>2.6049998690383411</v>
      </c>
      <c r="Q5" s="48">
        <f t="shared" si="0"/>
        <v>2.5940002997846596</v>
      </c>
      <c r="R5" s="48">
        <f t="shared" si="0"/>
        <v>2.5399997612805301</v>
      </c>
      <c r="S5" s="48">
        <f t="shared" si="0"/>
        <v>2.5160000950639958</v>
      </c>
      <c r="T5" s="48">
        <f t="shared" ref="T5:Y5" si="1">T3/T4</f>
        <v>2.5179999230574812</v>
      </c>
      <c r="U5" s="48">
        <f t="shared" si="1"/>
        <v>2.4950002335378221</v>
      </c>
      <c r="V5" s="48">
        <f t="shared" si="1"/>
        <v>2.4760002319364456</v>
      </c>
      <c r="W5" s="48">
        <f t="shared" si="1"/>
        <v>2.4570001771630809</v>
      </c>
      <c r="X5" s="48">
        <f t="shared" si="1"/>
        <v>2.4774931378656748</v>
      </c>
      <c r="Y5" s="48">
        <f t="shared" si="1"/>
        <v>2.4799999807345947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1263.95</v>
      </c>
      <c r="E8" s="42">
        <v>1246.56</v>
      </c>
      <c r="F8" s="42">
        <v>1137.33</v>
      </c>
      <c r="G8" s="42">
        <v>1220.4000000000001</v>
      </c>
      <c r="H8" s="42">
        <v>1344.48</v>
      </c>
      <c r="I8" s="42">
        <v>1338.02</v>
      </c>
      <c r="J8" s="42">
        <v>1189.3</v>
      </c>
      <c r="K8" s="42">
        <v>1236.5999999999999</v>
      </c>
      <c r="L8" s="42">
        <v>1267.83</v>
      </c>
      <c r="M8" s="42">
        <v>1153.8499999999999</v>
      </c>
      <c r="N8" s="42">
        <v>1298.28</v>
      </c>
      <c r="O8" s="42">
        <v>1089.29</v>
      </c>
      <c r="P8" s="42">
        <v>1347.73</v>
      </c>
      <c r="Q8" s="42">
        <v>1336.17</v>
      </c>
      <c r="R8" s="42">
        <v>1138.56</v>
      </c>
      <c r="S8" s="42">
        <v>1080.28</v>
      </c>
      <c r="T8" s="42">
        <v>1233.04</v>
      </c>
      <c r="U8" s="42">
        <v>1054.83</v>
      </c>
      <c r="V8" s="42">
        <v>1307.33</v>
      </c>
      <c r="W8" s="42">
        <v>1109.07</v>
      </c>
      <c r="X8" s="42">
        <v>1007.58</v>
      </c>
      <c r="Y8" s="42">
        <v>1064.78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1209.5466666666669</v>
      </c>
      <c r="E9" s="45">
        <f t="shared" si="2"/>
        <v>1209.5466666666669</v>
      </c>
      <c r="F9" s="45">
        <f t="shared" si="2"/>
        <v>1209.5466666666669</v>
      </c>
      <c r="G9" s="45">
        <f t="shared" si="2"/>
        <v>1209.5466666666669</v>
      </c>
      <c r="H9" s="45">
        <f t="shared" si="2"/>
        <v>1209.5466666666669</v>
      </c>
      <c r="I9" s="45">
        <f t="shared" si="2"/>
        <v>1209.5466666666669</v>
      </c>
      <c r="J9" s="45">
        <f t="shared" si="2"/>
        <v>1209.5466666666669</v>
      </c>
      <c r="K9" s="45">
        <f t="shared" si="2"/>
        <v>1209.5466666666669</v>
      </c>
      <c r="L9" s="45">
        <f t="shared" si="2"/>
        <v>1209.5466666666669</v>
      </c>
      <c r="M9" s="45">
        <f t="shared" si="2"/>
        <v>1209.5466666666669</v>
      </c>
      <c r="N9" s="45">
        <f t="shared" si="2"/>
        <v>1209.5466666666669</v>
      </c>
      <c r="O9" s="45">
        <f t="shared" si="2"/>
        <v>1209.5466666666669</v>
      </c>
      <c r="P9" s="45">
        <f t="shared" si="2"/>
        <v>1209.5466666666669</v>
      </c>
      <c r="Q9" s="45">
        <f t="shared" si="2"/>
        <v>1209.5466666666669</v>
      </c>
      <c r="R9" s="45">
        <f t="shared" si="2"/>
        <v>1209.5466666666669</v>
      </c>
      <c r="S9" s="45">
        <f t="shared" si="2"/>
        <v>1209.5466666666669</v>
      </c>
      <c r="T9" s="45">
        <f t="shared" si="2"/>
        <v>1209.5466666666669</v>
      </c>
      <c r="U9" s="45">
        <f t="shared" si="2"/>
        <v>1209.5466666666669</v>
      </c>
      <c r="V9" s="45">
        <f t="shared" si="2"/>
        <v>1209.5466666666669</v>
      </c>
      <c r="W9" s="45">
        <f t="shared" si="2"/>
        <v>1209.5466666666669</v>
      </c>
      <c r="X9" s="45">
        <f>AVERAGE($D8:$X8)</f>
        <v>1209.5466666666669</v>
      </c>
      <c r="Y9" s="45">
        <f t="shared" ref="Y9" si="3">AVERAGE($D8:$X8)</f>
        <v>1209.5466666666669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1.0449782838749502</v>
      </c>
      <c r="E10" s="53">
        <f t="shared" si="4"/>
        <v>1.030600996516601</v>
      </c>
      <c r="F10" s="53">
        <f t="shared" si="4"/>
        <v>0.94029443538074853</v>
      </c>
      <c r="G10" s="53">
        <f t="shared" si="4"/>
        <v>1.008973058776842</v>
      </c>
      <c r="H10" s="53">
        <f t="shared" si="4"/>
        <v>1.111556946955333</v>
      </c>
      <c r="I10" s="53">
        <f t="shared" si="4"/>
        <v>1.1062161030027777</v>
      </c>
      <c r="J10" s="53">
        <f t="shared" si="4"/>
        <v>0.98326094624983451</v>
      </c>
      <c r="K10" s="53">
        <f t="shared" si="4"/>
        <v>1.0223665064597203</v>
      </c>
      <c r="L10" s="53">
        <f t="shared" si="4"/>
        <v>1.0481860972706025</v>
      </c>
      <c r="M10" s="53">
        <f t="shared" si="4"/>
        <v>0.95395244499316523</v>
      </c>
      <c r="N10" s="53">
        <f t="shared" si="4"/>
        <v>1.0733608183782353</v>
      </c>
      <c r="O10" s="53">
        <f t="shared" si="4"/>
        <v>0.9005770757088053</v>
      </c>
      <c r="P10" s="53">
        <f t="shared" si="4"/>
        <v>1.1142439040522067</v>
      </c>
      <c r="Q10" s="53">
        <f t="shared" si="4"/>
        <v>1.1046866043476342</v>
      </c>
      <c r="R10" s="53">
        <f t="shared" si="4"/>
        <v>0.94131134529741156</v>
      </c>
      <c r="S10" s="53">
        <f t="shared" si="4"/>
        <v>0.89312800388024149</v>
      </c>
      <c r="T10" s="53">
        <f t="shared" ref="T10:Y10" si="5">IF(T8=0,0,T8/T9)</f>
        <v>1.0194232549936062</v>
      </c>
      <c r="U10" s="53">
        <f t="shared" si="5"/>
        <v>0.8720870629216454</v>
      </c>
      <c r="V10" s="53">
        <f t="shared" si="5"/>
        <v>1.0808429604479912</v>
      </c>
      <c r="W10" s="53">
        <f t="shared" si="5"/>
        <v>0.91693030997839386</v>
      </c>
      <c r="X10" s="53">
        <f t="shared" si="5"/>
        <v>0.83302284051325004</v>
      </c>
      <c r="Y10" s="53">
        <f t="shared" si="5"/>
        <v>0.88031328541822818</v>
      </c>
    </row>
    <row r="11" spans="1:25" x14ac:dyDescent="0.25">
      <c r="A11" s="43" t="s">
        <v>251</v>
      </c>
      <c r="B11" s="44"/>
      <c r="C11" s="44"/>
      <c r="D11" s="45">
        <v>157.36000000000001</v>
      </c>
      <c r="E11" s="45">
        <v>153.44999999999999</v>
      </c>
      <c r="F11" s="45">
        <v>94.36</v>
      </c>
      <c r="G11" s="45">
        <v>235.79</v>
      </c>
      <c r="H11" s="45">
        <v>179.6</v>
      </c>
      <c r="I11" s="45">
        <v>218.15</v>
      </c>
      <c r="J11" s="45">
        <v>255.23</v>
      </c>
      <c r="K11" s="45">
        <v>109.4</v>
      </c>
      <c r="L11" s="45">
        <v>93.9</v>
      </c>
      <c r="M11" s="45">
        <v>191.19</v>
      </c>
      <c r="N11" s="45">
        <v>263.11</v>
      </c>
      <c r="O11" s="45">
        <v>143.34</v>
      </c>
      <c r="P11" s="45">
        <v>168.07</v>
      </c>
      <c r="Q11" s="45">
        <v>241.98</v>
      </c>
      <c r="R11" s="45">
        <v>98.32</v>
      </c>
      <c r="S11" s="45">
        <v>181.31</v>
      </c>
      <c r="T11" s="45">
        <v>278.60000000000002</v>
      </c>
      <c r="U11" s="45">
        <v>267.27999999999997</v>
      </c>
      <c r="V11" s="45">
        <v>234.32</v>
      </c>
      <c r="W11" s="45">
        <v>167.04</v>
      </c>
      <c r="X11" s="45">
        <v>266.79000000000002</v>
      </c>
      <c r="Y11" s="45">
        <v>133.22999999999999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190.40904761904764</v>
      </c>
      <c r="E12" s="45">
        <f t="shared" ref="E12" si="7">AVERAGE($D11:$X11)</f>
        <v>190.40904761904764</v>
      </c>
      <c r="F12" s="45">
        <f t="shared" ref="F12" si="8">AVERAGE($D11:$X11)</f>
        <v>190.40904761904764</v>
      </c>
      <c r="G12" s="45">
        <f t="shared" ref="G12" si="9">AVERAGE($D11:$X11)</f>
        <v>190.40904761904764</v>
      </c>
      <c r="H12" s="45">
        <f t="shared" ref="H12" si="10">AVERAGE($D11:$X11)</f>
        <v>190.40904761904764</v>
      </c>
      <c r="I12" s="45">
        <f t="shared" ref="I12" si="11">AVERAGE($D11:$X11)</f>
        <v>190.40904761904764</v>
      </c>
      <c r="J12" s="45">
        <f t="shared" ref="J12" si="12">AVERAGE($D11:$X11)</f>
        <v>190.40904761904764</v>
      </c>
      <c r="K12" s="45">
        <f t="shared" ref="K12" si="13">AVERAGE($D11:$X11)</f>
        <v>190.40904761904764</v>
      </c>
      <c r="L12" s="45">
        <f t="shared" ref="L12" si="14">AVERAGE($D11:$X11)</f>
        <v>190.40904761904764</v>
      </c>
      <c r="M12" s="45">
        <f t="shared" ref="M12" si="15">AVERAGE($D11:$X11)</f>
        <v>190.40904761904764</v>
      </c>
      <c r="N12" s="45">
        <f t="shared" ref="N12" si="16">AVERAGE($D11:$X11)</f>
        <v>190.40904761904764</v>
      </c>
      <c r="O12" s="45">
        <f t="shared" ref="O12" si="17">AVERAGE($D11:$X11)</f>
        <v>190.40904761904764</v>
      </c>
      <c r="P12" s="45">
        <f t="shared" ref="P12" si="18">AVERAGE($D11:$X11)</f>
        <v>190.40904761904764</v>
      </c>
      <c r="Q12" s="45">
        <f t="shared" ref="Q12" si="19">AVERAGE($D11:$X11)</f>
        <v>190.40904761904764</v>
      </c>
      <c r="R12" s="45">
        <f t="shared" ref="R12" si="20">AVERAGE($D11:$X11)</f>
        <v>190.40904761904764</v>
      </c>
      <c r="S12" s="45">
        <f t="shared" ref="S12" si="21">AVERAGE($D11:$X11)</f>
        <v>190.40904761904764</v>
      </c>
      <c r="T12" s="45">
        <f t="shared" ref="T12" si="22">AVERAGE($D11:$X11)</f>
        <v>190.40904761904764</v>
      </c>
      <c r="U12" s="45">
        <f t="shared" ref="U12" si="23">AVERAGE($D11:$X11)</f>
        <v>190.40904761904764</v>
      </c>
      <c r="V12" s="45">
        <f t="shared" ref="V12" si="24">AVERAGE($D11:$X11)</f>
        <v>190.40904761904764</v>
      </c>
      <c r="W12" s="45">
        <f t="shared" ref="W12" si="25">AVERAGE($D11:$X11)</f>
        <v>190.40904761904764</v>
      </c>
      <c r="X12" s="45">
        <f>AVERAGE($D11:$X11)</f>
        <v>190.40904761904764</v>
      </c>
      <c r="Y12" s="45">
        <f t="shared" ref="Y12" si="26">AVERAGE($D11:$X11)</f>
        <v>190.40904761904764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0.82643131703925632</v>
      </c>
      <c r="E13" s="55">
        <f t="shared" si="27"/>
        <v>0.80589657854393659</v>
      </c>
      <c r="F13" s="55">
        <f t="shared" ref="F13" si="28">IF(F11=0,0,F11/F12)</f>
        <v>0.49556468655200953</v>
      </c>
      <c r="G13" s="55">
        <f t="shared" ref="G13" si="29">IF(G11=0,0,G11/G12)</f>
        <v>1.2383340127394904</v>
      </c>
      <c r="H13" s="55">
        <f t="shared" ref="H13" si="30">IF(H11=0,0,H11/H12)</f>
        <v>0.94323248945253191</v>
      </c>
      <c r="I13" s="55">
        <f t="shared" ref="I13" si="31">IF(I11=0,0,I11/I12)</f>
        <v>1.1456913562030615</v>
      </c>
      <c r="J13" s="55">
        <f t="shared" ref="J13" si="32">IF(J11=0,0,J11/J12)</f>
        <v>1.3404300015755553</v>
      </c>
      <c r="K13" s="55">
        <f t="shared" ref="K13" si="33">IF(K11=0,0,K11/K12)</f>
        <v>0.57455252976674276</v>
      </c>
      <c r="L13" s="55">
        <f t="shared" ref="L13" si="34">IF(L11=0,0,L11/L12)</f>
        <v>0.49314883496432488</v>
      </c>
      <c r="M13" s="55">
        <f t="shared" ref="M13" si="35">IF(M11=0,0,M11/M12)</f>
        <v>1.0041014457596302</v>
      </c>
      <c r="N13" s="55">
        <f t="shared" ref="N13" si="36">IF(N11=0,0,N11/N12)</f>
        <v>1.3818145896428491</v>
      </c>
      <c r="O13" s="55">
        <f t="shared" ref="O13" si="37">IF(O11=0,0,O11/O12)</f>
        <v>0.75280036212764989</v>
      </c>
      <c r="P13" s="55">
        <f t="shared" ref="P13" si="38">IF(P11=0,0,P11/P12)</f>
        <v>0.88267864422208819</v>
      </c>
      <c r="Q13" s="55">
        <f t="shared" ref="Q13" si="39">IF(Q11=0,0,Q11/Q12)</f>
        <v>1.2708429721476819</v>
      </c>
      <c r="R13" s="55">
        <f t="shared" ref="R13" si="40">IF(R11=0,0,R11/R12)</f>
        <v>0.51636201761120781</v>
      </c>
      <c r="S13" s="55">
        <f t="shared" ref="S13:Y13" si="41">IF(S11=0,0,S11/S12)</f>
        <v>0.95221315513718574</v>
      </c>
      <c r="T13" s="55">
        <f t="shared" si="41"/>
        <v>1.4631657659324913</v>
      </c>
      <c r="U13" s="55">
        <f t="shared" si="41"/>
        <v>1.403714809470338</v>
      </c>
      <c r="V13" s="55">
        <f t="shared" si="41"/>
        <v>1.2306137913614548</v>
      </c>
      <c r="W13" s="55">
        <f t="shared" si="41"/>
        <v>0.87726923740618556</v>
      </c>
      <c r="X13" s="55">
        <f t="shared" si="41"/>
        <v>1.4011414023443263</v>
      </c>
      <c r="Y13" s="55">
        <f t="shared" si="41"/>
        <v>0.69970414571136308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174310.30270123522</v>
      </c>
      <c r="E16" s="42">
        <v>177697.36153282379</v>
      </c>
      <c r="F16" s="42">
        <v>179068.07019306862</v>
      </c>
      <c r="G16" s="42">
        <v>177402.5043419119</v>
      </c>
      <c r="H16" s="42">
        <v>180575.23750785762</v>
      </c>
      <c r="I16" s="42">
        <v>181987.19052374232</v>
      </c>
      <c r="J16" s="42">
        <v>184943.49151260318</v>
      </c>
      <c r="K16" s="42">
        <v>189580.61449375568</v>
      </c>
      <c r="L16" s="42">
        <v>190184.8725218481</v>
      </c>
      <c r="M16" s="42">
        <v>184247.37676851492</v>
      </c>
      <c r="N16" s="42">
        <v>187448.00091839823</v>
      </c>
      <c r="O16" s="42">
        <v>184268.50834510542</v>
      </c>
      <c r="P16" s="42">
        <v>176792.23480471456</v>
      </c>
      <c r="Q16" s="42">
        <v>175162.12217724536</v>
      </c>
      <c r="R16" s="42">
        <v>176549.3776780249</v>
      </c>
      <c r="S16" s="42">
        <v>179713.2</v>
      </c>
      <c r="T16" s="42">
        <v>183341.82093455372</v>
      </c>
      <c r="U16" s="42">
        <v>189770.18062079319</v>
      </c>
      <c r="V16" s="42">
        <v>195177.35691116459</v>
      </c>
      <c r="W16" s="42">
        <v>200413.77634014547</v>
      </c>
      <c r="X16" s="42">
        <v>183778.51506291874</v>
      </c>
      <c r="Y16" s="42">
        <v>194323.9013509381</v>
      </c>
    </row>
    <row r="17" spans="1:25" x14ac:dyDescent="0.25">
      <c r="A17" s="46" t="s">
        <v>141</v>
      </c>
      <c r="B17" s="47"/>
      <c r="C17" s="47"/>
      <c r="D17" s="57">
        <v>111623.84490937508</v>
      </c>
      <c r="E17" s="57">
        <v>112617.19884848005</v>
      </c>
      <c r="F17" s="57">
        <v>114062.88280930993</v>
      </c>
      <c r="G17" s="57">
        <v>113699.10435993149</v>
      </c>
      <c r="H17" s="57">
        <v>116605.63380281691</v>
      </c>
      <c r="I17" s="57">
        <v>118444.19195139766</v>
      </c>
      <c r="J17" s="57">
        <v>120240.41207099265</v>
      </c>
      <c r="K17" s="57">
        <v>123257.80632304044</v>
      </c>
      <c r="L17" s="57">
        <v>124947.41833508956</v>
      </c>
      <c r="M17" s="57">
        <v>122058.88357599528</v>
      </c>
      <c r="N17" s="57">
        <v>124934.63604038954</v>
      </c>
      <c r="O17" s="57">
        <v>120361.84074027967</v>
      </c>
      <c r="P17" s="57">
        <v>113961.0568252448</v>
      </c>
      <c r="Q17" s="57">
        <v>112771.82375184518</v>
      </c>
      <c r="R17" s="57">
        <v>115457.54436228273</v>
      </c>
      <c r="S17" s="57">
        <v>117810.3</v>
      </c>
      <c r="T17" s="57">
        <v>120825.80798479087</v>
      </c>
      <c r="U17" s="57">
        <v>123364.36753594931</v>
      </c>
      <c r="V17" s="57">
        <v>126591.18180683682</v>
      </c>
      <c r="W17" s="57">
        <v>130721.45910081771</v>
      </c>
      <c r="X17" s="57">
        <v>121542.69060078161</v>
      </c>
      <c r="Y17" s="57">
        <v>127288.18748608325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17007.505955322882</v>
      </c>
      <c r="E20" s="42">
        <f t="shared" ref="E20:S20" si="42">1000000*E16/E$3</f>
        <v>17200.779102594228</v>
      </c>
      <c r="F20" s="42">
        <f t="shared" si="42"/>
        <v>17226.914122332189</v>
      </c>
      <c r="G20" s="42">
        <f t="shared" si="42"/>
        <v>16985.10620059758</v>
      </c>
      <c r="H20" s="42">
        <f t="shared" si="42"/>
        <v>17241.895866806481</v>
      </c>
      <c r="I20" s="42">
        <f t="shared" si="42"/>
        <v>17340.912657750745</v>
      </c>
      <c r="J20" s="42">
        <f t="shared" si="42"/>
        <v>17593.579017841646</v>
      </c>
      <c r="K20" s="42">
        <f t="shared" si="42"/>
        <v>17999.43323461961</v>
      </c>
      <c r="L20" s="42">
        <f t="shared" si="42"/>
        <v>18021.298521903645</v>
      </c>
      <c r="M20" s="42">
        <f t="shared" si="42"/>
        <v>17442.68982020803</v>
      </c>
      <c r="N20" s="42">
        <f t="shared" si="42"/>
        <v>17728.129116102489</v>
      </c>
      <c r="O20" s="42">
        <f t="shared" si="42"/>
        <v>17428.674070289515</v>
      </c>
      <c r="P20" s="42">
        <f t="shared" si="42"/>
        <v>16769.641480497565</v>
      </c>
      <c r="Q20" s="42">
        <f t="shared" si="42"/>
        <v>16702.326232951658</v>
      </c>
      <c r="R20" s="42">
        <f t="shared" si="42"/>
        <v>16931.455002404255</v>
      </c>
      <c r="S20" s="42">
        <f t="shared" si="42"/>
        <v>17322.051404833739</v>
      </c>
      <c r="T20" s="42">
        <f t="shared" ref="T20:Y20" si="43">1000000*T16/T$3</f>
        <v>17729.036877708546</v>
      </c>
      <c r="U20" s="42">
        <f t="shared" si="43"/>
        <v>18407.181424564642</v>
      </c>
      <c r="V20" s="42">
        <f t="shared" si="43"/>
        <v>18965.780277436312</v>
      </c>
      <c r="W20" s="42">
        <f t="shared" si="43"/>
        <v>19501.921336578514</v>
      </c>
      <c r="X20" s="42">
        <f t="shared" si="43"/>
        <v>17849.663887172926</v>
      </c>
      <c r="Y20" s="42">
        <f t="shared" si="43"/>
        <v>18869.600525500649</v>
      </c>
    </row>
    <row r="21" spans="1:25" x14ac:dyDescent="0.25">
      <c r="A21" s="46" t="s">
        <v>141</v>
      </c>
      <c r="B21" s="47"/>
      <c r="C21" s="47"/>
      <c r="D21" s="57">
        <f>1000000*D17/D$3</f>
        <v>10891.170387708707</v>
      </c>
      <c r="E21" s="57">
        <f t="shared" ref="E21:S21" si="44">1000000*E17/E$3</f>
        <v>10901.138564107594</v>
      </c>
      <c r="F21" s="57">
        <f t="shared" si="44"/>
        <v>10973.209710603573</v>
      </c>
      <c r="G21" s="57">
        <f t="shared" si="44"/>
        <v>10885.930667270823</v>
      </c>
      <c r="H21" s="57">
        <f t="shared" si="44"/>
        <v>11133.875404282126</v>
      </c>
      <c r="I21" s="57">
        <f t="shared" si="44"/>
        <v>11286.126136328763</v>
      </c>
      <c r="J21" s="57">
        <f t="shared" si="44"/>
        <v>11438.408421983801</v>
      </c>
      <c r="K21" s="57">
        <f t="shared" si="44"/>
        <v>11702.518537992793</v>
      </c>
      <c r="L21" s="57">
        <f t="shared" si="44"/>
        <v>11839.610035751677</v>
      </c>
      <c r="M21" s="57">
        <f t="shared" si="44"/>
        <v>11555.308321658504</v>
      </c>
      <c r="N21" s="57">
        <f t="shared" si="44"/>
        <v>11815.849451291249</v>
      </c>
      <c r="O21" s="57">
        <f t="shared" si="44"/>
        <v>11384.187735615049</v>
      </c>
      <c r="P21" s="57">
        <f t="shared" si="44"/>
        <v>10809.785100623672</v>
      </c>
      <c r="Q21" s="57">
        <f t="shared" si="44"/>
        <v>10753.191196680589</v>
      </c>
      <c r="R21" s="57">
        <f t="shared" si="44"/>
        <v>11072.620265041043</v>
      </c>
      <c r="S21" s="57">
        <f t="shared" si="44"/>
        <v>11355.404458987345</v>
      </c>
      <c r="T21" s="57">
        <f t="shared" ref="T21:Y21" si="45">1000000*T17/T$3</f>
        <v>11683.778390670335</v>
      </c>
      <c r="U21" s="57">
        <f t="shared" si="45"/>
        <v>11966.001650693905</v>
      </c>
      <c r="V21" s="57">
        <f t="shared" si="45"/>
        <v>12301.122308476775</v>
      </c>
      <c r="W21" s="57">
        <f t="shared" si="45"/>
        <v>12720.281304715132</v>
      </c>
      <c r="X21" s="57">
        <f t="shared" si="45"/>
        <v>11804.949966125538</v>
      </c>
      <c r="Y21" s="57">
        <f t="shared" si="45"/>
        <v>12360.1740845032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148739.85459352279</v>
      </c>
      <c r="E23" s="60">
        <v>152058.37291251725</v>
      </c>
      <c r="F23" s="60">
        <v>153079.47223074562</v>
      </c>
      <c r="G23" s="60">
        <v>151817.03649999405</v>
      </c>
      <c r="H23" s="60">
        <v>154356.46548725915</v>
      </c>
      <c r="I23" s="60">
        <v>155121.4586318557</v>
      </c>
      <c r="J23" s="60">
        <v>157649.6749538786</v>
      </c>
      <c r="K23" s="60">
        <v>162120.17898998508</v>
      </c>
      <c r="L23" s="60">
        <v>163181.53318843004</v>
      </c>
      <c r="M23" s="60">
        <v>158946.36269811261</v>
      </c>
      <c r="N23" s="60">
        <v>161454.99887573841</v>
      </c>
      <c r="O23" s="60">
        <v>159829.31154272915</v>
      </c>
      <c r="P23" s="60">
        <v>154613.03366066268</v>
      </c>
      <c r="Q23" s="60">
        <v>153659.14452764386</v>
      </c>
      <c r="R23" s="60">
        <v>154138.41635050788</v>
      </c>
      <c r="S23" s="60">
        <v>156517.29999999999</v>
      </c>
      <c r="T23" s="60">
        <v>159089.90915786888</v>
      </c>
      <c r="U23" s="60">
        <v>164318.38434715229</v>
      </c>
      <c r="V23" s="60">
        <v>168757.98782807152</v>
      </c>
      <c r="W23" s="60">
        <v>173213.86560113524</v>
      </c>
      <c r="X23" s="60">
        <v>159730.93022830717</v>
      </c>
      <c r="Y23" s="60">
        <v>168475.46313391032</v>
      </c>
    </row>
    <row r="24" spans="1:25" x14ac:dyDescent="0.25">
      <c r="A24" s="61" t="s">
        <v>33</v>
      </c>
      <c r="B24" s="62"/>
      <c r="C24" s="62"/>
      <c r="D24" s="63">
        <v>5278.783873099801</v>
      </c>
      <c r="E24" s="63">
        <v>5132.5264286808642</v>
      </c>
      <c r="F24" s="63">
        <v>4764.1607855170305</v>
      </c>
      <c r="G24" s="63">
        <v>4602.6124059569511</v>
      </c>
      <c r="H24" s="63">
        <v>4592.8493589000445</v>
      </c>
      <c r="I24" s="63">
        <v>4120.7929505477769</v>
      </c>
      <c r="J24" s="63">
        <v>4113.7002547658794</v>
      </c>
      <c r="K24" s="63">
        <v>3735.776688685276</v>
      </c>
      <c r="L24" s="63">
        <v>3675.3887309814413</v>
      </c>
      <c r="M24" s="63">
        <v>3496.4899193754404</v>
      </c>
      <c r="N24" s="63">
        <v>3555.937123116862</v>
      </c>
      <c r="O24" s="63">
        <v>3349.0610060871277</v>
      </c>
      <c r="P24" s="63">
        <v>3400.9347266712175</v>
      </c>
      <c r="Q24" s="63">
        <v>3664.5809826648888</v>
      </c>
      <c r="R24" s="63">
        <v>3664.1781911638718</v>
      </c>
      <c r="S24" s="63">
        <v>3773</v>
      </c>
      <c r="T24" s="63">
        <v>3783.4520009820772</v>
      </c>
      <c r="U24" s="63">
        <v>3977.9155366137156</v>
      </c>
      <c r="V24" s="63">
        <v>3973.5640928109556</v>
      </c>
      <c r="W24" s="63">
        <v>4179.9391302724198</v>
      </c>
      <c r="X24" s="63">
        <v>3984.1336574844167</v>
      </c>
      <c r="Y24" s="63">
        <v>4184.100795230418</v>
      </c>
    </row>
    <row r="25" spans="1:25" x14ac:dyDescent="0.25">
      <c r="A25" s="64" t="s">
        <v>56</v>
      </c>
      <c r="B25" s="65"/>
      <c r="C25" s="65"/>
      <c r="D25" s="66">
        <v>831.19629874421662</v>
      </c>
      <c r="E25" s="66">
        <v>829.50308972984021</v>
      </c>
      <c r="F25" s="66">
        <v>711.26112304387857</v>
      </c>
      <c r="G25" s="66">
        <v>636.93737594637321</v>
      </c>
      <c r="H25" s="66">
        <v>705.78960792042471</v>
      </c>
      <c r="I25" s="66">
        <v>742.40389931288155</v>
      </c>
      <c r="J25" s="66">
        <v>882.01704295879824</v>
      </c>
      <c r="K25" s="66">
        <v>856.70147027487747</v>
      </c>
      <c r="L25" s="66">
        <v>635.34525998996821</v>
      </c>
      <c r="M25" s="66">
        <v>660.22215182759214</v>
      </c>
      <c r="N25" s="66">
        <v>729.7479609983443</v>
      </c>
      <c r="O25" s="66">
        <v>674.14681696099876</v>
      </c>
      <c r="P25" s="66">
        <v>667.64690437431079</v>
      </c>
      <c r="Q25" s="66">
        <v>584.57277669504572</v>
      </c>
      <c r="R25" s="66">
        <v>540.22355484844775</v>
      </c>
      <c r="S25" s="66">
        <v>500.5</v>
      </c>
      <c r="T25" s="66">
        <v>523.8399214338325</v>
      </c>
      <c r="U25" s="66">
        <v>589.59705540488198</v>
      </c>
      <c r="V25" s="66">
        <v>573.7923164701408</v>
      </c>
      <c r="W25" s="66">
        <v>538.86513434284973</v>
      </c>
      <c r="X25" s="66">
        <v>499.38764691904146</v>
      </c>
      <c r="Y25" s="66">
        <v>714.716716049605</v>
      </c>
    </row>
    <row r="26" spans="1:25" x14ac:dyDescent="0.25">
      <c r="A26" s="67" t="s">
        <v>146</v>
      </c>
      <c r="B26" s="44"/>
      <c r="C26" s="44"/>
      <c r="D26" s="45">
        <v>103651.28883013879</v>
      </c>
      <c r="E26" s="45">
        <v>106821.91920739494</v>
      </c>
      <c r="F26" s="45">
        <v>109004.47990181035</v>
      </c>
      <c r="G26" s="45">
        <v>109862.36732947454</v>
      </c>
      <c r="H26" s="45">
        <v>112522.54863317024</v>
      </c>
      <c r="I26" s="45">
        <v>114757.70328666047</v>
      </c>
      <c r="J26" s="45">
        <v>117031.53825880699</v>
      </c>
      <c r="K26" s="45">
        <v>120976.45429362881</v>
      </c>
      <c r="L26" s="45">
        <v>123527.2111687009</v>
      </c>
      <c r="M26" s="45">
        <v>122093.47952708429</v>
      </c>
      <c r="N26" s="45">
        <v>123743.99542118925</v>
      </c>
      <c r="O26" s="45">
        <v>123737.82833677268</v>
      </c>
      <c r="P26" s="45">
        <v>120043.5855695006</v>
      </c>
      <c r="Q26" s="45">
        <v>119483.63934762537</v>
      </c>
      <c r="R26" s="45">
        <v>119523.62011993634</v>
      </c>
      <c r="S26" s="45">
        <v>120186.59999999999</v>
      </c>
      <c r="T26" s="45">
        <v>122293.44463540387</v>
      </c>
      <c r="U26" s="45">
        <v>126430.7438977141</v>
      </c>
      <c r="V26" s="45">
        <v>129548.782807151</v>
      </c>
      <c r="W26" s="45">
        <v>133868.02845566405</v>
      </c>
      <c r="X26" s="45">
        <v>122710.34785310841</v>
      </c>
      <c r="Y26" s="45">
        <v>129512.23466051857</v>
      </c>
    </row>
    <row r="27" spans="1:25" x14ac:dyDescent="0.25">
      <c r="A27" s="68" t="s">
        <v>148</v>
      </c>
      <c r="B27" s="69"/>
      <c r="C27" s="69"/>
      <c r="D27" s="70">
        <v>43853.007270323862</v>
      </c>
      <c r="E27" s="70">
        <v>45338.848884122366</v>
      </c>
      <c r="F27" s="70">
        <v>46601.656949984652</v>
      </c>
      <c r="G27" s="70">
        <v>47054.328060187552</v>
      </c>
      <c r="H27" s="70">
        <v>48298.476663034162</v>
      </c>
      <c r="I27" s="70">
        <v>49558.168135302549</v>
      </c>
      <c r="J27" s="70">
        <v>49549.986822454535</v>
      </c>
      <c r="K27" s="70">
        <v>50016.833581930536</v>
      </c>
      <c r="L27" s="70">
        <v>50287.995318508612</v>
      </c>
      <c r="M27" s="70">
        <v>50962.385424224158</v>
      </c>
      <c r="N27" s="70">
        <v>51452.545941415752</v>
      </c>
      <c r="O27" s="70">
        <v>49887.175551937609</v>
      </c>
      <c r="P27" s="70">
        <v>47040.697369112007</v>
      </c>
      <c r="Q27" s="70">
        <v>47503.84654836393</v>
      </c>
      <c r="R27" s="70">
        <v>46968.649288132823</v>
      </c>
      <c r="S27" s="70">
        <v>47552.7</v>
      </c>
      <c r="T27" s="70">
        <v>48493.297323839921</v>
      </c>
      <c r="U27" s="70">
        <v>51065.769081751256</v>
      </c>
      <c r="V27" s="70">
        <v>52465.671357930776</v>
      </c>
      <c r="W27" s="70">
        <v>54056.052430121177</v>
      </c>
      <c r="X27" s="70">
        <v>45905.185808031878</v>
      </c>
      <c r="Y27" s="70">
        <v>49652.998550032862</v>
      </c>
    </row>
    <row r="28" spans="1:25" x14ac:dyDescent="0.25">
      <c r="A28" s="68" t="s">
        <v>150</v>
      </c>
      <c r="B28" s="71"/>
      <c r="C28" s="71"/>
      <c r="D28" s="70">
        <v>37081.8241903503</v>
      </c>
      <c r="E28" s="70">
        <v>38226.72488636944</v>
      </c>
      <c r="F28" s="70">
        <v>39057.993249463027</v>
      </c>
      <c r="G28" s="70">
        <v>39956.261811093813</v>
      </c>
      <c r="H28" s="70">
        <v>41097.753251872295</v>
      </c>
      <c r="I28" s="70">
        <v>42286.78453362819</v>
      </c>
      <c r="J28" s="70">
        <v>44396.029166300628</v>
      </c>
      <c r="K28" s="70">
        <v>47422.224589814621</v>
      </c>
      <c r="L28" s="70">
        <v>49528.924928941648</v>
      </c>
      <c r="M28" s="70">
        <v>47392.321762499872</v>
      </c>
      <c r="N28" s="70">
        <v>48480.509392694337</v>
      </c>
      <c r="O28" s="70">
        <v>48898.198749390758</v>
      </c>
      <c r="P28" s="70">
        <v>47734.60064065535</v>
      </c>
      <c r="Q28" s="70">
        <v>46664.068109549706</v>
      </c>
      <c r="R28" s="70">
        <v>47292.049116795177</v>
      </c>
      <c r="S28" s="70">
        <v>47279.099999999991</v>
      </c>
      <c r="T28" s="70">
        <v>48480.923152467461</v>
      </c>
      <c r="U28" s="70">
        <v>50386.187524215427</v>
      </c>
      <c r="V28" s="70">
        <v>52259.509319132754</v>
      </c>
      <c r="W28" s="70">
        <v>54618.257183934875</v>
      </c>
      <c r="X28" s="70">
        <v>53425.79560202534</v>
      </c>
      <c r="Y28" s="70">
        <v>55723.317452740986</v>
      </c>
    </row>
    <row r="29" spans="1:25" x14ac:dyDescent="0.25">
      <c r="A29" s="68" t="s">
        <v>152</v>
      </c>
      <c r="B29" s="71"/>
      <c r="C29" s="71"/>
      <c r="D29" s="70">
        <v>22716.457369464631</v>
      </c>
      <c r="E29" s="70">
        <v>23256.345436903128</v>
      </c>
      <c r="F29" s="70">
        <v>23344.829702362666</v>
      </c>
      <c r="G29" s="70">
        <v>22851.777458193166</v>
      </c>
      <c r="H29" s="70">
        <v>23126.318718263803</v>
      </c>
      <c r="I29" s="70">
        <v>22912.750617729707</v>
      </c>
      <c r="J29" s="70">
        <v>23085.522270051817</v>
      </c>
      <c r="K29" s="70">
        <v>23537.396121883656</v>
      </c>
      <c r="L29" s="70">
        <v>23710.290921250646</v>
      </c>
      <c r="M29" s="70">
        <v>23738.772340360279</v>
      </c>
      <c r="N29" s="70">
        <v>23810.940087079151</v>
      </c>
      <c r="O29" s="70">
        <v>24952.454035444302</v>
      </c>
      <c r="P29" s="70">
        <v>25268.287559733224</v>
      </c>
      <c r="Q29" s="70">
        <v>25315.724689711747</v>
      </c>
      <c r="R29" s="70">
        <v>25262.921715008357</v>
      </c>
      <c r="S29" s="70">
        <v>25354.799999999977</v>
      </c>
      <c r="T29" s="70">
        <v>25319.224159096477</v>
      </c>
      <c r="U29" s="70">
        <v>24978.787291747398</v>
      </c>
      <c r="V29" s="70">
        <v>24823.602130087485</v>
      </c>
      <c r="W29" s="70">
        <v>25193.718841608006</v>
      </c>
      <c r="X29" s="70">
        <v>23379.366443051178</v>
      </c>
      <c r="Y29" s="70">
        <v>24135.918657744729</v>
      </c>
    </row>
    <row r="30" spans="1:25" x14ac:dyDescent="0.25">
      <c r="A30" s="64" t="s">
        <v>154</v>
      </c>
      <c r="B30" s="65"/>
      <c r="C30" s="65"/>
      <c r="D30" s="66">
        <v>3074.9504296100463</v>
      </c>
      <c r="E30" s="66">
        <v>3095.7305551299728</v>
      </c>
      <c r="F30" s="66">
        <v>3110.033752684873</v>
      </c>
      <c r="G30" s="66">
        <v>3403.9720931338175</v>
      </c>
      <c r="H30" s="66">
        <v>3623.0842356650978</v>
      </c>
      <c r="I30" s="66">
        <v>3548.4198530988028</v>
      </c>
      <c r="J30" s="66">
        <v>3791.3994553281213</v>
      </c>
      <c r="K30" s="66">
        <v>3945.557212870232</v>
      </c>
      <c r="L30" s="66">
        <v>3446.6435378699216</v>
      </c>
      <c r="M30" s="66">
        <v>3632.0904139544864</v>
      </c>
      <c r="N30" s="66">
        <v>3855.2973160810288</v>
      </c>
      <c r="O30" s="66">
        <v>3630.9147283606235</v>
      </c>
      <c r="P30" s="66">
        <v>3830.2788426193351</v>
      </c>
      <c r="Q30" s="66">
        <v>3687.7628474715357</v>
      </c>
      <c r="R30" s="66">
        <v>4057.1329498633377</v>
      </c>
      <c r="S30" s="66">
        <v>5142.5</v>
      </c>
      <c r="T30" s="66">
        <v>4932.7768229806043</v>
      </c>
      <c r="U30" s="66">
        <v>4783.7078651685397</v>
      </c>
      <c r="V30" s="66">
        <v>4984.2145302396357</v>
      </c>
      <c r="W30" s="66">
        <v>4543.0102507608717</v>
      </c>
      <c r="X30" s="66">
        <v>3691.0267424644012</v>
      </c>
      <c r="Y30" s="66">
        <v>3281.6088330916718</v>
      </c>
    </row>
    <row r="31" spans="1:25" x14ac:dyDescent="0.25">
      <c r="A31" s="64" t="s">
        <v>37</v>
      </c>
      <c r="B31" s="65"/>
      <c r="C31" s="65"/>
      <c r="D31" s="66">
        <v>11371.844018506277</v>
      </c>
      <c r="E31" s="66">
        <v>11780.041877330064</v>
      </c>
      <c r="F31" s="66">
        <v>11634.734581159866</v>
      </c>
      <c r="G31" s="66">
        <v>10884.390933834102</v>
      </c>
      <c r="H31" s="66">
        <v>10972.895267685317</v>
      </c>
      <c r="I31" s="66">
        <v>10761.810201848111</v>
      </c>
      <c r="J31" s="66">
        <v>10632.192743564967</v>
      </c>
      <c r="K31" s="66">
        <v>10964.415086298744</v>
      </c>
      <c r="L31" s="66">
        <v>11002.340745694701</v>
      </c>
      <c r="M31" s="66">
        <v>9981.4021929062637</v>
      </c>
      <c r="N31" s="66">
        <v>9428.3640972179637</v>
      </c>
      <c r="O31" s="66">
        <v>8777.3894828533776</v>
      </c>
      <c r="P31" s="66">
        <v>7528.8557475187727</v>
      </c>
      <c r="Q31" s="66">
        <v>6941.3273156221157</v>
      </c>
      <c r="R31" s="66">
        <v>6423.1224248358012</v>
      </c>
      <c r="S31" s="66">
        <v>6391.4</v>
      </c>
      <c r="T31" s="66">
        <v>6406.4817088141417</v>
      </c>
      <c r="U31" s="66">
        <v>6648.8764044943828</v>
      </c>
      <c r="V31" s="66">
        <v>7097.565614302016</v>
      </c>
      <c r="W31" s="66">
        <v>7550.0868233844312</v>
      </c>
      <c r="X31" s="66">
        <v>7584.3127936095916</v>
      </c>
      <c r="Y31" s="66">
        <v>7763.1780397525145</v>
      </c>
    </row>
    <row r="32" spans="1:25" x14ac:dyDescent="0.25">
      <c r="A32" s="64" t="s">
        <v>58</v>
      </c>
      <c r="B32" s="65"/>
      <c r="C32" s="65"/>
      <c r="D32" s="66">
        <v>24531.791143423663</v>
      </c>
      <c r="E32" s="66">
        <v>24398.651754251572</v>
      </c>
      <c r="F32" s="66">
        <v>23854.802086529613</v>
      </c>
      <c r="G32" s="66">
        <v>22426.756361648262</v>
      </c>
      <c r="H32" s="66">
        <v>21939.298383918016</v>
      </c>
      <c r="I32" s="66">
        <v>21190.328440387675</v>
      </c>
      <c r="J32" s="66">
        <v>21198.827198453837</v>
      </c>
      <c r="K32" s="66">
        <v>21641.27423822715</v>
      </c>
      <c r="L32" s="66">
        <v>20894.603745193115</v>
      </c>
      <c r="M32" s="66">
        <v>19082.678492964511</v>
      </c>
      <c r="N32" s="66">
        <v>20141.656957134976</v>
      </c>
      <c r="O32" s="66">
        <v>19659.971171694335</v>
      </c>
      <c r="P32" s="66">
        <v>19141.73186997847</v>
      </c>
      <c r="Q32" s="66">
        <v>19297.261257564882</v>
      </c>
      <c r="R32" s="66">
        <v>19930.139109860072</v>
      </c>
      <c r="S32" s="66">
        <v>20523.3</v>
      </c>
      <c r="T32" s="66">
        <v>21149.914068254355</v>
      </c>
      <c r="U32" s="66">
        <v>21887.543587756685</v>
      </c>
      <c r="V32" s="66">
        <v>22580.068467097757</v>
      </c>
      <c r="W32" s="66">
        <v>22533.935806710608</v>
      </c>
      <c r="X32" s="66">
        <v>21261.721534721335</v>
      </c>
      <c r="Y32" s="66">
        <v>23019.624089267538</v>
      </c>
    </row>
    <row r="33" spans="1:25" x14ac:dyDescent="0.25">
      <c r="A33" s="72" t="s">
        <v>158</v>
      </c>
      <c r="B33" s="65"/>
      <c r="C33" s="65"/>
      <c r="D33" s="66">
        <v>400.39656311962977</v>
      </c>
      <c r="E33" s="66">
        <v>389.91879883560591</v>
      </c>
      <c r="F33" s="66">
        <v>396.9315741024854</v>
      </c>
      <c r="G33" s="66">
        <v>351.80717163673535</v>
      </c>
      <c r="H33" s="66">
        <v>353.8222541677294</v>
      </c>
      <c r="I33" s="66">
        <v>336.22547415689769</v>
      </c>
      <c r="J33" s="66">
        <v>357.6605464288852</v>
      </c>
      <c r="K33" s="66">
        <v>352.12017898998511</v>
      </c>
      <c r="L33" s="66">
        <v>378.80371175388734</v>
      </c>
      <c r="M33" s="66">
        <v>344.67254575367099</v>
      </c>
      <c r="N33" s="66">
        <v>356.79973835367224</v>
      </c>
      <c r="O33" s="66">
        <v>379.74552279821222</v>
      </c>
      <c r="P33" s="66">
        <v>338.07698366853958</v>
      </c>
      <c r="Q33" s="66">
        <v>346.4970766232434</v>
      </c>
      <c r="R33" s="66">
        <v>369.70179088646836</v>
      </c>
      <c r="S33" s="66">
        <v>302.5</v>
      </c>
      <c r="T33" s="66">
        <v>385.95629756935921</v>
      </c>
      <c r="U33" s="66">
        <v>458.83378535451379</v>
      </c>
      <c r="V33" s="66">
        <v>474.03955876759227</v>
      </c>
      <c r="W33" s="66">
        <v>435.61065780383512</v>
      </c>
      <c r="X33" s="66">
        <v>398.66927449869303</v>
      </c>
      <c r="Y33" s="66">
        <v>676.9815466916433</v>
      </c>
    </row>
    <row r="34" spans="1:25" x14ac:dyDescent="0.25">
      <c r="A34" s="73" t="s">
        <v>5</v>
      </c>
      <c r="B34" s="65"/>
      <c r="C34" s="65"/>
      <c r="D34" s="66">
        <v>290.77953146325501</v>
      </c>
      <c r="E34" s="66">
        <v>283.17027686438223</v>
      </c>
      <c r="F34" s="66">
        <v>288.26315650968291</v>
      </c>
      <c r="G34" s="66">
        <v>255.49251406380901</v>
      </c>
      <c r="H34" s="66">
        <v>256.95592511223799</v>
      </c>
      <c r="I34" s="66">
        <v>244.17663598211919</v>
      </c>
      <c r="J34" s="66">
        <v>259.74340364757313</v>
      </c>
      <c r="K34" s="66">
        <v>255.71982903078421</v>
      </c>
      <c r="L34" s="66">
        <v>275.09818006961092</v>
      </c>
      <c r="M34" s="66">
        <v>204.00809014909481</v>
      </c>
      <c r="N34" s="66">
        <v>251.95230830239811</v>
      </c>
      <c r="O34" s="66">
        <v>280.6699495568389</v>
      </c>
      <c r="P34" s="66">
        <v>235.31195590422845</v>
      </c>
      <c r="Q34" s="66">
        <v>247.35889027606112</v>
      </c>
      <c r="R34" s="66">
        <v>261.91222773002244</v>
      </c>
      <c r="S34" s="66">
        <v>212.96120313356073</v>
      </c>
      <c r="T34" s="66">
        <v>271.6119820398028</v>
      </c>
      <c r="U34" s="66">
        <v>336.65675493249341</v>
      </c>
      <c r="V34" s="66">
        <v>336.04150021910465</v>
      </c>
      <c r="W34" s="66">
        <v>285.9659896102329</v>
      </c>
      <c r="X34" s="66">
        <v>260.49814671053883</v>
      </c>
      <c r="Y34" s="66">
        <v>519.39697555511952</v>
      </c>
    </row>
    <row r="35" spans="1:25" x14ac:dyDescent="0.25">
      <c r="A35" s="74" t="s">
        <v>270</v>
      </c>
      <c r="B35" s="44"/>
      <c r="C35" s="44"/>
      <c r="D35" s="45">
        <v>120.22502184271983</v>
      </c>
      <c r="E35" s="45">
        <v>27.383752530083346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170.55450962053519</v>
      </c>
      <c r="E36" s="45">
        <v>255.78652433429889</v>
      </c>
      <c r="F36" s="45">
        <v>288.26315650968291</v>
      </c>
      <c r="G36" s="45">
        <v>255.49251406380901</v>
      </c>
      <c r="H36" s="45">
        <v>256.95592511223799</v>
      </c>
      <c r="I36" s="45">
        <v>244.17663598211919</v>
      </c>
      <c r="J36" s="45">
        <v>259.74340364757313</v>
      </c>
      <c r="K36" s="45">
        <v>255.71982903078421</v>
      </c>
      <c r="L36" s="45">
        <v>275.09818006961092</v>
      </c>
      <c r="M36" s="45">
        <v>204.00809014909481</v>
      </c>
      <c r="N36" s="45">
        <v>251.95230830239811</v>
      </c>
      <c r="O36" s="45">
        <v>280.6699495568389</v>
      </c>
      <c r="P36" s="45">
        <v>235.31195590422845</v>
      </c>
      <c r="Q36" s="45">
        <v>247.35889027606112</v>
      </c>
      <c r="R36" s="45">
        <v>261.91222773002244</v>
      </c>
      <c r="S36" s="45">
        <v>212.96120313356073</v>
      </c>
      <c r="T36" s="45">
        <v>271.6119820398028</v>
      </c>
      <c r="U36" s="45">
        <v>336.65675493249341</v>
      </c>
      <c r="V36" s="45">
        <v>336.04150021910465</v>
      </c>
      <c r="W36" s="45">
        <v>285.9659896102329</v>
      </c>
      <c r="X36" s="45">
        <v>260.49814671053883</v>
      </c>
      <c r="Y36" s="45">
        <v>519.39697555511952</v>
      </c>
    </row>
    <row r="37" spans="1:25" x14ac:dyDescent="0.25">
      <c r="A37" s="73" t="s">
        <v>269</v>
      </c>
      <c r="B37" s="65"/>
      <c r="C37" s="65"/>
      <c r="D37" s="66">
        <v>109.61703165637476</v>
      </c>
      <c r="E37" s="66">
        <v>106.74852197122368</v>
      </c>
      <c r="F37" s="66">
        <v>108.66841759280248</v>
      </c>
      <c r="G37" s="66">
        <v>96.314657572926308</v>
      </c>
      <c r="H37" s="66">
        <v>96.866329055491406</v>
      </c>
      <c r="I37" s="66">
        <v>92.048838174778496</v>
      </c>
      <c r="J37" s="66">
        <v>97.917142781312066</v>
      </c>
      <c r="K37" s="66">
        <v>96.400349959200867</v>
      </c>
      <c r="L37" s="66">
        <v>103.70553168427642</v>
      </c>
      <c r="M37" s="66">
        <v>140.6644556045762</v>
      </c>
      <c r="N37" s="66">
        <v>104.84743005127413</v>
      </c>
      <c r="O37" s="66">
        <v>99.07557324137332</v>
      </c>
      <c r="P37" s="66">
        <v>102.76502776431113</v>
      </c>
      <c r="Q37" s="66">
        <v>99.138186347182284</v>
      </c>
      <c r="R37" s="66">
        <v>107.78956315644592</v>
      </c>
      <c r="S37" s="66">
        <v>89.53879686643927</v>
      </c>
      <c r="T37" s="66">
        <v>114.34431552955641</v>
      </c>
      <c r="U37" s="66">
        <v>122.17703042202038</v>
      </c>
      <c r="V37" s="66">
        <v>137.99805854848762</v>
      </c>
      <c r="W37" s="66">
        <v>149.64466819360223</v>
      </c>
      <c r="X37" s="66">
        <v>138.17112778815419</v>
      </c>
      <c r="Y37" s="66">
        <v>157.58457113652378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65.837046650226185</v>
      </c>
      <c r="E39" s="45">
        <v>64.114192061808453</v>
      </c>
      <c r="F39" s="45">
        <v>65.267299892694496</v>
      </c>
      <c r="G39" s="45">
        <v>57.84751245232745</v>
      </c>
      <c r="H39" s="45">
        <v>58.178851666539103</v>
      </c>
      <c r="I39" s="45">
        <v>55.285420170922713</v>
      </c>
      <c r="J39" s="45">
        <v>58.8099805271018</v>
      </c>
      <c r="K39" s="45">
        <v>57.89898012616861</v>
      </c>
      <c r="L39" s="45">
        <v>62.286542740798218</v>
      </c>
      <c r="M39" s="45">
        <v>61.765584970461482</v>
      </c>
      <c r="N39" s="45">
        <v>59.858420373953763</v>
      </c>
      <c r="O39" s="45">
        <v>55.426304033627744</v>
      </c>
      <c r="P39" s="45">
        <v>57.088873545082762</v>
      </c>
      <c r="Q39" s="45">
        <v>55.337404422317611</v>
      </c>
      <c r="R39" s="45">
        <v>65.70177821337839</v>
      </c>
      <c r="S39" s="45">
        <v>55.538337576141068</v>
      </c>
      <c r="T39" s="45">
        <v>75.326544181004977</v>
      </c>
      <c r="U39" s="45">
        <v>78.1858782506349</v>
      </c>
      <c r="V39" s="45">
        <v>82.275882438251671</v>
      </c>
      <c r="W39" s="45">
        <v>102.85355974449658</v>
      </c>
      <c r="X39" s="45">
        <v>99.974326195286295</v>
      </c>
      <c r="Y39" s="45">
        <v>104.79071640631193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65.837046650226185</v>
      </c>
      <c r="E41" s="45">
        <v>64.114192061808453</v>
      </c>
      <c r="F41" s="45">
        <v>65.267299892694496</v>
      </c>
      <c r="G41" s="45">
        <v>57.84751245232745</v>
      </c>
      <c r="H41" s="45">
        <v>58.178851666539103</v>
      </c>
      <c r="I41" s="45">
        <v>55.285420170922713</v>
      </c>
      <c r="J41" s="45">
        <v>58.8099805271018</v>
      </c>
      <c r="K41" s="45">
        <v>57.89898012616861</v>
      </c>
      <c r="L41" s="45">
        <v>62.286542740798218</v>
      </c>
      <c r="M41" s="45">
        <v>61.765584970461482</v>
      </c>
      <c r="N41" s="45">
        <v>59.858420373953763</v>
      </c>
      <c r="O41" s="45">
        <v>55.426304033627744</v>
      </c>
      <c r="P41" s="45">
        <v>57.088873545082762</v>
      </c>
      <c r="Q41" s="45">
        <v>55.337404422317611</v>
      </c>
      <c r="R41" s="45">
        <v>65.70177821337839</v>
      </c>
      <c r="S41" s="45">
        <v>55.538337576141068</v>
      </c>
      <c r="T41" s="45">
        <v>75.326544181004977</v>
      </c>
      <c r="U41" s="45">
        <v>78.1858782506349</v>
      </c>
      <c r="V41" s="45">
        <v>82.275882438251671</v>
      </c>
      <c r="W41" s="45">
        <v>102.85355974449658</v>
      </c>
      <c r="X41" s="45">
        <v>99.974326195286295</v>
      </c>
      <c r="Y41" s="45">
        <v>104.79071640631193</v>
      </c>
    </row>
    <row r="42" spans="1:25" x14ac:dyDescent="0.25">
      <c r="A42" s="74" t="s">
        <v>13</v>
      </c>
      <c r="B42" s="44"/>
      <c r="C42" s="44"/>
      <c r="D42" s="45">
        <v>43.779985006148578</v>
      </c>
      <c r="E42" s="45">
        <v>42.634329909415229</v>
      </c>
      <c r="F42" s="45">
        <v>43.401117700107989</v>
      </c>
      <c r="G42" s="45">
        <v>38.467145120598865</v>
      </c>
      <c r="H42" s="45">
        <v>38.687477388952303</v>
      </c>
      <c r="I42" s="45">
        <v>36.76341800385579</v>
      </c>
      <c r="J42" s="45">
        <v>39.107162254210266</v>
      </c>
      <c r="K42" s="45">
        <v>38.50136983303225</v>
      </c>
      <c r="L42" s="45">
        <v>41.418988943478205</v>
      </c>
      <c r="M42" s="45">
        <v>78.898870634114729</v>
      </c>
      <c r="N42" s="45">
        <v>44.989009677320368</v>
      </c>
      <c r="O42" s="45">
        <v>43.649269207745576</v>
      </c>
      <c r="P42" s="45">
        <v>45.676154219228366</v>
      </c>
      <c r="Q42" s="45">
        <v>43.800781924864665</v>
      </c>
      <c r="R42" s="45">
        <v>42.087784943067533</v>
      </c>
      <c r="S42" s="45">
        <v>34.00045929029821</v>
      </c>
      <c r="T42" s="45">
        <v>39.017771348551435</v>
      </c>
      <c r="U42" s="45">
        <v>43.99115217138548</v>
      </c>
      <c r="V42" s="45">
        <v>55.722176110235949</v>
      </c>
      <c r="W42" s="45">
        <v>46.791108449105657</v>
      </c>
      <c r="X42" s="45">
        <v>38.196801592867899</v>
      </c>
      <c r="Y42" s="45">
        <v>52.793854730211855</v>
      </c>
    </row>
    <row r="43" spans="1:25" x14ac:dyDescent="0.25">
      <c r="A43" s="72" t="s">
        <v>271</v>
      </c>
      <c r="B43" s="65"/>
      <c r="C43" s="65"/>
      <c r="D43" s="66">
        <v>1361.9299405155321</v>
      </c>
      <c r="E43" s="66">
        <v>1343.0110821714927</v>
      </c>
      <c r="F43" s="66">
        <v>1342.2522246087758</v>
      </c>
      <c r="G43" s="66">
        <v>1286.473251958116</v>
      </c>
      <c r="H43" s="66">
        <v>1325.7900716455285</v>
      </c>
      <c r="I43" s="66">
        <v>1307.5560469813045</v>
      </c>
      <c r="J43" s="66">
        <v>1237.1518931740316</v>
      </c>
      <c r="K43" s="66">
        <v>1373.2154272320477</v>
      </c>
      <c r="L43" s="66">
        <v>1232.8623975923758</v>
      </c>
      <c r="M43" s="66">
        <v>1174.9317910096975</v>
      </c>
      <c r="N43" s="66">
        <v>1260.7060362625457</v>
      </c>
      <c r="O43" s="66">
        <v>1288.4593448300893</v>
      </c>
      <c r="P43" s="66">
        <v>1176.9154019849814</v>
      </c>
      <c r="Q43" s="66">
        <v>1226.5873422915172</v>
      </c>
      <c r="R43" s="66">
        <v>1181.515930322686</v>
      </c>
      <c r="S43" s="66">
        <v>1383.9</v>
      </c>
      <c r="T43" s="66">
        <v>1447.2870120304444</v>
      </c>
      <c r="U43" s="66">
        <v>1483.6303758233244</v>
      </c>
      <c r="V43" s="66">
        <v>1359.2620768352986</v>
      </c>
      <c r="W43" s="66">
        <v>1386.0933211344923</v>
      </c>
      <c r="X43" s="66">
        <v>1521.6517081909078</v>
      </c>
      <c r="Y43" s="66">
        <v>1718.4361969433612</v>
      </c>
    </row>
    <row r="44" spans="1:25" x14ac:dyDescent="0.25">
      <c r="A44" s="73" t="s">
        <v>272</v>
      </c>
      <c r="B44" s="65"/>
      <c r="C44" s="65"/>
      <c r="D44" s="66">
        <v>913.68142762723062</v>
      </c>
      <c r="E44" s="66">
        <v>888.36116643685205</v>
      </c>
      <c r="F44" s="66">
        <v>867.62810678122128</v>
      </c>
      <c r="G44" s="66">
        <v>853.60780631588955</v>
      </c>
      <c r="H44" s="66">
        <v>893.94606877043293</v>
      </c>
      <c r="I44" s="66">
        <v>870.01162121605307</v>
      </c>
      <c r="J44" s="66">
        <v>834.57787929368362</v>
      </c>
      <c r="K44" s="66">
        <v>907.30875772427021</v>
      </c>
      <c r="L44" s="66">
        <v>772.96856712924262</v>
      </c>
      <c r="M44" s="66">
        <v>696.7024657422262</v>
      </c>
      <c r="N44" s="66">
        <v>823.36828764743154</v>
      </c>
      <c r="O44" s="66">
        <v>844.1093816432134</v>
      </c>
      <c r="P44" s="66">
        <v>705.24602216037385</v>
      </c>
      <c r="Q44" s="66">
        <v>726.94635347215103</v>
      </c>
      <c r="R44" s="66">
        <v>718.39432138049199</v>
      </c>
      <c r="S44" s="66">
        <v>878.7</v>
      </c>
      <c r="T44" s="66">
        <v>935.42843113184381</v>
      </c>
      <c r="U44" s="66">
        <v>910.88725300271221</v>
      </c>
      <c r="V44" s="66">
        <v>784.13845568657291</v>
      </c>
      <c r="W44" s="66">
        <v>806.52389043449034</v>
      </c>
      <c r="X44" s="66">
        <v>841.66560038020725</v>
      </c>
      <c r="Y44" s="66">
        <v>1031.998342894711</v>
      </c>
    </row>
    <row r="45" spans="1:25" x14ac:dyDescent="0.25">
      <c r="A45" s="74" t="s">
        <v>20</v>
      </c>
      <c r="B45" s="44"/>
      <c r="C45" s="44"/>
      <c r="D45" s="45">
        <v>324.91197646480157</v>
      </c>
      <c r="E45" s="45">
        <v>355.97589848209026</v>
      </c>
      <c r="F45" s="45">
        <v>351.79739421017126</v>
      </c>
      <c r="G45" s="45">
        <v>387.71490020712326</v>
      </c>
      <c r="H45" s="45">
        <v>396.77012290970322</v>
      </c>
      <c r="I45" s="45">
        <v>313.13803102399987</v>
      </c>
      <c r="J45" s="45">
        <v>306.69502011602549</v>
      </c>
      <c r="K45" s="45">
        <v>355.31073709011957</v>
      </c>
      <c r="L45" s="45">
        <v>298.13915195076538</v>
      </c>
      <c r="M45" s="45">
        <v>173.41122739563667</v>
      </c>
      <c r="N45" s="45">
        <v>306.51707755809394</v>
      </c>
      <c r="O45" s="45">
        <v>335.06813990922871</v>
      </c>
      <c r="P45" s="45">
        <v>207.70075207139433</v>
      </c>
      <c r="Q45" s="45">
        <v>254.49356902858671</v>
      </c>
      <c r="R45" s="45">
        <v>277.14471767943377</v>
      </c>
      <c r="S45" s="45">
        <v>447.11482458454225</v>
      </c>
      <c r="T45" s="45">
        <v>446.31455976857285</v>
      </c>
      <c r="U45" s="45">
        <v>443.00326818488384</v>
      </c>
      <c r="V45" s="45">
        <v>326.36137865724851</v>
      </c>
      <c r="W45" s="45">
        <v>338.65271207537108</v>
      </c>
      <c r="X45" s="45">
        <v>327.66592454008406</v>
      </c>
      <c r="Y45" s="45">
        <v>409.84810812180439</v>
      </c>
    </row>
    <row r="46" spans="1:25" x14ac:dyDescent="0.25">
      <c r="A46" s="74" t="s">
        <v>12</v>
      </c>
      <c r="B46" s="44"/>
      <c r="C46" s="44"/>
      <c r="D46" s="45">
        <v>588.76945116242905</v>
      </c>
      <c r="E46" s="45">
        <v>532.38526795476173</v>
      </c>
      <c r="F46" s="45">
        <v>515.83071257105007</v>
      </c>
      <c r="G46" s="45">
        <v>465.89290610876628</v>
      </c>
      <c r="H46" s="45">
        <v>497.17594586072971</v>
      </c>
      <c r="I46" s="45">
        <v>556.87359019205314</v>
      </c>
      <c r="J46" s="45">
        <v>527.88285917765813</v>
      </c>
      <c r="K46" s="45">
        <v>551.99802063415063</v>
      </c>
      <c r="L46" s="45">
        <v>474.82941517847723</v>
      </c>
      <c r="M46" s="45">
        <v>523.29123834658958</v>
      </c>
      <c r="N46" s="45">
        <v>516.85121008933766</v>
      </c>
      <c r="O46" s="45">
        <v>509.04124173398469</v>
      </c>
      <c r="P46" s="45">
        <v>497.54527008897952</v>
      </c>
      <c r="Q46" s="45">
        <v>472.45278444356433</v>
      </c>
      <c r="R46" s="45">
        <v>441.24960370105822</v>
      </c>
      <c r="S46" s="45">
        <v>431.5851754154578</v>
      </c>
      <c r="T46" s="45">
        <v>489.11387136327096</v>
      </c>
      <c r="U46" s="45">
        <v>467.88398481782838</v>
      </c>
      <c r="V46" s="45">
        <v>457.7770770293244</v>
      </c>
      <c r="W46" s="45">
        <v>467.87117835911926</v>
      </c>
      <c r="X46" s="45">
        <v>513.99967584012325</v>
      </c>
      <c r="Y46" s="45">
        <v>622.15023477290651</v>
      </c>
    </row>
    <row r="47" spans="1:25" x14ac:dyDescent="0.25">
      <c r="A47" s="73" t="s">
        <v>11</v>
      </c>
      <c r="B47" s="65"/>
      <c r="C47" s="65"/>
      <c r="D47" s="66">
        <v>448.24851288830138</v>
      </c>
      <c r="E47" s="66">
        <v>454.64991573464073</v>
      </c>
      <c r="F47" s="66">
        <v>474.62411782755447</v>
      </c>
      <c r="G47" s="66">
        <v>432.86544564222635</v>
      </c>
      <c r="H47" s="66">
        <v>431.84400287509567</v>
      </c>
      <c r="I47" s="66">
        <v>437.54442576525145</v>
      </c>
      <c r="J47" s="66">
        <v>402.57401388034793</v>
      </c>
      <c r="K47" s="66">
        <v>465.90666950777756</v>
      </c>
      <c r="L47" s="66">
        <v>459.89383046313327</v>
      </c>
      <c r="M47" s="66">
        <v>478.22932526747121</v>
      </c>
      <c r="N47" s="66">
        <v>437.33774861511415</v>
      </c>
      <c r="O47" s="66">
        <v>444.34996318687581</v>
      </c>
      <c r="P47" s="66">
        <v>471.66937982460746</v>
      </c>
      <c r="Q47" s="66">
        <v>499.6409888193661</v>
      </c>
      <c r="R47" s="66">
        <v>463.12160894219392</v>
      </c>
      <c r="S47" s="66">
        <v>505.2</v>
      </c>
      <c r="T47" s="66">
        <v>511.85858089860062</v>
      </c>
      <c r="U47" s="66">
        <v>572.74312282061214</v>
      </c>
      <c r="V47" s="66">
        <v>575.12362114872565</v>
      </c>
      <c r="W47" s="66">
        <v>579.56943070000182</v>
      </c>
      <c r="X47" s="66">
        <v>679.98610781070067</v>
      </c>
      <c r="Y47" s="66">
        <v>686.43785404865037</v>
      </c>
    </row>
    <row r="48" spans="1:25" x14ac:dyDescent="0.25">
      <c r="A48" s="72" t="s">
        <v>4</v>
      </c>
      <c r="B48" s="65"/>
      <c r="C48" s="65"/>
      <c r="D48" s="66">
        <v>2073.6285525446133</v>
      </c>
      <c r="E48" s="66">
        <v>2049.1803278688526</v>
      </c>
      <c r="F48" s="66">
        <v>1999.1408407486961</v>
      </c>
      <c r="G48" s="66">
        <v>1838.1924718019422</v>
      </c>
      <c r="H48" s="66">
        <v>1816.7590252498319</v>
      </c>
      <c r="I48" s="66">
        <v>1746.7928828513725</v>
      </c>
      <c r="J48" s="66">
        <v>1716.9243608890451</v>
      </c>
      <c r="K48" s="66">
        <v>1762.3055614745365</v>
      </c>
      <c r="L48" s="66">
        <v>1694.4281892660092</v>
      </c>
      <c r="M48" s="66">
        <v>1588.2731629556208</v>
      </c>
      <c r="N48" s="66">
        <v>1619.0388585678952</v>
      </c>
      <c r="O48" s="66">
        <v>1476.9840199931559</v>
      </c>
      <c r="P48" s="66">
        <v>1343.5908207740376</v>
      </c>
      <c r="Q48" s="66">
        <v>1263.5142065852906</v>
      </c>
      <c r="R48" s="66">
        <v>1244.3397380981517</v>
      </c>
      <c r="S48" s="66">
        <v>1262.5</v>
      </c>
      <c r="T48" s="66">
        <v>1305.1804566658484</v>
      </c>
      <c r="U48" s="66">
        <v>1402.8477334366528</v>
      </c>
      <c r="V48" s="66">
        <v>1461.6774438950169</v>
      </c>
      <c r="W48" s="66">
        <v>1543.3089978900985</v>
      </c>
      <c r="X48" s="66">
        <v>1557.8445171550261</v>
      </c>
      <c r="Y48" s="66">
        <v>1666.7417167250558</v>
      </c>
    </row>
    <row r="49" spans="1:25" x14ac:dyDescent="0.25">
      <c r="A49" s="77" t="s">
        <v>10</v>
      </c>
      <c r="B49" s="44"/>
      <c r="C49" s="44"/>
      <c r="D49" s="45">
        <v>565.96247222917157</v>
      </c>
      <c r="E49" s="45">
        <v>539.66161765517495</v>
      </c>
      <c r="F49" s="45">
        <v>475.31319819513504</v>
      </c>
      <c r="G49" s="45">
        <v>442.99566890472784</v>
      </c>
      <c r="H49" s="45">
        <v>479.1423986533859</v>
      </c>
      <c r="I49" s="45">
        <v>421.04086935014391</v>
      </c>
      <c r="J49" s="45">
        <v>411.37980008749889</v>
      </c>
      <c r="K49" s="45">
        <v>509.8688466840108</v>
      </c>
      <c r="L49" s="45">
        <v>485.72795353538442</v>
      </c>
      <c r="M49" s="45">
        <v>535.22999676239783</v>
      </c>
      <c r="N49" s="45">
        <v>527.58262911179429</v>
      </c>
      <c r="O49" s="45">
        <v>452.886427729844</v>
      </c>
      <c r="P49" s="45">
        <v>481.04772683796915</v>
      </c>
      <c r="Q49" s="45">
        <v>393.89009279615777</v>
      </c>
      <c r="R49" s="45">
        <v>371.03905236089412</v>
      </c>
      <c r="S49" s="45">
        <v>359.84287734574809</v>
      </c>
      <c r="T49" s="45">
        <v>270.80101845903351</v>
      </c>
      <c r="U49" s="45">
        <v>289.99236440041511</v>
      </c>
      <c r="V49" s="45">
        <v>314.29152887760398</v>
      </c>
      <c r="W49" s="45">
        <v>370.73080031056975</v>
      </c>
      <c r="X49" s="45">
        <v>448.47797844794809</v>
      </c>
      <c r="Y49" s="45">
        <v>451.87952241875342</v>
      </c>
    </row>
    <row r="50" spans="1:25" x14ac:dyDescent="0.25">
      <c r="A50" s="77" t="s">
        <v>18</v>
      </c>
      <c r="B50" s="44"/>
      <c r="C50" s="44"/>
      <c r="D50" s="45">
        <v>261.39194858507858</v>
      </c>
      <c r="E50" s="45">
        <v>266.85874450822803</v>
      </c>
      <c r="F50" s="45">
        <v>246.63709712807096</v>
      </c>
      <c r="G50" s="45">
        <v>273.45934556288978</v>
      </c>
      <c r="H50" s="45">
        <v>291.72182360336188</v>
      </c>
      <c r="I50" s="45">
        <v>267.67611986749972</v>
      </c>
      <c r="J50" s="45">
        <v>285.70220735453756</v>
      </c>
      <c r="K50" s="45">
        <v>347.89509945609666</v>
      </c>
      <c r="L50" s="45">
        <v>368.17552394932926</v>
      </c>
      <c r="M50" s="45">
        <v>359.09323577883259</v>
      </c>
      <c r="N50" s="45">
        <v>381.58784685759662</v>
      </c>
      <c r="O50" s="45">
        <v>354.70976944659702</v>
      </c>
      <c r="P50" s="45">
        <v>433.4625252518278</v>
      </c>
      <c r="Q50" s="45">
        <v>408.52404257920892</v>
      </c>
      <c r="R50" s="45">
        <v>347.31041244707109</v>
      </c>
      <c r="S50" s="45">
        <v>344.5068408580027</v>
      </c>
      <c r="T50" s="45">
        <v>345.99986181840694</v>
      </c>
      <c r="U50" s="45">
        <v>374.07605319548975</v>
      </c>
      <c r="V50" s="45">
        <v>386.29117613849837</v>
      </c>
      <c r="W50" s="45">
        <v>395.71460510176422</v>
      </c>
      <c r="X50" s="45">
        <v>364.05509093220689</v>
      </c>
      <c r="Y50" s="45">
        <v>377.0824320552365</v>
      </c>
    </row>
    <row r="51" spans="1:25" x14ac:dyDescent="0.25">
      <c r="A51" s="77" t="s">
        <v>9</v>
      </c>
      <c r="B51" s="44"/>
      <c r="C51" s="44"/>
      <c r="D51" s="45">
        <v>1246.2741317303633</v>
      </c>
      <c r="E51" s="45">
        <v>1242.6599657054496</v>
      </c>
      <c r="F51" s="45">
        <v>1277.19054542549</v>
      </c>
      <c r="G51" s="45">
        <v>1121.7374573343245</v>
      </c>
      <c r="H51" s="45">
        <v>1045.8948029930841</v>
      </c>
      <c r="I51" s="45">
        <v>1058.075893633729</v>
      </c>
      <c r="J51" s="45">
        <v>1019.8423534470086</v>
      </c>
      <c r="K51" s="45">
        <v>904.54161533442903</v>
      </c>
      <c r="L51" s="45">
        <v>840.52471178129554</v>
      </c>
      <c r="M51" s="45">
        <v>693.94993041439034</v>
      </c>
      <c r="N51" s="45">
        <v>709.86838259850447</v>
      </c>
      <c r="O51" s="45">
        <v>669.38782281671502</v>
      </c>
      <c r="P51" s="45">
        <v>429.08056868424075</v>
      </c>
      <c r="Q51" s="45">
        <v>461.1000712099239</v>
      </c>
      <c r="R51" s="45">
        <v>525.99027329018645</v>
      </c>
      <c r="S51" s="45">
        <v>558.15028179624915</v>
      </c>
      <c r="T51" s="45">
        <v>688.37957638840794</v>
      </c>
      <c r="U51" s="45">
        <v>738.77931584074804</v>
      </c>
      <c r="V51" s="45">
        <v>761.09473887891465</v>
      </c>
      <c r="W51" s="45">
        <v>776.86359247776454</v>
      </c>
      <c r="X51" s="45">
        <v>745.31144777487111</v>
      </c>
      <c r="Y51" s="45">
        <v>837.7797622510659</v>
      </c>
    </row>
    <row r="52" spans="1:25" x14ac:dyDescent="0.25">
      <c r="A52" s="72" t="s">
        <v>3</v>
      </c>
      <c r="B52" s="65"/>
      <c r="C52" s="65"/>
      <c r="D52" s="66">
        <v>2078.9160608063448</v>
      </c>
      <c r="E52" s="66">
        <v>1934.9113936979722</v>
      </c>
      <c r="F52" s="66">
        <v>1825.0997238416696</v>
      </c>
      <c r="G52" s="66">
        <v>1683.2071502430558</v>
      </c>
      <c r="H52" s="66">
        <v>1588.258480372835</v>
      </c>
      <c r="I52" s="66">
        <v>1632.6116144464127</v>
      </c>
      <c r="J52" s="66">
        <v>1718.1323025564441</v>
      </c>
      <c r="K52" s="66">
        <v>1736.7355636053694</v>
      </c>
      <c r="L52" s="66">
        <v>1534.9648888145794</v>
      </c>
      <c r="M52" s="66">
        <v>1317.889659823627</v>
      </c>
      <c r="N52" s="66">
        <v>1549.7434639520859</v>
      </c>
      <c r="O52" s="66">
        <v>1411.7573859570891</v>
      </c>
      <c r="P52" s="66">
        <v>1292.3383920600747</v>
      </c>
      <c r="Q52" s="66">
        <v>1257.0520053338805</v>
      </c>
      <c r="R52" s="66">
        <v>1191.4086403133028</v>
      </c>
      <c r="S52" s="66">
        <v>1321.3999999999999</v>
      </c>
      <c r="T52" s="66">
        <v>1261.5762337343481</v>
      </c>
      <c r="U52" s="66">
        <v>1283.3204184424644</v>
      </c>
      <c r="V52" s="66">
        <v>1475.65614302016</v>
      </c>
      <c r="W52" s="66">
        <v>1392.441697630562</v>
      </c>
      <c r="X52" s="66">
        <v>1149.5786645219077</v>
      </c>
      <c r="Y52" s="66">
        <v>1342.8857047650783</v>
      </c>
    </row>
    <row r="53" spans="1:25" x14ac:dyDescent="0.25">
      <c r="A53" s="73" t="s">
        <v>21</v>
      </c>
      <c r="B53" s="65"/>
      <c r="C53" s="65"/>
      <c r="D53" s="66">
        <v>1351.8836748182418</v>
      </c>
      <c r="E53" s="66">
        <v>1251.5959348347887</v>
      </c>
      <c r="F53" s="66">
        <v>1183.1850260816202</v>
      </c>
      <c r="G53" s="66">
        <v>1080.2619537183402</v>
      </c>
      <c r="H53" s="66">
        <v>1011.6163138491503</v>
      </c>
      <c r="I53" s="66">
        <v>1049.0686103056494</v>
      </c>
      <c r="J53" s="66">
        <v>1112.4044627953967</v>
      </c>
      <c r="K53" s="66">
        <v>1122.0967398252717</v>
      </c>
      <c r="L53" s="66">
        <v>977.67931783982613</v>
      </c>
      <c r="M53" s="66">
        <v>846.3024085182044</v>
      </c>
      <c r="N53" s="66">
        <v>1005.1920443163468</v>
      </c>
      <c r="O53" s="66">
        <v>923.54277062831181</v>
      </c>
      <c r="P53" s="66">
        <v>852.0716273696371</v>
      </c>
      <c r="Q53" s="66">
        <v>842.13765514411739</v>
      </c>
      <c r="R53" s="66">
        <v>766.7360176233019</v>
      </c>
      <c r="S53" s="66">
        <v>896.6</v>
      </c>
      <c r="T53" s="66">
        <v>858.04075619936168</v>
      </c>
      <c r="U53" s="66">
        <v>853.35141418055025</v>
      </c>
      <c r="V53" s="66">
        <v>1062.9516926588058</v>
      </c>
      <c r="W53" s="66">
        <v>990.06665795320873</v>
      </c>
      <c r="X53" s="66">
        <v>810.95655035004665</v>
      </c>
      <c r="Y53" s="66">
        <v>996.33455514828381</v>
      </c>
    </row>
    <row r="54" spans="1:25" x14ac:dyDescent="0.25">
      <c r="A54" s="74" t="s">
        <v>8</v>
      </c>
      <c r="B54" s="44"/>
      <c r="C54" s="44"/>
      <c r="D54" s="45">
        <v>531.13349789029951</v>
      </c>
      <c r="E54" s="45">
        <v>455.09279338013602</v>
      </c>
      <c r="F54" s="45">
        <v>424.23987757886533</v>
      </c>
      <c r="G54" s="45">
        <v>390.31845239901907</v>
      </c>
      <c r="H54" s="45">
        <v>338.51257423554694</v>
      </c>
      <c r="I54" s="45">
        <v>379.88992894655115</v>
      </c>
      <c r="J54" s="45">
        <v>399.19163228743639</v>
      </c>
      <c r="K54" s="45">
        <v>408.02934925093388</v>
      </c>
      <c r="L54" s="45">
        <v>339.85587426189682</v>
      </c>
      <c r="M54" s="45">
        <v>168.19478073064215</v>
      </c>
      <c r="N54" s="45">
        <v>481.97455210611975</v>
      </c>
      <c r="O54" s="45">
        <v>378.96031269091759</v>
      </c>
      <c r="P54" s="45">
        <v>435.1166417052425</v>
      </c>
      <c r="Q54" s="45">
        <v>400.33300310335181</v>
      </c>
      <c r="R54" s="45">
        <v>341.41846941307324</v>
      </c>
      <c r="S54" s="45">
        <v>578.0556061258502</v>
      </c>
      <c r="T54" s="45">
        <v>688.65908917680656</v>
      </c>
      <c r="U54" s="45">
        <v>542.5479611587682</v>
      </c>
      <c r="V54" s="45">
        <v>940.82679804090481</v>
      </c>
      <c r="W54" s="45">
        <v>626.7131725604595</v>
      </c>
      <c r="X54" s="45">
        <v>165.35132236360224</v>
      </c>
      <c r="Y54" s="45">
        <v>165.75070544604424</v>
      </c>
    </row>
    <row r="55" spans="1:25" x14ac:dyDescent="0.25">
      <c r="A55" s="74" t="s">
        <v>17</v>
      </c>
      <c r="B55" s="44"/>
      <c r="C55" s="44"/>
      <c r="D55" s="45">
        <v>820.75017692794233</v>
      </c>
      <c r="E55" s="45">
        <v>796.50314145465268</v>
      </c>
      <c r="F55" s="45">
        <v>758.94514850275482</v>
      </c>
      <c r="G55" s="45">
        <v>689.94350131932117</v>
      </c>
      <c r="H55" s="45">
        <v>673.10373961360335</v>
      </c>
      <c r="I55" s="45">
        <v>669.17868135909816</v>
      </c>
      <c r="J55" s="45">
        <v>713.21283050796035</v>
      </c>
      <c r="K55" s="45">
        <v>714.06739057433788</v>
      </c>
      <c r="L55" s="45">
        <v>637.82344357792931</v>
      </c>
      <c r="M55" s="45">
        <v>678.10762778756225</v>
      </c>
      <c r="N55" s="45">
        <v>523.21749221022708</v>
      </c>
      <c r="O55" s="45">
        <v>544.58245793739422</v>
      </c>
      <c r="P55" s="45">
        <v>416.9549856643946</v>
      </c>
      <c r="Q55" s="45">
        <v>441.80465204076557</v>
      </c>
      <c r="R55" s="45">
        <v>425.31754821022867</v>
      </c>
      <c r="S55" s="45">
        <v>318.54439387414982</v>
      </c>
      <c r="T55" s="45">
        <v>169.38166702255512</v>
      </c>
      <c r="U55" s="45">
        <v>310.80345302178205</v>
      </c>
      <c r="V55" s="45">
        <v>122.12489461790096</v>
      </c>
      <c r="W55" s="45">
        <v>363.35348539274923</v>
      </c>
      <c r="X55" s="45">
        <v>645.60522798644445</v>
      </c>
      <c r="Y55" s="45">
        <v>830.5838497022396</v>
      </c>
    </row>
    <row r="56" spans="1:25" x14ac:dyDescent="0.25">
      <c r="A56" s="73" t="s">
        <v>16</v>
      </c>
      <c r="B56" s="65"/>
      <c r="C56" s="65"/>
      <c r="D56" s="66">
        <v>727.03238598810299</v>
      </c>
      <c r="E56" s="66">
        <v>683.31545886318349</v>
      </c>
      <c r="F56" s="66">
        <v>641.91469776004942</v>
      </c>
      <c r="G56" s="66">
        <v>602.94519652471558</v>
      </c>
      <c r="H56" s="66">
        <v>576.64216652368475</v>
      </c>
      <c r="I56" s="66">
        <v>583.54300414076329</v>
      </c>
      <c r="J56" s="66">
        <v>605.72783976104733</v>
      </c>
      <c r="K56" s="66">
        <v>614.63882378009771</v>
      </c>
      <c r="L56" s="66">
        <v>557.28557097475323</v>
      </c>
      <c r="M56" s="66">
        <v>471.58725130542257</v>
      </c>
      <c r="N56" s="66">
        <v>544.55141963573908</v>
      </c>
      <c r="O56" s="66">
        <v>488.21461532877731</v>
      </c>
      <c r="P56" s="66">
        <v>440.26676469043764</v>
      </c>
      <c r="Q56" s="66">
        <v>414.91435018976313</v>
      </c>
      <c r="R56" s="66">
        <v>424.67262269000094</v>
      </c>
      <c r="S56" s="66">
        <v>424.79999999999984</v>
      </c>
      <c r="T56" s="66">
        <v>403.5354775349864</v>
      </c>
      <c r="U56" s="66">
        <v>429.96900426191416</v>
      </c>
      <c r="V56" s="66">
        <v>412.70445036135425</v>
      </c>
      <c r="W56" s="66">
        <v>402.37503967735324</v>
      </c>
      <c r="X56" s="66">
        <v>338.62211417186109</v>
      </c>
      <c r="Y56" s="66">
        <v>346.55114961679453</v>
      </c>
    </row>
    <row r="57" spans="1:25" x14ac:dyDescent="0.25">
      <c r="A57" s="72" t="s">
        <v>2</v>
      </c>
      <c r="B57" s="65"/>
      <c r="C57" s="65"/>
      <c r="D57" s="66">
        <v>3260.2775941837408</v>
      </c>
      <c r="E57" s="66">
        <v>3458.5822991675604</v>
      </c>
      <c r="F57" s="66">
        <v>3579.0119668610005</v>
      </c>
      <c r="G57" s="66">
        <v>3577.9740185649594</v>
      </c>
      <c r="H57" s="66">
        <v>3586.2180899162977</v>
      </c>
      <c r="I57" s="66">
        <v>3590.6172783788966</v>
      </c>
      <c r="J57" s="66">
        <v>3556.9489589739087</v>
      </c>
      <c r="K57" s="66">
        <v>3432.1329639889195</v>
      </c>
      <c r="L57" s="66">
        <v>3509.9690687176058</v>
      </c>
      <c r="M57" s="66">
        <v>3620.7477953423731</v>
      </c>
      <c r="N57" s="66">
        <v>3646.4912818625949</v>
      </c>
      <c r="O57" s="66">
        <v>3544.5335103128596</v>
      </c>
      <c r="P57" s="66">
        <v>3523.0793467415847</v>
      </c>
      <c r="Q57" s="66">
        <v>3599.8563955277468</v>
      </c>
      <c r="R57" s="66">
        <v>3818.0761228735769</v>
      </c>
      <c r="S57" s="66">
        <v>3854.2</v>
      </c>
      <c r="T57" s="66">
        <v>4009.9189786398233</v>
      </c>
      <c r="U57" s="66">
        <v>4008.5238279736532</v>
      </c>
      <c r="V57" s="66">
        <v>4053.6325599087108</v>
      </c>
      <c r="W57" s="66">
        <v>4023.7503967735311</v>
      </c>
      <c r="X57" s="66">
        <v>3809.8415193668084</v>
      </c>
      <c r="Y57" s="66">
        <v>3826.8324972756827</v>
      </c>
    </row>
    <row r="58" spans="1:25" x14ac:dyDescent="0.25">
      <c r="A58" s="72" t="s">
        <v>275</v>
      </c>
      <c r="B58" s="65"/>
      <c r="C58" s="65"/>
      <c r="D58" s="66">
        <v>1975.2808988764043</v>
      </c>
      <c r="E58" s="66">
        <v>2039.0940197129871</v>
      </c>
      <c r="F58" s="66">
        <v>1911.5065971156798</v>
      </c>
      <c r="G58" s="66">
        <v>1688.555570082128</v>
      </c>
      <c r="H58" s="66">
        <v>1630.109670987039</v>
      </c>
      <c r="I58" s="66">
        <v>1517.3020726382417</v>
      </c>
      <c r="J58" s="66">
        <v>1489.611701660371</v>
      </c>
      <c r="K58" s="66">
        <v>1518.3251651395697</v>
      </c>
      <c r="L58" s="66">
        <v>1360.453937468651</v>
      </c>
      <c r="M58" s="66">
        <v>1125.0651434177046</v>
      </c>
      <c r="N58" s="66">
        <v>1353.9175405245192</v>
      </c>
      <c r="O58" s="66">
        <v>1412.4832785457259</v>
      </c>
      <c r="P58" s="66">
        <v>1364.2808381032401</v>
      </c>
      <c r="Q58" s="66">
        <v>1369.2686429377372</v>
      </c>
      <c r="R58" s="66">
        <v>1413.8416350507894</v>
      </c>
      <c r="S58" s="66">
        <v>1458.7</v>
      </c>
      <c r="T58" s="66">
        <v>1485.2933955315491</v>
      </c>
      <c r="U58" s="66">
        <v>1639.4808213870594</v>
      </c>
      <c r="V58" s="66">
        <v>1887.980220616204</v>
      </c>
      <c r="W58" s="66">
        <v>1936.8149821685306</v>
      </c>
      <c r="X58" s="66">
        <v>1699.7824775622864</v>
      </c>
      <c r="Y58" s="66">
        <v>1847.312157208858</v>
      </c>
    </row>
    <row r="59" spans="1:25" x14ac:dyDescent="0.25">
      <c r="A59" s="72" t="s">
        <v>276</v>
      </c>
      <c r="B59" s="65"/>
      <c r="C59" s="65"/>
      <c r="D59" s="66">
        <v>4753.0733641771312</v>
      </c>
      <c r="E59" s="66">
        <v>4697.6661048976048</v>
      </c>
      <c r="F59" s="66">
        <v>4468.8554771402278</v>
      </c>
      <c r="G59" s="66">
        <v>4205.0465312526003</v>
      </c>
      <c r="H59" s="66">
        <v>4260.7062533330245</v>
      </c>
      <c r="I59" s="66">
        <v>4201.69015355801</v>
      </c>
      <c r="J59" s="66">
        <v>4333.326012474743</v>
      </c>
      <c r="K59" s="66">
        <v>4576.8165352652886</v>
      </c>
      <c r="L59" s="66">
        <v>4593.1909379702392</v>
      </c>
      <c r="M59" s="66">
        <v>3749.9105874658953</v>
      </c>
      <c r="N59" s="66">
        <v>4028.433597023773</v>
      </c>
      <c r="O59" s="66">
        <v>3713.8738813476716</v>
      </c>
      <c r="P59" s="66">
        <v>3667.5943916399729</v>
      </c>
      <c r="Q59" s="66">
        <v>3676.5822135603648</v>
      </c>
      <c r="R59" s="66">
        <v>3867.8456329294659</v>
      </c>
      <c r="S59" s="66">
        <v>3838.7999999999997</v>
      </c>
      <c r="T59" s="66">
        <v>4038.6938374662409</v>
      </c>
      <c r="U59" s="66">
        <v>4273.1499418829908</v>
      </c>
      <c r="V59" s="66">
        <v>4413.8455686572843</v>
      </c>
      <c r="W59" s="66">
        <v>4434.340982504621</v>
      </c>
      <c r="X59" s="66">
        <v>4140.6949750488966</v>
      </c>
      <c r="Y59" s="66">
        <v>4474.3644010555035</v>
      </c>
    </row>
    <row r="60" spans="1:25" x14ac:dyDescent="0.25">
      <c r="A60" s="72" t="s">
        <v>1</v>
      </c>
      <c r="B60" s="65"/>
      <c r="C60" s="65"/>
      <c r="D60" s="66">
        <v>5039.2597488433576</v>
      </c>
      <c r="E60" s="66">
        <v>4945.0998416832645</v>
      </c>
      <c r="F60" s="66">
        <v>4893.7710954280456</v>
      </c>
      <c r="G60" s="66">
        <v>4591.7967125046052</v>
      </c>
      <c r="H60" s="66">
        <v>4272.1834496510473</v>
      </c>
      <c r="I60" s="66">
        <v>3852.6023626045062</v>
      </c>
      <c r="J60" s="66">
        <v>3783.0536765351844</v>
      </c>
      <c r="K60" s="66">
        <v>3819.731515022374</v>
      </c>
      <c r="L60" s="66">
        <v>3645.9204146463803</v>
      </c>
      <c r="M60" s="66">
        <v>3390.4211074891937</v>
      </c>
      <c r="N60" s="66">
        <v>3437.5830420473826</v>
      </c>
      <c r="O60" s="66">
        <v>3509.4832681758317</v>
      </c>
      <c r="P60" s="66">
        <v>3544.0844404768154</v>
      </c>
      <c r="Q60" s="66">
        <v>3655.246691968407</v>
      </c>
      <c r="R60" s="66">
        <v>3839.9012768734956</v>
      </c>
      <c r="S60" s="66">
        <v>3940</v>
      </c>
      <c r="T60" s="66">
        <v>4034.1762828382025</v>
      </c>
      <c r="U60" s="66">
        <v>4054.4362650135608</v>
      </c>
      <c r="V60" s="66">
        <v>4056.5804488398626</v>
      </c>
      <c r="W60" s="66">
        <v>3859.9996265660889</v>
      </c>
      <c r="X60" s="66">
        <v>3571.4807977041328</v>
      </c>
      <c r="Y60" s="66">
        <v>3817.0159496384085</v>
      </c>
    </row>
    <row r="61" spans="1:25" x14ac:dyDescent="0.25">
      <c r="A61" s="72" t="s">
        <v>0</v>
      </c>
      <c r="B61" s="65"/>
      <c r="C61" s="65"/>
      <c r="D61" s="66">
        <v>1297.5545274289491</v>
      </c>
      <c r="E61" s="66">
        <v>1209.3355804095806</v>
      </c>
      <c r="F61" s="66">
        <v>1140.1043264805155</v>
      </c>
      <c r="G61" s="66">
        <v>1054.1141233939884</v>
      </c>
      <c r="H61" s="66">
        <v>996.54524797699924</v>
      </c>
      <c r="I61" s="66">
        <v>1022.2157033092259</v>
      </c>
      <c r="J61" s="66">
        <v>1073.6405165597823</v>
      </c>
      <c r="K61" s="66">
        <v>1085.7660345194972</v>
      </c>
      <c r="L61" s="66">
        <v>963.04965724795181</v>
      </c>
      <c r="M61" s="66">
        <v>825.14995759291241</v>
      </c>
      <c r="N61" s="66">
        <v>962.06128247582842</v>
      </c>
      <c r="O61" s="66">
        <v>945.31954828741186</v>
      </c>
      <c r="P61" s="66">
        <v>915.19193404400562</v>
      </c>
      <c r="Q61" s="66">
        <v>904.29787670530311</v>
      </c>
      <c r="R61" s="66">
        <v>925.01937747317743</v>
      </c>
      <c r="S61" s="66">
        <v>951.7</v>
      </c>
      <c r="T61" s="66">
        <v>952.12374171372448</v>
      </c>
      <c r="U61" s="66">
        <v>965.9046881053855</v>
      </c>
      <c r="V61" s="66">
        <v>997.14720426017482</v>
      </c>
      <c r="W61" s="66">
        <v>1021.435106522023</v>
      </c>
      <c r="X61" s="66">
        <v>1003.3450929497139</v>
      </c>
      <c r="Y61" s="66">
        <v>1051.0010176787916</v>
      </c>
    </row>
    <row r="62" spans="1:25" x14ac:dyDescent="0.25">
      <c r="A62" s="78" t="s">
        <v>277</v>
      </c>
      <c r="B62" s="79"/>
      <c r="C62" s="79"/>
      <c r="D62" s="80">
        <v>2291.4738929279574</v>
      </c>
      <c r="E62" s="80">
        <v>2331.8523058066494</v>
      </c>
      <c r="F62" s="80">
        <v>2298.1282602025162</v>
      </c>
      <c r="G62" s="80">
        <v>2149.5893602101332</v>
      </c>
      <c r="H62" s="80">
        <v>2108.9058406176819</v>
      </c>
      <c r="I62" s="80">
        <v>1982.7148514628066</v>
      </c>
      <c r="J62" s="80">
        <v>1932.377229201441</v>
      </c>
      <c r="K62" s="80">
        <v>1984.1252929895591</v>
      </c>
      <c r="L62" s="80">
        <v>1980.9605417154323</v>
      </c>
      <c r="M62" s="80">
        <v>1945.6167421138143</v>
      </c>
      <c r="N62" s="80">
        <v>1926.8821160646758</v>
      </c>
      <c r="O62" s="80">
        <v>1977.3314114462892</v>
      </c>
      <c r="P62" s="80">
        <v>1976.5793204852175</v>
      </c>
      <c r="Q62" s="80">
        <v>1998.358806031388</v>
      </c>
      <c r="R62" s="80">
        <v>2078.4889650389587</v>
      </c>
      <c r="S62" s="80">
        <v>2209.6000000000004</v>
      </c>
      <c r="T62" s="80">
        <v>2229.707832064817</v>
      </c>
      <c r="U62" s="80">
        <v>2317.4157303370785</v>
      </c>
      <c r="V62" s="80">
        <v>2400.2472422974515</v>
      </c>
      <c r="W62" s="80">
        <v>2500.1400377168247</v>
      </c>
      <c r="X62" s="80">
        <v>2408.8325077229606</v>
      </c>
      <c r="Y62" s="80">
        <v>2598.0529012851571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3.5490043253879028E-2</v>
      </c>
      <c r="E66" s="83">
        <f t="shared" ref="E66:S66" si="49">E24/E$23</f>
        <v>3.3753658745472218E-2</v>
      </c>
      <c r="F66" s="83">
        <f t="shared" si="49"/>
        <v>3.1122140128205647E-2</v>
      </c>
      <c r="G66" s="83">
        <f t="shared" si="49"/>
        <v>3.0316837372577295E-2</v>
      </c>
      <c r="H66" s="83">
        <f t="shared" si="49"/>
        <v>2.975482332017473E-2</v>
      </c>
      <c r="I66" s="83">
        <f t="shared" si="49"/>
        <v>2.6564944572417346E-2</v>
      </c>
      <c r="J66" s="83">
        <f t="shared" si="49"/>
        <v>2.6093934262594379E-2</v>
      </c>
      <c r="K66" s="83">
        <f t="shared" si="49"/>
        <v>2.3043255392137533E-2</v>
      </c>
      <c r="L66" s="83">
        <f t="shared" si="49"/>
        <v>2.2523312896793123E-2</v>
      </c>
      <c r="M66" s="83">
        <f t="shared" si="49"/>
        <v>2.199792345054373E-2</v>
      </c>
      <c r="N66" s="83">
        <f t="shared" si="49"/>
        <v>2.2024323482567668E-2</v>
      </c>
      <c r="O66" s="83">
        <f t="shared" si="49"/>
        <v>2.0953985059190983E-2</v>
      </c>
      <c r="P66" s="83">
        <f t="shared" si="49"/>
        <v>2.1996429706795786E-2</v>
      </c>
      <c r="Q66" s="83">
        <f t="shared" si="49"/>
        <v>2.3848766006930467E-2</v>
      </c>
      <c r="R66" s="83">
        <f t="shared" si="49"/>
        <v>2.3771998427903913E-2</v>
      </c>
      <c r="S66" s="83">
        <f t="shared" si="49"/>
        <v>2.4105961449628892E-2</v>
      </c>
      <c r="T66" s="83">
        <f t="shared" ref="T66:Y66" si="50">T24/T$23</f>
        <v>2.3781847767778051E-2</v>
      </c>
      <c r="U66" s="83">
        <f t="shared" si="50"/>
        <v>2.4208584769246817E-2</v>
      </c>
      <c r="V66" s="83">
        <f t="shared" si="50"/>
        <v>2.3545931922696137E-2</v>
      </c>
      <c r="W66" s="83">
        <f t="shared" si="50"/>
        <v>2.413166587886036E-2</v>
      </c>
      <c r="X66" s="83">
        <f t="shared" si="50"/>
        <v>2.494278128719216E-2</v>
      </c>
      <c r="Y66" s="83">
        <f t="shared" si="50"/>
        <v>2.4835075193737531E-2</v>
      </c>
    </row>
    <row r="67" spans="1:25" x14ac:dyDescent="0.25">
      <c r="A67" s="64" t="s">
        <v>56</v>
      </c>
      <c r="B67" s="65"/>
      <c r="C67" s="65"/>
      <c r="D67" s="83">
        <f t="shared" si="46"/>
        <v>5.5882554209543576E-3</v>
      </c>
      <c r="E67" s="83">
        <f t="shared" ref="E67:S67" si="51">E25/E$23</f>
        <v>5.4551622106799261E-3</v>
      </c>
      <c r="F67" s="83">
        <f t="shared" si="51"/>
        <v>4.6463520724173467E-3</v>
      </c>
      <c r="G67" s="83">
        <f t="shared" si="51"/>
        <v>4.195427539822898E-3</v>
      </c>
      <c r="H67" s="83">
        <f t="shared" si="51"/>
        <v>4.5724654661691627E-3</v>
      </c>
      <c r="I67" s="83">
        <f t="shared" si="51"/>
        <v>4.7859522844921325E-3</v>
      </c>
      <c r="J67" s="83">
        <f t="shared" si="51"/>
        <v>5.594791382962495E-3</v>
      </c>
      <c r="K67" s="83">
        <f t="shared" si="51"/>
        <v>5.2843605010317683E-3</v>
      </c>
      <c r="L67" s="83">
        <f t="shared" si="51"/>
        <v>3.8934875017770437E-3</v>
      </c>
      <c r="M67" s="83">
        <f t="shared" si="51"/>
        <v>4.153741807112343E-3</v>
      </c>
      <c r="N67" s="83">
        <f t="shared" si="51"/>
        <v>4.5198226507683703E-3</v>
      </c>
      <c r="O67" s="83">
        <f t="shared" si="51"/>
        <v>4.2179172922281573E-3</v>
      </c>
      <c r="P67" s="83">
        <f t="shared" si="51"/>
        <v>4.3181799656012857E-3</v>
      </c>
      <c r="Q67" s="83">
        <f t="shared" si="51"/>
        <v>3.8043474632899498E-3</v>
      </c>
      <c r="R67" s="83">
        <f t="shared" si="51"/>
        <v>3.5047950254009975E-3</v>
      </c>
      <c r="S67" s="83">
        <f t="shared" si="51"/>
        <v>3.1977295800528125E-3</v>
      </c>
      <c r="T67" s="83">
        <f t="shared" ref="T67:Y67" si="52">T25/T$23</f>
        <v>3.2927287733505025E-3</v>
      </c>
      <c r="U67" s="83">
        <f t="shared" si="52"/>
        <v>3.5881380999903921E-3</v>
      </c>
      <c r="V67" s="83">
        <f t="shared" si="52"/>
        <v>3.4000898200724759E-3</v>
      </c>
      <c r="W67" s="83">
        <f t="shared" si="52"/>
        <v>3.1109815168244709E-3</v>
      </c>
      <c r="X67" s="83">
        <f t="shared" si="52"/>
        <v>3.1264304678201957E-3</v>
      </c>
      <c r="Y67" s="83">
        <f t="shared" si="52"/>
        <v>4.2422599870315988E-3</v>
      </c>
    </row>
    <row r="68" spans="1:25" x14ac:dyDescent="0.25">
      <c r="A68" s="64" t="s">
        <v>146</v>
      </c>
      <c r="B68" s="65"/>
      <c r="C68" s="65"/>
      <c r="D68" s="83">
        <f t="shared" si="46"/>
        <v>0.69686291621971586</v>
      </c>
      <c r="E68" s="83">
        <f t="shared" ref="E68:S68" si="53">E26/E$23</f>
        <v>0.70250599925103818</v>
      </c>
      <c r="F68" s="83">
        <f t="shared" si="53"/>
        <v>0.71207770913595481</v>
      </c>
      <c r="G68" s="83">
        <f t="shared" si="53"/>
        <v>0.72364979492587345</v>
      </c>
      <c r="H68" s="83">
        <f t="shared" si="53"/>
        <v>0.72897852563524812</v>
      </c>
      <c r="I68" s="83">
        <f t="shared" si="53"/>
        <v>0.7397925747914148</v>
      </c>
      <c r="J68" s="83">
        <f t="shared" si="53"/>
        <v>0.74235191600011419</v>
      </c>
      <c r="K68" s="83">
        <f t="shared" si="53"/>
        <v>0.74621466030519301</v>
      </c>
      <c r="L68" s="83">
        <f t="shared" si="53"/>
        <v>0.75699258828546956</v>
      </c>
      <c r="M68" s="83">
        <f t="shared" si="53"/>
        <v>0.76814264544685973</v>
      </c>
      <c r="N68" s="83">
        <f t="shared" si="53"/>
        <v>0.76643025166676371</v>
      </c>
      <c r="O68" s="83">
        <f t="shared" si="53"/>
        <v>0.77418733236357784</v>
      </c>
      <c r="P68" s="83">
        <f t="shared" si="53"/>
        <v>0.77641310520409645</v>
      </c>
      <c r="Q68" s="83">
        <f t="shared" si="53"/>
        <v>0.77758886212027434</v>
      </c>
      <c r="R68" s="83">
        <f t="shared" si="53"/>
        <v>0.77543044070299683</v>
      </c>
      <c r="S68" s="83">
        <f t="shared" si="53"/>
        <v>0.76788061128066998</v>
      </c>
      <c r="T68" s="83">
        <f t="shared" ref="T68:Y68" si="54">T26/T$23</f>
        <v>0.76870648353975135</v>
      </c>
      <c r="U68" s="83">
        <f t="shared" si="54"/>
        <v>0.76942543221826176</v>
      </c>
      <c r="V68" s="83">
        <f t="shared" si="54"/>
        <v>0.76766015330269077</v>
      </c>
      <c r="W68" s="83">
        <f t="shared" si="54"/>
        <v>0.7728482243097442</v>
      </c>
      <c r="X68" s="83">
        <f t="shared" si="54"/>
        <v>0.76823159846196121</v>
      </c>
      <c r="Y68" s="83">
        <f t="shared" si="54"/>
        <v>0.76873054539448049</v>
      </c>
    </row>
    <row r="69" spans="1:25" x14ac:dyDescent="0.25">
      <c r="A69" s="68" t="s">
        <v>148</v>
      </c>
      <c r="B69" s="69"/>
      <c r="C69" s="69"/>
      <c r="D69" s="84">
        <f t="shared" si="46"/>
        <v>0.29483024163339167</v>
      </c>
      <c r="E69" s="84">
        <f t="shared" ref="E69:S69" si="55">E27/E$23</f>
        <v>0.29816739463736647</v>
      </c>
      <c r="F69" s="84">
        <f t="shared" si="55"/>
        <v>0.30442786528385241</v>
      </c>
      <c r="G69" s="84">
        <f t="shared" si="55"/>
        <v>0.30994102602041895</v>
      </c>
      <c r="H69" s="84">
        <f t="shared" si="55"/>
        <v>0.31290219370189454</v>
      </c>
      <c r="I69" s="84">
        <f t="shared" si="55"/>
        <v>0.31947977135076588</v>
      </c>
      <c r="J69" s="84">
        <f t="shared" si="55"/>
        <v>0.31430440206711935</v>
      </c>
      <c r="K69" s="84">
        <f t="shared" si="55"/>
        <v>0.30851701431331574</v>
      </c>
      <c r="L69" s="84">
        <f t="shared" si="55"/>
        <v>0.30817209727058842</v>
      </c>
      <c r="M69" s="84">
        <f t="shared" si="55"/>
        <v>0.32062630788863783</v>
      </c>
      <c r="N69" s="84">
        <f t="shared" si="55"/>
        <v>0.31868041435505806</v>
      </c>
      <c r="O69" s="84">
        <f t="shared" si="55"/>
        <v>0.31212782605649059</v>
      </c>
      <c r="P69" s="84">
        <f t="shared" si="55"/>
        <v>0.3042479424623068</v>
      </c>
      <c r="Q69" s="84">
        <f t="shared" si="55"/>
        <v>0.30915079407993068</v>
      </c>
      <c r="R69" s="84">
        <f t="shared" si="55"/>
        <v>0.30471734691582009</v>
      </c>
      <c r="S69" s="84">
        <f t="shared" si="55"/>
        <v>0.30381753326948524</v>
      </c>
      <c r="T69" s="84">
        <f t="shared" ref="T69:Y69" si="56">T27/T$23</f>
        <v>0.30481692761367291</v>
      </c>
      <c r="U69" s="84">
        <f t="shared" si="56"/>
        <v>0.31077331538183572</v>
      </c>
      <c r="V69" s="84">
        <f t="shared" si="56"/>
        <v>0.31089296591626897</v>
      </c>
      <c r="W69" s="84">
        <f t="shared" si="56"/>
        <v>0.3120769358880176</v>
      </c>
      <c r="X69" s="84">
        <f t="shared" si="56"/>
        <v>0.28739071225853702</v>
      </c>
      <c r="Y69" s="84">
        <f t="shared" si="56"/>
        <v>0.29471946612526528</v>
      </c>
    </row>
    <row r="70" spans="1:25" x14ac:dyDescent="0.25">
      <c r="A70" s="68" t="s">
        <v>150</v>
      </c>
      <c r="B70" s="71"/>
      <c r="C70" s="71"/>
      <c r="D70" s="84">
        <f t="shared" si="46"/>
        <v>0.24930657819780544</v>
      </c>
      <c r="E70" s="84">
        <f t="shared" ref="E70:S70" si="57">E28/E$23</f>
        <v>0.25139506726382094</v>
      </c>
      <c r="F70" s="84">
        <f t="shared" si="57"/>
        <v>0.25514847079292663</v>
      </c>
      <c r="G70" s="84">
        <f t="shared" si="57"/>
        <v>0.26318694352260907</v>
      </c>
      <c r="H70" s="84">
        <f t="shared" si="57"/>
        <v>0.26625223065414499</v>
      </c>
      <c r="I70" s="84">
        <f t="shared" si="57"/>
        <v>0.27260435085248863</v>
      </c>
      <c r="J70" s="84">
        <f t="shared" si="57"/>
        <v>0.28161192961094889</v>
      </c>
      <c r="K70" s="84">
        <f t="shared" si="57"/>
        <v>0.29251278209324028</v>
      </c>
      <c r="L70" s="84">
        <f t="shared" si="57"/>
        <v>0.30352040430793897</v>
      </c>
      <c r="M70" s="84">
        <f t="shared" si="57"/>
        <v>0.29816550034877032</v>
      </c>
      <c r="N70" s="84">
        <f t="shared" si="57"/>
        <v>0.30027258202148754</v>
      </c>
      <c r="O70" s="84">
        <f t="shared" si="57"/>
        <v>0.30594011997804421</v>
      </c>
      <c r="P70" s="84">
        <f t="shared" si="57"/>
        <v>0.30873594231014817</v>
      </c>
      <c r="Q70" s="84">
        <f t="shared" si="57"/>
        <v>0.30368559094219522</v>
      </c>
      <c r="R70" s="84">
        <f t="shared" si="57"/>
        <v>0.30681546000352011</v>
      </c>
      <c r="S70" s="84">
        <f t="shared" si="57"/>
        <v>0.30206948369285691</v>
      </c>
      <c r="T70" s="84">
        <f t="shared" ref="T70:Y70" si="58">T28/T$23</f>
        <v>0.30473914661902679</v>
      </c>
      <c r="U70" s="84">
        <f t="shared" si="58"/>
        <v>0.30663755443070506</v>
      </c>
      <c r="V70" s="84">
        <f t="shared" si="58"/>
        <v>0.3096713227724312</v>
      </c>
      <c r="W70" s="84">
        <f t="shared" si="58"/>
        <v>0.31532266192653408</v>
      </c>
      <c r="X70" s="84">
        <f t="shared" si="58"/>
        <v>0.33447370227959355</v>
      </c>
      <c r="Y70" s="84">
        <f t="shared" si="58"/>
        <v>0.33075034438961654</v>
      </c>
    </row>
    <row r="71" spans="1:25" x14ac:dyDescent="0.25">
      <c r="A71" s="68" t="s">
        <v>152</v>
      </c>
      <c r="B71" s="71"/>
      <c r="C71" s="71"/>
      <c r="D71" s="84">
        <f t="shared" si="46"/>
        <v>0.15272609638851881</v>
      </c>
      <c r="E71" s="84">
        <f t="shared" ref="E71:S71" si="59">E29/E$23</f>
        <v>0.15294353734985083</v>
      </c>
      <c r="F71" s="84">
        <f t="shared" si="59"/>
        <v>0.15250137305917569</v>
      </c>
      <c r="G71" s="84">
        <f t="shared" si="59"/>
        <v>0.15052182538284536</v>
      </c>
      <c r="H71" s="84">
        <f t="shared" si="59"/>
        <v>0.14982410127920873</v>
      </c>
      <c r="I71" s="84">
        <f t="shared" si="59"/>
        <v>0.14770845258816018</v>
      </c>
      <c r="J71" s="84">
        <f t="shared" si="59"/>
        <v>0.1464355843220459</v>
      </c>
      <c r="K71" s="84">
        <f t="shared" si="59"/>
        <v>0.14518486389863702</v>
      </c>
      <c r="L71" s="84">
        <f t="shared" si="59"/>
        <v>0.14530008670694217</v>
      </c>
      <c r="M71" s="84">
        <f t="shared" si="59"/>
        <v>0.14935083720945166</v>
      </c>
      <c r="N71" s="84">
        <f t="shared" si="59"/>
        <v>0.1474772552902181</v>
      </c>
      <c r="O71" s="84">
        <f t="shared" si="59"/>
        <v>0.15611938632904299</v>
      </c>
      <c r="P71" s="84">
        <f t="shared" si="59"/>
        <v>0.16342922043164135</v>
      </c>
      <c r="Q71" s="84">
        <f t="shared" si="59"/>
        <v>0.16475247709814858</v>
      </c>
      <c r="R71" s="84">
        <f t="shared" si="59"/>
        <v>0.16389763378365679</v>
      </c>
      <c r="S71" s="84">
        <f t="shared" si="59"/>
        <v>0.16199359431832761</v>
      </c>
      <c r="T71" s="84">
        <f t="shared" ref="T71:Y71" si="60">T29/T$23</f>
        <v>0.15915040930705152</v>
      </c>
      <c r="U71" s="84">
        <f t="shared" si="60"/>
        <v>0.15201456240572081</v>
      </c>
      <c r="V71" s="84">
        <f t="shared" si="60"/>
        <v>0.14709586461399063</v>
      </c>
      <c r="W71" s="84">
        <f t="shared" si="60"/>
        <v>0.14544862649519258</v>
      </c>
      <c r="X71" s="84">
        <f t="shared" si="60"/>
        <v>0.14636718392383052</v>
      </c>
      <c r="Y71" s="84">
        <f t="shared" si="60"/>
        <v>0.14326073487959867</v>
      </c>
    </row>
    <row r="72" spans="1:25" x14ac:dyDescent="0.25">
      <c r="A72" s="64" t="s">
        <v>154</v>
      </c>
      <c r="B72" s="65"/>
      <c r="C72" s="65"/>
      <c r="D72" s="83">
        <f t="shared" si="46"/>
        <v>2.0673345674656535E-2</v>
      </c>
      <c r="E72" s="83">
        <f t="shared" ref="E72:S72" si="61">E30/E$23</f>
        <v>2.0358829940334947E-2</v>
      </c>
      <c r="F72" s="83">
        <f t="shared" si="61"/>
        <v>2.0316465084207615E-2</v>
      </c>
      <c r="G72" s="83">
        <f t="shared" si="61"/>
        <v>2.2421542216929987E-2</v>
      </c>
      <c r="H72" s="83">
        <f t="shared" si="61"/>
        <v>2.3472189676202151E-2</v>
      </c>
      <c r="I72" s="83">
        <f t="shared" si="61"/>
        <v>2.2875106283780783E-2</v>
      </c>
      <c r="J72" s="83">
        <f t="shared" si="61"/>
        <v>2.4049522819741424E-2</v>
      </c>
      <c r="K72" s="83">
        <f t="shared" si="61"/>
        <v>2.4337236964893601E-2</v>
      </c>
      <c r="L72" s="83">
        <f t="shared" si="61"/>
        <v>2.1121529320906617E-2</v>
      </c>
      <c r="M72" s="83">
        <f t="shared" si="61"/>
        <v>2.2851044542950182E-2</v>
      </c>
      <c r="N72" s="83">
        <f t="shared" si="61"/>
        <v>2.3878463614794638E-2</v>
      </c>
      <c r="O72" s="83">
        <f t="shared" si="61"/>
        <v>2.27174520950741E-2</v>
      </c>
      <c r="P72" s="83">
        <f t="shared" si="61"/>
        <v>2.4773324421185919E-2</v>
      </c>
      <c r="Q72" s="83">
        <f t="shared" si="61"/>
        <v>2.3999631514335897E-2</v>
      </c>
      <c r="R72" s="83">
        <f t="shared" si="61"/>
        <v>2.6321361318761012E-2</v>
      </c>
      <c r="S72" s="83">
        <f t="shared" si="61"/>
        <v>3.2855792937905269E-2</v>
      </c>
      <c r="T72" s="83">
        <f t="shared" ref="T72:Y72" si="62">T30/T$23</f>
        <v>3.1006220627643247E-2</v>
      </c>
      <c r="U72" s="83">
        <f t="shared" si="62"/>
        <v>2.9112432453462372E-2</v>
      </c>
      <c r="V72" s="83">
        <f t="shared" si="62"/>
        <v>2.9534688072469138E-2</v>
      </c>
      <c r="W72" s="83">
        <f t="shared" si="62"/>
        <v>2.6227751658300828E-2</v>
      </c>
      <c r="X72" s="83">
        <f t="shared" si="62"/>
        <v>2.3107777167444839E-2</v>
      </c>
      <c r="Y72" s="83">
        <f t="shared" si="62"/>
        <v>1.9478259753963886E-2</v>
      </c>
    </row>
    <row r="73" spans="1:25" x14ac:dyDescent="0.25">
      <c r="A73" s="64" t="s">
        <v>37</v>
      </c>
      <c r="B73" s="65"/>
      <c r="C73" s="65"/>
      <c r="D73" s="83">
        <f t="shared" si="46"/>
        <v>7.6454586093171364E-2</v>
      </c>
      <c r="E73" s="83">
        <f t="shared" ref="E73:S73" si="63">E31/E$23</f>
        <v>7.7470524323625362E-2</v>
      </c>
      <c r="F73" s="83">
        <f t="shared" si="63"/>
        <v>7.6004538110911124E-2</v>
      </c>
      <c r="G73" s="83">
        <f t="shared" si="63"/>
        <v>7.1694133838757473E-2</v>
      </c>
      <c r="H73" s="83">
        <f t="shared" si="63"/>
        <v>7.1088018458099755E-2</v>
      </c>
      <c r="I73" s="83">
        <f t="shared" si="63"/>
        <v>6.9376669719105319E-2</v>
      </c>
      <c r="J73" s="83">
        <f t="shared" si="63"/>
        <v>6.7441894483293297E-2</v>
      </c>
      <c r="K73" s="83">
        <f t="shared" si="63"/>
        <v>6.7631402547218181E-2</v>
      </c>
      <c r="L73" s="83">
        <f t="shared" si="63"/>
        <v>6.7423932909062734E-2</v>
      </c>
      <c r="M73" s="83">
        <f t="shared" si="63"/>
        <v>6.2797298557023137E-2</v>
      </c>
      <c r="N73" s="83">
        <f t="shared" si="63"/>
        <v>5.8396235253603837E-2</v>
      </c>
      <c r="O73" s="83">
        <f t="shared" si="63"/>
        <v>5.4917270168599888E-2</v>
      </c>
      <c r="P73" s="83">
        <f t="shared" si="63"/>
        <v>4.8694832313055485E-2</v>
      </c>
      <c r="Q73" s="83">
        <f t="shared" si="63"/>
        <v>4.5173538724038287E-2</v>
      </c>
      <c r="R73" s="83">
        <f t="shared" si="63"/>
        <v>4.1671132848736039E-2</v>
      </c>
      <c r="S73" s="83">
        <f t="shared" si="63"/>
        <v>4.083510257332576E-2</v>
      </c>
      <c r="T73" s="83">
        <f t="shared" ref="T73:Y73" si="64">T31/T$23</f>
        <v>4.0269566704301971E-2</v>
      </c>
      <c r="U73" s="83">
        <f t="shared" si="64"/>
        <v>4.0463374995505251E-2</v>
      </c>
      <c r="V73" s="83">
        <f t="shared" si="64"/>
        <v>4.2057657273876274E-2</v>
      </c>
      <c r="W73" s="83">
        <f t="shared" si="64"/>
        <v>4.3588235833095734E-2</v>
      </c>
      <c r="X73" s="83">
        <f t="shared" si="64"/>
        <v>4.7481804449327099E-2</v>
      </c>
      <c r="Y73" s="83">
        <f t="shared" si="64"/>
        <v>4.6078983226074073E-2</v>
      </c>
    </row>
    <row r="74" spans="1:25" x14ac:dyDescent="0.25">
      <c r="A74" s="64" t="s">
        <v>58</v>
      </c>
      <c r="B74" s="65"/>
      <c r="C74" s="65"/>
      <c r="D74" s="83">
        <f t="shared" si="46"/>
        <v>0.16493085333762289</v>
      </c>
      <c r="E74" s="83">
        <f t="shared" ref="E74:S74" si="65">E32/E$23</f>
        <v>0.16045582552884929</v>
      </c>
      <c r="F74" s="83">
        <f t="shared" si="65"/>
        <v>0.15583279546830339</v>
      </c>
      <c r="G74" s="83">
        <f t="shared" si="65"/>
        <v>0.14772226410603886</v>
      </c>
      <c r="H74" s="83">
        <f t="shared" si="65"/>
        <v>0.142133977444106</v>
      </c>
      <c r="I74" s="83">
        <f t="shared" si="65"/>
        <v>0.13660475234878972</v>
      </c>
      <c r="J74" s="83">
        <f t="shared" si="65"/>
        <v>0.1344679410512942</v>
      </c>
      <c r="K74" s="83">
        <f t="shared" si="65"/>
        <v>0.13348908428952594</v>
      </c>
      <c r="L74" s="83">
        <f t="shared" si="65"/>
        <v>0.12804514908599102</v>
      </c>
      <c r="M74" s="83">
        <f t="shared" si="65"/>
        <v>0.12005734619551067</v>
      </c>
      <c r="N74" s="83">
        <f t="shared" si="65"/>
        <v>0.12475090333150181</v>
      </c>
      <c r="O74" s="83">
        <f t="shared" si="65"/>
        <v>0.12300604302132899</v>
      </c>
      <c r="P74" s="83">
        <f t="shared" si="65"/>
        <v>0.12380412838926523</v>
      </c>
      <c r="Q74" s="83">
        <f t="shared" si="65"/>
        <v>0.12558485417113091</v>
      </c>
      <c r="R74" s="83">
        <f t="shared" si="65"/>
        <v>0.12930027167620115</v>
      </c>
      <c r="S74" s="83">
        <f t="shared" si="65"/>
        <v>0.13112480217841735</v>
      </c>
      <c r="T74" s="83">
        <f t="shared" ref="T74:Y74" si="66">T32/T$23</f>
        <v>0.1329431525871749</v>
      </c>
      <c r="U74" s="83">
        <f t="shared" si="66"/>
        <v>0.13320203746353357</v>
      </c>
      <c r="V74" s="83">
        <f t="shared" si="66"/>
        <v>0.13380147960819516</v>
      </c>
      <c r="W74" s="83">
        <f t="shared" si="66"/>
        <v>0.13009314080317436</v>
      </c>
      <c r="X74" s="83">
        <f t="shared" si="66"/>
        <v>0.13310960816625469</v>
      </c>
      <c r="Y74" s="83">
        <f t="shared" si="66"/>
        <v>0.13663487644471242</v>
      </c>
    </row>
    <row r="75" spans="1:25" x14ac:dyDescent="0.25">
      <c r="A75" s="85" t="s">
        <v>158</v>
      </c>
      <c r="B75" s="86"/>
      <c r="C75" s="86"/>
      <c r="D75" s="87">
        <f t="shared" si="46"/>
        <v>2.6919252019832617E-3</v>
      </c>
      <c r="E75" s="87">
        <f t="shared" ref="E75:S75" si="67">E33/E$23</f>
        <v>2.5642704927530385E-3</v>
      </c>
      <c r="F75" s="87">
        <f t="shared" si="67"/>
        <v>2.5929771530971003E-3</v>
      </c>
      <c r="G75" s="87">
        <f t="shared" si="67"/>
        <v>2.3173102291240491E-3</v>
      </c>
      <c r="H75" s="87">
        <f t="shared" si="67"/>
        <v>2.2922412290979446E-3</v>
      </c>
      <c r="I75" s="87">
        <f t="shared" si="67"/>
        <v>2.167498147080023E-3</v>
      </c>
      <c r="J75" s="87">
        <f t="shared" si="67"/>
        <v>2.2687046232954242E-3</v>
      </c>
      <c r="K75" s="87">
        <f t="shared" si="67"/>
        <v>2.1719700853015788E-3</v>
      </c>
      <c r="L75" s="87">
        <f t="shared" si="67"/>
        <v>2.3213638476877936E-3</v>
      </c>
      <c r="M75" s="87">
        <f t="shared" si="67"/>
        <v>2.1684833795681678E-3</v>
      </c>
      <c r="N75" s="87">
        <f t="shared" si="67"/>
        <v>2.2099020831698015E-3</v>
      </c>
      <c r="O75" s="87">
        <f t="shared" si="67"/>
        <v>2.3759441815319974E-3</v>
      </c>
      <c r="P75" s="87">
        <f t="shared" si="67"/>
        <v>2.186600803723539E-3</v>
      </c>
      <c r="Q75" s="87">
        <f t="shared" si="67"/>
        <v>2.2549720531660727E-3</v>
      </c>
      <c r="R75" s="87">
        <f t="shared" si="67"/>
        <v>2.3985051854027968E-3</v>
      </c>
      <c r="S75" s="87">
        <f t="shared" si="67"/>
        <v>1.9326937022297217E-3</v>
      </c>
      <c r="T75" s="87">
        <f t="shared" ref="T75:Y75" si="68">T33/T$23</f>
        <v>2.4260262615799543E-3</v>
      </c>
      <c r="U75" s="87">
        <f t="shared" si="68"/>
        <v>2.7923460127574312E-3</v>
      </c>
      <c r="V75" s="87">
        <f t="shared" si="68"/>
        <v>2.8089903468779074E-3</v>
      </c>
      <c r="W75" s="87">
        <f t="shared" si="68"/>
        <v>2.5148717528591436E-3</v>
      </c>
      <c r="X75" s="87">
        <f t="shared" si="68"/>
        <v>2.4958802526778355E-3</v>
      </c>
      <c r="Y75" s="87">
        <f t="shared" si="68"/>
        <v>4.0182797785429094E-3</v>
      </c>
    </row>
    <row r="76" spans="1:25" x14ac:dyDescent="0.25">
      <c r="A76" s="88" t="s">
        <v>5</v>
      </c>
      <c r="B76" s="44"/>
      <c r="C76" s="44"/>
      <c r="D76" s="89">
        <f t="shared" si="46"/>
        <v>1.9549537160561247E-3</v>
      </c>
      <c r="E76" s="89">
        <f t="shared" ref="E76:S76" si="69">E34/E$23</f>
        <v>1.8622471846867436E-3</v>
      </c>
      <c r="F76" s="89">
        <f t="shared" si="69"/>
        <v>1.8830947893207198E-3</v>
      </c>
      <c r="G76" s="89">
        <f t="shared" si="69"/>
        <v>1.6828975189738934E-3</v>
      </c>
      <c r="H76" s="89">
        <f t="shared" si="69"/>
        <v>1.664691688171932E-3</v>
      </c>
      <c r="I76" s="89">
        <f t="shared" si="69"/>
        <v>1.5740996644546452E-3</v>
      </c>
      <c r="J76" s="89">
        <f t="shared" si="69"/>
        <v>1.6475987262489613E-3</v>
      </c>
      <c r="K76" s="89">
        <f t="shared" si="69"/>
        <v>1.577347314960596E-3</v>
      </c>
      <c r="L76" s="89">
        <f t="shared" si="69"/>
        <v>1.6858413736801196E-3</v>
      </c>
      <c r="M76" s="89">
        <f t="shared" si="69"/>
        <v>1.2835027281282811E-3</v>
      </c>
      <c r="N76" s="89">
        <f t="shared" si="69"/>
        <v>1.5605110405798564E-3</v>
      </c>
      <c r="O76" s="89">
        <f t="shared" si="69"/>
        <v>1.7560605551491971E-3</v>
      </c>
      <c r="P76" s="89">
        <f t="shared" si="69"/>
        <v>1.5219412641542234E-3</v>
      </c>
      <c r="Q76" s="89">
        <f t="shared" si="69"/>
        <v>1.6097895835386505E-3</v>
      </c>
      <c r="R76" s="89">
        <f t="shared" si="69"/>
        <v>1.6992014964941572E-3</v>
      </c>
      <c r="S76" s="89">
        <f t="shared" si="69"/>
        <v>1.3606240532743712E-3</v>
      </c>
      <c r="T76" s="89">
        <f t="shared" ref="T76:Y76" si="70">T34/T$23</f>
        <v>1.7072860464724727E-3</v>
      </c>
      <c r="U76" s="89">
        <f t="shared" si="70"/>
        <v>2.0488076015964542E-3</v>
      </c>
      <c r="V76" s="89">
        <f t="shared" si="70"/>
        <v>1.9912627813591819E-3</v>
      </c>
      <c r="W76" s="89">
        <f t="shared" si="70"/>
        <v>1.6509416761631274E-3</v>
      </c>
      <c r="X76" s="89">
        <f t="shared" si="70"/>
        <v>1.6308560047712908E-3</v>
      </c>
      <c r="Y76" s="89">
        <f t="shared" si="70"/>
        <v>3.0829235658030763E-3</v>
      </c>
    </row>
    <row r="77" spans="1:25" x14ac:dyDescent="0.25">
      <c r="A77" s="88" t="s">
        <v>269</v>
      </c>
      <c r="B77" s="44"/>
      <c r="C77" s="44"/>
      <c r="D77" s="89">
        <f>D37/D$23</f>
        <v>7.3697148592713686E-4</v>
      </c>
      <c r="E77" s="89">
        <f t="shared" ref="E77:S77" si="71">E37/E$23</f>
        <v>7.020233080662951E-4</v>
      </c>
      <c r="F77" s="89">
        <f t="shared" si="71"/>
        <v>7.0988236377638033E-4</v>
      </c>
      <c r="G77" s="89">
        <f t="shared" si="71"/>
        <v>6.3441271015015547E-4</v>
      </c>
      <c r="H77" s="89">
        <f t="shared" si="71"/>
        <v>6.2754954092601267E-4</v>
      </c>
      <c r="I77" s="89">
        <f t="shared" si="71"/>
        <v>5.9339848262537789E-4</v>
      </c>
      <c r="J77" s="89">
        <f t="shared" si="71"/>
        <v>6.2110589704646299E-4</v>
      </c>
      <c r="K77" s="89">
        <f t="shared" si="71"/>
        <v>5.9462277034098246E-4</v>
      </c>
      <c r="L77" s="89">
        <f t="shared" si="71"/>
        <v>6.3552247400767406E-4</v>
      </c>
      <c r="M77" s="89">
        <f t="shared" si="71"/>
        <v>8.8498065143988668E-4</v>
      </c>
      <c r="N77" s="89">
        <f t="shared" si="71"/>
        <v>6.4939104258994473E-4</v>
      </c>
      <c r="O77" s="89">
        <f t="shared" si="71"/>
        <v>6.1988362638280034E-4</v>
      </c>
      <c r="P77" s="89">
        <f t="shared" si="71"/>
        <v>6.646595395693154E-4</v>
      </c>
      <c r="Q77" s="89">
        <f t="shared" si="71"/>
        <v>6.4518246962742235E-4</v>
      </c>
      <c r="R77" s="89">
        <f t="shared" si="71"/>
        <v>6.9930368890863952E-4</v>
      </c>
      <c r="S77" s="89">
        <f t="shared" si="71"/>
        <v>5.7206964895535042E-4</v>
      </c>
      <c r="T77" s="89">
        <f t="shared" ref="T77:Y77" si="72">T37/T$23</f>
        <v>7.1874021510748179E-4</v>
      </c>
      <c r="U77" s="89">
        <f t="shared" si="72"/>
        <v>7.4353841116097709E-4</v>
      </c>
      <c r="V77" s="89">
        <f t="shared" si="72"/>
        <v>8.1772756551872546E-4</v>
      </c>
      <c r="W77" s="89">
        <f t="shared" si="72"/>
        <v>8.6393007669601624E-4</v>
      </c>
      <c r="X77" s="89">
        <f t="shared" si="72"/>
        <v>8.6502424790654484E-4</v>
      </c>
      <c r="Y77" s="89">
        <f t="shared" si="72"/>
        <v>9.3535621273983338E-4</v>
      </c>
    </row>
    <row r="78" spans="1:25" x14ac:dyDescent="0.25">
      <c r="A78" s="68" t="s">
        <v>271</v>
      </c>
      <c r="B78" s="44"/>
      <c r="C78" s="44"/>
      <c r="D78" s="89">
        <f>D43/D$23</f>
        <v>9.1564560435898144E-3</v>
      </c>
      <c r="E78" s="89">
        <f t="shared" ref="E78:S78" si="73">E43/E$23</f>
        <v>8.8322073717318969E-3</v>
      </c>
      <c r="F78" s="89">
        <f t="shared" si="73"/>
        <v>8.768335852278878E-3</v>
      </c>
      <c r="G78" s="89">
        <f t="shared" si="73"/>
        <v>8.473839837850914E-3</v>
      </c>
      <c r="H78" s="89">
        <f t="shared" si="73"/>
        <v>8.589145051102259E-3</v>
      </c>
      <c r="I78" s="89">
        <f t="shared" si="73"/>
        <v>8.4292402773524788E-3</v>
      </c>
      <c r="J78" s="89">
        <f t="shared" si="73"/>
        <v>7.8474750647977431E-3</v>
      </c>
      <c r="K78" s="89">
        <f t="shared" si="73"/>
        <v>8.4703547441609822E-3</v>
      </c>
      <c r="L78" s="89">
        <f t="shared" si="73"/>
        <v>7.5551588069022301E-3</v>
      </c>
      <c r="M78" s="89">
        <f t="shared" si="73"/>
        <v>7.3920017486732272E-3</v>
      </c>
      <c r="N78" s="89">
        <f t="shared" si="73"/>
        <v>7.8084050976509594E-3</v>
      </c>
      <c r="O78" s="89">
        <f t="shared" si="73"/>
        <v>8.0614709053891502E-3</v>
      </c>
      <c r="P78" s="89">
        <f t="shared" si="73"/>
        <v>7.6120064015302823E-3</v>
      </c>
      <c r="Q78" s="89">
        <f t="shared" si="73"/>
        <v>7.9825209626287457E-3</v>
      </c>
      <c r="R78" s="89">
        <f t="shared" si="73"/>
        <v>7.6652917442459048E-3</v>
      </c>
      <c r="S78" s="89">
        <f t="shared" si="73"/>
        <v>8.8418340975726026E-3</v>
      </c>
      <c r="T78" s="89">
        <f t="shared" ref="T78:Y78" si="74">T43/T$23</f>
        <v>9.0972898261841694E-3</v>
      </c>
      <c r="U78" s="89">
        <f t="shared" si="74"/>
        <v>9.0289980741831491E-3</v>
      </c>
      <c r="V78" s="89">
        <f t="shared" si="74"/>
        <v>8.0545051190115957E-3</v>
      </c>
      <c r="W78" s="89">
        <f t="shared" si="74"/>
        <v>8.0022076542434015E-3</v>
      </c>
      <c r="X78" s="89">
        <f t="shared" si="74"/>
        <v>9.5263434953767271E-3</v>
      </c>
      <c r="Y78" s="89">
        <f t="shared" si="74"/>
        <v>1.0199919709242685E-2</v>
      </c>
    </row>
    <row r="79" spans="1:25" x14ac:dyDescent="0.25">
      <c r="A79" s="88" t="s">
        <v>272</v>
      </c>
      <c r="B79" s="44"/>
      <c r="C79" s="44"/>
      <c r="D79" s="89">
        <f>D44/D$23</f>
        <v>6.1428151192170046E-3</v>
      </c>
      <c r="E79" s="89">
        <f t="shared" ref="E79:S79" si="75">E44/E$23</f>
        <v>5.842237750024769E-3</v>
      </c>
      <c r="F79" s="89">
        <f t="shared" si="75"/>
        <v>5.6678279206071134E-3</v>
      </c>
      <c r="G79" s="89">
        <f t="shared" si="75"/>
        <v>5.6226088059354463E-3</v>
      </c>
      <c r="H79" s="89">
        <f t="shared" si="75"/>
        <v>5.7914390948801608E-3</v>
      </c>
      <c r="I79" s="89">
        <f t="shared" si="75"/>
        <v>5.6085832926624363E-3</v>
      </c>
      <c r="J79" s="89">
        <f t="shared" si="75"/>
        <v>5.2938763085800498E-3</v>
      </c>
      <c r="K79" s="89">
        <f t="shared" si="75"/>
        <v>5.5965195904472747E-3</v>
      </c>
      <c r="L79" s="89">
        <f t="shared" si="75"/>
        <v>4.7368630017507888E-3</v>
      </c>
      <c r="M79" s="89">
        <f t="shared" si="75"/>
        <v>4.3832551680687126E-3</v>
      </c>
      <c r="N79" s="89">
        <f t="shared" si="75"/>
        <v>5.0996766491022399E-3</v>
      </c>
      <c r="O79" s="89">
        <f t="shared" si="75"/>
        <v>5.2813177601503166E-3</v>
      </c>
      <c r="P79" s="89">
        <f t="shared" si="75"/>
        <v>4.5613620369691094E-3</v>
      </c>
      <c r="Q79" s="89">
        <f t="shared" si="75"/>
        <v>4.730901995496732E-3</v>
      </c>
      <c r="R79" s="89">
        <f t="shared" si="75"/>
        <v>4.6607091106144281E-3</v>
      </c>
      <c r="S79" s="89">
        <f t="shared" si="75"/>
        <v>5.6140758880967156E-3</v>
      </c>
      <c r="T79" s="89">
        <f t="shared" ref="T79:Y79" si="76">T44/T$23</f>
        <v>5.879872809554469E-3</v>
      </c>
      <c r="U79" s="89">
        <f t="shared" si="76"/>
        <v>5.5434287321027833E-3</v>
      </c>
      <c r="V79" s="89">
        <f t="shared" si="76"/>
        <v>4.6465264594493932E-3</v>
      </c>
      <c r="W79" s="89">
        <f t="shared" si="76"/>
        <v>4.6562316915881152E-3</v>
      </c>
      <c r="X79" s="89">
        <f t="shared" si="76"/>
        <v>5.2692712624736789E-3</v>
      </c>
      <c r="Y79" s="89">
        <f t="shared" si="76"/>
        <v>6.1255112388350691E-3</v>
      </c>
    </row>
    <row r="80" spans="1:25" x14ac:dyDescent="0.25">
      <c r="A80" s="88" t="s">
        <v>11</v>
      </c>
      <c r="B80" s="44"/>
      <c r="C80" s="44"/>
      <c r="D80" s="89">
        <f>D47/D$23</f>
        <v>3.0136409243728102E-3</v>
      </c>
      <c r="E80" s="89">
        <f t="shared" ref="E80:S80" si="77">E47/E$23</f>
        <v>2.9899696217071288E-3</v>
      </c>
      <c r="F80" s="89">
        <f t="shared" si="77"/>
        <v>3.1005079316717647E-3</v>
      </c>
      <c r="G80" s="89">
        <f t="shared" si="77"/>
        <v>2.8512310319154682E-3</v>
      </c>
      <c r="H80" s="89">
        <f t="shared" si="77"/>
        <v>2.7977059562220982E-3</v>
      </c>
      <c r="I80" s="89">
        <f t="shared" si="77"/>
        <v>2.8206569846900439E-3</v>
      </c>
      <c r="J80" s="89">
        <f t="shared" si="77"/>
        <v>2.5535987562176929E-3</v>
      </c>
      <c r="K80" s="89">
        <f t="shared" si="77"/>
        <v>2.8738351537137075E-3</v>
      </c>
      <c r="L80" s="89">
        <f t="shared" si="77"/>
        <v>2.8182958051514427E-3</v>
      </c>
      <c r="M80" s="89">
        <f t="shared" si="77"/>
        <v>3.0087465806045142E-3</v>
      </c>
      <c r="N80" s="89">
        <f t="shared" si="77"/>
        <v>2.7087284485487195E-3</v>
      </c>
      <c r="O80" s="89">
        <f t="shared" si="77"/>
        <v>2.7801531452388332E-3</v>
      </c>
      <c r="P80" s="89">
        <f t="shared" si="77"/>
        <v>3.0506443645611724E-3</v>
      </c>
      <c r="Q80" s="89">
        <f t="shared" si="77"/>
        <v>3.2516189671320133E-3</v>
      </c>
      <c r="R80" s="89">
        <f t="shared" si="77"/>
        <v>3.0045826336314758E-3</v>
      </c>
      <c r="S80" s="89">
        <f t="shared" si="77"/>
        <v>3.2277582094758857E-3</v>
      </c>
      <c r="T80" s="89">
        <f t="shared" ref="T80:Y80" si="78">T47/T$23</f>
        <v>3.2174170166297008E-3</v>
      </c>
      <c r="U80" s="89">
        <f t="shared" si="78"/>
        <v>3.4855693420803649E-3</v>
      </c>
      <c r="V80" s="89">
        <f t="shared" si="78"/>
        <v>3.4079786595622025E-3</v>
      </c>
      <c r="W80" s="89">
        <f t="shared" si="78"/>
        <v>3.3459759626552859E-3</v>
      </c>
      <c r="X80" s="89">
        <f t="shared" si="78"/>
        <v>4.2570722329030482E-3</v>
      </c>
      <c r="Y80" s="89">
        <f t="shared" si="78"/>
        <v>4.0744084704076164E-3</v>
      </c>
    </row>
    <row r="81" spans="1:25" x14ac:dyDescent="0.25">
      <c r="A81" s="68" t="s">
        <v>4</v>
      </c>
      <c r="B81" s="44"/>
      <c r="C81" s="44"/>
      <c r="D81" s="89">
        <f>D48/D$23</f>
        <v>1.3941310876035468E-2</v>
      </c>
      <c r="E81" s="89">
        <f t="shared" ref="E81:S81" si="79">E48/E$23</f>
        <v>1.347627420061764E-2</v>
      </c>
      <c r="F81" s="89">
        <f t="shared" si="79"/>
        <v>1.3059496558331964E-2</v>
      </c>
      <c r="G81" s="89">
        <f t="shared" si="79"/>
        <v>1.2107945947173158E-2</v>
      </c>
      <c r="H81" s="89">
        <f t="shared" si="79"/>
        <v>1.1769892628176241E-2</v>
      </c>
      <c r="I81" s="89">
        <f t="shared" si="79"/>
        <v>1.1260807487615073E-2</v>
      </c>
      <c r="J81" s="89">
        <f t="shared" si="79"/>
        <v>1.089075737955909E-2</v>
      </c>
      <c r="K81" s="89">
        <f t="shared" si="79"/>
        <v>1.0870365258993467E-2</v>
      </c>
      <c r="L81" s="89">
        <f t="shared" si="79"/>
        <v>1.0383700631795193E-2</v>
      </c>
      <c r="M81" s="89">
        <f t="shared" si="79"/>
        <v>9.992510278276915E-3</v>
      </c>
      <c r="N81" s="89">
        <f t="shared" si="79"/>
        <v>1.0027802606557669E-2</v>
      </c>
      <c r="O81" s="89">
        <f t="shared" si="79"/>
        <v>9.2410084591917647E-3</v>
      </c>
      <c r="P81" s="89">
        <f t="shared" si="79"/>
        <v>8.6900230139904423E-3</v>
      </c>
      <c r="Q81" s="89">
        <f t="shared" si="79"/>
        <v>8.2228377000887164E-3</v>
      </c>
      <c r="R81" s="89">
        <f t="shared" si="79"/>
        <v>8.0728722116136607E-3</v>
      </c>
      <c r="S81" s="89">
        <f t="shared" si="79"/>
        <v>8.0662009886447068E-3</v>
      </c>
      <c r="T81" s="89">
        <f t="shared" ref="T81:Y81" si="80">T48/T$23</f>
        <v>8.2040430067169458E-3</v>
      </c>
      <c r="U81" s="89">
        <f t="shared" si="80"/>
        <v>8.5373754069592318E-3</v>
      </c>
      <c r="V81" s="89">
        <f t="shared" si="80"/>
        <v>8.6613822711856178E-3</v>
      </c>
      <c r="W81" s="89">
        <f t="shared" si="80"/>
        <v>8.9098467523605895E-3</v>
      </c>
      <c r="X81" s="89">
        <f t="shared" si="80"/>
        <v>9.7529295980957626E-3</v>
      </c>
      <c r="Y81" s="89">
        <f t="shared" si="80"/>
        <v>9.8930828603822855E-3</v>
      </c>
    </row>
    <row r="82" spans="1:25" x14ac:dyDescent="0.25">
      <c r="A82" s="68" t="s">
        <v>3</v>
      </c>
      <c r="B82" s="44"/>
      <c r="C82" s="44"/>
      <c r="D82" s="89">
        <f>D52/D$23</f>
        <v>1.3976859574642047E-2</v>
      </c>
      <c r="E82" s="89">
        <f t="shared" ref="E82:S82" si="81">E52/E$23</f>
        <v>1.2724793489742075E-2</v>
      </c>
      <c r="F82" s="89">
        <f t="shared" si="81"/>
        <v>1.1922563471414314E-2</v>
      </c>
      <c r="G82" s="89">
        <f t="shared" si="81"/>
        <v>1.1087076846234722E-2</v>
      </c>
      <c r="H82" s="89">
        <f t="shared" si="81"/>
        <v>1.0289549422883959E-2</v>
      </c>
      <c r="I82" s="89">
        <f t="shared" si="81"/>
        <v>1.052473093565367E-2</v>
      </c>
      <c r="J82" s="89">
        <f t="shared" si="81"/>
        <v>1.0898419568953089E-2</v>
      </c>
      <c r="K82" s="89">
        <f t="shared" si="81"/>
        <v>1.0712642771709842E-2</v>
      </c>
      <c r="L82" s="89">
        <f t="shared" si="81"/>
        <v>9.4064864989478608E-3</v>
      </c>
      <c r="M82" s="89">
        <f t="shared" si="81"/>
        <v>8.291411250012053E-3</v>
      </c>
      <c r="N82" s="89">
        <f t="shared" si="81"/>
        <v>9.5986093632494107E-3</v>
      </c>
      <c r="O82" s="89">
        <f t="shared" si="81"/>
        <v>8.8329066322710564E-3</v>
      </c>
      <c r="P82" s="89">
        <f t="shared" si="81"/>
        <v>8.3585346038577667E-3</v>
      </c>
      <c r="Q82" s="89">
        <f t="shared" si="81"/>
        <v>8.1807822710332229E-3</v>
      </c>
      <c r="R82" s="89">
        <f t="shared" si="81"/>
        <v>7.7294724347242664E-3</v>
      </c>
      <c r="S82" s="89">
        <f t="shared" si="81"/>
        <v>8.4425172169466257E-3</v>
      </c>
      <c r="T82" s="89">
        <f t="shared" ref="T82:Y82" si="82">T52/T$23</f>
        <v>7.9299575970117279E-3</v>
      </c>
      <c r="U82" s="89">
        <f t="shared" si="82"/>
        <v>7.8099624916662894E-3</v>
      </c>
      <c r="V82" s="89">
        <f t="shared" si="82"/>
        <v>8.7442150858277577E-3</v>
      </c>
      <c r="W82" s="89">
        <f t="shared" si="82"/>
        <v>8.0388581641436217E-3</v>
      </c>
      <c r="X82" s="89">
        <f t="shared" si="82"/>
        <v>7.1969696969696973E-3</v>
      </c>
      <c r="Y82" s="89">
        <f t="shared" si="82"/>
        <v>7.9708088037585903E-3</v>
      </c>
    </row>
    <row r="83" spans="1:25" x14ac:dyDescent="0.25">
      <c r="A83" s="88" t="s">
        <v>21</v>
      </c>
      <c r="B83" s="44"/>
      <c r="C83" s="44"/>
      <c r="D83" s="89">
        <f>D53/D$23</f>
        <v>9.0889135162373121E-3</v>
      </c>
      <c r="E83" s="89">
        <f t="shared" ref="E83:S83" si="83">E53/E$23</f>
        <v>8.2310228030314462E-3</v>
      </c>
      <c r="F83" s="89">
        <f t="shared" si="83"/>
        <v>7.729220703727906E-3</v>
      </c>
      <c r="G83" s="89">
        <f t="shared" si="83"/>
        <v>7.1155515785501621E-3</v>
      </c>
      <c r="H83" s="89">
        <f t="shared" si="83"/>
        <v>6.5537670265755788E-3</v>
      </c>
      <c r="I83" s="89">
        <f t="shared" si="83"/>
        <v>6.7628851582382746E-3</v>
      </c>
      <c r="J83" s="89">
        <f t="shared" si="83"/>
        <v>7.0561798691994616E-3</v>
      </c>
      <c r="K83" s="89">
        <f t="shared" si="83"/>
        <v>6.9213884836297201E-3</v>
      </c>
      <c r="L83" s="89">
        <f t="shared" si="83"/>
        <v>5.9913600438529641E-3</v>
      </c>
      <c r="M83" s="89">
        <f t="shared" si="83"/>
        <v>5.3244528163603816E-3</v>
      </c>
      <c r="N83" s="89">
        <f t="shared" si="83"/>
        <v>6.2258341414995694E-3</v>
      </c>
      <c r="O83" s="89">
        <f t="shared" si="83"/>
        <v>5.7783066304543879E-3</v>
      </c>
      <c r="P83" s="89">
        <f t="shared" si="83"/>
        <v>5.5109948184557537E-3</v>
      </c>
      <c r="Q83" s="89">
        <f t="shared" si="83"/>
        <v>5.480556707073256E-3</v>
      </c>
      <c r="R83" s="89">
        <f t="shared" si="83"/>
        <v>4.9743343403746837E-3</v>
      </c>
      <c r="S83" s="89">
        <f t="shared" si="83"/>
        <v>5.7284402427079948E-3</v>
      </c>
      <c r="T83" s="89">
        <f t="shared" ref="T83:Y83" si="84">T53/T$23</f>
        <v>5.3934329382758425E-3</v>
      </c>
      <c r="U83" s="89">
        <f t="shared" si="84"/>
        <v>5.1932802137202808E-3</v>
      </c>
      <c r="V83" s="89">
        <f t="shared" si="84"/>
        <v>6.2986748440122869E-3</v>
      </c>
      <c r="W83" s="89">
        <f t="shared" si="84"/>
        <v>5.715862610173858E-3</v>
      </c>
      <c r="X83" s="89">
        <f t="shared" si="84"/>
        <v>5.0770163874393481E-3</v>
      </c>
      <c r="Y83" s="89">
        <f t="shared" si="84"/>
        <v>5.9138258866595992E-3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4.887946058404734E-3</v>
      </c>
      <c r="E84" s="89">
        <f t="shared" ref="E84:S84" si="86">E56/E$23</f>
        <v>4.4937706867106287E-3</v>
      </c>
      <c r="F84" s="89">
        <f t="shared" si="86"/>
        <v>4.1933427676864076E-3</v>
      </c>
      <c r="G84" s="89">
        <f t="shared" si="86"/>
        <v>3.9715252676845603E-3</v>
      </c>
      <c r="H84" s="89">
        <f t="shared" si="86"/>
        <v>3.7357823963083802E-3</v>
      </c>
      <c r="I84" s="89">
        <f t="shared" si="86"/>
        <v>3.7618457774153953E-3</v>
      </c>
      <c r="J84" s="89">
        <f t="shared" si="86"/>
        <v>3.8422396997536269E-3</v>
      </c>
      <c r="K84" s="89">
        <f t="shared" si="86"/>
        <v>3.7912542880801209E-3</v>
      </c>
      <c r="L84" s="89">
        <f t="shared" si="86"/>
        <v>3.4151264550948963E-3</v>
      </c>
      <c r="M84" s="89">
        <f t="shared" si="86"/>
        <v>2.966958433651671E-3</v>
      </c>
      <c r="N84" s="89">
        <f t="shared" si="86"/>
        <v>3.3727752217498417E-3</v>
      </c>
      <c r="O84" s="89">
        <f t="shared" si="86"/>
        <v>3.0546000018166685E-3</v>
      </c>
      <c r="P84" s="89">
        <f t="shared" si="86"/>
        <v>2.847539785402013E-3</v>
      </c>
      <c r="Q84" s="89">
        <f t="shared" si="86"/>
        <v>2.7002255639599665E-3</v>
      </c>
      <c r="R84" s="89">
        <f t="shared" si="86"/>
        <v>2.7551380943495836E-3</v>
      </c>
      <c r="S84" s="89">
        <f t="shared" si="86"/>
        <v>2.7140769742386296E-3</v>
      </c>
      <c r="T84" s="89">
        <f t="shared" ref="T84:Y84" si="87">T56/T$23</f>
        <v>2.5365246587358854E-3</v>
      </c>
      <c r="U84" s="89">
        <f t="shared" si="87"/>
        <v>2.6166822779460082E-3</v>
      </c>
      <c r="V84" s="89">
        <f t="shared" si="87"/>
        <v>2.4455402418154704E-3</v>
      </c>
      <c r="W84" s="89">
        <f t="shared" si="87"/>
        <v>2.3229955539697629E-3</v>
      </c>
      <c r="X84" s="89">
        <f t="shared" si="87"/>
        <v>2.1199533095303492E-3</v>
      </c>
      <c r="Y84" s="89">
        <f t="shared" si="87"/>
        <v>2.056982917098992E-3</v>
      </c>
    </row>
    <row r="85" spans="1:25" x14ac:dyDescent="0.25">
      <c r="A85" s="68" t="s">
        <v>2</v>
      </c>
      <c r="B85" s="44"/>
      <c r="C85" s="44"/>
      <c r="D85" s="89">
        <f t="shared" si="85"/>
        <v>2.1919327560817159E-2</v>
      </c>
      <c r="E85" s="89">
        <f t="shared" ref="E85:S85" si="88">E57/E$23</f>
        <v>2.2745096063584502E-2</v>
      </c>
      <c r="F85" s="89">
        <f t="shared" si="88"/>
        <v>2.3380090842396863E-2</v>
      </c>
      <c r="G85" s="89">
        <f t="shared" si="88"/>
        <v>2.3567671330253503E-2</v>
      </c>
      <c r="H85" s="89">
        <f t="shared" si="88"/>
        <v>2.3233351959670977E-2</v>
      </c>
      <c r="I85" s="89">
        <f t="shared" si="88"/>
        <v>2.314713457472304E-2</v>
      </c>
      <c r="J85" s="89">
        <f t="shared" si="88"/>
        <v>2.2562361514633738E-2</v>
      </c>
      <c r="K85" s="89">
        <f t="shared" si="88"/>
        <v>2.1170300855644492E-2</v>
      </c>
      <c r="L85" s="89">
        <f t="shared" si="88"/>
        <v>2.1509597318616631E-2</v>
      </c>
      <c r="M85" s="89">
        <f t="shared" si="88"/>
        <v>2.2779683245846099E-2</v>
      </c>
      <c r="N85" s="89">
        <f t="shared" si="88"/>
        <v>2.2585186629427722E-2</v>
      </c>
      <c r="O85" s="89">
        <f t="shared" si="88"/>
        <v>2.2176992918881814E-2</v>
      </c>
      <c r="P85" s="89">
        <f t="shared" si="88"/>
        <v>2.2786431798976738E-2</v>
      </c>
      <c r="Q85" s="89">
        <f t="shared" si="88"/>
        <v>2.3427544169882575E-2</v>
      </c>
      <c r="R85" s="89">
        <f t="shared" si="88"/>
        <v>2.4770438241634343E-2</v>
      </c>
      <c r="S85" s="89">
        <f t="shared" si="88"/>
        <v>2.462475394093816E-2</v>
      </c>
      <c r="T85" s="89">
        <f t="shared" ref="T85:Y85" si="89">T57/T$23</f>
        <v>2.5205363431697485E-2</v>
      </c>
      <c r="U85" s="89">
        <f t="shared" si="89"/>
        <v>2.4394859065221347E-2</v>
      </c>
      <c r="V85" s="89">
        <f t="shared" si="89"/>
        <v>2.4020389269149737E-2</v>
      </c>
      <c r="W85" s="89">
        <f t="shared" si="89"/>
        <v>2.3229955539697623E-2</v>
      </c>
      <c r="X85" s="89">
        <f t="shared" si="89"/>
        <v>2.3851620433946716E-2</v>
      </c>
      <c r="Y85" s="89">
        <f t="shared" si="89"/>
        <v>2.2714479759191875E-2</v>
      </c>
    </row>
    <row r="86" spans="1:25" x14ac:dyDescent="0.25">
      <c r="A86" s="68" t="s">
        <v>275</v>
      </c>
      <c r="B86" s="44"/>
      <c r="C86" s="44"/>
      <c r="D86" s="89">
        <f t="shared" si="85"/>
        <v>1.3280105081953082E-2</v>
      </c>
      <c r="E86" s="89">
        <f t="shared" ref="E86:S86" si="90">E58/E$23</f>
        <v>1.3409942383680021E-2</v>
      </c>
      <c r="F86" s="89">
        <f t="shared" si="90"/>
        <v>1.2487021082972866E-2</v>
      </c>
      <c r="G86" s="89">
        <f t="shared" si="90"/>
        <v>1.1122306224718029E-2</v>
      </c>
      <c r="H86" s="89">
        <f t="shared" si="90"/>
        <v>1.0560682805486958E-2</v>
      </c>
      <c r="I86" s="89">
        <f t="shared" si="90"/>
        <v>9.7813808999772326E-3</v>
      </c>
      <c r="J86" s="89">
        <f t="shared" si="90"/>
        <v>9.448872648143208E-3</v>
      </c>
      <c r="K86" s="89">
        <f t="shared" si="90"/>
        <v>9.3654298594955509E-3</v>
      </c>
      <c r="L86" s="89">
        <f t="shared" si="90"/>
        <v>8.3370581884268657E-3</v>
      </c>
      <c r="M86" s="89">
        <f t="shared" si="90"/>
        <v>7.07826919924267E-3</v>
      </c>
      <c r="N86" s="89">
        <f t="shared" si="90"/>
        <v>8.3857269824549868E-3</v>
      </c>
      <c r="O86" s="89">
        <f t="shared" si="90"/>
        <v>8.8374483060205712E-3</v>
      </c>
      <c r="P86" s="89">
        <f t="shared" si="90"/>
        <v>8.8238410811956429E-3</v>
      </c>
      <c r="Q86" s="89">
        <f t="shared" si="90"/>
        <v>8.9110781343143593E-3</v>
      </c>
      <c r="R86" s="89">
        <f t="shared" si="90"/>
        <v>9.1725454855831647E-3</v>
      </c>
      <c r="S86" s="89">
        <f t="shared" si="90"/>
        <v>9.3197365403057692E-3</v>
      </c>
      <c r="T86" s="89">
        <f t="shared" ref="T86:Y86" si="91">T58/T$23</f>
        <v>9.3361885954542558E-3</v>
      </c>
      <c r="U86" s="89">
        <f t="shared" si="91"/>
        <v>9.9774643470408025E-3</v>
      </c>
      <c r="V86" s="89">
        <f t="shared" si="91"/>
        <v>1.1187501373503304E-2</v>
      </c>
      <c r="W86" s="89">
        <f t="shared" si="91"/>
        <v>1.1181639388087397E-2</v>
      </c>
      <c r="X86" s="89">
        <f t="shared" si="91"/>
        <v>1.0641536208001465E-2</v>
      </c>
      <c r="Y86" s="89">
        <f t="shared" si="91"/>
        <v>1.0964873595513123E-2</v>
      </c>
    </row>
    <row r="87" spans="1:25" x14ac:dyDescent="0.25">
      <c r="A87" s="68" t="s">
        <v>276</v>
      </c>
      <c r="B87" s="44"/>
      <c r="C87" s="44"/>
      <c r="D87" s="89">
        <f t="shared" si="85"/>
        <v>3.1955613894919827E-2</v>
      </c>
      <c r="E87" s="89">
        <f t="shared" ref="E87:S87" si="92">E59/E$23</f>
        <v>3.0893833827883205E-2</v>
      </c>
      <c r="F87" s="89">
        <f t="shared" si="92"/>
        <v>2.919304209779389E-2</v>
      </c>
      <c r="G87" s="89">
        <f t="shared" si="92"/>
        <v>2.7698120238651643E-2</v>
      </c>
      <c r="H87" s="89">
        <f t="shared" si="92"/>
        <v>2.7603030685389142E-2</v>
      </c>
      <c r="I87" s="89">
        <f t="shared" si="92"/>
        <v>2.7086453354785257E-2</v>
      </c>
      <c r="J87" s="89">
        <f t="shared" si="92"/>
        <v>2.7487059606957544E-2</v>
      </c>
      <c r="K87" s="89">
        <f t="shared" si="92"/>
        <v>2.8231010869708081E-2</v>
      </c>
      <c r="L87" s="89">
        <f t="shared" si="92"/>
        <v>2.8147737358652954E-2</v>
      </c>
      <c r="M87" s="89">
        <f t="shared" si="92"/>
        <v>2.3592301980436721E-2</v>
      </c>
      <c r="N87" s="89">
        <f t="shared" si="92"/>
        <v>2.4950813694682817E-2</v>
      </c>
      <c r="O87" s="89">
        <f t="shared" si="92"/>
        <v>2.3236500523590102E-2</v>
      </c>
      <c r="P87" s="89">
        <f t="shared" si="92"/>
        <v>2.3721120430826255E-2</v>
      </c>
      <c r="Q87" s="89">
        <f t="shared" si="92"/>
        <v>2.3926868946604958E-2</v>
      </c>
      <c r="R87" s="89">
        <f t="shared" si="92"/>
        <v>2.5093326663834778E-2</v>
      </c>
      <c r="S87" s="89">
        <f t="shared" si="92"/>
        <v>2.4526362261551918E-2</v>
      </c>
      <c r="T87" s="89">
        <f t="shared" ref="T87:Y87" si="93">T59/T$23</f>
        <v>2.5386235109723675E-2</v>
      </c>
      <c r="U87" s="89">
        <f t="shared" si="93"/>
        <v>2.6005306459532789E-2</v>
      </c>
      <c r="V87" s="89">
        <f t="shared" si="93"/>
        <v>2.6154883839655956E-2</v>
      </c>
      <c r="W87" s="89">
        <f t="shared" si="93"/>
        <v>2.5600381165302961E-2</v>
      </c>
      <c r="X87" s="89">
        <f t="shared" si="93"/>
        <v>2.5922937837590403E-2</v>
      </c>
      <c r="Y87" s="89">
        <f t="shared" si="93"/>
        <v>2.655795875449898E-2</v>
      </c>
    </row>
    <row r="88" spans="1:25" x14ac:dyDescent="0.25">
      <c r="A88" s="68" t="s">
        <v>1</v>
      </c>
      <c r="B88" s="44"/>
      <c r="C88" s="44"/>
      <c r="D88" s="89">
        <f t="shared" si="85"/>
        <v>3.3879687207000964E-2</v>
      </c>
      <c r="E88" s="89">
        <f t="shared" ref="E88:S88" si="94">E60/E$23</f>
        <v>3.2521062450985821E-2</v>
      </c>
      <c r="F88" s="89">
        <f t="shared" si="94"/>
        <v>3.196882654554347E-2</v>
      </c>
      <c r="G88" s="89">
        <f t="shared" si="94"/>
        <v>3.0245595740533277E-2</v>
      </c>
      <c r="H88" s="89">
        <f t="shared" si="94"/>
        <v>2.7677385823554512E-2</v>
      </c>
      <c r="I88" s="89">
        <f t="shared" si="94"/>
        <v>2.4836037493353849E-2</v>
      </c>
      <c r="J88" s="89">
        <f t="shared" si="94"/>
        <v>2.3996584056655623E-2</v>
      </c>
      <c r="K88" s="89">
        <f t="shared" si="94"/>
        <v>2.3561110892052102E-2</v>
      </c>
      <c r="L88" s="89">
        <f t="shared" si="94"/>
        <v>2.2342726798848859E-2</v>
      </c>
      <c r="M88" s="89">
        <f t="shared" si="94"/>
        <v>2.1330598888435293E-2</v>
      </c>
      <c r="N88" s="89">
        <f t="shared" si="94"/>
        <v>2.1291276615678343E-2</v>
      </c>
      <c r="O88" s="89">
        <f t="shared" si="94"/>
        <v>2.1957694957833802E-2</v>
      </c>
      <c r="P88" s="89">
        <f t="shared" si="94"/>
        <v>2.2922287704768816E-2</v>
      </c>
      <c r="Q88" s="89">
        <f t="shared" si="94"/>
        <v>2.378801927607253E-2</v>
      </c>
      <c r="R88" s="89">
        <f t="shared" si="94"/>
        <v>2.4912032754648469E-2</v>
      </c>
      <c r="S88" s="89">
        <f t="shared" si="94"/>
        <v>2.5172936154661499E-2</v>
      </c>
      <c r="T88" s="89">
        <f t="shared" ref="T88:Y88" si="95">T60/T$23</f>
        <v>2.5357838873583043E-2</v>
      </c>
      <c r="U88" s="89">
        <f t="shared" si="95"/>
        <v>2.4674270509183145E-2</v>
      </c>
      <c r="V88" s="89">
        <f t="shared" si="95"/>
        <v>2.4037857413734126E-2</v>
      </c>
      <c r="W88" s="89">
        <f t="shared" si="95"/>
        <v>2.228458797550668E-2</v>
      </c>
      <c r="X88" s="89">
        <f t="shared" si="95"/>
        <v>2.2359356403918337E-2</v>
      </c>
      <c r="Y88" s="89">
        <f t="shared" si="95"/>
        <v>2.2656212831446604E-2</v>
      </c>
    </row>
    <row r="89" spans="1:25" x14ac:dyDescent="0.25">
      <c r="A89" s="68" t="s">
        <v>0</v>
      </c>
      <c r="B89" s="44"/>
      <c r="C89" s="44"/>
      <c r="D89" s="89">
        <f t="shared" si="85"/>
        <v>8.723650638054704E-3</v>
      </c>
      <c r="E89" s="89">
        <f t="shared" ref="E89:S89" si="96">E61/E$23</f>
        <v>7.9531008864953453E-3</v>
      </c>
      <c r="F89" s="89">
        <f t="shared" si="96"/>
        <v>7.4477936843286843E-3</v>
      </c>
      <c r="G89" s="89">
        <f t="shared" si="96"/>
        <v>6.943319061520673E-3</v>
      </c>
      <c r="H89" s="89">
        <f t="shared" si="96"/>
        <v>6.456128966358431E-3</v>
      </c>
      <c r="I89" s="89">
        <f t="shared" si="96"/>
        <v>6.5897762458204737E-3</v>
      </c>
      <c r="J89" s="89">
        <f t="shared" si="96"/>
        <v>6.8102932459193624E-3</v>
      </c>
      <c r="K89" s="89">
        <f t="shared" si="96"/>
        <v>6.6972911162809044E-3</v>
      </c>
      <c r="L89" s="89">
        <f t="shared" si="96"/>
        <v>5.9017073711146763E-3</v>
      </c>
      <c r="M89" s="89">
        <f t="shared" si="96"/>
        <v>5.1913736406797974E-3</v>
      </c>
      <c r="N89" s="89">
        <f t="shared" si="96"/>
        <v>5.9586961641012147E-3</v>
      </c>
      <c r="O89" s="89">
        <f t="shared" si="96"/>
        <v>5.9145568429398374E-3</v>
      </c>
      <c r="P89" s="89">
        <f t="shared" si="96"/>
        <v>5.9192418153609563E-3</v>
      </c>
      <c r="Q89" s="89">
        <f t="shared" si="96"/>
        <v>5.8850898817975426E-3</v>
      </c>
      <c r="R89" s="89">
        <f t="shared" si="96"/>
        <v>6.0012253880285154E-3</v>
      </c>
      <c r="S89" s="89">
        <f t="shared" si="96"/>
        <v>6.0804780046678558E-3</v>
      </c>
      <c r="T89" s="89">
        <f t="shared" ref="T89:Y89" si="97">T61/T$23</f>
        <v>5.9848154213785389E-3</v>
      </c>
      <c r="U89" s="89">
        <f t="shared" si="97"/>
        <v>5.8782508843607988E-3</v>
      </c>
      <c r="V89" s="89">
        <f t="shared" si="97"/>
        <v>5.9087407778057634E-3</v>
      </c>
      <c r="W89" s="89">
        <f t="shared" si="97"/>
        <v>5.8969592473278798E-3</v>
      </c>
      <c r="X89" s="89">
        <f t="shared" si="97"/>
        <v>6.2814702920443097E-3</v>
      </c>
      <c r="Y89" s="89">
        <f t="shared" si="97"/>
        <v>6.2383031815346221E-3</v>
      </c>
    </row>
    <row r="90" spans="1:25" x14ac:dyDescent="0.25">
      <c r="A90" s="90" t="s">
        <v>278</v>
      </c>
      <c r="B90" s="47"/>
      <c r="C90" s="47"/>
      <c r="D90" s="91">
        <f t="shared" si="85"/>
        <v>1.5405917258626558E-2</v>
      </c>
      <c r="E90" s="91">
        <f t="shared" ref="E90:S90" si="98">E62/E$23</f>
        <v>1.5335244361375738E-2</v>
      </c>
      <c r="F90" s="91">
        <f t="shared" si="98"/>
        <v>1.5012648180145366E-2</v>
      </c>
      <c r="G90" s="91">
        <f t="shared" si="98"/>
        <v>1.4159078649978901E-2</v>
      </c>
      <c r="H90" s="91">
        <f t="shared" si="98"/>
        <v>1.3662568872385554E-2</v>
      </c>
      <c r="I90" s="91">
        <f t="shared" si="98"/>
        <v>1.2781692932428607E-2</v>
      </c>
      <c r="J90" s="91">
        <f t="shared" si="98"/>
        <v>1.2257413342379361E-2</v>
      </c>
      <c r="K90" s="91">
        <f t="shared" si="98"/>
        <v>1.2238607836178911E-2</v>
      </c>
      <c r="L90" s="91">
        <f t="shared" si="98"/>
        <v>1.2139612264997931E-2</v>
      </c>
      <c r="M90" s="91">
        <f t="shared" si="98"/>
        <v>1.2240712584339732E-2</v>
      </c>
      <c r="N90" s="91">
        <f t="shared" si="98"/>
        <v>1.1934484094528864E-2</v>
      </c>
      <c r="O90" s="91">
        <f t="shared" si="98"/>
        <v>1.2371519293678898E-2</v>
      </c>
      <c r="P90" s="91">
        <f t="shared" si="98"/>
        <v>1.2784040735034793E-2</v>
      </c>
      <c r="Q90" s="91">
        <f t="shared" si="98"/>
        <v>1.3005140775542165E-2</v>
      </c>
      <c r="R90" s="91">
        <f t="shared" si="98"/>
        <v>1.348456156648524E-2</v>
      </c>
      <c r="S90" s="91">
        <f t="shared" si="98"/>
        <v>1.4117289270898493E-2</v>
      </c>
      <c r="T90" s="91">
        <f t="shared" ref="T90:Y90" si="99">T62/T$23</f>
        <v>1.401539446384511E-2</v>
      </c>
      <c r="U90" s="91">
        <f t="shared" si="99"/>
        <v>1.4103204212628569E-2</v>
      </c>
      <c r="V90" s="91">
        <f t="shared" si="99"/>
        <v>1.4223014111443381E-2</v>
      </c>
      <c r="W90" s="91">
        <f t="shared" si="99"/>
        <v>1.4433833163645063E-2</v>
      </c>
      <c r="X90" s="91">
        <f t="shared" si="99"/>
        <v>1.5080563947633433E-2</v>
      </c>
      <c r="Y90" s="91">
        <f t="shared" si="99"/>
        <v>1.5420957170600753E-2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1.9431202740746389E-2</v>
      </c>
      <c r="F93" s="92">
        <f t="shared" ref="F93:F94" si="101">IF(E16=0,"",F16/E16-1)</f>
        <v>7.713725451076181E-3</v>
      </c>
      <c r="G93" s="92">
        <f t="shared" ref="G93:G94" si="102">IF(F16=0,"",G16/F16-1)</f>
        <v>-9.3013000551183111E-3</v>
      </c>
      <c r="H93" s="92">
        <f t="shared" ref="H93:H94" si="103">IF(G16=0,"",H16/G16-1)</f>
        <v>1.7884376422504289E-2</v>
      </c>
      <c r="I93" s="92">
        <f t="shared" ref="I93:I94" si="104">IF(H16=0,"",I16/H16-1)</f>
        <v>7.8191951198363085E-3</v>
      </c>
      <c r="J93" s="92">
        <f t="shared" ref="J93:J94" si="105">IF(I16=0,"",J16/I16-1)</f>
        <v>1.6244555346741185E-2</v>
      </c>
      <c r="K93" s="92">
        <f t="shared" ref="K93:K94" si="106">IF(J16=0,"",K16/J16-1)</f>
        <v>2.507318826538163E-2</v>
      </c>
      <c r="L93" s="92">
        <f t="shared" ref="L93:L94" si="107">IF(K16=0,"",L16/K16-1)</f>
        <v>3.1873408033094019E-3</v>
      </c>
      <c r="M93" s="92">
        <f t="shared" ref="M93:M94" si="108">IF(L16=0,"",M16/L16-1)</f>
        <v>-3.1219600563399674E-2</v>
      </c>
      <c r="N93" s="92">
        <f t="shared" ref="N93:N94" si="109">IF(M16=0,"",N16/M16-1)</f>
        <v>1.7371341758121828E-2</v>
      </c>
      <c r="O93" s="92">
        <f t="shared" ref="O93:O94" si="110">IF(N16=0,"",O16/N16-1)</f>
        <v>-1.696199776852747E-2</v>
      </c>
      <c r="P93" s="92">
        <f t="shared" ref="P93:P94" si="111">IF(O16=0,"",P16/O16-1)</f>
        <v>-4.0572714282730238E-2</v>
      </c>
      <c r="Q93" s="92">
        <f t="shared" ref="Q93:Q94" si="112">IF(P16=0,"",Q16/P16-1)</f>
        <v>-9.2204990183524238E-3</v>
      </c>
      <c r="R93" s="92">
        <f t="shared" ref="R93:R94" si="113">IF(Q16=0,"",R16/Q16-1)</f>
        <v>7.9198372544024842E-3</v>
      </c>
      <c r="S93" s="92">
        <f t="shared" ref="S93:S94" si="114">IF(R16=0,"",S16/R16-1)</f>
        <v>1.7920325540569104E-2</v>
      </c>
      <c r="T93" s="92">
        <f t="shared" ref="T93:T94" si="115">IF(S16=0,"",T16/S16-1)</f>
        <v>2.0191176466468175E-2</v>
      </c>
      <c r="U93" s="92">
        <f t="shared" ref="U93:U94" si="116">IF(T16=0,"",U16/T16-1)</f>
        <v>3.5062156868912897E-2</v>
      </c>
      <c r="V93" s="92">
        <f t="shared" ref="V93:V94" si="117">IF(U16=0,"",V16/U16-1)</f>
        <v>2.849328736834722E-2</v>
      </c>
      <c r="W93" s="92">
        <f t="shared" ref="W93:W94" si="118">IF(V16=0,"",W16/V16-1)</f>
        <v>2.6829031358203359E-2</v>
      </c>
      <c r="X93" s="92">
        <f t="shared" ref="X93:X94" si="119">IF(W16=0,"",X16/W16-1)</f>
        <v>-8.3004579730053596E-2</v>
      </c>
      <c r="Y93" s="92">
        <f t="shared" ref="Y93:Y94" si="120">IF(X16=0,"",Y16/X16-1)</f>
        <v>5.7380952743083302E-2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8.8991195376888488E-3</v>
      </c>
      <c r="F94" s="93">
        <f t="shared" si="101"/>
        <v>1.2837150769261729E-2</v>
      </c>
      <c r="G94" s="93">
        <f t="shared" si="102"/>
        <v>-3.1892798114405707E-3</v>
      </c>
      <c r="H94" s="93">
        <f t="shared" si="103"/>
        <v>2.5563345105027224E-2</v>
      </c>
      <c r="I94" s="93">
        <f t="shared" si="104"/>
        <v>1.5767318341494585E-2</v>
      </c>
      <c r="J94" s="93">
        <f t="shared" si="105"/>
        <v>1.5165117765606029E-2</v>
      </c>
      <c r="K94" s="93">
        <f t="shared" si="106"/>
        <v>2.5094676574014541E-2</v>
      </c>
      <c r="L94" s="93">
        <f t="shared" si="107"/>
        <v>1.3707951345660829E-2</v>
      </c>
      <c r="M94" s="93">
        <f t="shared" si="108"/>
        <v>-2.3118002737340992E-2</v>
      </c>
      <c r="N94" s="93">
        <f t="shared" si="109"/>
        <v>2.3560370045526247E-2</v>
      </c>
      <c r="O94" s="93">
        <f t="shared" si="110"/>
        <v>-3.6601501753537269E-2</v>
      </c>
      <c r="P94" s="93">
        <f t="shared" si="111"/>
        <v>-5.3179511676351598E-2</v>
      </c>
      <c r="Q94" s="93">
        <f t="shared" si="112"/>
        <v>-1.0435433880042644E-2</v>
      </c>
      <c r="R94" s="93">
        <f t="shared" si="113"/>
        <v>2.3815528747211712E-2</v>
      </c>
      <c r="S94" s="93">
        <f t="shared" si="114"/>
        <v>2.0377669131215859E-2</v>
      </c>
      <c r="T94" s="93">
        <f t="shared" si="115"/>
        <v>2.5596301722267567E-2</v>
      </c>
      <c r="U94" s="93">
        <f t="shared" si="116"/>
        <v>2.1010077180514175E-2</v>
      </c>
      <c r="V94" s="93">
        <f t="shared" si="117"/>
        <v>2.6156777158097944E-2</v>
      </c>
      <c r="W94" s="93">
        <f t="shared" si="118"/>
        <v>3.2626895768168129E-2</v>
      </c>
      <c r="X94" s="93">
        <f t="shared" si="119"/>
        <v>-7.0216233533295092E-2</v>
      </c>
      <c r="Y94" s="93">
        <f t="shared" si="120"/>
        <v>4.7271430777958257E-2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1.1363991156555064E-2</v>
      </c>
      <c r="F95" s="92">
        <f t="shared" ref="F95:F96" si="122">IF(E20=0,"",F20/E20-1)</f>
        <v>1.5194090675823002E-3</v>
      </c>
      <c r="G95" s="92">
        <f t="shared" ref="G95:G96" si="123">IF(F20=0,"",G20/F20-1)</f>
        <v>-1.403663593011939E-2</v>
      </c>
      <c r="H95" s="92">
        <f t="shared" ref="H95:H96" si="124">IF(G20=0,"",H20/G20-1)</f>
        <v>1.5118519906567762E-2</v>
      </c>
      <c r="I95" s="92">
        <f t="shared" ref="I95:I96" si="125">IF(H20=0,"",I20/H20-1)</f>
        <v>5.7428018188467878E-3</v>
      </c>
      <c r="J95" s="92">
        <f t="shared" ref="J95:J96" si="126">IF(I20=0,"",J20/I20-1)</f>
        <v>1.4570534151094439E-2</v>
      </c>
      <c r="K95" s="92">
        <f t="shared" ref="K95:K96" si="127">IF(J20=0,"",K20/J20-1)</f>
        <v>2.3068314659932865E-2</v>
      </c>
      <c r="L95" s="92">
        <f t="shared" ref="L95:L96" si="128">IF(K20=0,"",L20/K20-1)</f>
        <v>1.2147764320700194E-3</v>
      </c>
      <c r="M95" s="92">
        <f t="shared" ref="M95:M96" si="129">IF(L20=0,"",M20/L20-1)</f>
        <v>-3.2106937299349214E-2</v>
      </c>
      <c r="N95" s="92">
        <f t="shared" ref="N95:N96" si="130">IF(M20=0,"",N20/M20-1)</f>
        <v>1.6364408175381762E-2</v>
      </c>
      <c r="O95" s="92">
        <f t="shared" ref="O95:O96" si="131">IF(N20=0,"",O20/N20-1)</f>
        <v>-1.6891519903303176E-2</v>
      </c>
      <c r="P95" s="92">
        <f t="shared" ref="P95:P96" si="132">IF(O20=0,"",P20/O20-1)</f>
        <v>-3.7813122623906126E-2</v>
      </c>
      <c r="Q95" s="92">
        <f t="shared" ref="Q95:Q96" si="133">IF(P20=0,"",Q20/P20-1)</f>
        <v>-4.0141136961211465E-3</v>
      </c>
      <c r="R95" s="92">
        <f t="shared" ref="R95:R96" si="134">IF(Q20=0,"",R20/Q20-1)</f>
        <v>1.3718374689661639E-2</v>
      </c>
      <c r="S95" s="92">
        <f t="shared" ref="S95:S96" si="135">IF(R20=0,"",S20/R20-1)</f>
        <v>2.3069275639572728E-2</v>
      </c>
      <c r="T95" s="92">
        <f t="shared" ref="T95:T96" si="136">IF(S20=0,"",T20/S20-1)</f>
        <v>2.3495223710122248E-2</v>
      </c>
      <c r="U95" s="92">
        <f t="shared" ref="U95:U96" si="137">IF(T20=0,"",U20/T20-1)</f>
        <v>3.825050122766438E-2</v>
      </c>
      <c r="V95" s="92">
        <f t="shared" ref="V95:V96" si="138">IF(U20=0,"",V20/U20-1)</f>
        <v>3.034678911385158E-2</v>
      </c>
      <c r="W95" s="92">
        <f t="shared" ref="W95:W96" si="139">IF(V20=0,"",W20/V20-1)</f>
        <v>2.8268863779891573E-2</v>
      </c>
      <c r="X95" s="92">
        <f t="shared" ref="X95:X96" si="140">IF(W20=0,"",X20/W20-1)</f>
        <v>-8.4722803506880773E-2</v>
      </c>
      <c r="Y95" s="92">
        <f t="shared" ref="Y95:Y96" si="141">IF(X20=0,"",Y20/X20-1)</f>
        <v>5.7140383414203466E-2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9.1525300257311315E-4</v>
      </c>
      <c r="F96" s="93">
        <f t="shared" si="122"/>
        <v>6.6113411981822967E-3</v>
      </c>
      <c r="G96" s="93">
        <f t="shared" si="123"/>
        <v>-7.9538298851985489E-3</v>
      </c>
      <c r="H96" s="93">
        <f t="shared" si="124"/>
        <v>2.2776622834532967E-2</v>
      </c>
      <c r="I96" s="93">
        <f t="shared" si="125"/>
        <v>1.3674549653041934E-2</v>
      </c>
      <c r="J96" s="93">
        <f t="shared" si="126"/>
        <v>1.3492874686634737E-2</v>
      </c>
      <c r="K96" s="93">
        <f t="shared" si="127"/>
        <v>2.3089760940988358E-2</v>
      </c>
      <c r="L96" s="93">
        <f t="shared" si="128"/>
        <v>1.1714700328293359E-2</v>
      </c>
      <c r="M96" s="93">
        <f t="shared" si="129"/>
        <v>-2.4012759984043175E-2</v>
      </c>
      <c r="N96" s="93">
        <f t="shared" si="130"/>
        <v>2.2547310931064102E-2</v>
      </c>
      <c r="O96" s="93">
        <f t="shared" si="131"/>
        <v>-3.6532431921686981E-2</v>
      </c>
      <c r="P96" s="93">
        <f t="shared" si="132"/>
        <v>-5.0456180830045327E-2</v>
      </c>
      <c r="Q96" s="93">
        <f t="shared" si="133"/>
        <v>-5.2354328431393204E-3</v>
      </c>
      <c r="R96" s="93">
        <f t="shared" si="134"/>
        <v>2.9705513695232888E-2</v>
      </c>
      <c r="S96" s="93">
        <f t="shared" si="135"/>
        <v>2.5539049220275389E-2</v>
      </c>
      <c r="T96" s="93">
        <f t="shared" si="136"/>
        <v>2.8917854301798718E-2</v>
      </c>
      <c r="U96" s="93">
        <f t="shared" si="137"/>
        <v>2.4155136342617345E-2</v>
      </c>
      <c r="V96" s="93">
        <f t="shared" si="138"/>
        <v>2.8006068155893793E-2</v>
      </c>
      <c r="W96" s="93">
        <f t="shared" si="139"/>
        <v>3.4074858027345334E-2</v>
      </c>
      <c r="X96" s="93">
        <f t="shared" si="140"/>
        <v>-7.1958419524126516E-2</v>
      </c>
      <c r="Y96" s="93">
        <f t="shared" si="141"/>
        <v>4.7033161510289023E-2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2.2310888551446695E-2</v>
      </c>
      <c r="F97" s="89">
        <f t="shared" ref="F97:F106" si="143">IF(E23=0,"",F23/E23-1)</f>
        <v>6.7151798264726281E-3</v>
      </c>
      <c r="G97" s="89">
        <f t="shared" ref="G97:G106" si="144">IF(F23=0,"",G23/F23-1)</f>
        <v>-8.2469302536438693E-3</v>
      </c>
      <c r="H97" s="89">
        <f t="shared" ref="H97:H106" si="145">IF(G23=0,"",H23/G23-1)</f>
        <v>1.6726903948393268E-2</v>
      </c>
      <c r="I97" s="89">
        <f t="shared" ref="I97:I106" si="146">IF(H23=0,"",I23/H23-1)</f>
        <v>4.9560162069122171E-3</v>
      </c>
      <c r="J97" s="89">
        <f t="shared" ref="J97:J106" si="147">IF(I23=0,"",J23/I23-1)</f>
        <v>1.6298301629712242E-2</v>
      </c>
      <c r="K97" s="89">
        <f t="shared" ref="K97:K106" si="148">IF(J23=0,"",K23/J23-1)</f>
        <v>2.8357204272158265E-2</v>
      </c>
      <c r="L97" s="89">
        <f t="shared" ref="L97:L106" si="149">IF(K23=0,"",L23/K23-1)</f>
        <v>6.5467124762459417E-3</v>
      </c>
      <c r="M97" s="89">
        <f t="shared" ref="M97:M106" si="150">IF(L23=0,"",M23/L23-1)</f>
        <v>-2.5953736354633716E-2</v>
      </c>
      <c r="N97" s="89">
        <f t="shared" ref="N97:N106" si="151">IF(M23=0,"",N23/M23-1)</f>
        <v>1.5782910253759441E-2</v>
      </c>
      <c r="O97" s="89">
        <f t="shared" ref="O97:O106" si="152">IF(N23=0,"",O23/N23-1)</f>
        <v>-1.00689811051341E-2</v>
      </c>
      <c r="P97" s="89">
        <f t="shared" ref="P97:P106" si="153">IF(O23=0,"",P23/O23-1)</f>
        <v>-3.2636553531496193E-2</v>
      </c>
      <c r="Q97" s="89">
        <f t="shared" ref="Q97:Q106" si="154">IF(P23=0,"",Q23/P23-1)</f>
        <v>-6.169526012356541E-3</v>
      </c>
      <c r="R97" s="89">
        <f t="shared" ref="R97:R106" si="155">IF(Q23=0,"",R23/Q23-1)</f>
        <v>3.119058252844864E-3</v>
      </c>
      <c r="S97" s="89">
        <f t="shared" ref="S97:S106" si="156">IF(R23=0,"",S23/R23-1)</f>
        <v>1.5433424747809621E-2</v>
      </c>
      <c r="T97" s="89">
        <f t="shared" ref="T97:T106" si="157">IF(S23=0,"",T23/S23-1)</f>
        <v>1.6436580223840425E-2</v>
      </c>
      <c r="U97" s="89">
        <f t="shared" ref="U97:U106" si="158">IF(T23=0,"",U23/T23-1)</f>
        <v>3.2864907755369099E-2</v>
      </c>
      <c r="V97" s="89">
        <f t="shared" ref="V97:V106" si="159">IF(U23=0,"",V23/U23-1)</f>
        <v>2.7018300469287437E-2</v>
      </c>
      <c r="W97" s="89">
        <f t="shared" ref="W97:W106" si="160">IF(V23=0,"",W23/V23-1)</f>
        <v>2.6403951779771839E-2</v>
      </c>
      <c r="X97" s="89">
        <f t="shared" ref="X97:X106" si="161">IF(W23=0,"",X23/W23-1)</f>
        <v>-7.7839815687016811E-2</v>
      </c>
      <c r="Y97" s="89">
        <f t="shared" ref="Y97:Y106" si="162">IF(X23=0,"",Y23/X23-1)</f>
        <v>5.4745395228741112E-2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-2.770665515674009E-2</v>
      </c>
      <c r="F98" s="83">
        <f t="shared" si="143"/>
        <v>-7.177082247553257E-2</v>
      </c>
      <c r="G98" s="83">
        <f t="shared" si="144"/>
        <v>-3.3909094766739201E-2</v>
      </c>
      <c r="H98" s="83">
        <f t="shared" si="145"/>
        <v>-2.1211968759895505E-3</v>
      </c>
      <c r="I98" s="83">
        <f t="shared" si="146"/>
        <v>-0.10278072966567353</v>
      </c>
      <c r="J98" s="83">
        <f t="shared" si="147"/>
        <v>-1.7211968344477135E-3</v>
      </c>
      <c r="K98" s="83">
        <f t="shared" si="148"/>
        <v>-9.1869495265914036E-2</v>
      </c>
      <c r="L98" s="83">
        <f t="shared" si="149"/>
        <v>-1.6164766455857627E-2</v>
      </c>
      <c r="M98" s="83">
        <f t="shared" si="150"/>
        <v>-4.8674800055293566E-2</v>
      </c>
      <c r="N98" s="83">
        <f t="shared" si="151"/>
        <v>1.7001966289678316E-2</v>
      </c>
      <c r="O98" s="83">
        <f t="shared" si="152"/>
        <v>-5.817766452754447E-2</v>
      </c>
      <c r="P98" s="83">
        <f t="shared" si="153"/>
        <v>1.5489034236702892E-2</v>
      </c>
      <c r="Q98" s="83">
        <f t="shared" si="154"/>
        <v>7.7521704232096367E-2</v>
      </c>
      <c r="R98" s="83">
        <f t="shared" si="155"/>
        <v>-1.0991474957777747E-4</v>
      </c>
      <c r="S98" s="83">
        <f t="shared" si="156"/>
        <v>2.969883099532411E-2</v>
      </c>
      <c r="T98" s="83">
        <f t="shared" si="157"/>
        <v>2.7702096427451028E-3</v>
      </c>
      <c r="U98" s="83">
        <f t="shared" si="158"/>
        <v>5.139844131263227E-2</v>
      </c>
      <c r="V98" s="83">
        <f t="shared" si="159"/>
        <v>-1.0939005020866865E-3</v>
      </c>
      <c r="W98" s="83">
        <f t="shared" si="160"/>
        <v>5.193700985843952E-2</v>
      </c>
      <c r="X98" s="83">
        <f t="shared" si="161"/>
        <v>-4.6844096692681192E-2</v>
      </c>
      <c r="Y98" s="83">
        <f t="shared" si="162"/>
        <v>5.0190870823410227E-2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-2.0370747763609476E-3</v>
      </c>
      <c r="F99" s="83">
        <f t="shared" si="143"/>
        <v>-0.14254554099909589</v>
      </c>
      <c r="G99" s="83">
        <f t="shared" si="144"/>
        <v>-0.10449572553527608</v>
      </c>
      <c r="H99" s="83">
        <f t="shared" si="145"/>
        <v>0.1080989035566482</v>
      </c>
      <c r="I99" s="83">
        <f t="shared" si="146"/>
        <v>5.1877062203195434E-2</v>
      </c>
      <c r="J99" s="83">
        <f t="shared" si="147"/>
        <v>0.18805550964257201</v>
      </c>
      <c r="K99" s="83">
        <f t="shared" si="148"/>
        <v>-2.8701908751102567E-2</v>
      </c>
      <c r="L99" s="83">
        <f t="shared" si="149"/>
        <v>-0.25838196614030073</v>
      </c>
      <c r="M99" s="83">
        <f t="shared" si="150"/>
        <v>3.9154918442323439E-2</v>
      </c>
      <c r="N99" s="83">
        <f t="shared" si="151"/>
        <v>0.10530668954123157</v>
      </c>
      <c r="O99" s="83">
        <f t="shared" si="152"/>
        <v>-7.6192256791344004E-2</v>
      </c>
      <c r="P99" s="83">
        <f t="shared" si="153"/>
        <v>-9.6416869784968773E-3</v>
      </c>
      <c r="Q99" s="83">
        <f t="shared" si="154"/>
        <v>-0.12442823764324717</v>
      </c>
      <c r="R99" s="83">
        <f t="shared" si="155"/>
        <v>-7.5866040319790051E-2</v>
      </c>
      <c r="S99" s="83">
        <f t="shared" si="156"/>
        <v>-7.3531697187086964E-2</v>
      </c>
      <c r="T99" s="83">
        <f t="shared" si="157"/>
        <v>4.6633209658007102E-2</v>
      </c>
      <c r="U99" s="83">
        <f t="shared" si="158"/>
        <v>0.12552906199104075</v>
      </c>
      <c r="V99" s="83">
        <f t="shared" si="159"/>
        <v>-2.6806000453797885E-2</v>
      </c>
      <c r="W99" s="83">
        <f t="shared" si="160"/>
        <v>-6.0870773491977559E-2</v>
      </c>
      <c r="X99" s="83">
        <f t="shared" si="161"/>
        <v>-7.3260422521029045E-2</v>
      </c>
      <c r="Y99" s="83">
        <f t="shared" si="162"/>
        <v>0.43118621467517348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3.0589396553014403E-2</v>
      </c>
      <c r="F100" s="83">
        <f t="shared" si="143"/>
        <v>2.043176822331727E-2</v>
      </c>
      <c r="G100" s="83">
        <f t="shared" si="144"/>
        <v>7.870203393814279E-3</v>
      </c>
      <c r="H100" s="83">
        <f t="shared" si="145"/>
        <v>2.4213762804854655E-2</v>
      </c>
      <c r="I100" s="83">
        <f t="shared" si="146"/>
        <v>1.9864059965233771E-2</v>
      </c>
      <c r="J100" s="83">
        <f t="shared" si="147"/>
        <v>1.981422516331266E-2</v>
      </c>
      <c r="K100" s="83">
        <f t="shared" si="148"/>
        <v>3.3708144774598381E-2</v>
      </c>
      <c r="L100" s="83">
        <f t="shared" si="149"/>
        <v>2.1084738265522374E-2</v>
      </c>
      <c r="M100" s="83">
        <f t="shared" si="150"/>
        <v>-1.1606605767684464E-2</v>
      </c>
      <c r="N100" s="83">
        <f t="shared" si="151"/>
        <v>1.3518460613114236E-2</v>
      </c>
      <c r="O100" s="83">
        <f t="shared" si="152"/>
        <v>-4.9837443793276925E-5</v>
      </c>
      <c r="P100" s="83">
        <f t="shared" si="153"/>
        <v>-2.9855403290395488E-2</v>
      </c>
      <c r="Q100" s="83">
        <f t="shared" si="154"/>
        <v>-4.6645242993932357E-3</v>
      </c>
      <c r="R100" s="83">
        <f t="shared" si="155"/>
        <v>3.3461294390813023E-4</v>
      </c>
      <c r="S100" s="83">
        <f t="shared" si="156"/>
        <v>5.5468524079038684E-3</v>
      </c>
      <c r="T100" s="83">
        <f t="shared" si="157"/>
        <v>1.7529779820744329E-2</v>
      </c>
      <c r="U100" s="83">
        <f t="shared" si="158"/>
        <v>3.3830916077675743E-2</v>
      </c>
      <c r="V100" s="83">
        <f t="shared" si="159"/>
        <v>2.4662030874068819E-2</v>
      </c>
      <c r="W100" s="83">
        <f t="shared" si="160"/>
        <v>3.3340688773145555E-2</v>
      </c>
      <c r="X100" s="83">
        <f t="shared" si="161"/>
        <v>-8.334835980833899E-2</v>
      </c>
      <c r="Y100" s="83">
        <f t="shared" si="162"/>
        <v>5.5430425603164579E-2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3.388231973783018E-2</v>
      </c>
      <c r="F101" s="84">
        <f t="shared" si="143"/>
        <v>2.785267153759885E-2</v>
      </c>
      <c r="G101" s="84">
        <f t="shared" si="144"/>
        <v>9.7136269358133465E-3</v>
      </c>
      <c r="H101" s="84">
        <f t="shared" si="145"/>
        <v>2.6440683655182706E-2</v>
      </c>
      <c r="I101" s="84">
        <f t="shared" si="146"/>
        <v>2.608139136679033E-2</v>
      </c>
      <c r="J101" s="84">
        <f t="shared" si="147"/>
        <v>-1.6508505370249615E-4</v>
      </c>
      <c r="K101" s="84">
        <f t="shared" si="148"/>
        <v>9.4217332720749614E-3</v>
      </c>
      <c r="L101" s="84">
        <f t="shared" si="149"/>
        <v>5.4214094967426352E-3</v>
      </c>
      <c r="M101" s="84">
        <f t="shared" si="150"/>
        <v>1.3410558552675811E-2</v>
      </c>
      <c r="N101" s="84">
        <f t="shared" si="151"/>
        <v>9.6180842617819007E-3</v>
      </c>
      <c r="O101" s="84">
        <f t="shared" si="152"/>
        <v>-3.0423574982285317E-2</v>
      </c>
      <c r="P101" s="84">
        <f t="shared" si="153"/>
        <v>-5.7058315114715819E-2</v>
      </c>
      <c r="Q101" s="84">
        <f t="shared" si="154"/>
        <v>9.8457124395445739E-3</v>
      </c>
      <c r="R101" s="84">
        <f t="shared" si="155"/>
        <v>-1.1266398389153998E-2</v>
      </c>
      <c r="S101" s="84">
        <f t="shared" si="156"/>
        <v>1.2434905425622755E-2</v>
      </c>
      <c r="T101" s="84">
        <f t="shared" si="157"/>
        <v>1.9780103418731709E-2</v>
      </c>
      <c r="U101" s="84">
        <f t="shared" si="158"/>
        <v>5.3047986007886294E-2</v>
      </c>
      <c r="V101" s="84">
        <f t="shared" si="159"/>
        <v>2.7413711794654683E-2</v>
      </c>
      <c r="W101" s="84">
        <f t="shared" si="160"/>
        <v>3.0312793699722507E-2</v>
      </c>
      <c r="X101" s="84">
        <f t="shared" si="161"/>
        <v>-0.15078545797671794</v>
      </c>
      <c r="Y101" s="84">
        <f t="shared" si="162"/>
        <v>8.1642469712980503E-2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3.0874983122245458E-2</v>
      </c>
      <c r="F102" s="84">
        <f t="shared" si="143"/>
        <v>2.1745738500082545E-2</v>
      </c>
      <c r="G102" s="84">
        <f t="shared" si="144"/>
        <v>2.299832855962558E-2</v>
      </c>
      <c r="H102" s="84">
        <f t="shared" si="145"/>
        <v>2.8568524407394547E-2</v>
      </c>
      <c r="I102" s="84">
        <f t="shared" si="146"/>
        <v>2.8931783070202943E-2</v>
      </c>
      <c r="J102" s="84">
        <f t="shared" si="147"/>
        <v>4.987952278554264E-2</v>
      </c>
      <c r="K102" s="84">
        <f t="shared" si="148"/>
        <v>6.8163650676467791E-2</v>
      </c>
      <c r="L102" s="84">
        <f t="shared" si="149"/>
        <v>4.4424325458142011E-2</v>
      </c>
      <c r="M102" s="84">
        <f t="shared" si="150"/>
        <v>-4.3138492699107189E-2</v>
      </c>
      <c r="N102" s="84">
        <f t="shared" si="151"/>
        <v>2.2961264393159819E-2</v>
      </c>
      <c r="O102" s="84">
        <f t="shared" si="152"/>
        <v>8.6156140256925529E-3</v>
      </c>
      <c r="P102" s="84">
        <f t="shared" si="153"/>
        <v>-2.3796338893769753E-2</v>
      </c>
      <c r="Q102" s="84">
        <f t="shared" si="154"/>
        <v>-2.2426762070653528E-2</v>
      </c>
      <c r="R102" s="84">
        <f t="shared" si="155"/>
        <v>1.3457485227631905E-2</v>
      </c>
      <c r="S102" s="84">
        <f t="shared" si="156"/>
        <v>-2.7381170909313024E-4</v>
      </c>
      <c r="T102" s="84">
        <f t="shared" si="157"/>
        <v>2.5419755292877211E-2</v>
      </c>
      <c r="U102" s="84">
        <f t="shared" si="158"/>
        <v>3.9299259334565573E-2</v>
      </c>
      <c r="V102" s="84">
        <f t="shared" si="159"/>
        <v>3.7179272474564984E-2</v>
      </c>
      <c r="W102" s="84">
        <f t="shared" si="160"/>
        <v>4.5135285339132691E-2</v>
      </c>
      <c r="X102" s="84">
        <f t="shared" si="161"/>
        <v>-2.1832655294982128E-2</v>
      </c>
      <c r="Y102" s="84">
        <f t="shared" si="162"/>
        <v>4.3003980096621097E-2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2.3766384813338481E-2</v>
      </c>
      <c r="F103" s="84">
        <f t="shared" si="143"/>
        <v>3.804736462124092E-3</v>
      </c>
      <c r="G103" s="84">
        <f t="shared" si="144"/>
        <v>-2.1120404408844329E-2</v>
      </c>
      <c r="H103" s="84">
        <f t="shared" si="145"/>
        <v>1.20140002489042E-2</v>
      </c>
      <c r="I103" s="84">
        <f t="shared" si="146"/>
        <v>-9.2348506969867072E-3</v>
      </c>
      <c r="J103" s="84">
        <f t="shared" si="147"/>
        <v>7.5404151690290355E-3</v>
      </c>
      <c r="K103" s="84">
        <f t="shared" si="148"/>
        <v>1.9573906387989393E-2</v>
      </c>
      <c r="L103" s="84">
        <f t="shared" si="149"/>
        <v>7.345536374188999E-3</v>
      </c>
      <c r="M103" s="84">
        <f t="shared" si="150"/>
        <v>1.2012260500822158E-3</v>
      </c>
      <c r="N103" s="84">
        <f t="shared" si="151"/>
        <v>3.0400791449594067E-3</v>
      </c>
      <c r="O103" s="84">
        <f t="shared" si="152"/>
        <v>4.7940734141134866E-2</v>
      </c>
      <c r="P103" s="84">
        <f t="shared" si="153"/>
        <v>1.2657413328576395E-2</v>
      </c>
      <c r="Q103" s="84">
        <f t="shared" si="154"/>
        <v>1.8773385361545714E-3</v>
      </c>
      <c r="R103" s="84">
        <f t="shared" si="155"/>
        <v>-2.0857777271077182E-3</v>
      </c>
      <c r="S103" s="84">
        <f t="shared" si="156"/>
        <v>3.6368827813386684E-3</v>
      </c>
      <c r="T103" s="84">
        <f t="shared" si="157"/>
        <v>-1.4031205493042487E-3</v>
      </c>
      <c r="U103" s="84">
        <f t="shared" si="158"/>
        <v>-1.3445785905993879E-2</v>
      </c>
      <c r="V103" s="84">
        <f t="shared" si="159"/>
        <v>-6.2126779754109185E-3</v>
      </c>
      <c r="W103" s="84">
        <f t="shared" si="160"/>
        <v>1.4909871241930661E-2</v>
      </c>
      <c r="X103" s="84">
        <f t="shared" si="161"/>
        <v>-7.2016061223973971E-2</v>
      </c>
      <c r="Y103" s="84">
        <f t="shared" si="162"/>
        <v>3.2359825341563786E-2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6.7578733366968624E-3</v>
      </c>
      <c r="F104" s="83">
        <f t="shared" si="143"/>
        <v>4.6202979555820534E-3</v>
      </c>
      <c r="G104" s="83">
        <f t="shared" si="144"/>
        <v>9.4512910091470559E-2</v>
      </c>
      <c r="H104" s="83">
        <f t="shared" si="145"/>
        <v>6.4369547263108728E-2</v>
      </c>
      <c r="I104" s="83">
        <f t="shared" si="146"/>
        <v>-2.0607962086917508E-2</v>
      </c>
      <c r="J104" s="83">
        <f t="shared" si="147"/>
        <v>6.8475437599957889E-2</v>
      </c>
      <c r="K104" s="83">
        <f t="shared" si="148"/>
        <v>4.0659856435192987E-2</v>
      </c>
      <c r="L104" s="83">
        <f t="shared" si="149"/>
        <v>-0.1264494843397217</v>
      </c>
      <c r="M104" s="83">
        <f t="shared" si="150"/>
        <v>5.3805063983835666E-2</v>
      </c>
      <c r="N104" s="83">
        <f t="shared" si="151"/>
        <v>6.1454115037715473E-2</v>
      </c>
      <c r="O104" s="83">
        <f t="shared" si="152"/>
        <v>-5.820111117875959E-2</v>
      </c>
      <c r="P104" s="83">
        <f t="shared" si="153"/>
        <v>5.4907407409351627E-2</v>
      </c>
      <c r="Q104" s="83">
        <f t="shared" si="154"/>
        <v>-3.7207733693440437E-2</v>
      </c>
      <c r="R104" s="83">
        <f t="shared" si="155"/>
        <v>0.10016102381557856</v>
      </c>
      <c r="S104" s="83">
        <f t="shared" si="156"/>
        <v>0.26752070083708301</v>
      </c>
      <c r="T104" s="83">
        <f t="shared" si="157"/>
        <v>-4.0782338749517866E-2</v>
      </c>
      <c r="U104" s="83">
        <f t="shared" si="158"/>
        <v>-3.0220089649624637E-2</v>
      </c>
      <c r="V104" s="83">
        <f t="shared" si="159"/>
        <v>4.1914487824609603E-2</v>
      </c>
      <c r="W104" s="83">
        <f t="shared" si="160"/>
        <v>-8.852032287172662E-2</v>
      </c>
      <c r="X104" s="83">
        <f t="shared" si="161"/>
        <v>-0.18753721899566012</v>
      </c>
      <c r="Y104" s="83">
        <f t="shared" si="162"/>
        <v>-0.1109224987894214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3.58954852141391E-2</v>
      </c>
      <c r="F105" s="83">
        <f t="shared" si="143"/>
        <v>-1.2335040714059997E-2</v>
      </c>
      <c r="G105" s="83">
        <f t="shared" si="144"/>
        <v>-6.4491685830186163E-2</v>
      </c>
      <c r="H105" s="83">
        <f t="shared" si="145"/>
        <v>8.1313078875271394E-3</v>
      </c>
      <c r="I105" s="83">
        <f t="shared" si="146"/>
        <v>-1.9236952571564325E-2</v>
      </c>
      <c r="J105" s="83">
        <f t="shared" si="147"/>
        <v>-1.2044205933020913E-2</v>
      </c>
      <c r="K105" s="83">
        <f t="shared" si="148"/>
        <v>3.1246832214817832E-2</v>
      </c>
      <c r="L105" s="83">
        <f t="shared" si="149"/>
        <v>3.45897698121167E-3</v>
      </c>
      <c r="M105" s="83">
        <f t="shared" si="150"/>
        <v>-9.2792849847696091E-2</v>
      </c>
      <c r="N105" s="83">
        <f t="shared" si="151"/>
        <v>-5.5406854167377562E-2</v>
      </c>
      <c r="O105" s="83">
        <f t="shared" si="152"/>
        <v>-6.9044280391830637E-2</v>
      </c>
      <c r="P105" s="83">
        <f t="shared" si="153"/>
        <v>-0.1422443128191605</v>
      </c>
      <c r="Q105" s="83">
        <f t="shared" si="154"/>
        <v>-7.803688257545438E-2</v>
      </c>
      <c r="R105" s="83">
        <f t="shared" si="155"/>
        <v>-7.4655014412019605E-2</v>
      </c>
      <c r="S105" s="83">
        <f t="shared" si="156"/>
        <v>-4.9387856462369539E-3</v>
      </c>
      <c r="T105" s="83">
        <f t="shared" si="157"/>
        <v>2.3596878327349913E-3</v>
      </c>
      <c r="U105" s="83">
        <f t="shared" si="158"/>
        <v>3.7835852297330552E-2</v>
      </c>
      <c r="V105" s="83">
        <f t="shared" si="159"/>
        <v>6.7483463748000627E-2</v>
      </c>
      <c r="W105" s="83">
        <f t="shared" si="160"/>
        <v>6.3757242084603982E-2</v>
      </c>
      <c r="X105" s="83">
        <f t="shared" si="161"/>
        <v>4.533188958722123E-3</v>
      </c>
      <c r="Y105" s="83">
        <f t="shared" si="162"/>
        <v>2.3583579819338674E-2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-5.4272184364239084E-3</v>
      </c>
      <c r="F106" s="83">
        <f t="shared" si="143"/>
        <v>-2.229015247234678E-2</v>
      </c>
      <c r="G106" s="83">
        <f t="shared" si="144"/>
        <v>-5.9864077668778659E-2</v>
      </c>
      <c r="H106" s="83">
        <f t="shared" si="145"/>
        <v>-2.1735554168851756E-2</v>
      </c>
      <c r="I106" s="83">
        <f t="shared" si="146"/>
        <v>-3.4138281472088972E-2</v>
      </c>
      <c r="J106" s="83">
        <f t="shared" si="147"/>
        <v>4.0106778382753561E-4</v>
      </c>
      <c r="K106" s="83">
        <f t="shared" si="148"/>
        <v>2.0871298003013239E-2</v>
      </c>
      <c r="L106" s="83">
        <f t="shared" si="149"/>
        <v>-3.4502150142116661E-2</v>
      </c>
      <c r="M106" s="83">
        <f t="shared" si="150"/>
        <v>-8.671737805247659E-2</v>
      </c>
      <c r="N106" s="83">
        <f t="shared" si="151"/>
        <v>5.5494225538668118E-2</v>
      </c>
      <c r="O106" s="83">
        <f t="shared" si="152"/>
        <v>-2.3914903647984542E-2</v>
      </c>
      <c r="P106" s="83">
        <f t="shared" si="153"/>
        <v>-2.6360125210254881E-2</v>
      </c>
      <c r="Q106" s="83">
        <f t="shared" si="154"/>
        <v>8.1251471205874282E-3</v>
      </c>
      <c r="R106" s="83">
        <f t="shared" si="155"/>
        <v>3.2796252475832066E-2</v>
      </c>
      <c r="S106" s="83">
        <f t="shared" si="156"/>
        <v>2.976200451337907E-2</v>
      </c>
      <c r="T106" s="83">
        <f t="shared" si="157"/>
        <v>3.0531837874725687E-2</v>
      </c>
      <c r="U106" s="83">
        <f t="shared" si="158"/>
        <v>3.4876241913885497E-2</v>
      </c>
      <c r="V106" s="83">
        <f t="shared" si="159"/>
        <v>3.1640137074516295E-2</v>
      </c>
      <c r="W106" s="83">
        <f t="shared" si="160"/>
        <v>-2.0430699957518783E-3</v>
      </c>
      <c r="X106" s="83">
        <f t="shared" si="161"/>
        <v>-5.6457703745228849E-2</v>
      </c>
      <c r="Y106" s="83">
        <f t="shared" si="162"/>
        <v>8.2679220103389461E-2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-2.6168467087699043E-2</v>
      </c>
      <c r="F107" s="87">
        <f t="shared" ref="F107:F108" si="164">IF(E33=0,"",F33/E33-1)</f>
        <v>1.7985219711953881E-2</v>
      </c>
      <c r="G107" s="87">
        <f t="shared" ref="G107:G108" si="165">IF(F33=0,"",G33/F33-1)</f>
        <v>-0.11368307640374109</v>
      </c>
      <c r="H107" s="87">
        <f t="shared" ref="H107:H108" si="166">IF(G33=0,"",H33/G33-1)</f>
        <v>5.7278040172381584E-3</v>
      </c>
      <c r="I107" s="87">
        <f t="shared" ref="I107:I108" si="167">IF(H33=0,"",I33/H33-1)</f>
        <v>-4.9733389586314569E-2</v>
      </c>
      <c r="J107" s="87">
        <f t="shared" ref="J107:J108" si="168">IF(I33=0,"",J33/I33-1)</f>
        <v>6.3752076863708984E-2</v>
      </c>
      <c r="K107" s="87">
        <f t="shared" ref="K107:K108" si="169">IF(J33=0,"",K33/J33-1)</f>
        <v>-1.5490574776051536E-2</v>
      </c>
      <c r="L107" s="87">
        <f t="shared" ref="L107:L108" si="170">IF(K33=0,"",L33/K33-1)</f>
        <v>7.5779618312250108E-2</v>
      </c>
      <c r="M107" s="87">
        <f t="shared" ref="M107:M108" si="171">IF(L33=0,"",M33/L33-1)</f>
        <v>-9.0102512042943506E-2</v>
      </c>
      <c r="N107" s="87">
        <f t="shared" ref="N107:N108" si="172">IF(M33=0,"",N33/M33-1)</f>
        <v>3.5184678180513629E-2</v>
      </c>
      <c r="O107" s="87">
        <f t="shared" ref="O107:O108" si="173">IF(N33=0,"",O33/N33-1)</f>
        <v>6.4309981140724171E-2</v>
      </c>
      <c r="P107" s="87">
        <f t="shared" ref="P107:P108" si="174">IF(O33=0,"",P33/O33-1)</f>
        <v>-0.10972753232910215</v>
      </c>
      <c r="Q107" s="87">
        <f t="shared" ref="Q107:Q108" si="175">IF(P33=0,"",Q33/P33-1)</f>
        <v>2.4905845004104421E-2</v>
      </c>
      <c r="R107" s="87">
        <f t="shared" ref="R107:R108" si="176">IF(Q33=0,"",R33/Q33-1)</f>
        <v>6.6969437345228089E-2</v>
      </c>
      <c r="S107" s="87">
        <f t="shared" ref="S107:S108" si="177">IF(R33=0,"",S33/R33-1)</f>
        <v>-0.18177296551724131</v>
      </c>
      <c r="T107" s="87">
        <f t="shared" ref="T107:T108" si="178">IF(S33=0,"",T33/S33-1)</f>
        <v>0.27588858700614605</v>
      </c>
      <c r="U107" s="87">
        <f t="shared" ref="U107:U108" si="179">IF(T33=0,"",U33/T33-1)</f>
        <v>0.18882316014563272</v>
      </c>
      <c r="V107" s="87">
        <f t="shared" ref="V107:V108" si="180">IF(U33=0,"",V33/U33-1)</f>
        <v>3.3140047438594555E-2</v>
      </c>
      <c r="W107" s="87">
        <f t="shared" ref="W107:W108" si="181">IF(V33=0,"",W33/V33-1)</f>
        <v>-8.1066865102280894E-2</v>
      </c>
      <c r="X107" s="87">
        <f t="shared" ref="X107:X108" si="182">IF(W33=0,"",X33/W33-1)</f>
        <v>-8.4803671910565592E-2</v>
      </c>
      <c r="Y107" s="87">
        <f t="shared" ref="Y107:Y108" si="183">IF(X33=0,"",Y33/X33-1)</f>
        <v>0.69810313960842407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-2.6168467087699154E-2</v>
      </c>
      <c r="F108" s="89">
        <f t="shared" si="164"/>
        <v>1.7985219711953659E-2</v>
      </c>
      <c r="G108" s="89">
        <f t="shared" si="165"/>
        <v>-0.1136830764037412</v>
      </c>
      <c r="H108" s="89">
        <f t="shared" si="166"/>
        <v>5.7278040172381584E-3</v>
      </c>
      <c r="I108" s="89">
        <f t="shared" si="167"/>
        <v>-4.9733389586314569E-2</v>
      </c>
      <c r="J108" s="89">
        <f t="shared" si="168"/>
        <v>6.3752076863708984E-2</v>
      </c>
      <c r="K108" s="89">
        <f t="shared" si="169"/>
        <v>-1.5490574776051758E-2</v>
      </c>
      <c r="L108" s="89">
        <f t="shared" si="170"/>
        <v>7.5779618312250108E-2</v>
      </c>
      <c r="M108" s="89">
        <f t="shared" si="171"/>
        <v>-0.25841715820340017</v>
      </c>
      <c r="N108" s="89">
        <f t="shared" si="172"/>
        <v>0.23501135723717792</v>
      </c>
      <c r="O108" s="89">
        <f t="shared" si="173"/>
        <v>0.11398046498535486</v>
      </c>
      <c r="P108" s="89">
        <f t="shared" si="174"/>
        <v>-0.16160616312586373</v>
      </c>
      <c r="Q108" s="89">
        <f t="shared" si="175"/>
        <v>5.1195589809876596E-2</v>
      </c>
      <c r="R108" s="89">
        <f t="shared" si="176"/>
        <v>5.8834907602145492E-2</v>
      </c>
      <c r="S108" s="89">
        <f t="shared" si="177"/>
        <v>-0.18689858438728613</v>
      </c>
      <c r="T108" s="89">
        <f t="shared" si="178"/>
        <v>0.27540593330259622</v>
      </c>
      <c r="U108" s="89">
        <f t="shared" si="179"/>
        <v>0.2394768169069903</v>
      </c>
      <c r="V108" s="89">
        <f t="shared" si="180"/>
        <v>-1.8275430520089397E-3</v>
      </c>
      <c r="W108" s="89">
        <f t="shared" si="181"/>
        <v>-0.14901585243555238</v>
      </c>
      <c r="X108" s="89">
        <f t="shared" si="182"/>
        <v>-8.9058992415169125E-2</v>
      </c>
      <c r="Y108" s="89">
        <f t="shared" si="183"/>
        <v>0.99386054032954307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-2.6168467087698821E-2</v>
      </c>
      <c r="F109" s="89">
        <f t="shared" ref="F109" si="185">IF(E37=0,"",F37/E37-1)</f>
        <v>1.7985219711953881E-2</v>
      </c>
      <c r="G109" s="89">
        <f t="shared" ref="G109" si="186">IF(F37=0,"",G37/F37-1)</f>
        <v>-0.11368307640374076</v>
      </c>
      <c r="H109" s="89">
        <f t="shared" ref="H109" si="187">IF(G37=0,"",H37/G37-1)</f>
        <v>5.7278040172379363E-3</v>
      </c>
      <c r="I109" s="89">
        <f t="shared" ref="I109" si="188">IF(H37=0,"",I37/H37-1)</f>
        <v>-4.973338958631468E-2</v>
      </c>
      <c r="J109" s="89">
        <f t="shared" ref="J109" si="189">IF(I37=0,"",J37/I37-1)</f>
        <v>6.3752076863708762E-2</v>
      </c>
      <c r="K109" s="89">
        <f t="shared" ref="K109" si="190">IF(J37=0,"",K37/J37-1)</f>
        <v>-1.5490574776051202E-2</v>
      </c>
      <c r="L109" s="89">
        <f t="shared" ref="L109" si="191">IF(K37=0,"",L37/K37-1)</f>
        <v>7.5779618312249886E-2</v>
      </c>
      <c r="M109" s="89">
        <f t="shared" ref="M109" si="192">IF(L37=0,"",M37/L37-1)</f>
        <v>0.35638334156386575</v>
      </c>
      <c r="N109" s="89">
        <f t="shared" ref="N109" si="193">IF(M37=0,"",N37/M37-1)</f>
        <v>-0.25462740675574647</v>
      </c>
      <c r="O109" s="89">
        <f t="shared" ref="O109" si="194">IF(N37=0,"",O37/N37-1)</f>
        <v>-5.5050055180924984E-2</v>
      </c>
      <c r="P109" s="89">
        <f t="shared" ref="P109" si="195">IF(O37=0,"",P37/O37-1)</f>
        <v>3.7238790574033453E-2</v>
      </c>
      <c r="Q109" s="89">
        <f t="shared" ref="Q109" si="196">IF(P37=0,"",Q37/P37-1)</f>
        <v>-3.5292564951638128E-2</v>
      </c>
      <c r="R109" s="89">
        <f t="shared" ref="R109" si="197">IF(Q37=0,"",R37/Q37-1)</f>
        <v>8.7265836990062295E-2</v>
      </c>
      <c r="S109" s="89">
        <f t="shared" ref="S109" si="198">IF(R37=0,"",S37/R37-1)</f>
        <v>-0.16931849202800331</v>
      </c>
      <c r="T109" s="89">
        <f t="shared" ref="T109" si="199">IF(S37=0,"",T37/S37-1)</f>
        <v>0.27703654204912254</v>
      </c>
      <c r="U109" s="89">
        <f t="shared" ref="U109" si="200">IF(T37=0,"",U37/T37-1)</f>
        <v>6.8501130608799921E-2</v>
      </c>
      <c r="V109" s="89">
        <f t="shared" ref="V109" si="201">IF(U37=0,"",V37/U37-1)</f>
        <v>0.1294926556310847</v>
      </c>
      <c r="W109" s="89">
        <f t="shared" ref="W109" si="202">IF(V37=0,"",W37/V37-1)</f>
        <v>8.4396909403058107E-2</v>
      </c>
      <c r="X109" s="89">
        <f t="shared" ref="X109" si="203">IF(W37=0,"",X37/W37-1)</f>
        <v>-7.6671895791196376E-2</v>
      </c>
      <c r="Y109" s="89">
        <f t="shared" ref="Y109" si="204">IF(X37=0,"",Y37/X37-1)</f>
        <v>0.14050289419461448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-1.3891212595618541E-2</v>
      </c>
      <c r="F110" s="89">
        <f t="shared" ref="F110:F111" si="206">IF(E43=0,"",F43/E43-1)</f>
        <v>-5.6504192168682632E-4</v>
      </c>
      <c r="G110" s="89">
        <f t="shared" ref="G110:G111" si="207">IF(F43=0,"",G43/F43-1)</f>
        <v>-4.1556252713172204E-2</v>
      </c>
      <c r="H110" s="89">
        <f t="shared" ref="H110:H111" si="208">IF(G43=0,"",H43/G43-1)</f>
        <v>3.0561707853287379E-2</v>
      </c>
      <c r="I110" s="89">
        <f t="shared" ref="I110:I111" si="209">IF(H43=0,"",I43/H43-1)</f>
        <v>-1.3753327207823074E-2</v>
      </c>
      <c r="J110" s="89">
        <f t="shared" ref="J110:J111" si="210">IF(I43=0,"",J43/I43-1)</f>
        <v>-5.3844081077680572E-2</v>
      </c>
      <c r="K110" s="89">
        <f t="shared" ref="K110:K111" si="211">IF(J43=0,"",K43/J43-1)</f>
        <v>0.10998126811165609</v>
      </c>
      <c r="L110" s="89">
        <f t="shared" ref="L110:L111" si="212">IF(K43=0,"",L43/K43-1)</f>
        <v>-0.10220758291550625</v>
      </c>
      <c r="M110" s="89">
        <f t="shared" ref="M110:M111" si="213">IF(L43=0,"",M43/L43-1)</f>
        <v>-4.6988704251025526E-2</v>
      </c>
      <c r="N110" s="89">
        <f t="shared" ref="N110:N111" si="214">IF(M43=0,"",N43/M43-1)</f>
        <v>7.3003595535649612E-2</v>
      </c>
      <c r="O110" s="89">
        <f t="shared" ref="O110:O111" si="215">IF(N43=0,"",O43/N43-1)</f>
        <v>2.2014099852984303E-2</v>
      </c>
      <c r="P110" s="89">
        <f t="shared" ref="P110:P111" si="216">IF(O43=0,"",P43/O43-1)</f>
        <v>-8.6571565717362575E-2</v>
      </c>
      <c r="Q110" s="89">
        <f t="shared" ref="Q110:Q111" si="217">IF(P43=0,"",Q43/P43-1)</f>
        <v>4.2205191828367017E-2</v>
      </c>
      <c r="R110" s="89">
        <f t="shared" ref="R110:R111" si="218">IF(Q43=0,"",R43/Q43-1)</f>
        <v>-3.6745375086480569E-2</v>
      </c>
      <c r="S110" s="89">
        <f t="shared" ref="S110:S111" si="219">IF(R43=0,"",S43/R43-1)</f>
        <v>0.17129186706948629</v>
      </c>
      <c r="T110" s="89">
        <f t="shared" ref="T110:T111" si="220">IF(S43=0,"",T43/S43-1)</f>
        <v>4.5803173661712826E-2</v>
      </c>
      <c r="U110" s="89">
        <f t="shared" ref="U110:U111" si="221">IF(T43=0,"",U43/T43-1)</f>
        <v>2.5111372858858561E-2</v>
      </c>
      <c r="V110" s="89">
        <f t="shared" ref="V110:V111" si="222">IF(U43=0,"",V43/U43-1)</f>
        <v>-8.3827010429743276E-2</v>
      </c>
      <c r="W110" s="89">
        <f t="shared" ref="W110:W111" si="223">IF(V43=0,"",W43/V43-1)</f>
        <v>1.9739566604891623E-2</v>
      </c>
      <c r="X110" s="89">
        <f t="shared" ref="X110:X111" si="224">IF(W43=0,"",X43/W43-1)</f>
        <v>9.7798889143671408E-2</v>
      </c>
      <c r="Y110" s="89">
        <f t="shared" ref="Y110:Y111" si="225">IF(X43=0,"",Y43/X43-1)</f>
        <v>0.12932295064184607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-2.7712351838138582E-2</v>
      </c>
      <c r="F111" s="89">
        <f t="shared" si="206"/>
        <v>-2.3338547922788555E-2</v>
      </c>
      <c r="G111" s="89">
        <f t="shared" si="207"/>
        <v>-1.6159343335873544E-2</v>
      </c>
      <c r="H111" s="89">
        <f t="shared" si="208"/>
        <v>4.725620144998488E-2</v>
      </c>
      <c r="I111" s="89">
        <f t="shared" si="209"/>
        <v>-2.6773927858198654E-2</v>
      </c>
      <c r="J111" s="89">
        <f t="shared" si="210"/>
        <v>-4.0727894959428412E-2</v>
      </c>
      <c r="K111" s="89">
        <f t="shared" si="211"/>
        <v>8.7146904123722946E-2</v>
      </c>
      <c r="L111" s="89">
        <f t="shared" si="212"/>
        <v>-0.14806447028240122</v>
      </c>
      <c r="M111" s="89">
        <f t="shared" si="213"/>
        <v>-9.866649774681524E-2</v>
      </c>
      <c r="N111" s="89">
        <f t="shared" si="214"/>
        <v>0.18180762683287321</v>
      </c>
      <c r="O111" s="89">
        <f t="shared" si="215"/>
        <v>2.5190542685393336E-2</v>
      </c>
      <c r="P111" s="89">
        <f t="shared" si="216"/>
        <v>-0.16450872659715809</v>
      </c>
      <c r="Q111" s="89">
        <f t="shared" si="217"/>
        <v>3.0769874100534E-2</v>
      </c>
      <c r="R111" s="89">
        <f t="shared" si="218"/>
        <v>-1.1764323530631282E-2</v>
      </c>
      <c r="S111" s="89">
        <f t="shared" si="219"/>
        <v>0.22314441226575821</v>
      </c>
      <c r="T111" s="89">
        <f t="shared" si="220"/>
        <v>6.4559498272270144E-2</v>
      </c>
      <c r="U111" s="89">
        <f t="shared" si="221"/>
        <v>-2.6235227957992935E-2</v>
      </c>
      <c r="V111" s="89">
        <f t="shared" si="222"/>
        <v>-0.13914872219181429</v>
      </c>
      <c r="W111" s="89">
        <f t="shared" si="223"/>
        <v>2.8547808853880641E-2</v>
      </c>
      <c r="X111" s="89">
        <f t="shared" si="224"/>
        <v>4.357181524627296E-2</v>
      </c>
      <c r="Y111" s="89">
        <f t="shared" si="225"/>
        <v>0.22613819838725058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1.4280923778400734E-2</v>
      </c>
      <c r="F112" s="89">
        <f t="shared" ref="F112:F113" si="227">IF(E47=0,"",F47/E47-1)</f>
        <v>4.3933148124835064E-2</v>
      </c>
      <c r="G112" s="89">
        <f t="shared" ref="G112:G113" si="228">IF(F47=0,"",G47/F47-1)</f>
        <v>-8.7982617437279753E-2</v>
      </c>
      <c r="H112" s="89">
        <f t="shared" ref="H112:H113" si="229">IF(G47=0,"",H47/G47-1)</f>
        <v>-2.3597235062623456E-3</v>
      </c>
      <c r="I112" s="89">
        <f t="shared" ref="I112:I113" si="230">IF(H47=0,"",I47/H47-1)</f>
        <v>1.3200190004269974E-2</v>
      </c>
      <c r="J112" s="89">
        <f t="shared" ref="J112:J113" si="231">IF(I47=0,"",J47/I47-1)</f>
        <v>-7.9924254145716467E-2</v>
      </c>
      <c r="K112" s="89">
        <f t="shared" ref="K112:K113" si="232">IF(J47=0,"",K47/J47-1)</f>
        <v>0.15731928401680983</v>
      </c>
      <c r="L112" s="89">
        <f t="shared" ref="L112:L113" si="233">IF(K47=0,"",L47/K47-1)</f>
        <v>-1.2905672827128178E-2</v>
      </c>
      <c r="M112" s="89">
        <f t="shared" ref="M112:M113" si="234">IF(L47=0,"",M47/L47-1)</f>
        <v>3.9868973205996916E-2</v>
      </c>
      <c r="N112" s="89">
        <f t="shared" ref="N112:N113" si="235">IF(M47=0,"",N47/M47-1)</f>
        <v>-8.550620903368189E-2</v>
      </c>
      <c r="O112" s="89">
        <f t="shared" ref="O112:O113" si="236">IF(N47=0,"",O47/N47-1)</f>
        <v>1.6033865345414844E-2</v>
      </c>
      <c r="P112" s="89">
        <f t="shared" ref="P112:P113" si="237">IF(O47=0,"",P47/O47-1)</f>
        <v>6.1481757400848824E-2</v>
      </c>
      <c r="Q112" s="89">
        <f t="shared" ref="Q112:Q113" si="238">IF(P47=0,"",Q47/P47-1)</f>
        <v>5.9303423523401122E-2</v>
      </c>
      <c r="R112" s="89">
        <f t="shared" ref="R112:R113" si="239">IF(Q47=0,"",R47/Q47-1)</f>
        <v>-7.3091240899723187E-2</v>
      </c>
      <c r="S112" s="89">
        <f t="shared" ref="S112:S113" si="240">IF(R47=0,"",S47/R47-1)</f>
        <v>9.0858189826029445E-2</v>
      </c>
      <c r="T112" s="89">
        <f t="shared" ref="T112:T113" si="241">IF(S47=0,"",T47/S47-1)</f>
        <v>1.3180088872922768E-2</v>
      </c>
      <c r="U112" s="89">
        <f t="shared" ref="U112:U113" si="242">IF(T47=0,"",U47/T47-1)</f>
        <v>0.11894797546448244</v>
      </c>
      <c r="V112" s="89">
        <f t="shared" ref="V112:V113" si="243">IF(U47=0,"",V47/U47-1)</f>
        <v>4.1563106273370121E-3</v>
      </c>
      <c r="W112" s="89">
        <f t="shared" ref="W112:W113" si="244">IF(V47=0,"",W47/V47-1)</f>
        <v>7.7301807607836892E-3</v>
      </c>
      <c r="X112" s="89">
        <f t="shared" ref="X112:X113" si="245">IF(W47=0,"",X47/W47-1)</f>
        <v>0.17326082396964226</v>
      </c>
      <c r="Y112" s="89">
        <f t="shared" ref="Y112:Y113" si="246">IF(X47=0,"",Y47/X47-1)</f>
        <v>9.4880559526751007E-3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-1.1790069463385566E-2</v>
      </c>
      <c r="F113" s="89">
        <f t="shared" si="227"/>
        <v>-2.4419269714636371E-2</v>
      </c>
      <c r="G113" s="89">
        <f t="shared" si="228"/>
        <v>-8.050876940039764E-2</v>
      </c>
      <c r="H113" s="89">
        <f t="shared" si="229"/>
        <v>-1.1660066549559756E-2</v>
      </c>
      <c r="I113" s="89">
        <f t="shared" si="230"/>
        <v>-3.8511514970367644E-2</v>
      </c>
      <c r="J113" s="89">
        <f t="shared" si="231"/>
        <v>-1.709906323500221E-2</v>
      </c>
      <c r="K113" s="89">
        <f t="shared" si="232"/>
        <v>2.6431683083576463E-2</v>
      </c>
      <c r="L113" s="89">
        <f t="shared" si="233"/>
        <v>-3.8516233332279604E-2</v>
      </c>
      <c r="M113" s="89">
        <f t="shared" si="234"/>
        <v>-6.2649468996601509E-2</v>
      </c>
      <c r="N113" s="89">
        <f t="shared" si="235"/>
        <v>1.9370531675434455E-2</v>
      </c>
      <c r="O113" s="89">
        <f t="shared" si="236"/>
        <v>-8.7740227989581698E-2</v>
      </c>
      <c r="P113" s="89">
        <f t="shared" si="237"/>
        <v>-9.0314585272044057E-2</v>
      </c>
      <c r="Q113" s="89">
        <f t="shared" si="238"/>
        <v>-5.9598958961788129E-2</v>
      </c>
      <c r="R113" s="89">
        <f t="shared" si="239"/>
        <v>-1.5175506842110553E-2</v>
      </c>
      <c r="S113" s="89">
        <f t="shared" si="240"/>
        <v>1.45942955495455E-2</v>
      </c>
      <c r="T113" s="89">
        <f t="shared" si="241"/>
        <v>3.3806302309582925E-2</v>
      </c>
      <c r="U113" s="89">
        <f t="shared" si="242"/>
        <v>7.4830477480716029E-2</v>
      </c>
      <c r="V113" s="89">
        <f t="shared" si="243"/>
        <v>4.193592009750402E-2</v>
      </c>
      <c r="W113" s="89">
        <f t="shared" si="244"/>
        <v>5.5847857771926135E-2</v>
      </c>
      <c r="X113" s="89">
        <f t="shared" si="245"/>
        <v>9.4184115331406026E-3</v>
      </c>
      <c r="Y113" s="89">
        <f t="shared" si="246"/>
        <v>6.9902482802905341E-2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-6.9269110871421069E-2</v>
      </c>
      <c r="F114" s="89">
        <f t="shared" ref="F114:F115" si="248">IF(E52=0,"",F52/E52-1)</f>
        <v>-5.6752815769218423E-2</v>
      </c>
      <c r="G114" s="89">
        <f t="shared" ref="G114:G115" si="249">IF(F52=0,"",G52/F52-1)</f>
        <v>-7.7745107154990278E-2</v>
      </c>
      <c r="H114" s="89">
        <f t="shared" ref="H114:H115" si="250">IF(G52=0,"",H52/G52-1)</f>
        <v>-5.6409378879189176E-2</v>
      </c>
      <c r="I114" s="89">
        <f t="shared" ref="I114:I115" si="251">IF(H52=0,"",I52/H52-1)</f>
        <v>2.7925639700136173E-2</v>
      </c>
      <c r="J114" s="89">
        <f t="shared" ref="J114:J115" si="252">IF(I52=0,"",J52/I52-1)</f>
        <v>5.2382751263857497E-2</v>
      </c>
      <c r="K114" s="89">
        <f t="shared" ref="K114:K115" si="253">IF(J52=0,"",K52/J52-1)</f>
        <v>1.0827606827044312E-2</v>
      </c>
      <c r="L114" s="89">
        <f t="shared" ref="L114:L115" si="254">IF(K52=0,"",L52/K52-1)</f>
        <v>-0.11617812119418169</v>
      </c>
      <c r="M114" s="89">
        <f t="shared" ref="M114:M115" si="255">IF(L52=0,"",M52/L52-1)</f>
        <v>-0.14142032210169642</v>
      </c>
      <c r="N114" s="89">
        <f t="shared" ref="N114:N115" si="256">IF(M52=0,"",N52/M52-1)</f>
        <v>0.17592808502609225</v>
      </c>
      <c r="O114" s="89">
        <f t="shared" ref="O114:O115" si="257">IF(N52=0,"",O52/N52-1)</f>
        <v>-8.9038012551516665E-2</v>
      </c>
      <c r="P114" s="89">
        <f t="shared" ref="P114:P115" si="258">IF(O52=0,"",P52/O52-1)</f>
        <v>-8.4588892599315346E-2</v>
      </c>
      <c r="Q114" s="89">
        <f t="shared" ref="Q114:Q115" si="259">IF(P52=0,"",Q52/P52-1)</f>
        <v>-2.7304293475291175E-2</v>
      </c>
      <c r="R114" s="89">
        <f t="shared" ref="R114:R115" si="260">IF(Q52=0,"",R52/Q52-1)</f>
        <v>-5.2220086951090261E-2</v>
      </c>
      <c r="S114" s="89">
        <f t="shared" ref="S114:S115" si="261">IF(R52=0,"",S52/R52-1)</f>
        <v>0.10910728299948658</v>
      </c>
      <c r="T114" s="89">
        <f t="shared" ref="T114:T115" si="262">IF(S52=0,"",T52/S52-1)</f>
        <v>-4.5273018212238392E-2</v>
      </c>
      <c r="U114" s="89">
        <f t="shared" ref="U114:U115" si="263">IF(T52=0,"",U52/T52-1)</f>
        <v>1.7235727914556742E-2</v>
      </c>
      <c r="V114" s="89">
        <f t="shared" ref="V114:V115" si="264">IF(U52=0,"",V52/U52-1)</f>
        <v>0.14987350143709932</v>
      </c>
      <c r="W114" s="89">
        <f t="shared" ref="W114:W115" si="265">IF(V52=0,"",W52/V52-1)</f>
        <v>-5.6391487802359364E-2</v>
      </c>
      <c r="X114" s="89">
        <f t="shared" ref="X114:X115" si="266">IF(W52=0,"",X52/W52-1)</f>
        <v>-0.17441522580221513</v>
      </c>
      <c r="Y114" s="89">
        <f t="shared" ref="Y114:Y115" si="267">IF(X52=0,"",Y52/X52-1)</f>
        <v>0.1681546867639232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-7.4183705189676652E-2</v>
      </c>
      <c r="F115" s="89">
        <f t="shared" si="248"/>
        <v>-5.4658941315751997E-2</v>
      </c>
      <c r="G115" s="89">
        <f t="shared" si="249"/>
        <v>-8.6988146481309481E-2</v>
      </c>
      <c r="H115" s="89">
        <f t="shared" si="250"/>
        <v>-6.3545364745010824E-2</v>
      </c>
      <c r="I115" s="89">
        <f t="shared" si="251"/>
        <v>3.7022234560448064E-2</v>
      </c>
      <c r="J115" s="89">
        <f t="shared" si="252"/>
        <v>6.037341301375343E-2</v>
      </c>
      <c r="K115" s="89">
        <f t="shared" si="253"/>
        <v>8.7129073588205763E-3</v>
      </c>
      <c r="L115" s="89">
        <f t="shared" si="254"/>
        <v>-0.128703182942973</v>
      </c>
      <c r="M115" s="89">
        <f t="shared" si="255"/>
        <v>-0.13437627954726283</v>
      </c>
      <c r="N115" s="89">
        <f t="shared" si="256"/>
        <v>0.18774569728135737</v>
      </c>
      <c r="O115" s="89">
        <f t="shared" si="257"/>
        <v>-8.1227536717689119E-2</v>
      </c>
      <c r="P115" s="89">
        <f t="shared" si="258"/>
        <v>-7.7388016594024056E-2</v>
      </c>
      <c r="Q115" s="89">
        <f t="shared" si="259"/>
        <v>-1.1658611678206032E-2</v>
      </c>
      <c r="R115" s="89">
        <f t="shared" si="260"/>
        <v>-8.9536000510405667E-2</v>
      </c>
      <c r="S115" s="89">
        <f t="shared" si="261"/>
        <v>0.16937248204309663</v>
      </c>
      <c r="T115" s="89">
        <f t="shared" si="262"/>
        <v>-4.3006071604548723E-2</v>
      </c>
      <c r="U115" s="89">
        <f t="shared" si="263"/>
        <v>-5.4651739849544967E-3</v>
      </c>
      <c r="V115" s="89">
        <f t="shared" si="264"/>
        <v>0.24562012202151084</v>
      </c>
      <c r="W115" s="89">
        <f t="shared" si="265"/>
        <v>-6.8568529697983438E-2</v>
      </c>
      <c r="X115" s="89">
        <f t="shared" si="266"/>
        <v>-0.1809071199038671</v>
      </c>
      <c r="Y115" s="89">
        <f t="shared" si="267"/>
        <v>0.22859178425554294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-6.0130646127275589E-2</v>
      </c>
      <c r="F116" s="89">
        <f t="shared" ref="F116:F122" si="269">IF(E56=0,"",F56/E56-1)</f>
        <v>-6.0588064511245765E-2</v>
      </c>
      <c r="G116" s="89">
        <f t="shared" ref="G116:G122" si="270">IF(F56=0,"",G56/F56-1)</f>
        <v>-6.0708223960780572E-2</v>
      </c>
      <c r="H116" s="89">
        <f t="shared" ref="H116:H122" si="271">IF(G56=0,"",H56/G56-1)</f>
        <v>-4.3624246702084202E-2</v>
      </c>
      <c r="I116" s="89">
        <f t="shared" ref="I116:I122" si="272">IF(H56=0,"",I56/H56-1)</f>
        <v>1.1967278873622034E-2</v>
      </c>
      <c r="J116" s="89">
        <f t="shared" ref="J116:J122" si="273">IF(I56=0,"",J56/I56-1)</f>
        <v>3.8017481938542153E-2</v>
      </c>
      <c r="K116" s="89">
        <f t="shared" ref="K116:K122" si="274">IF(J56=0,"",K56/J56-1)</f>
        <v>1.471120102811474E-2</v>
      </c>
      <c r="L116" s="89">
        <f t="shared" ref="L116:L122" si="275">IF(K56=0,"",L56/K56-1)</f>
        <v>-9.3312121828906802E-2</v>
      </c>
      <c r="M116" s="89">
        <f t="shared" ref="M116:M122" si="276">IF(L56=0,"",M56/L56-1)</f>
        <v>-0.1537781061143122</v>
      </c>
      <c r="N116" s="89">
        <f t="shared" ref="N116:N122" si="277">IF(M56=0,"",N56/M56-1)</f>
        <v>0.15472040036778134</v>
      </c>
      <c r="O116" s="89">
        <f t="shared" ref="O116:O122" si="278">IF(N56=0,"",O56/N56-1)</f>
        <v>-0.10345543556684977</v>
      </c>
      <c r="P116" s="89">
        <f t="shared" ref="P116:P122" si="279">IF(O56=0,"",P56/O56-1)</f>
        <v>-9.8210600692587358E-2</v>
      </c>
      <c r="Q116" s="89">
        <f t="shared" ref="Q116:Q122" si="280">IF(P56=0,"",Q56/P56-1)</f>
        <v>-5.7584211514354111E-2</v>
      </c>
      <c r="R116" s="89">
        <f t="shared" ref="R116:R122" si="281">IF(Q56=0,"",R56/Q56-1)</f>
        <v>2.3518763561141798E-2</v>
      </c>
      <c r="S116" s="89">
        <f t="shared" ref="S116:S122" si="282">IF(R56=0,"",S56/R56-1)</f>
        <v>2.9994236311270406E-4</v>
      </c>
      <c r="T116" s="89">
        <f t="shared" ref="T116:T122" si="283">IF(S56=0,"",T56/S56-1)</f>
        <v>-5.0057727083364978E-2</v>
      </c>
      <c r="U116" s="89">
        <f t="shared" ref="U116:U122" si="284">IF(T56=0,"",U56/T56-1)</f>
        <v>6.5504839595264652E-2</v>
      </c>
      <c r="V116" s="89">
        <f t="shared" ref="V116:V122" si="285">IF(U56=0,"",V56/U56-1)</f>
        <v>-4.0153019704748938E-2</v>
      </c>
      <c r="W116" s="89">
        <f t="shared" ref="W116:W122" si="286">IF(V56=0,"",W56/V56-1)</f>
        <v>-2.5028590496072423E-2</v>
      </c>
      <c r="X116" s="89">
        <f t="shared" ref="X116:X122" si="287">IF(W56=0,"",X56/W56-1)</f>
        <v>-0.15844155133631754</v>
      </c>
      <c r="Y116" s="89">
        <f t="shared" ref="Y116:Y122" si="288">IF(X56=0,"",Y56/X56-1)</f>
        <v>2.3415586617326456E-2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6.0824484803867707E-2</v>
      </c>
      <c r="F117" s="89">
        <f t="shared" si="269"/>
        <v>3.4820529707338732E-2</v>
      </c>
      <c r="G117" s="89">
        <f t="shared" si="270"/>
        <v>-2.9000973052106804E-4</v>
      </c>
      <c r="H117" s="89">
        <f t="shared" si="271"/>
        <v>2.3041171647872893E-3</v>
      </c>
      <c r="I117" s="89">
        <f t="shared" si="272"/>
        <v>1.226692954053421E-3</v>
      </c>
      <c r="J117" s="89">
        <f t="shared" si="273"/>
        <v>-9.3767496769214809E-3</v>
      </c>
      <c r="K117" s="89">
        <f t="shared" si="274"/>
        <v>-3.5090746711472498E-2</v>
      </c>
      <c r="L117" s="89">
        <f t="shared" si="275"/>
        <v>2.2678639069455775E-2</v>
      </c>
      <c r="M117" s="89">
        <f t="shared" si="276"/>
        <v>3.1561168903759373E-2</v>
      </c>
      <c r="N117" s="89">
        <f t="shared" si="277"/>
        <v>7.1099916302752586E-3</v>
      </c>
      <c r="O117" s="89">
        <f t="shared" si="278"/>
        <v>-2.7960514277619808E-2</v>
      </c>
      <c r="P117" s="89">
        <f t="shared" si="279"/>
        <v>-6.0527467179682937E-3</v>
      </c>
      <c r="Q117" s="89">
        <f t="shared" si="280"/>
        <v>2.1792597108881928E-2</v>
      </c>
      <c r="R117" s="89">
        <f t="shared" si="281"/>
        <v>6.0619009029619475E-2</v>
      </c>
      <c r="S117" s="89">
        <f t="shared" si="282"/>
        <v>9.4612773459412658E-3</v>
      </c>
      <c r="T117" s="89">
        <f t="shared" si="283"/>
        <v>4.0402412599196635E-2</v>
      </c>
      <c r="U117" s="89">
        <f t="shared" si="284"/>
        <v>-3.4792490162571799E-4</v>
      </c>
      <c r="V117" s="89">
        <f t="shared" si="285"/>
        <v>1.1253202892362646E-2</v>
      </c>
      <c r="W117" s="89">
        <f t="shared" si="286"/>
        <v>-7.3716999983473031E-3</v>
      </c>
      <c r="X117" s="89">
        <f t="shared" si="287"/>
        <v>-5.3161567272723143E-2</v>
      </c>
      <c r="Y117" s="89">
        <f t="shared" si="288"/>
        <v>4.4597597623163843E-3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3.2305846157314466E-2</v>
      </c>
      <c r="F118" s="89">
        <f t="shared" si="269"/>
        <v>-6.2570642336181148E-2</v>
      </c>
      <c r="G118" s="89">
        <f t="shared" si="270"/>
        <v>-0.11663628436855422</v>
      </c>
      <c r="H118" s="89">
        <f t="shared" si="271"/>
        <v>-3.4612955670891177E-2</v>
      </c>
      <c r="I118" s="89">
        <f t="shared" si="272"/>
        <v>-6.9202459415194872E-2</v>
      </c>
      <c r="J118" s="89">
        <f t="shared" si="273"/>
        <v>-1.8249741747023096E-2</v>
      </c>
      <c r="K118" s="89">
        <f t="shared" si="274"/>
        <v>1.9275804189235135E-2</v>
      </c>
      <c r="L118" s="89">
        <f t="shared" si="275"/>
        <v>-0.1039772186456559</v>
      </c>
      <c r="M118" s="89">
        <f t="shared" si="276"/>
        <v>-0.17302224468468674</v>
      </c>
      <c r="N118" s="89">
        <f t="shared" si="277"/>
        <v>0.20341257432579463</v>
      </c>
      <c r="O118" s="89">
        <f t="shared" si="278"/>
        <v>4.3256502902324412E-2</v>
      </c>
      <c r="P118" s="89">
        <f t="shared" si="279"/>
        <v>-3.4126025542839944E-2</v>
      </c>
      <c r="Q118" s="89">
        <f t="shared" si="280"/>
        <v>3.6559956683344108E-3</v>
      </c>
      <c r="R118" s="89">
        <f t="shared" si="281"/>
        <v>3.2552408428357493E-2</v>
      </c>
      <c r="S118" s="89">
        <f t="shared" si="282"/>
        <v>3.1727998268773039E-2</v>
      </c>
      <c r="T118" s="89">
        <f t="shared" si="283"/>
        <v>1.8230887455644718E-2</v>
      </c>
      <c r="U118" s="89">
        <f t="shared" si="284"/>
        <v>0.10380940649125447</v>
      </c>
      <c r="V118" s="89">
        <f t="shared" si="285"/>
        <v>0.15157200742299937</v>
      </c>
      <c r="W118" s="89">
        <f t="shared" si="286"/>
        <v>2.5866140449494646E-2</v>
      </c>
      <c r="X118" s="89">
        <f t="shared" si="287"/>
        <v>-0.12238262652267062</v>
      </c>
      <c r="Y118" s="89">
        <f t="shared" si="288"/>
        <v>8.6793270076620965E-2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-1.1657143711923057E-2</v>
      </c>
      <c r="F119" s="89">
        <f t="shared" si="269"/>
        <v>-4.8707299039160712E-2</v>
      </c>
      <c r="G119" s="89">
        <f t="shared" si="270"/>
        <v>-5.903277634219839E-2</v>
      </c>
      <c r="H119" s="89">
        <f t="shared" si="271"/>
        <v>1.3236410505032881E-2</v>
      </c>
      <c r="I119" s="89">
        <f t="shared" si="272"/>
        <v>-1.3851248188923582E-2</v>
      </c>
      <c r="J119" s="89">
        <f t="shared" si="273"/>
        <v>3.1329263726232348E-2</v>
      </c>
      <c r="K119" s="89">
        <f t="shared" si="274"/>
        <v>5.6190215573346469E-2</v>
      </c>
      <c r="L119" s="89">
        <f t="shared" si="275"/>
        <v>3.5776838723560189E-3</v>
      </c>
      <c r="M119" s="89">
        <f t="shared" si="276"/>
        <v>-0.18359357620717487</v>
      </c>
      <c r="N119" s="89">
        <f t="shared" si="277"/>
        <v>7.4274573502857155E-2</v>
      </c>
      <c r="O119" s="89">
        <f t="shared" si="278"/>
        <v>-7.8084870483777991E-2</v>
      </c>
      <c r="P119" s="89">
        <f t="shared" si="279"/>
        <v>-1.2461244292685913E-2</v>
      </c>
      <c r="Q119" s="89">
        <f t="shared" si="280"/>
        <v>2.450604118295896E-3</v>
      </c>
      <c r="R119" s="89">
        <f t="shared" si="281"/>
        <v>5.2022070569688994E-2</v>
      </c>
      <c r="S119" s="89">
        <f t="shared" si="282"/>
        <v>-7.5095119314436687E-3</v>
      </c>
      <c r="T119" s="89">
        <f t="shared" si="283"/>
        <v>5.2071959327456785E-2</v>
      </c>
      <c r="U119" s="89">
        <f t="shared" si="284"/>
        <v>5.8052458010493968E-2</v>
      </c>
      <c r="V119" s="89">
        <f t="shared" si="285"/>
        <v>3.2925506637451418E-2</v>
      </c>
      <c r="W119" s="89">
        <f t="shared" si="286"/>
        <v>4.6434370048817897E-3</v>
      </c>
      <c r="X119" s="89">
        <f t="shared" si="287"/>
        <v>-6.6220890232457141E-2</v>
      </c>
      <c r="Y119" s="89">
        <f t="shared" si="288"/>
        <v>8.0582952382931117E-2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-1.8685265664605821E-2</v>
      </c>
      <c r="F120" s="89">
        <f t="shared" si="269"/>
        <v>-1.037971889314715E-2</v>
      </c>
      <c r="G120" s="89">
        <f t="shared" si="270"/>
        <v>-6.1705865892574541E-2</v>
      </c>
      <c r="H120" s="89">
        <f t="shared" si="271"/>
        <v>-6.9605272808173635E-2</v>
      </c>
      <c r="I120" s="89">
        <f t="shared" si="272"/>
        <v>-9.8212329126646569E-2</v>
      </c>
      <c r="J120" s="89">
        <f t="shared" si="273"/>
        <v>-1.8052391480730012E-2</v>
      </c>
      <c r="K120" s="89">
        <f t="shared" si="274"/>
        <v>9.6952995181347479E-3</v>
      </c>
      <c r="L120" s="89">
        <f t="shared" si="275"/>
        <v>-4.5503486224731549E-2</v>
      </c>
      <c r="M120" s="89">
        <f t="shared" si="276"/>
        <v>-7.0078136135609426E-2</v>
      </c>
      <c r="N120" s="89">
        <f t="shared" si="277"/>
        <v>1.3910347140658086E-2</v>
      </c>
      <c r="O120" s="89">
        <f t="shared" si="278"/>
        <v>2.0915924138846798E-2</v>
      </c>
      <c r="P120" s="89">
        <f t="shared" si="279"/>
        <v>9.8593353086333657E-3</v>
      </c>
      <c r="Q120" s="89">
        <f t="shared" si="280"/>
        <v>3.1365576458058708E-2</v>
      </c>
      <c r="R120" s="89">
        <f t="shared" si="281"/>
        <v>5.0517680601647408E-2</v>
      </c>
      <c r="S120" s="89">
        <f t="shared" si="282"/>
        <v>2.6068046001434197E-2</v>
      </c>
      <c r="T120" s="89">
        <f t="shared" si="283"/>
        <v>2.3902609857411772E-2</v>
      </c>
      <c r="U120" s="89">
        <f t="shared" si="284"/>
        <v>5.0220864818293354E-3</v>
      </c>
      <c r="V120" s="89">
        <f t="shared" si="285"/>
        <v>5.2884881797354844E-4</v>
      </c>
      <c r="W120" s="89">
        <f t="shared" si="286"/>
        <v>-4.8459737148808135E-2</v>
      </c>
      <c r="X120" s="89">
        <f t="shared" si="287"/>
        <v>-7.4745817817248539E-2</v>
      </c>
      <c r="Y120" s="89">
        <f t="shared" si="288"/>
        <v>6.8748837202796675E-2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-6.7988624103659578E-2</v>
      </c>
      <c r="F121" s="89">
        <f t="shared" si="269"/>
        <v>-5.7247347262881054E-2</v>
      </c>
      <c r="G121" s="89">
        <f t="shared" si="270"/>
        <v>-7.5423100403432031E-2</v>
      </c>
      <c r="H121" s="89">
        <f t="shared" si="271"/>
        <v>-5.4613513033704097E-2</v>
      </c>
      <c r="I121" s="89">
        <f t="shared" si="272"/>
        <v>2.5759447836751992E-2</v>
      </c>
      <c r="J121" s="89">
        <f t="shared" si="273"/>
        <v>5.0307203346689588E-2</v>
      </c>
      <c r="K121" s="89">
        <f t="shared" si="274"/>
        <v>1.1293834176981488E-2</v>
      </c>
      <c r="L121" s="89">
        <f t="shared" si="275"/>
        <v>-0.11302285517326316</v>
      </c>
      <c r="M121" s="89">
        <f t="shared" si="276"/>
        <v>-0.1431906429924984</v>
      </c>
      <c r="N121" s="89">
        <f t="shared" si="277"/>
        <v>0.16592296178782706</v>
      </c>
      <c r="O121" s="89">
        <f t="shared" si="278"/>
        <v>-1.7401941532593779E-2</v>
      </c>
      <c r="P121" s="89">
        <f t="shared" si="279"/>
        <v>-3.1870296449477808E-2</v>
      </c>
      <c r="Q121" s="89">
        <f t="shared" si="280"/>
        <v>-1.1903576652565473E-2</v>
      </c>
      <c r="R121" s="89">
        <f t="shared" si="281"/>
        <v>2.2914463587341949E-2</v>
      </c>
      <c r="S121" s="89">
        <f t="shared" si="282"/>
        <v>2.8843312017640788E-2</v>
      </c>
      <c r="T121" s="89">
        <f t="shared" si="283"/>
        <v>4.4524715112381763E-4</v>
      </c>
      <c r="U121" s="89">
        <f t="shared" si="284"/>
        <v>1.4473902695522289E-2</v>
      </c>
      <c r="V121" s="89">
        <f t="shared" si="285"/>
        <v>3.2345340631974029E-2</v>
      </c>
      <c r="W121" s="89">
        <f t="shared" si="286"/>
        <v>2.4357388917184419E-2</v>
      </c>
      <c r="X121" s="89">
        <f t="shared" si="287"/>
        <v>-1.7710389487106459E-2</v>
      </c>
      <c r="Y121" s="89">
        <f t="shared" si="288"/>
        <v>4.7497042706388326E-2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1.7621153356060182E-2</v>
      </c>
      <c r="F122" s="91">
        <f t="shared" si="269"/>
        <v>-1.4462342027475539E-2</v>
      </c>
      <c r="G122" s="91">
        <f t="shared" si="270"/>
        <v>-6.4634730169191412E-2</v>
      </c>
      <c r="H122" s="91">
        <f t="shared" si="271"/>
        <v>-1.8926182063198516E-2</v>
      </c>
      <c r="I122" s="91">
        <f t="shared" si="272"/>
        <v>-5.9837185105388602E-2</v>
      </c>
      <c r="J122" s="91">
        <f t="shared" si="273"/>
        <v>-2.5388230800928113E-2</v>
      </c>
      <c r="K122" s="91">
        <f t="shared" si="274"/>
        <v>2.6779483325573672E-2</v>
      </c>
      <c r="L122" s="91">
        <f t="shared" si="275"/>
        <v>-1.595036001662109E-3</v>
      </c>
      <c r="M122" s="91">
        <f t="shared" si="276"/>
        <v>-1.784174841312669E-2</v>
      </c>
      <c r="N122" s="91">
        <f t="shared" si="277"/>
        <v>-9.6291451669892059E-3</v>
      </c>
      <c r="O122" s="91">
        <f t="shared" si="278"/>
        <v>2.6181827606894581E-2</v>
      </c>
      <c r="P122" s="91">
        <f t="shared" si="279"/>
        <v>-3.8035655364498933E-4</v>
      </c>
      <c r="Q122" s="91">
        <f t="shared" si="280"/>
        <v>1.1018776388302953E-2</v>
      </c>
      <c r="R122" s="91">
        <f t="shared" si="281"/>
        <v>4.0097983788358826E-2</v>
      </c>
      <c r="S122" s="91">
        <f t="shared" si="282"/>
        <v>6.3079976447497854E-2</v>
      </c>
      <c r="T122" s="91">
        <f t="shared" si="283"/>
        <v>9.100213642657895E-3</v>
      </c>
      <c r="U122" s="91">
        <f t="shared" si="284"/>
        <v>3.9336049777893844E-2</v>
      </c>
      <c r="V122" s="91">
        <f t="shared" si="285"/>
        <v>3.5743052433809375E-2</v>
      </c>
      <c r="W122" s="91">
        <f t="shared" si="286"/>
        <v>4.1617710733731883E-2</v>
      </c>
      <c r="X122" s="91">
        <f t="shared" si="287"/>
        <v>-3.6520966272452493E-2</v>
      </c>
      <c r="Y122" s="91">
        <f t="shared" si="288"/>
        <v>7.8552739949970363E-2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2024-05-20T16:54:51Z</dcterms:created>
  <dcterms:modified xsi:type="dcterms:W3CDTF">2024-05-20T16:54:51Z</dcterms:modified>
</cp:coreProperties>
</file>