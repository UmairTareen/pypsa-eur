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J9" i="29" s="1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N8" i="29" s="1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F6" i="29" s="1"/>
  <c r="E14" i="29"/>
  <c r="E6" i="29" s="1"/>
  <c r="D14" i="29"/>
  <c r="D6" i="29" s="1"/>
  <c r="W13" i="29"/>
  <c r="W5" i="31" s="1"/>
  <c r="V13" i="29"/>
  <c r="V5" i="31" s="1"/>
  <c r="U13" i="29"/>
  <c r="U11" i="29" s="1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N4" i="29" s="1"/>
  <c r="M12" i="29"/>
  <c r="M4" i="29" s="1"/>
  <c r="L12" i="29"/>
  <c r="L11" i="29" s="1"/>
  <c r="K12" i="29"/>
  <c r="K11" i="29" s="1"/>
  <c r="J12" i="29"/>
  <c r="I12" i="29"/>
  <c r="H12" i="29"/>
  <c r="G12" i="29"/>
  <c r="F12" i="29"/>
  <c r="F4" i="29" s="1"/>
  <c r="E12" i="29"/>
  <c r="E4" i="29" s="1"/>
  <c r="D12" i="29"/>
  <c r="D11" i="29" s="1"/>
  <c r="W11" i="29"/>
  <c r="T9" i="29"/>
  <c r="S9" i="29"/>
  <c r="R9" i="29"/>
  <c r="Q9" i="29"/>
  <c r="L9" i="29"/>
  <c r="K9" i="29"/>
  <c r="I9" i="29"/>
  <c r="D9" i="29"/>
  <c r="W8" i="29"/>
  <c r="V8" i="29"/>
  <c r="U8" i="29"/>
  <c r="P8" i="29"/>
  <c r="O8" i="29"/>
  <c r="M8" i="29"/>
  <c r="H8" i="29"/>
  <c r="G8" i="29"/>
  <c r="F8" i="29"/>
  <c r="E8" i="29"/>
  <c r="T7" i="29"/>
  <c r="S7" i="29"/>
  <c r="Q7" i="29"/>
  <c r="L7" i="29"/>
  <c r="K7" i="29"/>
  <c r="J7" i="29"/>
  <c r="I7" i="29"/>
  <c r="D7" i="29"/>
  <c r="W6" i="29"/>
  <c r="P6" i="29"/>
  <c r="O6" i="29"/>
  <c r="H6" i="29"/>
  <c r="G6" i="29"/>
  <c r="T5" i="29"/>
  <c r="S5" i="29"/>
  <c r="L5" i="29"/>
  <c r="K5" i="29"/>
  <c r="D5" i="29"/>
  <c r="W4" i="29"/>
  <c r="U4" i="29"/>
  <c r="P4" i="29"/>
  <c r="O4" i="29"/>
  <c r="H4" i="29"/>
  <c r="G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R7" i="29" l="1"/>
  <c r="V11" i="29"/>
  <c r="J11" i="29"/>
  <c r="N11" i="29"/>
  <c r="V6" i="29"/>
  <c r="G11" i="29"/>
  <c r="V4" i="29"/>
  <c r="R5" i="29"/>
  <c r="U6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V3" i="32" l="1"/>
  <c r="R3" i="8"/>
  <c r="U3" i="32"/>
  <c r="W3" i="29"/>
  <c r="U15" i="24"/>
  <c r="U19" i="23"/>
  <c r="U27" i="24"/>
  <c r="U19" i="25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O56" i="6" l="1"/>
  <c r="T90" i="6"/>
  <c r="G90" i="6"/>
  <c r="T56" i="6"/>
  <c r="C113" i="6"/>
  <c r="C90" i="6"/>
  <c r="L90" i="6"/>
  <c r="V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6" i="13" l="1"/>
  <c r="H29" i="23"/>
  <c r="C16" i="12"/>
  <c r="C16" i="13"/>
  <c r="C16" i="16" s="1"/>
  <c r="H29" i="24"/>
  <c r="H29" i="27" s="1"/>
  <c r="K19" i="12"/>
  <c r="G16" i="12"/>
  <c r="G19" i="23"/>
  <c r="G19" i="26" s="1"/>
  <c r="F16" i="12"/>
  <c r="D16" i="14"/>
  <c r="D16" i="17" s="1"/>
  <c r="O29" i="13"/>
  <c r="O29" i="23"/>
  <c r="O29" i="26" s="1"/>
  <c r="O29" i="12"/>
  <c r="O29" i="15" s="1"/>
  <c r="C17" i="16"/>
  <c r="E4" i="13"/>
  <c r="E19" i="24"/>
  <c r="E19" i="27" s="1"/>
  <c r="I4" i="23"/>
  <c r="K4" i="24"/>
  <c r="F4" i="24"/>
  <c r="L19" i="24"/>
  <c r="L19" i="27" s="1"/>
  <c r="C4" i="24"/>
  <c r="C4" i="27" s="1"/>
  <c r="J19" i="23"/>
  <c r="J19" i="26" s="1"/>
  <c r="P29" i="13"/>
  <c r="P19" i="13"/>
  <c r="G16" i="13"/>
  <c r="N29" i="23"/>
  <c r="C19" i="13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M4" i="12"/>
  <c r="O19" i="24"/>
  <c r="P16" i="24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D4" i="13"/>
  <c r="D4" i="16" s="1"/>
  <c r="N16" i="12"/>
  <c r="N16" i="15" s="1"/>
  <c r="E16" i="12"/>
  <c r="E16" i="15" s="1"/>
  <c r="I16" i="14"/>
  <c r="Q4" i="23"/>
  <c r="J29" i="24"/>
  <c r="P16" i="13"/>
  <c r="C29" i="12"/>
  <c r="C29" i="15" s="1"/>
  <c r="G16" i="24"/>
  <c r="G16" i="27" s="1"/>
  <c r="I4" i="12"/>
  <c r="L16" i="13"/>
  <c r="L16" i="16" s="1"/>
  <c r="B29" i="13"/>
  <c r="L4" i="24"/>
  <c r="Q29" i="23"/>
  <c r="G16" i="25"/>
  <c r="Q4" i="24"/>
  <c r="Q4" i="27" s="1"/>
  <c r="D4" i="23"/>
  <c r="D4" i="26" s="1"/>
  <c r="C29" i="13"/>
  <c r="B29" i="12"/>
  <c r="B29" i="15" s="1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I19" i="27" s="1"/>
  <c r="K16" i="23"/>
  <c r="K16" i="26" s="1"/>
  <c r="E29" i="13"/>
  <c r="E29" i="16" s="1"/>
  <c r="L16" i="24"/>
  <c r="L16" i="27" s="1"/>
  <c r="M4" i="13"/>
  <c r="M4" i="16" s="1"/>
  <c r="D27" i="13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P4" i="16" s="1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6" s="1"/>
  <c r="K15" i="24"/>
  <c r="K15" i="27" s="1"/>
  <c r="P27" i="23"/>
  <c r="P27" i="26" s="1"/>
  <c r="P27" i="24"/>
  <c r="P27" i="27" s="1"/>
  <c r="P16" i="12"/>
  <c r="F4" i="13"/>
  <c r="L29" i="13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6"/>
  <c r="G29" i="10"/>
  <c r="F4" i="15"/>
  <c r="F3" i="8"/>
  <c r="F16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0"/>
  <c r="C19" i="16"/>
  <c r="C19" i="10"/>
  <c r="C29" i="16"/>
  <c r="C29" i="10"/>
  <c r="B4" i="15"/>
  <c r="B3" i="8"/>
  <c r="B16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7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G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6" i="4"/>
  <c r="B10" i="4"/>
  <c r="B34" i="4"/>
  <c r="B21" i="4"/>
  <c r="B20" i="4"/>
  <c r="B45" i="4"/>
  <c r="B42" i="4"/>
  <c r="B22" i="4"/>
  <c r="B17" i="4"/>
  <c r="B39" i="4"/>
  <c r="B38" i="4"/>
  <c r="B4" i="4"/>
  <c r="B35" i="4"/>
  <c r="B37" i="4"/>
  <c r="B9" i="4"/>
  <c r="B15" i="4"/>
  <c r="B11" i="4"/>
  <c r="B24" i="4"/>
  <c r="B13" i="4"/>
  <c r="B33" i="4"/>
  <c r="B26" i="4"/>
  <c r="B28" i="4"/>
  <c r="B8" i="4"/>
  <c r="B12" i="4"/>
  <c r="B27" i="4"/>
  <c r="B29" i="4"/>
  <c r="B16" i="4"/>
  <c r="B14" i="4"/>
  <c r="B7" i="4"/>
  <c r="B23" i="4"/>
  <c r="B43" i="4"/>
  <c r="B44" i="4"/>
  <c r="B25" i="4"/>
  <c r="B30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<sst xmlns="http://schemas.openxmlformats.org/spreadsheetml/2006/main" count="2099" uniqueCount="1055">
  <si>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</si>
  <si>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</si>
  <si>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</si>
  <si>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</si>
  <si>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</si>
  <si>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</si>
  <si>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</si>
  <si>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</si>
  <si>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</si>
  <si>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</si>
  <si>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</si>
  <si>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</si>
  <si>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</si>
  <si>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</si>
  <si>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</si>
  <si>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</si>
  <si>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</si>
  <si>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</si>
  <si>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</si>
  <si>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</si>
  <si>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</si>
  <si>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</si>
  <si>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</si>
  <si>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</si>
  <si>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</si>
  <si>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</si>
  <si>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</si>
  <si>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</si>
  <si>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</si>
  <si>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</si>
  <si>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</si>
  <si>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</si>
  <si>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</si>
  <si>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</si>
  <si>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</si>
  <si>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</si>
  <si>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</si>
  <si>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</si>
  <si>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</si>
  <si>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</si>
  <si>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</si>
  <si>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</si>
  <si>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</si>
  <si>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</si>
  <si>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</si>
  <si>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</si>
  <si>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</si>
  <si>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</si>
  <si>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</si>
  <si>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</si>
  <si>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</si>
  <si>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</si>
  <si>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</si>
  <si>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</si>
  <si>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</si>
  <si>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</si>
  <si>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</si>
  <si>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</si>
  <si>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</si>
  <si>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</si>
  <si>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</si>
  <si>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</si>
  <si>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</si>
  <si>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</si>
  <si>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</si>
  <si>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</si>
  <si>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</si>
  <si>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</si>
  <si>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</si>
  <si>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</si>
  <si>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</si>
  <si>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</si>
  <si>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</si>
  <si>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</si>
  <si>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</si>
  <si>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</si>
  <si>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</si>
  <si>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</si>
  <si>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</si>
  <si>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</si>
  <si>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</si>
  <si>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</si>
  <si>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</si>
  <si>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</si>
  <si>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</si>
  <si>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</si>
  <si>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</si>
  <si>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</si>
  <si>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</si>
  <si>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</si>
  <si>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</si>
  <si>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</si>
  <si>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</si>
  <si>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</si>
  <si>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</si>
  <si>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</si>
  <si>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</si>
  <si>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</si>
  <si>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</si>
  <si>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</si>
  <si>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</si>
  <si>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</si>
  <si>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</si>
  <si>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</si>
  <si>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</si>
  <si>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</si>
  <si>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</si>
  <si>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</si>
  <si>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</si>
  <si>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</si>
  <si>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</si>
  <si>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</si>
  <si>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</si>
  <si>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</si>
  <si>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</si>
  <si>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</si>
  <si>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</si>
  <si>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</si>
  <si>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</si>
  <si>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</si>
  <si>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</si>
  <si>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</si>
  <si>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</si>
  <si>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</si>
  <si>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</si>
  <si>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</si>
  <si>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</si>
  <si>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</si>
  <si>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</si>
  <si>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</si>
  <si>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</si>
  <si>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</si>
  <si>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</si>
  <si>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</si>
  <si>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</si>
  <si>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</si>
  <si>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</si>
  <si>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</si>
  <si>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</si>
  <si>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</si>
  <si>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</si>
  <si>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</si>
  <si>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</si>
  <si>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</si>
  <si>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</si>
  <si>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</si>
  <si>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</si>
  <si>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</si>
  <si>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</si>
  <si>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</si>
  <si>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</si>
  <si>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</si>
  <si>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</si>
  <si>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</si>
  <si>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</si>
  <si>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</si>
  <si>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</si>
  <si>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</si>
  <si>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</si>
  <si>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</si>
  <si>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</si>
  <si>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</si>
  <si>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</si>
  <si>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</si>
  <si>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</si>
  <si>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</si>
  <si>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</si>
  <si>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</si>
  <si>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</si>
  <si>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</si>
  <si>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</si>
  <si>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</si>
  <si>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</si>
  <si>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</si>
  <si>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</si>
  <si>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</si>
  <si>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</si>
  <si>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</si>
  <si>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</si>
  <si>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</si>
  <si>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</si>
  <si>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</si>
  <si>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</si>
  <si>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</si>
  <si>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IE</t>
  </si>
  <si>
    <t>Ireland</t>
  </si>
  <si>
    <t>IE - Services sector summary</t>
  </si>
  <si>
    <t>Macro.number.IE.Population</t>
  </si>
  <si>
    <t>Macro.Meuro2015.IE.GDP</t>
  </si>
  <si>
    <t>Macro.Meuro2015.IE.VA</t>
  </si>
  <si>
    <t>Macro.number.IE.Employees</t>
  </si>
  <si>
    <t>NUM.number.IE.Ser.Bld</t>
  </si>
  <si>
    <t>SurfaceArea.ksqm.IE.Ser.Bld</t>
  </si>
  <si>
    <t>NUM.number.IE.Ser.BldNew</t>
  </si>
  <si>
    <t>SurfaceArea.ksqm.IE.Ser.BldNew</t>
  </si>
  <si>
    <t>HDD.Celsius.IE.Actual</t>
  </si>
  <si>
    <t>HDD.Celsius.IE.Mean</t>
  </si>
  <si>
    <t>HDD.ratio.IE.Relative</t>
  </si>
  <si>
    <t>FEC.ktoe.IE.ES.Ser</t>
  </si>
  <si>
    <t>FEC.ktoe.IE.ES.Ser.Solids</t>
  </si>
  <si>
    <t>FEC.ktoe.IE.ES.Ser.LPG</t>
  </si>
  <si>
    <t>FEC.ktoe.IE.ES.Ser.Oil</t>
  </si>
  <si>
    <t>FEC.ktoe.IE.ES.Ser.NG</t>
  </si>
  <si>
    <t>FEC.ktoe.IE.ES.Ser.Biomass_Waste</t>
  </si>
  <si>
    <t>FEC.ktoe.IE.ES.Ser.Biogas</t>
  </si>
  <si>
    <t>FEC.ktoe.IE.ES.Ser.LiqBio</t>
  </si>
  <si>
    <t>FEC.ktoe.IE.ES.Ser.Solar</t>
  </si>
  <si>
    <t>FEC.ktoe.IE.ES.Ser.Geo</t>
  </si>
  <si>
    <t>FEC.ktoe.IE.ES.Ser.Ambient</t>
  </si>
  <si>
    <t>FEC.ktoe.IE.ES.Ser.Steam_Distr</t>
  </si>
  <si>
    <t>FEC.ktoe.IE.ES.Ser.Elec</t>
  </si>
  <si>
    <t>FEC.ktoe.IE.Ser</t>
  </si>
  <si>
    <t>FEC.ktoe.IE.Ser.Bld.Thermal</t>
  </si>
  <si>
    <t>FEC.ktoe.IE.Ser.Bld.Thermal.SH</t>
  </si>
  <si>
    <t>FEC.ktoe.IE.Ser.Bld.Thermal.SC</t>
  </si>
  <si>
    <t>FEC.ktoe.IE.Ser.Bld.Thermal.HW</t>
  </si>
  <si>
    <t>FEC.ktoe.IE.Ser.Bld.Thermal.CA</t>
  </si>
  <si>
    <t>FEC.ktoe.IE.Ser.SEU</t>
  </si>
  <si>
    <t>EMI.ktCO2.IE.ES.Ser</t>
  </si>
  <si>
    <t>EMI.ktCO2.IE.ES.Ser.Solids</t>
  </si>
  <si>
    <t>EMI.ktCO2.IE.ES.Ser.LPG</t>
  </si>
  <si>
    <t>EMI.ktCO2.IE.ES.Ser.Oil</t>
  </si>
  <si>
    <t>EMI.ktCO2.IE.ES.Ser.NG</t>
  </si>
  <si>
    <t>EMI.ktCO2.IE.ES.Ser.Biomass_Waste</t>
  </si>
  <si>
    <t>EMI.ktCO2.IE.ES.Ser.Biogas</t>
  </si>
  <si>
    <t>EMI.ktCO2.IE.ES.Ser.LiqBio</t>
  </si>
  <si>
    <t>EMI.ktCO2.IE.ES.Ser.Solar</t>
  </si>
  <si>
    <t>EMI.ktCO2.IE.ES.Ser.Geo</t>
  </si>
  <si>
    <t>EMI.ktCO2.IE.ES.Ser.Ambient</t>
  </si>
  <si>
    <t>EMI.ktCO2.IE.ES.Ser.Steam_Distr</t>
  </si>
  <si>
    <t>EMI.ktCO2.IE.ES.Ser.Elec</t>
  </si>
  <si>
    <t>EMI.ktCO2.IE.Ser</t>
  </si>
  <si>
    <t>EMI.ktCO2.IE.Ser.Bld.Thermal</t>
  </si>
  <si>
    <t>EMI.ktCO2.IE.Ser.Bld.Thermal.SH</t>
  </si>
  <si>
    <t>EMI.ktCO2.IE.Ser.Bld.Thermal.SC</t>
  </si>
  <si>
    <t>EMI.ktCO2.IE.Ser.Bld.Thermal.HW</t>
  </si>
  <si>
    <t>EMI.ktCO2.IE.Ser.Bld.Thermal.CA</t>
  </si>
  <si>
    <t>EMI.ktCO2.IE.Ser.SEU</t>
  </si>
  <si>
    <t>Eff.ratio.IE.Ser.Bld.Thermal</t>
  </si>
  <si>
    <t>Eff.ratio.IE.Ser.Bld.Thermal.SH</t>
  </si>
  <si>
    <t>Eff.ratio.IE.Ser.Bld.Thermal.SC</t>
  </si>
  <si>
    <t>Eff.ratio.IE.Ser.Bld.Thermal.HW</t>
  </si>
  <si>
    <t>Eff.ratio.IE.Ser.Bld.Thermal.CA</t>
  </si>
  <si>
    <t>IE - Number of buildings</t>
  </si>
  <si>
    <t>NUM.number.IE.Ser.Bld.Thermal</t>
  </si>
  <si>
    <t>NUM.number.IE.Ser.Bld.Thermal.SH</t>
  </si>
  <si>
    <t>NUM.number.IE.Ser.Bld.Thermal.SH.Solids</t>
  </si>
  <si>
    <t>NUM.number.IE.Ser.Bld.Thermal.SH.LPG</t>
  </si>
  <si>
    <t>NUM.number.IE.Ser.Bld.Thermal.SH.Oil</t>
  </si>
  <si>
    <t>NUM.number.IE.Ser.Bld.Thermal.SH.GasHP</t>
  </si>
  <si>
    <t>NUM.number.IE.Ser.Bld.Thermal.SH.GasTH</t>
  </si>
  <si>
    <t>NUM.number.IE.Ser.Bld.Thermal.SH.Biomass</t>
  </si>
  <si>
    <t>NUM.number.IE.Ser.Bld.Thermal.SH.Geo</t>
  </si>
  <si>
    <t>NUM.number.IE.Ser.Bld.Thermal.SH.DistrHeat</t>
  </si>
  <si>
    <t>NUM.number.IE.Ser.Bld.Thermal.SH.AdvElc</t>
  </si>
  <si>
    <t>NUM.number.IE.Ser.Bld.Thermal.SH.ConvElc</t>
  </si>
  <si>
    <t>NUM.number.IE.Ser.Bld.Thermal.SC</t>
  </si>
  <si>
    <t>NUM.number.IE.Ser.Bld.Thermal.SC.GasHP</t>
  </si>
  <si>
    <t>NUM.number.IE.Ser.Bld.Thermal.SC.AC</t>
  </si>
  <si>
    <t>NUM.number.IE.Ser.Bld.Thermal.HW</t>
  </si>
  <si>
    <t>NUM.number.IE.Ser.Bld.Thermal.HW.Solids</t>
  </si>
  <si>
    <t>NUM.number.IE.Ser.Bld.Thermal.HW.LPG</t>
  </si>
  <si>
    <t>NUM.number.IE.Ser.Bld.Thermal.HW.Oil</t>
  </si>
  <si>
    <t>NUM.number.IE.Ser.Bld.Thermal.HW.Gas</t>
  </si>
  <si>
    <t>NUM.number.IE.Ser.Bld.Thermal.HW.Biomass</t>
  </si>
  <si>
    <t>NUM.number.IE.Ser.Bld.Thermal.HW.DistrHeat</t>
  </si>
  <si>
    <t>NUM.number.IE.Ser.Bld.Thermal.HW.Elc</t>
  </si>
  <si>
    <t>NUM.number.IE.Ser.Bld.Thermal.HW.Solar</t>
  </si>
  <si>
    <t>NUM.number.IE.Ser.Bld.Thermal.CA</t>
  </si>
  <si>
    <t>NUM.number.IE.Ser.Bld.Thermal.CA.LPG</t>
  </si>
  <si>
    <t>NUM.number.IE.Ser.Bld.Thermal.CA.Gas</t>
  </si>
  <si>
    <t>NUM.number.IE.Ser.Bld.Thermal.CA.Biomass</t>
  </si>
  <si>
    <t>NUM.number.IE.Ser.Bld.Thermal.CA.Elc</t>
  </si>
  <si>
    <t>IE - Final energy consumption</t>
  </si>
  <si>
    <t>FEC.ktoe.IE.Ser.Bld.Thermal.SH.Solids.Solids</t>
  </si>
  <si>
    <t>FEC.ktoe.IE.Ser.Bld.Thermal.SH.LPG.LPG</t>
  </si>
  <si>
    <t>FEC.ktoe.IE.Ser.Bld.Thermal.SH.Oil.Oil_LiqBio</t>
  </si>
  <si>
    <t>FEC.ktoe.IE.Ser.Bld.Thermal.SH.GasHP.NG_Biogas</t>
  </si>
  <si>
    <t>FEC.ktoe.IE.Ser.Bld.Thermal.SH.GasTH.NG_Biogas</t>
  </si>
  <si>
    <t>FEC.ktoe.IE.Ser.Bld.Thermal.SH.Biomass.Biomass_Waste</t>
  </si>
  <si>
    <t>FEC.ktoe.IE.Ser.Bld.Thermal.SH.Geo.Geo</t>
  </si>
  <si>
    <t>FEC.ktoe.IE.Ser.Bld.Thermal.SH.DistrHeat.Steam_Distr</t>
  </si>
  <si>
    <t>FEC.ktoe.IE.Ser.Bld.Thermal.SH.AdvElc.Elec</t>
  </si>
  <si>
    <t>FEC.ktoe.IE.Ser.Bld.Thermal.SH.ConvElc.Elec</t>
  </si>
  <si>
    <t>FEC.ktoe.IE.Ser.Bld.Thermal.SH.TotalCirculation.Elec</t>
  </si>
  <si>
    <t>FEC.ktoe.IE.Ser.Bld.Thermal.SC.GasHP.NG_Biogas</t>
  </si>
  <si>
    <t>FEC.ktoe.IE.Ser.Bld.Thermal.SC.AC.Elec</t>
  </si>
  <si>
    <t>FEC.ktoe.IE.Ser.Bld.Thermal.HW.Solids.Solids</t>
  </si>
  <si>
    <t>FEC.ktoe.IE.Ser.Bld.Thermal.HW.LPG.LPG</t>
  </si>
  <si>
    <t>FEC.ktoe.IE.Ser.Bld.Thermal.HW.Oil.Oil_LiqBio</t>
  </si>
  <si>
    <t>FEC.ktoe.IE.Ser.Bld.Thermal.HW.Gas.NG_Biogas</t>
  </si>
  <si>
    <t>FEC.ktoe.IE.Ser.Bld.Thermal.HW.Biomass.Biomass_Waste</t>
  </si>
  <si>
    <t>FEC.ktoe.IE.Ser.Bld.Thermal.HW.DistrHeat.Steam_Distr</t>
  </si>
  <si>
    <t>FEC.ktoe.IE.Ser.Bld.Thermal.HW.Elc.Elec</t>
  </si>
  <si>
    <t>FEC.ktoe.IE.Ser.Bld.Thermal.HW.TotalSolar.Solar</t>
  </si>
  <si>
    <t>FEC.ktoe.IE.Ser.Bld.Thermal.CA.LPG</t>
  </si>
  <si>
    <t>FEC.ktoe.IE.Ser.Bld.Thermal.CA.Gas.NG_Biogas</t>
  </si>
  <si>
    <t>FEC.ktoe.IE.Ser.Bld.Thermal.CA.Biomass.Biomass_Waste</t>
  </si>
  <si>
    <t>FEC.ktoe.IE.Ser.Bld.Thermal.CA.Elc.Elec</t>
  </si>
  <si>
    <t>IE - Thermal energy service</t>
  </si>
  <si>
    <t>TES.ktoe.IE.Ser.Bld.Thermal</t>
  </si>
  <si>
    <t>TES.ktoe.IE.Ser.Bld.Thermal.SH</t>
  </si>
  <si>
    <t>TES.ktoe.IE.Ser.Bld.Thermal.SH.Solids.Solids</t>
  </si>
  <si>
    <t>TES.ktoe.IE.Ser.Bld.Thermal.SH.LPG.LPG</t>
  </si>
  <si>
    <t>TES.ktoe.IE.Ser.Bld.Thermal.SH.Oil.Oil_LiqBio</t>
  </si>
  <si>
    <t>TES.ktoe.IE.Ser.Bld.Thermal.SH.GasHP.NG_Biogas</t>
  </si>
  <si>
    <t>TES.ktoe.IE.Ser.Bld.Thermal.SH.GasTH.NG_Biogas</t>
  </si>
  <si>
    <t>TES.ktoe.IE.Ser.Bld.Thermal.SH.Biomass.Biomass_Waste</t>
  </si>
  <si>
    <t>TES.ktoe.IE.Ser.Bld.Thermal.SH.Geo.Geo</t>
  </si>
  <si>
    <t>TES.ktoe.IE.Ser.Bld.Thermal.SH.DistrHeat.Steam_Distr</t>
  </si>
  <si>
    <t>TES.ktoe.IE.Ser.Bld.Thermal.SH.AdvElc.Elec</t>
  </si>
  <si>
    <t>TES.ktoe.IE.Ser.Bld.Thermal.SH.ConvElc.Elec</t>
  </si>
  <si>
    <t>TES.ktoe.IE.Ser.Bld.Thermal.SH.TotalCirculation.Elec</t>
  </si>
  <si>
    <t>TES.ktoe.IE.Ser.Bld.Thermal.SC</t>
  </si>
  <si>
    <t>TES.ktoe.IE.Ser.Bld.Thermal.SC.GasHP.NG_Biogas</t>
  </si>
  <si>
    <t>TES.ktoe.IE.Ser.Bld.Thermal.SC.AC.Elec</t>
  </si>
  <si>
    <t>TES.ktoe.IE.Ser.Bld.Thermal.HW</t>
  </si>
  <si>
    <t>TES.ktoe.IE.Ser.Bld.Thermal.HW.Solids.Solids</t>
  </si>
  <si>
    <t>TES.ktoe.IE.Ser.Bld.Thermal.HW.LPG.LPG</t>
  </si>
  <si>
    <t>TES.ktoe.IE.Ser.Bld.Thermal.HW.Oil.Oil_LiqBio</t>
  </si>
  <si>
    <t>TES.ktoe.IE.Ser.Bld.Thermal.HW.Gas.NG_Biogas</t>
  </si>
  <si>
    <t>TES.ktoe.IE.Ser.Bld.Thermal.HW.Biomass.Biomass_Waste</t>
  </si>
  <si>
    <t>TES.ktoe.IE.Ser.Bld.Thermal.HW.DistrHeat.Steam_Distr</t>
  </si>
  <si>
    <t>TES.ktoe.IE.Ser.Bld.Thermal.HW.Elc.Elec</t>
  </si>
  <si>
    <t>TES.ktoe.IE.Ser.Bld.Thermal.HW.TotalSolar.Solar</t>
  </si>
  <si>
    <t>TES.ktoe.IE.Ser.Bld.Thermal.CA</t>
  </si>
  <si>
    <t>TES.ktoe.IE.Ser.Bld.Thermal.CA.LPG</t>
  </si>
  <si>
    <t>TES.ktoe.IE.Ser.Bld.Thermal.CA.Gas.NG_Biogas</t>
  </si>
  <si>
    <t>TES.ktoe.IE.Ser.Bld.Thermal.CA.Biomass.Biomass_Waste</t>
  </si>
  <si>
    <t>TES.ktoe.IE.Ser.Bld.Thermal.CA.Elc.Elec</t>
  </si>
  <si>
    <t>IE - System efficiency indicator of total stock</t>
  </si>
  <si>
    <t>Eff.ratio.IE.Ser.Bld.Thermal.SH.Solids.Solids</t>
  </si>
  <si>
    <t>Eff.ratio.IE.Ser.Bld.Thermal.SH.LPG.LPG</t>
  </si>
  <si>
    <t>Eff.ratio.IE.Ser.Bld.Thermal.SH.Oil.Oil_LiqBio</t>
  </si>
  <si>
    <t>Eff.ratio.IE.Ser.Bld.Thermal.SH.GasHP.NG_Biogas</t>
  </si>
  <si>
    <t>Eff.ratio.IE.Ser.Bld.Thermal.SH.GasTH.NG_Biogas</t>
  </si>
  <si>
    <t>Eff.ratio.IE.Ser.Bld.Thermal.SH.Biomass.Biomass_Waste</t>
  </si>
  <si>
    <t>Eff.ratio.IE.Ser.Bld.Thermal.SH.Geo.Geo</t>
  </si>
  <si>
    <t>Eff.ratio.IE.Ser.Bld.Thermal.SH.DistrHeat.Steam_Distr</t>
  </si>
  <si>
    <t>Eff.ratio.IE.Ser.Bld.Thermal.SH.AdvElc.Elec</t>
  </si>
  <si>
    <t>Eff.ratio.IE.Ser.Bld.Thermal.SH.ConvElc.Elec</t>
  </si>
  <si>
    <t>Eff.ratio.IE.Ser.Bld.Thermal.SH.TotalCirculation.Elec</t>
  </si>
  <si>
    <t>Eff.ratio.IE.Ser.Bld.Thermal.SC.GasHP.NG_Biogas</t>
  </si>
  <si>
    <t>Eff.ratio.IE.Ser.Bld.Thermal.SC.AC.Elec</t>
  </si>
  <si>
    <t>Eff.ratio.IE.Ser.Bld.Thermal.HW.Solids.Solids</t>
  </si>
  <si>
    <t>Eff.ratio.IE.Ser.Bld.Thermal.HW.LPG.LPG</t>
  </si>
  <si>
    <t>Eff.ratio.IE.Ser.Bld.Thermal.HW.Oil.Oil_LiqBio</t>
  </si>
  <si>
    <t>Eff.ratio.IE.Ser.Bld.Thermal.HW.Gas.NG_Biogas</t>
  </si>
  <si>
    <t>Eff.ratio.IE.Ser.Bld.Thermal.HW.Biomass.Biomass_Waste</t>
  </si>
  <si>
    <t>Eff.ratio.IE.Ser.Bld.Thermal.HW.DistrHeat.Steam_Distr</t>
  </si>
  <si>
    <t>Eff.ratio.IE.Ser.Bld.Thermal.HW.Elc.Elec</t>
  </si>
  <si>
    <t>Eff.ratio.IE.Ser.Bld.Thermal.HW.TotalSolar.Solar</t>
  </si>
  <si>
    <t>Eff.ratio.IE.Ser.Bld.Thermal.CA.LPG</t>
  </si>
  <si>
    <t>Eff.ratio.IE.Ser.Bld.Thermal.CA.Gas.NG_Biogas</t>
  </si>
  <si>
    <t>Eff.ratio.IE.Ser.Bld.Thermal.CA.Biomass.Biomass_Waste</t>
  </si>
  <si>
    <t>Eff.ratio.IE.Ser.Bld.Thermal.CA.Elc.Elec</t>
  </si>
  <si>
    <t>IE - CO2 emissions</t>
  </si>
  <si>
    <t>EMI.ktCO2.IE.Ser.Bld.Thermal.SH.Solids.Solids</t>
  </si>
  <si>
    <t>EMI.ktCO2.IE.Ser.Bld.Thermal.SH.LPG.LPG</t>
  </si>
  <si>
    <t>EMI.ktCO2.IE.Ser.Bld.Thermal.SH.Oil.Oil_LiqBio</t>
  </si>
  <si>
    <t>EMI.ktCO2.IE.Ser.Bld.Thermal.SH.GasHP.NG_Biogas</t>
  </si>
  <si>
    <t>EMI.ktCO2.IE.Ser.Bld.Thermal.SH.GasTH.NG_Biogas</t>
  </si>
  <si>
    <t>EMI.ktCO2.IE.Ser.Bld.Thermal.SH.Biomass.Biomass_Waste</t>
  </si>
  <si>
    <t>EMI.ktCO2.IE.Ser.Bld.Thermal.SH.Geo.Geo</t>
  </si>
  <si>
    <t>EMI.ktCO2.IE.Ser.Bld.Thermal.SH.DistrHeat.Steam_Distr</t>
  </si>
  <si>
    <t>EMI.ktCO2.IE.Ser.Bld.Thermal.SH.AdvElc.Elec</t>
  </si>
  <si>
    <t>EMI.ktCO2.IE.Ser.Bld.Thermal.SH.ConvElc.Elec</t>
  </si>
  <si>
    <t>EMI.ktCO2.IE.Ser.Bld.Thermal.SH.TotalCirculation.Elec</t>
  </si>
  <si>
    <t>EMI.ktCO2.IE.Ser.Bld.Thermal.SC.GasHP.NG_Biogas</t>
  </si>
  <si>
    <t>EMI.ktCO2.IE.Ser.Bld.Thermal.SC.AC.Elec</t>
  </si>
  <si>
    <t>EMI.ktCO2.IE.Ser.Bld.Thermal.HW.Solids.Solids</t>
  </si>
  <si>
    <t>EMI.ktCO2.IE.Ser.Bld.Thermal.HW.LPG.LPG</t>
  </si>
  <si>
    <t>EMI.ktCO2.IE.Ser.Bld.Thermal.HW.Oil.Oil_LiqBio</t>
  </si>
  <si>
    <t>EMI.ktCO2.IE.Ser.Bld.Thermal.HW.Gas.NG_Biogas</t>
  </si>
  <si>
    <t>EMI.ktCO2.IE.Ser.Bld.Thermal.HW.Biomass.Biomass_Waste</t>
  </si>
  <si>
    <t>EMI.ktCO2.IE.Ser.Bld.Thermal.HW.DistrHeat.Steam_Distr</t>
  </si>
  <si>
    <t>EMI.ktCO2.IE.Ser.Bld.Thermal.HW.Elc.Elec</t>
  </si>
  <si>
    <t>EMI.ktCO2.IE.Ser.Bld.Thermal.HW.TotalSolar.Solar</t>
  </si>
  <si>
    <t>EMI.ktCO2.IE.Ser.Bld.Thermal.CA.LPG</t>
  </si>
  <si>
    <t>EMI.ktCO2.IE.Ser.Bld.Thermal.CA.Gas.NG_Biogas</t>
  </si>
  <si>
    <t>EMI.ktCO2.IE.Ser.Bld.Thermal.CA.Biomass.Biomass_Waste</t>
  </si>
  <si>
    <t>EMI.ktCO2.IE.Ser.Bld.Thermal.CA.Elc.Elec</t>
  </si>
  <si>
    <t>IE - Final energy consumption per building</t>
  </si>
  <si>
    <t>FEC_per_building.kWh.IE.Ser.Bld.Thermal</t>
  </si>
  <si>
    <t>FEC_per_building.kWh.IE.Ser.Bld.Thermal.SH</t>
  </si>
  <si>
    <t>FEC_per_building.kWh.IE.Ser.Bld.Thermal.SH.Solids.Solids</t>
  </si>
  <si>
    <t>FEC_per_building.kWh.IE.Ser.Bld.Thermal.SH.LPG.LPG</t>
  </si>
  <si>
    <t>FEC_per_building.kWh.IE.Ser.Bld.Thermal.SH.Oil.Oil_LiqBio</t>
  </si>
  <si>
    <t>FEC_per_building.kWh.IE.Ser.Bld.Thermal.SH.GasHP.NG_Biogas</t>
  </si>
  <si>
    <t>FEC_per_building.kWh.IE.Ser.Bld.Thermal.SH.GasTH.NG_Biogas</t>
  </si>
  <si>
    <t>FEC_per_building.kWh.IE.Ser.Bld.Thermal.SH.Biomass.Biomass_Waste</t>
  </si>
  <si>
    <t>FEC_per_building.kWh.IE.Ser.Bld.Thermal.SH.Geo.Geo</t>
  </si>
  <si>
    <t>FEC_per_building.kWh.IE.Ser.Bld.Thermal.SH.DistrHeat.Steam_Distr</t>
  </si>
  <si>
    <t>FEC_per_building.kWh.IE.Ser.Bld.Thermal.SH.AdvElc.Elec</t>
  </si>
  <si>
    <t>FEC_per_building.kWh.IE.Ser.Bld.Thermal.SH.ConvElc.Elec</t>
  </si>
  <si>
    <t>FEC_per_building.kWh.IE.Ser.Bld.Thermal.SH.TotalCirculation.Elec</t>
  </si>
  <si>
    <t>FEC_per_building.kWh.IE.Ser.Bld.Thermal.SC</t>
  </si>
  <si>
    <t>FEC_per_building.kWh.IE.Ser.Bld.Thermal.SC.GasHP.NG_Biogas</t>
  </si>
  <si>
    <t>FEC_per_building.kWh.IE.Ser.Bld.Thermal.SC.AC.Elec</t>
  </si>
  <si>
    <t>FEC_per_building.kWh.IE.Ser.Bld.Thermal.HW</t>
  </si>
  <si>
    <t>FEC_per_building.kWh.IE.Ser.Bld.Thermal.HW.Solids.Solids</t>
  </si>
  <si>
    <t>FEC_per_building.kWh.IE.Ser.Bld.Thermal.HW.LPG.LPG</t>
  </si>
  <si>
    <t>FEC_per_building.kWh.IE.Ser.Bld.Thermal.HW.Oil.Oil_LiqBio</t>
  </si>
  <si>
    <t>FEC_per_building.kWh.IE.Ser.Bld.Thermal.HW.Gas.NG_Biogas</t>
  </si>
  <si>
    <t>FEC_per_building.kWh.IE.Ser.Bld.Thermal.HW.Biomass.Biomass_Waste</t>
  </si>
  <si>
    <t>FEC_per_building.kWh.IE.Ser.Bld.Thermal.HW.DistrHeat.Steam_Distr</t>
  </si>
  <si>
    <t>FEC_per_building.kWh.IE.Ser.Bld.Thermal.HW.Elc.Elec</t>
  </si>
  <si>
    <t>FEC_per_building.kWh.IE.Ser.Bld.Thermal.HW.TotalSolar.Solar</t>
  </si>
  <si>
    <t>FEC_per_building.kWh.IE.Ser.Bld.Thermal.CA</t>
  </si>
  <si>
    <t>FEC_per_building.kWh.IE.Ser.Bld.Thermal.CA.LPG</t>
  </si>
  <si>
    <t>FEC_per_building.kWh.IE.Ser.Bld.Thermal.CA.Gas.NG_Biogas</t>
  </si>
  <si>
    <t>FEC_per_building.kWh.IE.Ser.Bld.Thermal.CA.Biomass.Biomass_Waste</t>
  </si>
  <si>
    <t>FEC_per_building.kWh.IE.Ser.Bld.Thermal.CA.Elc.Elec</t>
  </si>
  <si>
    <t>IE - Thermal energy service per building</t>
  </si>
  <si>
    <t>TES_per_building.kWh.IE.Ser.Bld.Thermal</t>
  </si>
  <si>
    <t>TES_per_building.kWh.IE.Ser.Bld.Thermal.SH</t>
  </si>
  <si>
    <t>TES_per_building.kWh.IE.Ser.Bld.Thermal.SH.Solids.Solids</t>
  </si>
  <si>
    <t>TES_per_building.kWh.IE.Ser.Bld.Thermal.SH.LPG.LPG</t>
  </si>
  <si>
    <t>TES_per_building.kWh.IE.Ser.Bld.Thermal.SH.Oil.Oil_LiqBio</t>
  </si>
  <si>
    <t>TES_per_building.kWh.IE.Ser.Bld.Thermal.SH.GasHP.NG_Biogas</t>
  </si>
  <si>
    <t>TES_per_building.kWh.IE.Ser.Bld.Thermal.SH.GasTH.NG_Biogas</t>
  </si>
  <si>
    <t>TES_per_building.kWh.IE.Ser.Bld.Thermal.SH.Biomass.Biomass_Waste</t>
  </si>
  <si>
    <t>TES_per_building.kWh.IE.Ser.Bld.Thermal.SH.Geo.Geo</t>
  </si>
  <si>
    <t>TES_per_building.kWh.IE.Ser.Bld.Thermal.SH.DistrHeat.Steam_Distr</t>
  </si>
  <si>
    <t>TES_per_building.kWh.IE.Ser.Bld.Thermal.SH.AdvElc.Elec</t>
  </si>
  <si>
    <t>TES_per_building.kWh.IE.Ser.Bld.Thermal.SH.ConvElc.Elec</t>
  </si>
  <si>
    <t>TES_per_building.kWh.IE.Ser.Bld.Thermal.SH.TotalCirculation.Elec</t>
  </si>
  <si>
    <t>TES_per_building.kWh.IE.Ser.Bld.Thermal.SC</t>
  </si>
  <si>
    <t>TES_per_building.kWh.IE.Ser.Bld.Thermal.SC.GasHP.NG_Biogas</t>
  </si>
  <si>
    <t>TES_per_building.kWh.IE.Ser.Bld.Thermal.SC.AC.Elec</t>
  </si>
  <si>
    <t>TES_per_building.kWh.IE.Ser.Bld.Thermal.HW</t>
  </si>
  <si>
    <t>TES_per_building.kWh.IE.Ser.Bld.Thermal.HW.Solids.Solids</t>
  </si>
  <si>
    <t>TES_per_building.kWh.IE.Ser.Bld.Thermal.HW.LPG.LPG</t>
  </si>
  <si>
    <t>TES_per_building.kWh.IE.Ser.Bld.Thermal.HW.Oil.Oil_LiqBio</t>
  </si>
  <si>
    <t>TES_per_building.kWh.IE.Ser.Bld.Thermal.HW.Gas.NG_Biogas</t>
  </si>
  <si>
    <t>TES_per_building.kWh.IE.Ser.Bld.Thermal.HW.Biomass.Biomass_Waste</t>
  </si>
  <si>
    <t>TES_per_building.kWh.IE.Ser.Bld.Thermal.HW.DistrHeat.Steam_Distr</t>
  </si>
  <si>
    <t>TES_per_building.kWh.IE.Ser.Bld.Thermal.HW.Elc.Elec</t>
  </si>
  <si>
    <t>TES_per_building.kWh.IE.Ser.Bld.Thermal.HW.TotalSolar.Solar</t>
  </si>
  <si>
    <t>TES_per_building.kWh.IE.Ser.Bld.Thermal.CA</t>
  </si>
  <si>
    <t>TES_per_building.kWh.IE.Ser.Bld.Thermal.CA.LPG</t>
  </si>
  <si>
    <t>TES_per_building.kWh.IE.Ser.Bld.Thermal.CA.Gas.NG_Biogas</t>
  </si>
  <si>
    <t>TES_per_building.kWh.IE.Ser.Bld.Thermal.CA.Biomass.Biomass_Waste</t>
  </si>
  <si>
    <t>TES_per_building.kWh.IE.Ser.Bld.Thermal.CA.Elc.Elec</t>
  </si>
  <si>
    <t>IE - CO2 emissions per building</t>
  </si>
  <si>
    <t>EMI_per_building.kgCO2.IE.Ser.Bld.Thermal</t>
  </si>
  <si>
    <t>EMI_per_building.kgCO2.IE.Ser.Bld.Thermal.SH</t>
  </si>
  <si>
    <t>EMI_per_building.kgCO2.IE.Ser.Bld.Thermal.SH.Solids.Solids</t>
  </si>
  <si>
    <t>EMI_per_building.kgCO2.IE.Ser.Bld.Thermal.SH.LPG.LPG</t>
  </si>
  <si>
    <t>EMI_per_building.kgCO2.IE.Ser.Bld.Thermal.SH.Oil.Oil_LiqBio</t>
  </si>
  <si>
    <t>EMI_per_building.kgCO2.IE.Ser.Bld.Thermal.SH.GasHP.NG_Biogas</t>
  </si>
  <si>
    <t>EMI_per_building.kgCO2.IE.Ser.Bld.Thermal.SH.GasTH.NG_Biogas</t>
  </si>
  <si>
    <t>EMI_per_building.kgCO2.IE.Ser.Bld.Thermal.SH.Biomass.Biomass_Waste</t>
  </si>
  <si>
    <t>EMI_per_building.kgCO2.IE.Ser.Bld.Thermal.SH.Geo.Geo</t>
  </si>
  <si>
    <t>EMI_per_building.kgCO2.IE.Ser.Bld.Thermal.SH.DistrHeat.Steam_Distr</t>
  </si>
  <si>
    <t>EMI_per_building.kgCO2.IE.Ser.Bld.Thermal.SH.AdvElc.Elec</t>
  </si>
  <si>
    <t>EMI_per_building.kgCO2.IE.Ser.Bld.Thermal.SH.ConvElc.Elec</t>
  </si>
  <si>
    <t>EMI_per_building.kgCO2.IE.Ser.Bld.Thermal.SH.TotalCirculation.Elec</t>
  </si>
  <si>
    <t>EMI_per_building.kgCO2.IE.Ser.Bld.Thermal.SC</t>
  </si>
  <si>
    <t>EMI_per_building.kgCO2.IE.Ser.Bld.Thermal.SC.GasHP.NG_Biogas</t>
  </si>
  <si>
    <t>EMI_per_building.kgCO2.IE.Ser.Bld.Thermal.SC.AC.Elec</t>
  </si>
  <si>
    <t>EMI_per_building.kgCO2.IE.Ser.Bld.Thermal.HW</t>
  </si>
  <si>
    <t>EMI_per_building.kgCO2.IE.Ser.Bld.Thermal.HW.Solids.Solids</t>
  </si>
  <si>
    <t>EMI_per_building.kgCO2.IE.Ser.Bld.Thermal.HW.LPG.LPG</t>
  </si>
  <si>
    <t>EMI_per_building.kgCO2.IE.Ser.Bld.Thermal.HW.Oil.Oil_LiqBio</t>
  </si>
  <si>
    <t>EMI_per_building.kgCO2.IE.Ser.Bld.Thermal.HW.Gas.NG_Biogas</t>
  </si>
  <si>
    <t>EMI_per_building.kgCO2.IE.Ser.Bld.Thermal.HW.Biomass.Biomass_Waste</t>
  </si>
  <si>
    <t>EMI_per_building.kgCO2.IE.Ser.Bld.Thermal.HW.DistrHeat.Steam_Distr</t>
  </si>
  <si>
    <t>EMI_per_building.kgCO2.IE.Ser.Bld.Thermal.HW.Elc.Elec</t>
  </si>
  <si>
    <t>EMI_per_building.kgCO2.IE.Ser.Bld.Thermal.HW.TotalSolar.Solar</t>
  </si>
  <si>
    <t>EMI_per_building.kgCO2.IE.Ser.Bld.Thermal.CA</t>
  </si>
  <si>
    <t>EMI_per_building.kgCO2.IE.Ser.Bld.Thermal.CA.LPG</t>
  </si>
  <si>
    <t>EMI_per_building.kgCO2.IE.Ser.Bld.Thermal.CA.Gas.NG_Biogas</t>
  </si>
  <si>
    <t>EMI_per_building.kgCO2.IE.Ser.Bld.Thermal.CA.Biomass.Biomass_Waste</t>
  </si>
  <si>
    <t>EMI_per_building.kgCO2.IE.Ser.Bld.Thermal.CA.Elc.Elec</t>
  </si>
  <si>
    <t>IE - Final energy consumption per useful surface area</t>
  </si>
  <si>
    <t>FEC_per_sqm.kWh.IE.Ser.Bld.Thermal</t>
  </si>
  <si>
    <t>FEC_per_sqm.kWh.IE.Ser.Bld.Thermal.SH</t>
  </si>
  <si>
    <t>FEC_per_sqm.kWh.IE.Ser.Bld.Thermal.SH.Solids.Solids</t>
  </si>
  <si>
    <t>FEC_per_sqm.kWh.IE.Ser.Bld.Thermal.SH.LPG.LPG</t>
  </si>
  <si>
    <t>FEC_per_sqm.kWh.IE.Ser.Bld.Thermal.SH.Oil.Oil_LiqBio</t>
  </si>
  <si>
    <t>FEC_per_sqm.kWh.IE.Ser.Bld.Thermal.SH.GasHP.NG_Biogas</t>
  </si>
  <si>
    <t>FEC_per_sqm.kWh.IE.Ser.Bld.Thermal.SH.GasTH.NG_Biogas</t>
  </si>
  <si>
    <t>FEC_per_sqm.kWh.IE.Ser.Bld.Thermal.SH.Biomass.Biomass_Waste</t>
  </si>
  <si>
    <t>FEC_per_sqm.kWh.IE.Ser.Bld.Thermal.SH.Geo.Geo</t>
  </si>
  <si>
    <t>FEC_per_sqm.kWh.IE.Ser.Bld.Thermal.SH.DistrHeat.Steam_Distr</t>
  </si>
  <si>
    <t>FEC_per_sqm.kWh.IE.Ser.Bld.Thermal.SH.AdvElc.Elec</t>
  </si>
  <si>
    <t>FEC_per_sqm.kWh.IE.Ser.Bld.Thermal.SH.ConvElc.Elec</t>
  </si>
  <si>
    <t>FEC_per_sqm.kWh.IE.Ser.Bld.Thermal.SH.TotalCirculation.Elec</t>
  </si>
  <si>
    <t>FEC_per_sqm.kWh.IE.Ser.Bld.Thermal.SC</t>
  </si>
  <si>
    <t>FEC_per_sqm.kWh.IE.Ser.Bld.Thermal.SC.GasHP.NG_Biogas</t>
  </si>
  <si>
    <t>FEC_per_sqm.kWh.IE.Ser.Bld.Thermal.SC.AC.Elec</t>
  </si>
  <si>
    <t>FEC_per_sqm.kWh.IE.Ser.Bld.Thermal.HW</t>
  </si>
  <si>
    <t>FEC_per_sqm.kWh.IE.Ser.Bld.Thermal.HW.Solids.Solids</t>
  </si>
  <si>
    <t>FEC_per_sqm.kWh.IE.Ser.Bld.Thermal.HW.LPG.LPG</t>
  </si>
  <si>
    <t>FEC_per_sqm.kWh.IE.Ser.Bld.Thermal.HW.Oil.Oil_LiqBio</t>
  </si>
  <si>
    <t>FEC_per_sqm.kWh.IE.Ser.Bld.Thermal.HW.Gas.NG_Biogas</t>
  </si>
  <si>
    <t>FEC_per_sqm.kWh.IE.Ser.Bld.Thermal.HW.Biomass.Biomass_Waste</t>
  </si>
  <si>
    <t>FEC_per_sqm.kWh.IE.Ser.Bld.Thermal.HW.DistrHeat.Steam_Distr</t>
  </si>
  <si>
    <t>FEC_per_sqm.kWh.IE.Ser.Bld.Thermal.HW.Elc.Elec</t>
  </si>
  <si>
    <t>FEC_per_sqm.kWh.IE.Ser.Bld.Thermal.HW.TotalSolar.Solar</t>
  </si>
  <si>
    <t>FEC_per_sqm.kWh.IE.Ser.Bld.Thermal.CA</t>
  </si>
  <si>
    <t>FEC_per_sqm.kWh.IE.Ser.Bld.Thermal.CA.LPG</t>
  </si>
  <si>
    <t>FEC_per_sqm.kWh.IE.Ser.Bld.Thermal.CA.Gas.NG_Biogas</t>
  </si>
  <si>
    <t>FEC_per_sqm.kWh.IE.Ser.Bld.Thermal.CA.Biomass.Biomass_Waste</t>
  </si>
  <si>
    <t>FEC_per_sqm.kWh.IE.Ser.Bld.Thermal.CA.Elc.Elec</t>
  </si>
  <si>
    <t>IE - Thermal energy service per useful surface area</t>
  </si>
  <si>
    <t>TES_per_sqm.kWh.IE.Ser.Bld.Thermal</t>
  </si>
  <si>
    <t>TES_per_sqm.kWh.IE.Ser.Bld.Thermal.SH</t>
  </si>
  <si>
    <t>TES_per_sqm.kWh.IE.Ser.Bld.Thermal.SH.Solids.Solids</t>
  </si>
  <si>
    <t>TES_per_sqm.kWh.IE.Ser.Bld.Thermal.SH.LPG.LPG</t>
  </si>
  <si>
    <t>TES_per_sqm.kWh.IE.Ser.Bld.Thermal.SH.Oil.Oil_LiqBio</t>
  </si>
  <si>
    <t>TES_per_sqm.kWh.IE.Ser.Bld.Thermal.SH.GasHP.NG_Biogas</t>
  </si>
  <si>
    <t>TES_per_sqm.kWh.IE.Ser.Bld.Thermal.SH.GasTH.NG_Biogas</t>
  </si>
  <si>
    <t>TES_per_sqm.kWh.IE.Ser.Bld.Thermal.SH.Biomass.Biomass_Waste</t>
  </si>
  <si>
    <t>TES_per_sqm.kWh.IE.Ser.Bld.Thermal.SH.Geo.Geo</t>
  </si>
  <si>
    <t>TES_per_sqm.kWh.IE.Ser.Bld.Thermal.SH.DistrHeat.Steam_Distr</t>
  </si>
  <si>
    <t>TES_per_sqm.kWh.IE.Ser.Bld.Thermal.SH.AdvElc.Elec</t>
  </si>
  <si>
    <t>TES_per_sqm.kWh.IE.Ser.Bld.Thermal.SH.ConvElc.Elec</t>
  </si>
  <si>
    <t>TES_per_sqm.kWh.IE.Ser.Bld.Thermal.SH.TotalCirculation.Elec</t>
  </si>
  <si>
    <t>TES_per_sqm.kWh.IE.Ser.Bld.Thermal.SC</t>
  </si>
  <si>
    <t>TES_per_sqm.kWh.IE.Ser.Bld.Thermal.SC.GasHP.NG_Biogas</t>
  </si>
  <si>
    <t>TES_per_sqm.kWh.IE.Ser.Bld.Thermal.SC.AC.Elec</t>
  </si>
  <si>
    <t>TES_per_sqm.kWh.IE.Ser.Bld.Thermal.HW</t>
  </si>
  <si>
    <t>TES_per_sqm.kWh.IE.Ser.Bld.Thermal.HW.Solids.Solids</t>
  </si>
  <si>
    <t>TES_per_sqm.kWh.IE.Ser.Bld.Thermal.HW.LPG.LPG</t>
  </si>
  <si>
    <t>TES_per_sqm.kWh.IE.Ser.Bld.Thermal.HW.Oil.Oil_LiqBio</t>
  </si>
  <si>
    <t>TES_per_sqm.kWh.IE.Ser.Bld.Thermal.HW.Gas.NG_Biogas</t>
  </si>
  <si>
    <t>TES_per_sqm.kWh.IE.Ser.Bld.Thermal.HW.Biomass.Biomass_Waste</t>
  </si>
  <si>
    <t>TES_per_sqm.kWh.IE.Ser.Bld.Thermal.HW.DistrHeat.Steam_Distr</t>
  </si>
  <si>
    <t>TES_per_sqm.kWh.IE.Ser.Bld.Thermal.HW.Elc.Elec</t>
  </si>
  <si>
    <t>TES_per_sqm.kWh.IE.Ser.Bld.Thermal.HW.TotalSolar.Solar</t>
  </si>
  <si>
    <t>TES_per_sqm.kWh.IE.Ser.Bld.Thermal.CA</t>
  </si>
  <si>
    <t>TES_per_sqm.kWh.IE.Ser.Bld.Thermal.CA.LPG</t>
  </si>
  <si>
    <t>TES_per_sqm.kWh.IE.Ser.Bld.Thermal.CA.Gas.NG_Biogas</t>
  </si>
  <si>
    <t>TES_per_sqm.kWh.IE.Ser.Bld.Thermal.CA.Biomass.Biomass_Waste</t>
  </si>
  <si>
    <t>TES_per_sqm.kWh.IE.Ser.Bld.Thermal.CA.Elc.Elec</t>
  </si>
  <si>
    <t>IE - CO2 emissions per useful surface area</t>
  </si>
  <si>
    <t>EMI_per_sqm.kgCO2.IE.Ser.Bld.Thermal</t>
  </si>
  <si>
    <t>EMI_per_sqm.kgCO2.IE.Ser.Bld.Thermal.SH</t>
  </si>
  <si>
    <t>EMI_per_sqm.kgCO2.IE.Ser.Bld.Thermal.SH.Solids.Solids</t>
  </si>
  <si>
    <t>EMI_per_sqm.kgCO2.IE.Ser.Bld.Thermal.SH.LPG.LPG</t>
  </si>
  <si>
    <t>EMI_per_sqm.kgCO2.IE.Ser.Bld.Thermal.SH.Oil.Oil_LiqBio</t>
  </si>
  <si>
    <t>EMI_per_sqm.kgCO2.IE.Ser.Bld.Thermal.SH.GasHP.NG_Biogas</t>
  </si>
  <si>
    <t>EMI_per_sqm.kgCO2.IE.Ser.Bld.Thermal.SH.GasTH.NG_Biogas</t>
  </si>
  <si>
    <t>EMI_per_sqm.kgCO2.IE.Ser.Bld.Thermal.SH.Biomass.Biomass_Waste</t>
  </si>
  <si>
    <t>EMI_per_sqm.kgCO2.IE.Ser.Bld.Thermal.SH.Geo.Geo</t>
  </si>
  <si>
    <t>EMI_per_sqm.kgCO2.IE.Ser.Bld.Thermal.SH.DistrHeat.Steam_Distr</t>
  </si>
  <si>
    <t>EMI_per_sqm.kgCO2.IE.Ser.Bld.Thermal.SH.AdvElc.Elec</t>
  </si>
  <si>
    <t>EMI_per_sqm.kgCO2.IE.Ser.Bld.Thermal.SH.ConvElc.Elec</t>
  </si>
  <si>
    <t>EMI_per_sqm.kgCO2.IE.Ser.Bld.Thermal.SH.TotalCirculation.Elec</t>
  </si>
  <si>
    <t>EMI_per_sqm.kgCO2.IE.Ser.Bld.Thermal.SC</t>
  </si>
  <si>
    <t>EMI_per_sqm.kgCO2.IE.Ser.Bld.Thermal.SC.GasHP.NG_Biogas</t>
  </si>
  <si>
    <t>EMI_per_sqm.kgCO2.IE.Ser.Bld.Thermal.SC.AC.Elec</t>
  </si>
  <si>
    <t>EMI_per_sqm.kgCO2.IE.Ser.Bld.Thermal.HW</t>
  </si>
  <si>
    <t>EMI_per_sqm.kgCO2.IE.Ser.Bld.Thermal.HW.Solids.Solids</t>
  </si>
  <si>
    <t>EMI_per_sqm.kgCO2.IE.Ser.Bld.Thermal.HW.LPG.LPG</t>
  </si>
  <si>
    <t>EMI_per_sqm.kgCO2.IE.Ser.Bld.Thermal.HW.Oil.Oil_LiqBio</t>
  </si>
  <si>
    <t>EMI_per_sqm.kgCO2.IE.Ser.Bld.Thermal.HW.Gas.NG_Biogas</t>
  </si>
  <si>
    <t>EMI_per_sqm.kgCO2.IE.Ser.Bld.Thermal.HW.Biomass.Biomass_Waste</t>
  </si>
  <si>
    <t>EMI_per_sqm.kgCO2.IE.Ser.Bld.Thermal.HW.DistrHeat.Steam_Distr</t>
  </si>
  <si>
    <t>EMI_per_sqm.kgCO2.IE.Ser.Bld.Thermal.HW.Elc.Elec</t>
  </si>
  <si>
    <t>EMI_per_sqm.kgCO2.IE.Ser.Bld.Thermal.HW.TotalSolar.Solar</t>
  </si>
  <si>
    <t>EMI_per_sqm.kgCO2.IE.Ser.Bld.Thermal.CA</t>
  </si>
  <si>
    <t>EMI_per_sqm.kgCO2.IE.Ser.Bld.Thermal.CA.LPG</t>
  </si>
  <si>
    <t>EMI_per_sqm.kgCO2.IE.Ser.Bld.Thermal.CA.Gas.NG_Biogas</t>
  </si>
  <si>
    <t>EMI_per_sqm.kgCO2.IE.Ser.Bld.Thermal.CA.Biomass.Biomass_Waste</t>
  </si>
  <si>
    <t>EMI_per_sqm.kgCO2.IE.Ser.Bld.Thermal.CA.Elc.Elec</t>
  </si>
  <si>
    <t>IE - Number of new and renovated buildings</t>
  </si>
  <si>
    <t>NUM.number.IE.Ser.BldNew.Thermal</t>
  </si>
  <si>
    <t>NUM.number.IE.Ser.BldNew.Thermal.SH</t>
  </si>
  <si>
    <t>NUM.number.IE.Ser.BldNew.Thermal.SH.Solids</t>
  </si>
  <si>
    <t>NUM.number.IE.Ser.BldNew.Thermal.SH.LPG</t>
  </si>
  <si>
    <t>NUM.number.IE.Ser.BldNew.Thermal.SH.Oil</t>
  </si>
  <si>
    <t>NUM.number.IE.Ser.BldNew.Thermal.SH.GasHP</t>
  </si>
  <si>
    <t>NUM.number.IE.Ser.BldNew.Thermal.SH.GasTH</t>
  </si>
  <si>
    <t>NUM.number.IE.Ser.BldNew.Thermal.SH.Biomass</t>
  </si>
  <si>
    <t>NUM.number.IE.Ser.BldNew.Thermal.SH.Geo</t>
  </si>
  <si>
    <t>NUM.number.IE.Ser.BldNew.Thermal.SH.DistrHeat</t>
  </si>
  <si>
    <t>NUM.number.IE.Ser.BldNew.Thermal.SH.AdvElc</t>
  </si>
  <si>
    <t>NUM.number.IE.Ser.BldNew.Thermal.SH.ConvElc</t>
  </si>
  <si>
    <t>NUM.number.IE.Ser.BldNew.Thermal.SC</t>
  </si>
  <si>
    <t>NUM.number.IE.Ser.BldNew.Thermal.SC.GasHP</t>
  </si>
  <si>
    <t>NUM.number.IE.Ser.BldNew.Thermal.SC.AC</t>
  </si>
  <si>
    <t>NUM.number.IE.Ser.BldNew.Thermal.HW</t>
  </si>
  <si>
    <t>NUM.number.IE.Ser.BldNew.Thermal.HW.Solids</t>
  </si>
  <si>
    <t>NUM.number.IE.Ser.BldNew.Thermal.HW.LPG</t>
  </si>
  <si>
    <t>NUM.number.IE.Ser.BldNew.Thermal.HW.Oil</t>
  </si>
  <si>
    <t>NUM.number.IE.Ser.BldNew.Thermal.HW.Gas</t>
  </si>
  <si>
    <t>NUM.number.IE.Ser.BldNew.Thermal.HW.Biomass</t>
  </si>
  <si>
    <t>NUM.number.IE.Ser.BldNew.Thermal.HW.DistrHeat</t>
  </si>
  <si>
    <t>NUM.number.IE.Ser.BldNew.Thermal.HW.Elc</t>
  </si>
  <si>
    <t>NUM.number.IE.Ser.BldNew.Thermal.HW.Solar</t>
  </si>
  <si>
    <t>NUM.number.IE.Ser.BldNew.Thermal.CA</t>
  </si>
  <si>
    <t>NUM.number.IE.Ser.BldNew.Thermal.CA.LPG</t>
  </si>
  <si>
    <t>NUM.number.IE.Ser.BldNew.Thermal.CA.Gas</t>
  </si>
  <si>
    <t>NUM.number.IE.Ser.BldNew.Thermal.CA.Biomass</t>
  </si>
  <si>
    <t>NUM.number.IE.Ser.BldNew.Thermal.CA.Elc</t>
  </si>
  <si>
    <t>IE - Final energy consumption in new and renovated buildings</t>
  </si>
  <si>
    <t>FEC.ktoe.IE.Ser.BldNew.Thermal</t>
  </si>
  <si>
    <t>FEC.ktoe.IE.Ser.BldNew.Thermal.SH</t>
  </si>
  <si>
    <t>FEC.ktoe.IE.Ser.BldNew.Thermal.SH.Solids.Solids</t>
  </si>
  <si>
    <t>FEC.ktoe.IE.Ser.BldNew.Thermal.SH.LPG.LPG</t>
  </si>
  <si>
    <t>FEC.ktoe.IE.Ser.BldNew.Thermal.SH.Oil.Oil_LiqBio</t>
  </si>
  <si>
    <t>FEC.ktoe.IE.Ser.BldNew.Thermal.SH.GasHP.NG_Biogas</t>
  </si>
  <si>
    <t>FEC.ktoe.IE.Ser.BldNew.Thermal.SH.GasTH.NG_Biogas</t>
  </si>
  <si>
    <t>FEC.ktoe.IE.Ser.BldNew.Thermal.SH.Biomass.Biomass_Waste</t>
  </si>
  <si>
    <t>FEC.ktoe.IE.Ser.BldNew.Thermal.SH.Geo.Geo</t>
  </si>
  <si>
    <t>FEC.ktoe.IE.Ser.BldNew.Thermal.SH.DistrHeat.Steam_Distr</t>
  </si>
  <si>
    <t>FEC.ktoe.IE.Ser.BldNew.Thermal.SH.AdvElc.Elec</t>
  </si>
  <si>
    <t>FEC.ktoe.IE.Ser.BldNew.Thermal.SH.ConvElc.Elec</t>
  </si>
  <si>
    <t>FEC.ktoe.IE.Ser.BldNew.Thermal.SH.TotalCirculation.Elec</t>
  </si>
  <si>
    <t>FEC.ktoe.IE.Ser.BldNew.Thermal.SC</t>
  </si>
  <si>
    <t>FEC.ktoe.IE.Ser.BldNew.Thermal.SC.GasHP.NG_Biogas</t>
  </si>
  <si>
    <t>FEC.ktoe.IE.Ser.BldNew.Thermal.SC.AC.Elec</t>
  </si>
  <si>
    <t>FEC.ktoe.IE.Ser.BldNew.Thermal.HW</t>
  </si>
  <si>
    <t>FEC.ktoe.IE.Ser.BldNew.Thermal.HW.Solids.Solids</t>
  </si>
  <si>
    <t>FEC.ktoe.IE.Ser.BldNew.Thermal.HW.LPG.LPG</t>
  </si>
  <si>
    <t>FEC.ktoe.IE.Ser.BldNew.Thermal.HW.Oil.Oil_LiqBio</t>
  </si>
  <si>
    <t>FEC.ktoe.IE.Ser.BldNew.Thermal.HW.Gas.NG_Biogas</t>
  </si>
  <si>
    <t>FEC.ktoe.IE.Ser.BldNew.Thermal.HW.Biomass.Biomass_Waste</t>
  </si>
  <si>
    <t>FEC.ktoe.IE.Ser.BldNew.Thermal.HW.DistrHeat.Steam_Distr</t>
  </si>
  <si>
    <t>FEC.ktoe.IE.Ser.BldNew.Thermal.HW.Elc.Elec</t>
  </si>
  <si>
    <t>FEC.ktoe.IE.Ser.BldNew.Thermal.HW.TotalSolar.Solar</t>
  </si>
  <si>
    <t>FEC.ktoe.IE.Ser.BldNew.Thermal.CA</t>
  </si>
  <si>
    <t>FEC.ktoe.IE.Ser.BldNew.Thermal.CA.LPG</t>
  </si>
  <si>
    <t>FEC.ktoe.IE.Ser.BldNew.Thermal.CA.Gas.NG_Biogas</t>
  </si>
  <si>
    <t>FEC.ktoe.IE.Ser.BldNew.Thermal.CA.Biomass.Biomass_Waste</t>
  </si>
  <si>
    <t>FEC.ktoe.IE.Ser.BldNew.Thermal.CA.Elc.Elec</t>
  </si>
  <si>
    <t>IE - Thermal energy service in new and renovated buildings</t>
  </si>
  <si>
    <t>TES.ktoe.IE.Ser.BldNew.Thermal</t>
  </si>
  <si>
    <t>TES.ktoe.IE.Ser.BldNew.Thermal.SH</t>
  </si>
  <si>
    <t>TES.ktoe.IE.Ser.BldNew.Thermal.SH.Solids.Solids</t>
  </si>
  <si>
    <t>TES.ktoe.IE.Ser.BldNew.Thermal.SH.LPG.LPG</t>
  </si>
  <si>
    <t>TES.ktoe.IE.Ser.BldNew.Thermal.SH.Oil.Oil_LiqBio</t>
  </si>
  <si>
    <t>TES.ktoe.IE.Ser.BldNew.Thermal.SH.GasHP.NG_Biogas</t>
  </si>
  <si>
    <t>TES.ktoe.IE.Ser.BldNew.Thermal.SH.GasTH.NG_Biogas</t>
  </si>
  <si>
    <t>TES.ktoe.IE.Ser.BldNew.Thermal.SH.Biomass.Biomass_Waste</t>
  </si>
  <si>
    <t>TES.ktoe.IE.Ser.BldNew.Thermal.SH.Geo.Geo</t>
  </si>
  <si>
    <t>TES.ktoe.IE.Ser.BldNew.Thermal.SH.DistrHeat.Steam_Distr</t>
  </si>
  <si>
    <t>TES.ktoe.IE.Ser.BldNew.Thermal.SH.AdvElc.Elec</t>
  </si>
  <si>
    <t>TES.ktoe.IE.Ser.BldNew.Thermal.SH.ConvElc.Elec</t>
  </si>
  <si>
    <t>TES.ktoe.IE.Ser.BldNew.Thermal.SH.TotalCirculation.Elec</t>
  </si>
  <si>
    <t>TES.ktoe.IE.Ser.BldNew.Thermal.SC</t>
  </si>
  <si>
    <t>TES.ktoe.IE.Ser.BldNew.Thermal.SC.GasHP.NG_Biogas</t>
  </si>
  <si>
    <t>TES.ktoe.IE.Ser.BldNew.Thermal.SC.AC.Elec</t>
  </si>
  <si>
    <t>TES.ktoe.IE.Ser.BldNew.Thermal.HW</t>
  </si>
  <si>
    <t>TES.ktoe.IE.Ser.BldNew.Thermal.HW.Solids.Solids</t>
  </si>
  <si>
    <t>TES.ktoe.IE.Ser.BldNew.Thermal.HW.LPG.LPG</t>
  </si>
  <si>
    <t>TES.ktoe.IE.Ser.BldNew.Thermal.HW.Oil.Oil_LiqBio</t>
  </si>
  <si>
    <t>TES.ktoe.IE.Ser.BldNew.Thermal.HW.Gas.NG_Biogas</t>
  </si>
  <si>
    <t>TES.ktoe.IE.Ser.BldNew.Thermal.HW.Biomass.Biomass_Waste</t>
  </si>
  <si>
    <t>TES.ktoe.IE.Ser.BldNew.Thermal.HW.DistrHeat.Steam_Distr</t>
  </si>
  <si>
    <t>TES.ktoe.IE.Ser.BldNew.Thermal.HW.Elc.Elec</t>
  </si>
  <si>
    <t>TES.ktoe.IE.Ser.BldNew.Thermal.HW.TotalSolar.Solar</t>
  </si>
  <si>
    <t>TES.ktoe.IE.Ser.BldNew.Thermal.CA</t>
  </si>
  <si>
    <t>TES.ktoe.IE.Ser.BldNew.Thermal.CA.LPG</t>
  </si>
  <si>
    <t>TES.ktoe.IE.Ser.BldNew.Thermal.CA.Gas.NG_Biogas</t>
  </si>
  <si>
    <t>TES.ktoe.IE.Ser.BldNew.Thermal.CA.Biomass.Biomass_Waste</t>
  </si>
  <si>
    <t>TES.ktoe.IE.Ser.BldNew.Thermal.CA.Elc.Elec</t>
  </si>
  <si>
    <t>IE - System efficiency indicator of new and renovated buildings</t>
  </si>
  <si>
    <t>Eff.ratio.IE.Ser.BldNew.Thermal</t>
  </si>
  <si>
    <t>Eff.ratio.IE.Ser.BldNew.Thermal.SH</t>
  </si>
  <si>
    <t>Eff.ratio.IE.Ser.BldNew.Thermal.SH.Solids.Solids</t>
  </si>
  <si>
    <t>Eff.ratio.IE.Ser.BldNew.Thermal.SH.LPG.LPG</t>
  </si>
  <si>
    <t>Eff.ratio.IE.Ser.BldNew.Thermal.SH.Oil.Oil_LiqBio</t>
  </si>
  <si>
    <t>Eff.ratio.IE.Ser.BldNew.Thermal.SH.GasHP.NG_Biogas</t>
  </si>
  <si>
    <t>Eff.ratio.IE.Ser.BldNew.Thermal.SH.GasTH.NG_Biogas</t>
  </si>
  <si>
    <t>Eff.ratio.IE.Ser.BldNew.Thermal.SH.Biomass.Biomass_Waste</t>
  </si>
  <si>
    <t>Eff.ratio.IE.Ser.BldNew.Thermal.SH.Geo.Geo</t>
  </si>
  <si>
    <t>Eff.ratio.IE.Ser.BldNew.Thermal.SH.DistrHeat.Steam_Distr</t>
  </si>
  <si>
    <t>Eff.ratio.IE.Ser.BldNew.Thermal.SH.AdvElc.Elec</t>
  </si>
  <si>
    <t>Eff.ratio.IE.Ser.BldNew.Thermal.SH.ConvElc.Elec</t>
  </si>
  <si>
    <t>Eff.ratio.IE.Ser.BldNew.Thermal.SH.TotalCirculation.Elec</t>
  </si>
  <si>
    <t>Eff.ratio.IE.Ser.BldNew.Thermal.SC</t>
  </si>
  <si>
    <t>Eff.ratio.IE.Ser.BldNew.Thermal.SC.GasHP.NG_Biogas</t>
  </si>
  <si>
    <t>Eff.ratio.IE.Ser.BldNew.Thermal.SC.AC.Elec</t>
  </si>
  <si>
    <t>Eff.ratio.IE.Ser.BldNew.Thermal.HW</t>
  </si>
  <si>
    <t>Eff.ratio.IE.Ser.BldNew.Thermal.HW.Solids.Solids</t>
  </si>
  <si>
    <t>Eff.ratio.IE.Ser.BldNew.Thermal.HW.LPG.LPG</t>
  </si>
  <si>
    <t>Eff.ratio.IE.Ser.BldNew.Thermal.HW.Oil.Oil_LiqBio</t>
  </si>
  <si>
    <t>Eff.ratio.IE.Ser.BldNew.Thermal.HW.Gas.NG_Biogas</t>
  </si>
  <si>
    <t>Eff.ratio.IE.Ser.BldNew.Thermal.HW.Biomass.Biomass_Waste</t>
  </si>
  <si>
    <t>Eff.ratio.IE.Ser.BldNew.Thermal.HW.DistrHeat.Steam_Distr</t>
  </si>
  <si>
    <t>Eff.ratio.IE.Ser.BldNew.Thermal.HW.Elc.Elec</t>
  </si>
  <si>
    <t>Eff.ratio.IE.Ser.BldNew.Thermal.HW.TotalSolar.Solar</t>
  </si>
  <si>
    <t>Eff.ratio.IE.Ser.BldNew.Thermal.CA</t>
  </si>
  <si>
    <t>Eff.ratio.IE.Ser.BldNew.Thermal.CA.LPG</t>
  </si>
  <si>
    <t>Eff.ratio.IE.Ser.BldNew.Thermal.CA.Gas.NG_Biogas</t>
  </si>
  <si>
    <t>Eff.ratio.IE.Ser.BldNew.Thermal.CA.Biomass.Biomass_Waste</t>
  </si>
  <si>
    <t>Eff.ratio.IE.Ser.BldNew.Thermal.CA.Elc.Elec</t>
  </si>
  <si>
    <t>IE - CO2 emissions in new and renovated buildings</t>
  </si>
  <si>
    <t>EMI.ktCO2.IE.Ser.BldNew.Thermal</t>
  </si>
  <si>
    <t>EMI.ktCO2.IE.Ser.BldNew.Thermal.SH</t>
  </si>
  <si>
    <t>EMI.ktCO2.IE.Ser.BldNew.Thermal.SH.Solids.Solids</t>
  </si>
  <si>
    <t>EMI.ktCO2.IE.Ser.BldNew.Thermal.SH.LPG.LPG</t>
  </si>
  <si>
    <t>EMI.ktCO2.IE.Ser.BldNew.Thermal.SH.Oil.Oil_LiqBio</t>
  </si>
  <si>
    <t>EMI.ktCO2.IE.Ser.BldNew.Thermal.SH.GasHP.NG_Biogas</t>
  </si>
  <si>
    <t>EMI.ktCO2.IE.Ser.BldNew.Thermal.SH.GasTH.NG_Biogas</t>
  </si>
  <si>
    <t>EMI.ktCO2.IE.Ser.BldNew.Thermal.SH.Biomass.Biomass_Waste</t>
  </si>
  <si>
    <t>EMI.ktCO2.IE.Ser.BldNew.Thermal.SH.Geo.Geo</t>
  </si>
  <si>
    <t>EMI.ktCO2.IE.Ser.BldNew.Thermal.SH.DistrHeat.Steam_Distr</t>
  </si>
  <si>
    <t>EMI.ktCO2.IE.Ser.BldNew.Thermal.SH.AdvElc.Elec</t>
  </si>
  <si>
    <t>EMI.ktCO2.IE.Ser.BldNew.Thermal.SH.ConvElc.Elec</t>
  </si>
  <si>
    <t>EMI.ktCO2.IE.Ser.BldNew.Thermal.SH.TotalCirculation.Elec</t>
  </si>
  <si>
    <t>EMI.ktCO2.IE.Ser.BldNew.Thermal.SC</t>
  </si>
  <si>
    <t>EMI.ktCO2.IE.Ser.BldNew.Thermal.SC.GasHP.NG_Biogas</t>
  </si>
  <si>
    <t>EMI.ktCO2.IE.Ser.BldNew.Thermal.SC.AC.Elec</t>
  </si>
  <si>
    <t>EMI.ktCO2.IE.Ser.BldNew.Thermal.HW</t>
  </si>
  <si>
    <t>EMI.ktCO2.IE.Ser.BldNew.Thermal.HW.Solids.Solids</t>
  </si>
  <si>
    <t>EMI.ktCO2.IE.Ser.BldNew.Thermal.HW.LPG.LPG</t>
  </si>
  <si>
    <t>EMI.ktCO2.IE.Ser.BldNew.Thermal.HW.Oil.Oil_LiqBio</t>
  </si>
  <si>
    <t>EMI.ktCO2.IE.Ser.BldNew.Thermal.HW.Gas.NG_Biogas</t>
  </si>
  <si>
    <t>EMI.ktCO2.IE.Ser.BldNew.Thermal.HW.Biomass.Biomass_Waste</t>
  </si>
  <si>
    <t>EMI.ktCO2.IE.Ser.BldNew.Thermal.HW.DistrHeat.Steam_Distr</t>
  </si>
  <si>
    <t>EMI.ktCO2.IE.Ser.BldNew.Thermal.HW.Elc.Elec</t>
  </si>
  <si>
    <t>EMI.ktCO2.IE.Ser.BldNew.Thermal.HW.TotalSolar.Solar</t>
  </si>
  <si>
    <t>EMI.ktCO2.IE.Ser.BldNew.Thermal.CA</t>
  </si>
  <si>
    <t>EMI.ktCO2.IE.Ser.BldNew.Thermal.CA.LPG</t>
  </si>
  <si>
    <t>EMI.ktCO2.IE.Ser.BldNew.Thermal.CA.Gas.NG_Biogas</t>
  </si>
  <si>
    <t>EMI.ktCO2.IE.Ser.BldNew.Thermal.CA.Biomass.Biomass_Waste</t>
  </si>
  <si>
    <t>EMI.ktCO2.IE.Ser.BldNew.Thermal.CA.Elc.Elec</t>
  </si>
  <si>
    <t>IE - Final energy consumption of new and renovated buildings (per building)</t>
  </si>
  <si>
    <t>FEC_per_building.kWh.IE.Ser.BldNew.Thermal</t>
  </si>
  <si>
    <t>FEC_per_building.kWh.IE.Ser.BldNew.Thermal.SH</t>
  </si>
  <si>
    <t>FEC_per_building.kWh.IE.Ser.BldNew.Thermal.SH.Solids.Solids</t>
  </si>
  <si>
    <t>FEC_per_building.kWh.IE.Ser.BldNew.Thermal.SH.LPG.LPG</t>
  </si>
  <si>
    <t>FEC_per_building.kWh.IE.Ser.BldNew.Thermal.SH.Oil.Oil_LiqBio</t>
  </si>
  <si>
    <t>FEC_per_building.kWh.IE.Ser.BldNew.Thermal.SH.GasHP.NG_Biogas</t>
  </si>
  <si>
    <t>FEC_per_building.kWh.IE.Ser.BldNew.Thermal.SH.GasTH.NG_Biogas</t>
  </si>
  <si>
    <t>FEC_per_building.kWh.IE.Ser.BldNew.Thermal.SH.Biomass.Biomass_Waste</t>
  </si>
  <si>
    <t>FEC_per_building.kWh.IE.Ser.BldNew.Thermal.SH.Geo.Geo</t>
  </si>
  <si>
    <t>FEC_per_building.kWh.IE.Ser.BldNew.Thermal.SH.DistrHeat.Steam_Distr</t>
  </si>
  <si>
    <t>FEC_per_building.kWh.IE.Ser.BldNew.Thermal.SH.AdvElc.Elec</t>
  </si>
  <si>
    <t>FEC_per_building.kWh.IE.Ser.BldNew.Thermal.SH.ConvElc.Elec</t>
  </si>
  <si>
    <t>FEC_per_building.kWh.IE.Ser.BldNew.Thermal.SH.TotalCirculation.Elec</t>
  </si>
  <si>
    <t>FEC_per_building.kWh.IE.Ser.BldNew.Thermal.SC</t>
  </si>
  <si>
    <t>FEC_per_building.kWh.IE.Ser.BldNew.Thermal.SC.GasHP.NG_Biogas</t>
  </si>
  <si>
    <t>FEC_per_building.kWh.IE.Ser.BldNew.Thermal.SC.AC.Elec</t>
  </si>
  <si>
    <t>FEC_per_building.kWh.IE.Ser.BldNew.Thermal.HW</t>
  </si>
  <si>
    <t>FEC_per_building.kWh.IE.Ser.BldNew.Thermal.HW.Solids.Solids</t>
  </si>
  <si>
    <t>FEC_per_building.kWh.IE.Ser.BldNew.Thermal.HW.LPG.LPG</t>
  </si>
  <si>
    <t>FEC_per_building.kWh.IE.Ser.BldNew.Thermal.HW.Oil.Oil_LiqBio</t>
  </si>
  <si>
    <t>FEC_per_building.kWh.IE.Ser.BldNew.Thermal.HW.Gas.NG_Biogas</t>
  </si>
  <si>
    <t>FEC_per_building.kWh.IE.Ser.BldNew.Thermal.HW.Biomass.Biomass_Waste</t>
  </si>
  <si>
    <t>FEC_per_building.kWh.IE.Ser.BldNew.Thermal.HW.DistrHeat.Steam_Distr</t>
  </si>
  <si>
    <t>FEC_per_building.kWh.IE.Ser.BldNew.Thermal.HW.Elc.Elec</t>
  </si>
  <si>
    <t>FEC_per_building.kWh.IE.Ser.BldNew.Thermal.HW.TotalSolar.Solar</t>
  </si>
  <si>
    <t>FEC_per_building.kWh.IE.Ser.BldNew.Thermal.CA</t>
  </si>
  <si>
    <t>FEC_per_building.kWh.IE.Ser.BldNew.Thermal.CA.LPG</t>
  </si>
  <si>
    <t>FEC_per_building.kWh.IE.Ser.BldNew.Thermal.CA.Gas.NG_Biogas</t>
  </si>
  <si>
    <t>FEC_per_building.kWh.IE.Ser.BldNew.Thermal.CA.Biomass.Biomass_Waste</t>
  </si>
  <si>
    <t>FEC_per_building.kWh.IE.Ser.BldNew.Thermal.CA.Elc.Elec</t>
  </si>
  <si>
    <t>IE - Thermal energy service of new and renovated buildings (per building)</t>
  </si>
  <si>
    <t>TES_per_building.kWh.IE.Ser.BldNew.Thermal</t>
  </si>
  <si>
    <t>TES_per_building.kWh.IE.Ser.BldNew.Thermal.SH</t>
  </si>
  <si>
    <t>TES_per_building.kWh.IE.Ser.BldNew.Thermal.SH.Solids.Solids</t>
  </si>
  <si>
    <t>TES_per_building.kWh.IE.Ser.BldNew.Thermal.SH.LPG.LPG</t>
  </si>
  <si>
    <t>TES_per_building.kWh.IE.Ser.BldNew.Thermal.SH.Oil.Oil_LiqBio</t>
  </si>
  <si>
    <t>TES_per_building.kWh.IE.Ser.BldNew.Thermal.SH.GasHP.NG_Biogas</t>
  </si>
  <si>
    <t>TES_per_building.kWh.IE.Ser.BldNew.Thermal.SH.GasTH.NG_Biogas</t>
  </si>
  <si>
    <t>TES_per_building.kWh.IE.Ser.BldNew.Thermal.SH.Biomass.Biomass_Waste</t>
  </si>
  <si>
    <t>TES_per_building.kWh.IE.Ser.BldNew.Thermal.SH.Geo.Geo</t>
  </si>
  <si>
    <t>TES_per_building.kWh.IE.Ser.BldNew.Thermal.SH.DistrHeat.Steam_Distr</t>
  </si>
  <si>
    <t>TES_per_building.kWh.IE.Ser.BldNew.Thermal.SH.AdvElc.Elec</t>
  </si>
  <si>
    <t>TES_per_building.kWh.IE.Ser.BldNew.Thermal.SH.ConvElc.Elec</t>
  </si>
  <si>
    <t>TES_per_building.kWh.IE.Ser.BldNew.Thermal.SH.TotalCirculation.Elec</t>
  </si>
  <si>
    <t>TES_per_building.kWh.IE.Ser.BldNew.Thermal.SC</t>
  </si>
  <si>
    <t>TES_per_building.kWh.IE.Ser.BldNew.Thermal.SC.GasHP.NG_Biogas</t>
  </si>
  <si>
    <t>TES_per_building.kWh.IE.Ser.BldNew.Thermal.SC.AC.Elec</t>
  </si>
  <si>
    <t>TES_per_building.kWh.IE.Ser.BldNew.Thermal.HW</t>
  </si>
  <si>
    <t>TES_per_building.kWh.IE.Ser.BldNew.Thermal.HW.Solids.Solids</t>
  </si>
  <si>
    <t>TES_per_building.kWh.IE.Ser.BldNew.Thermal.HW.LPG.LPG</t>
  </si>
  <si>
    <t>TES_per_building.kWh.IE.Ser.BldNew.Thermal.HW.Oil.Oil_LiqBio</t>
  </si>
  <si>
    <t>TES_per_building.kWh.IE.Ser.BldNew.Thermal.HW.Gas.NG_Biogas</t>
  </si>
  <si>
    <t>TES_per_building.kWh.IE.Ser.BldNew.Thermal.HW.Biomass.Biomass_Waste</t>
  </si>
  <si>
    <t>TES_per_building.kWh.IE.Ser.BldNew.Thermal.HW.DistrHeat.Steam_Distr</t>
  </si>
  <si>
    <t>TES_per_building.kWh.IE.Ser.BldNew.Thermal.HW.Elc.Elec</t>
  </si>
  <si>
    <t>TES_per_building.kWh.IE.Ser.BldNew.Thermal.HW.TotalSolar.Solar</t>
  </si>
  <si>
    <t>TES_per_building.kWh.IE.Ser.BldNew.Thermal.CA</t>
  </si>
  <si>
    <t>TES_per_building.kWh.IE.Ser.BldNew.Thermal.CA.LPG</t>
  </si>
  <si>
    <t>TES_per_building.kWh.IE.Ser.BldNew.Thermal.CA.Gas.NG_Biogas</t>
  </si>
  <si>
    <t>TES_per_building.kWh.IE.Ser.BldNew.Thermal.CA.Biomass.Biomass_Waste</t>
  </si>
  <si>
    <t>TES_per_building.kWh.IE.Ser.BldNew.Thermal.CA.Elc.Elec</t>
  </si>
  <si>
    <t>IE - CO2 emissions in new and renovated buildings (per building)</t>
  </si>
  <si>
    <t>EMI_per_building.kgCO2.IE.Ser.BldNew.Thermal</t>
  </si>
  <si>
    <t>EMI_per_building.kgCO2.IE.Ser.BldNew.Thermal.SH</t>
  </si>
  <si>
    <t>EMI_per_building.kgCO2.IE.Ser.BldNew.Thermal.SH.Solids.Solids</t>
  </si>
  <si>
    <t>EMI_per_building.kgCO2.IE.Ser.BldNew.Thermal.SH.LPG.LPG</t>
  </si>
  <si>
    <t>EMI_per_building.kgCO2.IE.Ser.BldNew.Thermal.SH.Oil.Oil_LiqBio</t>
  </si>
  <si>
    <t>EMI_per_building.kgCO2.IE.Ser.BldNew.Thermal.SH.GasHP.NG_Biogas</t>
  </si>
  <si>
    <t>EMI_per_building.kgCO2.IE.Ser.BldNew.Thermal.SH.GasTH.NG_Biogas</t>
  </si>
  <si>
    <t>EMI_per_building.kgCO2.IE.Ser.BldNew.Thermal.SH.Biomass.Biomass_Waste</t>
  </si>
  <si>
    <t>EMI_per_building.kgCO2.IE.Ser.BldNew.Thermal.SH.Geo.Geo</t>
  </si>
  <si>
    <t>EMI_per_building.kgCO2.IE.Ser.BldNew.Thermal.SH.DistrHeat.Steam_Distr</t>
  </si>
  <si>
    <t>EMI_per_building.kgCO2.IE.Ser.BldNew.Thermal.SH.AdvElc.Elec</t>
  </si>
  <si>
    <t>EMI_per_building.kgCO2.IE.Ser.BldNew.Thermal.SH.ConvElc.Elec</t>
  </si>
  <si>
    <t>EMI_per_building.kgCO2.IE.Ser.BldNew.Thermal.SH.TotalCirculation.Elec</t>
  </si>
  <si>
    <t>EMI_per_building.kgCO2.IE.Ser.BldNew.Thermal.SC</t>
  </si>
  <si>
    <t>EMI_per_building.kgCO2.IE.Ser.BldNew.Thermal.SC.GasHP.NG_Biogas</t>
  </si>
  <si>
    <t>EMI_per_building.kgCO2.IE.Ser.BldNew.Thermal.SC.AC.Elec</t>
  </si>
  <si>
    <t>EMI_per_building.kgCO2.IE.Ser.BldNew.Thermal.HW</t>
  </si>
  <si>
    <t>EMI_per_building.kgCO2.IE.Ser.BldNew.Thermal.HW.Solids.Solids</t>
  </si>
  <si>
    <t>EMI_per_building.kgCO2.IE.Ser.BldNew.Thermal.HW.LPG.LPG</t>
  </si>
  <si>
    <t>EMI_per_building.kgCO2.IE.Ser.BldNew.Thermal.HW.Oil.Oil_LiqBio</t>
  </si>
  <si>
    <t>EMI_per_building.kgCO2.IE.Ser.BldNew.Thermal.HW.Gas.NG_Biogas</t>
  </si>
  <si>
    <t>EMI_per_building.kgCO2.IE.Ser.BldNew.Thermal.HW.Biomass.Biomass_Waste</t>
  </si>
  <si>
    <t>EMI_per_building.kgCO2.IE.Ser.BldNew.Thermal.HW.DistrHeat.Steam_Distr</t>
  </si>
  <si>
    <t>EMI_per_building.kgCO2.IE.Ser.BldNew.Thermal.HW.Elc.Elec</t>
  </si>
  <si>
    <t>EMI_per_building.kgCO2.IE.Ser.BldNew.Thermal.HW.TotalSolar.Solar</t>
  </si>
  <si>
    <t>EMI_per_building.kgCO2.IE.Ser.BldNew.Thermal.CA</t>
  </si>
  <si>
    <t>EMI_per_building.kgCO2.IE.Ser.BldNew.Thermal.CA.LPG</t>
  </si>
  <si>
    <t>EMI_per_building.kgCO2.IE.Ser.BldNew.Thermal.CA.Gas.NG_Biogas</t>
  </si>
  <si>
    <t>EMI_per_building.kgCO2.IE.Ser.BldNew.Thermal.CA.Biomass.Biomass_Waste</t>
  </si>
  <si>
    <t>EMI_per_building.kgCO2.IE.Ser.BldNew.Thermal.CA.Elc.Elec</t>
  </si>
  <si>
    <t>IE - Final energy consumption in new and renovated buildings per surface area</t>
  </si>
  <si>
    <t>FEC_per_sqm.kWh.IE.Ser.BldNew.Thermal</t>
  </si>
  <si>
    <t>FEC_per_sqm.kWh.IE.Ser.BldNew.Thermal.SH</t>
  </si>
  <si>
    <t>FEC_per_sqm.kWh.IE.Ser.BldNew.Thermal.SH.Solids.Solids</t>
  </si>
  <si>
    <t>FEC_per_sqm.kWh.IE.Ser.BldNew.Thermal.SH.LPG.LPG</t>
  </si>
  <si>
    <t>FEC_per_sqm.kWh.IE.Ser.BldNew.Thermal.SH.Oil.Oil_LiqBio</t>
  </si>
  <si>
    <t>FEC_per_sqm.kWh.IE.Ser.BldNew.Thermal.SH.GasHP.NG_Biogas</t>
  </si>
  <si>
    <t>FEC_per_sqm.kWh.IE.Ser.BldNew.Thermal.SH.GasTH.NG_Biogas</t>
  </si>
  <si>
    <t>FEC_per_sqm.kWh.IE.Ser.BldNew.Thermal.SH.Biomass.Biomass_Waste</t>
  </si>
  <si>
    <t>FEC_per_sqm.kWh.IE.Ser.BldNew.Thermal.SH.Geo.Geo</t>
  </si>
  <si>
    <t>FEC_per_sqm.kWh.IE.Ser.BldNew.Thermal.SH.DistrHeat.Steam_Distr</t>
  </si>
  <si>
    <t>FEC_per_sqm.kWh.IE.Ser.BldNew.Thermal.SH.AdvElc.Elec</t>
  </si>
  <si>
    <t>FEC_per_sqm.kWh.IE.Ser.BldNew.Thermal.SH.ConvElc.Elec</t>
  </si>
  <si>
    <t>FEC_per_sqm.kWh.IE.Ser.BldNew.Thermal.SH.TotalCirculation.Elec</t>
  </si>
  <si>
    <t>FEC_per_sqm.kWh.IE.Ser.BldNew.Thermal.SC</t>
  </si>
  <si>
    <t>FEC_per_sqm.kWh.IE.Ser.BldNew.Thermal.SC.GasHP.NG_Biogas</t>
  </si>
  <si>
    <t>FEC_per_sqm.kWh.IE.Ser.BldNew.Thermal.SC.AC.Elec</t>
  </si>
  <si>
    <t>FEC_per_sqm.kWh.IE.Ser.BldNew.Thermal.HW</t>
  </si>
  <si>
    <t>FEC_per_sqm.kWh.IE.Ser.BldNew.Thermal.HW.Solids.Solids</t>
  </si>
  <si>
    <t>FEC_per_sqm.kWh.IE.Ser.BldNew.Thermal.HW.LPG.LPG</t>
  </si>
  <si>
    <t>FEC_per_sqm.kWh.IE.Ser.BldNew.Thermal.HW.Oil.Oil_LiqBio</t>
  </si>
  <si>
    <t>FEC_per_sqm.kWh.IE.Ser.BldNew.Thermal.HW.Gas.NG_Biogas</t>
  </si>
  <si>
    <t>FEC_per_sqm.kWh.IE.Ser.BldNew.Thermal.HW.Biomass.Biomass_Waste</t>
  </si>
  <si>
    <t>FEC_per_sqm.kWh.IE.Ser.BldNew.Thermal.HW.DistrHeat.Steam_Distr</t>
  </si>
  <si>
    <t>FEC_per_sqm.kWh.IE.Ser.BldNew.Thermal.HW.Elc.Elec</t>
  </si>
  <si>
    <t>FEC_per_sqm.kWh.IE.Ser.BldNew.Thermal.HW.TotalSolar.Solar</t>
  </si>
  <si>
    <t>FEC_per_sqm.kWh.IE.Ser.BldNew.Thermal.CA</t>
  </si>
  <si>
    <t>FEC_per_sqm.kWh.IE.Ser.BldNew.Thermal.CA.LPG</t>
  </si>
  <si>
    <t>FEC_per_sqm.kWh.IE.Ser.BldNew.Thermal.CA.Gas.NG_Biogas</t>
  </si>
  <si>
    <t>FEC_per_sqm.kWh.IE.Ser.BldNew.Thermal.CA.Biomass.Biomass_Waste</t>
  </si>
  <si>
    <t>FEC_per_sqm.kWh.IE.Ser.BldNew.Thermal.CA.Elc.Elec</t>
  </si>
  <si>
    <t>IE - Thermal energy service in new and renovated buildings per surface area</t>
  </si>
  <si>
    <t>TES_per_sqm.kWh.IE.Ser.BldNew.Thermal</t>
  </si>
  <si>
    <t>TES_per_sqm.kWh.IE.Ser.BldNew.Thermal.SH</t>
  </si>
  <si>
    <t>TES_per_sqm.kWh.IE.Ser.BldNew.Thermal.SH.Solids.Solids</t>
  </si>
  <si>
    <t>TES_per_sqm.kWh.IE.Ser.BldNew.Thermal.SH.LPG.LPG</t>
  </si>
  <si>
    <t>TES_per_sqm.kWh.IE.Ser.BldNew.Thermal.SH.Oil.Oil_LiqBio</t>
  </si>
  <si>
    <t>TES_per_sqm.kWh.IE.Ser.BldNew.Thermal.SH.GasHP.NG_Biogas</t>
  </si>
  <si>
    <t>TES_per_sqm.kWh.IE.Ser.BldNew.Thermal.SH.GasTH.NG_Biogas</t>
  </si>
  <si>
    <t>TES_per_sqm.kWh.IE.Ser.BldNew.Thermal.SH.Biomass.Biomass_Waste</t>
  </si>
  <si>
    <t>TES_per_sqm.kWh.IE.Ser.BldNew.Thermal.SH.Geo.Geo</t>
  </si>
  <si>
    <t>TES_per_sqm.kWh.IE.Ser.BldNew.Thermal.SH.DistrHeat.Steam_Distr</t>
  </si>
  <si>
    <t>TES_per_sqm.kWh.IE.Ser.BldNew.Thermal.SH.AdvElc.Elec</t>
  </si>
  <si>
    <t>TES_per_sqm.kWh.IE.Ser.BldNew.Thermal.SH.ConvElc.Elec</t>
  </si>
  <si>
    <t>TES_per_sqm.kWh.IE.Ser.BldNew.Thermal.SH.TotalCirculation.Elec</t>
  </si>
  <si>
    <t>TES_per_sqm.kWh.IE.Ser.BldNew.Thermal.SC</t>
  </si>
  <si>
    <t>TES_per_sqm.kWh.IE.Ser.BldNew.Thermal.SC.GasHP.NG_Biogas</t>
  </si>
  <si>
    <t>TES_per_sqm.kWh.IE.Ser.BldNew.Thermal.SC.AC.Elec</t>
  </si>
  <si>
    <t>TES_per_sqm.kWh.IE.Ser.BldNew.Thermal.HW</t>
  </si>
  <si>
    <t>TES_per_sqm.kWh.IE.Ser.BldNew.Thermal.HW.Solids.Solids</t>
  </si>
  <si>
    <t>TES_per_sqm.kWh.IE.Ser.BldNew.Thermal.HW.LPG.LPG</t>
  </si>
  <si>
    <t>TES_per_sqm.kWh.IE.Ser.BldNew.Thermal.HW.Oil.Oil_LiqBio</t>
  </si>
  <si>
    <t>TES_per_sqm.kWh.IE.Ser.BldNew.Thermal.HW.Gas.NG_Biogas</t>
  </si>
  <si>
    <t>TES_per_sqm.kWh.IE.Ser.BldNew.Thermal.HW.Biomass.Biomass_Waste</t>
  </si>
  <si>
    <t>TES_per_sqm.kWh.IE.Ser.BldNew.Thermal.HW.DistrHeat.Steam_Distr</t>
  </si>
  <si>
    <t>TES_per_sqm.kWh.IE.Ser.BldNew.Thermal.HW.Elc.Elec</t>
  </si>
  <si>
    <t>TES_per_sqm.kWh.IE.Ser.BldNew.Thermal.HW.TotalSolar.Solar</t>
  </si>
  <si>
    <t>TES_per_sqm.kWh.IE.Ser.BldNew.Thermal.CA</t>
  </si>
  <si>
    <t>TES_per_sqm.kWh.IE.Ser.BldNew.Thermal.CA.LPG</t>
  </si>
  <si>
    <t>TES_per_sqm.kWh.IE.Ser.BldNew.Thermal.CA.Gas.NG_Biogas</t>
  </si>
  <si>
    <t>TES_per_sqm.kWh.IE.Ser.BldNew.Thermal.CA.Biomass.Biomass_Waste</t>
  </si>
  <si>
    <t>TES_per_sqm.kWh.IE.Ser.BldNew.Thermal.CA.Elc.Elec</t>
  </si>
  <si>
    <t>IE - CO2 emissions in new and renovated buildings per surface area</t>
  </si>
  <si>
    <t>EMI_per_sqm.kgCO2.IE.Ser.BldNew.Thermal</t>
  </si>
  <si>
    <t>EMI_per_sqm.kgCO2.IE.Ser.BldNew.Thermal.SH</t>
  </si>
  <si>
    <t>EMI_per_sqm.kgCO2.IE.Ser.BldNew.Thermal.SH.Solids.Solids</t>
  </si>
  <si>
    <t>EMI_per_sqm.kgCO2.IE.Ser.BldNew.Thermal.SH.LPG.LPG</t>
  </si>
  <si>
    <t>EMI_per_sqm.kgCO2.IE.Ser.BldNew.Thermal.SH.Oil.Oil_LiqBio</t>
  </si>
  <si>
    <t>EMI_per_sqm.kgCO2.IE.Ser.BldNew.Thermal.SH.GasHP.NG_Biogas</t>
  </si>
  <si>
    <t>EMI_per_sqm.kgCO2.IE.Ser.BldNew.Thermal.SH.GasTH.NG_Biogas</t>
  </si>
  <si>
    <t>EMI_per_sqm.kgCO2.IE.Ser.BldNew.Thermal.SH.Biomass.Biomass_Waste</t>
  </si>
  <si>
    <t>EMI_per_sqm.kgCO2.IE.Ser.BldNew.Thermal.SH.Geo.Geo</t>
  </si>
  <si>
    <t>EMI_per_sqm.kgCO2.IE.Ser.BldNew.Thermal.SH.DistrHeat.Steam_Distr</t>
  </si>
  <si>
    <t>EMI_per_sqm.kgCO2.IE.Ser.BldNew.Thermal.SH.AdvElc.Elec</t>
  </si>
  <si>
    <t>EMI_per_sqm.kgCO2.IE.Ser.BldNew.Thermal.SH.ConvElc.Elec</t>
  </si>
  <si>
    <t>EMI_per_sqm.kgCO2.IE.Ser.BldNew.Thermal.SH.TotalCirculation.Elec</t>
  </si>
  <si>
    <t>EMI_per_sqm.kgCO2.IE.Ser.BldNew.Thermal.SC</t>
  </si>
  <si>
    <t>EMI_per_sqm.kgCO2.IE.Ser.BldNew.Thermal.SC.GasHP.NG_Biogas</t>
  </si>
  <si>
    <t>EMI_per_sqm.kgCO2.IE.Ser.BldNew.Thermal.SC.AC.Elec</t>
  </si>
  <si>
    <t>EMI_per_sqm.kgCO2.IE.Ser.BldNew.Thermal.HW</t>
  </si>
  <si>
    <t>EMI_per_sqm.kgCO2.IE.Ser.BldNew.Thermal.HW.Solids.Solids</t>
  </si>
  <si>
    <t>EMI_per_sqm.kgCO2.IE.Ser.BldNew.Thermal.HW.LPG.LPG</t>
  </si>
  <si>
    <t>EMI_per_sqm.kgCO2.IE.Ser.BldNew.Thermal.HW.Oil.Oil_LiqBio</t>
  </si>
  <si>
    <t>EMI_per_sqm.kgCO2.IE.Ser.BldNew.Thermal.HW.Gas.NG_Biogas</t>
  </si>
  <si>
    <t>EMI_per_sqm.kgCO2.IE.Ser.BldNew.Thermal.HW.Biomass.Biomass_Waste</t>
  </si>
  <si>
    <t>EMI_per_sqm.kgCO2.IE.Ser.BldNew.Thermal.HW.DistrHeat.Steam_Distr</t>
  </si>
  <si>
    <t>EMI_per_sqm.kgCO2.IE.Ser.BldNew.Thermal.HW.Elc.Elec</t>
  </si>
  <si>
    <t>EMI_per_sqm.kgCO2.IE.Ser.BldNew.Thermal.HW.TotalSolar.Solar</t>
  </si>
  <si>
    <t>EMI_per_sqm.kgCO2.IE.Ser.BldNew.Thermal.CA</t>
  </si>
  <si>
    <t>EMI_per_sqm.kgCO2.IE.Ser.BldNew.Thermal.CA.LPG</t>
  </si>
  <si>
    <t>EMI_per_sqm.kgCO2.IE.Ser.BldNew.Thermal.CA.Gas.NG_Biogas</t>
  </si>
  <si>
    <t>EMI_per_sqm.kgCO2.IE.Ser.BldNew.Thermal.CA.Biomass.Biomass_Waste</t>
  </si>
  <si>
    <t>EMI_per_sqm.kgCO2.IE.Ser.BldNew.Thermal.CA.Elc.Elec</t>
  </si>
  <si>
    <t>FEC.ktoe.IE.Ser.SEU.VE</t>
  </si>
  <si>
    <t>FEC.ktoe.IE.Ser.SEU.SL</t>
  </si>
  <si>
    <t>FEC.ktoe.IE.Ser.SEU.BL</t>
  </si>
  <si>
    <t>FEC.ktoe.IE.Ser.SEU.CR</t>
  </si>
  <si>
    <t>FEC.ktoe.IE.Ser.SEU.BT</t>
  </si>
  <si>
    <t>FEC.ktoe.IE.Ser.SEU.IT</t>
  </si>
  <si>
    <t>Size.MW.IE.Ser.SEU</t>
  </si>
  <si>
    <t>Size.MW.IE.Ser.SEU.VE</t>
  </si>
  <si>
    <t>Size.MW.IE.Ser.SEU.SL</t>
  </si>
  <si>
    <t>Size.MW.IE.Ser.SEU.BL</t>
  </si>
  <si>
    <t>Size.MW.IE.Ser.SEU.CR</t>
  </si>
  <si>
    <t>Size.MW.IE.Ser.SEU.BT</t>
  </si>
  <si>
    <t>Size.MW.IE.Ser.SEU.IT</t>
  </si>
  <si>
    <t>NUM.Msqm.IE.Ser.SEU.VE</t>
  </si>
  <si>
    <t>NUM.k.IE.Ser.SEU.SL</t>
  </si>
  <si>
    <t>NUM.M.IE.Ser.SEU.BL</t>
  </si>
  <si>
    <t>NUM.k.IE.Ser.SEU.CR</t>
  </si>
  <si>
    <t>NUM.Msqm.IE.Ser.SEU.BT</t>
  </si>
  <si>
    <t>NUM.k.IE.Ser.SEU.IT</t>
  </si>
  <si>
    <t>NUM.Msqm.IE.Ser.SEUnew.VE</t>
  </si>
  <si>
    <t>NUM.k.IE.Ser.SEUnew.SL</t>
  </si>
  <si>
    <t>NUM.M.IE.Ser.SEUnew.BL</t>
  </si>
  <si>
    <t>NUM.k.IE.Ser.SEUnew.CR</t>
  </si>
  <si>
    <t>NUM.Msqm.IE.Ser.SEUnew.BT</t>
  </si>
  <si>
    <t>NUM.k.IE.Ser.SEUnew.IT</t>
  </si>
  <si>
    <t>NUM.Msqm.IE.Ser.SEUrepl.VE</t>
  </si>
  <si>
    <t>NUM.k.IE.Ser.SEUrepl.SL</t>
  </si>
  <si>
    <t>NUM.M.IE.Ser.SEUrepl.BL</t>
  </si>
  <si>
    <t>NUM.k.IE.Ser.SEUrepl.CR</t>
  </si>
  <si>
    <t>NUM.Msqm.IE.Ser.SEUrepl.BT</t>
  </si>
  <si>
    <t>NUM.k.IE.Ser.SEUrepl.IT</t>
  </si>
  <si>
    <t>Op.hours.IE.Ser.SEU.VE</t>
  </si>
  <si>
    <t>Op.hours.IE.Ser.SEU.SL</t>
  </si>
  <si>
    <t>Op.hours.IE.Ser.SEU.BL</t>
  </si>
  <si>
    <t>Op.hours.IE.Ser.SEU.CR</t>
  </si>
  <si>
    <t>Op.hours.IE.Ser.SEU.BT</t>
  </si>
  <si>
    <t>Op.hours.IE.Ser.SEU.IT</t>
  </si>
  <si>
    <t>Size_per_appl.W.IE.Ser.SEU.VE</t>
  </si>
  <si>
    <t>Size_per_appl.W.IE.Ser.SEU.SL</t>
  </si>
  <si>
    <t>Size_per_appl.W.IE.Ser.SEU.BL</t>
  </si>
  <si>
    <t>Size_per_appl.W.IE.Ser.SEU.CR</t>
  </si>
  <si>
    <t>Size_per_appl.W.IE.Ser.SEU.BT</t>
  </si>
  <si>
    <t>Size_per_appl.W.IE.Ser.SEU.IT</t>
  </si>
  <si>
    <t>Size_per_appl.W.IE.Ser.SEUnew.VE</t>
  </si>
  <si>
    <t>Size_per_appl.W.IE.Ser.SEUnew.SL</t>
  </si>
  <si>
    <t>Size_per_appl.W.IE.Ser.SEUnew.BL</t>
  </si>
  <si>
    <t>Size_per_appl.W.IE.Ser.SEUnew.CR</t>
  </si>
  <si>
    <t>Size_per_appl.W.IE.Ser.SEUnew.BT</t>
  </si>
  <si>
    <t>Size_per_appl.W.IE.Ser.SEUnew.IT</t>
  </si>
  <si>
    <t>NUM.sqm_per_building.IE.Ser.SEU.VE</t>
  </si>
  <si>
    <t>NUM.number_per_capita.IE.Ser.SEU.SL</t>
  </si>
  <si>
    <t>NUM.number_per_building.IE.Ser.SEU.BL</t>
  </si>
  <si>
    <t>NUM.number_per_capita.IE.Ser.SEU.CR</t>
  </si>
  <si>
    <t>NUM.sqm_per_building.IE.Ser.SEU.BT</t>
  </si>
  <si>
    <t>NUM.number_per_capita.IE.Ser.SEU.IT</t>
  </si>
  <si>
    <t>Lumens_per_sqm.lumen.IE.Ser.SEU.BL</t>
  </si>
  <si>
    <t>IE - Services / specific electric uses</t>
  </si>
  <si>
    <t>IE - Ventilation and others</t>
  </si>
  <si>
    <t>IE - Street lighting</t>
  </si>
  <si>
    <t>IE - Building lighting</t>
  </si>
  <si>
    <t>IE - Commercial refrigeration</t>
  </si>
  <si>
    <t>IE - Miscellaneous building technologies</t>
  </si>
  <si>
    <t>IE - ICT and multimedia</t>
  </si>
  <si>
    <t>IE - Agriculture, forestry and fishing</t>
  </si>
  <si>
    <t>VA.Meuro2015.IE.AGR.AGR</t>
  </si>
  <si>
    <t>OUTPUT.index.IE.AGR.AGR</t>
  </si>
  <si>
    <t>CAP.index.IE.AGR.AGR</t>
  </si>
  <si>
    <t>NEWCAP.index.IE.AGR.AGR</t>
  </si>
  <si>
    <t>CAPOUT.index.IE.AGR.AGR</t>
  </si>
  <si>
    <t>CAPIDLE.index.IE.AGR.AGR</t>
  </si>
  <si>
    <t>FEC.ktoe.IE.ES.AGR</t>
  </si>
  <si>
    <t>FEC.ktoe.IE.ES.AGR.Solids</t>
  </si>
  <si>
    <t>FEC.ktoe.IE.ES.AGR.LPG</t>
  </si>
  <si>
    <t>FEC.ktoe.IE.ES.AGR.Diesel</t>
  </si>
  <si>
    <t>FEC.ktoe.IE.ES.AGR.RFO</t>
  </si>
  <si>
    <t>FEC.ktoe.IE.ES.AGR.NG</t>
  </si>
  <si>
    <t>FEC.ktoe.IE.ES.AGR.Biomass_Waste</t>
  </si>
  <si>
    <t>FEC.ktoe.IE.ES.AGR.Biogas</t>
  </si>
  <si>
    <t>FEC.ktoe.IE.ES.AGR.LiqBio</t>
  </si>
  <si>
    <t>FEC.ktoe.IE.ES.AGR.Solar</t>
  </si>
  <si>
    <t>FEC.ktoe.IE.ES.AGR.Geo</t>
  </si>
  <si>
    <t>FEC.ktoe.IE.ES.AGR.Ambient</t>
  </si>
  <si>
    <t>FEC.ktoe.IE.ES.AGR.Steam_Distr</t>
  </si>
  <si>
    <t>FEC.ktoe.IE.ES.AGR.Elec</t>
  </si>
  <si>
    <t>IE - Agriculture, forestry and fishing / final energy consumption</t>
  </si>
  <si>
    <t>FEC.ktoe.IE.AGR.AGR.LIGHT.GENERIC.ELEC</t>
  </si>
  <si>
    <t>FEC.ktoe.IE.AGR.AGR.FANS.GENERIC.ELEC</t>
  </si>
  <si>
    <t>FEC.ktoe.IE.AGR.AGR.MOTOR.GENERIC.ELEC</t>
  </si>
  <si>
    <t>FEC.ktoe.IE.AGR.AGR.LOW_ENTH.THERM.DIESEL_LIQBIO</t>
  </si>
  <si>
    <t>FEC.ktoe.IE.AGR.AGR.LOW_ENTH.THERM.NG_BIOGAS</t>
  </si>
  <si>
    <t>FEC.ktoe.IE.AGR.AGR.LOW_ENTH.THERM.SOLAR_GEO</t>
  </si>
  <si>
    <t>FEC.ktoe.IE.AGR.AGR.LOW_ENTH.HP.AMBIENT</t>
  </si>
  <si>
    <t>FEC.ktoe.IE.AGR.AGR.LOW_ENTH.THERM.STEAM_DISTR</t>
  </si>
  <si>
    <t>FEC.ktoe.IE.AGR.AGR.LOW_ENTH.THERM.ELEC</t>
  </si>
  <si>
    <t>FEC.ktoe.IE.AGR.AGR.FARM_DRIVES.MECH.DIESEL_LIQBIO</t>
  </si>
  <si>
    <t>FEC.ktoe.IE.AGR.AGR.HEAT_USE.THERM.SOLIDS</t>
  </si>
  <si>
    <t>FEC.ktoe.IE.AGR.AGR.HEAT_USE.THERM.LPG</t>
  </si>
  <si>
    <t>FEC.ktoe.IE.AGR.AGR.HEAT_USE.THERM.DIESEL_LIQBIO</t>
  </si>
  <si>
    <t>FEC.ktoe.IE.AGR.AGR.HEAT_USE.THERM.RFO</t>
  </si>
  <si>
    <t>FEC.ktoe.IE.AGR.AGR.HEAT_USE.THERM.NG_BIOGAS</t>
  </si>
  <si>
    <t>FEC.ktoe.IE.AGR.AGR.HEAT_USE.THERM.BIOMASS_WASTE</t>
  </si>
  <si>
    <t>FEC.ktoe.IE.AGR.AGR.HEAT_USE.THERM.SOLAR_GEO</t>
  </si>
  <si>
    <t>FEC.ktoe.IE.AGR.AGR.FARM_PUMP.MECH.DIESEL_LIQBIO</t>
  </si>
  <si>
    <t>FEC.ktoe.IE.AGR.AGR.FARM_PUMP_ELEC.MECH.ELEC</t>
  </si>
  <si>
    <t>FEC.ktoe.IE.AGR.AGR.GENERIC.MECH.ELEC</t>
  </si>
  <si>
    <t>IE - Agriculture, forestry and fishing / useful energy demand</t>
  </si>
  <si>
    <t>UED.ktoe.IE.AGR.AGR.LIGHT.GENERIC.ELEC</t>
  </si>
  <si>
    <t>UED.ktoe.IE.AGR.AGR.FANS.GENERIC.ELEC</t>
  </si>
  <si>
    <t>UED.ktoe.IE.AGR.AGR.MOTOR.GENERIC.ELEC</t>
  </si>
  <si>
    <t>UED.ktoe.IE.AGR.AGR.LOW_ENTH.THERM.DIESEL_LIQBIO</t>
  </si>
  <si>
    <t>UED.ktoe.IE.AGR.AGR.LOW_ENTH.THERM.NG_BIOGAS</t>
  </si>
  <si>
    <t>UED.ktoe.IE.AGR.AGR.LOW_ENTH.THERM.SOLAR_GEO</t>
  </si>
  <si>
    <t>UED.ktoe.IE.AGR.AGR.LOW_ENTH.HP.AMBIENT</t>
  </si>
  <si>
    <t>UED.ktoe.IE.AGR.AGR.LOW_ENTH.THERM.STEAM_DISTR</t>
  </si>
  <si>
    <t>UED.ktoe.IE.AGR.AGR.LOW_ENTH.THERM.ELEC</t>
  </si>
  <si>
    <t>UED.ktoe.IE.AGR.AGR.FARM_DRIVES.MECH.DIESEL_LIQBIO</t>
  </si>
  <si>
    <t>UED.ktoe.IE.AGR.AGR.HEAT_USE.THERM.SOLIDS</t>
  </si>
  <si>
    <t>UED.ktoe.IE.AGR.AGR.HEAT_USE.THERM.LPG</t>
  </si>
  <si>
    <t>UED.ktoe.IE.AGR.AGR.HEAT_USE.THERM.DIESEL_LIQBIO</t>
  </si>
  <si>
    <t>UED.ktoe.IE.AGR.AGR.HEAT_USE.THERM.RFO</t>
  </si>
  <si>
    <t>UED.ktoe.IE.AGR.AGR.HEAT_USE.THERM.NG_BIOGAS</t>
  </si>
  <si>
    <t>UED.ktoe.IE.AGR.AGR.HEAT_USE.THERM.BIOMASS_WASTE</t>
  </si>
  <si>
    <t>UED.ktoe.IE.AGR.AGR.HEAT_USE.THERM.SOLAR_GEO</t>
  </si>
  <si>
    <t>UED.ktoe.IE.AGR.AGR.FARM_PUMP.MECH.DIESEL_LIQBIO</t>
  </si>
  <si>
    <t>UED.ktoe.IE.AGR.AGR.FARM_PUMP_ELEC.MECH.ELEC</t>
  </si>
  <si>
    <t>UED.ktoe.IE.AGR.AGR.GENERIC.MECH.ELEC</t>
  </si>
  <si>
    <t>IE - Agriculture, forestry and fishing / CO2 emissions</t>
  </si>
  <si>
    <t>FUEL_EMI.ktCO2.IE.AGR.AGR.LIGHT.GENERIC.ELEC</t>
  </si>
  <si>
    <t>FUEL_EMI.ktCO2.IE.AGR.AGR.FANS.GENERIC.ELEC</t>
  </si>
  <si>
    <t>FUEL_EMI.ktCO2.IE.AGR.AGR.MOTOR.GENERIC.ELEC</t>
  </si>
  <si>
    <t>FUEL_EMI.ktCO2.IE.AGR.AGR.LOW_ENTH.THERM.DIESEL_LIQBIO</t>
  </si>
  <si>
    <t>FUEL_EMI.ktCO2.IE.AGR.AGR.LOW_ENTH.THERM.NG_BIOGAS</t>
  </si>
  <si>
    <t>FUEL_EMI.ktCO2.IE.AGR.AGR.LOW_ENTH.THERM.SOLAR_GEO</t>
  </si>
  <si>
    <t>FUEL_EMI.ktCO2.IE.AGR.AGR.LOW_ENTH.HP.AMBIENT</t>
  </si>
  <si>
    <t>FUEL_EMI.ktCO2.IE.AGR.AGR.LOW_ENTH.THERM.STEAM_DISTR</t>
  </si>
  <si>
    <t>FUEL_EMI.ktCO2.IE.AGR.AGR.LOW_ENTH.THERM.ELEC</t>
  </si>
  <si>
    <t>FUEL_EMI.ktCO2.IE.AGR.AGR.FARM_DRIVES.MECH.DIESEL_LIQBIO</t>
  </si>
  <si>
    <t>FUEL_EMI.ktCO2.IE.AGR.AGR.HEAT_USE.THERM.SOLIDS</t>
  </si>
  <si>
    <t>FUEL_EMI.ktCO2.IE.AGR.AGR.HEAT_USE.THERM.LPG</t>
  </si>
  <si>
    <t>FUEL_EMI.ktCO2.IE.AGR.AGR.HEAT_USE.THERM.DIESEL_LIQBIO</t>
  </si>
  <si>
    <t>FUEL_EMI.ktCO2.IE.AGR.AGR.HEAT_USE.THERM.RFO</t>
  </si>
  <si>
    <t>FUEL_EMI.ktCO2.IE.AGR.AGR.HEAT_USE.THERM.NG_BIOGAS</t>
  </si>
  <si>
    <t>FUEL_EMI.ktCO2.IE.AGR.AGR.HEAT_USE.THERM.BIOMASS_WASTE</t>
  </si>
  <si>
    <t>FUEL_EMI.ktCO2.IE.AGR.AGR.HEAT_USE.THERM.SOLAR_GEO</t>
  </si>
  <si>
    <t>FUEL_EMI.ktCO2.IE.AGR.AGR.FARM_PUMP.MECH.DIESEL_LIQBIO</t>
  </si>
  <si>
    <t>FUEL_EMI.ktCO2.IE.AGR.AGR.FARM_PUMP_ELEC.MECH.ELEC</t>
  </si>
  <si>
    <t>FUEL_EMI.ktCO2.IE.AGR.AGR.GENERIC.MECH.ELEC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</si>
</sst>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45432.786030092589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3777565</v>
      </c>
      <c r="C3" s="34">
        <v>3832783</v>
      </c>
      <c r="D3" s="34">
        <v>3899702</v>
      </c>
      <c r="E3" s="34">
        <v>3964191</v>
      </c>
      <c r="F3" s="34">
        <v>4028851</v>
      </c>
      <c r="G3" s="34">
        <v>4111672</v>
      </c>
      <c r="H3" s="34">
        <v>4208156</v>
      </c>
      <c r="I3" s="34">
        <v>4340118</v>
      </c>
      <c r="J3" s="34">
        <v>4457765</v>
      </c>
      <c r="K3" s="34">
        <v>4521322</v>
      </c>
      <c r="L3" s="34">
        <v>4549428</v>
      </c>
      <c r="M3" s="34">
        <v>4570881</v>
      </c>
      <c r="N3" s="34">
        <v>4589287</v>
      </c>
      <c r="O3" s="34">
        <v>4609779</v>
      </c>
      <c r="P3" s="34">
        <v>4637852</v>
      </c>
      <c r="Q3" s="34">
        <v>4677627</v>
      </c>
      <c r="R3" s="34">
        <v>4726286</v>
      </c>
      <c r="S3" s="34">
        <v>4784383</v>
      </c>
      <c r="T3" s="34">
        <v>4830392</v>
      </c>
      <c r="U3" s="34">
        <v>4904240</v>
      </c>
      <c r="V3" s="34">
        <v>4964440</v>
      </c>
      <c r="W3" s="34">
        <v>5006324</v>
      </c>
      <c r="DA3" s="88" t="s">
        <v>187</v>
      </c>
    </row>
    <row r="4" spans="1:105" ht="12" customHeight="1" x14ac:dyDescent="0.25">
      <c r="A4" s="35" t="s">
        <v>178</v>
      </c>
      <c r="B4" s="36">
        <v>143782.36899997349</v>
      </c>
      <c r="C4" s="36">
        <v>151411.56336036907</v>
      </c>
      <c r="D4" s="36">
        <v>160344.27466515751</v>
      </c>
      <c r="E4" s="36">
        <v>165176.20895454648</v>
      </c>
      <c r="F4" s="36">
        <v>176389.91737029844</v>
      </c>
      <c r="G4" s="36">
        <v>186512.90644062599</v>
      </c>
      <c r="H4" s="36">
        <v>195817.35198500523</v>
      </c>
      <c r="I4" s="36">
        <v>206215.03688588919</v>
      </c>
      <c r="J4" s="36">
        <v>196967.91224509114</v>
      </c>
      <c r="K4" s="36">
        <v>186930.39719471583</v>
      </c>
      <c r="L4" s="36">
        <v>190077.10214046444</v>
      </c>
      <c r="M4" s="36">
        <v>192510.69980056916</v>
      </c>
      <c r="N4" s="36">
        <v>192262.57749492509</v>
      </c>
      <c r="O4" s="36">
        <v>194520.44093394669</v>
      </c>
      <c r="P4" s="36">
        <v>211694.13879743544</v>
      </c>
      <c r="Q4" s="36">
        <v>263506.8</v>
      </c>
      <c r="R4" s="36">
        <v>268158.75288316235</v>
      </c>
      <c r="S4" s="36">
        <v>293128.86628306593</v>
      </c>
      <c r="T4" s="36">
        <v>317956.75014322757</v>
      </c>
      <c r="U4" s="36">
        <v>334802.79599391192</v>
      </c>
      <c r="V4" s="36">
        <v>356955.62425683712</v>
      </c>
      <c r="W4" s="36">
        <v>410945.78090829053</v>
      </c>
      <c r="DA4" s="89" t="s">
        <v>188</v>
      </c>
    </row>
    <row r="5" spans="1:105" ht="12" customHeight="1" x14ac:dyDescent="0.25">
      <c r="A5" s="35" t="s">
        <v>147</v>
      </c>
      <c r="B5" s="36">
        <v>86301.371839072162</v>
      </c>
      <c r="C5" s="36">
        <v>86209.801938025761</v>
      </c>
      <c r="D5" s="36">
        <v>89826.595487150742</v>
      </c>
      <c r="E5" s="36">
        <v>96384.206016870405</v>
      </c>
      <c r="F5" s="36">
        <v>103535.69173210053</v>
      </c>
      <c r="G5" s="36">
        <v>112248.51864761242</v>
      </c>
      <c r="H5" s="36">
        <v>117629.33491288264</v>
      </c>
      <c r="I5" s="36">
        <v>130694.8065754283</v>
      </c>
      <c r="J5" s="36">
        <v>134117.16908146214</v>
      </c>
      <c r="K5" s="36">
        <v>127085.25087981544</v>
      </c>
      <c r="L5" s="36">
        <v>133795.14463057494</v>
      </c>
      <c r="M5" s="36">
        <v>133555.3989657108</v>
      </c>
      <c r="N5" s="36">
        <v>131415.56689005287</v>
      </c>
      <c r="O5" s="36">
        <v>133479.73917614558</v>
      </c>
      <c r="P5" s="36">
        <v>142001.96422462785</v>
      </c>
      <c r="Q5" s="36">
        <v>141498.4</v>
      </c>
      <c r="R5" s="36">
        <v>147135.16349704488</v>
      </c>
      <c r="S5" s="36">
        <v>158058.33181026773</v>
      </c>
      <c r="T5" s="36">
        <v>174593.31784067967</v>
      </c>
      <c r="U5" s="36">
        <v>188855.35008430769</v>
      </c>
      <c r="V5" s="36">
        <v>197437.30978210134</v>
      </c>
      <c r="W5" s="36">
        <v>221501.21427237062</v>
      </c>
      <c r="DA5" s="89" t="s">
        <v>189</v>
      </c>
    </row>
    <row r="6" spans="1:105" ht="12" customHeight="1" x14ac:dyDescent="0.25">
      <c r="A6" s="37" t="s">
        <v>70</v>
      </c>
      <c r="B6" s="38">
        <v>1175340.0000000002</v>
      </c>
      <c r="C6" s="38">
        <v>1218850.0000000002</v>
      </c>
      <c r="D6" s="38">
        <v>1259320</v>
      </c>
      <c r="E6" s="38">
        <v>1300590</v>
      </c>
      <c r="F6" s="38">
        <v>1350250</v>
      </c>
      <c r="G6" s="38">
        <v>1424770</v>
      </c>
      <c r="H6" s="38">
        <v>1492020</v>
      </c>
      <c r="I6" s="38">
        <v>1572970</v>
      </c>
      <c r="J6" s="38">
        <v>1587850</v>
      </c>
      <c r="K6" s="38">
        <v>1518360</v>
      </c>
      <c r="L6" s="38">
        <v>1480990</v>
      </c>
      <c r="M6" s="38">
        <v>1464300.0000000002</v>
      </c>
      <c r="N6" s="38">
        <v>1464350</v>
      </c>
      <c r="O6" s="38">
        <v>1503550.0000000002</v>
      </c>
      <c r="P6" s="38">
        <v>1548220.0000000002</v>
      </c>
      <c r="Q6" s="38">
        <v>1588270</v>
      </c>
      <c r="R6" s="38">
        <v>1638550</v>
      </c>
      <c r="S6" s="38">
        <v>1683010</v>
      </c>
      <c r="T6" s="38">
        <v>1735949.9999999998</v>
      </c>
      <c r="U6" s="38">
        <v>1799020</v>
      </c>
      <c r="V6" s="38">
        <v>1740920</v>
      </c>
      <c r="W6" s="38">
        <v>1850540.0000000005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38283.750083238032</v>
      </c>
      <c r="C8" s="34">
        <v>39254.582638946464</v>
      </c>
      <c r="D8" s="34">
        <v>40237.908706857408</v>
      </c>
      <c r="E8" s="34">
        <v>41027.879188671861</v>
      </c>
      <c r="F8" s="34">
        <v>41942.866182603771</v>
      </c>
      <c r="G8" s="34">
        <v>43315.722153451941</v>
      </c>
      <c r="H8" s="34">
        <v>44569.446154301586</v>
      </c>
      <c r="I8" s="34">
        <v>46944.200478403844</v>
      </c>
      <c r="J8" s="34">
        <v>47612.113527688663</v>
      </c>
      <c r="K8" s="34">
        <v>46345.793785309826</v>
      </c>
      <c r="L8" s="34">
        <v>45768.888209650904</v>
      </c>
      <c r="M8" s="34">
        <v>46089.396116691125</v>
      </c>
      <c r="N8" s="34">
        <v>45988.656948038806</v>
      </c>
      <c r="O8" s="34">
        <v>46223.737454862268</v>
      </c>
      <c r="P8" s="34">
        <v>46936.820756884976</v>
      </c>
      <c r="Q8" s="34">
        <v>47121.272763210021</v>
      </c>
      <c r="R8" s="34">
        <v>48462.716366278168</v>
      </c>
      <c r="S8" s="34">
        <v>49266.137486738218</v>
      </c>
      <c r="T8" s="34">
        <v>50357.748526551535</v>
      </c>
      <c r="U8" s="34">
        <v>51220.894197185778</v>
      </c>
      <c r="V8" s="34">
        <v>51963.546666666676</v>
      </c>
      <c r="W8" s="34">
        <v>52634.605419705811</v>
      </c>
      <c r="DA8" s="88" t="s">
        <v>191</v>
      </c>
    </row>
    <row r="9" spans="1:105" ht="12" customHeight="1" x14ac:dyDescent="0.25">
      <c r="A9" s="39" t="s">
        <v>68</v>
      </c>
      <c r="B9" s="40">
        <v>34455.375074914227</v>
      </c>
      <c r="C9" s="40">
        <v>35329.124375051819</v>
      </c>
      <c r="D9" s="40">
        <v>36214.117836171667</v>
      </c>
      <c r="E9" s="40">
        <v>36925.091269804674</v>
      </c>
      <c r="F9" s="40">
        <v>37748.579564343396</v>
      </c>
      <c r="G9" s="40">
        <v>38984.149938106748</v>
      </c>
      <c r="H9" s="40">
        <v>40112.501538871431</v>
      </c>
      <c r="I9" s="40">
        <v>42249.780430563456</v>
      </c>
      <c r="J9" s="40">
        <v>42850.9021749198</v>
      </c>
      <c r="K9" s="40">
        <v>41711.214406778839</v>
      </c>
      <c r="L9" s="40">
        <v>41191.999388685814</v>
      </c>
      <c r="M9" s="40">
        <v>41480.456505022012</v>
      </c>
      <c r="N9" s="40">
        <v>41389.791253234929</v>
      </c>
      <c r="O9" s="40">
        <v>41601.363709376041</v>
      </c>
      <c r="P9" s="40">
        <v>42243.138681196477</v>
      </c>
      <c r="Q9" s="40">
        <v>42409.145486889021</v>
      </c>
      <c r="R9" s="40">
        <v>43616.444729650349</v>
      </c>
      <c r="S9" s="40">
        <v>44339.523738064396</v>
      </c>
      <c r="T9" s="40">
        <v>45321.973673896377</v>
      </c>
      <c r="U9" s="40">
        <v>46098.804777467201</v>
      </c>
      <c r="V9" s="40">
        <v>46767.192000000003</v>
      </c>
      <c r="W9" s="40">
        <v>47371.144877735234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1124.0454790146205</v>
      </c>
      <c r="D10" s="41">
        <v>1140.4362992821511</v>
      </c>
      <c r="E10" s="41">
        <v>950.97802125069177</v>
      </c>
      <c r="F10" s="41">
        <v>1079.1610961709705</v>
      </c>
      <c r="G10" s="41">
        <v>1540.6837993981881</v>
      </c>
      <c r="H10" s="41">
        <v>1426.9106279890798</v>
      </c>
      <c r="I10" s="41">
        <v>2553.0561680770224</v>
      </c>
      <c r="J10" s="41">
        <v>855.71458166808713</v>
      </c>
      <c r="K10" s="41">
        <v>190.48093167796324</v>
      </c>
      <c r="L10" s="41">
        <v>185.36571484262149</v>
      </c>
      <c r="M10" s="41">
        <v>503.68138609626624</v>
      </c>
      <c r="N10" s="41">
        <v>184.39138782636593</v>
      </c>
      <c r="O10" s="41">
        <v>418.98473114169667</v>
      </c>
      <c r="P10" s="41">
        <v>897.96185335719633</v>
      </c>
      <c r="Q10" s="41">
        <v>372.25353870831748</v>
      </c>
      <c r="R10" s="41">
        <v>1580.6378810539916</v>
      </c>
      <c r="S10" s="41">
        <v>1049.424756837102</v>
      </c>
      <c r="T10" s="41">
        <v>1341.6929559896496</v>
      </c>
      <c r="U10" s="41">
        <v>1118.7687596014987</v>
      </c>
      <c r="V10" s="41">
        <v>1002.6570085529056</v>
      </c>
      <c r="W10" s="41">
        <v>934.83310160089809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1011.6409311131583</v>
      </c>
      <c r="D11" s="42">
        <v>1026.3926693539358</v>
      </c>
      <c r="E11" s="42">
        <v>855.8802191256226</v>
      </c>
      <c r="F11" s="42">
        <v>971.24498655387345</v>
      </c>
      <c r="G11" s="42">
        <v>1386.6154194583694</v>
      </c>
      <c r="H11" s="42">
        <v>1284.2195651901718</v>
      </c>
      <c r="I11" s="42">
        <v>2297.7505512693201</v>
      </c>
      <c r="J11" s="42">
        <v>770.14312350127852</v>
      </c>
      <c r="K11" s="42">
        <v>171.4328385101669</v>
      </c>
      <c r="L11" s="42">
        <v>166.82914335835935</v>
      </c>
      <c r="M11" s="42">
        <v>453.31324748663963</v>
      </c>
      <c r="N11" s="42">
        <v>165.95224904372935</v>
      </c>
      <c r="O11" s="42">
        <v>377.08625802752698</v>
      </c>
      <c r="P11" s="42">
        <v>808.16566802147668</v>
      </c>
      <c r="Q11" s="42">
        <v>335.0281848374857</v>
      </c>
      <c r="R11" s="42">
        <v>1422.5740929485924</v>
      </c>
      <c r="S11" s="42">
        <v>944.4822811533918</v>
      </c>
      <c r="T11" s="42">
        <v>1207.5236603906847</v>
      </c>
      <c r="U11" s="42">
        <v>1006.8918836413487</v>
      </c>
      <c r="V11" s="42">
        <v>902.39130769761493</v>
      </c>
      <c r="W11" s="42">
        <v>841.3497914408083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2792.71</v>
      </c>
      <c r="C13" s="43">
        <v>2800.86</v>
      </c>
      <c r="D13" s="43">
        <v>2699.57</v>
      </c>
      <c r="E13" s="43">
        <v>2630.34</v>
      </c>
      <c r="F13" s="43">
        <v>2700.72</v>
      </c>
      <c r="G13" s="43">
        <v>2608.3000000000002</v>
      </c>
      <c r="H13" s="43">
        <v>2601.42</v>
      </c>
      <c r="I13" s="43">
        <v>2523.35</v>
      </c>
      <c r="J13" s="43">
        <v>2803.54</v>
      </c>
      <c r="K13" s="43">
        <v>2817.65</v>
      </c>
      <c r="L13" s="43">
        <v>3166.33</v>
      </c>
      <c r="M13" s="43">
        <v>2766.1</v>
      </c>
      <c r="N13" s="43">
        <v>2861.13</v>
      </c>
      <c r="O13" s="43">
        <v>2835.61</v>
      </c>
      <c r="P13" s="43">
        <v>2629.47</v>
      </c>
      <c r="Q13" s="43">
        <v>2912.09</v>
      </c>
      <c r="R13" s="43">
        <v>2744.05</v>
      </c>
      <c r="S13" s="43">
        <v>2668.92</v>
      </c>
      <c r="T13" s="43">
        <v>2754.34</v>
      </c>
      <c r="U13" s="43">
        <v>2706.58</v>
      </c>
      <c r="V13" s="43">
        <v>2744.36</v>
      </c>
      <c r="W13" s="43">
        <v>2643.76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2750.8304761904765</v>
      </c>
      <c r="C14" s="44">
        <f t="shared" ref="C14:W14" si="0">AVERAGE($B$13:$V$13)</f>
        <v>2750.8304761904765</v>
      </c>
      <c r="D14" s="44">
        <f t="shared" si="0"/>
        <v>2750.8304761904765</v>
      </c>
      <c r="E14" s="44">
        <f t="shared" si="0"/>
        <v>2750.8304761904765</v>
      </c>
      <c r="F14" s="44">
        <f t="shared" si="0"/>
        <v>2750.8304761904765</v>
      </c>
      <c r="G14" s="44">
        <f t="shared" si="0"/>
        <v>2750.8304761904765</v>
      </c>
      <c r="H14" s="44">
        <f t="shared" si="0"/>
        <v>2750.8304761904765</v>
      </c>
      <c r="I14" s="44">
        <f t="shared" si="0"/>
        <v>2750.8304761904765</v>
      </c>
      <c r="J14" s="44">
        <f t="shared" si="0"/>
        <v>2750.8304761904765</v>
      </c>
      <c r="K14" s="44">
        <f t="shared" si="0"/>
        <v>2750.8304761904765</v>
      </c>
      <c r="L14" s="44">
        <f t="shared" si="0"/>
        <v>2750.8304761904765</v>
      </c>
      <c r="M14" s="44">
        <f t="shared" si="0"/>
        <v>2750.8304761904765</v>
      </c>
      <c r="N14" s="44">
        <f t="shared" si="0"/>
        <v>2750.8304761904765</v>
      </c>
      <c r="O14" s="44">
        <f t="shared" si="0"/>
        <v>2750.8304761904765</v>
      </c>
      <c r="P14" s="44">
        <f t="shared" si="0"/>
        <v>2750.8304761904765</v>
      </c>
      <c r="Q14" s="44">
        <f t="shared" si="0"/>
        <v>2750.8304761904765</v>
      </c>
      <c r="R14" s="44">
        <f t="shared" si="0"/>
        <v>2750.8304761904765</v>
      </c>
      <c r="S14" s="44">
        <f t="shared" si="0"/>
        <v>2750.8304761904765</v>
      </c>
      <c r="T14" s="44">
        <f t="shared" si="0"/>
        <v>2750.8304761904765</v>
      </c>
      <c r="U14" s="44">
        <f t="shared" si="0"/>
        <v>2750.8304761904765</v>
      </c>
      <c r="V14" s="44">
        <f t="shared" si="0"/>
        <v>2750.8304761904765</v>
      </c>
      <c r="W14" s="44">
        <f t="shared" si="0"/>
        <v>2750.8304761904765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1.0152243201360489</v>
      </c>
      <c r="C15" s="46">
        <f t="shared" ref="C15:W15" si="1">C13/C14</f>
        <v>1.018187061777361</v>
      </c>
      <c r="D15" s="46">
        <f t="shared" si="1"/>
        <v>0.98136545431128674</v>
      </c>
      <c r="E15" s="46">
        <f t="shared" si="1"/>
        <v>0.95619850905631265</v>
      </c>
      <c r="F15" s="46">
        <f t="shared" si="1"/>
        <v>0.98178350988030605</v>
      </c>
      <c r="G15" s="46">
        <f t="shared" si="1"/>
        <v>0.9481863831944084</v>
      </c>
      <c r="H15" s="46">
        <f t="shared" si="1"/>
        <v>0.94568532031192654</v>
      </c>
      <c r="I15" s="46">
        <f t="shared" si="1"/>
        <v>0.91730480007422854</v>
      </c>
      <c r="J15" s="46">
        <f t="shared" si="1"/>
        <v>1.0191613130164674</v>
      </c>
      <c r="K15" s="46">
        <f t="shared" si="1"/>
        <v>1.0242906730850458</v>
      </c>
      <c r="L15" s="46">
        <f t="shared" si="1"/>
        <v>1.151045121611759</v>
      </c>
      <c r="M15" s="46">
        <f t="shared" si="1"/>
        <v>1.0055508777955193</v>
      </c>
      <c r="N15" s="46">
        <f t="shared" si="1"/>
        <v>1.0400968088598006</v>
      </c>
      <c r="O15" s="46">
        <f t="shared" si="1"/>
        <v>1.0308196104933851</v>
      </c>
      <c r="P15" s="46">
        <f t="shared" si="1"/>
        <v>0.9558822409301847</v>
      </c>
      <c r="Q15" s="46">
        <f t="shared" si="1"/>
        <v>1.0586221234660909</v>
      </c>
      <c r="R15" s="46">
        <f t="shared" si="1"/>
        <v>0.99753511666779759</v>
      </c>
      <c r="S15" s="46">
        <f t="shared" si="1"/>
        <v>0.97022336458046254</v>
      </c>
      <c r="T15" s="46">
        <f t="shared" si="1"/>
        <v>1.0012758051940678</v>
      </c>
      <c r="U15" s="46">
        <f t="shared" si="1"/>
        <v>0.98391377564939686</v>
      </c>
      <c r="V15" s="46">
        <f t="shared" si="1"/>
        <v>0.99764780990814195</v>
      </c>
      <c r="W15" s="46">
        <f t="shared" si="1"/>
        <v>0.96107703578347936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38062.182649398084</v>
      </c>
      <c r="C19" s="34">
        <f t="shared" si="2"/>
        <v>39504.340151886783</v>
      </c>
      <c r="D19" s="34">
        <f t="shared" ref="D19:W19" si="3">D4*1000000/D3</f>
        <v>41117.05834578065</v>
      </c>
      <c r="E19" s="34">
        <f t="shared" si="3"/>
        <v>41667.066232314857</v>
      </c>
      <c r="F19" s="34">
        <f t="shared" si="3"/>
        <v>43781.692936844382</v>
      </c>
      <c r="G19" s="34">
        <f t="shared" si="3"/>
        <v>45361.815446520537</v>
      </c>
      <c r="H19" s="34">
        <f t="shared" si="3"/>
        <v>46532.816745625692</v>
      </c>
      <c r="I19" s="34">
        <f t="shared" si="3"/>
        <v>47513.693610609022</v>
      </c>
      <c r="J19" s="34">
        <f t="shared" si="3"/>
        <v>44185.351234327318</v>
      </c>
      <c r="K19" s="34">
        <f t="shared" si="3"/>
        <v>41344.190304233103</v>
      </c>
      <c r="L19" s="34">
        <f t="shared" si="3"/>
        <v>41780.43968174998</v>
      </c>
      <c r="M19" s="34">
        <f t="shared" si="3"/>
        <v>42116.760379578722</v>
      </c>
      <c r="N19" s="34">
        <f t="shared" si="3"/>
        <v>41893.779468341178</v>
      </c>
      <c r="O19" s="34">
        <f t="shared" si="3"/>
        <v>42197.346322664642</v>
      </c>
      <c r="P19" s="34">
        <f t="shared" si="3"/>
        <v>45644.867235400234</v>
      </c>
      <c r="Q19" s="34">
        <f t="shared" si="3"/>
        <v>56333.435735683925</v>
      </c>
      <c r="R19" s="34">
        <f t="shared" si="3"/>
        <v>56737.732943618386</v>
      </c>
      <c r="S19" s="34">
        <f t="shared" si="3"/>
        <v>61267.851316055996</v>
      </c>
      <c r="T19" s="34">
        <f t="shared" si="3"/>
        <v>65824.212640139274</v>
      </c>
      <c r="U19" s="34">
        <f t="shared" si="3"/>
        <v>68268.028480235866</v>
      </c>
      <c r="V19" s="34">
        <f t="shared" si="3"/>
        <v>71902.495398642568</v>
      </c>
      <c r="W19" s="34">
        <f t="shared" si="3"/>
        <v>82085.334650392295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73426.729149924402</v>
      </c>
      <c r="C20" s="36">
        <f t="shared" si="4"/>
        <v>70730.444220392776</v>
      </c>
      <c r="D20" s="36">
        <f t="shared" ref="D20:W20" si="5">D5*1000000/D6</f>
        <v>71329.444054847656</v>
      </c>
      <c r="E20" s="36">
        <f t="shared" si="5"/>
        <v>74108.063276567103</v>
      </c>
      <c r="F20" s="36">
        <f t="shared" si="5"/>
        <v>76678.905189483819</v>
      </c>
      <c r="G20" s="36">
        <f t="shared" si="5"/>
        <v>78783.606229505414</v>
      </c>
      <c r="H20" s="36">
        <f t="shared" si="5"/>
        <v>78838.979982093166</v>
      </c>
      <c r="I20" s="36">
        <f t="shared" si="5"/>
        <v>83087.920669452244</v>
      </c>
      <c r="J20" s="36">
        <f t="shared" si="5"/>
        <v>84464.633990277507</v>
      </c>
      <c r="K20" s="36">
        <f t="shared" si="5"/>
        <v>83699.024526341207</v>
      </c>
      <c r="L20" s="36">
        <f t="shared" si="5"/>
        <v>90341.693482450879</v>
      </c>
      <c r="M20" s="36">
        <f t="shared" si="5"/>
        <v>91207.675316335983</v>
      </c>
      <c r="N20" s="36">
        <f t="shared" si="5"/>
        <v>89743.276463996226</v>
      </c>
      <c r="O20" s="36">
        <f t="shared" si="5"/>
        <v>88776.388664258295</v>
      </c>
      <c r="P20" s="36">
        <f t="shared" si="5"/>
        <v>91719.499957775915</v>
      </c>
      <c r="Q20" s="36">
        <f t="shared" si="5"/>
        <v>89089.638411605076</v>
      </c>
      <c r="R20" s="36">
        <f t="shared" si="5"/>
        <v>89795.955873818253</v>
      </c>
      <c r="S20" s="36">
        <f t="shared" si="5"/>
        <v>93914.077640814809</v>
      </c>
      <c r="T20" s="36">
        <f t="shared" si="5"/>
        <v>100575.08444406791</v>
      </c>
      <c r="U20" s="36">
        <f t="shared" si="5"/>
        <v>104976.79296745321</v>
      </c>
      <c r="V20" s="36">
        <f t="shared" si="5"/>
        <v>113409.7544873408</v>
      </c>
      <c r="W20" s="36">
        <f t="shared" si="5"/>
        <v>119695.44796241667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22845.767535190567</v>
      </c>
      <c r="C21" s="36">
        <f t="shared" si="6"/>
        <v>22492.742724549174</v>
      </c>
      <c r="D21" s="36">
        <f t="shared" ref="D21:W21" si="7">D5*1000000/D3</f>
        <v>23034.220432010123</v>
      </c>
      <c r="E21" s="36">
        <f t="shared" si="7"/>
        <v>24313.713949925826</v>
      </c>
      <c r="F21" s="36">
        <f t="shared" si="7"/>
        <v>25698.565603965133</v>
      </c>
      <c r="G21" s="36">
        <f t="shared" si="7"/>
        <v>27299.96912390201</v>
      </c>
      <c r="H21" s="36">
        <f t="shared" si="7"/>
        <v>27952.703015972471</v>
      </c>
      <c r="I21" s="36">
        <f t="shared" si="7"/>
        <v>30113.191985892619</v>
      </c>
      <c r="J21" s="36">
        <f t="shared" si="7"/>
        <v>30086.190968223345</v>
      </c>
      <c r="K21" s="36">
        <f t="shared" si="7"/>
        <v>28107.984983112339</v>
      </c>
      <c r="L21" s="36">
        <f t="shared" si="7"/>
        <v>29409.223451953727</v>
      </c>
      <c r="M21" s="36">
        <f t="shared" si="7"/>
        <v>29218.743381354885</v>
      </c>
      <c r="N21" s="36">
        <f t="shared" si="7"/>
        <v>28635.290599618824</v>
      </c>
      <c r="O21" s="36">
        <f t="shared" si="7"/>
        <v>28955.778395481775</v>
      </c>
      <c r="P21" s="36">
        <f t="shared" si="7"/>
        <v>30618.045643678979</v>
      </c>
      <c r="Q21" s="36">
        <f t="shared" si="7"/>
        <v>30250.039175847069</v>
      </c>
      <c r="R21" s="36">
        <f t="shared" si="7"/>
        <v>31131.244172918206</v>
      </c>
      <c r="S21" s="36">
        <f t="shared" si="7"/>
        <v>33036.304119103283</v>
      </c>
      <c r="T21" s="36">
        <f t="shared" si="7"/>
        <v>36144.751366075398</v>
      </c>
      <c r="U21" s="36">
        <f t="shared" si="7"/>
        <v>38508.586464836073</v>
      </c>
      <c r="V21" s="36">
        <f t="shared" si="7"/>
        <v>39770.308389687729</v>
      </c>
      <c r="W21" s="36">
        <f t="shared" si="7"/>
        <v>44244.282685733204</v>
      </c>
      <c r="DA21" s="89"/>
    </row>
    <row r="22" spans="1:105" ht="12" customHeight="1" x14ac:dyDescent="0.25">
      <c r="A22" s="51" t="s">
        <v>152</v>
      </c>
      <c r="B22" s="52">
        <v>1.5702952640978602</v>
      </c>
      <c r="C22" s="52">
        <v>1.5067471153666332</v>
      </c>
      <c r="D22" s="52">
        <v>1.513625440655046</v>
      </c>
      <c r="E22" s="52">
        <v>1.5799738319769328</v>
      </c>
      <c r="F22" s="52">
        <v>1.6317371275121682</v>
      </c>
      <c r="G22" s="52">
        <v>1.6990423565636534</v>
      </c>
      <c r="H22" s="52">
        <v>1.690516081843999</v>
      </c>
      <c r="I22" s="52">
        <v>1.7673967551500283</v>
      </c>
      <c r="J22" s="52">
        <v>1.7428927098503277</v>
      </c>
      <c r="K22" s="52">
        <v>1.6656959569312704</v>
      </c>
      <c r="L22" s="52">
        <v>1.7195796869904745</v>
      </c>
      <c r="M22" s="52">
        <v>1.6766164958793557</v>
      </c>
      <c r="N22" s="52">
        <v>1.648140800831938</v>
      </c>
      <c r="O22" s="52">
        <v>1.6602716303627294</v>
      </c>
      <c r="P22" s="52">
        <v>1.7328832702114711</v>
      </c>
      <c r="Q22" s="52">
        <v>1.6874800356935138</v>
      </c>
      <c r="R22" s="52">
        <v>1.7088930984986734</v>
      </c>
      <c r="S22" s="52">
        <v>1.7668796092670631</v>
      </c>
      <c r="T22" s="52">
        <v>1.8931437519615457</v>
      </c>
      <c r="U22" s="52">
        <v>1.9791952003987348</v>
      </c>
      <c r="V22" s="52">
        <v>2.1654165958666143</v>
      </c>
      <c r="W22" s="52">
        <v>2.2864336426859233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30.700754169707249</v>
      </c>
      <c r="C23" s="53">
        <f t="shared" si="8"/>
        <v>31.049877952102268</v>
      </c>
      <c r="D23" s="53">
        <f t="shared" ref="D23:W23" si="9">D6/D8</f>
        <v>31.296855141613875</v>
      </c>
      <c r="E23" s="53">
        <f t="shared" si="9"/>
        <v>31.700151841119386</v>
      </c>
      <c r="F23" s="53">
        <f t="shared" si="9"/>
        <v>32.192602053505581</v>
      </c>
      <c r="G23" s="53">
        <f t="shared" si="9"/>
        <v>32.892675665259716</v>
      </c>
      <c r="H23" s="53">
        <f t="shared" si="9"/>
        <v>33.476296627841286</v>
      </c>
      <c r="I23" s="53">
        <f t="shared" si="9"/>
        <v>33.507227388474263</v>
      </c>
      <c r="J23" s="53">
        <f t="shared" si="9"/>
        <v>33.349706248108291</v>
      </c>
      <c r="K23" s="53">
        <f t="shared" si="9"/>
        <v>32.761549128569953</v>
      </c>
      <c r="L23" s="53">
        <f t="shared" si="9"/>
        <v>32.358006889223844</v>
      </c>
      <c r="M23" s="53">
        <f t="shared" si="9"/>
        <v>31.770865391523511</v>
      </c>
      <c r="N23" s="53">
        <f t="shared" si="9"/>
        <v>31.841547398405758</v>
      </c>
      <c r="O23" s="53">
        <f t="shared" si="9"/>
        <v>32.527659656864074</v>
      </c>
      <c r="P23" s="53">
        <f t="shared" si="9"/>
        <v>32.985191051162069</v>
      </c>
      <c r="Q23" s="53">
        <f t="shared" si="9"/>
        <v>33.706008069460367</v>
      </c>
      <c r="R23" s="53">
        <f t="shared" si="9"/>
        <v>33.810527408656625</v>
      </c>
      <c r="S23" s="53">
        <f t="shared" si="9"/>
        <v>34.161598328122309</v>
      </c>
      <c r="T23" s="53">
        <f t="shared" si="9"/>
        <v>34.472351342012558</v>
      </c>
      <c r="U23" s="53">
        <f t="shared" si="9"/>
        <v>35.122776128708104</v>
      </c>
      <c r="V23" s="53">
        <f t="shared" si="9"/>
        <v>33.502717032914866</v>
      </c>
      <c r="W23" s="53">
        <f t="shared" si="9"/>
        <v>35.158238296722921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9.1210541909706979</v>
      </c>
      <c r="C24" s="54">
        <f t="shared" si="10"/>
        <v>9.2176166443682881</v>
      </c>
      <c r="D24" s="54">
        <f t="shared" ref="D24:W24" si="11">D9*1000/D3</f>
        <v>9.2863808147831968</v>
      </c>
      <c r="E24" s="54">
        <f t="shared" si="11"/>
        <v>9.3146599822775116</v>
      </c>
      <c r="F24" s="54">
        <f t="shared" si="11"/>
        <v>9.3695645642748744</v>
      </c>
      <c r="G24" s="54">
        <f t="shared" si="11"/>
        <v>9.4813375040875698</v>
      </c>
      <c r="H24" s="54">
        <f t="shared" si="11"/>
        <v>9.5320852028469076</v>
      </c>
      <c r="I24" s="54">
        <f t="shared" si="11"/>
        <v>9.7347077730521292</v>
      </c>
      <c r="J24" s="54">
        <f t="shared" si="11"/>
        <v>9.6126426976118751</v>
      </c>
      <c r="K24" s="54">
        <f t="shared" si="11"/>
        <v>9.2254465412502888</v>
      </c>
      <c r="L24" s="54">
        <f t="shared" si="11"/>
        <v>9.0543249368241057</v>
      </c>
      <c r="M24" s="54">
        <f t="shared" si="11"/>
        <v>9.0749368677552553</v>
      </c>
      <c r="N24" s="54">
        <f t="shared" si="11"/>
        <v>9.018784672485058</v>
      </c>
      <c r="O24" s="54">
        <f t="shared" si="11"/>
        <v>9.0245896190199222</v>
      </c>
      <c r="P24" s="54">
        <f t="shared" si="11"/>
        <v>9.1083412496122076</v>
      </c>
      <c r="Q24" s="54">
        <f t="shared" si="11"/>
        <v>9.0663803434709571</v>
      </c>
      <c r="R24" s="54">
        <f t="shared" si="11"/>
        <v>9.2284818840100549</v>
      </c>
      <c r="S24" s="54">
        <f t="shared" si="11"/>
        <v>9.2675531490820013</v>
      </c>
      <c r="T24" s="54">
        <f t="shared" si="11"/>
        <v>9.3826699104123179</v>
      </c>
      <c r="U24" s="54">
        <f t="shared" si="11"/>
        <v>9.3997856502673596</v>
      </c>
      <c r="V24" s="54">
        <f t="shared" si="11"/>
        <v>9.4204365447059484</v>
      </c>
      <c r="W24" s="54">
        <f t="shared" si="11"/>
        <v>9.4622611076980299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29.315240760047491</v>
      </c>
      <c r="C25" s="54">
        <f t="shared" si="12"/>
        <v>28.98562117984314</v>
      </c>
      <c r="D25" s="54">
        <f t="shared" ref="D25:W25" si="13">D9*1000/D6</f>
        <v>28.756882949664632</v>
      </c>
      <c r="E25" s="54">
        <f t="shared" si="13"/>
        <v>28.391031201073876</v>
      </c>
      <c r="F25" s="54">
        <f t="shared" si="13"/>
        <v>27.956733615510753</v>
      </c>
      <c r="G25" s="54">
        <f t="shared" si="13"/>
        <v>27.361714478903082</v>
      </c>
      <c r="H25" s="54">
        <f t="shared" si="13"/>
        <v>26.88469426607648</v>
      </c>
      <c r="I25" s="54">
        <f t="shared" si="13"/>
        <v>26.859876813011983</v>
      </c>
      <c r="J25" s="54">
        <f t="shared" si="13"/>
        <v>26.986744449992003</v>
      </c>
      <c r="K25" s="54">
        <f t="shared" si="13"/>
        <v>27.471228435139786</v>
      </c>
      <c r="L25" s="54">
        <f t="shared" si="13"/>
        <v>27.813826824411922</v>
      </c>
      <c r="M25" s="54">
        <f t="shared" si="13"/>
        <v>28.327840268402653</v>
      </c>
      <c r="N25" s="54">
        <f t="shared" si="13"/>
        <v>28.264958004052946</v>
      </c>
      <c r="O25" s="54">
        <f t="shared" si="13"/>
        <v>27.668759741529069</v>
      </c>
      <c r="P25" s="54">
        <f t="shared" si="13"/>
        <v>27.284971568121112</v>
      </c>
      <c r="Q25" s="54">
        <f t="shared" si="13"/>
        <v>26.701471089228544</v>
      </c>
      <c r="R25" s="54">
        <f t="shared" si="13"/>
        <v>26.618928155778185</v>
      </c>
      <c r="S25" s="54">
        <f t="shared" si="13"/>
        <v>26.345371529619189</v>
      </c>
      <c r="T25" s="54">
        <f t="shared" si="13"/>
        <v>26.107879647395595</v>
      </c>
      <c r="U25" s="54">
        <f t="shared" si="13"/>
        <v>25.624398159813232</v>
      </c>
      <c r="V25" s="54">
        <f t="shared" si="13"/>
        <v>26.863492865841049</v>
      </c>
      <c r="W25" s="54">
        <f t="shared" si="13"/>
        <v>25.59855224838978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900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900.00000000000011</v>
      </c>
      <c r="O26" s="55">
        <f t="shared" si="15"/>
        <v>899.99999999999989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899.99999999999989</v>
      </c>
      <c r="T26" s="55">
        <f t="shared" si="15"/>
        <v>900</v>
      </c>
      <c r="U26" s="55">
        <f t="shared" si="15"/>
        <v>900</v>
      </c>
      <c r="V26" s="55">
        <f t="shared" si="15"/>
        <v>899.99999999999989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899.99999999999989</v>
      </c>
      <c r="E27" s="57">
        <f t="shared" si="17"/>
        <v>900.00000000000011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900.00000000000023</v>
      </c>
      <c r="K27" s="57">
        <f t="shared" si="17"/>
        <v>900</v>
      </c>
      <c r="L27" s="57">
        <f t="shared" si="17"/>
        <v>900</v>
      </c>
      <c r="M27" s="57">
        <f t="shared" si="17"/>
        <v>900.00000000000011</v>
      </c>
      <c r="N27" s="57">
        <f t="shared" si="17"/>
        <v>900.00000000000011</v>
      </c>
      <c r="O27" s="57">
        <f t="shared" si="17"/>
        <v>899.99999999999989</v>
      </c>
      <c r="P27" s="57">
        <f t="shared" si="17"/>
        <v>900</v>
      </c>
      <c r="Q27" s="57">
        <f t="shared" si="17"/>
        <v>900</v>
      </c>
      <c r="R27" s="57">
        <f t="shared" si="17"/>
        <v>899.99999999999989</v>
      </c>
      <c r="S27" s="57">
        <f t="shared" si="17"/>
        <v>900</v>
      </c>
      <c r="T27" s="57">
        <f t="shared" si="17"/>
        <v>900</v>
      </c>
      <c r="U27" s="57">
        <f t="shared" si="17"/>
        <v>899.99999999999989</v>
      </c>
      <c r="V27" s="57">
        <f t="shared" si="17"/>
        <v>899.99999999999989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1156.4925193465174</v>
      </c>
      <c r="C31" s="80">
        <f t="shared" ref="C31:W31" si="18">SUM(C32:C33,C36:C37,C44:C45)</f>
        <v>1181.8563198624247</v>
      </c>
      <c r="D31" s="80">
        <f t="shared" si="18"/>
        <v>1213.6594153052449</v>
      </c>
      <c r="E31" s="80">
        <f t="shared" si="18"/>
        <v>1293.7456577815992</v>
      </c>
      <c r="F31" s="80">
        <f t="shared" si="18"/>
        <v>1281.1061908856404</v>
      </c>
      <c r="G31" s="80">
        <f t="shared" si="18"/>
        <v>1374.1591573516766</v>
      </c>
      <c r="H31" s="80">
        <f t="shared" si="18"/>
        <v>1457.4187446259673</v>
      </c>
      <c r="I31" s="80">
        <f t="shared" si="18"/>
        <v>1482.1021496130695</v>
      </c>
      <c r="J31" s="80">
        <f t="shared" si="18"/>
        <v>1560.0456023914196</v>
      </c>
      <c r="K31" s="80">
        <f t="shared" si="18"/>
        <v>1434.0531851476196</v>
      </c>
      <c r="L31" s="80">
        <f t="shared" si="18"/>
        <v>1444.0182170036933</v>
      </c>
      <c r="M31" s="80">
        <f t="shared" si="18"/>
        <v>1447.9504737763968</v>
      </c>
      <c r="N31" s="80">
        <f t="shared" si="18"/>
        <v>1466.8959882774186</v>
      </c>
      <c r="O31" s="80">
        <f t="shared" si="18"/>
        <v>1503.3624495321476</v>
      </c>
      <c r="P31" s="80">
        <f t="shared" si="18"/>
        <v>1444.3891856252344</v>
      </c>
      <c r="Q31" s="80">
        <f t="shared" si="18"/>
        <v>1557.0525174017791</v>
      </c>
      <c r="R31" s="80">
        <f t="shared" si="18"/>
        <v>1580.5622901128067</v>
      </c>
      <c r="S31" s="80">
        <f t="shared" si="18"/>
        <v>1585.5142335759299</v>
      </c>
      <c r="T31" s="80">
        <f t="shared" si="18"/>
        <v>1748.3354861101161</v>
      </c>
      <c r="U31" s="80">
        <f t="shared" si="18"/>
        <v>1786.0002488831155</v>
      </c>
      <c r="V31" s="80">
        <f t="shared" si="18"/>
        <v>1693.890008248336</v>
      </c>
      <c r="W31" s="80">
        <f t="shared" si="18"/>
        <v>1724.6392936493489</v>
      </c>
      <c r="DA31" s="103" t="s">
        <v>198</v>
      </c>
    </row>
    <row r="32" spans="1:105" ht="12" customHeight="1" x14ac:dyDescent="0.25">
      <c r="A32" s="58" t="s">
        <v>29</v>
      </c>
      <c r="B32" s="59">
        <v>3.987016337059329</v>
      </c>
      <c r="C32" s="59">
        <v>4.4300085984522788</v>
      </c>
      <c r="D32" s="59">
        <v>3.1010318142734299</v>
      </c>
      <c r="E32" s="59">
        <v>27.816852966466033</v>
      </c>
      <c r="F32" s="59">
        <v>26.829492691315565</v>
      </c>
      <c r="G32" s="59">
        <v>27.074032674118655</v>
      </c>
      <c r="H32" s="59">
        <v>26.995270851246772</v>
      </c>
      <c r="I32" s="59">
        <v>26.619776440240756</v>
      </c>
      <c r="J32" s="59">
        <v>26.615993121238176</v>
      </c>
      <c r="K32" s="59">
        <v>0.49871023215821148</v>
      </c>
      <c r="L32" s="59">
        <v>0.9920034393809114</v>
      </c>
      <c r="M32" s="59">
        <v>1.5126397248495269</v>
      </c>
      <c r="N32" s="59">
        <v>0.62699914015477209</v>
      </c>
      <c r="O32" s="59">
        <v>0.57317282889079968</v>
      </c>
      <c r="P32" s="59">
        <v>0.27996560619088562</v>
      </c>
      <c r="Q32" s="59">
        <v>0.27927773000859851</v>
      </c>
      <c r="R32" s="59">
        <v>0.60773860705073079</v>
      </c>
      <c r="S32" s="59">
        <v>0.53525365434221839</v>
      </c>
      <c r="T32" s="59">
        <v>0.56319862424763534</v>
      </c>
      <c r="U32" s="59">
        <v>0.45408426483233011</v>
      </c>
      <c r="V32" s="59">
        <v>0.18082545141874459</v>
      </c>
      <c r="W32" s="59">
        <v>0.19681857265692179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379.16070507308677</v>
      </c>
      <c r="C33" s="55">
        <f t="shared" ref="C33:W33" si="19">SUM(C34:C35)</f>
        <v>369.93594153052447</v>
      </c>
      <c r="D33" s="55">
        <f t="shared" si="19"/>
        <v>354.1073086844367</v>
      </c>
      <c r="E33" s="55">
        <f t="shared" si="19"/>
        <v>337.14780739466892</v>
      </c>
      <c r="F33" s="55">
        <f t="shared" si="19"/>
        <v>309.60550300945829</v>
      </c>
      <c r="G33" s="55">
        <f t="shared" si="19"/>
        <v>321.57764402407565</v>
      </c>
      <c r="H33" s="55">
        <f t="shared" si="19"/>
        <v>296.86517626827174</v>
      </c>
      <c r="I33" s="55">
        <f t="shared" si="19"/>
        <v>275.16766981943249</v>
      </c>
      <c r="J33" s="55">
        <f t="shared" si="19"/>
        <v>287.03018056749784</v>
      </c>
      <c r="K33" s="55">
        <f t="shared" si="19"/>
        <v>223.7905417024935</v>
      </c>
      <c r="L33" s="55">
        <f t="shared" si="19"/>
        <v>237.44290627687019</v>
      </c>
      <c r="M33" s="55">
        <f t="shared" si="19"/>
        <v>217.98005159071366</v>
      </c>
      <c r="N33" s="55">
        <f t="shared" si="19"/>
        <v>208.78211521926053</v>
      </c>
      <c r="O33" s="55">
        <f t="shared" si="19"/>
        <v>253.90507308684442</v>
      </c>
      <c r="P33" s="55">
        <f t="shared" si="19"/>
        <v>229.70679277730005</v>
      </c>
      <c r="Q33" s="55">
        <f t="shared" si="19"/>
        <v>245.68271711092007</v>
      </c>
      <c r="R33" s="55">
        <f t="shared" si="19"/>
        <v>227.00791057609624</v>
      </c>
      <c r="S33" s="55">
        <f t="shared" si="19"/>
        <v>216.30627687016332</v>
      </c>
      <c r="T33" s="55">
        <f t="shared" si="19"/>
        <v>234.63413585554602</v>
      </c>
      <c r="U33" s="55">
        <f t="shared" si="19"/>
        <v>220.17635425623382</v>
      </c>
      <c r="V33" s="55">
        <f t="shared" si="19"/>
        <v>190.80240756663795</v>
      </c>
      <c r="W33" s="55">
        <f t="shared" si="19"/>
        <v>193.27730008598451</v>
      </c>
      <c r="DA33" s="101"/>
    </row>
    <row r="34" spans="1:105" ht="12" customHeight="1" x14ac:dyDescent="0.25">
      <c r="A34" s="61" t="s">
        <v>52</v>
      </c>
      <c r="B34" s="55">
        <v>40.052450558899388</v>
      </c>
      <c r="C34" s="55">
        <v>44.884264832330182</v>
      </c>
      <c r="D34" s="55">
        <v>46.157007738607049</v>
      </c>
      <c r="E34" s="55">
        <v>49.044797936371452</v>
      </c>
      <c r="F34" s="55">
        <v>53.55227858985382</v>
      </c>
      <c r="G34" s="55">
        <v>63.945743766122092</v>
      </c>
      <c r="H34" s="55">
        <v>66.815563198624247</v>
      </c>
      <c r="I34" s="55">
        <v>70.708082545141878</v>
      </c>
      <c r="J34" s="55">
        <v>80.593637145313835</v>
      </c>
      <c r="K34" s="55">
        <v>58.158813413585548</v>
      </c>
      <c r="L34" s="55">
        <v>75.010576096302671</v>
      </c>
      <c r="M34" s="55">
        <v>74.448581255374023</v>
      </c>
      <c r="N34" s="55">
        <v>70.039036973344793</v>
      </c>
      <c r="O34" s="55">
        <v>81.75374032674118</v>
      </c>
      <c r="P34" s="55">
        <v>64.211607910576092</v>
      </c>
      <c r="Q34" s="55">
        <v>69.122269991401552</v>
      </c>
      <c r="R34" s="55">
        <v>58.672398968185718</v>
      </c>
      <c r="S34" s="55">
        <v>60.771797076526219</v>
      </c>
      <c r="T34" s="55">
        <v>66.500171969045567</v>
      </c>
      <c r="U34" s="55">
        <v>66.273774720550293</v>
      </c>
      <c r="V34" s="55">
        <v>53.480137575236448</v>
      </c>
      <c r="W34" s="55">
        <v>60.584780739466893</v>
      </c>
      <c r="DA34" s="101" t="s">
        <v>200</v>
      </c>
    </row>
    <row r="35" spans="1:105" ht="12" customHeight="1" x14ac:dyDescent="0.25">
      <c r="A35" s="61" t="s">
        <v>170</v>
      </c>
      <c r="B35" s="55">
        <v>339.10825451418737</v>
      </c>
      <c r="C35" s="55">
        <v>325.05167669819429</v>
      </c>
      <c r="D35" s="55">
        <v>307.95030094582967</v>
      </c>
      <c r="E35" s="55">
        <v>288.10300945829749</v>
      </c>
      <c r="F35" s="55">
        <v>256.05322441960448</v>
      </c>
      <c r="G35" s="55">
        <v>257.63190025795359</v>
      </c>
      <c r="H35" s="55">
        <v>230.04961306964748</v>
      </c>
      <c r="I35" s="55">
        <v>204.45958727429061</v>
      </c>
      <c r="J35" s="55">
        <v>206.436543422184</v>
      </c>
      <c r="K35" s="55">
        <v>165.63172828890794</v>
      </c>
      <c r="L35" s="55">
        <v>162.43233018056753</v>
      </c>
      <c r="M35" s="55">
        <v>143.53147033533963</v>
      </c>
      <c r="N35" s="55">
        <v>138.74307824591574</v>
      </c>
      <c r="O35" s="55">
        <v>172.15133276010323</v>
      </c>
      <c r="P35" s="55">
        <v>165.49518486672395</v>
      </c>
      <c r="Q35" s="55">
        <v>176.56044711951853</v>
      </c>
      <c r="R35" s="55">
        <v>168.33551160791052</v>
      </c>
      <c r="S35" s="55">
        <v>155.5344797936371</v>
      </c>
      <c r="T35" s="55">
        <v>168.13396388650045</v>
      </c>
      <c r="U35" s="55">
        <v>153.90257953568351</v>
      </c>
      <c r="V35" s="55">
        <v>137.3222699914015</v>
      </c>
      <c r="W35" s="55">
        <v>132.6925193465176</v>
      </c>
      <c r="DA35" s="101" t="s">
        <v>201</v>
      </c>
    </row>
    <row r="36" spans="1:105" ht="12" customHeight="1" x14ac:dyDescent="0.25">
      <c r="A36" s="60" t="s">
        <v>153</v>
      </c>
      <c r="B36" s="55">
        <v>292.6913155631986</v>
      </c>
      <c r="C36" s="55">
        <v>288.874290627687</v>
      </c>
      <c r="D36" s="55">
        <v>276.76208082545139</v>
      </c>
      <c r="E36" s="55">
        <v>283.04350816852963</v>
      </c>
      <c r="F36" s="55">
        <v>287.05159071367149</v>
      </c>
      <c r="G36" s="55">
        <v>289.88718830610492</v>
      </c>
      <c r="H36" s="55">
        <v>318.45795356835771</v>
      </c>
      <c r="I36" s="55">
        <v>326.71014617368871</v>
      </c>
      <c r="J36" s="55">
        <v>337.74196044711948</v>
      </c>
      <c r="K36" s="55">
        <v>317.5358555460017</v>
      </c>
      <c r="L36" s="55">
        <v>343.94514187446248</v>
      </c>
      <c r="M36" s="55">
        <v>347.81711092003428</v>
      </c>
      <c r="N36" s="55">
        <v>377.35846947549442</v>
      </c>
      <c r="O36" s="55">
        <v>359.70094582975071</v>
      </c>
      <c r="P36" s="55">
        <v>338.89363714531379</v>
      </c>
      <c r="Q36" s="55">
        <v>364.32691315563198</v>
      </c>
      <c r="R36" s="55">
        <v>367.02975064488379</v>
      </c>
      <c r="S36" s="55">
        <v>368.06534823731732</v>
      </c>
      <c r="T36" s="55">
        <v>405.70636285468612</v>
      </c>
      <c r="U36" s="55">
        <v>409.32407566638011</v>
      </c>
      <c r="V36" s="55">
        <v>416.47153912295789</v>
      </c>
      <c r="W36" s="55">
        <v>334.87222699914008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</v>
      </c>
      <c r="C37" s="55">
        <f t="shared" ref="C37:W37" si="20">SUM(C38:C42)</f>
        <v>0</v>
      </c>
      <c r="D37" s="55">
        <f t="shared" si="20"/>
        <v>0</v>
      </c>
      <c r="E37" s="55">
        <f t="shared" si="20"/>
        <v>2.4361994840928629</v>
      </c>
      <c r="F37" s="55">
        <f t="shared" si="20"/>
        <v>2.412381771281169</v>
      </c>
      <c r="G37" s="55">
        <f t="shared" si="20"/>
        <v>3.1435941530524496</v>
      </c>
      <c r="H37" s="55">
        <f t="shared" si="20"/>
        <v>6.0080825451418738</v>
      </c>
      <c r="I37" s="55">
        <f t="shared" si="20"/>
        <v>9.5934651762682694</v>
      </c>
      <c r="J37" s="55">
        <f t="shared" si="20"/>
        <v>15.074376612209798</v>
      </c>
      <c r="K37" s="55">
        <f t="shared" si="20"/>
        <v>18.344539982803088</v>
      </c>
      <c r="L37" s="55">
        <f t="shared" si="20"/>
        <v>15.992175408426487</v>
      </c>
      <c r="M37" s="55">
        <f t="shared" si="20"/>
        <v>20.148925193465175</v>
      </c>
      <c r="N37" s="55">
        <f t="shared" si="20"/>
        <v>23.195614789337913</v>
      </c>
      <c r="O37" s="55">
        <f t="shared" si="20"/>
        <v>29.629750644883917</v>
      </c>
      <c r="P37" s="55">
        <f t="shared" si="20"/>
        <v>32.573946689595878</v>
      </c>
      <c r="Q37" s="55">
        <f t="shared" si="20"/>
        <v>21.725967325881332</v>
      </c>
      <c r="R37" s="55">
        <f t="shared" si="20"/>
        <v>30.133705932932074</v>
      </c>
      <c r="S37" s="55">
        <f t="shared" si="20"/>
        <v>27.112467755803959</v>
      </c>
      <c r="T37" s="55">
        <f t="shared" si="20"/>
        <v>23.785898538263101</v>
      </c>
      <c r="U37" s="55">
        <f t="shared" si="20"/>
        <v>20.487790197764394</v>
      </c>
      <c r="V37" s="55">
        <f t="shared" si="20"/>
        <v>22.074290627687009</v>
      </c>
      <c r="W37" s="55">
        <f t="shared" si="20"/>
        <v>24.874290627687017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0.17231298366294057</v>
      </c>
      <c r="H38" s="55">
        <v>1.382717110920034</v>
      </c>
      <c r="I38" s="55">
        <v>5.8154772141014597</v>
      </c>
      <c r="J38" s="55">
        <v>11.26345657781599</v>
      </c>
      <c r="K38" s="55">
        <v>14.503009458297498</v>
      </c>
      <c r="L38" s="55">
        <v>12.007566638005162</v>
      </c>
      <c r="M38" s="55">
        <v>15.760963026655201</v>
      </c>
      <c r="N38" s="55">
        <v>19.117024935511601</v>
      </c>
      <c r="O38" s="55">
        <v>25.090197764402401</v>
      </c>
      <c r="P38" s="55">
        <v>27.830266552020646</v>
      </c>
      <c r="Q38" s="55">
        <v>16.694239036973336</v>
      </c>
      <c r="R38" s="55">
        <v>24.733533963886501</v>
      </c>
      <c r="S38" s="55">
        <v>21.056921754084268</v>
      </c>
      <c r="T38" s="55">
        <v>17.996560619088555</v>
      </c>
      <c r="U38" s="55">
        <v>14.009716251074799</v>
      </c>
      <c r="V38" s="55">
        <v>15.690713671539115</v>
      </c>
      <c r="W38" s="55">
        <v>18.560361134995702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2.4361994840928629</v>
      </c>
      <c r="F39" s="55">
        <v>2.412381771281169</v>
      </c>
      <c r="G39" s="55">
        <v>2.9712811693895089</v>
      </c>
      <c r="H39" s="55">
        <v>4.5924333619948401</v>
      </c>
      <c r="I39" s="55">
        <v>3.7403267411865859</v>
      </c>
      <c r="J39" s="55">
        <v>3.716251074806534</v>
      </c>
      <c r="K39" s="55">
        <v>3.7406706792777298</v>
      </c>
      <c r="L39" s="55">
        <v>3.8312983662940669</v>
      </c>
      <c r="M39" s="55">
        <v>4.2234737747205502</v>
      </c>
      <c r="N39" s="55">
        <v>3.912381771281169</v>
      </c>
      <c r="O39" s="55">
        <v>4.3733447979363724</v>
      </c>
      <c r="P39" s="55">
        <v>4.5774720550300936</v>
      </c>
      <c r="Q39" s="55">
        <v>4.865520206362854</v>
      </c>
      <c r="R39" s="55">
        <v>5.2339638865004297</v>
      </c>
      <c r="S39" s="55">
        <v>5.8893379191745474</v>
      </c>
      <c r="T39" s="55">
        <v>5.6227858985382628</v>
      </c>
      <c r="U39" s="55">
        <v>6.3115219260533104</v>
      </c>
      <c r="V39" s="55">
        <v>6.2170249355116081</v>
      </c>
      <c r="W39" s="55">
        <v>6.1473774720550294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3.2932072226999141E-2</v>
      </c>
      <c r="I41" s="55">
        <v>3.7661220980223557E-2</v>
      </c>
      <c r="J41" s="55">
        <v>9.4668959587274282E-2</v>
      </c>
      <c r="K41" s="55">
        <v>0.100859845227859</v>
      </c>
      <c r="L41" s="55">
        <v>0.1533104041272571</v>
      </c>
      <c r="M41" s="55">
        <v>0.1644883920894239</v>
      </c>
      <c r="N41" s="55">
        <v>0.16620808254514191</v>
      </c>
      <c r="O41" s="55">
        <v>0.16620808254514191</v>
      </c>
      <c r="P41" s="55">
        <v>0.16620808254514191</v>
      </c>
      <c r="Q41" s="55">
        <v>0.16620808254514191</v>
      </c>
      <c r="R41" s="55">
        <v>0.16620808254514191</v>
      </c>
      <c r="S41" s="55">
        <v>0.16620808254514191</v>
      </c>
      <c r="T41" s="55">
        <v>0.16655202063628549</v>
      </c>
      <c r="U41" s="55">
        <v>0.16655202063628549</v>
      </c>
      <c r="V41" s="55">
        <v>0.16655202063628549</v>
      </c>
      <c r="W41" s="55">
        <v>0.16655202063628549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3.4848255980386884E-4</v>
      </c>
      <c r="C43" s="55">
        <v>1.0405216722611447E-3</v>
      </c>
      <c r="D43" s="55">
        <v>6.5348237317282877E-3</v>
      </c>
      <c r="E43" s="55">
        <v>0.11951848667239895</v>
      </c>
      <c r="F43" s="55">
        <v>0.2390369733447979</v>
      </c>
      <c r="G43" s="55">
        <v>0.83654342218400701</v>
      </c>
      <c r="H43" s="55">
        <v>1.792519346517627</v>
      </c>
      <c r="I43" s="55">
        <v>2.9876182287188291</v>
      </c>
      <c r="J43" s="55">
        <v>4.5411006018916567</v>
      </c>
      <c r="K43" s="55">
        <v>5.0191745485812582</v>
      </c>
      <c r="L43" s="55">
        <v>5.3340498710232147</v>
      </c>
      <c r="M43" s="55">
        <v>6.1902837489251947</v>
      </c>
      <c r="N43" s="55">
        <v>6.7926053310404066</v>
      </c>
      <c r="O43" s="55">
        <v>7.4429922613929405</v>
      </c>
      <c r="P43" s="55">
        <v>8.4414445399828058</v>
      </c>
      <c r="Q43" s="55">
        <v>10.116595012897694</v>
      </c>
      <c r="R43" s="55">
        <v>12.249269131556311</v>
      </c>
      <c r="S43" s="55">
        <v>14.919862424763544</v>
      </c>
      <c r="T43" s="55">
        <v>15.605331040412736</v>
      </c>
      <c r="U43" s="55">
        <v>17.978589853826328</v>
      </c>
      <c r="V43" s="55">
        <v>20.553224419604454</v>
      </c>
      <c r="W43" s="55">
        <v>21.876956147893381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480.65348237317278</v>
      </c>
      <c r="C45" s="63">
        <v>518.61607910576095</v>
      </c>
      <c r="D45" s="63">
        <v>579.6889939810834</v>
      </c>
      <c r="E45" s="63">
        <v>643.30128976784169</v>
      </c>
      <c r="F45" s="63">
        <v>655.20722269991404</v>
      </c>
      <c r="G45" s="63">
        <v>732.47669819432497</v>
      </c>
      <c r="H45" s="63">
        <v>809.09226139294924</v>
      </c>
      <c r="I45" s="63">
        <v>844.01109200343933</v>
      </c>
      <c r="J45" s="63">
        <v>893.58309164335435</v>
      </c>
      <c r="K45" s="63">
        <v>873.88353768416312</v>
      </c>
      <c r="L45" s="63">
        <v>845.64599000455325</v>
      </c>
      <c r="M45" s="63">
        <v>860.49174634733436</v>
      </c>
      <c r="N45" s="63">
        <v>856.93278965317097</v>
      </c>
      <c r="O45" s="63">
        <v>859.5535071417778</v>
      </c>
      <c r="P45" s="63">
        <v>842.93484340683369</v>
      </c>
      <c r="Q45" s="63">
        <v>925.03764207933716</v>
      </c>
      <c r="R45" s="63">
        <v>955.78318435184394</v>
      </c>
      <c r="S45" s="63">
        <v>973.49488705830299</v>
      </c>
      <c r="T45" s="63">
        <v>1083.6458902373731</v>
      </c>
      <c r="U45" s="63">
        <v>1135.5579444979048</v>
      </c>
      <c r="V45" s="63">
        <v>1064.3609454796344</v>
      </c>
      <c r="W45" s="63">
        <v>1171.4186573638804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1156.4925193465174</v>
      </c>
      <c r="C47" s="82">
        <f t="shared" ref="C47:W47" si="22">SUM(C48,C53)</f>
        <v>1181.8563198624247</v>
      </c>
      <c r="D47" s="82">
        <f t="shared" si="22"/>
        <v>1213.6594153052449</v>
      </c>
      <c r="E47" s="82">
        <f t="shared" si="22"/>
        <v>1293.7456577815992</v>
      </c>
      <c r="F47" s="82">
        <f t="shared" si="22"/>
        <v>1281.1061908856404</v>
      </c>
      <c r="G47" s="82">
        <f t="shared" si="22"/>
        <v>1374.1591573516766</v>
      </c>
      <c r="H47" s="82">
        <f t="shared" si="22"/>
        <v>1457.4187446259675</v>
      </c>
      <c r="I47" s="82">
        <f t="shared" si="22"/>
        <v>1482.10214961307</v>
      </c>
      <c r="J47" s="82">
        <f t="shared" si="22"/>
        <v>1560.0456023914196</v>
      </c>
      <c r="K47" s="82">
        <f t="shared" si="22"/>
        <v>1434.0531851476196</v>
      </c>
      <c r="L47" s="82">
        <f t="shared" si="22"/>
        <v>1444.0182170036935</v>
      </c>
      <c r="M47" s="82">
        <f t="shared" si="22"/>
        <v>1447.9504737763973</v>
      </c>
      <c r="N47" s="82">
        <f t="shared" si="22"/>
        <v>1466.8959882774186</v>
      </c>
      <c r="O47" s="82">
        <f t="shared" si="22"/>
        <v>1503.3624495321478</v>
      </c>
      <c r="P47" s="82">
        <f t="shared" si="22"/>
        <v>1444.3891856252353</v>
      </c>
      <c r="Q47" s="82">
        <f t="shared" si="22"/>
        <v>1557.0525174017794</v>
      </c>
      <c r="R47" s="82">
        <f t="shared" si="22"/>
        <v>1580.5622901128067</v>
      </c>
      <c r="S47" s="82">
        <f t="shared" si="22"/>
        <v>1585.5142335759299</v>
      </c>
      <c r="T47" s="82">
        <f t="shared" si="22"/>
        <v>1748.3354861101159</v>
      </c>
      <c r="U47" s="82">
        <f t="shared" si="22"/>
        <v>1786.0002488831153</v>
      </c>
      <c r="V47" s="82">
        <f t="shared" si="22"/>
        <v>1693.8900082483356</v>
      </c>
      <c r="W47" s="82">
        <f t="shared" si="22"/>
        <v>1724.6392936493489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952.22113755713508</v>
      </c>
      <c r="C48" s="64">
        <f t="shared" ref="C48:W48" si="24">SUM(C49:C52)</f>
        <v>971.15879498710194</v>
      </c>
      <c r="D48" s="64">
        <f t="shared" si="24"/>
        <v>990.48759102582801</v>
      </c>
      <c r="E48" s="64">
        <f t="shared" si="24"/>
        <v>1060.7436244866608</v>
      </c>
      <c r="F48" s="64">
        <f t="shared" si="24"/>
        <v>1038.0054179236668</v>
      </c>
      <c r="G48" s="64">
        <f t="shared" si="24"/>
        <v>1120.8442285151573</v>
      </c>
      <c r="H48" s="64">
        <f t="shared" si="24"/>
        <v>1194.862721558568</v>
      </c>
      <c r="I48" s="64">
        <f t="shared" si="24"/>
        <v>1207.3225865616785</v>
      </c>
      <c r="J48" s="64">
        <f t="shared" si="24"/>
        <v>1277.1232443223005</v>
      </c>
      <c r="K48" s="64">
        <f t="shared" si="24"/>
        <v>1149.5079285393313</v>
      </c>
      <c r="L48" s="64">
        <f t="shared" si="24"/>
        <v>1155.3697988987867</v>
      </c>
      <c r="M48" s="64">
        <f t="shared" si="24"/>
        <v>1141.6689687381761</v>
      </c>
      <c r="N48" s="64">
        <f t="shared" si="24"/>
        <v>1141.4217427879171</v>
      </c>
      <c r="O48" s="64">
        <f t="shared" si="24"/>
        <v>1156.7406766584543</v>
      </c>
      <c r="P48" s="64">
        <f t="shared" si="24"/>
        <v>1073.6624605457991</v>
      </c>
      <c r="Q48" s="64">
        <f t="shared" si="24"/>
        <v>1163.360774033993</v>
      </c>
      <c r="R48" s="64">
        <f t="shared" si="24"/>
        <v>1160.5594462651006</v>
      </c>
      <c r="S48" s="64">
        <f t="shared" si="24"/>
        <v>1138.5907451820001</v>
      </c>
      <c r="T48" s="64">
        <f t="shared" si="24"/>
        <v>1267.1656401919449</v>
      </c>
      <c r="U48" s="64">
        <f t="shared" si="24"/>
        <v>1279.7736212568825</v>
      </c>
      <c r="V48" s="64">
        <f t="shared" si="24"/>
        <v>1164.0574009612628</v>
      </c>
      <c r="W48" s="64">
        <f t="shared" si="24"/>
        <v>1080.9626912894612</v>
      </c>
      <c r="DA48" s="108" t="s">
        <v>212</v>
      </c>
    </row>
    <row r="49" spans="1:105" ht="12" customHeight="1" x14ac:dyDescent="0.25">
      <c r="A49" s="61" t="s">
        <v>32</v>
      </c>
      <c r="B49" s="65">
        <v>698.62974461522822</v>
      </c>
      <c r="C49" s="65">
        <v>710.6325523733467</v>
      </c>
      <c r="D49" s="65">
        <v>726.62310842465342</v>
      </c>
      <c r="E49" s="65">
        <v>794.21359400420602</v>
      </c>
      <c r="F49" s="65">
        <v>766.94720462562668</v>
      </c>
      <c r="G49" s="65">
        <v>840.0107192650155</v>
      </c>
      <c r="H49" s="65">
        <v>909.43008417106762</v>
      </c>
      <c r="I49" s="65">
        <v>911.89418321922051</v>
      </c>
      <c r="J49" s="65">
        <v>974.00171199258921</v>
      </c>
      <c r="K49" s="65">
        <v>855.37320975862599</v>
      </c>
      <c r="L49" s="65">
        <v>852.7930006062785</v>
      </c>
      <c r="M49" s="65">
        <v>830.87970674936582</v>
      </c>
      <c r="N49" s="65">
        <v>829.77554294475613</v>
      </c>
      <c r="O49" s="65">
        <v>842.80814766851108</v>
      </c>
      <c r="P49" s="65">
        <v>762.737812021026</v>
      </c>
      <c r="Q49" s="65">
        <v>847.82780840786677</v>
      </c>
      <c r="R49" s="65">
        <v>843.60953339213165</v>
      </c>
      <c r="S49" s="65">
        <v>816.41340648722348</v>
      </c>
      <c r="T49" s="65">
        <v>940.93041412067532</v>
      </c>
      <c r="U49" s="65">
        <v>950.42507365453616</v>
      </c>
      <c r="V49" s="65">
        <v>852.93513143501559</v>
      </c>
      <c r="W49" s="65">
        <v>753.21791976257839</v>
      </c>
      <c r="DA49" s="109" t="s">
        <v>213</v>
      </c>
    </row>
    <row r="50" spans="1:105" ht="12" customHeight="1" x14ac:dyDescent="0.25">
      <c r="A50" s="61" t="s">
        <v>31</v>
      </c>
      <c r="B50" s="65">
        <v>4.820119145816907</v>
      </c>
      <c r="C50" s="65">
        <v>5.1291792367559896</v>
      </c>
      <c r="D50" s="65">
        <v>5.5811702735098141</v>
      </c>
      <c r="E50" s="65">
        <v>5.8174311641952317</v>
      </c>
      <c r="F50" s="65">
        <v>6.1241227732364774</v>
      </c>
      <c r="G50" s="65">
        <v>6.5093002327538807</v>
      </c>
      <c r="H50" s="65">
        <v>7.1106739454340673</v>
      </c>
      <c r="I50" s="65">
        <v>7.5638168892031565</v>
      </c>
      <c r="J50" s="65">
        <v>7.618117546122785</v>
      </c>
      <c r="K50" s="65">
        <v>7.7427650022432735</v>
      </c>
      <c r="L50" s="65">
        <v>7.9016273425900136</v>
      </c>
      <c r="M50" s="65">
        <v>7.8267301110213525</v>
      </c>
      <c r="N50" s="65">
        <v>7.8859848071513916</v>
      </c>
      <c r="O50" s="65">
        <v>7.7905984422037431</v>
      </c>
      <c r="P50" s="65">
        <v>7.9961767493952625</v>
      </c>
      <c r="Q50" s="65">
        <v>7.7837877579679056</v>
      </c>
      <c r="R50" s="65">
        <v>7.9396261814732965</v>
      </c>
      <c r="S50" s="65">
        <v>7.9885703610725898</v>
      </c>
      <c r="T50" s="65">
        <v>8.1621639829783117</v>
      </c>
      <c r="U50" s="65">
        <v>8.4899904325786437</v>
      </c>
      <c r="V50" s="65">
        <v>8.1272276483632844</v>
      </c>
      <c r="W50" s="65">
        <v>8.1691413772315311</v>
      </c>
      <c r="DA50" s="109" t="s">
        <v>214</v>
      </c>
    </row>
    <row r="51" spans="1:105" ht="12" customHeight="1" x14ac:dyDescent="0.25">
      <c r="A51" s="61" t="s">
        <v>35</v>
      </c>
      <c r="B51" s="65">
        <v>127.56099312902778</v>
      </c>
      <c r="C51" s="65">
        <v>131.03925487234156</v>
      </c>
      <c r="D51" s="65">
        <v>132.27785745308518</v>
      </c>
      <c r="E51" s="65">
        <v>132.36446408207706</v>
      </c>
      <c r="F51" s="65">
        <v>133.70519513569195</v>
      </c>
      <c r="G51" s="65">
        <v>137.61519726951784</v>
      </c>
      <c r="H51" s="65">
        <v>138.53644495330886</v>
      </c>
      <c r="I51" s="65">
        <v>142.5550086530036</v>
      </c>
      <c r="J51" s="65">
        <v>144.10929781407279</v>
      </c>
      <c r="K51" s="65">
        <v>147.29280983371507</v>
      </c>
      <c r="L51" s="65">
        <v>149.56575690068263</v>
      </c>
      <c r="M51" s="65">
        <v>150.0602414525143</v>
      </c>
      <c r="N51" s="65">
        <v>148.62479434490982</v>
      </c>
      <c r="O51" s="65">
        <v>146.65755029488702</v>
      </c>
      <c r="P51" s="65">
        <v>147.00935539275642</v>
      </c>
      <c r="Q51" s="65">
        <v>148.88872261191557</v>
      </c>
      <c r="R51" s="65">
        <v>149.27169502269879</v>
      </c>
      <c r="S51" s="65">
        <v>150.29518069216002</v>
      </c>
      <c r="T51" s="65">
        <v>150.1263533195787</v>
      </c>
      <c r="U51" s="65">
        <v>150.06904024076425</v>
      </c>
      <c r="V51" s="65">
        <v>143.82397428927598</v>
      </c>
      <c r="W51" s="65">
        <v>145.45587618506983</v>
      </c>
      <c r="DA51" s="109" t="s">
        <v>215</v>
      </c>
    </row>
    <row r="52" spans="1:105" ht="12" customHeight="1" x14ac:dyDescent="0.25">
      <c r="A52" s="66" t="s">
        <v>34</v>
      </c>
      <c r="B52" s="67">
        <v>121.21028066706222</v>
      </c>
      <c r="C52" s="67">
        <v>124.35780850465765</v>
      </c>
      <c r="D52" s="67">
        <v>126.00545487457967</v>
      </c>
      <c r="E52" s="67">
        <v>128.34813523618254</v>
      </c>
      <c r="F52" s="67">
        <v>131.22889538911164</v>
      </c>
      <c r="G52" s="67">
        <v>136.70901174787008</v>
      </c>
      <c r="H52" s="67">
        <v>139.78551848875742</v>
      </c>
      <c r="I52" s="67">
        <v>145.30957780025113</v>
      </c>
      <c r="J52" s="67">
        <v>151.39411696951564</v>
      </c>
      <c r="K52" s="67">
        <v>139.099143944747</v>
      </c>
      <c r="L52" s="67">
        <v>145.10941404923557</v>
      </c>
      <c r="M52" s="67">
        <v>152.90229042527451</v>
      </c>
      <c r="N52" s="67">
        <v>155.13542069109985</v>
      </c>
      <c r="O52" s="67">
        <v>159.48438025285236</v>
      </c>
      <c r="P52" s="67">
        <v>155.91911638262127</v>
      </c>
      <c r="Q52" s="67">
        <v>158.86045525624263</v>
      </c>
      <c r="R52" s="67">
        <v>159.73859166879708</v>
      </c>
      <c r="S52" s="67">
        <v>163.89358764154412</v>
      </c>
      <c r="T52" s="67">
        <v>167.94670876871254</v>
      </c>
      <c r="U52" s="67">
        <v>170.78951692900341</v>
      </c>
      <c r="V52" s="67">
        <v>159.17106758860803</v>
      </c>
      <c r="W52" s="67">
        <v>174.11975396458135</v>
      </c>
      <c r="DA52" s="110" t="s">
        <v>216</v>
      </c>
    </row>
    <row r="53" spans="1:105" ht="12" customHeight="1" x14ac:dyDescent="0.25">
      <c r="A53" s="78" t="s">
        <v>33</v>
      </c>
      <c r="B53" s="68">
        <v>204.2713817893823</v>
      </c>
      <c r="C53" s="68">
        <v>210.6975248753227</v>
      </c>
      <c r="D53" s="68">
        <v>223.17182427941685</v>
      </c>
      <c r="E53" s="68">
        <v>233.0020332949384</v>
      </c>
      <c r="F53" s="68">
        <v>243.10077296197375</v>
      </c>
      <c r="G53" s="68">
        <v>253.31492883651941</v>
      </c>
      <c r="H53" s="68">
        <v>262.55602306739968</v>
      </c>
      <c r="I53" s="68">
        <v>274.77956305139145</v>
      </c>
      <c r="J53" s="68">
        <v>282.92235806911913</v>
      </c>
      <c r="K53" s="68">
        <v>284.54525660828841</v>
      </c>
      <c r="L53" s="68">
        <v>288.6484181049068</v>
      </c>
      <c r="M53" s="68">
        <v>306.28150503822116</v>
      </c>
      <c r="N53" s="68">
        <v>325.47424548950153</v>
      </c>
      <c r="O53" s="68">
        <v>346.62177287369354</v>
      </c>
      <c r="P53" s="68">
        <v>370.72672507943611</v>
      </c>
      <c r="Q53" s="68">
        <v>393.69174336778644</v>
      </c>
      <c r="R53" s="68">
        <v>420.00284384770612</v>
      </c>
      <c r="S53" s="68">
        <v>446.9234883939298</v>
      </c>
      <c r="T53" s="68">
        <v>481.16984591817101</v>
      </c>
      <c r="U53" s="68">
        <v>506.22662762623281</v>
      </c>
      <c r="V53" s="68">
        <v>529.83260728707285</v>
      </c>
      <c r="W53" s="68">
        <v>643.67660235988774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0.82336990653012876</v>
      </c>
      <c r="C56" s="70">
        <f t="shared" ref="C56:W56" si="28">IF(C48=0,0,C48/C$47)</f>
        <v>0.82172323205933417</v>
      </c>
      <c r="D56" s="70">
        <f t="shared" si="28"/>
        <v>0.81611659625012056</v>
      </c>
      <c r="E56" s="70">
        <f t="shared" si="28"/>
        <v>0.81990120554725587</v>
      </c>
      <c r="F56" s="70">
        <f t="shared" si="28"/>
        <v>0.81024151261503474</v>
      </c>
      <c r="G56" s="70">
        <f t="shared" si="28"/>
        <v>0.81565823181303398</v>
      </c>
      <c r="H56" s="70">
        <f t="shared" si="28"/>
        <v>0.81984860285656469</v>
      </c>
      <c r="I56" s="70">
        <f t="shared" si="28"/>
        <v>0.81460146783868592</v>
      </c>
      <c r="J56" s="70">
        <f t="shared" si="28"/>
        <v>0.81864481548781476</v>
      </c>
      <c r="K56" s="70">
        <f t="shared" si="28"/>
        <v>0.80157970460558781</v>
      </c>
      <c r="L56" s="70">
        <f t="shared" si="28"/>
        <v>0.80010749538614134</v>
      </c>
      <c r="M56" s="70">
        <f t="shared" si="28"/>
        <v>0.78847238867265335</v>
      </c>
      <c r="N56" s="70">
        <f t="shared" si="28"/>
        <v>0.77812043383409402</v>
      </c>
      <c r="O56" s="70">
        <f t="shared" si="28"/>
        <v>0.76943565872517061</v>
      </c>
      <c r="P56" s="70">
        <f t="shared" si="28"/>
        <v>0.74333321741192693</v>
      </c>
      <c r="Q56" s="70">
        <f t="shared" si="28"/>
        <v>0.74715577094038454</v>
      </c>
      <c r="R56" s="70">
        <f t="shared" si="28"/>
        <v>0.73426998323632664</v>
      </c>
      <c r="S56" s="70">
        <f t="shared" si="28"/>
        <v>0.718120797070393</v>
      </c>
      <c r="T56" s="70">
        <f t="shared" si="28"/>
        <v>0.72478403044444906</v>
      </c>
      <c r="U56" s="70">
        <f t="shared" si="28"/>
        <v>0.7165584786772542</v>
      </c>
      <c r="V56" s="70">
        <f t="shared" si="28"/>
        <v>0.68720955628342328</v>
      </c>
      <c r="W56" s="70">
        <f t="shared" si="28"/>
        <v>0.62677610052716382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0.60409361316923427</v>
      </c>
      <c r="C57" s="71">
        <f t="shared" ref="C57:W57" si="30">IF(C49=0,0,C49/C$47)</f>
        <v>0.60128506353130018</v>
      </c>
      <c r="D57" s="71">
        <f t="shared" si="30"/>
        <v>0.59870429814273884</v>
      </c>
      <c r="E57" s="71">
        <f t="shared" si="30"/>
        <v>0.61388696396945075</v>
      </c>
      <c r="F57" s="71">
        <f t="shared" si="30"/>
        <v>0.59866013456341904</v>
      </c>
      <c r="G57" s="71">
        <f t="shared" si="30"/>
        <v>0.61129070440713063</v>
      </c>
      <c r="H57" s="71">
        <f t="shared" si="30"/>
        <v>0.62400054035565744</v>
      </c>
      <c r="I57" s="71">
        <f t="shared" si="30"/>
        <v>0.61527080536067458</v>
      </c>
      <c r="J57" s="71">
        <f t="shared" si="30"/>
        <v>0.62434182084134326</v>
      </c>
      <c r="K57" s="71">
        <f t="shared" si="30"/>
        <v>0.5964724451071004</v>
      </c>
      <c r="L57" s="71">
        <f t="shared" si="30"/>
        <v>0.59056941980677047</v>
      </c>
      <c r="M57" s="71">
        <f t="shared" si="30"/>
        <v>0.57383157904727899</v>
      </c>
      <c r="N57" s="71">
        <f t="shared" si="30"/>
        <v>0.56566760668502791</v>
      </c>
      <c r="O57" s="71">
        <f t="shared" si="30"/>
        <v>0.56061540444275182</v>
      </c>
      <c r="P57" s="71">
        <f t="shared" si="30"/>
        <v>0.52806945635698477</v>
      </c>
      <c r="Q57" s="71">
        <f t="shared" si="30"/>
        <v>0.54450816458176965</v>
      </c>
      <c r="R57" s="71">
        <f t="shared" si="30"/>
        <v>0.53374013708243173</v>
      </c>
      <c r="S57" s="71">
        <f t="shared" si="30"/>
        <v>0.51492026321700357</v>
      </c>
      <c r="T57" s="71">
        <f t="shared" si="30"/>
        <v>0.53818641879434603</v>
      </c>
      <c r="U57" s="71">
        <f t="shared" si="30"/>
        <v>0.53215282262636276</v>
      </c>
      <c r="V57" s="71">
        <f t="shared" si="30"/>
        <v>0.50353631421265788</v>
      </c>
      <c r="W57" s="71">
        <f t="shared" si="30"/>
        <v>0.4367393938756689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4.1678774961212391E-3</v>
      </c>
      <c r="C58" s="72">
        <f t="shared" ref="C58:W58" si="32">IF(C50=0,0,C50/C$47)</f>
        <v>4.3399346862680035E-3</v>
      </c>
      <c r="D58" s="72">
        <f t="shared" si="32"/>
        <v>4.5986297334545921E-3</v>
      </c>
      <c r="E58" s="72">
        <f t="shared" si="32"/>
        <v>4.4965802429593844E-3</v>
      </c>
      <c r="F58" s="72">
        <f t="shared" si="32"/>
        <v>4.7803396914371443E-3</v>
      </c>
      <c r="G58" s="72">
        <f t="shared" si="32"/>
        <v>4.7369332714696684E-3</v>
      </c>
      <c r="H58" s="72">
        <f t="shared" si="32"/>
        <v>4.8789505223901545E-3</v>
      </c>
      <c r="I58" s="72">
        <f t="shared" si="32"/>
        <v>5.1034383096858942E-3</v>
      </c>
      <c r="J58" s="72">
        <f t="shared" si="32"/>
        <v>4.8832659343065656E-3</v>
      </c>
      <c r="K58" s="72">
        <f t="shared" si="32"/>
        <v>5.3992174644807494E-3</v>
      </c>
      <c r="L58" s="72">
        <f t="shared" si="32"/>
        <v>5.4719720634727994E-3</v>
      </c>
      <c r="M58" s="72">
        <f t="shared" si="32"/>
        <v>5.4053852343502263E-3</v>
      </c>
      <c r="N58" s="72">
        <f t="shared" si="32"/>
        <v>5.3759672602363123E-3</v>
      </c>
      <c r="O58" s="72">
        <f t="shared" si="32"/>
        <v>5.1821158926965401E-3</v>
      </c>
      <c r="P58" s="72">
        <f t="shared" si="32"/>
        <v>5.5360264594711316E-3</v>
      </c>
      <c r="Q58" s="72">
        <f t="shared" si="32"/>
        <v>4.9990528071310967E-3</v>
      </c>
      <c r="R58" s="72">
        <f t="shared" si="32"/>
        <v>5.0232921733863681E-3</v>
      </c>
      <c r="S58" s="72">
        <f t="shared" si="32"/>
        <v>5.0384728133631221E-3</v>
      </c>
      <c r="T58" s="72">
        <f t="shared" si="32"/>
        <v>4.668534184556517E-3</v>
      </c>
      <c r="U58" s="72">
        <f t="shared" si="32"/>
        <v>4.7536333983648118E-3</v>
      </c>
      <c r="V58" s="72">
        <f t="shared" si="32"/>
        <v>4.797966579168686E-3</v>
      </c>
      <c r="W58" s="72">
        <f t="shared" si="32"/>
        <v>4.7367246051466042E-3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0.11029988607371782</v>
      </c>
      <c r="C59" s="72">
        <f t="shared" ref="C59:W59" si="34">IF(C51=0,0,C51/C$47)</f>
        <v>0.11087579147319306</v>
      </c>
      <c r="D59" s="72">
        <f t="shared" si="34"/>
        <v>0.10899092099888358</v>
      </c>
      <c r="E59" s="72">
        <f t="shared" si="34"/>
        <v>0.10231104026199705</v>
      </c>
      <c r="F59" s="72">
        <f t="shared" si="34"/>
        <v>0.10436698853454164</v>
      </c>
      <c r="G59" s="72">
        <f t="shared" si="34"/>
        <v>0.10014502070832482</v>
      </c>
      <c r="H59" s="72">
        <f t="shared" si="34"/>
        <v>9.5056033459253272E-2</v>
      </c>
      <c r="I59" s="72">
        <f t="shared" si="34"/>
        <v>9.6184334318805353E-2</v>
      </c>
      <c r="J59" s="72">
        <f t="shared" si="34"/>
        <v>9.2375054673507789E-2</v>
      </c>
      <c r="K59" s="72">
        <f t="shared" si="34"/>
        <v>0.10271084180085896</v>
      </c>
      <c r="L59" s="72">
        <f t="shared" si="34"/>
        <v>0.10357608729551095</v>
      </c>
      <c r="M59" s="72">
        <f t="shared" si="34"/>
        <v>0.10363630812671543</v>
      </c>
      <c r="N59" s="72">
        <f t="shared" si="34"/>
        <v>0.10131924521754297</v>
      </c>
      <c r="O59" s="72">
        <f t="shared" si="34"/>
        <v>9.7553022120864738E-2</v>
      </c>
      <c r="P59" s="72">
        <f t="shared" si="34"/>
        <v>0.10177960127077539</v>
      </c>
      <c r="Q59" s="72">
        <f t="shared" si="34"/>
        <v>9.5622158500063337E-2</v>
      </c>
      <c r="R59" s="72">
        <f t="shared" si="34"/>
        <v>9.4442146289625245E-2</v>
      </c>
      <c r="S59" s="72">
        <f t="shared" si="34"/>
        <v>9.479270353391149E-2</v>
      </c>
      <c r="T59" s="72">
        <f t="shared" si="34"/>
        <v>8.5868161180893202E-2</v>
      </c>
      <c r="U59" s="72">
        <f t="shared" si="34"/>
        <v>8.4025206790766527E-2</v>
      </c>
      <c r="V59" s="72">
        <f t="shared" si="34"/>
        <v>8.4907504967223602E-2</v>
      </c>
      <c r="W59" s="72">
        <f t="shared" si="34"/>
        <v>8.4339882966068896E-2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0.10480852979105544</v>
      </c>
      <c r="C60" s="73">
        <f t="shared" ref="C60:W60" si="36">IF(C52=0,0,C52/C$47)</f>
        <v>0.10522244236857291</v>
      </c>
      <c r="D60" s="73">
        <f t="shared" si="36"/>
        <v>0.10382274737504368</v>
      </c>
      <c r="E60" s="73">
        <f t="shared" si="36"/>
        <v>9.9206621072848736E-2</v>
      </c>
      <c r="F60" s="73">
        <f t="shared" si="36"/>
        <v>0.10243404982563695</v>
      </c>
      <c r="G60" s="73">
        <f t="shared" si="36"/>
        <v>9.9485573426108836E-2</v>
      </c>
      <c r="H60" s="73">
        <f t="shared" si="36"/>
        <v>9.5913078519263881E-2</v>
      </c>
      <c r="I60" s="73">
        <f t="shared" si="36"/>
        <v>9.8042889849520073E-2</v>
      </c>
      <c r="J60" s="73">
        <f t="shared" si="36"/>
        <v>9.7044674038657006E-2</v>
      </c>
      <c r="K60" s="73">
        <f t="shared" si="36"/>
        <v>9.6997200233147771E-2</v>
      </c>
      <c r="L60" s="73">
        <f t="shared" si="36"/>
        <v>0.10049001622038706</v>
      </c>
      <c r="M60" s="73">
        <f t="shared" si="36"/>
        <v>0.10559911626430861</v>
      </c>
      <c r="N60" s="73">
        <f t="shared" si="36"/>
        <v>0.10575761467128691</v>
      </c>
      <c r="O60" s="73">
        <f t="shared" si="36"/>
        <v>0.10608511626885753</v>
      </c>
      <c r="P60" s="73">
        <f t="shared" si="36"/>
        <v>0.10794813332469551</v>
      </c>
      <c r="Q60" s="73">
        <f t="shared" si="36"/>
        <v>0.10202639505142043</v>
      </c>
      <c r="R60" s="73">
        <f t="shared" si="36"/>
        <v>0.10106440769088344</v>
      </c>
      <c r="S60" s="73">
        <f t="shared" si="36"/>
        <v>0.10336935750611494</v>
      </c>
      <c r="T60" s="73">
        <f t="shared" si="36"/>
        <v>9.6060916284653339E-2</v>
      </c>
      <c r="U60" s="73">
        <f t="shared" si="36"/>
        <v>9.5626815861760125E-2</v>
      </c>
      <c r="V60" s="73">
        <f t="shared" si="36"/>
        <v>9.3967770524373079E-2</v>
      </c>
      <c r="W60" s="73">
        <f t="shared" si="36"/>
        <v>0.10096009908027941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0.1766300934698713</v>
      </c>
      <c r="C61" s="70">
        <f t="shared" ref="C61:W61" si="38">IF(C53=0,0,C53/C$47)</f>
        <v>0.17827676794066574</v>
      </c>
      <c r="D61" s="70">
        <f t="shared" si="38"/>
        <v>0.18388340374987935</v>
      </c>
      <c r="E61" s="70">
        <f t="shared" si="38"/>
        <v>0.18009879445274407</v>
      </c>
      <c r="F61" s="70">
        <f t="shared" si="38"/>
        <v>0.18975848738496529</v>
      </c>
      <c r="G61" s="70">
        <f t="shared" si="38"/>
        <v>0.18434176818696607</v>
      </c>
      <c r="H61" s="70">
        <f t="shared" si="38"/>
        <v>0.18015139714343537</v>
      </c>
      <c r="I61" s="70">
        <f t="shared" si="38"/>
        <v>0.18539853216131405</v>
      </c>
      <c r="J61" s="70">
        <f t="shared" si="38"/>
        <v>0.18135518451218527</v>
      </c>
      <c r="K61" s="70">
        <f t="shared" si="38"/>
        <v>0.19842029539441222</v>
      </c>
      <c r="L61" s="70">
        <f t="shared" si="38"/>
        <v>0.19989250461385868</v>
      </c>
      <c r="M61" s="70">
        <f t="shared" si="38"/>
        <v>0.21152761132734663</v>
      </c>
      <c r="N61" s="70">
        <f t="shared" si="38"/>
        <v>0.22187956616590596</v>
      </c>
      <c r="O61" s="70">
        <f t="shared" si="38"/>
        <v>0.23056434127482936</v>
      </c>
      <c r="P61" s="70">
        <f t="shared" si="38"/>
        <v>0.25666678258807302</v>
      </c>
      <c r="Q61" s="70">
        <f t="shared" si="38"/>
        <v>0.25284422905961551</v>
      </c>
      <c r="R61" s="70">
        <f t="shared" si="38"/>
        <v>0.26573001676367336</v>
      </c>
      <c r="S61" s="70">
        <f t="shared" si="38"/>
        <v>0.28187920292960694</v>
      </c>
      <c r="T61" s="70">
        <f t="shared" si="38"/>
        <v>0.27521596955555094</v>
      </c>
      <c r="U61" s="70">
        <f t="shared" si="38"/>
        <v>0.2834415213227458</v>
      </c>
      <c r="V61" s="70">
        <f t="shared" si="38"/>
        <v>0.31279044371657683</v>
      </c>
      <c r="W61" s="70">
        <f t="shared" si="38"/>
        <v>0.37322389947283613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1864.1438305199999</v>
      </c>
      <c r="C65" s="80">
        <v>1825.8695676000004</v>
      </c>
      <c r="D65" s="80">
        <v>1741.3744928399999</v>
      </c>
      <c r="E65" s="80">
        <v>1798.9056304044</v>
      </c>
      <c r="F65" s="80">
        <v>1716.0318036504</v>
      </c>
      <c r="G65" s="80">
        <v>1755.7027108440002</v>
      </c>
      <c r="H65" s="80">
        <v>1744.7240412036001</v>
      </c>
      <c r="I65" s="80">
        <v>1692.7622130492</v>
      </c>
      <c r="J65" s="80">
        <v>1750.4035796220001</v>
      </c>
      <c r="K65" s="80">
        <v>1412.5889667599999</v>
      </c>
      <c r="L65" s="80">
        <v>1511.3525471999999</v>
      </c>
      <c r="M65" s="80">
        <v>1461.8855411999998</v>
      </c>
      <c r="N65" s="80">
        <v>1500.9685477200003</v>
      </c>
      <c r="O65" s="80">
        <v>1592.2864450800002</v>
      </c>
      <c r="P65" s="80">
        <v>1475.3848165200002</v>
      </c>
      <c r="Q65" s="80">
        <v>1581.9829761600004</v>
      </c>
      <c r="R65" s="80">
        <v>1536.3753296399996</v>
      </c>
      <c r="S65" s="80">
        <v>1504.4090605200001</v>
      </c>
      <c r="T65" s="80">
        <v>1646.8747142400002</v>
      </c>
      <c r="U65" s="80">
        <v>1610.1638460000004</v>
      </c>
      <c r="V65" s="80">
        <v>1541.5275456000002</v>
      </c>
      <c r="W65" s="80">
        <v>1354.7959059599998</v>
      </c>
      <c r="DA65" s="103" t="s">
        <v>218</v>
      </c>
    </row>
    <row r="66" spans="1:105" ht="12" customHeight="1" x14ac:dyDescent="0.25">
      <c r="A66" s="58" t="s">
        <v>29</v>
      </c>
      <c r="B66" s="59">
        <v>17.694410399999999</v>
      </c>
      <c r="C66" s="59">
        <v>19.660413600000002</v>
      </c>
      <c r="D66" s="59">
        <v>13.762403999999997</v>
      </c>
      <c r="E66" s="59">
        <v>110.91432868440002</v>
      </c>
      <c r="F66" s="59">
        <v>106.73603321040002</v>
      </c>
      <c r="G66" s="59">
        <v>107.756444364</v>
      </c>
      <c r="H66" s="59">
        <v>107.4105856836</v>
      </c>
      <c r="I66" s="59">
        <v>105.73964764920001</v>
      </c>
      <c r="J66" s="59">
        <v>105.724076982</v>
      </c>
      <c r="K66" s="59">
        <v>1.9752480000000001</v>
      </c>
      <c r="L66" s="59">
        <v>3.9290407200000002</v>
      </c>
      <c r="M66" s="59">
        <v>5.9911315199999997</v>
      </c>
      <c r="N66" s="59">
        <v>2.4833635200000002</v>
      </c>
      <c r="O66" s="59">
        <v>2.2701729600000005</v>
      </c>
      <c r="P66" s="59">
        <v>1.10886336</v>
      </c>
      <c r="Q66" s="59">
        <v>1.1061388800000003</v>
      </c>
      <c r="R66" s="59">
        <v>2.4070780799999998</v>
      </c>
      <c r="S66" s="59">
        <v>2.1199860000000004</v>
      </c>
      <c r="T66" s="59">
        <v>2.2306680000000001</v>
      </c>
      <c r="U66" s="59">
        <v>1.7984973599999998</v>
      </c>
      <c r="V66" s="59">
        <v>0.71619767999999995</v>
      </c>
      <c r="W66" s="59">
        <v>0.77954184000000026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1158.9775801199999</v>
      </c>
      <c r="C67" s="55">
        <f t="shared" ref="C67:W67" si="39">SUM(C68:C69)</f>
        <v>1127.7027223200002</v>
      </c>
      <c r="D67" s="55">
        <f t="shared" si="39"/>
        <v>1077.5547525599998</v>
      </c>
      <c r="E67" s="55">
        <f t="shared" si="39"/>
        <v>1023.1801815599999</v>
      </c>
      <c r="F67" s="55">
        <f t="shared" si="39"/>
        <v>935.07048683999983</v>
      </c>
      <c r="G67" s="55">
        <f t="shared" si="39"/>
        <v>967.06074599999999</v>
      </c>
      <c r="H67" s="55">
        <f t="shared" si="39"/>
        <v>889.32107016000009</v>
      </c>
      <c r="I67" s="55">
        <f t="shared" si="39"/>
        <v>819.64747295999996</v>
      </c>
      <c r="J67" s="55">
        <f t="shared" si="39"/>
        <v>851.39294219999999</v>
      </c>
      <c r="K67" s="55">
        <f t="shared" si="39"/>
        <v>664.78715243999989</v>
      </c>
      <c r="L67" s="55">
        <f t="shared" si="39"/>
        <v>699.56694576000007</v>
      </c>
      <c r="M67" s="55">
        <f t="shared" si="39"/>
        <v>638.94338819999996</v>
      </c>
      <c r="N67" s="55">
        <f t="shared" si="39"/>
        <v>612.14757336000014</v>
      </c>
      <c r="O67" s="55">
        <f t="shared" si="39"/>
        <v>745.15256100000011</v>
      </c>
      <c r="P67" s="55">
        <f t="shared" si="39"/>
        <v>678.28434048000008</v>
      </c>
      <c r="Q67" s="55">
        <f t="shared" si="39"/>
        <v>725.14767816000017</v>
      </c>
      <c r="R67" s="55">
        <f t="shared" si="39"/>
        <v>671.89068179999981</v>
      </c>
      <c r="S67" s="55">
        <f t="shared" si="39"/>
        <v>637.77909851999993</v>
      </c>
      <c r="T67" s="55">
        <f t="shared" si="39"/>
        <v>691.72305084000004</v>
      </c>
      <c r="U67" s="55">
        <f t="shared" si="39"/>
        <v>646.94708820000005</v>
      </c>
      <c r="V67" s="55">
        <f t="shared" si="39"/>
        <v>562.60516247999999</v>
      </c>
      <c r="W67" s="55">
        <f t="shared" si="39"/>
        <v>567.47021868000002</v>
      </c>
      <c r="DA67" s="101"/>
    </row>
    <row r="68" spans="1:105" ht="12" customHeight="1" x14ac:dyDescent="0.25">
      <c r="A68" s="61" t="s">
        <v>52</v>
      </c>
      <c r="B68" s="55">
        <v>105.81339959999998</v>
      </c>
      <c r="C68" s="55">
        <v>118.57842864000003</v>
      </c>
      <c r="D68" s="55">
        <v>121.94085096000002</v>
      </c>
      <c r="E68" s="55">
        <v>129.57001956000002</v>
      </c>
      <c r="F68" s="55">
        <v>141.47820108000002</v>
      </c>
      <c r="G68" s="55">
        <v>168.93639324</v>
      </c>
      <c r="H68" s="55">
        <v>176.51808540000002</v>
      </c>
      <c r="I68" s="55">
        <v>186.80161860000004</v>
      </c>
      <c r="J68" s="55">
        <v>212.91797664000001</v>
      </c>
      <c r="K68" s="55">
        <v>153.64807092000001</v>
      </c>
      <c r="L68" s="55">
        <v>198.16825068000006</v>
      </c>
      <c r="M68" s="55">
        <v>196.68353292</v>
      </c>
      <c r="N68" s="55">
        <v>185.03408664000003</v>
      </c>
      <c r="O68" s="55">
        <v>215.98281936000001</v>
      </c>
      <c r="P68" s="55">
        <v>169.63877196000001</v>
      </c>
      <c r="Q68" s="55">
        <v>182.61210672000004</v>
      </c>
      <c r="R68" s="55">
        <v>155.00489759999999</v>
      </c>
      <c r="S68" s="55">
        <v>160.55123616</v>
      </c>
      <c r="T68" s="55">
        <v>175.68486252000002</v>
      </c>
      <c r="U68" s="55">
        <v>175.08675024000001</v>
      </c>
      <c r="V68" s="55">
        <v>141.28761384000001</v>
      </c>
      <c r="W68" s="55">
        <v>160.05716316000002</v>
      </c>
      <c r="DA68" s="101" t="s">
        <v>220</v>
      </c>
    </row>
    <row r="69" spans="1:105" ht="12" customHeight="1" x14ac:dyDescent="0.25">
      <c r="A69" s="61" t="s">
        <v>170</v>
      </c>
      <c r="B69" s="55">
        <v>1053.1641805199999</v>
      </c>
      <c r="C69" s="55">
        <v>1009.1242936800002</v>
      </c>
      <c r="D69" s="55">
        <v>955.61390159999974</v>
      </c>
      <c r="E69" s="55">
        <v>893.61016199999995</v>
      </c>
      <c r="F69" s="55">
        <v>793.59228575999987</v>
      </c>
      <c r="G69" s="55">
        <v>798.12435275999997</v>
      </c>
      <c r="H69" s="55">
        <v>712.80298476000007</v>
      </c>
      <c r="I69" s="55">
        <v>632.84585435999998</v>
      </c>
      <c r="J69" s="55">
        <v>638.47496555999999</v>
      </c>
      <c r="K69" s="55">
        <v>511.13908151999988</v>
      </c>
      <c r="L69" s="55">
        <v>501.39869508000004</v>
      </c>
      <c r="M69" s="55">
        <v>442.25985527999995</v>
      </c>
      <c r="N69" s="55">
        <v>427.11348672000008</v>
      </c>
      <c r="O69" s="55">
        <v>529.1697416400001</v>
      </c>
      <c r="P69" s="55">
        <v>508.6455685200001</v>
      </c>
      <c r="Q69" s="55">
        <v>542.53557144000013</v>
      </c>
      <c r="R69" s="55">
        <v>516.88578419999976</v>
      </c>
      <c r="S69" s="55">
        <v>477.2278623599999</v>
      </c>
      <c r="T69" s="55">
        <v>516.03818832000002</v>
      </c>
      <c r="U69" s="55">
        <v>471.86033796000004</v>
      </c>
      <c r="V69" s="55">
        <v>421.31754863999998</v>
      </c>
      <c r="W69" s="55">
        <v>407.41305552</v>
      </c>
      <c r="DA69" s="101" t="s">
        <v>221</v>
      </c>
    </row>
    <row r="70" spans="1:105" ht="12" customHeight="1" x14ac:dyDescent="0.25">
      <c r="A70" s="60" t="s">
        <v>153</v>
      </c>
      <c r="B70" s="55">
        <v>687.47184000000004</v>
      </c>
      <c r="C70" s="55">
        <v>678.50643168000011</v>
      </c>
      <c r="D70" s="55">
        <v>650.05733628000007</v>
      </c>
      <c r="E70" s="55">
        <v>664.81112015999997</v>
      </c>
      <c r="F70" s="55">
        <v>674.22528360000001</v>
      </c>
      <c r="G70" s="55">
        <v>680.88552048000008</v>
      </c>
      <c r="H70" s="55">
        <v>747.99238536000007</v>
      </c>
      <c r="I70" s="55">
        <v>767.37509244</v>
      </c>
      <c r="J70" s="55">
        <v>793.28656044000002</v>
      </c>
      <c r="K70" s="55">
        <v>745.8265663200001</v>
      </c>
      <c r="L70" s="55">
        <v>807.85656071999983</v>
      </c>
      <c r="M70" s="55">
        <v>816.95102147999978</v>
      </c>
      <c r="N70" s="55">
        <v>886.33761084000014</v>
      </c>
      <c r="O70" s="55">
        <v>844.86371112000029</v>
      </c>
      <c r="P70" s="55">
        <v>795.99161268</v>
      </c>
      <c r="Q70" s="55">
        <v>855.72915912000008</v>
      </c>
      <c r="R70" s="55">
        <v>862.07756975999985</v>
      </c>
      <c r="S70" s="55">
        <v>864.50997600000017</v>
      </c>
      <c r="T70" s="55">
        <v>952.92099540000004</v>
      </c>
      <c r="U70" s="55">
        <v>961.41826044000027</v>
      </c>
      <c r="V70" s="55">
        <v>978.20618544000013</v>
      </c>
      <c r="W70" s="55">
        <v>786.54614543999992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1864.1438305199999</v>
      </c>
      <c r="C81" s="82">
        <f t="shared" ref="C81:W81" si="42">C82+C87</f>
        <v>1825.8695676</v>
      </c>
      <c r="D81" s="82">
        <f t="shared" si="42"/>
        <v>1741.3744928399997</v>
      </c>
      <c r="E81" s="82">
        <f t="shared" si="42"/>
        <v>1798.9056304044004</v>
      </c>
      <c r="F81" s="82">
        <f t="shared" si="42"/>
        <v>1716.0318036504002</v>
      </c>
      <c r="G81" s="82">
        <f t="shared" si="42"/>
        <v>1755.7027108440002</v>
      </c>
      <c r="H81" s="82">
        <f t="shared" si="42"/>
        <v>1744.7240412036006</v>
      </c>
      <c r="I81" s="82">
        <f t="shared" si="42"/>
        <v>1692.7622130492005</v>
      </c>
      <c r="J81" s="82">
        <f t="shared" si="42"/>
        <v>1750.4035796220001</v>
      </c>
      <c r="K81" s="82">
        <f t="shared" si="42"/>
        <v>1412.5889667600002</v>
      </c>
      <c r="L81" s="82">
        <f t="shared" si="42"/>
        <v>1511.3525471999997</v>
      </c>
      <c r="M81" s="82">
        <f t="shared" si="42"/>
        <v>1461.8855412</v>
      </c>
      <c r="N81" s="82">
        <f t="shared" si="42"/>
        <v>1500.9685477200007</v>
      </c>
      <c r="O81" s="82">
        <f t="shared" si="42"/>
        <v>1592.28644508</v>
      </c>
      <c r="P81" s="82">
        <f t="shared" si="42"/>
        <v>1475.3848165200006</v>
      </c>
      <c r="Q81" s="82">
        <f t="shared" si="42"/>
        <v>1581.9829761599999</v>
      </c>
      <c r="R81" s="82">
        <f t="shared" si="42"/>
        <v>1536.3753296399998</v>
      </c>
      <c r="S81" s="82">
        <f t="shared" si="42"/>
        <v>1504.4090605200006</v>
      </c>
      <c r="T81" s="82">
        <f t="shared" si="42"/>
        <v>1646.8747142400002</v>
      </c>
      <c r="U81" s="82">
        <f t="shared" si="42"/>
        <v>1610.1638460000004</v>
      </c>
      <c r="V81" s="82">
        <f t="shared" si="42"/>
        <v>1541.527545599999</v>
      </c>
      <c r="W81" s="82">
        <f t="shared" si="42"/>
        <v>1354.7959059599998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1864.1438305199999</v>
      </c>
      <c r="C82" s="64">
        <f t="shared" ref="C82:W82" si="44">SUM(C83:C86)</f>
        <v>1825.8695676</v>
      </c>
      <c r="D82" s="64">
        <f t="shared" si="44"/>
        <v>1741.3744928399997</v>
      </c>
      <c r="E82" s="64">
        <f t="shared" si="44"/>
        <v>1798.9056304044004</v>
      </c>
      <c r="F82" s="64">
        <f t="shared" si="44"/>
        <v>1716.0318036504002</v>
      </c>
      <c r="G82" s="64">
        <f t="shared" si="44"/>
        <v>1755.7027108440002</v>
      </c>
      <c r="H82" s="64">
        <f t="shared" si="44"/>
        <v>1744.7240412036006</v>
      </c>
      <c r="I82" s="64">
        <f t="shared" si="44"/>
        <v>1692.7622130492005</v>
      </c>
      <c r="J82" s="64">
        <f t="shared" si="44"/>
        <v>1750.4035796220001</v>
      </c>
      <c r="K82" s="64">
        <f t="shared" si="44"/>
        <v>1412.5889667600002</v>
      </c>
      <c r="L82" s="64">
        <f t="shared" si="44"/>
        <v>1511.3525471999997</v>
      </c>
      <c r="M82" s="64">
        <f t="shared" si="44"/>
        <v>1461.8855412</v>
      </c>
      <c r="N82" s="64">
        <f t="shared" si="44"/>
        <v>1500.9685477200007</v>
      </c>
      <c r="O82" s="64">
        <f t="shared" si="44"/>
        <v>1592.28644508</v>
      </c>
      <c r="P82" s="64">
        <f t="shared" si="44"/>
        <v>1475.3848165200006</v>
      </c>
      <c r="Q82" s="64">
        <f t="shared" si="44"/>
        <v>1581.9829761599999</v>
      </c>
      <c r="R82" s="64">
        <f t="shared" si="44"/>
        <v>1536.3753296399998</v>
      </c>
      <c r="S82" s="64">
        <f t="shared" si="44"/>
        <v>1504.4090605200006</v>
      </c>
      <c r="T82" s="64">
        <f t="shared" si="44"/>
        <v>1646.8747142400002</v>
      </c>
      <c r="U82" s="64">
        <f t="shared" si="44"/>
        <v>1610.1638460000004</v>
      </c>
      <c r="V82" s="64">
        <f t="shared" si="44"/>
        <v>1541.527545599999</v>
      </c>
      <c r="W82" s="64">
        <f t="shared" si="44"/>
        <v>1354.7959059599998</v>
      </c>
      <c r="DA82" s="108" t="s">
        <v>232</v>
      </c>
    </row>
    <row r="83" spans="1:105" ht="12" customHeight="1" x14ac:dyDescent="0.25">
      <c r="A83" s="61" t="s">
        <v>32</v>
      </c>
      <c r="B83" s="65">
        <v>1526.5724303926402</v>
      </c>
      <c r="C83" s="65">
        <v>1474.3910085886928</v>
      </c>
      <c r="D83" s="65">
        <v>1390.5701836886847</v>
      </c>
      <c r="E83" s="65">
        <v>1449.6471055301081</v>
      </c>
      <c r="F83" s="65">
        <v>1354.3619922279217</v>
      </c>
      <c r="G83" s="65">
        <v>1371.9348467150312</v>
      </c>
      <c r="H83" s="65">
        <v>1358.7157281425598</v>
      </c>
      <c r="I83" s="65">
        <v>1297.7686654640711</v>
      </c>
      <c r="J83" s="65">
        <v>1329.6272783622126</v>
      </c>
      <c r="K83" s="65">
        <v>1048.3040687812882</v>
      </c>
      <c r="L83" s="65">
        <v>1098.5939480684383</v>
      </c>
      <c r="M83" s="65">
        <v>1047.2286018383963</v>
      </c>
      <c r="N83" s="65">
        <v>1096.2055902839243</v>
      </c>
      <c r="O83" s="65">
        <v>1156.6524995643085</v>
      </c>
      <c r="P83" s="65">
        <v>1082.3420541418684</v>
      </c>
      <c r="Q83" s="65">
        <v>1176.7839715508912</v>
      </c>
      <c r="R83" s="65">
        <v>1159.2540398375554</v>
      </c>
      <c r="S83" s="65">
        <v>1119.4679104098113</v>
      </c>
      <c r="T83" s="65">
        <v>1256.8147192189033</v>
      </c>
      <c r="U83" s="65">
        <v>1225.5858784410282</v>
      </c>
      <c r="V83" s="65">
        <v>1215.4400850498851</v>
      </c>
      <c r="W83" s="65">
        <v>1001.1774742666662</v>
      </c>
      <c r="DA83" s="109" t="s">
        <v>233</v>
      </c>
    </row>
    <row r="84" spans="1:105" ht="12" customHeight="1" x14ac:dyDescent="0.25">
      <c r="A84" s="61" t="s">
        <v>31</v>
      </c>
      <c r="B84" s="65">
        <v>5.4121199057509582E-2</v>
      </c>
      <c r="C84" s="65">
        <v>6.1478722448033478E-2</v>
      </c>
      <c r="D84" s="65">
        <v>7.2307824243795574E-2</v>
      </c>
      <c r="E84" s="65">
        <v>7.1569505148214349E-2</v>
      </c>
      <c r="F84" s="65">
        <v>8.8296432789998477E-2</v>
      </c>
      <c r="G84" s="65">
        <v>0.10183175219765069</v>
      </c>
      <c r="H84" s="65">
        <v>0.13041601354949212</v>
      </c>
      <c r="I84" s="65">
        <v>0.1427360225437462</v>
      </c>
      <c r="J84" s="65">
        <v>0.14718929128427832</v>
      </c>
      <c r="K84" s="65">
        <v>0.1635833681396279</v>
      </c>
      <c r="L84" s="65">
        <v>0.17687458216687174</v>
      </c>
      <c r="M84" s="65">
        <v>0.19130842562540895</v>
      </c>
      <c r="N84" s="65">
        <v>0.21993498539134076</v>
      </c>
      <c r="O84" s="65">
        <v>0.26982024157788354</v>
      </c>
      <c r="P84" s="65">
        <v>0.35848544439425711</v>
      </c>
      <c r="Q84" s="65">
        <v>0.49081486849570283</v>
      </c>
      <c r="R84" s="65">
        <v>0.61100069312008143</v>
      </c>
      <c r="S84" s="65">
        <v>0.70748665290620916</v>
      </c>
      <c r="T84" s="65">
        <v>0.77846528107694191</v>
      </c>
      <c r="U84" s="65">
        <v>0.85069964664066067</v>
      </c>
      <c r="V84" s="65">
        <v>0.83299058213875754</v>
      </c>
      <c r="W84" s="65">
        <v>0.82267434865627964</v>
      </c>
      <c r="DA84" s="109" t="s">
        <v>234</v>
      </c>
    </row>
    <row r="85" spans="1:105" ht="12" customHeight="1" x14ac:dyDescent="0.25">
      <c r="A85" s="61" t="s">
        <v>35</v>
      </c>
      <c r="B85" s="65">
        <v>175.93173280277222</v>
      </c>
      <c r="C85" s="65">
        <v>178.42070587199601</v>
      </c>
      <c r="D85" s="65">
        <v>176.41823161491095</v>
      </c>
      <c r="E85" s="65">
        <v>169.07030668975216</v>
      </c>
      <c r="F85" s="65">
        <v>169.01910072104829</v>
      </c>
      <c r="G85" s="65">
        <v>163.64228117622724</v>
      </c>
      <c r="H85" s="65">
        <v>157.87653749107579</v>
      </c>
      <c r="I85" s="65">
        <v>156.9619880772687</v>
      </c>
      <c r="J85" s="65">
        <v>156.29070359765518</v>
      </c>
      <c r="K85" s="65">
        <v>156.64107754975694</v>
      </c>
      <c r="L85" s="65">
        <v>159.70701983156016</v>
      </c>
      <c r="M85" s="65">
        <v>161.627284429502</v>
      </c>
      <c r="N85" s="65">
        <v>161.87748771310964</v>
      </c>
      <c r="O85" s="65">
        <v>161.80981874463575</v>
      </c>
      <c r="P85" s="65">
        <v>165.59831648790185</v>
      </c>
      <c r="Q85" s="65">
        <v>162.5670303994323</v>
      </c>
      <c r="R85" s="65">
        <v>161.50825950336463</v>
      </c>
      <c r="S85" s="65">
        <v>164.35091411905273</v>
      </c>
      <c r="T85" s="65">
        <v>152.7722233503404</v>
      </c>
      <c r="U85" s="65">
        <v>147.94106892508822</v>
      </c>
      <c r="V85" s="65">
        <v>128.48106334835148</v>
      </c>
      <c r="W85" s="65">
        <v>132.81712409832804</v>
      </c>
      <c r="DA85" s="109" t="s">
        <v>235</v>
      </c>
    </row>
    <row r="86" spans="1:105" ht="12" customHeight="1" x14ac:dyDescent="0.25">
      <c r="A86" s="66" t="s">
        <v>34</v>
      </c>
      <c r="B86" s="67">
        <v>161.58554612553002</v>
      </c>
      <c r="C86" s="67">
        <v>172.99637441686303</v>
      </c>
      <c r="D86" s="67">
        <v>174.31376971216017</v>
      </c>
      <c r="E86" s="67">
        <v>180.11664867939174</v>
      </c>
      <c r="F86" s="67">
        <v>192.56241426864008</v>
      </c>
      <c r="G86" s="67">
        <v>220.0237512005441</v>
      </c>
      <c r="H86" s="67">
        <v>228.00135955641554</v>
      </c>
      <c r="I86" s="67">
        <v>237.88882348531712</v>
      </c>
      <c r="J86" s="67">
        <v>264.33840837084779</v>
      </c>
      <c r="K86" s="67">
        <v>207.48023706081534</v>
      </c>
      <c r="L86" s="67">
        <v>252.87470471783453</v>
      </c>
      <c r="M86" s="67">
        <v>252.83834650647617</v>
      </c>
      <c r="N86" s="67">
        <v>242.66553473757563</v>
      </c>
      <c r="O86" s="67">
        <v>273.5543065294778</v>
      </c>
      <c r="P86" s="67">
        <v>227.08596044583601</v>
      </c>
      <c r="Q86" s="67">
        <v>242.14115934118084</v>
      </c>
      <c r="R86" s="67">
        <v>215.00202960595971</v>
      </c>
      <c r="S86" s="67">
        <v>219.8827493382303</v>
      </c>
      <c r="T86" s="67">
        <v>236.50930638967955</v>
      </c>
      <c r="U86" s="67">
        <v>235.78619898724344</v>
      </c>
      <c r="V86" s="67">
        <v>196.77340661962373</v>
      </c>
      <c r="W86" s="67">
        <v>219.97863324634943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0.8189134365060261</v>
      </c>
      <c r="C91" s="71">
        <f t="shared" ref="C91:W91" si="50">IF(C83=0,0,C83/C$81)</f>
        <v>0.80750072992710786</v>
      </c>
      <c r="D91" s="71">
        <f t="shared" si="50"/>
        <v>0.79854746317135383</v>
      </c>
      <c r="E91" s="71">
        <f t="shared" si="50"/>
        <v>0.80584944592353203</v>
      </c>
      <c r="F91" s="71">
        <f t="shared" si="50"/>
        <v>0.78924061275955237</v>
      </c>
      <c r="G91" s="71">
        <f t="shared" si="50"/>
        <v>0.78141637433339473</v>
      </c>
      <c r="H91" s="71">
        <f t="shared" si="50"/>
        <v>0.77875680970455796</v>
      </c>
      <c r="I91" s="71">
        <f t="shared" si="50"/>
        <v>0.76665739314110692</v>
      </c>
      <c r="J91" s="71">
        <f t="shared" si="50"/>
        <v>0.75961183685955769</v>
      </c>
      <c r="K91" s="71">
        <f t="shared" si="50"/>
        <v>0.74211543021303783</v>
      </c>
      <c r="L91" s="71">
        <f t="shared" si="50"/>
        <v>0.72689456216138537</v>
      </c>
      <c r="M91" s="71">
        <f t="shared" si="50"/>
        <v>0.71635471610094092</v>
      </c>
      <c r="N91" s="71">
        <f t="shared" si="50"/>
        <v>0.7303321524951879</v>
      </c>
      <c r="O91" s="71">
        <f t="shared" si="50"/>
        <v>0.72640981347184408</v>
      </c>
      <c r="P91" s="71">
        <f t="shared" si="50"/>
        <v>0.73359983241171978</v>
      </c>
      <c r="Q91" s="71">
        <f t="shared" si="50"/>
        <v>0.7438663938137553</v>
      </c>
      <c r="R91" s="71">
        <f t="shared" si="50"/>
        <v>0.75453830680110523</v>
      </c>
      <c r="S91" s="71">
        <f t="shared" si="50"/>
        <v>0.74412467977483865</v>
      </c>
      <c r="T91" s="71">
        <f t="shared" si="50"/>
        <v>0.76315138507600333</v>
      </c>
      <c r="U91" s="71">
        <f t="shared" si="50"/>
        <v>0.76115600377294024</v>
      </c>
      <c r="V91" s="71">
        <f t="shared" si="50"/>
        <v>0.78846472028289771</v>
      </c>
      <c r="W91" s="71">
        <f t="shared" si="50"/>
        <v>0.73898767324458225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2.9032737802432636E-5</v>
      </c>
      <c r="C92" s="72">
        <f t="shared" ref="C92:W92" si="52">IF(C84=0,0,C84/C$81)</f>
        <v>3.3670927835685278E-5</v>
      </c>
      <c r="D92" s="72">
        <f t="shared" si="52"/>
        <v>4.1523419885328094E-5</v>
      </c>
      <c r="E92" s="72">
        <f t="shared" si="52"/>
        <v>3.9785024816518733E-5</v>
      </c>
      <c r="F92" s="72">
        <f t="shared" si="52"/>
        <v>5.1453844038421291E-5</v>
      </c>
      <c r="G92" s="72">
        <f t="shared" si="52"/>
        <v>5.8000566706819174E-5</v>
      </c>
      <c r="H92" s="72">
        <f t="shared" si="52"/>
        <v>7.4748791481960914E-5</v>
      </c>
      <c r="I92" s="72">
        <f t="shared" si="52"/>
        <v>8.4321366251810084E-5</v>
      </c>
      <c r="J92" s="72">
        <f t="shared" si="52"/>
        <v>8.4088774153480577E-5</v>
      </c>
      <c r="K92" s="72">
        <f t="shared" si="52"/>
        <v>1.1580394013329485E-4</v>
      </c>
      <c r="L92" s="72">
        <f t="shared" si="52"/>
        <v>1.1703065740323634E-4</v>
      </c>
      <c r="M92" s="72">
        <f t="shared" si="52"/>
        <v>1.3086416154603454E-4</v>
      </c>
      <c r="N92" s="72">
        <f t="shared" si="52"/>
        <v>1.4652871022875603E-4</v>
      </c>
      <c r="O92" s="72">
        <f t="shared" si="52"/>
        <v>1.6945458677463475E-4</v>
      </c>
      <c r="P92" s="72">
        <f t="shared" si="52"/>
        <v>2.4297758820632231E-4</v>
      </c>
      <c r="Q92" s="72">
        <f t="shared" si="52"/>
        <v>3.1025293943875054E-4</v>
      </c>
      <c r="R92" s="72">
        <f t="shared" si="52"/>
        <v>3.9768973201571118E-4</v>
      </c>
      <c r="S92" s="72">
        <f t="shared" si="52"/>
        <v>4.7027545331431705E-4</v>
      </c>
      <c r="T92" s="72">
        <f t="shared" si="52"/>
        <v>4.7269247280670533E-4</v>
      </c>
      <c r="U92" s="72">
        <f t="shared" si="52"/>
        <v>5.2833110664730475E-4</v>
      </c>
      <c r="V92" s="72">
        <f t="shared" si="52"/>
        <v>5.4036697853137477E-4</v>
      </c>
      <c r="W92" s="72">
        <f t="shared" si="52"/>
        <v>6.072312036353091E-4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9.4376694503071873E-2</v>
      </c>
      <c r="C93" s="72">
        <f t="shared" ref="C93:W93" si="54">IF(C85=0,0,C85/C$81)</f>
        <v>9.771821001788189E-2</v>
      </c>
      <c r="D93" s="72">
        <f t="shared" si="54"/>
        <v>0.1013097598134628</v>
      </c>
      <c r="E93" s="72">
        <f t="shared" si="54"/>
        <v>9.3985089507860706E-2</v>
      </c>
      <c r="F93" s="72">
        <f t="shared" si="54"/>
        <v>9.8494153990331193E-2</v>
      </c>
      <c r="G93" s="72">
        <f t="shared" si="54"/>
        <v>9.3206144847587116E-2</v>
      </c>
      <c r="H93" s="72">
        <f t="shared" si="54"/>
        <v>9.0487970454149538E-2</v>
      </c>
      <c r="I93" s="72">
        <f t="shared" si="54"/>
        <v>9.2725361463811551E-2</v>
      </c>
      <c r="J93" s="72">
        <f t="shared" si="54"/>
        <v>8.928838207209687E-2</v>
      </c>
      <c r="K93" s="72">
        <f t="shared" si="54"/>
        <v>0.11088935368725018</v>
      </c>
      <c r="L93" s="72">
        <f t="shared" si="54"/>
        <v>0.10567158544671833</v>
      </c>
      <c r="M93" s="72">
        <f t="shared" si="54"/>
        <v>0.11056083385080134</v>
      </c>
      <c r="N93" s="72">
        <f t="shared" si="54"/>
        <v>0.10784868740854335</v>
      </c>
      <c r="O93" s="72">
        <f t="shared" si="54"/>
        <v>0.10162104892911153</v>
      </c>
      <c r="P93" s="72">
        <f t="shared" si="54"/>
        <v>0.11224076229718809</v>
      </c>
      <c r="Q93" s="72">
        <f t="shared" si="54"/>
        <v>0.10276155486453886</v>
      </c>
      <c r="R93" s="72">
        <f t="shared" si="54"/>
        <v>0.10512291911196524</v>
      </c>
      <c r="S93" s="72">
        <f t="shared" si="54"/>
        <v>0.10924616078970215</v>
      </c>
      <c r="T93" s="72">
        <f t="shared" si="54"/>
        <v>9.276493350062863E-2</v>
      </c>
      <c r="U93" s="72">
        <f t="shared" si="54"/>
        <v>9.1879512319573087E-2</v>
      </c>
      <c r="V93" s="72">
        <f t="shared" si="54"/>
        <v>8.33465893717414E-2</v>
      </c>
      <c r="W93" s="72">
        <f t="shared" si="54"/>
        <v>9.8034784068980974E-2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8.6680836253099622E-2</v>
      </c>
      <c r="C94" s="73">
        <f t="shared" ref="C94:W94" si="56">IF(C86=0,0,C86/C$81)</f>
        <v>9.4747389127174494E-2</v>
      </c>
      <c r="D94" s="73">
        <f t="shared" si="56"/>
        <v>0.10010125359529795</v>
      </c>
      <c r="E94" s="73">
        <f t="shared" si="56"/>
        <v>0.10012567954379067</v>
      </c>
      <c r="F94" s="73">
        <f t="shared" si="56"/>
        <v>0.11221377940607795</v>
      </c>
      <c r="G94" s="73">
        <f t="shared" si="56"/>
        <v>0.12531948025231129</v>
      </c>
      <c r="H94" s="73">
        <f t="shared" si="56"/>
        <v>0.13068047104981051</v>
      </c>
      <c r="I94" s="73">
        <f t="shared" si="56"/>
        <v>0.1405329240288298</v>
      </c>
      <c r="J94" s="73">
        <f t="shared" si="56"/>
        <v>0.15101569229419179</v>
      </c>
      <c r="K94" s="73">
        <f t="shared" si="56"/>
        <v>0.14687941215957859</v>
      </c>
      <c r="L94" s="73">
        <f t="shared" si="56"/>
        <v>0.16731682173449319</v>
      </c>
      <c r="M94" s="73">
        <f t="shared" si="56"/>
        <v>0.17295358588671167</v>
      </c>
      <c r="N94" s="73">
        <f t="shared" si="56"/>
        <v>0.1616726313860401</v>
      </c>
      <c r="O94" s="73">
        <f t="shared" si="56"/>
        <v>0.17179968301226969</v>
      </c>
      <c r="P94" s="73">
        <f t="shared" si="56"/>
        <v>0.15391642770288574</v>
      </c>
      <c r="Q94" s="73">
        <f t="shared" si="56"/>
        <v>0.15306179838226713</v>
      </c>
      <c r="R94" s="73">
        <f t="shared" si="56"/>
        <v>0.13994108435491379</v>
      </c>
      <c r="S94" s="73">
        <f t="shared" si="56"/>
        <v>0.14615888398214485</v>
      </c>
      <c r="T94" s="73">
        <f t="shared" si="56"/>
        <v>0.14361098895056135</v>
      </c>
      <c r="U94" s="73">
        <f t="shared" si="56"/>
        <v>0.14643615280083949</v>
      </c>
      <c r="V94" s="73">
        <f t="shared" si="56"/>
        <v>0.12764832336682952</v>
      </c>
      <c r="W94" s="73">
        <f t="shared" si="56"/>
        <v>0.16237031148280151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351324.20336974465</v>
      </c>
      <c r="C99" s="82">
        <f t="shared" ref="C99:W99" si="60">C47*11630*1000/C$8</f>
        <v>350149.92074741609</v>
      </c>
      <c r="D99" s="82">
        <f t="shared" si="60"/>
        <v>350785.10423665534</v>
      </c>
      <c r="E99" s="82">
        <f t="shared" si="60"/>
        <v>366732.62906931824</v>
      </c>
      <c r="F99" s="82">
        <f t="shared" si="60"/>
        <v>355227.63120512775</v>
      </c>
      <c r="G99" s="82">
        <f t="shared" si="60"/>
        <v>368953.12384227203</v>
      </c>
      <c r="H99" s="82">
        <f t="shared" si="60"/>
        <v>380300.44038059266</v>
      </c>
      <c r="I99" s="82">
        <f t="shared" si="60"/>
        <v>367177.36854267278</v>
      </c>
      <c r="J99" s="82">
        <f t="shared" si="60"/>
        <v>381065.42666418321</v>
      </c>
      <c r="K99" s="82">
        <f t="shared" si="60"/>
        <v>359860.88879015454</v>
      </c>
      <c r="L99" s="82">
        <f t="shared" si="60"/>
        <v>366928.98867951432</v>
      </c>
      <c r="M99" s="82">
        <f t="shared" si="60"/>
        <v>365369.59537035617</v>
      </c>
      <c r="N99" s="82">
        <f t="shared" si="60"/>
        <v>370961.04726306658</v>
      </c>
      <c r="O99" s="82">
        <f t="shared" si="60"/>
        <v>378249.49367480731</v>
      </c>
      <c r="P99" s="82">
        <f t="shared" si="60"/>
        <v>357890.58478907344</v>
      </c>
      <c r="Q99" s="82">
        <f t="shared" si="60"/>
        <v>384296.08784932777</v>
      </c>
      <c r="R99" s="82">
        <f t="shared" si="60"/>
        <v>379300.64206641656</v>
      </c>
      <c r="S99" s="82">
        <f t="shared" si="60"/>
        <v>374284.07172069733</v>
      </c>
      <c r="T99" s="82">
        <f t="shared" si="60"/>
        <v>403773.84411338071</v>
      </c>
      <c r="U99" s="82">
        <f t="shared" si="60"/>
        <v>405521.67665303778</v>
      </c>
      <c r="V99" s="82">
        <f t="shared" si="60"/>
        <v>379110.78168506088</v>
      </c>
      <c r="W99" s="82">
        <f t="shared" si="60"/>
        <v>381071.63196539524</v>
      </c>
      <c r="DA99" s="107"/>
    </row>
    <row r="100" spans="1:105" ht="12" customHeight="1" x14ac:dyDescent="0.25">
      <c r="A100" s="77" t="s">
        <v>36</v>
      </c>
      <c r="B100" s="64">
        <f t="shared" si="59"/>
        <v>289269.77649031859</v>
      </c>
      <c r="C100" s="64">
        <f t="shared" ref="C100:W100" si="61">C48*11630*1000/C$8</f>
        <v>287726.32458188647</v>
      </c>
      <c r="D100" s="64">
        <f t="shared" si="61"/>
        <v>286281.54528486292</v>
      </c>
      <c r="E100" s="64">
        <f t="shared" si="61"/>
        <v>300684.52468744863</v>
      </c>
      <c r="F100" s="64">
        <f t="shared" si="61"/>
        <v>287820.17323029845</v>
      </c>
      <c r="G100" s="64">
        <f t="shared" si="61"/>
        <v>300939.65261508292</v>
      </c>
      <c r="H100" s="64">
        <f t="shared" si="61"/>
        <v>311788.78471176518</v>
      </c>
      <c r="I100" s="64">
        <f t="shared" si="61"/>
        <v>299103.22337200737</v>
      </c>
      <c r="J100" s="64">
        <f t="shared" si="61"/>
        <v>311957.23590028565</v>
      </c>
      <c r="K100" s="64">
        <f t="shared" si="61"/>
        <v>288457.18493551639</v>
      </c>
      <c r="L100" s="64">
        <f t="shared" si="61"/>
        <v>293582.63411693607</v>
      </c>
      <c r="M100" s="64">
        <f t="shared" si="61"/>
        <v>288083.83761002554</v>
      </c>
      <c r="N100" s="64">
        <f t="shared" si="61"/>
        <v>288652.37103188725</v>
      </c>
      <c r="O100" s="64">
        <f t="shared" si="61"/>
        <v>291038.64832813764</v>
      </c>
      <c r="P100" s="64">
        <f t="shared" si="61"/>
        <v>266031.95987269806</v>
      </c>
      <c r="Q100" s="64">
        <f t="shared" si="61"/>
        <v>287129.03978643828</v>
      </c>
      <c r="R100" s="64">
        <f t="shared" si="61"/>
        <v>278509.07609163562</v>
      </c>
      <c r="S100" s="64">
        <f t="shared" si="61"/>
        <v>268781.17591481935</v>
      </c>
      <c r="T100" s="64">
        <f t="shared" si="61"/>
        <v>292648.83412454481</v>
      </c>
      <c r="U100" s="64">
        <f t="shared" si="61"/>
        <v>290579.99569315015</v>
      </c>
      <c r="V100" s="64">
        <f t="shared" si="61"/>
        <v>260528.55206405243</v>
      </c>
      <c r="W100" s="64">
        <f t="shared" si="61"/>
        <v>238846.59150479294</v>
      </c>
      <c r="DA100" s="108"/>
    </row>
    <row r="101" spans="1:105" ht="12" customHeight="1" x14ac:dyDescent="0.25">
      <c r="A101" s="61" t="s">
        <v>32</v>
      </c>
      <c r="B101" s="65">
        <f t="shared" si="59"/>
        <v>212232.70740743191</v>
      </c>
      <c r="C101" s="65">
        <f t="shared" ref="C101:W101" si="62">C49*11630*1000/C$8</f>
        <v>210539.91734208982</v>
      </c>
      <c r="D101" s="65">
        <f t="shared" si="62"/>
        <v>210016.54963093423</v>
      </c>
      <c r="E101" s="65">
        <f t="shared" si="62"/>
        <v>225132.38024789855</v>
      </c>
      <c r="F101" s="65">
        <f t="shared" si="62"/>
        <v>212660.62149790642</v>
      </c>
      <c r="G101" s="65">
        <f t="shared" si="62"/>
        <v>225537.61496675381</v>
      </c>
      <c r="H101" s="65">
        <f t="shared" si="62"/>
        <v>237307.68029498428</v>
      </c>
      <c r="I101" s="65">
        <f t="shared" si="62"/>
        <v>225913.5152534635</v>
      </c>
      <c r="J101" s="65">
        <f t="shared" si="62"/>
        <v>237915.08234319952</v>
      </c>
      <c r="K101" s="65">
        <f t="shared" si="62"/>
        <v>214647.10423507783</v>
      </c>
      <c r="L101" s="65">
        <f t="shared" si="62"/>
        <v>216697.03995474588</v>
      </c>
      <c r="M101" s="65">
        <f t="shared" si="62"/>
        <v>209660.61184723687</v>
      </c>
      <c r="N101" s="65">
        <f t="shared" si="62"/>
        <v>209840.64777867039</v>
      </c>
      <c r="O101" s="65">
        <f t="shared" si="62"/>
        <v>212052.4928767682</v>
      </c>
      <c r="P101" s="65">
        <f t="shared" si="62"/>
        <v>188991.08654484942</v>
      </c>
      <c r="Q101" s="65">
        <f t="shared" si="62"/>
        <v>209252.35745079195</v>
      </c>
      <c r="R101" s="65">
        <f t="shared" si="62"/>
        <v>202447.97669198355</v>
      </c>
      <c r="S101" s="65">
        <f t="shared" si="62"/>
        <v>192726.45272835332</v>
      </c>
      <c r="T101" s="65">
        <f t="shared" si="62"/>
        <v>217305.5991662069</v>
      </c>
      <c r="U101" s="65">
        <f t="shared" si="62"/>
        <v>215799.50486708924</v>
      </c>
      <c r="V101" s="65">
        <f t="shared" si="62"/>
        <v>190896.04568797516</v>
      </c>
      <c r="W101" s="65">
        <f t="shared" si="62"/>
        <v>166428.99356777864</v>
      </c>
      <c r="DA101" s="109"/>
    </row>
    <row r="102" spans="1:105" ht="12" customHeight="1" x14ac:dyDescent="0.25">
      <c r="A102" s="61" t="s">
        <v>31</v>
      </c>
      <c r="B102" s="65">
        <f t="shared" si="59"/>
        <v>1464.2762410674807</v>
      </c>
      <c r="C102" s="65">
        <f t="shared" ref="C102:W102" si="63">C50*11630*1000/C$8</f>
        <v>1519.6277864457036</v>
      </c>
      <c r="D102" s="65">
        <f t="shared" si="63"/>
        <v>1613.1308103956515</v>
      </c>
      <c r="E102" s="65">
        <f t="shared" si="63"/>
        <v>1649.0426943216487</v>
      </c>
      <c r="F102" s="65">
        <f t="shared" si="63"/>
        <v>1698.1087449450681</v>
      </c>
      <c r="G102" s="65">
        <f t="shared" si="63"/>
        <v>1747.7063279411273</v>
      </c>
      <c r="H102" s="65">
        <f t="shared" si="63"/>
        <v>1855.467032260098</v>
      </c>
      <c r="I102" s="65">
        <f t="shared" si="63"/>
        <v>1873.8670490703325</v>
      </c>
      <c r="J102" s="65">
        <f t="shared" si="63"/>
        <v>1860.8438167712027</v>
      </c>
      <c r="K102" s="65">
        <f t="shared" si="63"/>
        <v>1942.9671955393671</v>
      </c>
      <c r="L102" s="65">
        <f t="shared" si="63"/>
        <v>2007.8251753326299</v>
      </c>
      <c r="M102" s="65">
        <f t="shared" si="63"/>
        <v>1974.9634158954402</v>
      </c>
      <c r="N102" s="65">
        <f t="shared" si="63"/>
        <v>1994.2744449092213</v>
      </c>
      <c r="O102" s="65">
        <f t="shared" si="63"/>
        <v>1960.1327125766384</v>
      </c>
      <c r="P102" s="65">
        <f t="shared" si="63"/>
        <v>1981.2917469879076</v>
      </c>
      <c r="Q102" s="65">
        <f t="shared" si="63"/>
        <v>1921.1164367326805</v>
      </c>
      <c r="R102" s="65">
        <f t="shared" si="63"/>
        <v>1905.3379466526546</v>
      </c>
      <c r="S102" s="65">
        <f t="shared" si="63"/>
        <v>1885.8201198395864</v>
      </c>
      <c r="T102" s="65">
        <f t="shared" si="63"/>
        <v>1885.0319940731122</v>
      </c>
      <c r="U102" s="65">
        <f t="shared" si="63"/>
        <v>1927.7013858987764</v>
      </c>
      <c r="V102" s="65">
        <f t="shared" si="63"/>
        <v>1818.9608603274382</v>
      </c>
      <c r="W102" s="65">
        <f t="shared" si="63"/>
        <v>1805.0313754538588</v>
      </c>
      <c r="DA102" s="109"/>
    </row>
    <row r="103" spans="1:105" ht="12" customHeight="1" x14ac:dyDescent="0.25">
      <c r="A103" s="61" t="s">
        <v>35</v>
      </c>
      <c r="B103" s="65">
        <f t="shared" si="59"/>
        <v>38751.019606622511</v>
      </c>
      <c r="C103" s="65">
        <f t="shared" ref="C103:W103" si="64">C51*11630*1000/C$8</f>
        <v>38823.149597145581</v>
      </c>
      <c r="D103" s="65">
        <f t="shared" si="64"/>
        <v>38232.391583442441</v>
      </c>
      <c r="E103" s="65">
        <f t="shared" si="64"/>
        <v>37520.796778099051</v>
      </c>
      <c r="F103" s="65">
        <f t="shared" si="64"/>
        <v>37074.038113137954</v>
      </c>
      <c r="G103" s="65">
        <f t="shared" si="64"/>
        <v>36948.818227585456</v>
      </c>
      <c r="H103" s="65">
        <f t="shared" si="64"/>
        <v>36149.851385386362</v>
      </c>
      <c r="I103" s="65">
        <f t="shared" si="64"/>
        <v>35316.710770207646</v>
      </c>
      <c r="J103" s="65">
        <f t="shared" si="64"/>
        <v>35200.9396222875</v>
      </c>
      <c r="K103" s="65">
        <f t="shared" si="64"/>
        <v>36961.61481884207</v>
      </c>
      <c r="L103" s="65">
        <f t="shared" si="64"/>
        <v>38005.068962722929</v>
      </c>
      <c r="M103" s="65">
        <f t="shared" si="64"/>
        <v>37865.555965935571</v>
      </c>
      <c r="N103" s="65">
        <f t="shared" si="64"/>
        <v>37585.493313803185</v>
      </c>
      <c r="O103" s="65">
        <f t="shared" si="64"/>
        <v>36899.381223664364</v>
      </c>
      <c r="P103" s="65">
        <f t="shared" si="64"/>
        <v>36425.961018396527</v>
      </c>
      <c r="Q103" s="65">
        <f t="shared" si="64"/>
        <v>36747.221423282681</v>
      </c>
      <c r="R103" s="65">
        <f t="shared" si="64"/>
        <v>35821.966725785293</v>
      </c>
      <c r="S103" s="65">
        <f t="shared" si="64"/>
        <v>35479.399048085332</v>
      </c>
      <c r="T103" s="65">
        <f t="shared" si="64"/>
        <v>34671.31752695662</v>
      </c>
      <c r="U103" s="65">
        <f t="shared" si="64"/>
        <v>34074.042738909862</v>
      </c>
      <c r="V103" s="65">
        <f t="shared" si="64"/>
        <v>32189.350579052327</v>
      </c>
      <c r="W103" s="65">
        <f t="shared" si="64"/>
        <v>32139.536841650315</v>
      </c>
      <c r="DA103" s="109"/>
    </row>
    <row r="104" spans="1:105" ht="12" customHeight="1" x14ac:dyDescent="0.25">
      <c r="A104" s="66" t="s">
        <v>34</v>
      </c>
      <c r="B104" s="67">
        <f t="shared" si="59"/>
        <v>36821.773235196706</v>
      </c>
      <c r="C104" s="67">
        <f t="shared" ref="C104:W104" si="65">C52*11630*1000/C$8</f>
        <v>36843.629856205356</v>
      </c>
      <c r="D104" s="67">
        <f t="shared" si="65"/>
        <v>36419.473260090635</v>
      </c>
      <c r="E104" s="67">
        <f t="shared" si="65"/>
        <v>36382.304967129443</v>
      </c>
      <c r="F104" s="67">
        <f t="shared" si="65"/>
        <v>36387.404874309039</v>
      </c>
      <c r="G104" s="67">
        <f t="shared" si="65"/>
        <v>36705.513092802576</v>
      </c>
      <c r="H104" s="67">
        <f t="shared" si="65"/>
        <v>36475.785999134408</v>
      </c>
      <c r="I104" s="67">
        <f t="shared" si="65"/>
        <v>35999.130299265904</v>
      </c>
      <c r="J104" s="67">
        <f t="shared" si="65"/>
        <v>36980.370118027415</v>
      </c>
      <c r="K104" s="67">
        <f t="shared" si="65"/>
        <v>34905.498686057144</v>
      </c>
      <c r="L104" s="67">
        <f t="shared" si="65"/>
        <v>36872.700024134618</v>
      </c>
      <c r="M104" s="67">
        <f t="shared" si="65"/>
        <v>38582.706380957636</v>
      </c>
      <c r="N104" s="67">
        <f t="shared" si="65"/>
        <v>39231.955494504451</v>
      </c>
      <c r="O104" s="67">
        <f t="shared" si="65"/>
        <v>40126.641515128424</v>
      </c>
      <c r="P104" s="67">
        <f t="shared" si="65"/>
        <v>38633.620562464144</v>
      </c>
      <c r="Q104" s="67">
        <f t="shared" si="65"/>
        <v>39208.344475630882</v>
      </c>
      <c r="R104" s="67">
        <f t="shared" si="65"/>
        <v>38333.794727214168</v>
      </c>
      <c r="S104" s="67">
        <f t="shared" si="65"/>
        <v>38689.504018541134</v>
      </c>
      <c r="T104" s="67">
        <f t="shared" si="65"/>
        <v>38786.885437308134</v>
      </c>
      <c r="U104" s="67">
        <f t="shared" si="65"/>
        <v>38778.746701252276</v>
      </c>
      <c r="V104" s="67">
        <f t="shared" si="65"/>
        <v>35624.194936697502</v>
      </c>
      <c r="W104" s="67">
        <f t="shared" si="65"/>
        <v>38473.029719910068</v>
      </c>
      <c r="DA104" s="110"/>
    </row>
    <row r="105" spans="1:105" ht="12" customHeight="1" x14ac:dyDescent="0.25">
      <c r="A105" s="78" t="s">
        <v>33</v>
      </c>
      <c r="B105" s="68">
        <f t="shared" si="59"/>
        <v>62054.426879426064</v>
      </c>
      <c r="C105" s="68">
        <f t="shared" ref="C105:W105" si="66">C53*11630*1000/C$8</f>
        <v>62423.596165529598</v>
      </c>
      <c r="D105" s="68">
        <f t="shared" si="66"/>
        <v>64503.558951792409</v>
      </c>
      <c r="E105" s="68">
        <f t="shared" si="66"/>
        <v>66048.104381869576</v>
      </c>
      <c r="F105" s="68">
        <f t="shared" si="66"/>
        <v>67407.457974829347</v>
      </c>
      <c r="G105" s="68">
        <f t="shared" si="66"/>
        <v>68013.471227189104</v>
      </c>
      <c r="H105" s="68">
        <f t="shared" si="66"/>
        <v>68511.655668827501</v>
      </c>
      <c r="I105" s="68">
        <f t="shared" si="66"/>
        <v>68074.145170665375</v>
      </c>
      <c r="J105" s="68">
        <f t="shared" si="66"/>
        <v>69108.190763897568</v>
      </c>
      <c r="K105" s="68">
        <f t="shared" si="66"/>
        <v>71403.703854638195</v>
      </c>
      <c r="L105" s="68">
        <f t="shared" si="66"/>
        <v>73346.35456257833</v>
      </c>
      <c r="M105" s="68">
        <f t="shared" si="66"/>
        <v>77285.757760330598</v>
      </c>
      <c r="N105" s="68">
        <f t="shared" si="66"/>
        <v>82308.676231179357</v>
      </c>
      <c r="O105" s="68">
        <f t="shared" si="66"/>
        <v>87210.845346669666</v>
      </c>
      <c r="P105" s="68">
        <f t="shared" si="66"/>
        <v>91858.624916375426</v>
      </c>
      <c r="Q105" s="68">
        <f t="shared" si="66"/>
        <v>97167.048062889546</v>
      </c>
      <c r="R105" s="68">
        <f t="shared" si="66"/>
        <v>100791.56597478094</v>
      </c>
      <c r="S105" s="68">
        <f t="shared" si="66"/>
        <v>105502.89580587801</v>
      </c>
      <c r="T105" s="68">
        <f t="shared" si="66"/>
        <v>111125.00998883597</v>
      </c>
      <c r="U105" s="68">
        <f t="shared" si="66"/>
        <v>114941.68095988764</v>
      </c>
      <c r="V105" s="68">
        <f t="shared" si="66"/>
        <v>118582.22962100848</v>
      </c>
      <c r="W105" s="68">
        <f t="shared" si="66"/>
        <v>142225.04046060226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166469.89401188405</v>
      </c>
      <c r="C107" s="85">
        <f t="shared" ref="C107:W107" si="68">SUM(C108:C111)</f>
        <v>168790.35466144572</v>
      </c>
      <c r="D107" s="85">
        <f t="shared" si="68"/>
        <v>172051.78768495336</v>
      </c>
      <c r="E107" s="85">
        <f t="shared" si="68"/>
        <v>184504.7498545296</v>
      </c>
      <c r="F107" s="85">
        <f t="shared" si="68"/>
        <v>179444.9946191154</v>
      </c>
      <c r="G107" s="85">
        <f t="shared" si="68"/>
        <v>191362.02713601969</v>
      </c>
      <c r="H107" s="85">
        <f t="shared" si="68"/>
        <v>203048.14317840303</v>
      </c>
      <c r="I107" s="85">
        <f t="shared" si="68"/>
        <v>198538.01329995692</v>
      </c>
      <c r="J107" s="85">
        <f t="shared" si="68"/>
        <v>209840.32577092585</v>
      </c>
      <c r="K107" s="85">
        <f t="shared" si="68"/>
        <v>198724.41974567983</v>
      </c>
      <c r="L107" s="85">
        <f t="shared" si="68"/>
        <v>203629.08024092656</v>
      </c>
      <c r="M107" s="85">
        <f t="shared" si="68"/>
        <v>203477.27947001555</v>
      </c>
      <c r="N107" s="85">
        <f t="shared" si="68"/>
        <v>206932.58026584421</v>
      </c>
      <c r="O107" s="85">
        <f t="shared" si="68"/>
        <v>210374.23327012107</v>
      </c>
      <c r="P107" s="85">
        <f t="shared" si="68"/>
        <v>194495.06843589104</v>
      </c>
      <c r="Q107" s="85">
        <f t="shared" si="68"/>
        <v>212130.37601006479</v>
      </c>
      <c r="R107" s="85">
        <f t="shared" si="68"/>
        <v>208903.6942819934</v>
      </c>
      <c r="S107" s="85">
        <f t="shared" si="68"/>
        <v>205351.3539960341</v>
      </c>
      <c r="T107" s="85">
        <f t="shared" si="68"/>
        <v>226523.40340127496</v>
      </c>
      <c r="U107" s="85">
        <f t="shared" si="68"/>
        <v>229695.4867762012</v>
      </c>
      <c r="V107" s="85">
        <f t="shared" si="68"/>
        <v>209158.75409290605</v>
      </c>
      <c r="W107" s="85">
        <f t="shared" si="68"/>
        <v>195280.84984331508</v>
      </c>
      <c r="DA107" s="117"/>
    </row>
    <row r="108" spans="1:105" ht="12" customHeight="1" x14ac:dyDescent="0.25">
      <c r="A108" s="61" t="s">
        <v>32</v>
      </c>
      <c r="B108" s="65">
        <v>114980.31045909679</v>
      </c>
      <c r="C108" s="65">
        <v>116863.75735441598</v>
      </c>
      <c r="D108" s="65">
        <v>120071.04055106344</v>
      </c>
      <c r="E108" s="65">
        <v>132473.50796421405</v>
      </c>
      <c r="F108" s="65">
        <v>127270.83109212943</v>
      </c>
      <c r="G108" s="65">
        <v>138667.83373269782</v>
      </c>
      <c r="H108" s="65">
        <v>150154.70614842698</v>
      </c>
      <c r="I108" s="65">
        <v>145843.47613209413</v>
      </c>
      <c r="J108" s="65">
        <v>156343.9893361376</v>
      </c>
      <c r="K108" s="65">
        <v>144193.80944910611</v>
      </c>
      <c r="L108" s="65">
        <v>147142.47500317436</v>
      </c>
      <c r="M108" s="65">
        <v>145340.02672900789</v>
      </c>
      <c r="N108" s="65">
        <v>147654.16110869698</v>
      </c>
      <c r="O108" s="65">
        <v>150883.40395897624</v>
      </c>
      <c r="P108" s="65">
        <v>134919.90997289005</v>
      </c>
      <c r="Q108" s="65">
        <v>151756.47713275545</v>
      </c>
      <c r="R108" s="65">
        <v>148459.85354061818</v>
      </c>
      <c r="S108" s="65">
        <v>144116.90564921539</v>
      </c>
      <c r="T108" s="65">
        <v>165002.16656084161</v>
      </c>
      <c r="U108" s="65">
        <v>167369.93967412802</v>
      </c>
      <c r="V108" s="65">
        <v>149613.73731048621</v>
      </c>
      <c r="W108" s="65">
        <v>133003.31537972059</v>
      </c>
      <c r="DA108" s="109"/>
    </row>
    <row r="109" spans="1:105" ht="12" customHeight="1" x14ac:dyDescent="0.25">
      <c r="A109" s="61" t="s">
        <v>31</v>
      </c>
      <c r="B109" s="65">
        <v>3357.445778152814</v>
      </c>
      <c r="C109" s="65">
        <v>3691.0051039186992</v>
      </c>
      <c r="D109" s="65">
        <v>4148.1663632244044</v>
      </c>
      <c r="E109" s="65">
        <v>4459.0168990132388</v>
      </c>
      <c r="F109" s="65">
        <v>4839.9426739526134</v>
      </c>
      <c r="G109" s="65">
        <v>5268.5233057019504</v>
      </c>
      <c r="H109" s="65">
        <v>5902.3617762711592</v>
      </c>
      <c r="I109" s="65">
        <v>6266.2166279956646</v>
      </c>
      <c r="J109" s="65">
        <v>6547.2902615118064</v>
      </c>
      <c r="K109" s="65">
        <v>6950.6175042473997</v>
      </c>
      <c r="L109" s="65">
        <v>7355.4493604831014</v>
      </c>
      <c r="M109" s="65">
        <v>7475.9407681853691</v>
      </c>
      <c r="N109" s="65">
        <v>7806.9818138912078</v>
      </c>
      <c r="O109" s="65">
        <v>7957.5982235169931</v>
      </c>
      <c r="P109" s="65">
        <v>8373.7020709700519</v>
      </c>
      <c r="Q109" s="65">
        <v>8411.0737816809142</v>
      </c>
      <c r="R109" s="65">
        <v>8672.6365137880166</v>
      </c>
      <c r="S109" s="65">
        <v>8880.66441242172</v>
      </c>
      <c r="T109" s="65">
        <v>9161.8969011503959</v>
      </c>
      <c r="U109" s="65">
        <v>9626.7547697208174</v>
      </c>
      <c r="V109" s="65">
        <v>9268.267334678123</v>
      </c>
      <c r="W109" s="65">
        <v>9449.8805023018886</v>
      </c>
      <c r="DA109" s="109"/>
    </row>
    <row r="110" spans="1:105" ht="12" customHeight="1" x14ac:dyDescent="0.25">
      <c r="A110" s="61" t="s">
        <v>35</v>
      </c>
      <c r="B110" s="65">
        <v>23363.728704141013</v>
      </c>
      <c r="C110" s="65">
        <v>23547.796247701288</v>
      </c>
      <c r="D110" s="65">
        <v>23355.967295434322</v>
      </c>
      <c r="E110" s="65">
        <v>23128.721118681678</v>
      </c>
      <c r="F110" s="65">
        <v>23001.132914484693</v>
      </c>
      <c r="G110" s="65">
        <v>23191.051171599654</v>
      </c>
      <c r="H110" s="65">
        <v>22914.442413236902</v>
      </c>
      <c r="I110" s="65">
        <v>22612.442779986242</v>
      </c>
      <c r="J110" s="65">
        <v>22709.340872616736</v>
      </c>
      <c r="K110" s="65">
        <v>24016.358627604855</v>
      </c>
      <c r="L110" s="65">
        <v>24867.129167333522</v>
      </c>
      <c r="M110" s="65">
        <v>24998.655716496782</v>
      </c>
      <c r="N110" s="65">
        <v>25088.656491897655</v>
      </c>
      <c r="O110" s="65">
        <v>24953.829752786569</v>
      </c>
      <c r="P110" s="65">
        <v>24803.222814524914</v>
      </c>
      <c r="Q110" s="65">
        <v>25318.984417661661</v>
      </c>
      <c r="R110" s="65">
        <v>25095.783724930709</v>
      </c>
      <c r="S110" s="65">
        <v>25308.517358302095</v>
      </c>
      <c r="T110" s="65">
        <v>25313.189748647699</v>
      </c>
      <c r="U110" s="65">
        <v>25406.313776419152</v>
      </c>
      <c r="V110" s="65">
        <v>24596.088718421321</v>
      </c>
      <c r="W110" s="65">
        <v>25021.333917507087</v>
      </c>
      <c r="DA110" s="109"/>
    </row>
    <row r="111" spans="1:105" ht="12" customHeight="1" x14ac:dyDescent="0.25">
      <c r="A111" s="74" t="s">
        <v>34</v>
      </c>
      <c r="B111" s="68">
        <v>24768.409070493457</v>
      </c>
      <c r="C111" s="68">
        <v>24687.795955409751</v>
      </c>
      <c r="D111" s="68">
        <v>24476.613475231203</v>
      </c>
      <c r="E111" s="68">
        <v>24443.503872620608</v>
      </c>
      <c r="F111" s="68">
        <v>24333.08793854867</v>
      </c>
      <c r="G111" s="68">
        <v>24234.618926020259</v>
      </c>
      <c r="H111" s="68">
        <v>24076.632840467952</v>
      </c>
      <c r="I111" s="68">
        <v>23815.877759880867</v>
      </c>
      <c r="J111" s="68">
        <v>24239.705300659691</v>
      </c>
      <c r="K111" s="68">
        <v>23563.634164721469</v>
      </c>
      <c r="L111" s="68">
        <v>24264.026709935602</v>
      </c>
      <c r="M111" s="68">
        <v>25662.656256325507</v>
      </c>
      <c r="N111" s="68">
        <v>26382.78085135837</v>
      </c>
      <c r="O111" s="68">
        <v>26579.401334841274</v>
      </c>
      <c r="P111" s="68">
        <v>26398.233577506016</v>
      </c>
      <c r="Q111" s="68">
        <v>26643.84067796676</v>
      </c>
      <c r="R111" s="68">
        <v>26675.420502656485</v>
      </c>
      <c r="S111" s="68">
        <v>27045.266576094866</v>
      </c>
      <c r="T111" s="68">
        <v>27046.150190635239</v>
      </c>
      <c r="U111" s="68">
        <v>27292.478555933212</v>
      </c>
      <c r="V111" s="68">
        <v>25680.660729320392</v>
      </c>
      <c r="W111" s="68">
        <v>27806.320043785519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48692.82205810312</v>
      </c>
      <c r="C113" s="82">
        <f t="shared" ref="C113:W113" si="70">C81*1000000/C$8</f>
        <v>46513.539180734071</v>
      </c>
      <c r="D113" s="82">
        <f t="shared" si="70"/>
        <v>43276.963162432738</v>
      </c>
      <c r="E113" s="82">
        <f t="shared" si="70"/>
        <v>43845.932716431838</v>
      </c>
      <c r="F113" s="82">
        <f t="shared" si="70"/>
        <v>40913.555983022969</v>
      </c>
      <c r="G113" s="82">
        <f t="shared" si="70"/>
        <v>40532.689369097447</v>
      </c>
      <c r="H113" s="82">
        <f t="shared" si="70"/>
        <v>39146.190759545927</v>
      </c>
      <c r="I113" s="82">
        <f t="shared" si="70"/>
        <v>36059.027436795666</v>
      </c>
      <c r="J113" s="82">
        <f t="shared" si="70"/>
        <v>36763.828570728299</v>
      </c>
      <c r="K113" s="82">
        <f t="shared" si="70"/>
        <v>30479.334830332478</v>
      </c>
      <c r="L113" s="82">
        <f t="shared" si="70"/>
        <v>33021.395238552315</v>
      </c>
      <c r="M113" s="82">
        <f t="shared" si="70"/>
        <v>31718.478964201116</v>
      </c>
      <c r="N113" s="82">
        <f t="shared" si="70"/>
        <v>32637.79912981368</v>
      </c>
      <c r="O113" s="82">
        <f t="shared" si="70"/>
        <v>34447.375585647445</v>
      </c>
      <c r="P113" s="82">
        <f t="shared" si="70"/>
        <v>31433.420345232531</v>
      </c>
      <c r="Q113" s="82">
        <f t="shared" si="70"/>
        <v>33572.585870285206</v>
      </c>
      <c r="R113" s="82">
        <f t="shared" si="70"/>
        <v>31702.212439520961</v>
      </c>
      <c r="S113" s="82">
        <f t="shared" si="70"/>
        <v>30536.371172287811</v>
      </c>
      <c r="T113" s="82">
        <f t="shared" si="70"/>
        <v>32703.501693918504</v>
      </c>
      <c r="U113" s="82">
        <f t="shared" si="70"/>
        <v>31435.684035529146</v>
      </c>
      <c r="V113" s="82">
        <f t="shared" si="70"/>
        <v>29665.556808285579</v>
      </c>
      <c r="W113" s="82">
        <f t="shared" si="70"/>
        <v>25739.642107258569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48692.82205810312</v>
      </c>
      <c r="C114" s="64">
        <f t="shared" ref="C114:W114" si="72">C82*1000000/C$8</f>
        <v>46513.539180734071</v>
      </c>
      <c r="D114" s="64">
        <f t="shared" si="72"/>
        <v>43276.963162432738</v>
      </c>
      <c r="E114" s="64">
        <f t="shared" si="72"/>
        <v>43845.932716431838</v>
      </c>
      <c r="F114" s="64">
        <f t="shared" si="72"/>
        <v>40913.555983022969</v>
      </c>
      <c r="G114" s="64">
        <f t="shared" si="72"/>
        <v>40532.689369097447</v>
      </c>
      <c r="H114" s="64">
        <f t="shared" si="72"/>
        <v>39146.190759545927</v>
      </c>
      <c r="I114" s="64">
        <f t="shared" si="72"/>
        <v>36059.027436795666</v>
      </c>
      <c r="J114" s="64">
        <f t="shared" si="72"/>
        <v>36763.828570728299</v>
      </c>
      <c r="K114" s="64">
        <f t="shared" si="72"/>
        <v>30479.334830332478</v>
      </c>
      <c r="L114" s="64">
        <f t="shared" si="72"/>
        <v>33021.395238552315</v>
      </c>
      <c r="M114" s="64">
        <f t="shared" si="72"/>
        <v>31718.478964201116</v>
      </c>
      <c r="N114" s="64">
        <f t="shared" si="72"/>
        <v>32637.79912981368</v>
      </c>
      <c r="O114" s="64">
        <f t="shared" si="72"/>
        <v>34447.375585647445</v>
      </c>
      <c r="P114" s="64">
        <f t="shared" si="72"/>
        <v>31433.420345232531</v>
      </c>
      <c r="Q114" s="64">
        <f t="shared" si="72"/>
        <v>33572.585870285206</v>
      </c>
      <c r="R114" s="64">
        <f t="shared" si="72"/>
        <v>31702.212439520961</v>
      </c>
      <c r="S114" s="64">
        <f t="shared" si="72"/>
        <v>30536.371172287811</v>
      </c>
      <c r="T114" s="64">
        <f t="shared" si="72"/>
        <v>32703.501693918504</v>
      </c>
      <c r="U114" s="64">
        <f t="shared" si="72"/>
        <v>31435.684035529146</v>
      </c>
      <c r="V114" s="64">
        <f t="shared" si="72"/>
        <v>29665.556808285579</v>
      </c>
      <c r="W114" s="64">
        <f t="shared" si="72"/>
        <v>25739.642107258569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39875.206244777655</v>
      </c>
      <c r="C115" s="65">
        <f t="shared" ref="C115:W115" si="74">C83*1000000/C$8</f>
        <v>37559.7168399359</v>
      </c>
      <c r="D115" s="65">
        <f t="shared" si="74"/>
        <v>34558.709147120797</v>
      </c>
      <c r="E115" s="65">
        <f t="shared" si="74"/>
        <v>35333.220585537056</v>
      </c>
      <c r="F115" s="65">
        <f t="shared" si="74"/>
        <v>32290.639994213296</v>
      </c>
      <c r="G115" s="65">
        <f t="shared" si="74"/>
        <v>31672.907168781858</v>
      </c>
      <c r="H115" s="65">
        <f t="shared" si="74"/>
        <v>30485.362627990035</v>
      </c>
      <c r="I115" s="65">
        <f t="shared" si="74"/>
        <v>27644.919973897417</v>
      </c>
      <c r="J115" s="65">
        <f t="shared" si="74"/>
        <v>27926.239350600816</v>
      </c>
      <c r="K115" s="65">
        <f t="shared" si="74"/>
        <v>22619.184680219412</v>
      </c>
      <c r="L115" s="65">
        <f t="shared" si="74"/>
        <v>24003.072633885542</v>
      </c>
      <c r="M115" s="65">
        <f t="shared" si="74"/>
        <v>22721.681993553953</v>
      </c>
      <c r="N115" s="65">
        <f t="shared" si="74"/>
        <v>23836.434091182397</v>
      </c>
      <c r="O115" s="65">
        <f t="shared" si="74"/>
        <v>25022.91167376472</v>
      </c>
      <c r="P115" s="65">
        <f t="shared" si="74"/>
        <v>23059.551897389723</v>
      </c>
      <c r="Q115" s="65">
        <f t="shared" si="74"/>
        <v>24973.518382331691</v>
      </c>
      <c r="R115" s="65">
        <f t="shared" si="74"/>
        <v>23920.533695965081</v>
      </c>
      <c r="S115" s="65">
        <f t="shared" si="74"/>
        <v>22722.867420064278</v>
      </c>
      <c r="T115" s="65">
        <f t="shared" si="74"/>
        <v>24957.722614549326</v>
      </c>
      <c r="U115" s="65">
        <f t="shared" si="74"/>
        <v>23927.459636352178</v>
      </c>
      <c r="V115" s="65">
        <f t="shared" si="74"/>
        <v>23390.244950881301</v>
      </c>
      <c r="W115" s="65">
        <f t="shared" si="74"/>
        <v>19021.278230991287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1.4136859356734162</v>
      </c>
      <c r="C116" s="65">
        <f t="shared" ref="C116:W116" si="76">C84*1000000/C$8</f>
        <v>1.5661540211368168</v>
      </c>
      <c r="D116" s="65">
        <f t="shared" si="76"/>
        <v>1.7970075127555714</v>
      </c>
      <c r="E116" s="65">
        <f t="shared" si="76"/>
        <v>1.7444115212266513</v>
      </c>
      <c r="F116" s="65">
        <f t="shared" si="76"/>
        <v>2.1051597286076822</v>
      </c>
      <c r="G116" s="65">
        <f t="shared" si="76"/>
        <v>2.3509189535591166</v>
      </c>
      <c r="H116" s="65">
        <f t="shared" si="76"/>
        <v>2.9261304503983636</v>
      </c>
      <c r="I116" s="65">
        <f t="shared" si="76"/>
        <v>3.0405464591821159</v>
      </c>
      <c r="J116" s="65">
        <f t="shared" si="76"/>
        <v>3.0914252777012492</v>
      </c>
      <c r="K116" s="65">
        <f t="shared" si="76"/>
        <v>3.5296270659944708</v>
      </c>
      <c r="L116" s="65">
        <f t="shared" si="76"/>
        <v>3.8645155931398762</v>
      </c>
      <c r="M116" s="65">
        <f t="shared" si="76"/>
        <v>4.1508121551657133</v>
      </c>
      <c r="N116" s="65">
        <f t="shared" si="76"/>
        <v>4.7823746111968148</v>
      </c>
      <c r="O116" s="65">
        <f t="shared" si="76"/>
        <v>5.8372657953365295</v>
      </c>
      <c r="P116" s="65">
        <f t="shared" si="76"/>
        <v>7.6376166645601424</v>
      </c>
      <c r="Q116" s="65">
        <f t="shared" si="76"/>
        <v>10.415993450815849</v>
      </c>
      <c r="R116" s="65">
        <f t="shared" si="76"/>
        <v>12.607644369378237</v>
      </c>
      <c r="S116" s="65">
        <f t="shared" si="76"/>
        <v>14.360505795621892</v>
      </c>
      <c r="T116" s="65">
        <f t="shared" si="76"/>
        <v>15.458699085136614</v>
      </c>
      <c r="U116" s="65">
        <f t="shared" si="76"/>
        <v>16.608449734706127</v>
      </c>
      <c r="V116" s="65">
        <f t="shared" si="76"/>
        <v>16.030287298944135</v>
      </c>
      <c r="W116" s="65">
        <f t="shared" si="76"/>
        <v>15.629913857932703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4595.4675918700377</v>
      </c>
      <c r="C117" s="65">
        <f t="shared" ref="C117:W117" si="78">C85*1000000/C$8</f>
        <v>4545.2197903379511</v>
      </c>
      <c r="D117" s="65">
        <f t="shared" si="78"/>
        <v>4384.3787434421383</v>
      </c>
      <c r="E117" s="65">
        <f t="shared" si="78"/>
        <v>4120.8639109094838</v>
      </c>
      <c r="F117" s="65">
        <f t="shared" si="78"/>
        <v>4029.7460832839001</v>
      </c>
      <c r="G117" s="65">
        <f t="shared" si="78"/>
        <v>3777.8957163983509</v>
      </c>
      <c r="H117" s="65">
        <f t="shared" si="78"/>
        <v>3542.2593528422935</v>
      </c>
      <c r="I117" s="65">
        <f t="shared" si="78"/>
        <v>3343.5863531103764</v>
      </c>
      <c r="J117" s="65">
        <f t="shared" si="78"/>
        <v>3282.58277185626</v>
      </c>
      <c r="K117" s="65">
        <f t="shared" si="78"/>
        <v>3379.8337401528611</v>
      </c>
      <c r="L117" s="65">
        <f t="shared" si="78"/>
        <v>3489.423188520539</v>
      </c>
      <c r="M117" s="65">
        <f t="shared" si="78"/>
        <v>3506.8214827611773</v>
      </c>
      <c r="N117" s="65">
        <f t="shared" si="78"/>
        <v>3519.9437960541036</v>
      </c>
      <c r="O117" s="65">
        <f t="shared" si="78"/>
        <v>3500.5784398685619</v>
      </c>
      <c r="P117" s="65">
        <f t="shared" si="78"/>
        <v>3528.1110611568406</v>
      </c>
      <c r="Q117" s="65">
        <f t="shared" si="78"/>
        <v>3449.9711248537556</v>
      </c>
      <c r="R117" s="65">
        <f t="shared" si="78"/>
        <v>3332.6291139501</v>
      </c>
      <c r="S117" s="65">
        <f t="shared" si="78"/>
        <v>3335.9813150217792</v>
      </c>
      <c r="T117" s="65">
        <f t="shared" si="78"/>
        <v>3033.7381598740458</v>
      </c>
      <c r="U117" s="65">
        <f t="shared" si="78"/>
        <v>2888.2953186166073</v>
      </c>
      <c r="V117" s="65">
        <f t="shared" si="78"/>
        <v>2472.5229817842455</v>
      </c>
      <c r="W117" s="65">
        <f t="shared" si="78"/>
        <v>2523.3802559979445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4220.734535519754</v>
      </c>
      <c r="C118" s="67">
        <f t="shared" ref="C118:W118" si="80">C86*1000000/C$8</f>
        <v>4407.0363964390881</v>
      </c>
      <c r="D118" s="67">
        <f t="shared" si="80"/>
        <v>4332.0782643570474</v>
      </c>
      <c r="E118" s="67">
        <f t="shared" si="80"/>
        <v>4390.1038084640613</v>
      </c>
      <c r="F118" s="67">
        <f t="shared" si="80"/>
        <v>4591.06474579716</v>
      </c>
      <c r="G118" s="67">
        <f t="shared" si="80"/>
        <v>5079.5355649636749</v>
      </c>
      <c r="H118" s="67">
        <f t="shared" si="80"/>
        <v>5115.6426482632014</v>
      </c>
      <c r="I118" s="67">
        <f t="shared" si="80"/>
        <v>5067.4805633286951</v>
      </c>
      <c r="J118" s="67">
        <f t="shared" si="80"/>
        <v>5551.9150229935221</v>
      </c>
      <c r="K118" s="67">
        <f t="shared" si="80"/>
        <v>4476.7867828942035</v>
      </c>
      <c r="L118" s="67">
        <f t="shared" si="80"/>
        <v>5525.0349005530998</v>
      </c>
      <c r="M118" s="67">
        <f t="shared" si="80"/>
        <v>5485.8246757308152</v>
      </c>
      <c r="N118" s="67">
        <f t="shared" si="80"/>
        <v>5276.6388679659876</v>
      </c>
      <c r="O118" s="67">
        <f t="shared" si="80"/>
        <v>5918.0482062188294</v>
      </c>
      <c r="P118" s="67">
        <f t="shared" si="80"/>
        <v>4838.1197700213997</v>
      </c>
      <c r="Q118" s="67">
        <f t="shared" si="80"/>
        <v>5138.6803696489451</v>
      </c>
      <c r="R118" s="67">
        <f t="shared" si="80"/>
        <v>4436.4419852364008</v>
      </c>
      <c r="S118" s="67">
        <f t="shared" si="80"/>
        <v>4463.1619314061263</v>
      </c>
      <c r="T118" s="67">
        <f t="shared" si="80"/>
        <v>4696.582220409995</v>
      </c>
      <c r="U118" s="67">
        <f t="shared" si="80"/>
        <v>4603.3206308256567</v>
      </c>
      <c r="V118" s="67">
        <f t="shared" si="80"/>
        <v>3786.7585883210886</v>
      </c>
      <c r="W118" s="67">
        <f t="shared" si="80"/>
        <v>4179.3537064114071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0.57548319092179867</v>
      </c>
      <c r="C121" s="86">
        <f t="shared" ref="C121:W121" si="84">IF(C107=0,"",C107/C100)</f>
        <v>0.58663507729689235</v>
      </c>
      <c r="D121" s="86">
        <f t="shared" si="84"/>
        <v>0.60098805011602885</v>
      </c>
      <c r="E121" s="86">
        <f t="shared" si="84"/>
        <v>0.61361571582812924</v>
      </c>
      <c r="F121" s="86">
        <f t="shared" si="84"/>
        <v>0.6234621868409933</v>
      </c>
      <c r="G121" s="86">
        <f t="shared" si="84"/>
        <v>0.63588173068299991</v>
      </c>
      <c r="H121" s="86">
        <f t="shared" si="84"/>
        <v>0.65123619942299071</v>
      </c>
      <c r="I121" s="86">
        <f t="shared" si="84"/>
        <v>0.6637775783948231</v>
      </c>
      <c r="J121" s="86">
        <f t="shared" si="84"/>
        <v>0.67265734409186595</v>
      </c>
      <c r="K121" s="86">
        <f t="shared" si="84"/>
        <v>0.68892171914561251</v>
      </c>
      <c r="L121" s="86">
        <f t="shared" si="84"/>
        <v>0.69360056276291748</v>
      </c>
      <c r="M121" s="86">
        <f t="shared" si="84"/>
        <v>0.70631272187320504</v>
      </c>
      <c r="N121" s="86">
        <f t="shared" si="84"/>
        <v>0.71689201625502841</v>
      </c>
      <c r="O121" s="86">
        <f t="shared" si="84"/>
        <v>0.72283950766885852</v>
      </c>
      <c r="P121" s="86">
        <f t="shared" si="84"/>
        <v>0.73109662661945229</v>
      </c>
      <c r="Q121" s="86">
        <f t="shared" si="84"/>
        <v>0.73879805458843095</v>
      </c>
      <c r="R121" s="86">
        <f t="shared" si="84"/>
        <v>0.75007858707362018</v>
      </c>
      <c r="S121" s="86">
        <f t="shared" si="84"/>
        <v>0.76400943368561236</v>
      </c>
      <c r="T121" s="86">
        <f t="shared" si="84"/>
        <v>0.77404512503498191</v>
      </c>
      <c r="U121" s="86">
        <f t="shared" si="84"/>
        <v>0.7904724694770715</v>
      </c>
      <c r="V121" s="86">
        <f t="shared" si="84"/>
        <v>0.80282469017631197</v>
      </c>
      <c r="W121" s="86">
        <f t="shared" si="84"/>
        <v>0.81759948347178479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0.54176527201513913</v>
      </c>
      <c r="C122" s="75">
        <f t="shared" ref="C122:W122" si="86">IF(C108=0,"",C108/C101)</f>
        <v>0.55506698601260118</v>
      </c>
      <c r="D122" s="75">
        <f t="shared" si="86"/>
        <v>0.57172180364864766</v>
      </c>
      <c r="E122" s="75">
        <f t="shared" si="86"/>
        <v>0.58842494277519897</v>
      </c>
      <c r="F122" s="75">
        <f t="shared" si="86"/>
        <v>0.59846919563988188</v>
      </c>
      <c r="G122" s="75">
        <f t="shared" si="86"/>
        <v>0.61483240280402296</v>
      </c>
      <c r="H122" s="75">
        <f t="shared" si="86"/>
        <v>0.63274271596173304</v>
      </c>
      <c r="I122" s="75">
        <f t="shared" si="86"/>
        <v>0.6455721605166701</v>
      </c>
      <c r="J122" s="75">
        <f t="shared" si="86"/>
        <v>0.6571419844270604</v>
      </c>
      <c r="K122" s="75">
        <f t="shared" si="86"/>
        <v>0.67177151055896622</v>
      </c>
      <c r="L122" s="75">
        <f t="shared" si="86"/>
        <v>0.67902392683307067</v>
      </c>
      <c r="M122" s="75">
        <f t="shared" si="86"/>
        <v>0.69321569487217605</v>
      </c>
      <c r="N122" s="75">
        <f t="shared" si="86"/>
        <v>0.70364899590109609</v>
      </c>
      <c r="O122" s="75">
        <f t="shared" si="86"/>
        <v>0.71153798718442962</v>
      </c>
      <c r="P122" s="75">
        <f t="shared" si="86"/>
        <v>0.71389562565889708</v>
      </c>
      <c r="Q122" s="75">
        <f t="shared" si="86"/>
        <v>0.7252318634854219</v>
      </c>
      <c r="R122" s="75">
        <f t="shared" si="86"/>
        <v>0.73332347384480834</v>
      </c>
      <c r="S122" s="75">
        <f t="shared" si="86"/>
        <v>0.74777957882277446</v>
      </c>
      <c r="T122" s="75">
        <f t="shared" si="86"/>
        <v>0.75930931919816369</v>
      </c>
      <c r="U122" s="75">
        <f t="shared" si="86"/>
        <v>0.77558073998923693</v>
      </c>
      <c r="V122" s="75">
        <f t="shared" si="86"/>
        <v>0.78374455987964242</v>
      </c>
      <c r="W122" s="75">
        <f t="shared" si="86"/>
        <v>0.79915952460263262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2.2929046336947887</v>
      </c>
      <c r="C123" s="76">
        <f t="shared" ref="C123:W123" si="88">IF(C109=0,"",C109/C102)</f>
        <v>2.4288876110588142</v>
      </c>
      <c r="D123" s="76">
        <f t="shared" si="88"/>
        <v>2.5715003002186703</v>
      </c>
      <c r="E123" s="76">
        <f t="shared" si="88"/>
        <v>2.704003307111162</v>
      </c>
      <c r="F123" s="76">
        <f t="shared" si="88"/>
        <v>2.8501959537986949</v>
      </c>
      <c r="G123" s="76">
        <f t="shared" si="88"/>
        <v>3.014535807001681</v>
      </c>
      <c r="H123" s="76">
        <f t="shared" si="88"/>
        <v>3.1810652917296189</v>
      </c>
      <c r="I123" s="76">
        <f t="shared" si="88"/>
        <v>3.3440027834976207</v>
      </c>
      <c r="J123" s="76">
        <f t="shared" si="88"/>
        <v>3.5184523292622032</v>
      </c>
      <c r="K123" s="76">
        <f t="shared" si="88"/>
        <v>3.5773210789170893</v>
      </c>
      <c r="L123" s="76">
        <f t="shared" si="88"/>
        <v>3.6633913404659584</v>
      </c>
      <c r="M123" s="76">
        <f t="shared" si="88"/>
        <v>3.7853565833247642</v>
      </c>
      <c r="N123" s="76">
        <f t="shared" si="88"/>
        <v>3.9146978159500905</v>
      </c>
      <c r="O123" s="76">
        <f t="shared" si="88"/>
        <v>4.0597242076821178</v>
      </c>
      <c r="P123" s="76">
        <f t="shared" si="88"/>
        <v>4.2263851770948495</v>
      </c>
      <c r="Q123" s="76">
        <f t="shared" si="88"/>
        <v>4.3782217573370845</v>
      </c>
      <c r="R123" s="76">
        <f t="shared" si="88"/>
        <v>4.5517576181298027</v>
      </c>
      <c r="S123" s="76">
        <f t="shared" si="88"/>
        <v>4.7091789503110917</v>
      </c>
      <c r="T123" s="76">
        <f t="shared" si="88"/>
        <v>4.8603402647578857</v>
      </c>
      <c r="U123" s="76">
        <f t="shared" si="88"/>
        <v>4.9939035372080802</v>
      </c>
      <c r="V123" s="76">
        <f t="shared" si="88"/>
        <v>5.0953638073387166</v>
      </c>
      <c r="W123" s="76">
        <f t="shared" si="88"/>
        <v>5.2352998572813183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0.6029190700352095</v>
      </c>
      <c r="C124" s="76">
        <f t="shared" ref="C124:W124" si="90">IF(C110=0,"",C110/C103)</f>
        <v>0.6065400796186976</v>
      </c>
      <c r="D124" s="76">
        <f t="shared" si="90"/>
        <v>0.61089474992585213</v>
      </c>
      <c r="E124" s="76">
        <f t="shared" si="90"/>
        <v>0.61642403959240943</v>
      </c>
      <c r="F124" s="76">
        <f t="shared" si="90"/>
        <v>0.62041078029570684</v>
      </c>
      <c r="G124" s="76">
        <f t="shared" si="90"/>
        <v>0.62765339418313382</v>
      </c>
      <c r="H124" s="76">
        <f t="shared" si="90"/>
        <v>0.63387376531512118</v>
      </c>
      <c r="I124" s="76">
        <f t="shared" si="90"/>
        <v>0.64027601344634766</v>
      </c>
      <c r="J124" s="76">
        <f t="shared" si="90"/>
        <v>0.64513450823449892</v>
      </c>
      <c r="K124" s="76">
        <f t="shared" si="90"/>
        <v>0.64976486404381717</v>
      </c>
      <c r="L124" s="76">
        <f t="shared" si="90"/>
        <v>0.65431085500000841</v>
      </c>
      <c r="M124" s="76">
        <f t="shared" si="90"/>
        <v>0.66019513192902679</v>
      </c>
      <c r="N124" s="76">
        <f t="shared" si="90"/>
        <v>0.66750903819277274</v>
      </c>
      <c r="O124" s="76">
        <f t="shared" si="90"/>
        <v>0.67626688917978772</v>
      </c>
      <c r="P124" s="76">
        <f t="shared" si="90"/>
        <v>0.68092157683906596</v>
      </c>
      <c r="Q124" s="76">
        <f t="shared" si="90"/>
        <v>0.68900405083742733</v>
      </c>
      <c r="R124" s="76">
        <f t="shared" si="90"/>
        <v>0.70056967885200772</v>
      </c>
      <c r="S124" s="76">
        <f t="shared" si="90"/>
        <v>0.71332993335093953</v>
      </c>
      <c r="T124" s="76">
        <f t="shared" si="90"/>
        <v>0.73009021733791724</v>
      </c>
      <c r="U124" s="76">
        <f t="shared" si="90"/>
        <v>0.7456207639079806</v>
      </c>
      <c r="V124" s="76">
        <f t="shared" si="90"/>
        <v>0.76410639779814549</v>
      </c>
      <c r="W124" s="76">
        <f t="shared" si="90"/>
        <v>0.77852191961526351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0.67265660760786394</v>
      </c>
      <c r="C125" s="56">
        <f t="shared" ref="C125:W125" si="92">IF(C111=0,"",C111/C104)</f>
        <v>0.67006959009636591</v>
      </c>
      <c r="D125" s="56">
        <f t="shared" si="92"/>
        <v>0.67207488972810825</v>
      </c>
      <c r="E125" s="56">
        <f t="shared" si="92"/>
        <v>0.67185143697478045</v>
      </c>
      <c r="F125" s="56">
        <f t="shared" si="92"/>
        <v>0.6687228183103765</v>
      </c>
      <c r="G125" s="56">
        <f t="shared" si="92"/>
        <v>0.66024465765531881</v>
      </c>
      <c r="H125" s="56">
        <f t="shared" si="92"/>
        <v>0.66007166620177293</v>
      </c>
      <c r="I125" s="56">
        <f t="shared" si="92"/>
        <v>0.66156814239388784</v>
      </c>
      <c r="J125" s="56">
        <f t="shared" si="92"/>
        <v>0.65547492421778586</v>
      </c>
      <c r="K125" s="56">
        <f t="shared" si="92"/>
        <v>0.67506940315205588</v>
      </c>
      <c r="L125" s="56">
        <f t="shared" si="92"/>
        <v>0.65804854795156997</v>
      </c>
      <c r="M125" s="56">
        <f t="shared" si="92"/>
        <v>0.66513364829666854</v>
      </c>
      <c r="N125" s="56">
        <f t="shared" si="92"/>
        <v>0.67248192242301119</v>
      </c>
      <c r="O125" s="56">
        <f t="shared" si="92"/>
        <v>0.6623878882268377</v>
      </c>
      <c r="P125" s="56">
        <f t="shared" si="92"/>
        <v>0.68329691064870457</v>
      </c>
      <c r="Q125" s="56">
        <f t="shared" si="92"/>
        <v>0.6795451589272451</v>
      </c>
      <c r="R125" s="56">
        <f t="shared" si="92"/>
        <v>0.69587215908262023</v>
      </c>
      <c r="S125" s="56">
        <f t="shared" si="92"/>
        <v>0.6990336852892709</v>
      </c>
      <c r="T125" s="56">
        <f t="shared" si="92"/>
        <v>0.69730141736568063</v>
      </c>
      <c r="U125" s="56">
        <f t="shared" si="92"/>
        <v>0.70379991303462786</v>
      </c>
      <c r="V125" s="56">
        <f t="shared" si="92"/>
        <v>0.72087694262154423</v>
      </c>
      <c r="W125" s="56">
        <f t="shared" si="92"/>
        <v>0.72274838363965788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390.36022596638298</v>
      </c>
      <c r="C129" s="82">
        <f t="shared" ref="C129:W129" si="94">IF(C99=0,0,C99/C$26)</f>
        <v>389.05546749712897</v>
      </c>
      <c r="D129" s="82">
        <f t="shared" si="94"/>
        <v>389.76122692961712</v>
      </c>
      <c r="E129" s="82">
        <f t="shared" si="94"/>
        <v>407.4806989659092</v>
      </c>
      <c r="F129" s="82">
        <f t="shared" si="94"/>
        <v>394.69736800569751</v>
      </c>
      <c r="G129" s="82">
        <f t="shared" si="94"/>
        <v>409.94791538030228</v>
      </c>
      <c r="H129" s="82">
        <f t="shared" si="94"/>
        <v>422.55604486732517</v>
      </c>
      <c r="I129" s="82">
        <f t="shared" si="94"/>
        <v>407.97485393630308</v>
      </c>
      <c r="J129" s="82">
        <f t="shared" si="94"/>
        <v>423.40602962687024</v>
      </c>
      <c r="K129" s="82">
        <f t="shared" si="94"/>
        <v>399.84543198906061</v>
      </c>
      <c r="L129" s="82">
        <f t="shared" si="94"/>
        <v>407.69887631057145</v>
      </c>
      <c r="M129" s="82">
        <f t="shared" si="94"/>
        <v>405.96621707817354</v>
      </c>
      <c r="N129" s="82">
        <f t="shared" si="94"/>
        <v>412.17894140340724</v>
      </c>
      <c r="O129" s="82">
        <f t="shared" si="94"/>
        <v>420.27721519423039</v>
      </c>
      <c r="P129" s="82">
        <f t="shared" si="94"/>
        <v>397.65620532119277</v>
      </c>
      <c r="Q129" s="82">
        <f t="shared" si="94"/>
        <v>426.99565316591975</v>
      </c>
      <c r="R129" s="82">
        <f t="shared" si="94"/>
        <v>421.44515785157398</v>
      </c>
      <c r="S129" s="82">
        <f t="shared" si="94"/>
        <v>415.87119080077485</v>
      </c>
      <c r="T129" s="82">
        <f t="shared" si="94"/>
        <v>448.63760457042298</v>
      </c>
      <c r="U129" s="82">
        <f t="shared" si="94"/>
        <v>450.57964072559753</v>
      </c>
      <c r="V129" s="82">
        <f t="shared" si="94"/>
        <v>421.23420187228993</v>
      </c>
      <c r="W129" s="82">
        <f t="shared" si="94"/>
        <v>423.41292440599466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321.41086276702072</v>
      </c>
      <c r="C130" s="64">
        <f t="shared" ref="C130:W130" si="96">IF(C100=0,0,C100/C$26)</f>
        <v>319.6959162020961</v>
      </c>
      <c r="D130" s="64">
        <f t="shared" si="96"/>
        <v>318.09060587206994</v>
      </c>
      <c r="E130" s="64">
        <f t="shared" si="96"/>
        <v>334.0939163193874</v>
      </c>
      <c r="F130" s="64">
        <f t="shared" si="96"/>
        <v>319.80019247810941</v>
      </c>
      <c r="G130" s="64">
        <f t="shared" si="96"/>
        <v>334.37739179453655</v>
      </c>
      <c r="H130" s="64">
        <f t="shared" si="96"/>
        <v>346.43198301307245</v>
      </c>
      <c r="I130" s="64">
        <f t="shared" si="96"/>
        <v>332.33691485778598</v>
      </c>
      <c r="J130" s="64">
        <f t="shared" si="96"/>
        <v>346.6191510003174</v>
      </c>
      <c r="K130" s="64">
        <f t="shared" si="96"/>
        <v>320.5079832616849</v>
      </c>
      <c r="L130" s="64">
        <f t="shared" si="96"/>
        <v>326.20292679659565</v>
      </c>
      <c r="M130" s="64">
        <f t="shared" si="96"/>
        <v>320.09315290002837</v>
      </c>
      <c r="N130" s="64">
        <f t="shared" si="96"/>
        <v>320.72485670209693</v>
      </c>
      <c r="O130" s="64">
        <f t="shared" si="96"/>
        <v>323.37627592015298</v>
      </c>
      <c r="P130" s="64">
        <f t="shared" si="96"/>
        <v>295.59106652522013</v>
      </c>
      <c r="Q130" s="64">
        <f t="shared" si="96"/>
        <v>319.03226642937585</v>
      </c>
      <c r="R130" s="64">
        <f t="shared" si="96"/>
        <v>309.45452899070625</v>
      </c>
      <c r="S130" s="64">
        <f t="shared" si="96"/>
        <v>298.64575101646597</v>
      </c>
      <c r="T130" s="64">
        <f t="shared" si="96"/>
        <v>325.16537124949423</v>
      </c>
      <c r="U130" s="64">
        <f t="shared" si="96"/>
        <v>322.86666188127793</v>
      </c>
      <c r="V130" s="64">
        <f t="shared" si="96"/>
        <v>289.47616896005832</v>
      </c>
      <c r="W130" s="64">
        <f t="shared" si="96"/>
        <v>265.38510167199212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235.81411934159104</v>
      </c>
      <c r="C131" s="65">
        <f t="shared" ref="C131:W131" si="98">IF(C101=0,0,C101/C$26)</f>
        <v>233.93324149121091</v>
      </c>
      <c r="D131" s="65">
        <f t="shared" si="98"/>
        <v>233.35172181214918</v>
      </c>
      <c r="E131" s="65">
        <f t="shared" si="98"/>
        <v>250.14708916433176</v>
      </c>
      <c r="F131" s="65">
        <f t="shared" si="98"/>
        <v>236.28957944211825</v>
      </c>
      <c r="G131" s="65">
        <f t="shared" si="98"/>
        <v>250.5973499630598</v>
      </c>
      <c r="H131" s="65">
        <f t="shared" si="98"/>
        <v>263.67520032776031</v>
      </c>
      <c r="I131" s="65">
        <f t="shared" si="98"/>
        <v>251.01501694829278</v>
      </c>
      <c r="J131" s="65">
        <f t="shared" si="98"/>
        <v>264.35009149244394</v>
      </c>
      <c r="K131" s="65">
        <f t="shared" si="98"/>
        <v>238.49678248341982</v>
      </c>
      <c r="L131" s="65">
        <f t="shared" si="98"/>
        <v>240.77448883860654</v>
      </c>
      <c r="M131" s="65">
        <f t="shared" si="98"/>
        <v>232.95623538581873</v>
      </c>
      <c r="N131" s="65">
        <f t="shared" si="98"/>
        <v>233.15627530963374</v>
      </c>
      <c r="O131" s="65">
        <f t="shared" si="98"/>
        <v>235.61388097418691</v>
      </c>
      <c r="P131" s="65">
        <f t="shared" si="98"/>
        <v>209.99009616094381</v>
      </c>
      <c r="Q131" s="65">
        <f t="shared" si="98"/>
        <v>232.50261938976882</v>
      </c>
      <c r="R131" s="65">
        <f t="shared" si="98"/>
        <v>224.94219632442616</v>
      </c>
      <c r="S131" s="65">
        <f t="shared" si="98"/>
        <v>214.14050303150373</v>
      </c>
      <c r="T131" s="65">
        <f t="shared" si="98"/>
        <v>241.45066574022988</v>
      </c>
      <c r="U131" s="65">
        <f t="shared" si="98"/>
        <v>239.77722763009916</v>
      </c>
      <c r="V131" s="65">
        <f t="shared" si="98"/>
        <v>212.10671743108352</v>
      </c>
      <c r="W131" s="65">
        <f t="shared" si="98"/>
        <v>184.92110396419847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1.6269736011860898</v>
      </c>
      <c r="C132" s="65">
        <f t="shared" ref="C132:W132" si="100">IF(C102=0,0,C102/C$26)</f>
        <v>1.6884753182730039</v>
      </c>
      <c r="D132" s="65">
        <f t="shared" si="100"/>
        <v>1.7923675671062795</v>
      </c>
      <c r="E132" s="65">
        <f t="shared" si="100"/>
        <v>1.8322696603573876</v>
      </c>
      <c r="F132" s="65">
        <f t="shared" si="100"/>
        <v>1.8867874943834091</v>
      </c>
      <c r="G132" s="65">
        <f t="shared" si="100"/>
        <v>1.9418959199345858</v>
      </c>
      <c r="H132" s="65">
        <f t="shared" si="100"/>
        <v>2.0616300358445532</v>
      </c>
      <c r="I132" s="65">
        <f t="shared" si="100"/>
        <v>2.0820744989670361</v>
      </c>
      <c r="J132" s="65">
        <f t="shared" si="100"/>
        <v>2.067604240856892</v>
      </c>
      <c r="K132" s="65">
        <f t="shared" si="100"/>
        <v>2.1588524394881858</v>
      </c>
      <c r="L132" s="65">
        <f t="shared" si="100"/>
        <v>2.2309168614806998</v>
      </c>
      <c r="M132" s="65">
        <f t="shared" si="100"/>
        <v>2.1944037954393778</v>
      </c>
      <c r="N132" s="65">
        <f t="shared" si="100"/>
        <v>2.2158604943435791</v>
      </c>
      <c r="O132" s="65">
        <f t="shared" si="100"/>
        <v>2.1779252361962653</v>
      </c>
      <c r="P132" s="65">
        <f t="shared" si="100"/>
        <v>2.2014352744310086</v>
      </c>
      <c r="Q132" s="65">
        <f t="shared" si="100"/>
        <v>2.1345738185918672</v>
      </c>
      <c r="R132" s="65">
        <f t="shared" si="100"/>
        <v>2.1170421629473939</v>
      </c>
      <c r="S132" s="65">
        <f t="shared" si="100"/>
        <v>2.0953556887106517</v>
      </c>
      <c r="T132" s="65">
        <f t="shared" si="100"/>
        <v>2.094479993414569</v>
      </c>
      <c r="U132" s="65">
        <f t="shared" si="100"/>
        <v>2.141890428776418</v>
      </c>
      <c r="V132" s="65">
        <f t="shared" si="100"/>
        <v>2.0210676225860427</v>
      </c>
      <c r="W132" s="65">
        <f t="shared" si="100"/>
        <v>2.005590417170954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43.056688451802792</v>
      </c>
      <c r="C133" s="65">
        <f t="shared" ref="C133:W133" si="102">IF(C103=0,0,C103/C$26)</f>
        <v>43.136832885717311</v>
      </c>
      <c r="D133" s="65">
        <f t="shared" si="102"/>
        <v>42.480435092713826</v>
      </c>
      <c r="E133" s="65">
        <f t="shared" si="102"/>
        <v>41.689774197887843</v>
      </c>
      <c r="F133" s="65">
        <f t="shared" si="102"/>
        <v>41.193375681264392</v>
      </c>
      <c r="G133" s="65">
        <f t="shared" si="102"/>
        <v>41.054242475094952</v>
      </c>
      <c r="H133" s="65">
        <f t="shared" si="102"/>
        <v>40.166501539318183</v>
      </c>
      <c r="I133" s="65">
        <f t="shared" si="102"/>
        <v>39.240789744675162</v>
      </c>
      <c r="J133" s="65">
        <f t="shared" si="102"/>
        <v>39.112155135875</v>
      </c>
      <c r="K133" s="65">
        <f t="shared" si="102"/>
        <v>41.068460909824523</v>
      </c>
      <c r="L133" s="65">
        <f t="shared" si="102"/>
        <v>42.227854403025475</v>
      </c>
      <c r="M133" s="65">
        <f t="shared" si="102"/>
        <v>42.072839962150631</v>
      </c>
      <c r="N133" s="65">
        <f t="shared" si="102"/>
        <v>41.761659237559087</v>
      </c>
      <c r="O133" s="65">
        <f t="shared" si="102"/>
        <v>40.99931247073819</v>
      </c>
      <c r="P133" s="65">
        <f t="shared" si="102"/>
        <v>40.473290020440594</v>
      </c>
      <c r="Q133" s="65">
        <f t="shared" si="102"/>
        <v>40.830246025869648</v>
      </c>
      <c r="R133" s="65">
        <f t="shared" si="102"/>
        <v>39.802185250872547</v>
      </c>
      <c r="S133" s="65">
        <f t="shared" si="102"/>
        <v>39.421554497872599</v>
      </c>
      <c r="T133" s="65">
        <f t="shared" si="102"/>
        <v>38.52368614106291</v>
      </c>
      <c r="U133" s="65">
        <f t="shared" si="102"/>
        <v>37.860047487677626</v>
      </c>
      <c r="V133" s="65">
        <f t="shared" si="102"/>
        <v>35.765945087835924</v>
      </c>
      <c r="W133" s="65">
        <f t="shared" si="102"/>
        <v>35.710596490722565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40.913081372440793</v>
      </c>
      <c r="C134" s="67">
        <f t="shared" ref="C134:W134" si="104">IF(C104=0,0,C104/C$26)</f>
        <v>40.93736650689484</v>
      </c>
      <c r="D134" s="67">
        <f t="shared" si="104"/>
        <v>40.466081400100713</v>
      </c>
      <c r="E134" s="67">
        <f t="shared" si="104"/>
        <v>40.424783296810496</v>
      </c>
      <c r="F134" s="67">
        <f t="shared" si="104"/>
        <v>40.43044986034338</v>
      </c>
      <c r="G134" s="67">
        <f t="shared" si="104"/>
        <v>40.783903436447304</v>
      </c>
      <c r="H134" s="67">
        <f t="shared" si="104"/>
        <v>40.52865111014934</v>
      </c>
      <c r="I134" s="67">
        <f t="shared" si="104"/>
        <v>39.999033665851002</v>
      </c>
      <c r="J134" s="67">
        <f t="shared" si="104"/>
        <v>41.08930013114157</v>
      </c>
      <c r="K134" s="67">
        <f t="shared" si="104"/>
        <v>38.783887428952383</v>
      </c>
      <c r="L134" s="67">
        <f t="shared" si="104"/>
        <v>40.969666693482907</v>
      </c>
      <c r="M134" s="67">
        <f t="shared" si="104"/>
        <v>42.869673756619598</v>
      </c>
      <c r="N134" s="67">
        <f t="shared" si="104"/>
        <v>43.591061660560499</v>
      </c>
      <c r="O134" s="67">
        <f t="shared" si="104"/>
        <v>44.585157239031588</v>
      </c>
      <c r="P134" s="67">
        <f t="shared" si="104"/>
        <v>42.926245069404608</v>
      </c>
      <c r="Q134" s="67">
        <f t="shared" si="104"/>
        <v>43.564827195145426</v>
      </c>
      <c r="R134" s="67">
        <f t="shared" si="104"/>
        <v>42.593105252460184</v>
      </c>
      <c r="S134" s="67">
        <f t="shared" si="104"/>
        <v>42.988337798379042</v>
      </c>
      <c r="T134" s="67">
        <f t="shared" si="104"/>
        <v>43.096539374786815</v>
      </c>
      <c r="U134" s="67">
        <f t="shared" si="104"/>
        <v>43.087496334724747</v>
      </c>
      <c r="V134" s="67">
        <f t="shared" si="104"/>
        <v>39.582438818552788</v>
      </c>
      <c r="W134" s="67">
        <f t="shared" si="104"/>
        <v>42.747810799900073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68.949363199362296</v>
      </c>
      <c r="C135" s="68">
        <f t="shared" ref="C135:W135" si="106">IF(C105=0,0,C105/C$26)</f>
        <v>69.359551295032887</v>
      </c>
      <c r="D135" s="68">
        <f t="shared" si="106"/>
        <v>71.670621057547123</v>
      </c>
      <c r="E135" s="68">
        <f t="shared" si="106"/>
        <v>73.386782646521766</v>
      </c>
      <c r="F135" s="68">
        <f t="shared" si="106"/>
        <v>74.897175527588161</v>
      </c>
      <c r="G135" s="68">
        <f t="shared" si="106"/>
        <v>75.57052358576567</v>
      </c>
      <c r="H135" s="68">
        <f t="shared" si="106"/>
        <v>76.124061854252773</v>
      </c>
      <c r="I135" s="68">
        <f t="shared" si="106"/>
        <v>75.637939078517078</v>
      </c>
      <c r="J135" s="68">
        <f t="shared" si="106"/>
        <v>76.786878626552848</v>
      </c>
      <c r="K135" s="68">
        <f t="shared" si="106"/>
        <v>79.337448727375772</v>
      </c>
      <c r="L135" s="68">
        <f t="shared" si="106"/>
        <v>81.495949513975916</v>
      </c>
      <c r="M135" s="68">
        <f t="shared" si="106"/>
        <v>85.873064178145114</v>
      </c>
      <c r="N135" s="68">
        <f t="shared" si="106"/>
        <v>91.454084701310379</v>
      </c>
      <c r="O135" s="68">
        <f t="shared" si="106"/>
        <v>96.900939274077416</v>
      </c>
      <c r="P135" s="68">
        <f t="shared" si="106"/>
        <v>102.06513879597271</v>
      </c>
      <c r="Q135" s="68">
        <f t="shared" si="106"/>
        <v>107.96338673654394</v>
      </c>
      <c r="R135" s="68">
        <f t="shared" si="106"/>
        <v>111.99062886086772</v>
      </c>
      <c r="S135" s="68">
        <f t="shared" si="106"/>
        <v>117.22543978430892</v>
      </c>
      <c r="T135" s="68">
        <f t="shared" si="106"/>
        <v>123.47223332092885</v>
      </c>
      <c r="U135" s="68">
        <f t="shared" si="106"/>
        <v>127.71297884431961</v>
      </c>
      <c r="V135" s="68">
        <f t="shared" si="106"/>
        <v>131.75803291223167</v>
      </c>
      <c r="W135" s="68">
        <f t="shared" si="106"/>
        <v>158.02782273400248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184.96654890209342</v>
      </c>
      <c r="C137" s="85">
        <f t="shared" ref="C137:W137" si="108">IF(C107=0,0,C107/C$26)</f>
        <v>187.54483851271746</v>
      </c>
      <c r="D137" s="85">
        <f t="shared" si="108"/>
        <v>191.16865298328153</v>
      </c>
      <c r="E137" s="85">
        <f t="shared" si="108"/>
        <v>205.00527761614401</v>
      </c>
      <c r="F137" s="85">
        <f t="shared" si="108"/>
        <v>199.38332735457266</v>
      </c>
      <c r="G137" s="85">
        <f t="shared" si="108"/>
        <v>212.62447459557742</v>
      </c>
      <c r="H137" s="85">
        <f t="shared" si="108"/>
        <v>225.60904797600335</v>
      </c>
      <c r="I137" s="85">
        <f t="shared" si="108"/>
        <v>220.59779255550768</v>
      </c>
      <c r="J137" s="85">
        <f t="shared" si="108"/>
        <v>233.15591752325093</v>
      </c>
      <c r="K137" s="85">
        <f t="shared" si="108"/>
        <v>220.80491082853314</v>
      </c>
      <c r="L137" s="85">
        <f t="shared" si="108"/>
        <v>226.25453360102952</v>
      </c>
      <c r="M137" s="85">
        <f t="shared" si="108"/>
        <v>226.08586607779506</v>
      </c>
      <c r="N137" s="85">
        <f t="shared" si="108"/>
        <v>229.92508918427131</v>
      </c>
      <c r="O137" s="85">
        <f t="shared" si="108"/>
        <v>233.74914807791234</v>
      </c>
      <c r="P137" s="85">
        <f t="shared" si="108"/>
        <v>216.10563159543452</v>
      </c>
      <c r="Q137" s="85">
        <f t="shared" si="108"/>
        <v>235.70041778896089</v>
      </c>
      <c r="R137" s="85">
        <f t="shared" si="108"/>
        <v>232.11521586888156</v>
      </c>
      <c r="S137" s="85">
        <f t="shared" si="108"/>
        <v>228.16817110670459</v>
      </c>
      <c r="T137" s="85">
        <f t="shared" si="108"/>
        <v>251.69267044586107</v>
      </c>
      <c r="U137" s="85">
        <f t="shared" si="108"/>
        <v>255.21720752911244</v>
      </c>
      <c r="V137" s="85">
        <f t="shared" si="108"/>
        <v>232.39861565878454</v>
      </c>
      <c r="W137" s="85">
        <f t="shared" si="108"/>
        <v>216.97872204812785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127.75590051010755</v>
      </c>
      <c r="C138" s="65">
        <f t="shared" ref="C138:W138" si="110">IF(C108=0,0,C108/C$26)</f>
        <v>129.84861928268444</v>
      </c>
      <c r="D138" s="65">
        <f t="shared" si="110"/>
        <v>133.4122672789594</v>
      </c>
      <c r="E138" s="65">
        <f t="shared" si="110"/>
        <v>147.19278662690451</v>
      </c>
      <c r="F138" s="65">
        <f t="shared" si="110"/>
        <v>141.41203454681047</v>
      </c>
      <c r="G138" s="65">
        <f t="shared" si="110"/>
        <v>154.07537081410868</v>
      </c>
      <c r="H138" s="65">
        <f t="shared" si="110"/>
        <v>166.83856238714108</v>
      </c>
      <c r="I138" s="65">
        <f t="shared" si="110"/>
        <v>162.04830681343793</v>
      </c>
      <c r="J138" s="65">
        <f t="shared" si="110"/>
        <v>173.71554370681955</v>
      </c>
      <c r="K138" s="65">
        <f t="shared" si="110"/>
        <v>160.21534383234012</v>
      </c>
      <c r="L138" s="65">
        <f t="shared" si="110"/>
        <v>163.49163889241595</v>
      </c>
      <c r="M138" s="65">
        <f t="shared" si="110"/>
        <v>161.48891858778654</v>
      </c>
      <c r="N138" s="65">
        <f t="shared" si="110"/>
        <v>164.0601790096633</v>
      </c>
      <c r="O138" s="65">
        <f t="shared" si="110"/>
        <v>167.64822662108475</v>
      </c>
      <c r="P138" s="65">
        <f t="shared" si="110"/>
        <v>149.91101108098897</v>
      </c>
      <c r="Q138" s="65">
        <f t="shared" si="110"/>
        <v>168.61830792528383</v>
      </c>
      <c r="R138" s="65">
        <f t="shared" si="110"/>
        <v>164.95539282290909</v>
      </c>
      <c r="S138" s="65">
        <f t="shared" si="110"/>
        <v>160.12989516579489</v>
      </c>
      <c r="T138" s="65">
        <f t="shared" si="110"/>
        <v>183.33574062315733</v>
      </c>
      <c r="U138" s="65">
        <f t="shared" si="110"/>
        <v>185.96659963792001</v>
      </c>
      <c r="V138" s="65">
        <f t="shared" si="110"/>
        <v>166.23748590054024</v>
      </c>
      <c r="W138" s="65">
        <f t="shared" si="110"/>
        <v>147.78146153302285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3.7304953090586825</v>
      </c>
      <c r="C139" s="65">
        <f t="shared" ref="C139:W139" si="112">IF(C109=0,0,C109/C$26)</f>
        <v>4.1011167821318883</v>
      </c>
      <c r="D139" s="65">
        <f t="shared" si="112"/>
        <v>4.6090737369160051</v>
      </c>
      <c r="E139" s="65">
        <f t="shared" si="112"/>
        <v>4.9544632211258213</v>
      </c>
      <c r="F139" s="65">
        <f t="shared" si="112"/>
        <v>5.3777140821695708</v>
      </c>
      <c r="G139" s="65">
        <f t="shared" si="112"/>
        <v>5.8539147841132779</v>
      </c>
      <c r="H139" s="65">
        <f t="shared" si="112"/>
        <v>6.558179751412399</v>
      </c>
      <c r="I139" s="65">
        <f t="shared" si="112"/>
        <v>6.9624629199951826</v>
      </c>
      <c r="J139" s="65">
        <f t="shared" si="112"/>
        <v>7.2747669572353404</v>
      </c>
      <c r="K139" s="65">
        <f t="shared" si="112"/>
        <v>7.7229083380526662</v>
      </c>
      <c r="L139" s="65">
        <f t="shared" si="112"/>
        <v>8.1727215116478913</v>
      </c>
      <c r="M139" s="65">
        <f t="shared" si="112"/>
        <v>8.3066008535392992</v>
      </c>
      <c r="N139" s="65">
        <f t="shared" si="112"/>
        <v>8.674424237656897</v>
      </c>
      <c r="O139" s="65">
        <f t="shared" si="112"/>
        <v>8.8417758039077707</v>
      </c>
      <c r="P139" s="65">
        <f t="shared" si="112"/>
        <v>9.3041134121889471</v>
      </c>
      <c r="Q139" s="65">
        <f t="shared" si="112"/>
        <v>9.3456375352010159</v>
      </c>
      <c r="R139" s="65">
        <f t="shared" si="112"/>
        <v>9.6362627930977958</v>
      </c>
      <c r="S139" s="65">
        <f t="shared" si="112"/>
        <v>9.8674049026908008</v>
      </c>
      <c r="T139" s="65">
        <f t="shared" si="112"/>
        <v>10.179885445722663</v>
      </c>
      <c r="U139" s="65">
        <f t="shared" si="112"/>
        <v>10.696394188578687</v>
      </c>
      <c r="V139" s="65">
        <f t="shared" si="112"/>
        <v>10.298074816309027</v>
      </c>
      <c r="W139" s="65">
        <f t="shared" si="112"/>
        <v>10.499867224779875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25.959698560156685</v>
      </c>
      <c r="C140" s="65">
        <f t="shared" ref="C140:W140" si="114">IF(C110=0,0,C110/C$26)</f>
        <v>26.164218053001431</v>
      </c>
      <c r="D140" s="65">
        <f t="shared" si="114"/>
        <v>25.951074772704807</v>
      </c>
      <c r="E140" s="65">
        <f t="shared" si="114"/>
        <v>25.698579020757425</v>
      </c>
      <c r="F140" s="65">
        <f t="shared" si="114"/>
        <v>25.556814349427437</v>
      </c>
      <c r="G140" s="65">
        <f t="shared" si="114"/>
        <v>25.767834635110727</v>
      </c>
      <c r="H140" s="65">
        <f t="shared" si="114"/>
        <v>25.460491570263226</v>
      </c>
      <c r="I140" s="65">
        <f t="shared" si="114"/>
        <v>25.124936422206936</v>
      </c>
      <c r="J140" s="65">
        <f t="shared" si="114"/>
        <v>25.23260096957415</v>
      </c>
      <c r="K140" s="65">
        <f t="shared" si="114"/>
        <v>26.68484291956095</v>
      </c>
      <c r="L140" s="65">
        <f t="shared" si="114"/>
        <v>27.63014351925947</v>
      </c>
      <c r="M140" s="65">
        <f t="shared" si="114"/>
        <v>27.776284129440867</v>
      </c>
      <c r="N140" s="65">
        <f t="shared" si="114"/>
        <v>27.876284990997391</v>
      </c>
      <c r="O140" s="65">
        <f t="shared" si="114"/>
        <v>27.726477503096191</v>
      </c>
      <c r="P140" s="65">
        <f t="shared" si="114"/>
        <v>27.55913646058324</v>
      </c>
      <c r="Q140" s="65">
        <f t="shared" si="114"/>
        <v>28.132204908512957</v>
      </c>
      <c r="R140" s="65">
        <f t="shared" si="114"/>
        <v>27.884204138811899</v>
      </c>
      <c r="S140" s="65">
        <f t="shared" si="114"/>
        <v>28.120574842557886</v>
      </c>
      <c r="T140" s="65">
        <f t="shared" si="114"/>
        <v>28.125766387386332</v>
      </c>
      <c r="U140" s="65">
        <f t="shared" si="114"/>
        <v>28.229237529354613</v>
      </c>
      <c r="V140" s="65">
        <f t="shared" si="114"/>
        <v>27.328987464912583</v>
      </c>
      <c r="W140" s="65">
        <f t="shared" si="114"/>
        <v>27.801482130563425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27.52045452277051</v>
      </c>
      <c r="C141" s="68">
        <f t="shared" ref="C141:W141" si="116">IF(C111=0,0,C111/C$26)</f>
        <v>27.430884394899724</v>
      </c>
      <c r="D141" s="68">
        <f t="shared" si="116"/>
        <v>27.196237194701339</v>
      </c>
      <c r="E141" s="68">
        <f t="shared" si="116"/>
        <v>27.159448747356233</v>
      </c>
      <c r="F141" s="68">
        <f t="shared" si="116"/>
        <v>27.036764376165188</v>
      </c>
      <c r="G141" s="68">
        <f t="shared" si="116"/>
        <v>26.927354362244731</v>
      </c>
      <c r="H141" s="68">
        <f t="shared" si="116"/>
        <v>26.751814267186614</v>
      </c>
      <c r="I141" s="68">
        <f t="shared" si="116"/>
        <v>26.46208639986763</v>
      </c>
      <c r="J141" s="68">
        <f t="shared" si="116"/>
        <v>26.933005889621878</v>
      </c>
      <c r="K141" s="68">
        <f t="shared" si="116"/>
        <v>26.181815738579409</v>
      </c>
      <c r="L141" s="68">
        <f t="shared" si="116"/>
        <v>26.960029677706224</v>
      </c>
      <c r="M141" s="68">
        <f t="shared" si="116"/>
        <v>28.514062507028342</v>
      </c>
      <c r="N141" s="68">
        <f t="shared" si="116"/>
        <v>29.31420094595374</v>
      </c>
      <c r="O141" s="68">
        <f t="shared" si="116"/>
        <v>29.532668149823643</v>
      </c>
      <c r="P141" s="68">
        <f t="shared" si="116"/>
        <v>29.331370641673356</v>
      </c>
      <c r="Q141" s="68">
        <f t="shared" si="116"/>
        <v>29.604267419963065</v>
      </c>
      <c r="R141" s="68">
        <f t="shared" si="116"/>
        <v>29.63935611406276</v>
      </c>
      <c r="S141" s="68">
        <f t="shared" si="116"/>
        <v>30.050296195660966</v>
      </c>
      <c r="T141" s="68">
        <f t="shared" si="116"/>
        <v>30.051277989594709</v>
      </c>
      <c r="U141" s="68">
        <f t="shared" si="116"/>
        <v>30.324976173259124</v>
      </c>
      <c r="V141" s="68">
        <f t="shared" si="116"/>
        <v>28.534067477022663</v>
      </c>
      <c r="W141" s="68">
        <f t="shared" si="116"/>
        <v>30.895911159761685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54.103135620114585</v>
      </c>
      <c r="C143" s="82">
        <f t="shared" ref="C143:W143" si="118">IF(C113=0,0,C113/C$26)</f>
        <v>51.681710200815637</v>
      </c>
      <c r="D143" s="82">
        <f t="shared" si="118"/>
        <v>48.085514624925267</v>
      </c>
      <c r="E143" s="82">
        <f t="shared" si="118"/>
        <v>48.717703018257602</v>
      </c>
      <c r="F143" s="82">
        <f t="shared" si="118"/>
        <v>45.459506647803302</v>
      </c>
      <c r="G143" s="82">
        <f t="shared" si="118"/>
        <v>45.036321521219385</v>
      </c>
      <c r="H143" s="82">
        <f t="shared" si="118"/>
        <v>43.495767510606584</v>
      </c>
      <c r="I143" s="82">
        <f t="shared" si="118"/>
        <v>40.065586040884071</v>
      </c>
      <c r="J143" s="82">
        <f t="shared" si="118"/>
        <v>40.848698411920331</v>
      </c>
      <c r="K143" s="82">
        <f t="shared" si="118"/>
        <v>33.865927589258312</v>
      </c>
      <c r="L143" s="82">
        <f t="shared" si="118"/>
        <v>36.690439153947018</v>
      </c>
      <c r="M143" s="82">
        <f t="shared" si="118"/>
        <v>35.242754404667906</v>
      </c>
      <c r="N143" s="82">
        <f t="shared" si="118"/>
        <v>36.264221255348531</v>
      </c>
      <c r="O143" s="82">
        <f t="shared" si="118"/>
        <v>38.2748617618305</v>
      </c>
      <c r="P143" s="82">
        <f t="shared" si="118"/>
        <v>34.926022605813927</v>
      </c>
      <c r="Q143" s="82">
        <f t="shared" si="118"/>
        <v>37.302873189205783</v>
      </c>
      <c r="R143" s="82">
        <f t="shared" si="118"/>
        <v>35.224680488356626</v>
      </c>
      <c r="S143" s="82">
        <f t="shared" si="118"/>
        <v>33.929301302542015</v>
      </c>
      <c r="T143" s="82">
        <f t="shared" si="118"/>
        <v>36.337224104353893</v>
      </c>
      <c r="U143" s="82">
        <f t="shared" si="118"/>
        <v>34.928537817254607</v>
      </c>
      <c r="V143" s="82">
        <f t="shared" si="118"/>
        <v>32.96172978698398</v>
      </c>
      <c r="W143" s="82">
        <f t="shared" si="118"/>
        <v>28.599602341398406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54.103135620114585</v>
      </c>
      <c r="C144" s="64">
        <f t="shared" ref="C144:W144" si="120">IF(C114=0,0,C114/C$26)</f>
        <v>51.681710200815637</v>
      </c>
      <c r="D144" s="64">
        <f t="shared" si="120"/>
        <v>48.085514624925267</v>
      </c>
      <c r="E144" s="64">
        <f t="shared" si="120"/>
        <v>48.717703018257602</v>
      </c>
      <c r="F144" s="64">
        <f t="shared" si="120"/>
        <v>45.459506647803302</v>
      </c>
      <c r="G144" s="64">
        <f t="shared" si="120"/>
        <v>45.036321521219385</v>
      </c>
      <c r="H144" s="64">
        <f t="shared" si="120"/>
        <v>43.495767510606584</v>
      </c>
      <c r="I144" s="64">
        <f t="shared" si="120"/>
        <v>40.065586040884071</v>
      </c>
      <c r="J144" s="64">
        <f t="shared" si="120"/>
        <v>40.848698411920331</v>
      </c>
      <c r="K144" s="64">
        <f t="shared" si="120"/>
        <v>33.865927589258312</v>
      </c>
      <c r="L144" s="64">
        <f t="shared" si="120"/>
        <v>36.690439153947018</v>
      </c>
      <c r="M144" s="64">
        <f t="shared" si="120"/>
        <v>35.242754404667906</v>
      </c>
      <c r="N144" s="64">
        <f t="shared" si="120"/>
        <v>36.264221255348531</v>
      </c>
      <c r="O144" s="64">
        <f t="shared" si="120"/>
        <v>38.2748617618305</v>
      </c>
      <c r="P144" s="64">
        <f t="shared" si="120"/>
        <v>34.926022605813927</v>
      </c>
      <c r="Q144" s="64">
        <f t="shared" si="120"/>
        <v>37.302873189205783</v>
      </c>
      <c r="R144" s="64">
        <f t="shared" si="120"/>
        <v>35.224680488356626</v>
      </c>
      <c r="S144" s="64">
        <f t="shared" si="120"/>
        <v>33.929301302542015</v>
      </c>
      <c r="T144" s="64">
        <f t="shared" si="120"/>
        <v>36.337224104353893</v>
      </c>
      <c r="U144" s="64">
        <f t="shared" si="120"/>
        <v>34.928537817254607</v>
      </c>
      <c r="V144" s="64">
        <f t="shared" si="120"/>
        <v>32.96172978698398</v>
      </c>
      <c r="W144" s="64">
        <f t="shared" si="120"/>
        <v>28.599602341398406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44.305784716419623</v>
      </c>
      <c r="C145" s="65">
        <f t="shared" ref="C145:W145" si="122">IF(C115=0,0,C115/C$26)</f>
        <v>41.73301871103989</v>
      </c>
      <c r="D145" s="65">
        <f t="shared" si="122"/>
        <v>38.398565719023111</v>
      </c>
      <c r="E145" s="65">
        <f t="shared" si="122"/>
        <v>39.25913398393007</v>
      </c>
      <c r="F145" s="65">
        <f t="shared" si="122"/>
        <v>35.878488882459216</v>
      </c>
      <c r="G145" s="65">
        <f t="shared" si="122"/>
        <v>35.192119076424284</v>
      </c>
      <c r="H145" s="65">
        <f t="shared" si="122"/>
        <v>33.872625142211149</v>
      </c>
      <c r="I145" s="65">
        <f t="shared" si="122"/>
        <v>30.716577748774906</v>
      </c>
      <c r="J145" s="65">
        <f t="shared" si="122"/>
        <v>31.029154834000906</v>
      </c>
      <c r="K145" s="65">
        <f t="shared" si="122"/>
        <v>25.132427422466012</v>
      </c>
      <c r="L145" s="65">
        <f t="shared" si="122"/>
        <v>26.670080704317268</v>
      </c>
      <c r="M145" s="65">
        <f t="shared" si="122"/>
        <v>25.246313326171059</v>
      </c>
      <c r="N145" s="65">
        <f t="shared" si="122"/>
        <v>26.484926767980436</v>
      </c>
      <c r="O145" s="65">
        <f t="shared" si="122"/>
        <v>27.803235193071913</v>
      </c>
      <c r="P145" s="65">
        <f t="shared" si="122"/>
        <v>25.621724330433029</v>
      </c>
      <c r="Q145" s="65">
        <f t="shared" si="122"/>
        <v>27.748353758146322</v>
      </c>
      <c r="R145" s="65">
        <f t="shared" si="122"/>
        <v>26.578370773294534</v>
      </c>
      <c r="S145" s="65">
        <f t="shared" si="122"/>
        <v>25.247630466738091</v>
      </c>
      <c r="T145" s="65">
        <f t="shared" si="122"/>
        <v>27.730802905054805</v>
      </c>
      <c r="U145" s="65">
        <f t="shared" si="122"/>
        <v>26.586066262613532</v>
      </c>
      <c r="V145" s="65">
        <f t="shared" si="122"/>
        <v>25.989161056534783</v>
      </c>
      <c r="W145" s="65">
        <f t="shared" si="122"/>
        <v>21.134753589990318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1.5707621507482403E-3</v>
      </c>
      <c r="C146" s="65">
        <f t="shared" ref="C146:W146" si="124">IF(C116=0,0,C116/C$26)</f>
        <v>1.7401711345964631E-3</v>
      </c>
      <c r="D146" s="65">
        <f t="shared" si="124"/>
        <v>1.9966750141728572E-3</v>
      </c>
      <c r="E146" s="65">
        <f t="shared" si="124"/>
        <v>1.9382350235851683E-3</v>
      </c>
      <c r="F146" s="65">
        <f t="shared" si="124"/>
        <v>2.3390663651196471E-3</v>
      </c>
      <c r="G146" s="65">
        <f t="shared" si="124"/>
        <v>2.6121321706212407E-3</v>
      </c>
      <c r="H146" s="65">
        <f t="shared" si="124"/>
        <v>3.2512560559981819E-3</v>
      </c>
      <c r="I146" s="65">
        <f t="shared" si="124"/>
        <v>3.3783849546467955E-3</v>
      </c>
      <c r="J146" s="65">
        <f t="shared" si="124"/>
        <v>3.4349169752236103E-3</v>
      </c>
      <c r="K146" s="65">
        <f t="shared" si="124"/>
        <v>3.921807851104968E-3</v>
      </c>
      <c r="L146" s="65">
        <f t="shared" si="124"/>
        <v>4.2939062145998623E-3</v>
      </c>
      <c r="M146" s="65">
        <f t="shared" si="124"/>
        <v>4.6120135057396818E-3</v>
      </c>
      <c r="N146" s="65">
        <f t="shared" si="124"/>
        <v>5.3137495679964602E-3</v>
      </c>
      <c r="O146" s="65">
        <f t="shared" si="124"/>
        <v>6.4858508837072554E-3</v>
      </c>
      <c r="P146" s="65">
        <f t="shared" si="124"/>
        <v>8.4862407384001595E-3</v>
      </c>
      <c r="Q146" s="65">
        <f t="shared" si="124"/>
        <v>1.1573326056462054E-2</v>
      </c>
      <c r="R146" s="65">
        <f t="shared" si="124"/>
        <v>1.4008493743753597E-2</v>
      </c>
      <c r="S146" s="65">
        <f t="shared" si="124"/>
        <v>1.5956117550690992E-2</v>
      </c>
      <c r="T146" s="65">
        <f t="shared" si="124"/>
        <v>1.7176332316818459E-2</v>
      </c>
      <c r="U146" s="65">
        <f t="shared" si="124"/>
        <v>1.8453833038562364E-2</v>
      </c>
      <c r="V146" s="65">
        <f t="shared" si="124"/>
        <v>1.7811430332160153E-2</v>
      </c>
      <c r="W146" s="65">
        <f t="shared" si="124"/>
        <v>1.7366570953258557E-2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5.1060751020778206</v>
      </c>
      <c r="C147" s="65">
        <f t="shared" ref="C147:W147" si="126">IF(C117=0,0,C117/C$26)</f>
        <v>5.0502442114866124</v>
      </c>
      <c r="D147" s="65">
        <f t="shared" si="126"/>
        <v>4.8715319371579318</v>
      </c>
      <c r="E147" s="65">
        <f t="shared" si="126"/>
        <v>4.5787376787883156</v>
      </c>
      <c r="F147" s="65">
        <f t="shared" si="126"/>
        <v>4.477495648093222</v>
      </c>
      <c r="G147" s="65">
        <f t="shared" si="126"/>
        <v>4.1976619071092784</v>
      </c>
      <c r="H147" s="65">
        <f t="shared" si="126"/>
        <v>3.9358437253803262</v>
      </c>
      <c r="I147" s="65">
        <f t="shared" si="126"/>
        <v>3.7150959479004184</v>
      </c>
      <c r="J147" s="65">
        <f t="shared" si="126"/>
        <v>3.6473141909514002</v>
      </c>
      <c r="K147" s="65">
        <f t="shared" si="126"/>
        <v>3.7553708223920679</v>
      </c>
      <c r="L147" s="65">
        <f t="shared" si="126"/>
        <v>3.8771368761339322</v>
      </c>
      <c r="M147" s="65">
        <f t="shared" si="126"/>
        <v>3.8964683141790859</v>
      </c>
      <c r="N147" s="65">
        <f t="shared" si="126"/>
        <v>3.9110486622823366</v>
      </c>
      <c r="O147" s="65">
        <f t="shared" si="126"/>
        <v>3.8895315998539579</v>
      </c>
      <c r="P147" s="65">
        <f t="shared" si="126"/>
        <v>3.920123401285379</v>
      </c>
      <c r="Q147" s="65">
        <f t="shared" si="126"/>
        <v>3.8333012498375063</v>
      </c>
      <c r="R147" s="65">
        <f t="shared" si="126"/>
        <v>3.7029212377223333</v>
      </c>
      <c r="S147" s="65">
        <f t="shared" si="126"/>
        <v>3.7066459055797552</v>
      </c>
      <c r="T147" s="65">
        <f t="shared" si="126"/>
        <v>3.3708201776378286</v>
      </c>
      <c r="U147" s="65">
        <f t="shared" si="126"/>
        <v>3.2092170206851192</v>
      </c>
      <c r="V147" s="65">
        <f t="shared" si="126"/>
        <v>2.7472477575380507</v>
      </c>
      <c r="W147" s="65">
        <f t="shared" si="126"/>
        <v>2.8037558399977156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4.6897050394663937</v>
      </c>
      <c r="C148" s="67">
        <f t="shared" ref="C148:W148" si="128">IF(C118=0,0,C118/C$26)</f>
        <v>4.8967071071545423</v>
      </c>
      <c r="D148" s="67">
        <f t="shared" si="128"/>
        <v>4.8134202937300534</v>
      </c>
      <c r="E148" s="67">
        <f t="shared" si="128"/>
        <v>4.8778931205156244</v>
      </c>
      <c r="F148" s="67">
        <f t="shared" si="128"/>
        <v>5.1011830508857336</v>
      </c>
      <c r="G148" s="67">
        <f t="shared" si="128"/>
        <v>5.6439284055151946</v>
      </c>
      <c r="H148" s="67">
        <f t="shared" si="128"/>
        <v>5.6840473869591124</v>
      </c>
      <c r="I148" s="67">
        <f t="shared" si="128"/>
        <v>5.6305339592541053</v>
      </c>
      <c r="J148" s="67">
        <f t="shared" si="128"/>
        <v>6.1687944699928021</v>
      </c>
      <c r="K148" s="67">
        <f t="shared" si="128"/>
        <v>4.9742075365491152</v>
      </c>
      <c r="L148" s="67">
        <f t="shared" si="128"/>
        <v>6.1389276672812221</v>
      </c>
      <c r="M148" s="67">
        <f t="shared" si="128"/>
        <v>6.0953607508120173</v>
      </c>
      <c r="N148" s="67">
        <f t="shared" si="128"/>
        <v>5.8629320755177634</v>
      </c>
      <c r="O148" s="67">
        <f t="shared" si="128"/>
        <v>6.575609118020922</v>
      </c>
      <c r="P148" s="67">
        <f t="shared" si="128"/>
        <v>5.3756886333571119</v>
      </c>
      <c r="Q148" s="67">
        <f t="shared" si="128"/>
        <v>5.7096448551654948</v>
      </c>
      <c r="R148" s="67">
        <f t="shared" si="128"/>
        <v>4.929379983596001</v>
      </c>
      <c r="S148" s="67">
        <f t="shared" si="128"/>
        <v>4.9590688126734745</v>
      </c>
      <c r="T148" s="67">
        <f t="shared" si="128"/>
        <v>5.218424689344439</v>
      </c>
      <c r="U148" s="67">
        <f t="shared" si="128"/>
        <v>5.1148007009173968</v>
      </c>
      <c r="V148" s="67">
        <f t="shared" si="128"/>
        <v>4.2075095425789879</v>
      </c>
      <c r="W148" s="67">
        <f t="shared" si="128"/>
        <v>4.6437263404571185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11443.504007351059</v>
      </c>
      <c r="C153" s="82">
        <f t="shared" ref="C153:W153" si="132">IF(C99=0,0,C99/C$23)</f>
        <v>11277.014398818555</v>
      </c>
      <c r="D153" s="82">
        <f t="shared" si="132"/>
        <v>11208.317981132674</v>
      </c>
      <c r="E153" s="82">
        <f t="shared" si="132"/>
        <v>11568.797238176519</v>
      </c>
      <c r="F153" s="82">
        <f t="shared" si="132"/>
        <v>11034.449176078502</v>
      </c>
      <c r="G153" s="82">
        <f t="shared" si="132"/>
        <v>11216.877811857354</v>
      </c>
      <c r="H153" s="82">
        <f t="shared" si="132"/>
        <v>11360.290076540532</v>
      </c>
      <c r="I153" s="82">
        <f t="shared" si="132"/>
        <v>10958.154319535659</v>
      </c>
      <c r="J153" s="82">
        <f t="shared" si="132"/>
        <v>11426.35032012609</v>
      </c>
      <c r="K153" s="82">
        <f t="shared" si="132"/>
        <v>10984.245200918633</v>
      </c>
      <c r="L153" s="82">
        <f t="shared" si="132"/>
        <v>11339.665942209573</v>
      </c>
      <c r="M153" s="82">
        <f t="shared" si="132"/>
        <v>11500.146151758177</v>
      </c>
      <c r="N153" s="82">
        <f t="shared" si="132"/>
        <v>11650.220468922305</v>
      </c>
      <c r="O153" s="82">
        <f t="shared" si="132"/>
        <v>11628.54929204807</v>
      </c>
      <c r="P153" s="82">
        <f t="shared" si="132"/>
        <v>10850.038256075675</v>
      </c>
      <c r="Q153" s="82">
        <f t="shared" si="132"/>
        <v>11401.412088236064</v>
      </c>
      <c r="R153" s="82">
        <f t="shared" si="132"/>
        <v>11218.418378451644</v>
      </c>
      <c r="S153" s="82">
        <f t="shared" si="132"/>
        <v>10956.281030111562</v>
      </c>
      <c r="T153" s="82">
        <f t="shared" si="132"/>
        <v>11712.976585420462</v>
      </c>
      <c r="U153" s="82">
        <f t="shared" si="132"/>
        <v>11545.832116658308</v>
      </c>
      <c r="V153" s="82">
        <f t="shared" si="132"/>
        <v>11315.821976844509</v>
      </c>
      <c r="W153" s="82">
        <f t="shared" si="132"/>
        <v>10838.757868050365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9422.2368249097944</v>
      </c>
      <c r="C154" s="64">
        <f t="shared" ref="C154:W154" si="134">IF(C100=0,0,C100/C$23)</f>
        <v>9266.5847197768326</v>
      </c>
      <c r="D154" s="64">
        <f t="shared" si="134"/>
        <v>9147.2943204510211</v>
      </c>
      <c r="E154" s="64">
        <f t="shared" si="134"/>
        <v>9485.2708023126925</v>
      </c>
      <c r="F154" s="64">
        <f t="shared" si="134"/>
        <v>8940.5687912995691</v>
      </c>
      <c r="G154" s="64">
        <f t="shared" si="134"/>
        <v>9149.1387224824211</v>
      </c>
      <c r="H154" s="64">
        <f t="shared" si="134"/>
        <v>9313.7179472970529</v>
      </c>
      <c r="I154" s="64">
        <f t="shared" si="134"/>
        <v>8926.5285934965832</v>
      </c>
      <c r="J154" s="64">
        <f t="shared" si="134"/>
        <v>9354.1224495187544</v>
      </c>
      <c r="K154" s="64">
        <f t="shared" si="134"/>
        <v>8804.7480234677041</v>
      </c>
      <c r="L154" s="64">
        <f t="shared" si="134"/>
        <v>9072.9517155368303</v>
      </c>
      <c r="M154" s="64">
        <f t="shared" si="134"/>
        <v>9067.5477063613926</v>
      </c>
      <c r="N154" s="64">
        <f t="shared" si="134"/>
        <v>9065.2746055406678</v>
      </c>
      <c r="O154" s="64">
        <f t="shared" si="134"/>
        <v>8947.4204845451241</v>
      </c>
      <c r="P154" s="64">
        <f t="shared" si="134"/>
        <v>8065.193845931226</v>
      </c>
      <c r="Q154" s="64">
        <f t="shared" si="134"/>
        <v>8518.6308385950379</v>
      </c>
      <c r="R154" s="64">
        <f t="shared" si="134"/>
        <v>8237.3478746837882</v>
      </c>
      <c r="S154" s="64">
        <f t="shared" si="134"/>
        <v>7867.933266270943</v>
      </c>
      <c r="T154" s="64">
        <f t="shared" si="134"/>
        <v>8489.3783780825033</v>
      </c>
      <c r="U154" s="64">
        <f t="shared" si="134"/>
        <v>8273.2638965756596</v>
      </c>
      <c r="V154" s="64">
        <f t="shared" si="134"/>
        <v>7776.3409996895243</v>
      </c>
      <c r="W154" s="64">
        <f t="shared" si="134"/>
        <v>6793.4743910947236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6912.9476831173133</v>
      </c>
      <c r="C155" s="65">
        <f t="shared" ref="C155:W155" si="136">IF(C101=0,0,C101/C$23)</f>
        <v>6780.700319237003</v>
      </c>
      <c r="D155" s="65">
        <f t="shared" si="136"/>
        <v>6710.4681502546764</v>
      </c>
      <c r="E155" s="65">
        <f t="shared" si="136"/>
        <v>7101.9338133223509</v>
      </c>
      <c r="F155" s="65">
        <f t="shared" si="136"/>
        <v>6605.884828584366</v>
      </c>
      <c r="G155" s="65">
        <f t="shared" si="136"/>
        <v>6856.7731388589973</v>
      </c>
      <c r="H155" s="65">
        <f t="shared" si="136"/>
        <v>7088.8271463583051</v>
      </c>
      <c r="I155" s="65">
        <f t="shared" si="136"/>
        <v>6742.2324334472596</v>
      </c>
      <c r="J155" s="65">
        <f t="shared" si="136"/>
        <v>7133.9483644385891</v>
      </c>
      <c r="K155" s="65">
        <f t="shared" si="136"/>
        <v>6551.7995926478707</v>
      </c>
      <c r="L155" s="65">
        <f t="shared" si="136"/>
        <v>6696.8599362933037</v>
      </c>
      <c r="M155" s="65">
        <f t="shared" si="136"/>
        <v>6599.1470255378836</v>
      </c>
      <c r="N155" s="65">
        <f t="shared" si="136"/>
        <v>6590.1523300082044</v>
      </c>
      <c r="O155" s="65">
        <f t="shared" si="136"/>
        <v>6519.1438644440041</v>
      </c>
      <c r="P155" s="65">
        <f t="shared" si="136"/>
        <v>5729.5738033383695</v>
      </c>
      <c r="Q155" s="65">
        <f t="shared" si="136"/>
        <v>6208.1619698058203</v>
      </c>
      <c r="R155" s="65">
        <f t="shared" si="136"/>
        <v>5987.7201631628523</v>
      </c>
      <c r="S155" s="65">
        <f t="shared" si="136"/>
        <v>5641.611111904509</v>
      </c>
      <c r="T155" s="65">
        <f t="shared" si="136"/>
        <v>6303.7649219294653</v>
      </c>
      <c r="U155" s="65">
        <f t="shared" si="136"/>
        <v>6144.1471504498313</v>
      </c>
      <c r="V155" s="65">
        <f t="shared" si="136"/>
        <v>5697.9272905068756</v>
      </c>
      <c r="W155" s="65">
        <f t="shared" si="136"/>
        <v>4733.7125416574527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47.695122829011709</v>
      </c>
      <c r="C156" s="65">
        <f t="shared" ref="C156:W156" si="138">IF(C102=0,0,C102/C$23)</f>
        <v>48.94150594697637</v>
      </c>
      <c r="D156" s="65">
        <f t="shared" si="138"/>
        <v>51.542904330050447</v>
      </c>
      <c r="E156" s="65">
        <f t="shared" si="138"/>
        <v>52.02002509598762</v>
      </c>
      <c r="F156" s="65">
        <f t="shared" si="138"/>
        <v>52.74841536955396</v>
      </c>
      <c r="G156" s="65">
        <f t="shared" si="138"/>
        <v>53.133601708996984</v>
      </c>
      <c r="H156" s="65">
        <f t="shared" si="138"/>
        <v>55.426293203441112</v>
      </c>
      <c r="I156" s="65">
        <f t="shared" si="138"/>
        <v>55.92426455776824</v>
      </c>
      <c r="J156" s="65">
        <f t="shared" si="138"/>
        <v>55.797907271724654</v>
      </c>
      <c r="K156" s="65">
        <f t="shared" si="138"/>
        <v>59.306328522938742</v>
      </c>
      <c r="L156" s="65">
        <f t="shared" si="138"/>
        <v>62.050335244884749</v>
      </c>
      <c r="M156" s="65">
        <f t="shared" si="138"/>
        <v>62.162720201583234</v>
      </c>
      <c r="N156" s="65">
        <f t="shared" si="138"/>
        <v>62.631203815461262</v>
      </c>
      <c r="O156" s="65">
        <f t="shared" si="138"/>
        <v>60.260490095327405</v>
      </c>
      <c r="P156" s="65">
        <f t="shared" si="138"/>
        <v>60.066098871908963</v>
      </c>
      <c r="Q156" s="65">
        <f t="shared" si="138"/>
        <v>56.996261104954918</v>
      </c>
      <c r="R156" s="65">
        <f t="shared" si="138"/>
        <v>56.353393238249943</v>
      </c>
      <c r="S156" s="65">
        <f t="shared" si="138"/>
        <v>55.202924105783211</v>
      </c>
      <c r="T156" s="65">
        <f t="shared" si="138"/>
        <v>54.682431591945495</v>
      </c>
      <c r="U156" s="65">
        <f t="shared" si="138"/>
        <v>54.884653161660019</v>
      </c>
      <c r="V156" s="65">
        <f t="shared" si="138"/>
        <v>54.292935660722485</v>
      </c>
      <c r="W156" s="65">
        <f t="shared" si="138"/>
        <v>51.340211082820517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1262.2171882949553</v>
      </c>
      <c r="C157" s="65">
        <f t="shared" ref="C157:W157" si="140">IF(C103=0,0,C103/C$23)</f>
        <v>1250.3478969236016</v>
      </c>
      <c r="D157" s="65">
        <f t="shared" si="140"/>
        <v>1221.6048996119973</v>
      </c>
      <c r="E157" s="65">
        <f t="shared" si="140"/>
        <v>1183.6156800179581</v>
      </c>
      <c r="F157" s="65">
        <f t="shared" si="140"/>
        <v>1151.6322306447676</v>
      </c>
      <c r="G157" s="65">
        <f t="shared" si="140"/>
        <v>1123.3144607512036</v>
      </c>
      <c r="H157" s="65">
        <f t="shared" si="140"/>
        <v>1079.8641136224596</v>
      </c>
      <c r="I157" s="65">
        <f t="shared" si="140"/>
        <v>1054.002778587279</v>
      </c>
      <c r="J157" s="65">
        <f t="shared" si="140"/>
        <v>1055.5097355403009</v>
      </c>
      <c r="K157" s="65">
        <f t="shared" si="140"/>
        <v>1128.2010711333983</v>
      </c>
      <c r="L157" s="65">
        <f t="shared" si="140"/>
        <v>1174.5182295322311</v>
      </c>
      <c r="M157" s="65">
        <f t="shared" si="140"/>
        <v>1191.8326900858713</v>
      </c>
      <c r="N157" s="65">
        <f t="shared" si="140"/>
        <v>1180.3915445291775</v>
      </c>
      <c r="O157" s="65">
        <f t="shared" si="140"/>
        <v>1134.4001263207315</v>
      </c>
      <c r="P157" s="65">
        <f t="shared" si="140"/>
        <v>1104.3125674760413</v>
      </c>
      <c r="Q157" s="65">
        <f t="shared" si="140"/>
        <v>1090.2276338258471</v>
      </c>
      <c r="R157" s="65">
        <f t="shared" si="140"/>
        <v>1059.4915096359505</v>
      </c>
      <c r="S157" s="65">
        <f t="shared" si="140"/>
        <v>1038.5754995215839</v>
      </c>
      <c r="T157" s="65">
        <f t="shared" si="140"/>
        <v>1005.7717613449122</v>
      </c>
      <c r="U157" s="65">
        <f t="shared" si="140"/>
        <v>970.14093117368805</v>
      </c>
      <c r="V157" s="65">
        <f t="shared" si="140"/>
        <v>960.79821070714297</v>
      </c>
      <c r="W157" s="65">
        <f t="shared" si="140"/>
        <v>914.13957008892635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1199.376830668516</v>
      </c>
      <c r="C158" s="67">
        <f t="shared" ref="C158:W158" si="142">IF(C104=0,0,C104/C$23)</f>
        <v>1186.5949976692523</v>
      </c>
      <c r="D158" s="67">
        <f t="shared" si="142"/>
        <v>1163.6783662542971</v>
      </c>
      <c r="E158" s="67">
        <f t="shared" si="142"/>
        <v>1147.7012838763967</v>
      </c>
      <c r="F158" s="67">
        <f t="shared" si="142"/>
        <v>1130.3033167008837</v>
      </c>
      <c r="G158" s="67">
        <f t="shared" si="142"/>
        <v>1115.9175211632255</v>
      </c>
      <c r="H158" s="67">
        <f t="shared" si="142"/>
        <v>1089.6003941128461</v>
      </c>
      <c r="I158" s="67">
        <f t="shared" si="142"/>
        <v>1074.3691169042772</v>
      </c>
      <c r="J158" s="67">
        <f t="shared" si="142"/>
        <v>1108.8664422681404</v>
      </c>
      <c r="K158" s="67">
        <f t="shared" si="142"/>
        <v>1065.4410311634972</v>
      </c>
      <c r="L158" s="67">
        <f t="shared" si="142"/>
        <v>1139.5232144664108</v>
      </c>
      <c r="M158" s="67">
        <f t="shared" si="142"/>
        <v>1214.4052705360532</v>
      </c>
      <c r="N158" s="67">
        <f t="shared" si="142"/>
        <v>1232.0995271878248</v>
      </c>
      <c r="O158" s="67">
        <f t="shared" si="142"/>
        <v>1233.6160036850604</v>
      </c>
      <c r="P158" s="67">
        <f t="shared" si="142"/>
        <v>1171.2413762449037</v>
      </c>
      <c r="Q158" s="67">
        <f t="shared" si="142"/>
        <v>1163.244973858413</v>
      </c>
      <c r="R158" s="67">
        <f t="shared" si="142"/>
        <v>1133.7828086467364</v>
      </c>
      <c r="S158" s="67">
        <f t="shared" si="142"/>
        <v>1132.5437307390675</v>
      </c>
      <c r="T158" s="67">
        <f t="shared" si="142"/>
        <v>1125.1592632161796</v>
      </c>
      <c r="U158" s="67">
        <f t="shared" si="142"/>
        <v>1104.0911617904803</v>
      </c>
      <c r="V158" s="67">
        <f t="shared" si="142"/>
        <v>1063.3225628147825</v>
      </c>
      <c r="W158" s="67">
        <f t="shared" si="142"/>
        <v>1094.2820682655229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2021.2671824412641</v>
      </c>
      <c r="C159" s="68">
        <f t="shared" ref="C159:W159" si="144">IF(C105=0,0,C105/C$23)</f>
        <v>2010.4296790417218</v>
      </c>
      <c r="D159" s="68">
        <f t="shared" si="144"/>
        <v>2061.023660681652</v>
      </c>
      <c r="E159" s="68">
        <f t="shared" si="144"/>
        <v>2083.526435863826</v>
      </c>
      <c r="F159" s="68">
        <f t="shared" si="144"/>
        <v>2093.8803847789336</v>
      </c>
      <c r="G159" s="68">
        <f t="shared" si="144"/>
        <v>2067.7390893749316</v>
      </c>
      <c r="H159" s="68">
        <f t="shared" si="144"/>
        <v>2046.572129243481</v>
      </c>
      <c r="I159" s="68">
        <f t="shared" si="144"/>
        <v>2031.6257260390742</v>
      </c>
      <c r="J159" s="68">
        <f t="shared" si="144"/>
        <v>2072.2278706073348</v>
      </c>
      <c r="K159" s="68">
        <f t="shared" si="144"/>
        <v>2179.4971774509304</v>
      </c>
      <c r="L159" s="68">
        <f t="shared" si="144"/>
        <v>2266.7142266727433</v>
      </c>
      <c r="M159" s="68">
        <f t="shared" si="144"/>
        <v>2432.5984453967844</v>
      </c>
      <c r="N159" s="68">
        <f t="shared" si="144"/>
        <v>2584.9458633816389</v>
      </c>
      <c r="O159" s="68">
        <f t="shared" si="144"/>
        <v>2681.1288075029461</v>
      </c>
      <c r="P159" s="68">
        <f t="shared" si="144"/>
        <v>2784.8444101444502</v>
      </c>
      <c r="Q159" s="68">
        <f t="shared" si="144"/>
        <v>2882.7812496410284</v>
      </c>
      <c r="R159" s="68">
        <f t="shared" si="144"/>
        <v>2981.0705037678567</v>
      </c>
      <c r="S159" s="68">
        <f t="shared" si="144"/>
        <v>3088.3477638406202</v>
      </c>
      <c r="T159" s="68">
        <f t="shared" si="144"/>
        <v>3223.5982073379591</v>
      </c>
      <c r="U159" s="68">
        <f t="shared" si="144"/>
        <v>3272.5682200826491</v>
      </c>
      <c r="V159" s="68">
        <f t="shared" si="144"/>
        <v>3539.4809771549853</v>
      </c>
      <c r="W159" s="68">
        <f t="shared" si="144"/>
        <v>4045.2834769556407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5422.3389136199667</v>
      </c>
      <c r="C161" s="85">
        <f t="shared" ref="C161:W161" si="146">IF(C107=0,0,C107/C$23)</f>
        <v>5436.1036433644849</v>
      </c>
      <c r="D161" s="85">
        <f t="shared" si="146"/>
        <v>5497.4145774852832</v>
      </c>
      <c r="E161" s="85">
        <f t="shared" si="146"/>
        <v>5820.311233184756</v>
      </c>
      <c r="F161" s="85">
        <f t="shared" si="146"/>
        <v>5574.1065702259666</v>
      </c>
      <c r="G161" s="85">
        <f t="shared" si="146"/>
        <v>5817.7701651109728</v>
      </c>
      <c r="H161" s="85">
        <f t="shared" si="146"/>
        <v>6065.4302784954307</v>
      </c>
      <c r="I161" s="85">
        <f t="shared" si="146"/>
        <v>5925.2295332633093</v>
      </c>
      <c r="J161" s="85">
        <f t="shared" si="146"/>
        <v>6292.1191632033851</v>
      </c>
      <c r="K161" s="85">
        <f t="shared" si="146"/>
        <v>6065.7821449713047</v>
      </c>
      <c r="L161" s="85">
        <f t="shared" si="146"/>
        <v>6293.004415817124</v>
      </c>
      <c r="M161" s="85">
        <f t="shared" si="146"/>
        <v>6404.5243011952525</v>
      </c>
      <c r="N161" s="85">
        <f t="shared" si="146"/>
        <v>6498.8229898715572</v>
      </c>
      <c r="O161" s="85">
        <f t="shared" si="146"/>
        <v>6467.5490179548569</v>
      </c>
      <c r="P161" s="85">
        <f t="shared" si="146"/>
        <v>5896.4360137922858</v>
      </c>
      <c r="Q161" s="85">
        <f t="shared" si="146"/>
        <v>6293.5478913110283</v>
      </c>
      <c r="R161" s="85">
        <f t="shared" si="146"/>
        <v>6178.6582550767034</v>
      </c>
      <c r="S161" s="85">
        <f t="shared" si="146"/>
        <v>6011.1752390398542</v>
      </c>
      <c r="T161" s="85">
        <f t="shared" si="146"/>
        <v>6571.1619481321441</v>
      </c>
      <c r="U161" s="85">
        <f t="shared" si="146"/>
        <v>6539.7873429616602</v>
      </c>
      <c r="V161" s="85">
        <f t="shared" si="146"/>
        <v>6243.0385537810944</v>
      </c>
      <c r="W161" s="85">
        <f t="shared" si="146"/>
        <v>5554.3411531378433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3745.1949819704769</v>
      </c>
      <c r="C162" s="65">
        <f t="shared" ref="C162:W162" si="148">IF(C108=0,0,C108/C$23)</f>
        <v>3763.7428892535659</v>
      </c>
      <c r="D162" s="65">
        <f t="shared" si="148"/>
        <v>3836.5209541904082</v>
      </c>
      <c r="E162" s="65">
        <f t="shared" si="148"/>
        <v>4178.9549976974549</v>
      </c>
      <c r="F162" s="65">
        <f t="shared" si="148"/>
        <v>3953.4185798525846</v>
      </c>
      <c r="G162" s="65">
        <f t="shared" si="148"/>
        <v>4215.7663044467599</v>
      </c>
      <c r="H162" s="65">
        <f t="shared" si="148"/>
        <v>4485.403741570015</v>
      </c>
      <c r="I162" s="65">
        <f t="shared" si="148"/>
        <v>4352.5975587661133</v>
      </c>
      <c r="J162" s="65">
        <f t="shared" si="148"/>
        <v>4688.0169850073553</v>
      </c>
      <c r="K162" s="65">
        <f t="shared" si="148"/>
        <v>4401.3123092326796</v>
      </c>
      <c r="L162" s="65">
        <f t="shared" si="148"/>
        <v>4547.3281313929465</v>
      </c>
      <c r="M162" s="65">
        <f t="shared" si="148"/>
        <v>4574.6322908718976</v>
      </c>
      <c r="N162" s="65">
        <f t="shared" si="148"/>
        <v>4637.1540698455419</v>
      </c>
      <c r="O162" s="65">
        <f t="shared" si="148"/>
        <v>4638.6185034722112</v>
      </c>
      <c r="P162" s="65">
        <f t="shared" si="148"/>
        <v>4090.3176750930725</v>
      </c>
      <c r="Q162" s="65">
        <f t="shared" si="148"/>
        <v>4502.3568741816025</v>
      </c>
      <c r="R162" s="65">
        <f t="shared" si="148"/>
        <v>4390.9357504611862</v>
      </c>
      <c r="S162" s="65">
        <f t="shared" si="148"/>
        <v>4218.6815811418383</v>
      </c>
      <c r="T162" s="65">
        <f t="shared" si="148"/>
        <v>4786.5074512555275</v>
      </c>
      <c r="U162" s="65">
        <f t="shared" si="148"/>
        <v>4765.2821935486418</v>
      </c>
      <c r="V162" s="65">
        <f t="shared" si="148"/>
        <v>4465.7195165245148</v>
      </c>
      <c r="W162" s="65">
        <f t="shared" si="148"/>
        <v>3782.9914643964898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109.36036813928305</v>
      </c>
      <c r="C163" s="65">
        <f t="shared" ref="C163:W163" si="150">IF(C109=0,0,C109/C$23)</f>
        <v>118.8734174611722</v>
      </c>
      <c r="D163" s="65">
        <f t="shared" si="150"/>
        <v>132.54259395886692</v>
      </c>
      <c r="E163" s="65">
        <f t="shared" si="150"/>
        <v>140.66231989555618</v>
      </c>
      <c r="F163" s="65">
        <f t="shared" si="150"/>
        <v>150.3433200555956</v>
      </c>
      <c r="G163" s="65">
        <f t="shared" si="150"/>
        <v>160.17314490673712</v>
      </c>
      <c r="H163" s="65">
        <f t="shared" si="150"/>
        <v>176.31465755869579</v>
      </c>
      <c r="I163" s="65">
        <f t="shared" si="150"/>
        <v>187.01089634623435</v>
      </c>
      <c r="J163" s="65">
        <f t="shared" si="150"/>
        <v>196.32227680815603</v>
      </c>
      <c r="K163" s="65">
        <f t="shared" si="150"/>
        <v>212.15777913829055</v>
      </c>
      <c r="L163" s="65">
        <f t="shared" si="150"/>
        <v>227.31466080912045</v>
      </c>
      <c r="M163" s="65">
        <f t="shared" si="150"/>
        <v>235.30806215243842</v>
      </c>
      <c r="N163" s="65">
        <f t="shared" si="150"/>
        <v>245.18223678671117</v>
      </c>
      <c r="O163" s="65">
        <f t="shared" si="150"/>
        <v>244.64097040678914</v>
      </c>
      <c r="P163" s="65">
        <f t="shared" si="150"/>
        <v>253.86246991814971</v>
      </c>
      <c r="Q163" s="65">
        <f t="shared" si="150"/>
        <v>249.54227045657902</v>
      </c>
      <c r="R163" s="65">
        <f t="shared" si="150"/>
        <v>256.50698697966868</v>
      </c>
      <c r="S163" s="65">
        <f t="shared" si="150"/>
        <v>259.96044819457501</v>
      </c>
      <c r="T163" s="65">
        <f t="shared" si="150"/>
        <v>265.77522404120134</v>
      </c>
      <c r="U163" s="65">
        <f t="shared" si="150"/>
        <v>274.08866356245261</v>
      </c>
      <c r="V163" s="65">
        <f t="shared" si="150"/>
        <v>276.64225935981489</v>
      </c>
      <c r="W163" s="65">
        <f t="shared" si="150"/>
        <v>268.78139975468298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761.01481334925131</v>
      </c>
      <c r="C164" s="65">
        <f t="shared" ref="C164:W164" si="152">IF(C110=0,0,C110/C$23)</f>
        <v>758.38611295111252</v>
      </c>
      <c r="D164" s="65">
        <f t="shared" si="152"/>
        <v>746.27201965666677</v>
      </c>
      <c r="E164" s="65">
        <f t="shared" si="152"/>
        <v>729.60915880158655</v>
      </c>
      <c r="F164" s="65">
        <f t="shared" si="152"/>
        <v>714.48505082800557</v>
      </c>
      <c r="G164" s="65">
        <f t="shared" si="152"/>
        <v>705.05213402548964</v>
      </c>
      <c r="H164" s="65">
        <f t="shared" si="152"/>
        <v>684.49753173054421</v>
      </c>
      <c r="I164" s="65">
        <f t="shared" si="152"/>
        <v>674.85269723523641</v>
      </c>
      <c r="J164" s="65">
        <f t="shared" si="152"/>
        <v>680.94575417451802</v>
      </c>
      <c r="K164" s="65">
        <f t="shared" si="152"/>
        <v>733.06541559908135</v>
      </c>
      <c r="L164" s="65">
        <f t="shared" si="152"/>
        <v>768.50002697833031</v>
      </c>
      <c r="M164" s="65">
        <f t="shared" si="152"/>
        <v>786.8421400685686</v>
      </c>
      <c r="N164" s="65">
        <f t="shared" si="152"/>
        <v>787.92202457955273</v>
      </c>
      <c r="O164" s="65">
        <f t="shared" si="152"/>
        <v>767.15724451207927</v>
      </c>
      <c r="P164" s="65">
        <f t="shared" si="152"/>
        <v>751.95025476898354</v>
      </c>
      <c r="Q164" s="65">
        <f t="shared" si="152"/>
        <v>751.171256040912</v>
      </c>
      <c r="R164" s="65">
        <f t="shared" si="152"/>
        <v>742.24762665208675</v>
      </c>
      <c r="S164" s="65">
        <f t="shared" si="152"/>
        <v>740.84699185365014</v>
      </c>
      <c r="T164" s="65">
        <f t="shared" si="152"/>
        <v>734.30412383264684</v>
      </c>
      <c r="U164" s="65">
        <f t="shared" si="152"/>
        <v>723.35722220012497</v>
      </c>
      <c r="V164" s="65">
        <f t="shared" si="152"/>
        <v>734.15205979433858</v>
      </c>
      <c r="W164" s="65">
        <f t="shared" si="152"/>
        <v>711.67769290190267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806.76875016095539</v>
      </c>
      <c r="C165" s="68">
        <f t="shared" ref="C165:W165" si="154">IF(C111=0,0,C111/C$23)</f>
        <v>795.10122369863404</v>
      </c>
      <c r="D165" s="68">
        <f t="shared" si="154"/>
        <v>782.07900967934199</v>
      </c>
      <c r="E165" s="68">
        <f t="shared" si="154"/>
        <v>771.0847567901576</v>
      </c>
      <c r="F165" s="68">
        <f t="shared" si="154"/>
        <v>755.85961948978093</v>
      </c>
      <c r="G165" s="68">
        <f t="shared" si="154"/>
        <v>736.77858173198592</v>
      </c>
      <c r="H165" s="68">
        <f t="shared" si="154"/>
        <v>719.21434763617492</v>
      </c>
      <c r="I165" s="68">
        <f t="shared" si="154"/>
        <v>710.76838091572438</v>
      </c>
      <c r="J165" s="68">
        <f t="shared" si="154"/>
        <v>726.8341472133551</v>
      </c>
      <c r="K165" s="68">
        <f t="shared" si="154"/>
        <v>719.24664100125312</v>
      </c>
      <c r="L165" s="68">
        <f t="shared" si="154"/>
        <v>749.86159663672697</v>
      </c>
      <c r="M165" s="68">
        <f t="shared" si="154"/>
        <v>807.74180810234782</v>
      </c>
      <c r="N165" s="68">
        <f t="shared" si="154"/>
        <v>828.56465865975167</v>
      </c>
      <c r="O165" s="68">
        <f t="shared" si="154"/>
        <v>817.13229956377813</v>
      </c>
      <c r="P165" s="68">
        <f t="shared" si="154"/>
        <v>800.30561401207967</v>
      </c>
      <c r="Q165" s="68">
        <f t="shared" si="154"/>
        <v>790.4774906319343</v>
      </c>
      <c r="R165" s="68">
        <f t="shared" si="154"/>
        <v>788.96789098376166</v>
      </c>
      <c r="S165" s="68">
        <f t="shared" si="154"/>
        <v>791.68621784979018</v>
      </c>
      <c r="T165" s="68">
        <f t="shared" si="154"/>
        <v>784.57514900276703</v>
      </c>
      <c r="U165" s="68">
        <f t="shared" si="154"/>
        <v>777.05926365044115</v>
      </c>
      <c r="V165" s="68">
        <f t="shared" si="154"/>
        <v>766.52471810242537</v>
      </c>
      <c r="W165" s="68">
        <f t="shared" si="154"/>
        <v>790.89059608476828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1586.0464465771604</v>
      </c>
      <c r="C167" s="82">
        <f t="shared" ref="C167:W167" si="156">IF(C113=0,0,C113/C$23)</f>
        <v>1498.0264738072769</v>
      </c>
      <c r="D167" s="82">
        <f t="shared" si="156"/>
        <v>1382.7895156433628</v>
      </c>
      <c r="E167" s="82">
        <f t="shared" si="156"/>
        <v>1383.1458264360024</v>
      </c>
      <c r="F167" s="82">
        <f t="shared" si="156"/>
        <v>1270.899317645177</v>
      </c>
      <c r="G167" s="82">
        <f t="shared" si="156"/>
        <v>1232.2709706436831</v>
      </c>
      <c r="H167" s="82">
        <f t="shared" si="156"/>
        <v>1169.3704113910005</v>
      </c>
      <c r="I167" s="82">
        <f t="shared" si="156"/>
        <v>1076.1567054992788</v>
      </c>
      <c r="J167" s="82">
        <f t="shared" si="156"/>
        <v>1102.3733851572881</v>
      </c>
      <c r="K167" s="82">
        <f t="shared" si="156"/>
        <v>930.33863297241783</v>
      </c>
      <c r="L167" s="82">
        <f t="shared" si="156"/>
        <v>1020.5015207395051</v>
      </c>
      <c r="M167" s="82">
        <f t="shared" si="156"/>
        <v>998.35111739397655</v>
      </c>
      <c r="N167" s="82">
        <f t="shared" si="156"/>
        <v>1025.0066908321105</v>
      </c>
      <c r="O167" s="82">
        <f t="shared" si="156"/>
        <v>1059.0179542283261</v>
      </c>
      <c r="P167" s="82">
        <f t="shared" si="156"/>
        <v>952.95553378718819</v>
      </c>
      <c r="Q167" s="82">
        <f t="shared" si="156"/>
        <v>996.04159000673678</v>
      </c>
      <c r="R167" s="82">
        <f t="shared" si="156"/>
        <v>937.64323922980668</v>
      </c>
      <c r="S167" s="82">
        <f t="shared" si="156"/>
        <v>893.88004855586155</v>
      </c>
      <c r="T167" s="82">
        <f t="shared" si="156"/>
        <v>948.68787363691376</v>
      </c>
      <c r="U167" s="82">
        <f t="shared" si="156"/>
        <v>895.02276016942574</v>
      </c>
      <c r="V167" s="82">
        <f t="shared" si="156"/>
        <v>885.46719297842458</v>
      </c>
      <c r="W167" s="82">
        <f t="shared" si="156"/>
        <v>732.10841481945772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1586.0464465771604</v>
      </c>
      <c r="C168" s="64">
        <f t="shared" ref="C168:W168" si="158">IF(C114=0,0,C114/C$23)</f>
        <v>1498.0264738072769</v>
      </c>
      <c r="D168" s="64">
        <f t="shared" si="158"/>
        <v>1382.7895156433628</v>
      </c>
      <c r="E168" s="64">
        <f t="shared" si="158"/>
        <v>1383.1458264360024</v>
      </c>
      <c r="F168" s="64">
        <f t="shared" si="158"/>
        <v>1270.899317645177</v>
      </c>
      <c r="G168" s="64">
        <f t="shared" si="158"/>
        <v>1232.2709706436831</v>
      </c>
      <c r="H168" s="64">
        <f t="shared" si="158"/>
        <v>1169.3704113910005</v>
      </c>
      <c r="I168" s="64">
        <f t="shared" si="158"/>
        <v>1076.1567054992788</v>
      </c>
      <c r="J168" s="64">
        <f t="shared" si="158"/>
        <v>1102.3733851572881</v>
      </c>
      <c r="K168" s="64">
        <f t="shared" si="158"/>
        <v>930.33863297241783</v>
      </c>
      <c r="L168" s="64">
        <f t="shared" si="158"/>
        <v>1020.5015207395051</v>
      </c>
      <c r="M168" s="64">
        <f t="shared" si="158"/>
        <v>998.35111739397655</v>
      </c>
      <c r="N168" s="64">
        <f t="shared" si="158"/>
        <v>1025.0066908321105</v>
      </c>
      <c r="O168" s="64">
        <f t="shared" si="158"/>
        <v>1059.0179542283261</v>
      </c>
      <c r="P168" s="64">
        <f t="shared" si="158"/>
        <v>952.95553378718819</v>
      </c>
      <c r="Q168" s="64">
        <f t="shared" si="158"/>
        <v>996.04159000673678</v>
      </c>
      <c r="R168" s="64">
        <f t="shared" si="158"/>
        <v>937.64323922980668</v>
      </c>
      <c r="S168" s="64">
        <f t="shared" si="158"/>
        <v>893.88004855586155</v>
      </c>
      <c r="T168" s="64">
        <f t="shared" si="158"/>
        <v>948.68787363691376</v>
      </c>
      <c r="U168" s="64">
        <f t="shared" si="158"/>
        <v>895.02276016942574</v>
      </c>
      <c r="V168" s="64">
        <f t="shared" si="158"/>
        <v>885.46719297842458</v>
      </c>
      <c r="W168" s="64">
        <f t="shared" si="158"/>
        <v>732.10841481945772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1298.8347460246737</v>
      </c>
      <c r="C169" s="65">
        <f t="shared" ref="C169:W169" si="160">IF(C115=0,0,C115/C$23)</f>
        <v>1209.6574710495079</v>
      </c>
      <c r="D169" s="65">
        <f t="shared" si="160"/>
        <v>1104.2230598169526</v>
      </c>
      <c r="E169" s="65">
        <f t="shared" si="160"/>
        <v>1114.6072978648981</v>
      </c>
      <c r="F169" s="65">
        <f t="shared" si="160"/>
        <v>1003.0453562139764</v>
      </c>
      <c r="G169" s="65">
        <f t="shared" si="160"/>
        <v>962.91671407667991</v>
      </c>
      <c r="H169" s="65">
        <f t="shared" si="160"/>
        <v>910.65517093776202</v>
      </c>
      <c r="I169" s="65">
        <f t="shared" si="160"/>
        <v>825.04349444939908</v>
      </c>
      <c r="J169" s="65">
        <f t="shared" si="160"/>
        <v>837.37587200441646</v>
      </c>
      <c r="K169" s="65">
        <f t="shared" si="160"/>
        <v>690.41865485213532</v>
      </c>
      <c r="L169" s="65">
        <f t="shared" si="160"/>
        <v>741.7970061029705</v>
      </c>
      <c r="M169" s="65">
        <f t="shared" si="160"/>
        <v>715.17353126981914</v>
      </c>
      <c r="N169" s="65">
        <f t="shared" si="160"/>
        <v>748.59534283738481</v>
      </c>
      <c r="O169" s="65">
        <f t="shared" si="160"/>
        <v>769.28103459433237</v>
      </c>
      <c r="P169" s="65">
        <f t="shared" si="160"/>
        <v>699.08801988210212</v>
      </c>
      <c r="Q169" s="65">
        <f t="shared" si="160"/>
        <v>740.92186564683027</v>
      </c>
      <c r="R169" s="65">
        <f t="shared" si="160"/>
        <v>707.48774211196201</v>
      </c>
      <c r="S169" s="65">
        <f t="shared" si="160"/>
        <v>665.1582048887476</v>
      </c>
      <c r="T169" s="65">
        <f t="shared" si="160"/>
        <v>723.99246477081908</v>
      </c>
      <c r="U169" s="65">
        <f t="shared" si="160"/>
        <v>681.25194741638677</v>
      </c>
      <c r="V169" s="65">
        <f t="shared" si="160"/>
        <v>698.15964263141609</v>
      </c>
      <c r="W169" s="65">
        <f t="shared" si="160"/>
        <v>541.01909403021057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4.6047270625954678E-2</v>
      </c>
      <c r="C170" s="65">
        <f t="shared" ref="C170:W170" si="162">IF(C116=0,0,C116/C$23)</f>
        <v>5.0439941295510909E-2</v>
      </c>
      <c r="D170" s="65">
        <f t="shared" si="162"/>
        <v>5.7418149671088825E-2</v>
      </c>
      <c r="E170" s="65">
        <f t="shared" si="162"/>
        <v>5.5028491029620673E-2</v>
      </c>
      <c r="F170" s="65">
        <f t="shared" si="162"/>
        <v>6.5392655278650985E-2</v>
      </c>
      <c r="G170" s="65">
        <f t="shared" si="162"/>
        <v>7.1472414633695747E-2</v>
      </c>
      <c r="H170" s="65">
        <f t="shared" si="162"/>
        <v>8.7409025046240749E-2</v>
      </c>
      <c r="I170" s="65">
        <f t="shared" si="162"/>
        <v>9.0743003708746009E-2</v>
      </c>
      <c r="J170" s="65">
        <f t="shared" si="162"/>
        <v>9.2697226617299081E-2</v>
      </c>
      <c r="K170" s="65">
        <f t="shared" si="162"/>
        <v>0.10773687935642925</v>
      </c>
      <c r="L170" s="65">
        <f t="shared" si="162"/>
        <v>0.11942996385314672</v>
      </c>
      <c r="M170" s="65">
        <f t="shared" si="162"/>
        <v>0.13064838190630945</v>
      </c>
      <c r="N170" s="65">
        <f t="shared" si="162"/>
        <v>0.15019290838347443</v>
      </c>
      <c r="O170" s="65">
        <f t="shared" si="162"/>
        <v>0.17945544982068004</v>
      </c>
      <c r="P170" s="65">
        <f t="shared" si="162"/>
        <v>0.23154683726747943</v>
      </c>
      <c r="Q170" s="65">
        <f t="shared" si="162"/>
        <v>0.30902483110283696</v>
      </c>
      <c r="R170" s="65">
        <f t="shared" si="162"/>
        <v>0.37289108853564523</v>
      </c>
      <c r="S170" s="65">
        <f t="shared" si="162"/>
        <v>0.42036984504323149</v>
      </c>
      <c r="T170" s="65">
        <f t="shared" si="162"/>
        <v>0.44843761691116796</v>
      </c>
      <c r="U170" s="65">
        <f t="shared" si="162"/>
        <v>0.47286836535483801</v>
      </c>
      <c r="V170" s="65">
        <f t="shared" si="162"/>
        <v>0.47847723165840911</v>
      </c>
      <c r="W170" s="65">
        <f t="shared" si="162"/>
        <v>0.44455907392235744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149.68582095629537</v>
      </c>
      <c r="C171" s="65">
        <f t="shared" ref="C171:W171" si="164">IF(C117=0,0,C117/C$23)</f>
        <v>146.38446557984656</v>
      </c>
      <c r="D171" s="65">
        <f t="shared" si="164"/>
        <v>140.09007370240366</v>
      </c>
      <c r="E171" s="65">
        <f t="shared" si="164"/>
        <v>129.99508430001165</v>
      </c>
      <c r="F171" s="65">
        <f t="shared" si="164"/>
        <v>125.17615309835089</v>
      </c>
      <c r="G171" s="65">
        <f t="shared" si="164"/>
        <v>114.8552265812919</v>
      </c>
      <c r="H171" s="65">
        <f t="shared" si="164"/>
        <v>105.81395523590554</v>
      </c>
      <c r="I171" s="65">
        <f t="shared" si="164"/>
        <v>99.78701950912523</v>
      </c>
      <c r="J171" s="65">
        <f t="shared" si="164"/>
        <v>98.429136000034759</v>
      </c>
      <c r="K171" s="65">
        <f t="shared" si="164"/>
        <v>103.16464972059126</v>
      </c>
      <c r="L171" s="65">
        <f t="shared" si="164"/>
        <v>107.83801364733061</v>
      </c>
      <c r="M171" s="65">
        <f t="shared" si="164"/>
        <v>110.37853201495732</v>
      </c>
      <c r="N171" s="65">
        <f t="shared" si="164"/>
        <v>110.54562619121771</v>
      </c>
      <c r="O171" s="65">
        <f t="shared" si="164"/>
        <v>107.61851534344434</v>
      </c>
      <c r="P171" s="65">
        <f t="shared" si="164"/>
        <v>106.96045554759779</v>
      </c>
      <c r="Q171" s="65">
        <f t="shared" si="164"/>
        <v>102.35478249883981</v>
      </c>
      <c r="R171" s="65">
        <f t="shared" si="164"/>
        <v>98.567794393436031</v>
      </c>
      <c r="S171" s="65">
        <f t="shared" si="164"/>
        <v>97.652963511240401</v>
      </c>
      <c r="T171" s="65">
        <f t="shared" si="164"/>
        <v>88.004967510781086</v>
      </c>
      <c r="U171" s="65">
        <f t="shared" si="164"/>
        <v>82.234254719285076</v>
      </c>
      <c r="V171" s="65">
        <f t="shared" si="164"/>
        <v>73.800670535321245</v>
      </c>
      <c r="W171" s="65">
        <f t="shared" si="164"/>
        <v>71.772090361909491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137.47983232556535</v>
      </c>
      <c r="C172" s="67">
        <f t="shared" ref="C172:W172" si="166">IF(C118=0,0,C118/C$23)</f>
        <v>141.93409723662714</v>
      </c>
      <c r="D172" s="67">
        <f t="shared" si="166"/>
        <v>138.4189639743355</v>
      </c>
      <c r="E172" s="67">
        <f t="shared" si="166"/>
        <v>138.4884157800627</v>
      </c>
      <c r="F172" s="67">
        <f t="shared" si="166"/>
        <v>142.61241567757088</v>
      </c>
      <c r="G172" s="67">
        <f t="shared" si="166"/>
        <v>154.4275575710775</v>
      </c>
      <c r="H172" s="67">
        <f t="shared" si="166"/>
        <v>152.81387619228664</v>
      </c>
      <c r="I172" s="67">
        <f t="shared" si="166"/>
        <v>151.23544853704593</v>
      </c>
      <c r="J172" s="67">
        <f t="shared" si="166"/>
        <v>166.47567992621961</v>
      </c>
      <c r="K172" s="67">
        <f t="shared" si="166"/>
        <v>136.64759152033469</v>
      </c>
      <c r="L172" s="67">
        <f t="shared" si="166"/>
        <v>170.74707102535098</v>
      </c>
      <c r="M172" s="67">
        <f t="shared" si="166"/>
        <v>172.6684057272937</v>
      </c>
      <c r="N172" s="67">
        <f t="shared" si="166"/>
        <v>165.71552889512455</v>
      </c>
      <c r="O172" s="67">
        <f t="shared" si="166"/>
        <v>181.93894884072876</v>
      </c>
      <c r="P172" s="67">
        <f t="shared" si="166"/>
        <v>146.6755115202206</v>
      </c>
      <c r="Q172" s="67">
        <f t="shared" si="166"/>
        <v>152.45591702996396</v>
      </c>
      <c r="R172" s="67">
        <f t="shared" si="166"/>
        <v>131.21481163587302</v>
      </c>
      <c r="S172" s="67">
        <f t="shared" si="166"/>
        <v>130.64851031083018</v>
      </c>
      <c r="T172" s="67">
        <f t="shared" si="166"/>
        <v>136.24200373840236</v>
      </c>
      <c r="U172" s="67">
        <f t="shared" si="166"/>
        <v>131.06368966839915</v>
      </c>
      <c r="V172" s="67">
        <f t="shared" si="166"/>
        <v>113.02840258002877</v>
      </c>
      <c r="W172" s="67">
        <f t="shared" si="166"/>
        <v>118.8726713534154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38283.750083238032</v>
      </c>
      <c r="C3" s="125">
        <f t="shared" si="0"/>
        <v>39254.582638946464</v>
      </c>
      <c r="D3" s="125">
        <f t="shared" si="0"/>
        <v>40237.908706857415</v>
      </c>
      <c r="E3" s="125">
        <f t="shared" si="0"/>
        <v>41027.879188671875</v>
      </c>
      <c r="F3" s="125">
        <f t="shared" si="0"/>
        <v>41942.866182603771</v>
      </c>
      <c r="G3" s="125">
        <f t="shared" si="0"/>
        <v>43315.722153451934</v>
      </c>
      <c r="H3" s="125">
        <f t="shared" si="0"/>
        <v>44569.446154301593</v>
      </c>
      <c r="I3" s="125">
        <f t="shared" si="0"/>
        <v>46944.200478403836</v>
      </c>
      <c r="J3" s="125">
        <f t="shared" si="0"/>
        <v>47612.113527688649</v>
      </c>
      <c r="K3" s="125">
        <f t="shared" si="0"/>
        <v>46345.793785309812</v>
      </c>
      <c r="L3" s="125">
        <f t="shared" si="0"/>
        <v>45768.888209650919</v>
      </c>
      <c r="M3" s="125">
        <f t="shared" si="0"/>
        <v>46089.396116691132</v>
      </c>
      <c r="N3" s="125">
        <f t="shared" si="0"/>
        <v>45988.656948038799</v>
      </c>
      <c r="O3" s="125">
        <f t="shared" si="0"/>
        <v>46223.737454862268</v>
      </c>
      <c r="P3" s="125">
        <f t="shared" si="0"/>
        <v>46936.820756884976</v>
      </c>
      <c r="Q3" s="125">
        <f t="shared" si="0"/>
        <v>47121.272763209978</v>
      </c>
      <c r="R3" s="125">
        <f t="shared" si="0"/>
        <v>48462.716366278153</v>
      </c>
      <c r="S3" s="125">
        <f t="shared" si="0"/>
        <v>49266.137486738211</v>
      </c>
      <c r="T3" s="125">
        <f t="shared" si="0"/>
        <v>50357.748526551542</v>
      </c>
      <c r="U3" s="125">
        <f t="shared" si="0"/>
        <v>51220.894197185771</v>
      </c>
      <c r="V3" s="125">
        <f t="shared" si="0"/>
        <v>51963.546666666662</v>
      </c>
      <c r="W3" s="125">
        <f t="shared" si="0"/>
        <v>52634.605419705855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38283.750083238032</v>
      </c>
      <c r="C4" s="140">
        <f t="shared" si="1"/>
        <v>39254.582638946464</v>
      </c>
      <c r="D4" s="140">
        <f t="shared" si="1"/>
        <v>40237.908706857415</v>
      </c>
      <c r="E4" s="140">
        <f t="shared" si="1"/>
        <v>41027.879188671875</v>
      </c>
      <c r="F4" s="140">
        <f t="shared" si="1"/>
        <v>41942.866182603771</v>
      </c>
      <c r="G4" s="140">
        <f t="shared" si="1"/>
        <v>43315.722153451934</v>
      </c>
      <c r="H4" s="140">
        <f t="shared" si="1"/>
        <v>44569.446154301593</v>
      </c>
      <c r="I4" s="140">
        <f t="shared" si="1"/>
        <v>46944.200478403836</v>
      </c>
      <c r="J4" s="140">
        <f t="shared" si="1"/>
        <v>47612.113527688649</v>
      </c>
      <c r="K4" s="140">
        <f t="shared" si="1"/>
        <v>46345.793785309812</v>
      </c>
      <c r="L4" s="140">
        <f t="shared" si="1"/>
        <v>45768.888209650919</v>
      </c>
      <c r="M4" s="140">
        <f t="shared" si="1"/>
        <v>46089.396116691132</v>
      </c>
      <c r="N4" s="140">
        <f t="shared" si="1"/>
        <v>45988.656948038799</v>
      </c>
      <c r="O4" s="140">
        <f t="shared" si="1"/>
        <v>46223.737454862268</v>
      </c>
      <c r="P4" s="140">
        <f t="shared" si="1"/>
        <v>46936.820756884976</v>
      </c>
      <c r="Q4" s="140">
        <f t="shared" si="1"/>
        <v>47121.272763209978</v>
      </c>
      <c r="R4" s="140">
        <f t="shared" ref="R4:W4" si="2">SUM(R5:R14)</f>
        <v>48462.716366278153</v>
      </c>
      <c r="S4" s="140">
        <f t="shared" si="2"/>
        <v>49266.137486738211</v>
      </c>
      <c r="T4" s="140">
        <f t="shared" si="2"/>
        <v>50357.748526551542</v>
      </c>
      <c r="U4" s="140">
        <f t="shared" si="2"/>
        <v>51220.894197185771</v>
      </c>
      <c r="V4" s="140">
        <f t="shared" si="2"/>
        <v>51963.546666666662</v>
      </c>
      <c r="W4" s="140">
        <f t="shared" si="2"/>
        <v>52634.605419705855</v>
      </c>
      <c r="DA4" s="170" t="s">
        <v>245</v>
      </c>
    </row>
    <row r="5" spans="1:105" ht="12" customHeight="1" x14ac:dyDescent="0.25">
      <c r="A5" s="132" t="s">
        <v>29</v>
      </c>
      <c r="B5" s="141">
        <v>428.82776642332755</v>
      </c>
      <c r="C5" s="141">
        <v>422.23902652673718</v>
      </c>
      <c r="D5" s="141">
        <v>595.89166229244404</v>
      </c>
      <c r="E5" s="141">
        <v>1007.5545981116944</v>
      </c>
      <c r="F5" s="141">
        <v>1140.2767512207197</v>
      </c>
      <c r="G5" s="141">
        <v>1161.0299683995293</v>
      </c>
      <c r="H5" s="141">
        <v>1144.3040221099136</v>
      </c>
      <c r="I5" s="141">
        <v>1080.9917877834544</v>
      </c>
      <c r="J5" s="141">
        <v>898.89830074950373</v>
      </c>
      <c r="K5" s="141">
        <v>406.69903171664993</v>
      </c>
      <c r="L5" s="141">
        <v>166.21288769573218</v>
      </c>
      <c r="M5" s="141">
        <v>51.401294709869966</v>
      </c>
      <c r="N5" s="141">
        <v>39.372662819249236</v>
      </c>
      <c r="O5" s="141">
        <v>29.219888232523605</v>
      </c>
      <c r="P5" s="141">
        <v>20.450906265009458</v>
      </c>
      <c r="Q5" s="141">
        <v>20.033406607523965</v>
      </c>
      <c r="R5" s="141">
        <v>24.422342914660177</v>
      </c>
      <c r="S5" s="141">
        <v>25.677215155331986</v>
      </c>
      <c r="T5" s="141">
        <v>23.96991527929152</v>
      </c>
      <c r="U5" s="141">
        <v>19.333167368337033</v>
      </c>
      <c r="V5" s="141">
        <v>12.870283278582589</v>
      </c>
      <c r="W5" s="141">
        <v>10.913438749112924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14153.872104369739</v>
      </c>
      <c r="C7" s="141">
        <v>13855.815184242394</v>
      </c>
      <c r="D7" s="141">
        <v>12556.493129688333</v>
      </c>
      <c r="E7" s="141">
        <v>11218.820749535585</v>
      </c>
      <c r="F7" s="141">
        <v>10042.265803878807</v>
      </c>
      <c r="G7" s="141">
        <v>8985.8475977329217</v>
      </c>
      <c r="H7" s="141">
        <v>7915.8652245316689</v>
      </c>
      <c r="I7" s="141">
        <v>7075.6452740471223</v>
      </c>
      <c r="J7" s="141">
        <v>6455.7924249028083</v>
      </c>
      <c r="K7" s="141">
        <v>5894.0231475311257</v>
      </c>
      <c r="L7" s="141">
        <v>5558.9236837863755</v>
      </c>
      <c r="M7" s="141">
        <v>5453.0274395025781</v>
      </c>
      <c r="N7" s="141">
        <v>5789.2948240121141</v>
      </c>
      <c r="O7" s="141">
        <v>6574.1208923666391</v>
      </c>
      <c r="P7" s="141">
        <v>7106.0835350205825</v>
      </c>
      <c r="Q7" s="141">
        <v>7239.7398362344875</v>
      </c>
      <c r="R7" s="141">
        <v>7081.1537416052915</v>
      </c>
      <c r="S7" s="141">
        <v>6751.7281367815158</v>
      </c>
      <c r="T7" s="141">
        <v>6438.6324372609533</v>
      </c>
      <c r="U7" s="141">
        <v>6148.96575623023</v>
      </c>
      <c r="V7" s="141">
        <v>6026.2453441597172</v>
      </c>
      <c r="W7" s="141">
        <v>5761.864704012567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12537.733660469137</v>
      </c>
      <c r="C9" s="141">
        <v>12187.96280854963</v>
      </c>
      <c r="D9" s="141">
        <v>11874.658146634683</v>
      </c>
      <c r="E9" s="141">
        <v>11652.567922372033</v>
      </c>
      <c r="F9" s="141">
        <v>11828.138467599985</v>
      </c>
      <c r="G9" s="141">
        <v>11976.97911341259</v>
      </c>
      <c r="H9" s="141">
        <v>12354.662463733557</v>
      </c>
      <c r="I9" s="141">
        <v>12742.899080998197</v>
      </c>
      <c r="J9" s="141">
        <v>13083.178667285276</v>
      </c>
      <c r="K9" s="141">
        <v>13644.93413843901</v>
      </c>
      <c r="L9" s="141">
        <v>14565.081688021724</v>
      </c>
      <c r="M9" s="141">
        <v>15397.219886356859</v>
      </c>
      <c r="N9" s="141">
        <v>16221.73867862605</v>
      </c>
      <c r="O9" s="141">
        <v>16378.702122159793</v>
      </c>
      <c r="P9" s="141">
        <v>16647.066151064602</v>
      </c>
      <c r="Q9" s="141">
        <v>16623.244653388538</v>
      </c>
      <c r="R9" s="141">
        <v>17040.690446434008</v>
      </c>
      <c r="S9" s="141">
        <v>17475.29025540355</v>
      </c>
      <c r="T9" s="141">
        <v>18101.119030838119</v>
      </c>
      <c r="U9" s="141">
        <v>19192.803951021353</v>
      </c>
      <c r="V9" s="141">
        <v>19912.661529945635</v>
      </c>
      <c r="W9" s="141">
        <v>20759.956408638893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35.29280737675596</v>
      </c>
      <c r="H10" s="141">
        <v>107.33932587633721</v>
      </c>
      <c r="I10" s="141">
        <v>239.55667625666359</v>
      </c>
      <c r="J10" s="141">
        <v>375.08312077089028</v>
      </c>
      <c r="K10" s="141">
        <v>490.71242716368658</v>
      </c>
      <c r="L10" s="141">
        <v>544.95985023306878</v>
      </c>
      <c r="M10" s="141">
        <v>652.81648592257284</v>
      </c>
      <c r="N10" s="141">
        <v>795.50417352566501</v>
      </c>
      <c r="O10" s="141">
        <v>868.83573565330119</v>
      </c>
      <c r="P10" s="141">
        <v>893.52029317462666</v>
      </c>
      <c r="Q10" s="141">
        <v>891.28426050417363</v>
      </c>
      <c r="R10" s="141">
        <v>880.03286396068336</v>
      </c>
      <c r="S10" s="141">
        <v>792.89535838646611</v>
      </c>
      <c r="T10" s="141">
        <v>697.59964087057676</v>
      </c>
      <c r="U10" s="141">
        <v>631.91242137981442</v>
      </c>
      <c r="V10" s="141">
        <v>610.91614599346178</v>
      </c>
      <c r="W10" s="141">
        <v>594.28069224142257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0.18514629928335036</v>
      </c>
      <c r="C13" s="141">
        <v>0.58227680280256155</v>
      </c>
      <c r="D13" s="141">
        <v>10.385069204928895</v>
      </c>
      <c r="E13" s="141">
        <v>34.176380859743333</v>
      </c>
      <c r="F13" s="141">
        <v>80.463293614658824</v>
      </c>
      <c r="G13" s="141">
        <v>169.72200468833302</v>
      </c>
      <c r="H13" s="141">
        <v>295.49569483086583</v>
      </c>
      <c r="I13" s="141">
        <v>446.94011016024285</v>
      </c>
      <c r="J13" s="141">
        <v>586.86819659779178</v>
      </c>
      <c r="K13" s="141">
        <v>697.20027354435479</v>
      </c>
      <c r="L13" s="141">
        <v>771.80189538002935</v>
      </c>
      <c r="M13" s="141">
        <v>848.00605977141902</v>
      </c>
      <c r="N13" s="141">
        <v>925.7940162915711</v>
      </c>
      <c r="O13" s="141">
        <v>1015.5185410846699</v>
      </c>
      <c r="P13" s="141">
        <v>1154.1343759227182</v>
      </c>
      <c r="Q13" s="141">
        <v>1305.6183394962904</v>
      </c>
      <c r="R13" s="141">
        <v>1487.682808396645</v>
      </c>
      <c r="S13" s="141">
        <v>1659.5979509188605</v>
      </c>
      <c r="T13" s="141">
        <v>1762.0669395242248</v>
      </c>
      <c r="U13" s="141">
        <v>1966.2638409043448</v>
      </c>
      <c r="V13" s="141">
        <v>2272.4533602936726</v>
      </c>
      <c r="W13" s="141">
        <v>2557.072678298307</v>
      </c>
      <c r="DA13" s="171" t="s">
        <v>254</v>
      </c>
    </row>
    <row r="14" spans="1:105" ht="12" customHeight="1" x14ac:dyDescent="0.25">
      <c r="A14" s="60" t="s">
        <v>76</v>
      </c>
      <c r="B14" s="142">
        <v>11163.131405676544</v>
      </c>
      <c r="C14" s="142">
        <v>12787.9833428249</v>
      </c>
      <c r="D14" s="142">
        <v>15200.480699037027</v>
      </c>
      <c r="E14" s="142">
        <v>17114.759537792819</v>
      </c>
      <c r="F14" s="142">
        <v>18851.721866289605</v>
      </c>
      <c r="G14" s="142">
        <v>20986.850661841811</v>
      </c>
      <c r="H14" s="142">
        <v>22751.77942321925</v>
      </c>
      <c r="I14" s="142">
        <v>25358.167549158159</v>
      </c>
      <c r="J14" s="142">
        <v>26212.292817382378</v>
      </c>
      <c r="K14" s="142">
        <v>25212.224766914987</v>
      </c>
      <c r="L14" s="142">
        <v>24161.908204533982</v>
      </c>
      <c r="M14" s="142">
        <v>23686.92495042783</v>
      </c>
      <c r="N14" s="142">
        <v>22216.952592764152</v>
      </c>
      <c r="O14" s="142">
        <v>21357.340275365339</v>
      </c>
      <c r="P14" s="142">
        <v>21115.565495437437</v>
      </c>
      <c r="Q14" s="142">
        <v>21041.352266978964</v>
      </c>
      <c r="R14" s="142">
        <v>21948.734162966866</v>
      </c>
      <c r="S14" s="142">
        <v>22560.948570092478</v>
      </c>
      <c r="T14" s="142">
        <v>23334.36056277838</v>
      </c>
      <c r="U14" s="142">
        <v>23261.615060281696</v>
      </c>
      <c r="V14" s="142">
        <v>23128.400002995593</v>
      </c>
      <c r="W14" s="142">
        <v>22950.517497765555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27120.433531262206</v>
      </c>
      <c r="C15" s="144">
        <f t="shared" si="3"/>
        <v>26466.017019318759</v>
      </c>
      <c r="D15" s="144">
        <f t="shared" si="3"/>
        <v>25027.042938615461</v>
      </c>
      <c r="E15" s="144">
        <f t="shared" si="3"/>
        <v>23878.943270019314</v>
      </c>
      <c r="F15" s="144">
        <f t="shared" si="3"/>
        <v>23010.681022699511</v>
      </c>
      <c r="G15" s="144">
        <f t="shared" si="3"/>
        <v>22159.149486921793</v>
      </c>
      <c r="H15" s="144">
        <f t="shared" si="3"/>
        <v>21522.171036251479</v>
      </c>
      <c r="I15" s="144">
        <f t="shared" si="3"/>
        <v>21139.092819085436</v>
      </c>
      <c r="J15" s="144">
        <f t="shared" si="3"/>
        <v>20812.952513708478</v>
      </c>
      <c r="K15" s="144">
        <f t="shared" si="3"/>
        <v>20436.368744850472</v>
      </c>
      <c r="L15" s="144">
        <f t="shared" si="3"/>
        <v>20835.178109736902</v>
      </c>
      <c r="M15" s="144">
        <f t="shared" si="3"/>
        <v>21554.46510649188</v>
      </c>
      <c r="N15" s="144">
        <f t="shared" si="3"/>
        <v>22845.910338983078</v>
      </c>
      <c r="O15" s="144">
        <f t="shared" si="3"/>
        <v>23850.878638412258</v>
      </c>
      <c r="P15" s="144">
        <f t="shared" si="3"/>
        <v>24667.120885524822</v>
      </c>
      <c r="Q15" s="144">
        <f t="shared" si="3"/>
        <v>24774.302156734724</v>
      </c>
      <c r="R15" s="144">
        <f t="shared" ref="R15:W15" si="4">SUM(R5:R12)</f>
        <v>25026.299394914644</v>
      </c>
      <c r="S15" s="144">
        <f t="shared" si="4"/>
        <v>25045.590965726868</v>
      </c>
      <c r="T15" s="144">
        <f t="shared" si="4"/>
        <v>25261.32102424894</v>
      </c>
      <c r="U15" s="144">
        <f t="shared" si="4"/>
        <v>25993.015295999732</v>
      </c>
      <c r="V15" s="144">
        <f t="shared" si="4"/>
        <v>26562.693303377397</v>
      </c>
      <c r="W15" s="144">
        <f t="shared" si="4"/>
        <v>27127.015243641996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5174.3889941459565</v>
      </c>
      <c r="C16" s="140">
        <f t="shared" si="5"/>
        <v>5857.8466667770736</v>
      </c>
      <c r="D16" s="140">
        <f t="shared" si="5"/>
        <v>6640.2160673301323</v>
      </c>
      <c r="E16" s="140">
        <f t="shared" si="5"/>
        <v>7271.190148119299</v>
      </c>
      <c r="F16" s="140">
        <f t="shared" si="5"/>
        <v>8088.40088093347</v>
      </c>
      <c r="G16" s="140">
        <f t="shared" si="5"/>
        <v>9228.6993087331011</v>
      </c>
      <c r="H16" s="140">
        <f t="shared" si="5"/>
        <v>10473.378944342994</v>
      </c>
      <c r="I16" s="140">
        <f t="shared" si="5"/>
        <v>11533.062415190891</v>
      </c>
      <c r="J16" s="140">
        <f t="shared" si="5"/>
        <v>12448.090313635583</v>
      </c>
      <c r="K16" s="140">
        <f t="shared" si="5"/>
        <v>12894.460030479964</v>
      </c>
      <c r="L16" s="140">
        <f t="shared" si="5"/>
        <v>13324.763394868003</v>
      </c>
      <c r="M16" s="140">
        <f t="shared" si="5"/>
        <v>13691.086698856827</v>
      </c>
      <c r="N16" s="140">
        <f t="shared" si="5"/>
        <v>13984.259070393133</v>
      </c>
      <c r="O16" s="140">
        <f t="shared" si="5"/>
        <v>14491.08290043218</v>
      </c>
      <c r="P16" s="140">
        <f t="shared" si="5"/>
        <v>15196.811787312809</v>
      </c>
      <c r="Q16" s="140">
        <f t="shared" si="5"/>
        <v>15343.914668136491</v>
      </c>
      <c r="R16" s="140">
        <f t="shared" ref="R16:W16" si="6">SUM(R17:R18)</f>
        <v>16220.777229904479</v>
      </c>
      <c r="S16" s="140">
        <f t="shared" si="6"/>
        <v>16922.668242566881</v>
      </c>
      <c r="T16" s="140">
        <f t="shared" si="6"/>
        <v>17859.105836250423</v>
      </c>
      <c r="U16" s="140">
        <f t="shared" si="6"/>
        <v>18919.22222469929</v>
      </c>
      <c r="V16" s="140">
        <f t="shared" si="6"/>
        <v>18485.442806682608</v>
      </c>
      <c r="W16" s="140">
        <f t="shared" si="6"/>
        <v>19265.816005458266</v>
      </c>
      <c r="DA16" s="170" t="s">
        <v>256</v>
      </c>
    </row>
    <row r="17" spans="1:105" ht="12.95" customHeight="1" x14ac:dyDescent="0.25">
      <c r="A17" s="132" t="s">
        <v>73</v>
      </c>
      <c r="B17" s="141">
        <v>15.195509417439563</v>
      </c>
      <c r="C17" s="141">
        <v>17.50737422422214</v>
      </c>
      <c r="D17" s="141">
        <v>20.459970410246378</v>
      </c>
      <c r="E17" s="141">
        <v>20.508294495607057</v>
      </c>
      <c r="F17" s="141">
        <v>25.636428406233875</v>
      </c>
      <c r="G17" s="141">
        <v>30.306679305641769</v>
      </c>
      <c r="H17" s="141">
        <v>38.689982751350307</v>
      </c>
      <c r="I17" s="141">
        <v>42.517193570364462</v>
      </c>
      <c r="J17" s="141">
        <v>44.077914059290116</v>
      </c>
      <c r="K17" s="141">
        <v>49.277608382676817</v>
      </c>
      <c r="L17" s="141">
        <v>52.802419781188618</v>
      </c>
      <c r="M17" s="141">
        <v>57.644172799768008</v>
      </c>
      <c r="N17" s="141">
        <v>65.279637221798339</v>
      </c>
      <c r="O17" s="141">
        <v>82.143505639486207</v>
      </c>
      <c r="P17" s="141">
        <v>109.22626363158309</v>
      </c>
      <c r="Q17" s="141">
        <v>153.18436328906654</v>
      </c>
      <c r="R17" s="141">
        <v>193.43199674372025</v>
      </c>
      <c r="S17" s="141">
        <v>228.00345274047595</v>
      </c>
      <c r="T17" s="141">
        <v>253.62891140091159</v>
      </c>
      <c r="U17" s="141">
        <v>279.19020636017098</v>
      </c>
      <c r="V17" s="141">
        <v>307.40013031254057</v>
      </c>
      <c r="W17" s="141">
        <v>332.46988757609984</v>
      </c>
      <c r="DA17" s="171" t="s">
        <v>257</v>
      </c>
    </row>
    <row r="18" spans="1:105" ht="12" customHeight="1" x14ac:dyDescent="0.25">
      <c r="A18" s="132" t="s">
        <v>72</v>
      </c>
      <c r="B18" s="141">
        <v>5159.1934847285165</v>
      </c>
      <c r="C18" s="141">
        <v>5840.3392925528515</v>
      </c>
      <c r="D18" s="141">
        <v>6619.7560969198857</v>
      </c>
      <c r="E18" s="141">
        <v>7250.6818536236924</v>
      </c>
      <c r="F18" s="141">
        <v>8062.7644525272362</v>
      </c>
      <c r="G18" s="141">
        <v>9198.3926294274588</v>
      </c>
      <c r="H18" s="141">
        <v>10434.688961591644</v>
      </c>
      <c r="I18" s="141">
        <v>11490.545221620527</v>
      </c>
      <c r="J18" s="141">
        <v>12404.012399576293</v>
      </c>
      <c r="K18" s="141">
        <v>12845.182422097287</v>
      </c>
      <c r="L18" s="141">
        <v>13271.960975086815</v>
      </c>
      <c r="M18" s="141">
        <v>13633.442526057059</v>
      </c>
      <c r="N18" s="141">
        <v>13918.979433171335</v>
      </c>
      <c r="O18" s="141">
        <v>14408.939394792695</v>
      </c>
      <c r="P18" s="141">
        <v>15087.585523681226</v>
      </c>
      <c r="Q18" s="141">
        <v>15190.730304847424</v>
      </c>
      <c r="R18" s="141">
        <v>16027.345233160759</v>
      </c>
      <c r="S18" s="141">
        <v>16694.664789826405</v>
      </c>
      <c r="T18" s="141">
        <v>17605.47692484951</v>
      </c>
      <c r="U18" s="141">
        <v>18640.03201833912</v>
      </c>
      <c r="V18" s="141">
        <v>18178.042676370067</v>
      </c>
      <c r="W18" s="141">
        <v>18933.346117882167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38283.750083238032</v>
      </c>
      <c r="C19" s="140">
        <f t="shared" si="7"/>
        <v>39254.582638946464</v>
      </c>
      <c r="D19" s="140">
        <f t="shared" si="7"/>
        <v>40237.908706857415</v>
      </c>
      <c r="E19" s="140">
        <f t="shared" si="7"/>
        <v>41027.879188671854</v>
      </c>
      <c r="F19" s="140">
        <f t="shared" si="7"/>
        <v>41942.866182603764</v>
      </c>
      <c r="G19" s="140">
        <f t="shared" si="7"/>
        <v>43315.722153451941</v>
      </c>
      <c r="H19" s="140">
        <f t="shared" si="7"/>
        <v>44569.446154301593</v>
      </c>
      <c r="I19" s="140">
        <f t="shared" si="7"/>
        <v>46944.200478403844</v>
      </c>
      <c r="J19" s="140">
        <f t="shared" si="7"/>
        <v>47612.113527688678</v>
      </c>
      <c r="K19" s="140">
        <f t="shared" si="7"/>
        <v>46345.793785309819</v>
      </c>
      <c r="L19" s="140">
        <f t="shared" si="7"/>
        <v>45768.888209650911</v>
      </c>
      <c r="M19" s="140">
        <f t="shared" si="7"/>
        <v>46089.396116691132</v>
      </c>
      <c r="N19" s="140">
        <f t="shared" si="7"/>
        <v>45988.656948038792</v>
      </c>
      <c r="O19" s="140">
        <f t="shared" si="7"/>
        <v>46223.737454862261</v>
      </c>
      <c r="P19" s="140">
        <f t="shared" si="7"/>
        <v>46936.82075688499</v>
      </c>
      <c r="Q19" s="140">
        <f t="shared" si="7"/>
        <v>47121.272763210029</v>
      </c>
      <c r="R19" s="140">
        <f t="shared" ref="R19:W19" si="8">SUM(R20:R26)</f>
        <v>48462.716366278153</v>
      </c>
      <c r="S19" s="140">
        <f t="shared" si="8"/>
        <v>49266.13748673824</v>
      </c>
      <c r="T19" s="140">
        <f t="shared" si="8"/>
        <v>50357.748526551557</v>
      </c>
      <c r="U19" s="140">
        <f t="shared" si="8"/>
        <v>51220.894197185786</v>
      </c>
      <c r="V19" s="140">
        <f t="shared" si="8"/>
        <v>51963.546666666662</v>
      </c>
      <c r="W19" s="140">
        <f t="shared" si="8"/>
        <v>52634.605419705782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9326.4997478339537</v>
      </c>
      <c r="C22" s="141">
        <v>9275.464545433153</v>
      </c>
      <c r="D22" s="141">
        <v>9046.8006244573044</v>
      </c>
      <c r="E22" s="141">
        <v>8732.7260805655606</v>
      </c>
      <c r="F22" s="141">
        <v>8416.4542085158664</v>
      </c>
      <c r="G22" s="141">
        <v>8020.4499227559509</v>
      </c>
      <c r="H22" s="141">
        <v>7710.7111806399189</v>
      </c>
      <c r="I22" s="141">
        <v>7464.452761521763</v>
      </c>
      <c r="J22" s="141">
        <v>7277.1524804661558</v>
      </c>
      <c r="K22" s="141">
        <v>7029.2478053310961</v>
      </c>
      <c r="L22" s="141">
        <v>6890.2950188224522</v>
      </c>
      <c r="M22" s="141">
        <v>6824.0706071755176</v>
      </c>
      <c r="N22" s="141">
        <v>6836.1361125977182</v>
      </c>
      <c r="O22" s="141">
        <v>6815.070050245271</v>
      </c>
      <c r="P22" s="141">
        <v>6774.2813939450089</v>
      </c>
      <c r="Q22" s="141">
        <v>6647.0291816107047</v>
      </c>
      <c r="R22" s="141">
        <v>6534.7844109968346</v>
      </c>
      <c r="S22" s="141">
        <v>6430.2648768615536</v>
      </c>
      <c r="T22" s="141">
        <v>6183.9716215792068</v>
      </c>
      <c r="U22" s="141">
        <v>5933.6306596642298</v>
      </c>
      <c r="V22" s="141">
        <v>5575.6202485121848</v>
      </c>
      <c r="W22" s="141">
        <v>5500.2852524028049</v>
      </c>
      <c r="DA22" s="171" t="s">
        <v>262</v>
      </c>
    </row>
    <row r="23" spans="1:105" ht="12" customHeight="1" x14ac:dyDescent="0.25">
      <c r="A23" s="132" t="s">
        <v>153</v>
      </c>
      <c r="B23" s="141">
        <v>7708.3592420776067</v>
      </c>
      <c r="C23" s="141">
        <v>7890.3933856170561</v>
      </c>
      <c r="D23" s="141">
        <v>8147.5507605987423</v>
      </c>
      <c r="E23" s="141">
        <v>8409.6189488250129</v>
      </c>
      <c r="F23" s="141">
        <v>8698.2387087099432</v>
      </c>
      <c r="G23" s="141">
        <v>8962.2962974679904</v>
      </c>
      <c r="H23" s="141">
        <v>9236.9245294974116</v>
      </c>
      <c r="I23" s="141">
        <v>9501.7977675747461</v>
      </c>
      <c r="J23" s="141">
        <v>9628.98113862643</v>
      </c>
      <c r="K23" s="141">
        <v>9713.8399313923146</v>
      </c>
      <c r="L23" s="141">
        <v>9843.5854547824747</v>
      </c>
      <c r="M23" s="141">
        <v>10151.954617497893</v>
      </c>
      <c r="N23" s="141">
        <v>10556.784056195778</v>
      </c>
      <c r="O23" s="141">
        <v>11044.914117028002</v>
      </c>
      <c r="P23" s="141">
        <v>11516.56219463577</v>
      </c>
      <c r="Q23" s="141">
        <v>11839.211407694089</v>
      </c>
      <c r="R23" s="141">
        <v>12130.339792625429</v>
      </c>
      <c r="S23" s="141">
        <v>12264.64074665417</v>
      </c>
      <c r="T23" s="141">
        <v>12010.598009641993</v>
      </c>
      <c r="U23" s="141">
        <v>11724.663902294276</v>
      </c>
      <c r="V23" s="141">
        <v>11268.194586940461</v>
      </c>
      <c r="W23" s="141">
        <v>11221.616214769538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21248.891093326474</v>
      </c>
      <c r="C26" s="142">
        <v>22088.724707896257</v>
      </c>
      <c r="D26" s="142">
        <v>23043.557321801367</v>
      </c>
      <c r="E26" s="142">
        <v>23885.534159281284</v>
      </c>
      <c r="F26" s="142">
        <v>24828.173265377955</v>
      </c>
      <c r="G26" s="142">
        <v>26332.975933228001</v>
      </c>
      <c r="H26" s="142">
        <v>27621.810444164261</v>
      </c>
      <c r="I26" s="142">
        <v>29977.949949307334</v>
      </c>
      <c r="J26" s="142">
        <v>30705.979908596088</v>
      </c>
      <c r="K26" s="142">
        <v>29602.706048586409</v>
      </c>
      <c r="L26" s="142">
        <v>29035.007736045984</v>
      </c>
      <c r="M26" s="142">
        <v>29113.37089201772</v>
      </c>
      <c r="N26" s="142">
        <v>28595.736779245293</v>
      </c>
      <c r="O26" s="142">
        <v>28363.753287588988</v>
      </c>
      <c r="P26" s="142">
        <v>28645.977168304209</v>
      </c>
      <c r="Q26" s="142">
        <v>28635.032173905234</v>
      </c>
      <c r="R26" s="142">
        <v>29797.592162655885</v>
      </c>
      <c r="S26" s="142">
        <v>30571.231863222518</v>
      </c>
      <c r="T26" s="142">
        <v>32163.178895330355</v>
      </c>
      <c r="U26" s="142">
        <v>33562.599635227278</v>
      </c>
      <c r="V26" s="142">
        <v>35119.731831214012</v>
      </c>
      <c r="W26" s="142">
        <v>35912.70395253344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77.059101749839513</v>
      </c>
      <c r="I27" s="151">
        <v>88.403291123701976</v>
      </c>
      <c r="J27" s="151">
        <v>215.55763921271156</v>
      </c>
      <c r="K27" s="151">
        <v>216.40093540995153</v>
      </c>
      <c r="L27" s="151">
        <v>320.62272024320436</v>
      </c>
      <c r="M27" s="151">
        <v>347.41382052200947</v>
      </c>
      <c r="N27" s="151">
        <v>346.3093871514377</v>
      </c>
      <c r="O27" s="151">
        <v>347.06073061531742</v>
      </c>
      <c r="P27" s="151">
        <v>348.33388598007411</v>
      </c>
      <c r="Q27" s="151">
        <v>337.61028045013603</v>
      </c>
      <c r="R27" s="151">
        <v>335.46360011496478</v>
      </c>
      <c r="S27" s="151">
        <v>330.99590832883689</v>
      </c>
      <c r="T27" s="151">
        <v>327.28346389283661</v>
      </c>
      <c r="U27" s="151">
        <v>322.90953116993865</v>
      </c>
      <c r="V27" s="151">
        <v>346.16521161798858</v>
      </c>
      <c r="W27" s="151">
        <v>343.86850991030383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38283.750083238032</v>
      </c>
      <c r="C29" s="140">
        <f t="shared" si="9"/>
        <v>39254.582638946471</v>
      </c>
      <c r="D29" s="140">
        <f t="shared" si="9"/>
        <v>40237.908706857408</v>
      </c>
      <c r="E29" s="140">
        <f t="shared" si="9"/>
        <v>41027.879188671861</v>
      </c>
      <c r="F29" s="140">
        <f t="shared" si="9"/>
        <v>41942.866182603786</v>
      </c>
      <c r="G29" s="140">
        <f t="shared" si="9"/>
        <v>43315.722153451949</v>
      </c>
      <c r="H29" s="140">
        <f t="shared" si="9"/>
        <v>44569.446154301608</v>
      </c>
      <c r="I29" s="140">
        <f t="shared" si="9"/>
        <v>46944.200478403844</v>
      </c>
      <c r="J29" s="140">
        <f t="shared" si="9"/>
        <v>47612.113527688685</v>
      </c>
      <c r="K29" s="140">
        <f t="shared" si="9"/>
        <v>46345.793785309812</v>
      </c>
      <c r="L29" s="140">
        <f t="shared" si="9"/>
        <v>45768.888209650911</v>
      </c>
      <c r="M29" s="140">
        <f t="shared" si="9"/>
        <v>46089.396116691118</v>
      </c>
      <c r="N29" s="140">
        <f t="shared" si="9"/>
        <v>45988.656948038806</v>
      </c>
      <c r="O29" s="140">
        <f t="shared" si="9"/>
        <v>46223.737454862239</v>
      </c>
      <c r="P29" s="140">
        <f t="shared" si="9"/>
        <v>46936.820756884961</v>
      </c>
      <c r="Q29" s="140">
        <f t="shared" si="9"/>
        <v>47121.272763210036</v>
      </c>
      <c r="R29" s="140">
        <f t="shared" ref="R29:W29" si="10">SUM(R30:R33)</f>
        <v>48462.716366278168</v>
      </c>
      <c r="S29" s="140">
        <f t="shared" si="10"/>
        <v>49266.137486738196</v>
      </c>
      <c r="T29" s="140">
        <f t="shared" si="10"/>
        <v>50357.748526551528</v>
      </c>
      <c r="U29" s="140">
        <f t="shared" si="10"/>
        <v>51220.894197185771</v>
      </c>
      <c r="V29" s="140">
        <f t="shared" si="10"/>
        <v>51963.546666666662</v>
      </c>
      <c r="W29" s="140">
        <f t="shared" si="10"/>
        <v>52634.605419705811</v>
      </c>
      <c r="DA29" s="170" t="s">
        <v>268</v>
      </c>
    </row>
    <row r="30" spans="1:105" ht="12" customHeight="1" x14ac:dyDescent="0.25">
      <c r="A30" s="132" t="s">
        <v>52</v>
      </c>
      <c r="B30" s="141">
        <v>11476.796335016212</v>
      </c>
      <c r="C30" s="141">
        <v>12176.478005769985</v>
      </c>
      <c r="D30" s="141">
        <v>12993.782945563662</v>
      </c>
      <c r="E30" s="141">
        <v>14145.773329871628</v>
      </c>
      <c r="F30" s="141">
        <v>15613.056029932612</v>
      </c>
      <c r="G30" s="141">
        <v>17517.537897631119</v>
      </c>
      <c r="H30" s="141">
        <v>19172.766426129783</v>
      </c>
      <c r="I30" s="141">
        <v>20890.305154340087</v>
      </c>
      <c r="J30" s="141">
        <v>20620.257949901479</v>
      </c>
      <c r="K30" s="141">
        <v>19754.554929584679</v>
      </c>
      <c r="L30" s="141">
        <v>19741.8783380352</v>
      </c>
      <c r="M30" s="141">
        <v>19885.108950606424</v>
      </c>
      <c r="N30" s="141">
        <v>19479.09691084419</v>
      </c>
      <c r="O30" s="141">
        <v>19407.609320450651</v>
      </c>
      <c r="P30" s="141">
        <v>17995.897560009646</v>
      </c>
      <c r="Q30" s="141">
        <v>17337.148133068211</v>
      </c>
      <c r="R30" s="141">
        <v>16242.977988169752</v>
      </c>
      <c r="S30" s="141">
        <v>16228.837732095502</v>
      </c>
      <c r="T30" s="141">
        <v>16344.945845407321</v>
      </c>
      <c r="U30" s="141">
        <v>16194.048315462836</v>
      </c>
      <c r="V30" s="141">
        <v>15310.518685399387</v>
      </c>
      <c r="W30" s="141">
        <v>15006.243601851806</v>
      </c>
      <c r="DA30" s="171" t="s">
        <v>269</v>
      </c>
    </row>
    <row r="31" spans="1:105" ht="12" customHeight="1" x14ac:dyDescent="0.25">
      <c r="A31" s="132" t="s">
        <v>153</v>
      </c>
      <c r="B31" s="141">
        <v>6519.6048727842835</v>
      </c>
      <c r="C31" s="141">
        <v>6419.0046183539016</v>
      </c>
      <c r="D31" s="141">
        <v>6283.3694901050058</v>
      </c>
      <c r="E31" s="141">
        <v>6199.9168151533104</v>
      </c>
      <c r="F31" s="141">
        <v>6216.0296978234765</v>
      </c>
      <c r="G31" s="141">
        <v>6269.1542091348574</v>
      </c>
      <c r="H31" s="141">
        <v>6338.5501603040857</v>
      </c>
      <c r="I31" s="141">
        <v>6415.0356147607527</v>
      </c>
      <c r="J31" s="141">
        <v>6501.434462274714</v>
      </c>
      <c r="K31" s="141">
        <v>6660.3711146260657</v>
      </c>
      <c r="L31" s="141">
        <v>6685.3330208969855</v>
      </c>
      <c r="M31" s="141">
        <v>6638.3119150290104</v>
      </c>
      <c r="N31" s="141">
        <v>6583.1766140883647</v>
      </c>
      <c r="O31" s="141">
        <v>6572.5494084404254</v>
      </c>
      <c r="P31" s="141">
        <v>6621.8705374498777</v>
      </c>
      <c r="Q31" s="141">
        <v>6693.2948902863054</v>
      </c>
      <c r="R31" s="141">
        <v>6740.8129564110268</v>
      </c>
      <c r="S31" s="141">
        <v>6735.3022007794953</v>
      </c>
      <c r="T31" s="141">
        <v>6743.1911442001265</v>
      </c>
      <c r="U31" s="141">
        <v>6703.0996926782191</v>
      </c>
      <c r="V31" s="141">
        <v>6622.0869600162669</v>
      </c>
      <c r="W31" s="141">
        <v>6590.657270323567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20287.348875437536</v>
      </c>
      <c r="C33" s="153">
        <v>20659.100014822587</v>
      </c>
      <c r="D33" s="153">
        <v>20960.75627118874</v>
      </c>
      <c r="E33" s="153">
        <v>20682.189043646922</v>
      </c>
      <c r="F33" s="153">
        <v>20113.780454847696</v>
      </c>
      <c r="G33" s="153">
        <v>19529.030046685977</v>
      </c>
      <c r="H33" s="153">
        <v>19058.129567867734</v>
      </c>
      <c r="I33" s="153">
        <v>19638.859709303004</v>
      </c>
      <c r="J33" s="153">
        <v>20490.421115512494</v>
      </c>
      <c r="K33" s="153">
        <v>19930.867741099068</v>
      </c>
      <c r="L33" s="153">
        <v>19341.676850718726</v>
      </c>
      <c r="M33" s="153">
        <v>19565.975251055686</v>
      </c>
      <c r="N33" s="153">
        <v>19926.38342310625</v>
      </c>
      <c r="O33" s="153">
        <v>20243.578725971165</v>
      </c>
      <c r="P33" s="153">
        <v>22319.052659425437</v>
      </c>
      <c r="Q33" s="153">
        <v>23090.829739855519</v>
      </c>
      <c r="R33" s="153">
        <v>25478.92542169739</v>
      </c>
      <c r="S33" s="153">
        <v>26301.997553863202</v>
      </c>
      <c r="T33" s="153">
        <v>27269.611536944081</v>
      </c>
      <c r="U33" s="153">
        <v>28323.746189044719</v>
      </c>
      <c r="V33" s="153">
        <v>30030.941021251012</v>
      </c>
      <c r="W33" s="153">
        <v>31037.704547530437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952.22113755713508</v>
      </c>
      <c r="C3" s="126">
        <f t="shared" si="0"/>
        <v>971.15879498710206</v>
      </c>
      <c r="D3" s="126">
        <f t="shared" si="0"/>
        <v>990.48759102582801</v>
      </c>
      <c r="E3" s="126">
        <f t="shared" si="0"/>
        <v>1060.7436244866608</v>
      </c>
      <c r="F3" s="126">
        <f t="shared" si="0"/>
        <v>1038.0054179236668</v>
      </c>
      <c r="G3" s="126">
        <f t="shared" si="0"/>
        <v>1120.8442285151573</v>
      </c>
      <c r="H3" s="126">
        <f t="shared" si="0"/>
        <v>1194.8627215585677</v>
      </c>
      <c r="I3" s="126">
        <f t="shared" si="0"/>
        <v>1207.3225865616785</v>
      </c>
      <c r="J3" s="126">
        <f t="shared" si="0"/>
        <v>1277.1232443223005</v>
      </c>
      <c r="K3" s="126">
        <f t="shared" si="0"/>
        <v>1149.5079285393313</v>
      </c>
      <c r="L3" s="126">
        <f t="shared" si="0"/>
        <v>1155.3697988987869</v>
      </c>
      <c r="M3" s="126">
        <f t="shared" si="0"/>
        <v>1141.6689687381759</v>
      </c>
      <c r="N3" s="126">
        <f t="shared" si="0"/>
        <v>1141.4217427879173</v>
      </c>
      <c r="O3" s="126">
        <f t="shared" si="0"/>
        <v>1156.740676658454</v>
      </c>
      <c r="P3" s="126">
        <f t="shared" si="0"/>
        <v>1073.6624605457991</v>
      </c>
      <c r="Q3" s="126">
        <f t="shared" si="0"/>
        <v>1163.360774033993</v>
      </c>
      <c r="R3" s="126">
        <f t="shared" ref="R3:W3" si="1">SUM(R4,R16,R19,R29)</f>
        <v>1160.5594462651006</v>
      </c>
      <c r="S3" s="126">
        <f t="shared" si="1"/>
        <v>1138.5907451820003</v>
      </c>
      <c r="T3" s="126">
        <f t="shared" si="1"/>
        <v>1267.1656401919449</v>
      </c>
      <c r="U3" s="126">
        <f t="shared" si="1"/>
        <v>1279.7736212568827</v>
      </c>
      <c r="V3" s="126">
        <f t="shared" si="1"/>
        <v>1164.0574009612628</v>
      </c>
      <c r="W3" s="126">
        <f t="shared" si="1"/>
        <v>1080.9626912894612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698.62974461522822</v>
      </c>
      <c r="C4" s="131">
        <f t="shared" si="2"/>
        <v>710.63255237334681</v>
      </c>
      <c r="D4" s="131">
        <f t="shared" si="2"/>
        <v>726.62310842465342</v>
      </c>
      <c r="E4" s="131">
        <f t="shared" si="2"/>
        <v>794.2135940042059</v>
      </c>
      <c r="F4" s="131">
        <f t="shared" si="2"/>
        <v>766.9472046256268</v>
      </c>
      <c r="G4" s="131">
        <f t="shared" si="2"/>
        <v>840.0107192650155</v>
      </c>
      <c r="H4" s="131">
        <f t="shared" si="2"/>
        <v>909.43008417106751</v>
      </c>
      <c r="I4" s="131">
        <f t="shared" si="2"/>
        <v>911.89418321922051</v>
      </c>
      <c r="J4" s="131">
        <f t="shared" si="2"/>
        <v>974.00171199258921</v>
      </c>
      <c r="K4" s="131">
        <f t="shared" si="2"/>
        <v>855.37320975862599</v>
      </c>
      <c r="L4" s="131">
        <f t="shared" si="2"/>
        <v>852.79300060627861</v>
      </c>
      <c r="M4" s="131">
        <f t="shared" si="2"/>
        <v>830.87970674936571</v>
      </c>
      <c r="N4" s="131">
        <f t="shared" si="2"/>
        <v>829.77554294475624</v>
      </c>
      <c r="O4" s="131">
        <f t="shared" si="2"/>
        <v>842.80814766851108</v>
      </c>
      <c r="P4" s="131">
        <f t="shared" si="2"/>
        <v>762.737812021026</v>
      </c>
      <c r="Q4" s="131">
        <f t="shared" si="2"/>
        <v>847.82780840786677</v>
      </c>
      <c r="R4" s="131">
        <f t="shared" ref="R4:W4" si="3">SUM(R5:R15)</f>
        <v>843.60953339213154</v>
      </c>
      <c r="S4" s="131">
        <f t="shared" si="3"/>
        <v>816.4134064872236</v>
      </c>
      <c r="T4" s="131">
        <f t="shared" si="3"/>
        <v>940.93041412067532</v>
      </c>
      <c r="U4" s="131">
        <f t="shared" si="3"/>
        <v>950.42507365453628</v>
      </c>
      <c r="V4" s="131">
        <f t="shared" si="3"/>
        <v>852.93513143501548</v>
      </c>
      <c r="W4" s="131">
        <f t="shared" si="3"/>
        <v>753.21791976257839</v>
      </c>
      <c r="DA4" s="156" t="s">
        <v>213</v>
      </c>
    </row>
    <row r="5" spans="1:105" ht="12" customHeight="1" x14ac:dyDescent="0.25">
      <c r="A5" s="132" t="s">
        <v>29</v>
      </c>
      <c r="B5" s="133">
        <v>3.987016337059329</v>
      </c>
      <c r="C5" s="133">
        <v>4.4300085984522788</v>
      </c>
      <c r="D5" s="133">
        <v>3.1010318142734303</v>
      </c>
      <c r="E5" s="133">
        <v>27.816852966466037</v>
      </c>
      <c r="F5" s="133">
        <v>26.829492691315565</v>
      </c>
      <c r="G5" s="133">
        <v>27.074032674118648</v>
      </c>
      <c r="H5" s="133">
        <v>26.995270851246779</v>
      </c>
      <c r="I5" s="133">
        <v>26.619776440240749</v>
      </c>
      <c r="J5" s="133">
        <v>26.615993121238169</v>
      </c>
      <c r="K5" s="133">
        <v>0.49871023215821114</v>
      </c>
      <c r="L5" s="133">
        <v>0.99200343938091118</v>
      </c>
      <c r="M5" s="133">
        <v>1.5126397248495267</v>
      </c>
      <c r="N5" s="133">
        <v>0.62699914015477221</v>
      </c>
      <c r="O5" s="133">
        <v>0.57317282889079968</v>
      </c>
      <c r="P5" s="133">
        <v>0.27996560619088551</v>
      </c>
      <c r="Q5" s="133">
        <v>0.27927773000859851</v>
      </c>
      <c r="R5" s="133">
        <v>0.60773860705073046</v>
      </c>
      <c r="S5" s="133">
        <v>0.53525365434221839</v>
      </c>
      <c r="T5" s="133">
        <v>0.56319862424763556</v>
      </c>
      <c r="U5" s="133">
        <v>0.45408426483233</v>
      </c>
      <c r="V5" s="133">
        <v>0.18082545141874456</v>
      </c>
      <c r="W5" s="133">
        <v>0.19681857265692179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303.77032949405037</v>
      </c>
      <c r="C7" s="133">
        <v>289.69215434379578</v>
      </c>
      <c r="D7" s="133">
        <v>273.44640573928189</v>
      </c>
      <c r="E7" s="133">
        <v>255.88168515290829</v>
      </c>
      <c r="F7" s="133">
        <v>224.54273238465339</v>
      </c>
      <c r="G7" s="133">
        <v>228.08591466704644</v>
      </c>
      <c r="H7" s="133">
        <v>202.34903489458665</v>
      </c>
      <c r="I7" s="133">
        <v>177.74705250701066</v>
      </c>
      <c r="J7" s="133">
        <v>179.80883554624964</v>
      </c>
      <c r="K7" s="133">
        <v>139.68273499690437</v>
      </c>
      <c r="L7" s="133">
        <v>136.15693030102</v>
      </c>
      <c r="M7" s="133">
        <v>117.4576739410309</v>
      </c>
      <c r="N7" s="133">
        <v>112.84319872912343</v>
      </c>
      <c r="O7" s="133">
        <v>147.05778191706838</v>
      </c>
      <c r="P7" s="133">
        <v>140.35325166200971</v>
      </c>
      <c r="Q7" s="133">
        <v>152.35294475095458</v>
      </c>
      <c r="R7" s="133">
        <v>144.98595605094255</v>
      </c>
      <c r="S7" s="133">
        <v>132.02048166220439</v>
      </c>
      <c r="T7" s="133">
        <v>146.32676327441172</v>
      </c>
      <c r="U7" s="133">
        <v>132.97264737319523</v>
      </c>
      <c r="V7" s="133">
        <v>119.50439583777622</v>
      </c>
      <c r="W7" s="133">
        <v>114.30896888812576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240.74575712263851</v>
      </c>
      <c r="C9" s="133">
        <v>236.45321709969849</v>
      </c>
      <c r="D9" s="133">
        <v>224.90870979143122</v>
      </c>
      <c r="E9" s="133">
        <v>234.05836133612414</v>
      </c>
      <c r="F9" s="133">
        <v>236.85823435547289</v>
      </c>
      <c r="G9" s="133">
        <v>239.82530599919227</v>
      </c>
      <c r="H9" s="133">
        <v>269.64258425914687</v>
      </c>
      <c r="I9" s="133">
        <v>276.4023856800315</v>
      </c>
      <c r="J9" s="133">
        <v>287.43729244635773</v>
      </c>
      <c r="K9" s="133">
        <v>265.03648403646616</v>
      </c>
      <c r="L9" s="133">
        <v>290.31295695406584</v>
      </c>
      <c r="M9" s="133">
        <v>292.73181412996138</v>
      </c>
      <c r="N9" s="133">
        <v>321.04895353148572</v>
      </c>
      <c r="O9" s="133">
        <v>302.65992994130835</v>
      </c>
      <c r="P9" s="133">
        <v>280.41551436774182</v>
      </c>
      <c r="Q9" s="133">
        <v>305.2527442701932</v>
      </c>
      <c r="R9" s="133">
        <v>307.30912110221635</v>
      </c>
      <c r="S9" s="133">
        <v>308.10062039706219</v>
      </c>
      <c r="T9" s="133">
        <v>347.68469815342019</v>
      </c>
      <c r="U9" s="133">
        <v>352.81126053175979</v>
      </c>
      <c r="V9" s="133">
        <v>366.45736413034035</v>
      </c>
      <c r="W9" s="133">
        <v>281.5702357781077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0.17231298366294057</v>
      </c>
      <c r="H10" s="133">
        <v>1.3827171109200338</v>
      </c>
      <c r="I10" s="133">
        <v>5.8154772141014606</v>
      </c>
      <c r="J10" s="133">
        <v>11.263456577815996</v>
      </c>
      <c r="K10" s="133">
        <v>14.5030094582975</v>
      </c>
      <c r="L10" s="133">
        <v>12.007566638005168</v>
      </c>
      <c r="M10" s="133">
        <v>15.760963026655212</v>
      </c>
      <c r="N10" s="133">
        <v>19.117024935511584</v>
      </c>
      <c r="O10" s="133">
        <v>25.090197764402433</v>
      </c>
      <c r="P10" s="133">
        <v>27.830266552020657</v>
      </c>
      <c r="Q10" s="133">
        <v>16.694239036973322</v>
      </c>
      <c r="R10" s="133">
        <v>24.733533963886487</v>
      </c>
      <c r="S10" s="133">
        <v>21.056921754084257</v>
      </c>
      <c r="T10" s="133">
        <v>17.996560619088573</v>
      </c>
      <c r="U10" s="133">
        <v>14.009716251074787</v>
      </c>
      <c r="V10" s="133">
        <v>15.690713671539116</v>
      </c>
      <c r="W10" s="133">
        <v>18.560361134995699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8.742812800965798E-4</v>
      </c>
      <c r="C13" s="133">
        <v>2.0545070300878191E-3</v>
      </c>
      <c r="D13" s="133">
        <v>9.8503412174820067E-3</v>
      </c>
      <c r="E13" s="133">
        <v>0.1589144399053411</v>
      </c>
      <c r="F13" s="133">
        <v>0.28350991725284214</v>
      </c>
      <c r="G13" s="133">
        <v>0.88726495282124651</v>
      </c>
      <c r="H13" s="133">
        <v>1.7329669629042033</v>
      </c>
      <c r="I13" s="133">
        <v>2.6722058551674142</v>
      </c>
      <c r="J13" s="133">
        <v>3.8190131076108229</v>
      </c>
      <c r="K13" s="133">
        <v>4.0255739059237818</v>
      </c>
      <c r="L13" s="133">
        <v>4.1307764853678854</v>
      </c>
      <c r="M13" s="133">
        <v>4.6102641340934127</v>
      </c>
      <c r="N13" s="133">
        <v>4.8403712756437356</v>
      </c>
      <c r="O13" s="133">
        <v>5.0329791988297599</v>
      </c>
      <c r="P13" s="133">
        <v>5.3269639515676843</v>
      </c>
      <c r="Q13" s="133">
        <v>5.9301121281484832</v>
      </c>
      <c r="R13" s="133">
        <v>6.693727125802611</v>
      </c>
      <c r="S13" s="133">
        <v>7.6461532527153357</v>
      </c>
      <c r="T13" s="133">
        <v>7.6101067933288817</v>
      </c>
      <c r="U13" s="133">
        <v>8.2405762935623539</v>
      </c>
      <c r="V13" s="133">
        <v>8.8403531075825548</v>
      </c>
      <c r="W13" s="133">
        <v>8.9360293644444706</v>
      </c>
      <c r="DA13" s="157" t="s">
        <v>282</v>
      </c>
    </row>
    <row r="14" spans="1:105" ht="12" customHeight="1" x14ac:dyDescent="0.25">
      <c r="A14" s="60" t="s">
        <v>76</v>
      </c>
      <c r="B14" s="65">
        <v>144.75423060967933</v>
      </c>
      <c r="C14" s="65">
        <v>174.92798978884477</v>
      </c>
      <c r="D14" s="65">
        <v>220.38403699905356</v>
      </c>
      <c r="E14" s="65">
        <v>271.511529436697</v>
      </c>
      <c r="F14" s="65">
        <v>273.94105187565918</v>
      </c>
      <c r="G14" s="65">
        <v>339.4393436458235</v>
      </c>
      <c r="H14" s="65">
        <v>402.72485426621898</v>
      </c>
      <c r="I14" s="65">
        <v>418.15453558638325</v>
      </c>
      <c r="J14" s="65">
        <v>460.38934524636875</v>
      </c>
      <c r="K14" s="65">
        <v>427.60970574312034</v>
      </c>
      <c r="L14" s="65">
        <v>404.871483538196</v>
      </c>
      <c r="M14" s="65">
        <v>394.50716582122584</v>
      </c>
      <c r="N14" s="65">
        <v>366.5988074145103</v>
      </c>
      <c r="O14" s="65">
        <v>357.42540722988934</v>
      </c>
      <c r="P14" s="65">
        <v>303.87461493049068</v>
      </c>
      <c r="Q14" s="65">
        <v>362.31216829466939</v>
      </c>
      <c r="R14" s="65">
        <v>354.27828129234291</v>
      </c>
      <c r="S14" s="65">
        <v>342.16302060820237</v>
      </c>
      <c r="T14" s="65">
        <v>415.24756148646037</v>
      </c>
      <c r="U14" s="65">
        <v>436.48232475621234</v>
      </c>
      <c r="V14" s="65">
        <v>336.71122415176211</v>
      </c>
      <c r="W14" s="65">
        <v>325.08752618930276</v>
      </c>
      <c r="DA14" s="109" t="s">
        <v>283</v>
      </c>
    </row>
    <row r="15" spans="1:105" ht="12" customHeight="1" x14ac:dyDescent="0.25">
      <c r="A15" s="134" t="s">
        <v>80</v>
      </c>
      <c r="B15" s="135">
        <v>5.3715367705206196</v>
      </c>
      <c r="C15" s="135">
        <v>5.1271280355253523</v>
      </c>
      <c r="D15" s="135">
        <v>4.7730737393958496</v>
      </c>
      <c r="E15" s="135">
        <v>4.786250672105262</v>
      </c>
      <c r="F15" s="135">
        <v>4.4921834012728752</v>
      </c>
      <c r="G15" s="135">
        <v>4.5265443423504372</v>
      </c>
      <c r="H15" s="135">
        <v>4.6026558260440806</v>
      </c>
      <c r="I15" s="135">
        <v>4.482749936285467</v>
      </c>
      <c r="J15" s="135">
        <v>4.66777594694807</v>
      </c>
      <c r="K15" s="135">
        <v>4.0169913857555786</v>
      </c>
      <c r="L15" s="135">
        <v>4.3212832502426952</v>
      </c>
      <c r="M15" s="135">
        <v>4.2991859715495409</v>
      </c>
      <c r="N15" s="135">
        <v>4.7001879183265993</v>
      </c>
      <c r="O15" s="135">
        <v>4.968678788122018</v>
      </c>
      <c r="P15" s="135">
        <v>4.6572349510045061</v>
      </c>
      <c r="Q15" s="135">
        <v>5.0063221969191591</v>
      </c>
      <c r="R15" s="135">
        <v>5.0011752498899664</v>
      </c>
      <c r="S15" s="135">
        <v>4.8909551586128126</v>
      </c>
      <c r="T15" s="135">
        <v>5.5015251697180103</v>
      </c>
      <c r="U15" s="135">
        <v>5.454464183899427</v>
      </c>
      <c r="V15" s="135">
        <v>5.5502550845964</v>
      </c>
      <c r="W15" s="135">
        <v>4.5579798349450478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4.820119145816907</v>
      </c>
      <c r="C16" s="131">
        <f t="shared" si="4"/>
        <v>5.1291792367559896</v>
      </c>
      <c r="D16" s="131">
        <f t="shared" si="4"/>
        <v>5.5811702735098141</v>
      </c>
      <c r="E16" s="131">
        <f t="shared" si="4"/>
        <v>5.8174311641952317</v>
      </c>
      <c r="F16" s="131">
        <f t="shared" si="4"/>
        <v>6.1241227732364774</v>
      </c>
      <c r="G16" s="131">
        <f t="shared" si="4"/>
        <v>6.5093002327538807</v>
      </c>
      <c r="H16" s="131">
        <f t="shared" si="4"/>
        <v>7.1106739454340673</v>
      </c>
      <c r="I16" s="131">
        <f t="shared" si="4"/>
        <v>7.5638168892031565</v>
      </c>
      <c r="J16" s="131">
        <f t="shared" si="4"/>
        <v>7.618117546122785</v>
      </c>
      <c r="K16" s="131">
        <f t="shared" si="4"/>
        <v>7.7427650022432735</v>
      </c>
      <c r="L16" s="131">
        <f t="shared" si="4"/>
        <v>7.9016273425900136</v>
      </c>
      <c r="M16" s="131">
        <f t="shared" si="4"/>
        <v>7.8267301110213525</v>
      </c>
      <c r="N16" s="131">
        <f t="shared" si="4"/>
        <v>7.8859848071513916</v>
      </c>
      <c r="O16" s="131">
        <f t="shared" si="4"/>
        <v>7.7905984422037431</v>
      </c>
      <c r="P16" s="131">
        <f t="shared" si="4"/>
        <v>7.9961767493952625</v>
      </c>
      <c r="Q16" s="131">
        <f t="shared" si="4"/>
        <v>7.7837877579679056</v>
      </c>
      <c r="R16" s="131">
        <f t="shared" ref="R16:W16" si="5">SUM(R17:R18)</f>
        <v>7.9396261814732965</v>
      </c>
      <c r="S16" s="131">
        <f t="shared" si="5"/>
        <v>7.9885703610725898</v>
      </c>
      <c r="T16" s="131">
        <f t="shared" si="5"/>
        <v>8.1621639829783117</v>
      </c>
      <c r="U16" s="131">
        <f t="shared" si="5"/>
        <v>8.4899904325786437</v>
      </c>
      <c r="V16" s="131">
        <f t="shared" si="5"/>
        <v>8.1272276483632844</v>
      </c>
      <c r="W16" s="131">
        <f t="shared" si="5"/>
        <v>8.1691413772315311</v>
      </c>
      <c r="DA16" s="156" t="s">
        <v>214</v>
      </c>
    </row>
    <row r="17" spans="1:105" ht="12.95" customHeight="1" x14ac:dyDescent="0.25">
      <c r="A17" s="132" t="s">
        <v>73</v>
      </c>
      <c r="B17" s="133">
        <v>2.3042114644288882E-2</v>
      </c>
      <c r="C17" s="133">
        <v>2.6174582150826232E-2</v>
      </c>
      <c r="D17" s="133">
        <v>3.0785075070753547E-2</v>
      </c>
      <c r="E17" s="133">
        <v>3.0733001881252848E-2</v>
      </c>
      <c r="F17" s="133">
        <v>3.7908154460144589E-2</v>
      </c>
      <c r="G17" s="133">
        <v>4.3799273439664478E-2</v>
      </c>
      <c r="H17" s="133">
        <v>5.6325364353542712E-2</v>
      </c>
      <c r="I17" s="133">
        <v>6.1465620419856384E-2</v>
      </c>
      <c r="J17" s="133">
        <v>6.3355406058099736E-2</v>
      </c>
      <c r="K17" s="133">
        <v>7.0466109196734544E-2</v>
      </c>
      <c r="L17" s="133">
        <v>7.6143235749973642E-2</v>
      </c>
      <c r="M17" s="133">
        <v>8.2438638600626044E-2</v>
      </c>
      <c r="N17" s="133">
        <v>9.4608192266187094E-2</v>
      </c>
      <c r="O17" s="133">
        <v>0.11627273340836666</v>
      </c>
      <c r="P17" s="133">
        <v>0.15468679726877155</v>
      </c>
      <c r="Q17" s="133">
        <v>0.2117552425308501</v>
      </c>
      <c r="R17" s="133">
        <v>0.26384329621921876</v>
      </c>
      <c r="S17" s="133">
        <v>0.30603226867499822</v>
      </c>
      <c r="T17" s="133">
        <v>0.33602519300659123</v>
      </c>
      <c r="U17" s="133">
        <v>0.36777027288970354</v>
      </c>
      <c r="V17" s="133">
        <v>0.35994005995789768</v>
      </c>
      <c r="W17" s="133">
        <v>0.35668356219636904</v>
      </c>
      <c r="DA17" s="157" t="s">
        <v>285</v>
      </c>
    </row>
    <row r="18" spans="1:105" ht="12" customHeight="1" x14ac:dyDescent="0.25">
      <c r="A18" s="132" t="s">
        <v>72</v>
      </c>
      <c r="B18" s="133">
        <v>4.7970770311726181</v>
      </c>
      <c r="C18" s="133">
        <v>5.1030046546051633</v>
      </c>
      <c r="D18" s="133">
        <v>5.5503851984390602</v>
      </c>
      <c r="E18" s="133">
        <v>5.7866981623139786</v>
      </c>
      <c r="F18" s="133">
        <v>6.0862146187763324</v>
      </c>
      <c r="G18" s="133">
        <v>6.4655009593142161</v>
      </c>
      <c r="H18" s="133">
        <v>7.0543485810805242</v>
      </c>
      <c r="I18" s="133">
        <v>7.5023512687833005</v>
      </c>
      <c r="J18" s="133">
        <v>7.5547621400646854</v>
      </c>
      <c r="K18" s="133">
        <v>7.6722988930465386</v>
      </c>
      <c r="L18" s="133">
        <v>7.8254841068400403</v>
      </c>
      <c r="M18" s="133">
        <v>7.7442914724207261</v>
      </c>
      <c r="N18" s="133">
        <v>7.7913766148852046</v>
      </c>
      <c r="O18" s="133">
        <v>7.6743257087953767</v>
      </c>
      <c r="P18" s="133">
        <v>7.8414899521264907</v>
      </c>
      <c r="Q18" s="133">
        <v>7.5720325154370558</v>
      </c>
      <c r="R18" s="133">
        <v>7.6757828852540779</v>
      </c>
      <c r="S18" s="133">
        <v>7.6825380923975919</v>
      </c>
      <c r="T18" s="133">
        <v>7.8261387899717203</v>
      </c>
      <c r="U18" s="133">
        <v>8.1222201596889398</v>
      </c>
      <c r="V18" s="133">
        <v>7.7672875884053871</v>
      </c>
      <c r="W18" s="133">
        <v>7.8124578150351622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127.56099312902778</v>
      </c>
      <c r="C19" s="131">
        <f t="shared" si="6"/>
        <v>131.03925487234156</v>
      </c>
      <c r="D19" s="131">
        <f t="shared" si="6"/>
        <v>132.27785745308518</v>
      </c>
      <c r="E19" s="131">
        <f t="shared" si="6"/>
        <v>132.36446408207706</v>
      </c>
      <c r="F19" s="131">
        <f t="shared" si="6"/>
        <v>133.70519513569195</v>
      </c>
      <c r="G19" s="131">
        <f t="shared" si="6"/>
        <v>137.61519726951784</v>
      </c>
      <c r="H19" s="131">
        <f t="shared" si="6"/>
        <v>138.53644495330886</v>
      </c>
      <c r="I19" s="131">
        <f t="shared" si="6"/>
        <v>142.5550086530036</v>
      </c>
      <c r="J19" s="131">
        <f t="shared" si="6"/>
        <v>144.10929781407279</v>
      </c>
      <c r="K19" s="131">
        <f t="shared" si="6"/>
        <v>147.2928098337151</v>
      </c>
      <c r="L19" s="131">
        <f t="shared" si="6"/>
        <v>149.56575690068266</v>
      </c>
      <c r="M19" s="131">
        <f t="shared" si="6"/>
        <v>150.06024145251428</v>
      </c>
      <c r="N19" s="131">
        <f t="shared" si="6"/>
        <v>148.62479434490984</v>
      </c>
      <c r="O19" s="131">
        <f t="shared" si="6"/>
        <v>146.65755029488699</v>
      </c>
      <c r="P19" s="131">
        <f t="shared" si="6"/>
        <v>147.00935539275645</v>
      </c>
      <c r="Q19" s="131">
        <f t="shared" si="6"/>
        <v>148.88872261191557</v>
      </c>
      <c r="R19" s="131">
        <f t="shared" ref="R19:W19" si="7">SUM(R20:R27)</f>
        <v>149.27169502269879</v>
      </c>
      <c r="S19" s="131">
        <f t="shared" si="7"/>
        <v>150.29518069216005</v>
      </c>
      <c r="T19" s="131">
        <f t="shared" si="7"/>
        <v>150.12635331957875</v>
      </c>
      <c r="U19" s="131">
        <f t="shared" si="7"/>
        <v>150.06904024076428</v>
      </c>
      <c r="V19" s="131">
        <f t="shared" si="7"/>
        <v>143.82397428927601</v>
      </c>
      <c r="W19" s="131">
        <f t="shared" si="7"/>
        <v>145.45587618506985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35.337925020136986</v>
      </c>
      <c r="C22" s="133">
        <v>35.359522354398472</v>
      </c>
      <c r="D22" s="133">
        <v>34.503895206547824</v>
      </c>
      <c r="E22" s="133">
        <v>32.221324305389217</v>
      </c>
      <c r="F22" s="133">
        <v>31.510492034951074</v>
      </c>
      <c r="G22" s="133">
        <v>29.545985590907179</v>
      </c>
      <c r="H22" s="133">
        <v>27.700578175060862</v>
      </c>
      <c r="I22" s="133">
        <v>26.712534767279944</v>
      </c>
      <c r="J22" s="133">
        <v>26.627707875934313</v>
      </c>
      <c r="K22" s="133">
        <v>25.948993292003518</v>
      </c>
      <c r="L22" s="133">
        <v>26.275399879547468</v>
      </c>
      <c r="M22" s="133">
        <v>26.073796394308797</v>
      </c>
      <c r="N22" s="133">
        <v>25.899879516792314</v>
      </c>
      <c r="O22" s="133">
        <v>25.093550843034755</v>
      </c>
      <c r="P22" s="133">
        <v>25.14193320471437</v>
      </c>
      <c r="Q22" s="133">
        <v>24.207502368563961</v>
      </c>
      <c r="R22" s="133">
        <v>23.349555556967921</v>
      </c>
      <c r="S22" s="133">
        <v>23.513998131432825</v>
      </c>
      <c r="T22" s="133">
        <v>21.807200612088739</v>
      </c>
      <c r="U22" s="133">
        <v>20.929932162488292</v>
      </c>
      <c r="V22" s="133">
        <v>17.817874153625205</v>
      </c>
      <c r="W22" s="133">
        <v>18.383550458391792</v>
      </c>
      <c r="DA22" s="157" t="s">
        <v>289</v>
      </c>
    </row>
    <row r="23" spans="1:105" ht="12" customHeight="1" x14ac:dyDescent="0.25">
      <c r="A23" s="132" t="s">
        <v>153</v>
      </c>
      <c r="B23" s="133">
        <v>28.177510365612232</v>
      </c>
      <c r="C23" s="133">
        <v>29.226444308223929</v>
      </c>
      <c r="D23" s="133">
        <v>29.524802111607698</v>
      </c>
      <c r="E23" s="133">
        <v>29.685144699175513</v>
      </c>
      <c r="F23" s="133">
        <v>30.635933262548239</v>
      </c>
      <c r="G23" s="133">
        <v>31.015970714740682</v>
      </c>
      <c r="H23" s="133">
        <v>31.116369086242791</v>
      </c>
      <c r="I23" s="133">
        <v>31.987222388976818</v>
      </c>
      <c r="J23" s="133">
        <v>31.82441591422489</v>
      </c>
      <c r="K23" s="133">
        <v>32.980523667285773</v>
      </c>
      <c r="L23" s="133">
        <v>33.836604971787487</v>
      </c>
      <c r="M23" s="133">
        <v>35.028096183008763</v>
      </c>
      <c r="N23" s="133">
        <v>35.336294527423377</v>
      </c>
      <c r="O23" s="133">
        <v>36.488999722843317</v>
      </c>
      <c r="P23" s="133">
        <v>38.112393639763106</v>
      </c>
      <c r="Q23" s="133">
        <v>38.04495278134857</v>
      </c>
      <c r="R23" s="133">
        <v>38.782692661987845</v>
      </c>
      <c r="S23" s="133">
        <v>39.883439668005259</v>
      </c>
      <c r="T23" s="133">
        <v>37.05350307737455</v>
      </c>
      <c r="U23" s="133">
        <v>36.215280667375254</v>
      </c>
      <c r="V23" s="133">
        <v>31.895527119031179</v>
      </c>
      <c r="W23" s="133">
        <v>33.112777726032817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64.045557743278565</v>
      </c>
      <c r="C26" s="65">
        <v>66.453288209719162</v>
      </c>
      <c r="D26" s="65">
        <v>68.249160134929667</v>
      </c>
      <c r="E26" s="65">
        <v>70.457995077512336</v>
      </c>
      <c r="F26" s="65">
        <v>71.558769838192632</v>
      </c>
      <c r="G26" s="65">
        <v>77.053240963869982</v>
      </c>
      <c r="H26" s="65">
        <v>79.686565619778207</v>
      </c>
      <c r="I26" s="65">
        <v>83.817590275766605</v>
      </c>
      <c r="J26" s="65">
        <v>85.562505064326331</v>
      </c>
      <c r="K26" s="65">
        <v>88.262433029197936</v>
      </c>
      <c r="L26" s="65">
        <v>89.300441645220445</v>
      </c>
      <c r="M26" s="65">
        <v>88.793860483107309</v>
      </c>
      <c r="N26" s="65">
        <v>87.222412218149003</v>
      </c>
      <c r="O26" s="65">
        <v>84.908791646463769</v>
      </c>
      <c r="P26" s="65">
        <v>83.588820465733804</v>
      </c>
      <c r="Q26" s="65">
        <v>86.470059379457879</v>
      </c>
      <c r="R26" s="65">
        <v>86.973238721197887</v>
      </c>
      <c r="S26" s="65">
        <v>86.731534810176825</v>
      </c>
      <c r="T26" s="65">
        <v>91.099097609479159</v>
      </c>
      <c r="U26" s="65">
        <v>92.757275390264454</v>
      </c>
      <c r="V26" s="65">
        <v>93.944020995983323</v>
      </c>
      <c r="W26" s="65">
        <v>93.792995980008953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3.2932072226999135E-2</v>
      </c>
      <c r="I27" s="146">
        <v>3.7661220980223557E-2</v>
      </c>
      <c r="J27" s="146">
        <v>9.4668959587274296E-2</v>
      </c>
      <c r="K27" s="146">
        <v>0.100859845227859</v>
      </c>
      <c r="L27" s="146">
        <v>0.1533104041272571</v>
      </c>
      <c r="M27" s="146">
        <v>0.16448839208942387</v>
      </c>
      <c r="N27" s="146">
        <v>0.16620808254514188</v>
      </c>
      <c r="O27" s="146">
        <v>0.16620808254514188</v>
      </c>
      <c r="P27" s="146">
        <v>0.16620808254514186</v>
      </c>
      <c r="Q27" s="146">
        <v>0.16620808254514199</v>
      </c>
      <c r="R27" s="146">
        <v>0.16620808254514197</v>
      </c>
      <c r="S27" s="146">
        <v>0.16620808254514191</v>
      </c>
      <c r="T27" s="146">
        <v>0.16655202063628566</v>
      </c>
      <c r="U27" s="146">
        <v>0.16655202063628557</v>
      </c>
      <c r="V27" s="146">
        <v>0.16655202063628555</v>
      </c>
      <c r="W27" s="146">
        <v>0.16655202063628549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121.21028066706222</v>
      </c>
      <c r="C29" s="131">
        <f t="shared" si="8"/>
        <v>124.35780850465765</v>
      </c>
      <c r="D29" s="131">
        <f t="shared" si="8"/>
        <v>126.00545487457967</v>
      </c>
      <c r="E29" s="131">
        <f t="shared" si="8"/>
        <v>128.34813523618254</v>
      </c>
      <c r="F29" s="131">
        <f t="shared" si="8"/>
        <v>131.22889538911164</v>
      </c>
      <c r="G29" s="131">
        <f t="shared" si="8"/>
        <v>136.70901174787008</v>
      </c>
      <c r="H29" s="131">
        <f t="shared" si="8"/>
        <v>139.78551848875742</v>
      </c>
      <c r="I29" s="131">
        <f t="shared" si="8"/>
        <v>145.30957780025113</v>
      </c>
      <c r="J29" s="131">
        <f t="shared" si="8"/>
        <v>151.39411696951564</v>
      </c>
      <c r="K29" s="131">
        <f t="shared" si="8"/>
        <v>139.099143944747</v>
      </c>
      <c r="L29" s="131">
        <f t="shared" si="8"/>
        <v>145.10941404923557</v>
      </c>
      <c r="M29" s="131">
        <f t="shared" si="8"/>
        <v>152.90229042527451</v>
      </c>
      <c r="N29" s="131">
        <f t="shared" si="8"/>
        <v>155.13542069109985</v>
      </c>
      <c r="O29" s="131">
        <f t="shared" si="8"/>
        <v>159.48438025285236</v>
      </c>
      <c r="P29" s="131">
        <f t="shared" si="8"/>
        <v>155.91911638262127</v>
      </c>
      <c r="Q29" s="131">
        <f t="shared" si="8"/>
        <v>158.86045525624263</v>
      </c>
      <c r="R29" s="131">
        <f t="shared" ref="R29:W29" si="9">SUM(R30:R33)</f>
        <v>159.73859166879708</v>
      </c>
      <c r="S29" s="131">
        <f t="shared" si="9"/>
        <v>163.89358764154412</v>
      </c>
      <c r="T29" s="131">
        <f t="shared" si="9"/>
        <v>167.94670876871254</v>
      </c>
      <c r="U29" s="131">
        <f t="shared" si="9"/>
        <v>170.78951692900341</v>
      </c>
      <c r="V29" s="131">
        <f t="shared" si="9"/>
        <v>159.17106758860803</v>
      </c>
      <c r="W29" s="131">
        <f t="shared" si="9"/>
        <v>174.11975396458135</v>
      </c>
      <c r="DA29" s="156" t="s">
        <v>216</v>
      </c>
    </row>
    <row r="30" spans="1:105" ht="12" customHeight="1" x14ac:dyDescent="0.25">
      <c r="A30" s="132" t="s">
        <v>52</v>
      </c>
      <c r="B30" s="133">
        <v>40.052450558899388</v>
      </c>
      <c r="C30" s="133">
        <v>44.884264832330182</v>
      </c>
      <c r="D30" s="133">
        <v>46.157007738607042</v>
      </c>
      <c r="E30" s="133">
        <v>49.044797936371445</v>
      </c>
      <c r="F30" s="133">
        <v>53.552278589853813</v>
      </c>
      <c r="G30" s="133">
        <v>63.945743766122078</v>
      </c>
      <c r="H30" s="133">
        <v>66.815563198624261</v>
      </c>
      <c r="I30" s="133">
        <v>70.708082545141906</v>
      </c>
      <c r="J30" s="133">
        <v>80.593637145313835</v>
      </c>
      <c r="K30" s="133">
        <v>58.15881341358557</v>
      </c>
      <c r="L30" s="133">
        <v>75.010576096302671</v>
      </c>
      <c r="M30" s="133">
        <v>74.448581255373952</v>
      </c>
      <c r="N30" s="133">
        <v>70.03903697334475</v>
      </c>
      <c r="O30" s="133">
        <v>81.75374032674118</v>
      </c>
      <c r="P30" s="133">
        <v>64.211607910576078</v>
      </c>
      <c r="Q30" s="133">
        <v>69.122269991401538</v>
      </c>
      <c r="R30" s="133">
        <v>58.672398968185711</v>
      </c>
      <c r="S30" s="133">
        <v>60.771797076526262</v>
      </c>
      <c r="T30" s="133">
        <v>66.500171969045581</v>
      </c>
      <c r="U30" s="133">
        <v>66.273774720550207</v>
      </c>
      <c r="V30" s="133">
        <v>53.480137575236462</v>
      </c>
      <c r="W30" s="133">
        <v>60.584780739466837</v>
      </c>
      <c r="DA30" s="157" t="s">
        <v>295</v>
      </c>
    </row>
    <row r="31" spans="1:105" ht="12" customHeight="1" x14ac:dyDescent="0.25">
      <c r="A31" s="132" t="s">
        <v>153</v>
      </c>
      <c r="B31" s="133">
        <v>23.745005960303562</v>
      </c>
      <c r="C31" s="133">
        <v>23.168454637613728</v>
      </c>
      <c r="D31" s="133">
        <v>22.297783847341698</v>
      </c>
      <c r="E31" s="133">
        <v>21.705468615441653</v>
      </c>
      <c r="F31" s="133">
        <v>21.931896712471438</v>
      </c>
      <c r="G31" s="133">
        <v>21.973393488121811</v>
      </c>
      <c r="H31" s="133">
        <v>22.235108220609483</v>
      </c>
      <c r="I31" s="133">
        <v>21.999399225447355</v>
      </c>
      <c r="J31" s="133">
        <v>22.133147755285293</v>
      </c>
      <c r="K31" s="133">
        <v>23.189052412330856</v>
      </c>
      <c r="L31" s="133">
        <v>23.550735079153291</v>
      </c>
      <c r="M31" s="133">
        <v>24.198235743184107</v>
      </c>
      <c r="N31" s="133">
        <v>24.790994995600624</v>
      </c>
      <c r="O31" s="133">
        <v>24.809088230126992</v>
      </c>
      <c r="P31" s="133">
        <v>24.7885143955702</v>
      </c>
      <c r="Q31" s="133">
        <v>25.682981067922253</v>
      </c>
      <c r="R31" s="133">
        <v>25.90805747096088</v>
      </c>
      <c r="S31" s="133">
        <v>25.664593822749392</v>
      </c>
      <c r="T31" s="133">
        <v>26.254922329423096</v>
      </c>
      <c r="U31" s="133">
        <v>26.241286120408962</v>
      </c>
      <c r="V31" s="133">
        <v>23.975732749139805</v>
      </c>
      <c r="W31" s="133">
        <v>25.979907404858391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57.412824147859261</v>
      </c>
      <c r="C33" s="68">
        <v>56.305089034713745</v>
      </c>
      <c r="D33" s="68">
        <v>57.550663288630929</v>
      </c>
      <c r="E33" s="68">
        <v>57.597868684369438</v>
      </c>
      <c r="F33" s="68">
        <v>55.744720086786394</v>
      </c>
      <c r="G33" s="68">
        <v>50.789874493626186</v>
      </c>
      <c r="H33" s="68">
        <v>50.734847069523674</v>
      </c>
      <c r="I33" s="68">
        <v>52.602096029661894</v>
      </c>
      <c r="J33" s="68">
        <v>48.667332068916515</v>
      </c>
      <c r="K33" s="68">
        <v>57.751278118830569</v>
      </c>
      <c r="L33" s="68">
        <v>46.548102873779619</v>
      </c>
      <c r="M33" s="68">
        <v>54.255473426716456</v>
      </c>
      <c r="N33" s="68">
        <v>60.305388722154461</v>
      </c>
      <c r="O33" s="68">
        <v>52.921551695984199</v>
      </c>
      <c r="P33" s="68">
        <v>66.918994076474974</v>
      </c>
      <c r="Q33" s="68">
        <v>64.055204196918837</v>
      </c>
      <c r="R33" s="68">
        <v>75.158135229650497</v>
      </c>
      <c r="S33" s="68">
        <v>77.457196742268479</v>
      </c>
      <c r="T33" s="68">
        <v>75.191614470243849</v>
      </c>
      <c r="U33" s="68">
        <v>78.274456088044232</v>
      </c>
      <c r="V33" s="68">
        <v>81.715197264231762</v>
      </c>
      <c r="W33" s="68">
        <v>87.555065820256118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547.98725870456519</v>
      </c>
      <c r="C3" s="126">
        <f t="shared" si="0"/>
        <v>569.71581476481549</v>
      </c>
      <c r="D3" s="126">
        <f t="shared" si="0"/>
        <v>595.27120599473494</v>
      </c>
      <c r="E3" s="126">
        <f t="shared" si="0"/>
        <v>650.88895844950684</v>
      </c>
      <c r="F3" s="126">
        <f t="shared" si="0"/>
        <v>647.15712781148875</v>
      </c>
      <c r="G3" s="126">
        <f t="shared" si="0"/>
        <v>712.7243678542701</v>
      </c>
      <c r="H3" s="126">
        <f t="shared" si="0"/>
        <v>778.13785762001316</v>
      </c>
      <c r="I3" s="126">
        <f t="shared" si="0"/>
        <v>801.39366284928519</v>
      </c>
      <c r="J3" s="126">
        <f t="shared" si="0"/>
        <v>859.06632960382558</v>
      </c>
      <c r="K3" s="126">
        <f t="shared" si="0"/>
        <v>791.92097830082776</v>
      </c>
      <c r="L3" s="126">
        <f t="shared" si="0"/>
        <v>801.36514271547753</v>
      </c>
      <c r="M3" s="126">
        <f t="shared" si="0"/>
        <v>806.37531678763639</v>
      </c>
      <c r="N3" s="126">
        <f t="shared" si="0"/>
        <v>818.27613458455835</v>
      </c>
      <c r="O3" s="126">
        <f t="shared" si="0"/>
        <v>836.13786121633927</v>
      </c>
      <c r="P3" s="126">
        <f t="shared" si="0"/>
        <v>784.95100303297477</v>
      </c>
      <c r="Q3" s="126">
        <f t="shared" si="0"/>
        <v>859.4886766408049</v>
      </c>
      <c r="R3" s="126">
        <f t="shared" ref="R3:W3" si="1">SUM(R4,R16,R19,R29)</f>
        <v>870.51078966946932</v>
      </c>
      <c r="S3" s="126">
        <f t="shared" si="1"/>
        <v>869.89407042617893</v>
      </c>
      <c r="T3" s="126">
        <f t="shared" si="1"/>
        <v>980.84338640240685</v>
      </c>
      <c r="U3" s="126">
        <f t="shared" si="1"/>
        <v>1011.6258147665422</v>
      </c>
      <c r="V3" s="126">
        <f t="shared" si="1"/>
        <v>934.53402227416848</v>
      </c>
      <c r="W3" s="126">
        <f t="shared" si="1"/>
        <v>883.79453805053458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378.49333362933629</v>
      </c>
      <c r="C4" s="131">
        <f t="shared" si="2"/>
        <v>394.44866900831556</v>
      </c>
      <c r="D4" s="131">
        <f t="shared" si="2"/>
        <v>415.42627412132975</v>
      </c>
      <c r="E4" s="131">
        <f t="shared" si="2"/>
        <v>467.33508860321029</v>
      </c>
      <c r="F4" s="131">
        <f t="shared" si="2"/>
        <v>458.99427665055498</v>
      </c>
      <c r="G4" s="131">
        <f t="shared" si="2"/>
        <v>516.46580890684538</v>
      </c>
      <c r="H4" s="131">
        <f t="shared" si="2"/>
        <v>575.43526143570898</v>
      </c>
      <c r="I4" s="131">
        <f t="shared" si="2"/>
        <v>588.6934980234164</v>
      </c>
      <c r="J4" s="131">
        <f t="shared" si="2"/>
        <v>640.05741785416387</v>
      </c>
      <c r="K4" s="131">
        <f t="shared" si="2"/>
        <v>574.61535321122335</v>
      </c>
      <c r="L4" s="131">
        <f t="shared" si="2"/>
        <v>579.06685204743258</v>
      </c>
      <c r="M4" s="131">
        <f t="shared" si="2"/>
        <v>575.97885326945163</v>
      </c>
      <c r="N4" s="131">
        <f t="shared" si="2"/>
        <v>583.87072761636443</v>
      </c>
      <c r="O4" s="131">
        <f t="shared" si="2"/>
        <v>599.69001297468992</v>
      </c>
      <c r="P4" s="131">
        <f t="shared" si="2"/>
        <v>544.51518752644881</v>
      </c>
      <c r="Q4" s="131">
        <f t="shared" si="2"/>
        <v>614.87174140639809</v>
      </c>
      <c r="R4" s="131">
        <f t="shared" ref="R4:W4" si="3">SUM(R5:R15)</f>
        <v>618.63867359571577</v>
      </c>
      <c r="S4" s="131">
        <f t="shared" si="3"/>
        <v>610.49727324828223</v>
      </c>
      <c r="T4" s="131">
        <f t="shared" si="3"/>
        <v>714.45723215881617</v>
      </c>
      <c r="U4" s="131">
        <f t="shared" si="3"/>
        <v>737.13138192931012</v>
      </c>
      <c r="V4" s="131">
        <f t="shared" si="3"/>
        <v>668.48326919242106</v>
      </c>
      <c r="W4" s="131">
        <f t="shared" si="3"/>
        <v>601.94127467964665</v>
      </c>
      <c r="DA4" s="156" t="s">
        <v>301</v>
      </c>
    </row>
    <row r="5" spans="1:105" ht="12" customHeight="1" x14ac:dyDescent="0.25">
      <c r="A5" s="132" t="s">
        <v>29</v>
      </c>
      <c r="B5" s="133">
        <v>2.16778574091758</v>
      </c>
      <c r="C5" s="133">
        <v>2.4274047633132105</v>
      </c>
      <c r="D5" s="133">
        <v>1.7731469565151308</v>
      </c>
      <c r="E5" s="133">
        <v>16.556499124077231</v>
      </c>
      <c r="F5" s="133">
        <v>16.137020350968825</v>
      </c>
      <c r="G5" s="133">
        <v>16.370632925394524</v>
      </c>
      <c r="H5" s="133">
        <v>16.389320551715443</v>
      </c>
      <c r="I5" s="133">
        <v>16.215889653277728</v>
      </c>
      <c r="J5" s="133">
        <v>16.269231166822859</v>
      </c>
      <c r="K5" s="133">
        <v>0.30528556094131504</v>
      </c>
      <c r="L5" s="133">
        <v>0.60725508906550907</v>
      </c>
      <c r="M5" s="133">
        <v>0.92596268759993372</v>
      </c>
      <c r="N5" s="133">
        <v>0.38381763972139132</v>
      </c>
      <c r="O5" s="133">
        <v>0.35848881725204607</v>
      </c>
      <c r="P5" s="133">
        <v>0.17510344869076819</v>
      </c>
      <c r="Q5" s="133">
        <v>0.17467321908710545</v>
      </c>
      <c r="R5" s="133">
        <v>0.38367534931838088</v>
      </c>
      <c r="S5" s="133">
        <v>0.33931159590059579</v>
      </c>
      <c r="T5" s="133">
        <v>0.36055947982937669</v>
      </c>
      <c r="U5" s="133">
        <v>0.29886116042792954</v>
      </c>
      <c r="V5" s="133">
        <v>0.12051483788929282</v>
      </c>
      <c r="W5" s="133">
        <v>0.13188297066533844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142.95614330527508</v>
      </c>
      <c r="C7" s="133">
        <v>137.3072528957718</v>
      </c>
      <c r="D7" s="133">
        <v>129.68748689156098</v>
      </c>
      <c r="E7" s="133">
        <v>121.43223856568882</v>
      </c>
      <c r="F7" s="133">
        <v>106.6215006706019</v>
      </c>
      <c r="G7" s="133">
        <v>108.37513795200178</v>
      </c>
      <c r="H7" s="133">
        <v>96.232384034102381</v>
      </c>
      <c r="I7" s="133">
        <v>84.636188779660898</v>
      </c>
      <c r="J7" s="133">
        <v>86.872737364682408</v>
      </c>
      <c r="K7" s="133">
        <v>68.91806669561322</v>
      </c>
      <c r="L7" s="133">
        <v>69.448128081295778</v>
      </c>
      <c r="M7" s="133">
        <v>62.806658255501389</v>
      </c>
      <c r="N7" s="133">
        <v>64.365208849112648</v>
      </c>
      <c r="O7" s="133">
        <v>89.280729986562449</v>
      </c>
      <c r="P7" s="133">
        <v>86.08718363740185</v>
      </c>
      <c r="Q7" s="133">
        <v>94.123687563977086</v>
      </c>
      <c r="R7" s="133">
        <v>89.941342642998805</v>
      </c>
      <c r="S7" s="133">
        <v>82.228322183044199</v>
      </c>
      <c r="T7" s="133">
        <v>91.219468277151975</v>
      </c>
      <c r="U7" s="133">
        <v>82.973765034557033</v>
      </c>
      <c r="V7" s="133">
        <v>74.722255469997847</v>
      </c>
      <c r="W7" s="133">
        <v>71.847378148718931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124.53680235029711</v>
      </c>
      <c r="C9" s="133">
        <v>123.31743028440914</v>
      </c>
      <c r="D9" s="133">
        <v>118.44699816437003</v>
      </c>
      <c r="E9" s="133">
        <v>124.7830335516534</v>
      </c>
      <c r="F9" s="133">
        <v>128.65886684654089</v>
      </c>
      <c r="G9" s="133">
        <v>132.78940027163935</v>
      </c>
      <c r="H9" s="133">
        <v>152.71220239179561</v>
      </c>
      <c r="I9" s="133">
        <v>160.16399284743812</v>
      </c>
      <c r="J9" s="133">
        <v>170.49460176214006</v>
      </c>
      <c r="K9" s="133">
        <v>161.34791400229761</v>
      </c>
      <c r="L9" s="133">
        <v>181.84361248515592</v>
      </c>
      <c r="M9" s="133">
        <v>188.47977778378086</v>
      </c>
      <c r="N9" s="133">
        <v>212.66934920677667</v>
      </c>
      <c r="O9" s="133">
        <v>205.04174533149117</v>
      </c>
      <c r="P9" s="133">
        <v>191.11582406523891</v>
      </c>
      <c r="Q9" s="133">
        <v>209.40871965762292</v>
      </c>
      <c r="R9" s="133">
        <v>213.11885278189317</v>
      </c>
      <c r="S9" s="133">
        <v>216.56534870320081</v>
      </c>
      <c r="T9" s="133">
        <v>248.0209045903531</v>
      </c>
      <c r="U9" s="133">
        <v>256.03734978057633</v>
      </c>
      <c r="V9" s="133">
        <v>270.05904756167041</v>
      </c>
      <c r="W9" s="133">
        <v>210.62821948428376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8.0212433898936217E-2</v>
      </c>
      <c r="H10" s="133">
        <v>0.65193706599208534</v>
      </c>
      <c r="I10" s="133">
        <v>2.7797298566703761</v>
      </c>
      <c r="J10" s="133">
        <v>5.4426749707314581</v>
      </c>
      <c r="K10" s="133">
        <v>7.0708288500725134</v>
      </c>
      <c r="L10" s="133">
        <v>5.8824917859360726</v>
      </c>
      <c r="M10" s="133">
        <v>7.7967526365121307</v>
      </c>
      <c r="N10" s="133">
        <v>9.5670792333067887</v>
      </c>
      <c r="O10" s="133">
        <v>12.632928054376368</v>
      </c>
      <c r="P10" s="133">
        <v>14.057194804720528</v>
      </c>
      <c r="Q10" s="133">
        <v>8.4515873539161834</v>
      </c>
      <c r="R10" s="133">
        <v>12.55367653320941</v>
      </c>
      <c r="S10" s="133">
        <v>10.703269121204718</v>
      </c>
      <c r="T10" s="133">
        <v>9.1580083095054281</v>
      </c>
      <c r="U10" s="133">
        <v>7.1370957995317035</v>
      </c>
      <c r="V10" s="133">
        <v>8.0237587026973394</v>
      </c>
      <c r="W10" s="133">
        <v>9.6420985133817236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1.2227638399004486E-3</v>
      </c>
      <c r="C13" s="133">
        <v>3.0950287023489638E-3</v>
      </c>
      <c r="D13" s="133">
        <v>1.6385164949210294E-2</v>
      </c>
      <c r="E13" s="133">
        <v>0.27843292657774005</v>
      </c>
      <c r="F13" s="133">
        <v>0.52254689059764003</v>
      </c>
      <c r="G13" s="133">
        <v>1.7238083750052535</v>
      </c>
      <c r="H13" s="133">
        <v>3.5254863094218303</v>
      </c>
      <c r="I13" s="133">
        <v>5.6598240838862433</v>
      </c>
      <c r="J13" s="133">
        <v>8.36011370950248</v>
      </c>
      <c r="K13" s="133">
        <v>9.0447484545050401</v>
      </c>
      <c r="L13" s="133">
        <v>9.4648263563911001</v>
      </c>
      <c r="M13" s="133">
        <v>10.800547883018607</v>
      </c>
      <c r="N13" s="133">
        <v>11.632976606684142</v>
      </c>
      <c r="O13" s="133">
        <v>12.4759714602227</v>
      </c>
      <c r="P13" s="133">
        <v>13.76840849155049</v>
      </c>
      <c r="Q13" s="133">
        <v>16.046707141046177</v>
      </c>
      <c r="R13" s="133">
        <v>18.942996257358921</v>
      </c>
      <c r="S13" s="133">
        <v>22.56601567747888</v>
      </c>
      <c r="T13" s="133">
        <v>23.215437833741618</v>
      </c>
      <c r="U13" s="133">
        <v>26.21916614738868</v>
      </c>
      <c r="V13" s="133">
        <v>29.393577527187009</v>
      </c>
      <c r="W13" s="133">
        <v>30.812985512337853</v>
      </c>
      <c r="DA13" s="157" t="s">
        <v>310</v>
      </c>
    </row>
    <row r="14" spans="1:105" ht="12" customHeight="1" x14ac:dyDescent="0.25">
      <c r="A14" s="60" t="s">
        <v>76</v>
      </c>
      <c r="B14" s="65">
        <v>103.45984269848606</v>
      </c>
      <c r="C14" s="65">
        <v>126.26635800059368</v>
      </c>
      <c r="D14" s="65">
        <v>160.72918320453857</v>
      </c>
      <c r="E14" s="65">
        <v>199.49863376310779</v>
      </c>
      <c r="F14" s="65">
        <v>202.56215849057281</v>
      </c>
      <c r="G14" s="65">
        <v>252.60007260655505</v>
      </c>
      <c r="H14" s="65">
        <v>301.32127525663765</v>
      </c>
      <c r="I14" s="65">
        <v>314.75512286619755</v>
      </c>
      <c r="J14" s="65">
        <v>347.95028293333661</v>
      </c>
      <c r="K14" s="65">
        <v>323.9115182620381</v>
      </c>
      <c r="L14" s="65">
        <v>307.49925499934557</v>
      </c>
      <c r="M14" s="65">
        <v>300.86996805148914</v>
      </c>
      <c r="N14" s="65">
        <v>280.55210816243613</v>
      </c>
      <c r="O14" s="65">
        <v>274.93147053666314</v>
      </c>
      <c r="P14" s="65">
        <v>234.65423812784181</v>
      </c>
      <c r="Q14" s="65">
        <v>281.66004427382933</v>
      </c>
      <c r="R14" s="65">
        <v>278.69695478104711</v>
      </c>
      <c r="S14" s="65">
        <v>273.20405080884024</v>
      </c>
      <c r="T14" s="65">
        <v>336.98132849851675</v>
      </c>
      <c r="U14" s="65">
        <v>359.01067982292898</v>
      </c>
      <c r="V14" s="65">
        <v>280.61386000838274</v>
      </c>
      <c r="W14" s="65">
        <v>274.32073021531397</v>
      </c>
      <c r="DA14" s="109" t="s">
        <v>311</v>
      </c>
    </row>
    <row r="15" spans="1:105" ht="12" customHeight="1" x14ac:dyDescent="0.25">
      <c r="A15" s="134" t="s">
        <v>80</v>
      </c>
      <c r="B15" s="135">
        <v>5.3715367705206196</v>
      </c>
      <c r="C15" s="135">
        <v>5.1271280355253523</v>
      </c>
      <c r="D15" s="135">
        <v>4.7730737393958496</v>
      </c>
      <c r="E15" s="135">
        <v>4.786250672105262</v>
      </c>
      <c r="F15" s="135">
        <v>4.4921834012728752</v>
      </c>
      <c r="G15" s="135">
        <v>4.5265443423504372</v>
      </c>
      <c r="H15" s="135">
        <v>4.6026558260440806</v>
      </c>
      <c r="I15" s="135">
        <v>4.482749936285467</v>
      </c>
      <c r="J15" s="135">
        <v>4.66777594694807</v>
      </c>
      <c r="K15" s="135">
        <v>4.0169913857555786</v>
      </c>
      <c r="L15" s="135">
        <v>4.3212832502426952</v>
      </c>
      <c r="M15" s="135">
        <v>4.2991859715495409</v>
      </c>
      <c r="N15" s="135">
        <v>4.7001879183265993</v>
      </c>
      <c r="O15" s="135">
        <v>4.968678788122018</v>
      </c>
      <c r="P15" s="135">
        <v>4.6572349510045061</v>
      </c>
      <c r="Q15" s="135">
        <v>5.0063221969191591</v>
      </c>
      <c r="R15" s="135">
        <v>5.0011752498899664</v>
      </c>
      <c r="S15" s="135">
        <v>4.8909551586128126</v>
      </c>
      <c r="T15" s="135">
        <v>5.5015251697180103</v>
      </c>
      <c r="U15" s="135">
        <v>5.454464183899427</v>
      </c>
      <c r="V15" s="135">
        <v>5.5502550845964</v>
      </c>
      <c r="W15" s="135">
        <v>4.5579798349450478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11.052073524404555</v>
      </c>
      <c r="C16" s="131">
        <f t="shared" si="4"/>
        <v>12.45819990305673</v>
      </c>
      <c r="D16" s="131">
        <f t="shared" si="4"/>
        <v>14.351981033902002</v>
      </c>
      <c r="E16" s="131">
        <f t="shared" si="4"/>
        <v>15.73035310687545</v>
      </c>
      <c r="F16" s="131">
        <f t="shared" si="4"/>
        <v>17.454949948845055</v>
      </c>
      <c r="G16" s="131">
        <f t="shared" si="4"/>
        <v>19.62251863016095</v>
      </c>
      <c r="H16" s="131">
        <f t="shared" si="4"/>
        <v>22.619518088626428</v>
      </c>
      <c r="I16" s="131">
        <f t="shared" si="4"/>
        <v>25.293424731361668</v>
      </c>
      <c r="J16" s="131">
        <f t="shared" si="4"/>
        <v>26.803983424748964</v>
      </c>
      <c r="K16" s="131">
        <f t="shared" si="4"/>
        <v>27.698356451626371</v>
      </c>
      <c r="L16" s="131">
        <f t="shared" si="4"/>
        <v>28.946753182433305</v>
      </c>
      <c r="M16" s="131">
        <f t="shared" si="4"/>
        <v>29.626964351660842</v>
      </c>
      <c r="N16" s="131">
        <f t="shared" si="4"/>
        <v>30.871247501171151</v>
      </c>
      <c r="O16" s="131">
        <f t="shared" si="4"/>
        <v>31.627681088145131</v>
      </c>
      <c r="P16" s="131">
        <f t="shared" si="4"/>
        <v>33.794922887074627</v>
      </c>
      <c r="Q16" s="131">
        <f t="shared" si="4"/>
        <v>34.079148916429105</v>
      </c>
      <c r="R16" s="131">
        <f t="shared" ref="R16:W16" si="5">SUM(R17:R18)</f>
        <v>36.139253956623911</v>
      </c>
      <c r="S16" s="131">
        <f t="shared" si="5"/>
        <v>37.619607387442095</v>
      </c>
      <c r="T16" s="131">
        <f t="shared" si="5"/>
        <v>39.670894254026095</v>
      </c>
      <c r="U16" s="131">
        <f t="shared" si="5"/>
        <v>42.398193252117238</v>
      </c>
      <c r="V16" s="131">
        <f t="shared" si="5"/>
        <v>41.411181613472813</v>
      </c>
      <c r="W16" s="131">
        <f t="shared" si="5"/>
        <v>42.767904686331192</v>
      </c>
      <c r="DA16" s="156" t="s">
        <v>313</v>
      </c>
    </row>
    <row r="17" spans="1:105" ht="12.95" customHeight="1" x14ac:dyDescent="0.25">
      <c r="A17" s="132" t="s">
        <v>73</v>
      </c>
      <c r="B17" s="133">
        <v>3.2456370696583685E-2</v>
      </c>
      <c r="C17" s="133">
        <v>3.7233513662435908E-2</v>
      </c>
      <c r="D17" s="133">
        <v>4.4221638989002512E-2</v>
      </c>
      <c r="E17" s="133">
        <v>4.4367426902840387E-2</v>
      </c>
      <c r="F17" s="133">
        <v>5.5324219313411263E-2</v>
      </c>
      <c r="G17" s="133">
        <v>6.4439733223489198E-2</v>
      </c>
      <c r="H17" s="133">
        <v>8.3559411212091664E-2</v>
      </c>
      <c r="I17" s="133">
        <v>9.1655933538299192E-2</v>
      </c>
      <c r="J17" s="133">
        <v>9.4911079291534306E-2</v>
      </c>
      <c r="K17" s="133">
        <v>0.10585207539119688</v>
      </c>
      <c r="L17" s="133">
        <v>0.11470774522009131</v>
      </c>
      <c r="M17" s="133">
        <v>0.12473920552124861</v>
      </c>
      <c r="N17" s="133">
        <v>0.14410997167305245</v>
      </c>
      <c r="O17" s="133">
        <v>0.17928451714943572</v>
      </c>
      <c r="P17" s="133">
        <v>0.24290081188029561</v>
      </c>
      <c r="Q17" s="133">
        <v>0.34022687280257391</v>
      </c>
      <c r="R17" s="133">
        <v>0.43095864395917816</v>
      </c>
      <c r="S17" s="133">
        <v>0.50685646117717342</v>
      </c>
      <c r="T17" s="133">
        <v>0.56338885182071352</v>
      </c>
      <c r="U17" s="133">
        <v>0.62566431996369443</v>
      </c>
      <c r="V17" s="133">
        <v>0.62142940517825762</v>
      </c>
      <c r="W17" s="133">
        <v>0.62704884756802237</v>
      </c>
      <c r="DA17" s="157" t="s">
        <v>314</v>
      </c>
    </row>
    <row r="18" spans="1:105" ht="12" customHeight="1" x14ac:dyDescent="0.25">
      <c r="A18" s="132" t="s">
        <v>72</v>
      </c>
      <c r="B18" s="133">
        <v>11.019617153707971</v>
      </c>
      <c r="C18" s="133">
        <v>12.420966389394295</v>
      </c>
      <c r="D18" s="133">
        <v>14.307759394912999</v>
      </c>
      <c r="E18" s="133">
        <v>15.68598567997261</v>
      </c>
      <c r="F18" s="133">
        <v>17.399625729531643</v>
      </c>
      <c r="G18" s="133">
        <v>19.558078896937459</v>
      </c>
      <c r="H18" s="133">
        <v>22.535958677414335</v>
      </c>
      <c r="I18" s="133">
        <v>25.20176879782337</v>
      </c>
      <c r="J18" s="133">
        <v>26.709072345457429</v>
      </c>
      <c r="K18" s="133">
        <v>27.592504376235173</v>
      </c>
      <c r="L18" s="133">
        <v>28.832045437213214</v>
      </c>
      <c r="M18" s="133">
        <v>29.502225146139594</v>
      </c>
      <c r="N18" s="133">
        <v>30.727137529498098</v>
      </c>
      <c r="O18" s="133">
        <v>31.448396570995694</v>
      </c>
      <c r="P18" s="133">
        <v>33.55202207519433</v>
      </c>
      <c r="Q18" s="133">
        <v>33.73892204362653</v>
      </c>
      <c r="R18" s="133">
        <v>35.708295312664731</v>
      </c>
      <c r="S18" s="133">
        <v>37.112750926264923</v>
      </c>
      <c r="T18" s="133">
        <v>39.107505402205383</v>
      </c>
      <c r="U18" s="133">
        <v>41.772528932153541</v>
      </c>
      <c r="V18" s="133">
        <v>40.789752208294558</v>
      </c>
      <c r="W18" s="133">
        <v>42.140855838763173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76.908955350121175</v>
      </c>
      <c r="C19" s="131">
        <f t="shared" si="6"/>
        <v>79.480560083444857</v>
      </c>
      <c r="D19" s="131">
        <f t="shared" si="6"/>
        <v>80.807848649529973</v>
      </c>
      <c r="E19" s="131">
        <f t="shared" si="6"/>
        <v>81.592637647958341</v>
      </c>
      <c r="F19" s="131">
        <f t="shared" si="6"/>
        <v>82.952144443724364</v>
      </c>
      <c r="G19" s="131">
        <f t="shared" si="6"/>
        <v>86.374645657394396</v>
      </c>
      <c r="H19" s="131">
        <f t="shared" si="6"/>
        <v>87.81461799592492</v>
      </c>
      <c r="I19" s="131">
        <f t="shared" si="6"/>
        <v>91.274552637154727</v>
      </c>
      <c r="J19" s="131">
        <f t="shared" si="6"/>
        <v>92.969880977300846</v>
      </c>
      <c r="K19" s="131">
        <f t="shared" si="6"/>
        <v>95.705692556235661</v>
      </c>
      <c r="L19" s="131">
        <f t="shared" si="6"/>
        <v>97.862498276409056</v>
      </c>
      <c r="M19" s="131">
        <f t="shared" si="6"/>
        <v>99.069040903044311</v>
      </c>
      <c r="N19" s="131">
        <f t="shared" si="6"/>
        <v>99.208393524769335</v>
      </c>
      <c r="O19" s="131">
        <f t="shared" si="6"/>
        <v>99.179645312651473</v>
      </c>
      <c r="P19" s="131">
        <f t="shared" si="6"/>
        <v>100.10184208413038</v>
      </c>
      <c r="Q19" s="131">
        <f t="shared" si="6"/>
        <v>102.58493300361991</v>
      </c>
      <c r="R19" s="131">
        <f t="shared" ref="R19:W19" si="7">SUM(R20:R27)</f>
        <v>104.57522344374685</v>
      </c>
      <c r="S19" s="131">
        <f t="shared" si="7"/>
        <v>107.21005122610595</v>
      </c>
      <c r="T19" s="131">
        <f t="shared" si="7"/>
        <v>109.60578192324022</v>
      </c>
      <c r="U19" s="131">
        <f t="shared" si="7"/>
        <v>111.89459242325617</v>
      </c>
      <c r="V19" s="131">
        <f t="shared" si="7"/>
        <v>109.89681891119173</v>
      </c>
      <c r="W19" s="131">
        <f t="shared" si="7"/>
        <v>113.24058794692061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18.765687736044828</v>
      </c>
      <c r="C22" s="133">
        <v>18.823862207011494</v>
      </c>
      <c r="D22" s="133">
        <v>18.407840970466147</v>
      </c>
      <c r="E22" s="133">
        <v>17.227288770569825</v>
      </c>
      <c r="F22" s="133">
        <v>16.889949542780993</v>
      </c>
      <c r="G22" s="133">
        <v>15.878232425048912</v>
      </c>
      <c r="H22" s="133">
        <v>14.940136473736612</v>
      </c>
      <c r="I22" s="133">
        <v>14.47434381137151</v>
      </c>
      <c r="J22" s="133">
        <v>14.513778301615933</v>
      </c>
      <c r="K22" s="133">
        <v>14.238366977037067</v>
      </c>
      <c r="L22" s="133">
        <v>14.546249691372838</v>
      </c>
      <c r="M22" s="133">
        <v>14.612220868779856</v>
      </c>
      <c r="N22" s="133">
        <v>14.774217508653978</v>
      </c>
      <c r="O22" s="133">
        <v>14.606749831825654</v>
      </c>
      <c r="P22" s="133">
        <v>14.732534232286623</v>
      </c>
      <c r="Q22" s="133">
        <v>14.30283796953807</v>
      </c>
      <c r="R22" s="133">
        <v>13.973535017340236</v>
      </c>
      <c r="S22" s="133">
        <v>14.337105107888799</v>
      </c>
      <c r="T22" s="133">
        <v>13.486658741101705</v>
      </c>
      <c r="U22" s="133">
        <v>13.144553494979368</v>
      </c>
      <c r="V22" s="133">
        <v>11.3442454894495</v>
      </c>
      <c r="W22" s="133">
        <v>12.014488918222808</v>
      </c>
      <c r="DA22" s="157" t="s">
        <v>319</v>
      </c>
    </row>
    <row r="23" spans="1:105" ht="12" customHeight="1" x14ac:dyDescent="0.25">
      <c r="A23" s="132" t="s">
        <v>153</v>
      </c>
      <c r="B23" s="133">
        <v>15.286820922588197</v>
      </c>
      <c r="C23" s="133">
        <v>16.007317261180869</v>
      </c>
      <c r="D23" s="133">
        <v>16.346434092395981</v>
      </c>
      <c r="E23" s="133">
        <v>16.620904518721439</v>
      </c>
      <c r="F23" s="133">
        <v>17.357556916203826</v>
      </c>
      <c r="G23" s="133">
        <v>17.783917132254722</v>
      </c>
      <c r="H23" s="133">
        <v>18.064772193948727</v>
      </c>
      <c r="I23" s="133">
        <v>18.809428262093832</v>
      </c>
      <c r="J23" s="133">
        <v>18.945847994934258</v>
      </c>
      <c r="K23" s="133">
        <v>19.890839735430557</v>
      </c>
      <c r="L23" s="133">
        <v>20.706334911087225</v>
      </c>
      <c r="M23" s="133">
        <v>21.819430056505848</v>
      </c>
      <c r="N23" s="133">
        <v>22.481162471950849</v>
      </c>
      <c r="O23" s="133">
        <v>23.736388135271053</v>
      </c>
      <c r="P23" s="133">
        <v>25.097420327462391</v>
      </c>
      <c r="Q23" s="133">
        <v>25.407955157415184</v>
      </c>
      <c r="R23" s="133">
        <v>26.337964727784968</v>
      </c>
      <c r="S23" s="133">
        <v>27.600905087287551</v>
      </c>
      <c r="T23" s="133">
        <v>26.036762444499608</v>
      </c>
      <c r="U23" s="133">
        <v>25.848476392515281</v>
      </c>
      <c r="V23" s="133">
        <v>23.092923858266502</v>
      </c>
      <c r="W23" s="133">
        <v>24.436028053243493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42.856446691488159</v>
      </c>
      <c r="C26" s="65">
        <v>44.649380615252504</v>
      </c>
      <c r="D26" s="65">
        <v>46.053573586667838</v>
      </c>
      <c r="E26" s="65">
        <v>47.744444358667081</v>
      </c>
      <c r="F26" s="65">
        <v>48.704637984739556</v>
      </c>
      <c r="G26" s="65">
        <v>52.71249610009076</v>
      </c>
      <c r="H26" s="65">
        <v>54.776777256012579</v>
      </c>
      <c r="I26" s="65">
        <v>57.953119342709158</v>
      </c>
      <c r="J26" s="65">
        <v>59.415585721163374</v>
      </c>
      <c r="K26" s="65">
        <v>61.475625998540181</v>
      </c>
      <c r="L26" s="65">
        <v>62.456603269821741</v>
      </c>
      <c r="M26" s="65">
        <v>62.472901585669177</v>
      </c>
      <c r="N26" s="65">
        <v>61.786805461619366</v>
      </c>
      <c r="O26" s="65">
        <v>60.670299263009625</v>
      </c>
      <c r="P26" s="65">
        <v>60.10567944183623</v>
      </c>
      <c r="Q26" s="65">
        <v>62.707931794121514</v>
      </c>
      <c r="R26" s="65">
        <v>64.097515616076507</v>
      </c>
      <c r="S26" s="65">
        <v>65.10583294838446</v>
      </c>
      <c r="T26" s="65">
        <v>69.915808717002605</v>
      </c>
      <c r="U26" s="65">
        <v>72.735010515125225</v>
      </c>
      <c r="V26" s="65">
        <v>75.293097542839433</v>
      </c>
      <c r="W26" s="65">
        <v>76.623518954818024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3.2932072226999135E-2</v>
      </c>
      <c r="I27" s="146">
        <v>3.7661220980223557E-2</v>
      </c>
      <c r="J27" s="146">
        <v>9.4668959587274296E-2</v>
      </c>
      <c r="K27" s="146">
        <v>0.100859845227859</v>
      </c>
      <c r="L27" s="146">
        <v>0.1533104041272571</v>
      </c>
      <c r="M27" s="146">
        <v>0.16448839208942387</v>
      </c>
      <c r="N27" s="146">
        <v>0.16620808254514188</v>
      </c>
      <c r="O27" s="146">
        <v>0.16620808254514188</v>
      </c>
      <c r="P27" s="146">
        <v>0.16620808254514186</v>
      </c>
      <c r="Q27" s="146">
        <v>0.16620808254514199</v>
      </c>
      <c r="R27" s="146">
        <v>0.16620808254514197</v>
      </c>
      <c r="S27" s="146">
        <v>0.16620808254514191</v>
      </c>
      <c r="T27" s="146">
        <v>0.16655202063628566</v>
      </c>
      <c r="U27" s="146">
        <v>0.16655202063628557</v>
      </c>
      <c r="V27" s="146">
        <v>0.16655202063628555</v>
      </c>
      <c r="W27" s="146">
        <v>0.16655202063628549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81.532896200703135</v>
      </c>
      <c r="C29" s="131">
        <f t="shared" si="8"/>
        <v>83.328385769998334</v>
      </c>
      <c r="D29" s="131">
        <f t="shared" si="8"/>
        <v>84.685102189973264</v>
      </c>
      <c r="E29" s="131">
        <f t="shared" si="8"/>
        <v>86.230879091462683</v>
      </c>
      <c r="F29" s="131">
        <f t="shared" si="8"/>
        <v>87.755756768364307</v>
      </c>
      <c r="G29" s="131">
        <f t="shared" si="8"/>
        <v>90.261394659869467</v>
      </c>
      <c r="H29" s="131">
        <f t="shared" si="8"/>
        <v>92.268460099752872</v>
      </c>
      <c r="I29" s="131">
        <f t="shared" si="8"/>
        <v>96.132187457352273</v>
      </c>
      <c r="J29" s="131">
        <f t="shared" si="8"/>
        <v>99.235047347611925</v>
      </c>
      <c r="K29" s="131">
        <f t="shared" si="8"/>
        <v>93.901576081742235</v>
      </c>
      <c r="L29" s="131">
        <f t="shared" si="8"/>
        <v>95.489039209202616</v>
      </c>
      <c r="M29" s="131">
        <f t="shared" si="8"/>
        <v>101.7004582634796</v>
      </c>
      <c r="N29" s="131">
        <f t="shared" si="8"/>
        <v>104.32576594225341</v>
      </c>
      <c r="O29" s="131">
        <f t="shared" si="8"/>
        <v>105.64052184085281</v>
      </c>
      <c r="P29" s="131">
        <f t="shared" si="8"/>
        <v>106.53905053532088</v>
      </c>
      <c r="Q29" s="131">
        <f t="shared" si="8"/>
        <v>107.95285331435791</v>
      </c>
      <c r="R29" s="131">
        <f t="shared" ref="R29:W29" si="9">SUM(R30:R33)</f>
        <v>111.15763867338286</v>
      </c>
      <c r="S29" s="131">
        <f t="shared" si="9"/>
        <v>114.56713856434867</v>
      </c>
      <c r="T29" s="131">
        <f t="shared" si="9"/>
        <v>117.10947806632444</v>
      </c>
      <c r="U29" s="131">
        <f t="shared" si="9"/>
        <v>120.20164716185869</v>
      </c>
      <c r="V29" s="131">
        <f t="shared" si="9"/>
        <v>114.74275255708291</v>
      </c>
      <c r="W29" s="131">
        <f t="shared" si="9"/>
        <v>125.84477073763607</v>
      </c>
      <c r="DA29" s="156" t="s">
        <v>325</v>
      </c>
    </row>
    <row r="30" spans="1:105" ht="12" customHeight="1" x14ac:dyDescent="0.25">
      <c r="A30" s="132" t="s">
        <v>52</v>
      </c>
      <c r="B30" s="133">
        <v>23.456099165838744</v>
      </c>
      <c r="C30" s="133">
        <v>26.331301694549374</v>
      </c>
      <c r="D30" s="133">
        <v>27.12641562698396</v>
      </c>
      <c r="E30" s="133">
        <v>28.87928899855579</v>
      </c>
      <c r="F30" s="133">
        <v>31.59534268075075</v>
      </c>
      <c r="G30" s="133">
        <v>37.801544547024896</v>
      </c>
      <c r="H30" s="133">
        <v>39.565233722792485</v>
      </c>
      <c r="I30" s="133">
        <v>41.938271109550413</v>
      </c>
      <c r="J30" s="133">
        <v>47.855831660037005</v>
      </c>
      <c r="K30" s="133">
        <v>34.574356086624697</v>
      </c>
      <c r="L30" s="133">
        <v>44.6416068696115</v>
      </c>
      <c r="M30" s="133">
        <v>44.330999832356234</v>
      </c>
      <c r="N30" s="133">
        <v>41.729114670255001</v>
      </c>
      <c r="O30" s="133">
        <v>48.74901334884013</v>
      </c>
      <c r="P30" s="133">
        <v>38.311397839618024</v>
      </c>
      <c r="Q30" s="133">
        <v>41.269555049737711</v>
      </c>
      <c r="R30" s="133">
        <v>35.060544858030433</v>
      </c>
      <c r="S30" s="133">
        <v>36.3795370935146</v>
      </c>
      <c r="T30" s="133">
        <v>39.900775903736061</v>
      </c>
      <c r="U30" s="133">
        <v>39.858540811095132</v>
      </c>
      <c r="V30" s="133">
        <v>32.206282087117003</v>
      </c>
      <c r="W30" s="133">
        <v>36.578134902876826</v>
      </c>
      <c r="DA30" s="157" t="s">
        <v>326</v>
      </c>
    </row>
    <row r="31" spans="1:105" ht="12" customHeight="1" x14ac:dyDescent="0.25">
      <c r="A31" s="132" t="s">
        <v>153</v>
      </c>
      <c r="B31" s="133">
        <v>13.979237633404422</v>
      </c>
      <c r="C31" s="133">
        <v>13.653835891747443</v>
      </c>
      <c r="D31" s="133">
        <v>13.155591263747564</v>
      </c>
      <c r="E31" s="133">
        <v>12.824006650655141</v>
      </c>
      <c r="F31" s="133">
        <v>12.98036166800193</v>
      </c>
      <c r="G31" s="133">
        <v>13.030361398909866</v>
      </c>
      <c r="H31" s="133">
        <v>13.213606712986438</v>
      </c>
      <c r="I31" s="133">
        <v>13.103434874419474</v>
      </c>
      <c r="J31" s="133">
        <v>13.215544195991592</v>
      </c>
      <c r="K31" s="133">
        <v>13.88339555599191</v>
      </c>
      <c r="L31" s="133">
        <v>14.125624423669162</v>
      </c>
      <c r="M31" s="133">
        <v>14.521003296395955</v>
      </c>
      <c r="N31" s="133">
        <v>14.886246967195859</v>
      </c>
      <c r="O31" s="133">
        <v>14.90987369128587</v>
      </c>
      <c r="P31" s="133">
        <v>14.909210203897938</v>
      </c>
      <c r="Q31" s="133">
        <v>15.458101219021048</v>
      </c>
      <c r="R31" s="133">
        <v>15.610443027618436</v>
      </c>
      <c r="S31" s="133">
        <v>15.489609686789212</v>
      </c>
      <c r="T31" s="133">
        <v>15.884582923482311</v>
      </c>
      <c r="U31" s="133">
        <v>15.924367210753193</v>
      </c>
      <c r="V31" s="133">
        <v>14.599665138510513</v>
      </c>
      <c r="W31" s="133">
        <v>15.883081536297835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44.097559401459961</v>
      </c>
      <c r="C33" s="68">
        <v>43.343248183701519</v>
      </c>
      <c r="D33" s="68">
        <v>44.403095299241741</v>
      </c>
      <c r="E33" s="68">
        <v>44.527583442251753</v>
      </c>
      <c r="F33" s="68">
        <v>43.180052419611627</v>
      </c>
      <c r="G33" s="68">
        <v>39.429488713934695</v>
      </c>
      <c r="H33" s="68">
        <v>39.489619663973947</v>
      </c>
      <c r="I33" s="68">
        <v>41.09048147338239</v>
      </c>
      <c r="J33" s="68">
        <v>38.163671491583322</v>
      </c>
      <c r="K33" s="68">
        <v>45.443824439125628</v>
      </c>
      <c r="L33" s="68">
        <v>36.721807915921964</v>
      </c>
      <c r="M33" s="68">
        <v>42.848455134727416</v>
      </c>
      <c r="N33" s="68">
        <v>47.710404304802559</v>
      </c>
      <c r="O33" s="68">
        <v>41.981634800726816</v>
      </c>
      <c r="P33" s="68">
        <v>53.318442491804916</v>
      </c>
      <c r="Q33" s="68">
        <v>51.225197045599153</v>
      </c>
      <c r="R33" s="68">
        <v>60.486650787733993</v>
      </c>
      <c r="S33" s="68">
        <v>62.697991784044859</v>
      </c>
      <c r="T33" s="68">
        <v>61.324119239106075</v>
      </c>
      <c r="U33" s="68">
        <v>64.418739140010359</v>
      </c>
      <c r="V33" s="68">
        <v>67.936805331455389</v>
      </c>
      <c r="W33" s="68">
        <v>73.383554298461405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0.57548319092179878</v>
      </c>
      <c r="C3" s="127">
        <f>IF(SER_hh_tes!C3=0,"",SER_hh_tes!C3/SER_hh_fec!C3)</f>
        <v>0.58663507729689235</v>
      </c>
      <c r="D3" s="127">
        <f>IF(SER_hh_tes!D3=0,"",SER_hh_tes!D3/SER_hh_fec!D3)</f>
        <v>0.60098805011602874</v>
      </c>
      <c r="E3" s="127">
        <f>IF(SER_hh_tes!E3=0,"",SER_hh_tes!E3/SER_hh_fec!E3)</f>
        <v>0.61361571582812935</v>
      </c>
      <c r="F3" s="127">
        <f>IF(SER_hh_tes!F3=0,"",SER_hh_tes!F3/SER_hh_fec!F3)</f>
        <v>0.62346218684099353</v>
      </c>
      <c r="G3" s="127">
        <f>IF(SER_hh_tes!G3=0,"",SER_hh_tes!G3/SER_hh_fec!G3)</f>
        <v>0.63588173068299991</v>
      </c>
      <c r="H3" s="127">
        <f>IF(SER_hh_tes!H3=0,"",SER_hh_tes!H3/SER_hh_fec!H3)</f>
        <v>0.65123619942299094</v>
      </c>
      <c r="I3" s="127">
        <f>IF(SER_hh_tes!I3=0,"",SER_hh_tes!I3/SER_hh_fec!I3)</f>
        <v>0.66377757839482321</v>
      </c>
      <c r="J3" s="127">
        <f>IF(SER_hh_tes!J3=0,"",SER_hh_tes!J3/SER_hh_fec!J3)</f>
        <v>0.67265734409186573</v>
      </c>
      <c r="K3" s="127">
        <f>IF(SER_hh_tes!K3=0,"",SER_hh_tes!K3/SER_hh_fec!K3)</f>
        <v>0.68892171914561229</v>
      </c>
      <c r="L3" s="127">
        <f>IF(SER_hh_tes!L3=0,"",SER_hh_tes!L3/SER_hh_fec!L3)</f>
        <v>0.69360056276291759</v>
      </c>
      <c r="M3" s="127">
        <f>IF(SER_hh_tes!M3=0,"",SER_hh_tes!M3/SER_hh_fec!M3)</f>
        <v>0.70631272187320537</v>
      </c>
      <c r="N3" s="127">
        <f>IF(SER_hh_tes!N3=0,"",SER_hh_tes!N3/SER_hh_fec!N3)</f>
        <v>0.7168920162550283</v>
      </c>
      <c r="O3" s="127">
        <f>IF(SER_hh_tes!O3=0,"",SER_hh_tes!O3/SER_hh_fec!O3)</f>
        <v>0.72283950766885863</v>
      </c>
      <c r="P3" s="127">
        <f>IF(SER_hh_tes!P3=0,"",SER_hh_tes!P3/SER_hh_fec!P3)</f>
        <v>0.73109662661945252</v>
      </c>
      <c r="Q3" s="127">
        <f>IF(SER_hh_tes!Q3=0,"",SER_hh_tes!Q3/SER_hh_fec!Q3)</f>
        <v>0.73879805458843062</v>
      </c>
      <c r="R3" s="127">
        <f>IF(SER_hh_tes!R3=0,"",SER_hh_tes!R3/SER_hh_fec!R3)</f>
        <v>0.75007858707361985</v>
      </c>
      <c r="S3" s="127">
        <f>IF(SER_hh_tes!S3=0,"",SER_hh_tes!S3/SER_hh_fec!S3)</f>
        <v>0.76400943368561192</v>
      </c>
      <c r="T3" s="127">
        <f>IF(SER_hh_tes!T3=0,"",SER_hh_tes!T3/SER_hh_fec!T3)</f>
        <v>0.77404512503498191</v>
      </c>
      <c r="U3" s="127">
        <f>IF(SER_hh_tes!U3=0,"",SER_hh_tes!U3/SER_hh_fec!U3)</f>
        <v>0.79047246947707128</v>
      </c>
      <c r="V3" s="127">
        <f>IF(SER_hh_tes!V3=0,"",SER_hh_tes!V3/SER_hh_fec!V3)</f>
        <v>0.80282469017631175</v>
      </c>
      <c r="W3" s="127">
        <f>IF(SER_hh_tes!W3=0,"",SER_hh_tes!W3/SER_hh_fec!W3)</f>
        <v>0.81759948347178546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0.54176527201513913</v>
      </c>
      <c r="C4" s="136">
        <f>IF(SER_hh_tes!C4=0,"",SER_hh_tes!C4/SER_hh_fec!C4)</f>
        <v>0.55506698601260118</v>
      </c>
      <c r="D4" s="136">
        <f>IF(SER_hh_tes!D4=0,"",SER_hh_tes!D4/SER_hh_fec!D4)</f>
        <v>0.57172180364864766</v>
      </c>
      <c r="E4" s="136">
        <f>IF(SER_hh_tes!E4=0,"",SER_hh_tes!E4/SER_hh_fec!E4)</f>
        <v>0.58842494277519941</v>
      </c>
      <c r="F4" s="136">
        <f>IF(SER_hh_tes!F4=0,"",SER_hh_tes!F4/SER_hh_fec!F4)</f>
        <v>0.59846919563988221</v>
      </c>
      <c r="G4" s="136">
        <f>IF(SER_hh_tes!G4=0,"",SER_hh_tes!G4/SER_hh_fec!G4)</f>
        <v>0.61483240280402329</v>
      </c>
      <c r="H4" s="136">
        <f>IF(SER_hh_tes!H4=0,"",SER_hh_tes!H4/SER_hh_fec!H4)</f>
        <v>0.63274271596173326</v>
      </c>
      <c r="I4" s="136">
        <f>IF(SER_hh_tes!I4=0,"",SER_hh_tes!I4/SER_hh_fec!I4)</f>
        <v>0.6455721605166701</v>
      </c>
      <c r="J4" s="136">
        <f>IF(SER_hh_tes!J4=0,"",SER_hh_tes!J4/SER_hh_fec!J4)</f>
        <v>0.65714198442706007</v>
      </c>
      <c r="K4" s="136">
        <f>IF(SER_hh_tes!K4=0,"",SER_hh_tes!K4/SER_hh_fec!K4)</f>
        <v>0.67177151055896589</v>
      </c>
      <c r="L4" s="136">
        <f>IF(SER_hh_tes!L4=0,"",SER_hh_tes!L4/SER_hh_fec!L4)</f>
        <v>0.67902392683307078</v>
      </c>
      <c r="M4" s="136">
        <f>IF(SER_hh_tes!M4=0,"",SER_hh_tes!M4/SER_hh_fec!M4)</f>
        <v>0.69321569487217627</v>
      </c>
      <c r="N4" s="136">
        <f>IF(SER_hh_tes!N4=0,"",SER_hh_tes!N4/SER_hh_fec!N4)</f>
        <v>0.70364899590109597</v>
      </c>
      <c r="O4" s="136">
        <f>IF(SER_hh_tes!O4=0,"",SER_hh_tes!O4/SER_hh_fec!O4)</f>
        <v>0.71153798718442962</v>
      </c>
      <c r="P4" s="136">
        <f>IF(SER_hh_tes!P4=0,"",SER_hh_tes!P4/SER_hh_fec!P4)</f>
        <v>0.71389562565889741</v>
      </c>
      <c r="Q4" s="136">
        <f>IF(SER_hh_tes!Q4=0,"",SER_hh_tes!Q4/SER_hh_fec!Q4)</f>
        <v>0.72523186348542146</v>
      </c>
      <c r="R4" s="136">
        <f>IF(SER_hh_tes!R4=0,"",SER_hh_tes!R4/SER_hh_fec!R4)</f>
        <v>0.73332347384480834</v>
      </c>
      <c r="S4" s="136">
        <f>IF(SER_hh_tes!S4=0,"",SER_hh_tes!S4/SER_hh_fec!S4)</f>
        <v>0.74777957882277402</v>
      </c>
      <c r="T4" s="136">
        <f>IF(SER_hh_tes!T4=0,"",SER_hh_tes!T4/SER_hh_fec!T4)</f>
        <v>0.75930931919816369</v>
      </c>
      <c r="U4" s="136">
        <f>IF(SER_hh_tes!U4=0,"",SER_hh_tes!U4/SER_hh_fec!U4)</f>
        <v>0.77558073998923682</v>
      </c>
      <c r="V4" s="136">
        <f>IF(SER_hh_tes!V4=0,"",SER_hh_tes!V4/SER_hh_fec!V4)</f>
        <v>0.78374455987964231</v>
      </c>
      <c r="W4" s="136">
        <f>IF(SER_hh_tes!W4=0,"",SER_hh_tes!W4/SER_hh_fec!W4)</f>
        <v>0.7991595246026334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0.54371127621625348</v>
      </c>
      <c r="C5" s="137">
        <f>IF(SER_hh_tes!C5=0,"",SER_hh_tes!C5/SER_hh_fec!C5)</f>
        <v>0.54794583562688293</v>
      </c>
      <c r="D5" s="137">
        <f>IF(SER_hh_tes!D5=0,"",SER_hh_tes!D5/SER_hh_fec!D5)</f>
        <v>0.57179257186388388</v>
      </c>
      <c r="E5" s="137">
        <f>IF(SER_hh_tes!E5=0,"",SER_hh_tes!E5/SER_hh_fec!E5)</f>
        <v>0.59519670122412971</v>
      </c>
      <c r="F5" s="137">
        <f>IF(SER_hh_tes!F5=0,"",SER_hh_tes!F5/SER_hh_fec!F5)</f>
        <v>0.60146572790741648</v>
      </c>
      <c r="G5" s="137">
        <f>IF(SER_hh_tes!G5=0,"",SER_hh_tes!G5/SER_hh_fec!G5)</f>
        <v>0.60466178505590673</v>
      </c>
      <c r="H5" s="137">
        <f>IF(SER_hh_tes!H5=0,"",SER_hh_tes!H5/SER_hh_fec!H5)</f>
        <v>0.60711821126101062</v>
      </c>
      <c r="I5" s="137">
        <f>IF(SER_hh_tes!I5=0,"",SER_hh_tes!I5/SER_hh_fec!I5)</f>
        <v>0.60916701121367767</v>
      </c>
      <c r="J5" s="137">
        <f>IF(SER_hh_tes!J5=0,"",SER_hh_tes!J5/SER_hh_fec!J5)</f>
        <v>0.61125771609254231</v>
      </c>
      <c r="K5" s="137">
        <f>IF(SER_hh_tes!K5=0,"",SER_hh_tes!K5/SER_hh_fec!K5)</f>
        <v>0.61215018512887875</v>
      </c>
      <c r="L5" s="137">
        <f>IF(SER_hh_tes!L5=0,"",SER_hh_tes!L5/SER_hh_fec!L5)</f>
        <v>0.61215018512887864</v>
      </c>
      <c r="M5" s="137">
        <f>IF(SER_hh_tes!M5=0,"",SER_hh_tes!M5/SER_hh_fec!M5)</f>
        <v>0.61215018512887853</v>
      </c>
      <c r="N5" s="137">
        <f>IF(SER_hh_tes!N5=0,"",SER_hh_tes!N5/SER_hh_fec!N5)</f>
        <v>0.61215018512887831</v>
      </c>
      <c r="O5" s="137">
        <f>IF(SER_hh_tes!O5=0,"",SER_hh_tes!O5/SER_hh_fec!O5)</f>
        <v>0.62544628632482679</v>
      </c>
      <c r="P5" s="137">
        <f>IF(SER_hh_tes!P5=0,"",SER_hh_tes!P5/SER_hh_fec!P5)</f>
        <v>0.62544628632482646</v>
      </c>
      <c r="Q5" s="137">
        <f>IF(SER_hh_tes!Q5=0,"",SER_hh_tes!Q5/SER_hh_fec!Q5)</f>
        <v>0.62544628632482635</v>
      </c>
      <c r="R5" s="137">
        <f>IF(SER_hh_tes!R5=0,"",SER_hh_tes!R5/SER_hh_fec!R5)</f>
        <v>0.63131639962829267</v>
      </c>
      <c r="S5" s="137">
        <f>IF(SER_hh_tes!S5=0,"",SER_hh_tes!S5/SER_hh_fec!S5)</f>
        <v>0.63392672455002874</v>
      </c>
      <c r="T5" s="137">
        <f>IF(SER_hh_tes!T5=0,"",SER_hh_tes!T5/SER_hh_fec!T5)</f>
        <v>0.64019950388025193</v>
      </c>
      <c r="U5" s="137">
        <f>IF(SER_hh_tes!U5=0,"",SER_hh_tes!U5/SER_hh_fec!U5)</f>
        <v>0.65816233587896644</v>
      </c>
      <c r="V5" s="137">
        <f>IF(SER_hh_tes!V5=0,"",SER_hh_tes!V5/SER_hh_fec!V5)</f>
        <v>0.66647054905015501</v>
      </c>
      <c r="W5" s="137">
        <f>IF(SER_hh_tes!W5=0,"",SER_hh_tes!W5/SER_hh_fec!W5)</f>
        <v>0.67007380901611435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0.47060601192808399</v>
      </c>
      <c r="C7" s="137">
        <f>IF(SER_hh_tes!C7=0,"",SER_hh_tes!C7/SER_hh_fec!C7)</f>
        <v>0.47397642924364702</v>
      </c>
      <c r="D7" s="137">
        <f>IF(SER_hh_tes!D7=0,"",SER_hh_tes!D7/SER_hh_fec!D7)</f>
        <v>0.474270219573527</v>
      </c>
      <c r="E7" s="137">
        <f>IF(SER_hh_tes!E7=0,"",SER_hh_tes!E7/SER_hh_fec!E7)</f>
        <v>0.47456400989826236</v>
      </c>
      <c r="F7" s="137">
        <f>IF(SER_hh_tes!F7=0,"",SER_hh_tes!F7/SER_hh_fec!F7)</f>
        <v>0.47483835053700924</v>
      </c>
      <c r="G7" s="137">
        <f>IF(SER_hh_tes!G7=0,"",SER_hh_tes!G7/SER_hh_fec!G7)</f>
        <v>0.47515050681759474</v>
      </c>
      <c r="H7" s="137">
        <f>IF(SER_hh_tes!H7=0,"",SER_hh_tes!H7/SER_hh_fec!H7)</f>
        <v>0.47557619478755836</v>
      </c>
      <c r="I7" s="137">
        <f>IF(SER_hh_tes!I7=0,"",SER_hh_tes!I7/SER_hh_fec!I7)</f>
        <v>0.47616085659886087</v>
      </c>
      <c r="J7" s="137">
        <f>IF(SER_hh_tes!J7=0,"",SER_hh_tes!J7/SER_hh_fec!J7)</f>
        <v>0.48313942471607513</v>
      </c>
      <c r="K7" s="137">
        <f>IF(SER_hh_tes!K7=0,"",SER_hh_tes!K7/SER_hh_fec!K7)</f>
        <v>0.4933900148586049</v>
      </c>
      <c r="L7" s="137">
        <f>IF(SER_hh_tes!L7=0,"",SER_hh_tes!L7/SER_hh_fec!L7)</f>
        <v>0.51005944337726827</v>
      </c>
      <c r="M7" s="137">
        <f>IF(SER_hh_tes!M7=0,"",SER_hh_tes!M7/SER_hh_fec!M7)</f>
        <v>0.53471736795190739</v>
      </c>
      <c r="N7" s="137">
        <f>IF(SER_hh_tes!N7=0,"",SER_hh_tes!N7/SER_hh_fec!N7)</f>
        <v>0.57039511086192551</v>
      </c>
      <c r="O7" s="137">
        <f>IF(SER_hh_tes!O7=0,"",SER_hh_tes!O7/SER_hh_fec!O7)</f>
        <v>0.60711326406997856</v>
      </c>
      <c r="P7" s="137">
        <f>IF(SER_hh_tes!P7=0,"",SER_hh_tes!P7/SER_hh_fec!P7)</f>
        <v>0.61336080652204517</v>
      </c>
      <c r="Q7" s="137">
        <f>IF(SER_hh_tes!Q7=0,"",SER_hh_tes!Q7/SER_hh_fec!Q7)</f>
        <v>0.61780025136919681</v>
      </c>
      <c r="R7" s="137">
        <f>IF(SER_hh_tes!R7=0,"",SER_hh_tes!R7/SER_hh_fec!R7)</f>
        <v>0.62034520509970525</v>
      </c>
      <c r="S7" s="137">
        <f>IF(SER_hh_tes!S7=0,"",SER_hh_tes!S7/SER_hh_fec!S7)</f>
        <v>0.62284519150171391</v>
      </c>
      <c r="T7" s="137">
        <f>IF(SER_hh_tes!T7=0,"",SER_hh_tes!T7/SER_hh_fec!T7)</f>
        <v>0.62339565391797058</v>
      </c>
      <c r="U7" s="137">
        <f>IF(SER_hh_tes!U7=0,"",SER_hh_tes!U7/SER_hh_fec!U7)</f>
        <v>0.62399122431312126</v>
      </c>
      <c r="V7" s="137">
        <f>IF(SER_hh_tes!V7=0,"",SER_hh_tes!V7/SER_hh_fec!V7)</f>
        <v>0.62526784011720504</v>
      </c>
      <c r="W7" s="137">
        <f>IF(SER_hh_tes!W7=0,"",SER_hh_tes!W7/SER_hh_fec!W7)</f>
        <v>0.62853666556152732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0.51729593841546584</v>
      </c>
      <c r="C9" s="137">
        <f>IF(SER_hh_tes!C9=0,"",SER_hh_tes!C9/SER_hh_fec!C9)</f>
        <v>0.52152993220816868</v>
      </c>
      <c r="D9" s="137">
        <f>IF(SER_hh_tes!D9=0,"",SER_hh_tes!D9/SER_hh_fec!D9)</f>
        <v>0.52664478078333066</v>
      </c>
      <c r="E9" s="137">
        <f>IF(SER_hh_tes!E9=0,"",SER_hh_tes!E9/SER_hh_fec!E9)</f>
        <v>0.53312786109980603</v>
      </c>
      <c r="F9" s="137">
        <f>IF(SER_hh_tes!F9=0,"",SER_hh_tes!F9/SER_hh_fec!F9)</f>
        <v>0.54318933515924051</v>
      </c>
      <c r="G9" s="137">
        <f>IF(SER_hh_tes!G9=0,"",SER_hh_tes!G9/SER_hh_fec!G9)</f>
        <v>0.55369219573553508</v>
      </c>
      <c r="H9" s="137">
        <f>IF(SER_hh_tes!H9=0,"",SER_hh_tes!H9/SER_hh_fec!H9)</f>
        <v>0.5663504628223992</v>
      </c>
      <c r="I9" s="137">
        <f>IF(SER_hh_tes!I9=0,"",SER_hh_tes!I9/SER_hh_fec!I9)</f>
        <v>0.57945951679609209</v>
      </c>
      <c r="J9" s="137">
        <f>IF(SER_hh_tes!J9=0,"",SER_hh_tes!J9/SER_hh_fec!J9)</f>
        <v>0.59315407653291263</v>
      </c>
      <c r="K9" s="137">
        <f>IF(SER_hh_tes!K9=0,"",SER_hh_tes!K9/SER_hh_fec!K9)</f>
        <v>0.60877623919919599</v>
      </c>
      <c r="L9" s="137">
        <f>IF(SER_hh_tes!L9=0,"",SER_hh_tes!L9/SER_hh_fec!L9)</f>
        <v>0.62637098389627766</v>
      </c>
      <c r="M9" s="137">
        <f>IF(SER_hh_tes!M9=0,"",SER_hh_tes!M9/SER_hh_fec!M9)</f>
        <v>0.64386502828183645</v>
      </c>
      <c r="N9" s="137">
        <f>IF(SER_hh_tes!N9=0,"",SER_hh_tes!N9/SER_hh_fec!N9)</f>
        <v>0.66242031586600358</v>
      </c>
      <c r="O9" s="137">
        <f>IF(SER_hh_tes!O9=0,"",SER_hh_tes!O9/SER_hh_fec!O9)</f>
        <v>0.67746577940215857</v>
      </c>
      <c r="P9" s="137">
        <f>IF(SER_hh_tes!P9=0,"",SER_hh_tes!P9/SER_hh_fec!P9)</f>
        <v>0.68154511527706085</v>
      </c>
      <c r="Q9" s="137">
        <f>IF(SER_hh_tes!Q9=0,"",SER_hh_tes!Q9/SER_hh_fec!Q9)</f>
        <v>0.68601748416147135</v>
      </c>
      <c r="R9" s="137">
        <f>IF(SER_hh_tes!R9=0,"",SER_hh_tes!R9/SER_hh_fec!R9)</f>
        <v>0.69349992612489408</v>
      </c>
      <c r="S9" s="137">
        <f>IF(SER_hh_tes!S9=0,"",SER_hh_tes!S9/SER_hh_fec!S9)</f>
        <v>0.7029046174074689</v>
      </c>
      <c r="T9" s="137">
        <f>IF(SER_hh_tes!T9=0,"",SER_hh_tes!T9/SER_hh_fec!T9)</f>
        <v>0.71335007237192471</v>
      </c>
      <c r="U9" s="137">
        <f>IF(SER_hh_tes!U9=0,"",SER_hh_tes!U9/SER_hh_fec!U9)</f>
        <v>0.7257062866833528</v>
      </c>
      <c r="V9" s="137">
        <f>IF(SER_hh_tes!V9=0,"",SER_hh_tes!V9/SER_hh_fec!V9)</f>
        <v>0.73694534206608742</v>
      </c>
      <c r="W9" s="137">
        <f>IF(SER_hh_tes!W9=0,"",SER_hh_tes!W9/SER_hh_fec!W9)</f>
        <v>0.74804859576944061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>
        <f>IF(SER_hh_tes!G10=0,"",SER_hh_tes!G10/SER_hh_fec!G10)</f>
        <v>0.46550429453324788</v>
      </c>
      <c r="H10" s="137">
        <f>IF(SER_hh_tes!H10=0,"",SER_hh_tes!H10/SER_hh_fec!H10)</f>
        <v>0.47148983754044871</v>
      </c>
      <c r="I10" s="137">
        <f>IF(SER_hh_tes!I10=0,"",SER_hh_tes!I10/SER_hh_fec!I10)</f>
        <v>0.47798826378857501</v>
      </c>
      <c r="J10" s="137">
        <f>IF(SER_hh_tes!J10=0,"",SER_hh_tes!J10/SER_hh_fec!J10)</f>
        <v>0.48321533741703315</v>
      </c>
      <c r="K10" s="137">
        <f>IF(SER_hh_tes!K10=0,"",SER_hh_tes!K10/SER_hh_fec!K10)</f>
        <v>0.48754218015262563</v>
      </c>
      <c r="L10" s="137">
        <f>IF(SER_hh_tes!L10=0,"",SER_hh_tes!L10/SER_hh_fec!L10)</f>
        <v>0.48989874162491748</v>
      </c>
      <c r="M10" s="137">
        <f>IF(SER_hh_tes!M10=0,"",SER_hh_tes!M10/SER_hh_fec!M10)</f>
        <v>0.49468757862867446</v>
      </c>
      <c r="N10" s="137">
        <f>IF(SER_hh_tes!N10=0,"",SER_hh_tes!N10/SER_hh_fec!N10)</f>
        <v>0.50044812231923619</v>
      </c>
      <c r="O10" s="137">
        <f>IF(SER_hh_tes!O10=0,"",SER_hh_tes!O10/SER_hh_fec!O10)</f>
        <v>0.50350053726159794</v>
      </c>
      <c r="P10" s="137">
        <f>IF(SER_hh_tes!P10=0,"",SER_hh_tes!P10/SER_hh_fec!P10)</f>
        <v>0.50510456946018312</v>
      </c>
      <c r="Q10" s="137">
        <f>IF(SER_hh_tes!Q10=0,"",SER_hh_tes!Q10/SER_hh_fec!Q10)</f>
        <v>0.50625771771915773</v>
      </c>
      <c r="R10" s="137">
        <f>IF(SER_hh_tes!R10=0,"",SER_hh_tes!R10/SER_hh_fec!R10)</f>
        <v>0.50755692864347945</v>
      </c>
      <c r="S10" s="137">
        <f>IF(SER_hh_tes!S10=0,"",SER_hh_tes!S10/SER_hh_fec!S10)</f>
        <v>0.50830169984977425</v>
      </c>
      <c r="T10" s="137">
        <f>IF(SER_hh_tes!T10=0,"",SER_hh_tes!T10/SER_hh_fec!T10)</f>
        <v>0.50887547367199271</v>
      </c>
      <c r="U10" s="137">
        <f>IF(SER_hh_tes!U10=0,"",SER_hh_tes!U10/SER_hh_fec!U10)</f>
        <v>0.50943899730904008</v>
      </c>
      <c r="V10" s="137">
        <f>IF(SER_hh_tes!V10=0,"",SER_hh_tes!V10/SER_hh_fec!V10)</f>
        <v>0.51136990137366278</v>
      </c>
      <c r="W10" s="137">
        <f>IF(SER_hh_tes!W10=0,"",SER_hh_tes!W10/SER_hh_fec!W10)</f>
        <v>0.51949950990993787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1.3985931847532784</v>
      </c>
      <c r="C13" s="137">
        <f>IF(SER_hh_tes!C13=0,"",SER_hh_tes!C13/SER_hh_fec!C13)</f>
        <v>1.5064580734078423</v>
      </c>
      <c r="D13" s="137">
        <f>IF(SER_hh_tes!D13=0,"",SER_hh_tes!D13/SER_hh_fec!D13)</f>
        <v>1.6634108999321298</v>
      </c>
      <c r="E13" s="137">
        <f>IF(SER_hh_tes!E13=0,"",SER_hh_tes!E13/SER_hh_fec!E13)</f>
        <v>1.7520933072135627</v>
      </c>
      <c r="F13" s="137">
        <f>IF(SER_hh_tes!F13=0,"",SER_hh_tes!F13/SER_hh_fec!F13)</f>
        <v>1.8431344330421358</v>
      </c>
      <c r="G13" s="137">
        <f>IF(SER_hh_tes!G13=0,"",SER_hh_tes!G13/SER_hh_fec!G13)</f>
        <v>1.9428338395696125</v>
      </c>
      <c r="H13" s="137">
        <f>IF(SER_hh_tes!H13=0,"",SER_hh_tes!H13/SER_hh_fec!H13)</f>
        <v>2.0343644079132486</v>
      </c>
      <c r="I13" s="137">
        <f>IF(SER_hh_tes!I13=0,"",SER_hh_tes!I13/SER_hh_fec!I13)</f>
        <v>2.1180344594116813</v>
      </c>
      <c r="J13" s="137">
        <f>IF(SER_hh_tes!J13=0,"",SER_hh_tes!J13/SER_hh_fec!J13)</f>
        <v>2.1890769876756386</v>
      </c>
      <c r="K13" s="137">
        <f>IF(SER_hh_tes!K13=0,"",SER_hh_tes!K13/SER_hh_fec!K13)</f>
        <v>2.2468221093134959</v>
      </c>
      <c r="L13" s="137">
        <f>IF(SER_hh_tes!L13=0,"",SER_hh_tes!L13/SER_hh_fec!L13)</f>
        <v>2.2912947214446455</v>
      </c>
      <c r="M13" s="137">
        <f>IF(SER_hh_tes!M13=0,"",SER_hh_tes!M13/SER_hh_fec!M13)</f>
        <v>2.3427178072395813</v>
      </c>
      <c r="N13" s="137">
        <f>IF(SER_hh_tes!N13=0,"",SER_hh_tes!N13/SER_hh_fec!N13)</f>
        <v>2.403323204816977</v>
      </c>
      <c r="O13" s="137">
        <f>IF(SER_hh_tes!O13=0,"",SER_hh_tes!O13/SER_hh_fec!O13)</f>
        <v>2.4788442326810221</v>
      </c>
      <c r="P13" s="137">
        <f>IF(SER_hh_tes!P13=0,"",SER_hh_tes!P13/SER_hh_fec!P13)</f>
        <v>2.5846633498427476</v>
      </c>
      <c r="Q13" s="137">
        <f>IF(SER_hh_tes!Q13=0,"",SER_hh_tes!Q13/SER_hh_fec!Q13)</f>
        <v>2.7059702741331346</v>
      </c>
      <c r="R13" s="137">
        <f>IF(SER_hh_tes!R13=0,"",SER_hh_tes!R13/SER_hh_fec!R13)</f>
        <v>2.8299624262152099</v>
      </c>
      <c r="S13" s="137">
        <f>IF(SER_hh_tes!S13=0,"",SER_hh_tes!S13/SER_hh_fec!S13)</f>
        <v>2.9512900057901845</v>
      </c>
      <c r="T13" s="137">
        <f>IF(SER_hh_tes!T13=0,"",SER_hh_tes!T13/SER_hh_fec!T13)</f>
        <v>3.0506060511650865</v>
      </c>
      <c r="U13" s="137">
        <f>IF(SER_hh_tes!U13=0,"",SER_hh_tes!U13/SER_hh_fec!U13)</f>
        <v>3.181715114739176</v>
      </c>
      <c r="V13" s="137">
        <f>IF(SER_hh_tes!V13=0,"",SER_hh_tes!V13/SER_hh_fec!V13)</f>
        <v>3.324932519038807</v>
      </c>
      <c r="W13" s="137">
        <f>IF(SER_hh_tes!W13=0,"",SER_hh_tes!W13/SER_hh_fec!W13)</f>
        <v>3.4481741560675161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0.71472759215900927</v>
      </c>
      <c r="C14" s="138">
        <f>IF(SER_hh_tes!C14=0,"",SER_hh_tes!C14/SER_hh_fec!C14)</f>
        <v>0.72181906482209934</v>
      </c>
      <c r="D14" s="138">
        <f>IF(SER_hh_tes!D14=0,"",SER_hh_tes!D14/SER_hh_fec!D14)</f>
        <v>0.72931408913808404</v>
      </c>
      <c r="E14" s="138">
        <f>IF(SER_hh_tes!E14=0,"",SER_hh_tes!E14/SER_hh_fec!E14)</f>
        <v>0.7347703951173129</v>
      </c>
      <c r="F14" s="138">
        <f>IF(SER_hh_tes!F14=0,"",SER_hh_tes!F14/SER_hh_fec!F14)</f>
        <v>0.73943703254273485</v>
      </c>
      <c r="G14" s="138">
        <f>IF(SER_hh_tes!G14=0,"",SER_hh_tes!G14/SER_hh_fec!G14)</f>
        <v>0.74416851592230882</v>
      </c>
      <c r="H14" s="138">
        <f>IF(SER_hh_tes!H14=0,"",SER_hh_tes!H14/SER_hh_fec!H14)</f>
        <v>0.74820630528418031</v>
      </c>
      <c r="I14" s="138">
        <f>IF(SER_hh_tes!I14=0,"",SER_hh_tes!I14/SER_hh_fec!I14)</f>
        <v>0.7527244022949855</v>
      </c>
      <c r="J14" s="138">
        <f>IF(SER_hh_tes!J14=0,"",SER_hh_tes!J14/SER_hh_fec!J14)</f>
        <v>0.75577396941525121</v>
      </c>
      <c r="K14" s="138">
        <f>IF(SER_hh_tes!K14=0,"",SER_hh_tes!K14/SER_hh_fec!K14)</f>
        <v>0.75749337283897555</v>
      </c>
      <c r="L14" s="138">
        <f>IF(SER_hh_tes!L14=0,"",SER_hh_tes!L14/SER_hh_fec!L14)</f>
        <v>0.75949842728386618</v>
      </c>
      <c r="M14" s="138">
        <f>IF(SER_hh_tes!M14=0,"",SER_hh_tes!M14/SER_hh_fec!M14)</f>
        <v>0.76264766300298548</v>
      </c>
      <c r="N14" s="138">
        <f>IF(SER_hh_tes!N14=0,"",SER_hh_tes!N14/SER_hh_fec!N14)</f>
        <v>0.76528374475920791</v>
      </c>
      <c r="O14" s="138">
        <f>IF(SER_hh_tes!O14=0,"",SER_hh_tes!O14/SER_hh_fec!O14)</f>
        <v>0.769199572765213</v>
      </c>
      <c r="P14" s="138">
        <f>IF(SER_hh_tes!P14=0,"",SER_hh_tes!P14/SER_hh_fec!P14)</f>
        <v>0.77220743885275644</v>
      </c>
      <c r="Q14" s="138">
        <f>IF(SER_hh_tes!Q14=0,"",SER_hh_tes!Q14/SER_hh_fec!Q14)</f>
        <v>0.77739603833773119</v>
      </c>
      <c r="R14" s="138">
        <f>IF(SER_hh_tes!R14=0,"",SER_hh_tes!R14/SER_hh_fec!R14)</f>
        <v>0.78666113475658506</v>
      </c>
      <c r="S14" s="138">
        <f>IF(SER_hh_tes!S14=0,"",SER_hh_tes!S14/SER_hh_fec!S14)</f>
        <v>0.79846165235277022</v>
      </c>
      <c r="T14" s="138">
        <f>IF(SER_hh_tes!T14=0,"",SER_hh_tes!T14/SER_hh_fec!T14)</f>
        <v>0.81151910270640903</v>
      </c>
      <c r="U14" s="138">
        <f>IF(SER_hh_tes!U14=0,"",SER_hh_tes!U14/SER_hh_fec!U14)</f>
        <v>0.82250909019843255</v>
      </c>
      <c r="V14" s="138">
        <f>IF(SER_hh_tes!V14=0,"",SER_hh_tes!V14/SER_hh_fec!V14)</f>
        <v>0.83339621574927003</v>
      </c>
      <c r="W14" s="138">
        <f>IF(SER_hh_tes!W14=0,"",SER_hh_tes!W14/SER_hh_fec!W14)</f>
        <v>0.84383653052123997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2.2929046336947891</v>
      </c>
      <c r="C16" s="136">
        <f>IF(SER_hh_tes!C16=0,"",SER_hh_tes!C16/SER_hh_fec!C16)</f>
        <v>2.4288876110588147</v>
      </c>
      <c r="D16" s="136">
        <f>IF(SER_hh_tes!D16=0,"",SER_hh_tes!D16/SER_hh_fec!D16)</f>
        <v>2.5715003002186698</v>
      </c>
      <c r="E16" s="136">
        <f>IF(SER_hh_tes!E16=0,"",SER_hh_tes!E16/SER_hh_fec!E16)</f>
        <v>2.7040033071111629</v>
      </c>
      <c r="F16" s="136">
        <f>IF(SER_hh_tes!F16=0,"",SER_hh_tes!F16/SER_hh_fec!F16)</f>
        <v>2.8501959537986958</v>
      </c>
      <c r="G16" s="136">
        <f>IF(SER_hh_tes!G16=0,"",SER_hh_tes!G16/SER_hh_fec!G16)</f>
        <v>3.014535807001681</v>
      </c>
      <c r="H16" s="136">
        <f>IF(SER_hh_tes!H16=0,"",SER_hh_tes!H16/SER_hh_fec!H16)</f>
        <v>3.1810652917296198</v>
      </c>
      <c r="I16" s="136">
        <f>IF(SER_hh_tes!I16=0,"",SER_hh_tes!I16/SER_hh_fec!I16)</f>
        <v>3.3440027834976203</v>
      </c>
      <c r="J16" s="136">
        <f>IF(SER_hh_tes!J16=0,"",SER_hh_tes!J16/SER_hh_fec!J16)</f>
        <v>3.5184523292622019</v>
      </c>
      <c r="K16" s="136">
        <f>IF(SER_hh_tes!K16=0,"",SER_hh_tes!K16/SER_hh_fec!K16)</f>
        <v>3.5773210789170871</v>
      </c>
      <c r="L16" s="136">
        <f>IF(SER_hh_tes!L16=0,"",SER_hh_tes!L16/SER_hh_fec!L16)</f>
        <v>3.6633913404659593</v>
      </c>
      <c r="M16" s="136">
        <f>IF(SER_hh_tes!M16=0,"",SER_hh_tes!M16/SER_hh_fec!M16)</f>
        <v>3.7853565833247647</v>
      </c>
      <c r="N16" s="136">
        <f>IF(SER_hh_tes!N16=0,"",SER_hh_tes!N16/SER_hh_fec!N16)</f>
        <v>3.9146978159500909</v>
      </c>
      <c r="O16" s="136">
        <f>IF(SER_hh_tes!O16=0,"",SER_hh_tes!O16/SER_hh_fec!O16)</f>
        <v>4.0597242076821178</v>
      </c>
      <c r="P16" s="136">
        <f>IF(SER_hh_tes!P16=0,"",SER_hh_tes!P16/SER_hh_fec!P16)</f>
        <v>4.2263851770948513</v>
      </c>
      <c r="Q16" s="136">
        <f>IF(SER_hh_tes!Q16=0,"",SER_hh_tes!Q16/SER_hh_fec!Q16)</f>
        <v>4.3782217573370819</v>
      </c>
      <c r="R16" s="136">
        <f>IF(SER_hh_tes!R16=0,"",SER_hh_tes!R16/SER_hh_fec!R16)</f>
        <v>4.5517576181298027</v>
      </c>
      <c r="S16" s="136">
        <f>IF(SER_hh_tes!S16=0,"",SER_hh_tes!S16/SER_hh_fec!S16)</f>
        <v>4.709178950311089</v>
      </c>
      <c r="T16" s="136">
        <f>IF(SER_hh_tes!T16=0,"",SER_hh_tes!T16/SER_hh_fec!T16)</f>
        <v>4.8603402647578866</v>
      </c>
      <c r="U16" s="136">
        <f>IF(SER_hh_tes!U16=0,"",SER_hh_tes!U16/SER_hh_fec!U16)</f>
        <v>4.9939035372080793</v>
      </c>
      <c r="V16" s="136">
        <f>IF(SER_hh_tes!V16=0,"",SER_hh_tes!V16/SER_hh_fec!V16)</f>
        <v>5.0953638073387149</v>
      </c>
      <c r="W16" s="136">
        <f>IF(SER_hh_tes!W16=0,"",SER_hh_tes!W16/SER_hh_fec!W16)</f>
        <v>5.2352998572813236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1.408567364481375</v>
      </c>
      <c r="C17" s="137">
        <f>IF(SER_hh_tes!C17=0,"",SER_hh_tes!C17/SER_hh_fec!C17)</f>
        <v>1.4225065159735735</v>
      </c>
      <c r="D17" s="137">
        <f>IF(SER_hh_tes!D17=0,"",SER_hh_tes!D17/SER_hh_fec!D17)</f>
        <v>1.4364635748773591</v>
      </c>
      <c r="E17" s="137">
        <f>IF(SER_hh_tes!E17=0,"",SER_hh_tes!E17/SER_hh_fec!E17)</f>
        <v>1.443641173558921</v>
      </c>
      <c r="F17" s="137">
        <f>IF(SER_hh_tes!F17=0,"",SER_hh_tes!F17/SER_hh_fec!F17)</f>
        <v>1.4594279278770315</v>
      </c>
      <c r="G17" s="137">
        <f>IF(SER_hh_tes!G17=0,"",SER_hh_tes!G17/SER_hh_fec!G17)</f>
        <v>1.4712511912385466</v>
      </c>
      <c r="H17" s="137">
        <f>IF(SER_hh_tes!H17=0,"",SER_hh_tes!H17/SER_hh_fec!H17)</f>
        <v>1.4835130171126183</v>
      </c>
      <c r="I17" s="137">
        <f>IF(SER_hh_tes!I17=0,"",SER_hh_tes!I17/SER_hh_fec!I17)</f>
        <v>1.491173975178649</v>
      </c>
      <c r="J17" s="137">
        <f>IF(SER_hh_tes!J17=0,"",SER_hh_tes!J17/SER_hh_fec!J17)</f>
        <v>1.4980738850366866</v>
      </c>
      <c r="K17" s="137">
        <f>IF(SER_hh_tes!K17=0,"",SER_hh_tes!K17/SER_hh_fec!K17)</f>
        <v>1.5021700019745401</v>
      </c>
      <c r="L17" s="137">
        <f>IF(SER_hh_tes!L17=0,"",SER_hh_tes!L17/SER_hh_fec!L17)</f>
        <v>1.5064732157791312</v>
      </c>
      <c r="M17" s="137">
        <f>IF(SER_hh_tes!M17=0,"",SER_hh_tes!M17/SER_hh_fec!M17)</f>
        <v>1.5131157869497049</v>
      </c>
      <c r="N17" s="137">
        <f>IF(SER_hh_tes!N17=0,"",SER_hh_tes!N17/SER_hh_fec!N17)</f>
        <v>1.5232293126116232</v>
      </c>
      <c r="O17" s="137">
        <f>IF(SER_hh_tes!O17=0,"",SER_hh_tes!O17/SER_hh_fec!O17)</f>
        <v>1.5419308714431144</v>
      </c>
      <c r="P17" s="137">
        <f>IF(SER_hh_tes!P17=0,"",SER_hh_tes!P17/SER_hh_fec!P17)</f>
        <v>1.5702750083981012</v>
      </c>
      <c r="Q17" s="137">
        <f>IF(SER_hh_tes!Q17=0,"",SER_hh_tes!Q17/SER_hh_fec!Q17)</f>
        <v>1.6066986995753227</v>
      </c>
      <c r="R17" s="137">
        <f>IF(SER_hh_tes!R17=0,"",SER_hh_tes!R17/SER_hh_fec!R17)</f>
        <v>1.6333886444517003</v>
      </c>
      <c r="S17" s="137">
        <f>IF(SER_hh_tes!S17=0,"",SER_hh_tes!S17/SER_hh_fec!S17)</f>
        <v>1.6562190104058849</v>
      </c>
      <c r="T17" s="137">
        <f>IF(SER_hh_tes!T17=0,"",SER_hh_tes!T17/SER_hh_fec!T17)</f>
        <v>1.6766268230658006</v>
      </c>
      <c r="U17" s="137">
        <f>IF(SER_hh_tes!U17=0,"",SER_hh_tes!U17/SER_hh_fec!U17)</f>
        <v>1.7012367939573376</v>
      </c>
      <c r="V17" s="137">
        <f>IF(SER_hh_tes!V17=0,"",SER_hh_tes!V17/SER_hh_fec!V17)</f>
        <v>1.7264802513255859</v>
      </c>
      <c r="W17" s="137">
        <f>IF(SER_hh_tes!W17=0,"",SER_hh_tes!W17/SER_hh_fec!W17)</f>
        <v>1.757997603553163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2.2971524288852807</v>
      </c>
      <c r="C18" s="137">
        <f>IF(SER_hh_tes!C18=0,"",SER_hh_tes!C18/SER_hh_fec!C18)</f>
        <v>2.434049590408486</v>
      </c>
      <c r="D18" s="137">
        <f>IF(SER_hh_tes!D18=0,"",SER_hh_tes!D18/SER_hh_fec!D18)</f>
        <v>2.5777957535157712</v>
      </c>
      <c r="E18" s="137">
        <f>IF(SER_hh_tes!E18=0,"",SER_hh_tes!E18/SER_hh_fec!E18)</f>
        <v>2.7106970572835469</v>
      </c>
      <c r="F18" s="137">
        <f>IF(SER_hh_tes!F18=0,"",SER_hh_tes!F18/SER_hh_fec!F18)</f>
        <v>2.8588583905425824</v>
      </c>
      <c r="G18" s="137">
        <f>IF(SER_hh_tes!G18=0,"",SER_hh_tes!G18/SER_hh_fec!G18)</f>
        <v>3.0249904872045597</v>
      </c>
      <c r="H18" s="137">
        <f>IF(SER_hh_tes!H18=0,"",SER_hh_tes!H18/SER_hh_fec!H18)</f>
        <v>3.1946193781598571</v>
      </c>
      <c r="I18" s="137">
        <f>IF(SER_hh_tes!I18=0,"",SER_hh_tes!I18/SER_hh_fec!I18)</f>
        <v>3.3591827275118358</v>
      </c>
      <c r="J18" s="137">
        <f>IF(SER_hh_tes!J18=0,"",SER_hh_tes!J18/SER_hh_fec!J18)</f>
        <v>3.5353955359908578</v>
      </c>
      <c r="K18" s="137">
        <f>IF(SER_hh_tes!K18=0,"",SER_hh_tes!K18/SER_hh_fec!K18)</f>
        <v>3.5963802715301489</v>
      </c>
      <c r="L18" s="137">
        <f>IF(SER_hh_tes!L18=0,"",SER_hh_tes!L18/SER_hh_fec!L18)</f>
        <v>3.6843785053517539</v>
      </c>
      <c r="M18" s="137">
        <f>IF(SER_hh_tes!M18=0,"",SER_hh_tes!M18/SER_hh_fec!M18)</f>
        <v>3.8095447790419654</v>
      </c>
      <c r="N18" s="137">
        <f>IF(SER_hh_tes!N18=0,"",SER_hh_tes!N18/SER_hh_fec!N18)</f>
        <v>3.9437366524928046</v>
      </c>
      <c r="O18" s="137">
        <f>IF(SER_hh_tes!O18=0,"",SER_hh_tes!O18/SER_hh_fec!O18)</f>
        <v>4.0978709745083366</v>
      </c>
      <c r="P18" s="137">
        <f>IF(SER_hh_tes!P18=0,"",SER_hh_tes!P18/SER_hh_fec!P18)</f>
        <v>4.2787814917872264</v>
      </c>
      <c r="Q18" s="137">
        <f>IF(SER_hh_tes!Q18=0,"",SER_hh_tes!Q18/SER_hh_fec!Q18)</f>
        <v>4.4557286270024861</v>
      </c>
      <c r="R18" s="137">
        <f>IF(SER_hh_tes!R18=0,"",SER_hh_tes!R18/SER_hh_fec!R18)</f>
        <v>4.6520720878210122</v>
      </c>
      <c r="S18" s="137">
        <f>IF(SER_hh_tes!S18=0,"",SER_hh_tes!S18/SER_hh_fec!S18)</f>
        <v>4.8307929592943486</v>
      </c>
      <c r="T18" s="137">
        <f>IF(SER_hh_tes!T18=0,"",SER_hh_tes!T18/SER_hh_fec!T18)</f>
        <v>4.9970370385351544</v>
      </c>
      <c r="U18" s="137">
        <f>IF(SER_hh_tes!U18=0,"",SER_hh_tes!U18/SER_hh_fec!U18)</f>
        <v>5.1429939241825871</v>
      </c>
      <c r="V18" s="137">
        <f>IF(SER_hh_tes!V18=0,"",SER_hh_tes!V18/SER_hh_fec!V18)</f>
        <v>5.2514795858960381</v>
      </c>
      <c r="W18" s="137">
        <f>IF(SER_hh_tes!W18=0,"",SER_hh_tes!W18/SER_hh_fec!W18)</f>
        <v>5.3940586735281473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0.6029190700352095</v>
      </c>
      <c r="C19" s="136">
        <f>IF(SER_hh_tes!C19=0,"",SER_hh_tes!C19/SER_hh_fec!C19)</f>
        <v>0.6065400796186976</v>
      </c>
      <c r="D19" s="136">
        <f>IF(SER_hh_tes!D19=0,"",SER_hh_tes!D19/SER_hh_fec!D19)</f>
        <v>0.61089474992585202</v>
      </c>
      <c r="E19" s="136">
        <f>IF(SER_hh_tes!E19=0,"",SER_hh_tes!E19/SER_hh_fec!E19)</f>
        <v>0.61642403959240955</v>
      </c>
      <c r="F19" s="136">
        <f>IF(SER_hh_tes!F19=0,"",SER_hh_tes!F19/SER_hh_fec!F19)</f>
        <v>0.62041078029570662</v>
      </c>
      <c r="G19" s="136">
        <f>IF(SER_hh_tes!G19=0,"",SER_hh_tes!G19/SER_hh_fec!G19)</f>
        <v>0.62765339418313382</v>
      </c>
      <c r="H19" s="136">
        <f>IF(SER_hh_tes!H19=0,"",SER_hh_tes!H19/SER_hh_fec!H19)</f>
        <v>0.6338737653151213</v>
      </c>
      <c r="I19" s="136">
        <f>IF(SER_hh_tes!I19=0,"",SER_hh_tes!I19/SER_hh_fec!I19)</f>
        <v>0.64027601344634755</v>
      </c>
      <c r="J19" s="136">
        <f>IF(SER_hh_tes!J19=0,"",SER_hh_tes!J19/SER_hh_fec!J19)</f>
        <v>0.64513450823449925</v>
      </c>
      <c r="K19" s="136">
        <f>IF(SER_hh_tes!K19=0,"",SER_hh_tes!K19/SER_hh_fec!K19)</f>
        <v>0.64976486404381684</v>
      </c>
      <c r="L19" s="136">
        <f>IF(SER_hh_tes!L19=0,"",SER_hh_tes!L19/SER_hh_fec!L19)</f>
        <v>0.6543108550000083</v>
      </c>
      <c r="M19" s="136">
        <f>IF(SER_hh_tes!M19=0,"",SER_hh_tes!M19/SER_hh_fec!M19)</f>
        <v>0.66019513192902701</v>
      </c>
      <c r="N19" s="136">
        <f>IF(SER_hh_tes!N19=0,"",SER_hh_tes!N19/SER_hh_fec!N19)</f>
        <v>0.66750903819277219</v>
      </c>
      <c r="O19" s="136">
        <f>IF(SER_hh_tes!O19=0,"",SER_hh_tes!O19/SER_hh_fec!O19)</f>
        <v>0.67626688917978761</v>
      </c>
      <c r="P19" s="136">
        <f>IF(SER_hh_tes!P19=0,"",SER_hh_tes!P19/SER_hh_fec!P19)</f>
        <v>0.68092157683906607</v>
      </c>
      <c r="Q19" s="136">
        <f>IF(SER_hh_tes!Q19=0,"",SER_hh_tes!Q19/SER_hh_fec!Q19)</f>
        <v>0.68900405083742744</v>
      </c>
      <c r="R19" s="136">
        <f>IF(SER_hh_tes!R19=0,"",SER_hh_tes!R19/SER_hh_fec!R19)</f>
        <v>0.70056967885200716</v>
      </c>
      <c r="S19" s="136">
        <f>IF(SER_hh_tes!S19=0,"",SER_hh_tes!S19/SER_hh_fec!S19)</f>
        <v>0.71332993335093953</v>
      </c>
      <c r="T19" s="136">
        <f>IF(SER_hh_tes!T19=0,"",SER_hh_tes!T19/SER_hh_fec!T19)</f>
        <v>0.73009021733791735</v>
      </c>
      <c r="U19" s="136">
        <f>IF(SER_hh_tes!U19=0,"",SER_hh_tes!U19/SER_hh_fec!U19)</f>
        <v>0.74562076390798082</v>
      </c>
      <c r="V19" s="136">
        <f>IF(SER_hh_tes!V19=0,"",SER_hh_tes!V19/SER_hh_fec!V19)</f>
        <v>0.76410639779814515</v>
      </c>
      <c r="W19" s="136">
        <f>IF(SER_hh_tes!W19=0,"",SER_hh_tes!W19/SER_hh_fec!W19)</f>
        <v>0.77852191961526307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0.53103536003744922</v>
      </c>
      <c r="C22" s="137">
        <f>IF(SER_hh_tes!C22=0,"",SER_hh_tes!C22/SER_hh_fec!C22)</f>
        <v>0.53235623542493749</v>
      </c>
      <c r="D22" s="137">
        <f>IF(SER_hh_tes!D22=0,"",SER_hh_tes!D22/SER_hh_fec!D22)</f>
        <v>0.53350037322664023</v>
      </c>
      <c r="E22" s="137">
        <f>IF(SER_hh_tes!E22=0,"",SER_hh_tes!E22/SER_hh_fec!E22)</f>
        <v>0.53465489522689957</v>
      </c>
      <c r="F22" s="137">
        <f>IF(SER_hh_tes!F22=0,"",SER_hh_tes!F22/SER_hh_fec!F22)</f>
        <v>0.53601033979561019</v>
      </c>
      <c r="G22" s="137">
        <f>IF(SER_hh_tes!G22=0,"",SER_hh_tes!G22/SER_hh_fec!G22)</f>
        <v>0.5374074381846129</v>
      </c>
      <c r="H22" s="137">
        <f>IF(SER_hh_tes!H22=0,"",SER_hh_tes!H22/SER_hh_fec!H22)</f>
        <v>0.53934384976799443</v>
      </c>
      <c r="I22" s="137">
        <f>IF(SER_hh_tes!I22=0,"",SER_hh_tes!I22/SER_hh_fec!I22)</f>
        <v>0.54185587168991034</v>
      </c>
      <c r="J22" s="137">
        <f>IF(SER_hh_tes!J22=0,"",SER_hh_tes!J22/SER_hh_fec!J22)</f>
        <v>0.54506299863433794</v>
      </c>
      <c r="K22" s="137">
        <f>IF(SER_hh_tes!K22=0,"",SER_hh_tes!K22/SER_hh_fec!K22)</f>
        <v>0.54870594850493815</v>
      </c>
      <c r="L22" s="137">
        <f>IF(SER_hh_tes!L22=0,"",SER_hh_tes!L22/SER_hh_fec!L22)</f>
        <v>0.5536071670861803</v>
      </c>
      <c r="M22" s="137">
        <f>IF(SER_hh_tes!M22=0,"",SER_hh_tes!M22/SER_hh_fec!M22)</f>
        <v>0.56041784816457751</v>
      </c>
      <c r="N22" s="137">
        <f>IF(SER_hh_tes!N22=0,"",SER_hh_tes!N22/SER_hh_fec!N22)</f>
        <v>0.57043576203028434</v>
      </c>
      <c r="O22" s="137">
        <f>IF(SER_hh_tes!O22=0,"",SER_hh_tes!O22/SER_hh_fec!O22)</f>
        <v>0.58209178618019564</v>
      </c>
      <c r="P22" s="137">
        <f>IF(SER_hh_tes!P22=0,"",SER_hh_tes!P22/SER_hh_fec!P22)</f>
        <v>0.58597459918174155</v>
      </c>
      <c r="Q22" s="137">
        <f>IF(SER_hh_tes!Q22=0,"",SER_hh_tes!Q22/SER_hh_fec!Q22)</f>
        <v>0.59084319198959734</v>
      </c>
      <c r="R22" s="137">
        <f>IF(SER_hh_tes!R22=0,"",SER_hh_tes!R22/SER_hh_fec!R22)</f>
        <v>0.59844972137682872</v>
      </c>
      <c r="S22" s="137">
        <f>IF(SER_hh_tes!S22=0,"",SER_hh_tes!S22/SER_hh_fec!S22)</f>
        <v>0.60972638628916864</v>
      </c>
      <c r="T22" s="137">
        <f>IF(SER_hh_tes!T22=0,"",SER_hh_tes!T22/SER_hh_fec!T22)</f>
        <v>0.61844979468045191</v>
      </c>
      <c r="U22" s="137">
        <f>IF(SER_hh_tes!U22=0,"",SER_hh_tes!U22/SER_hh_fec!U22)</f>
        <v>0.6280265694571967</v>
      </c>
      <c r="V22" s="137">
        <f>IF(SER_hh_tes!V22=0,"",SER_hh_tes!V22/SER_hh_fec!V22)</f>
        <v>0.63667783213865681</v>
      </c>
      <c r="W22" s="137">
        <f>IF(SER_hh_tes!W22=0,"",SER_hh_tes!W22/SER_hh_fec!W22)</f>
        <v>0.65354562196326926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0.54251850941537394</v>
      </c>
      <c r="C23" s="137">
        <f>IF(SER_hh_tes!C23=0,"",SER_hh_tes!C23/SER_hh_fec!C23)</f>
        <v>0.5476997849059807</v>
      </c>
      <c r="D23" s="137">
        <f>IF(SER_hh_tes!D23=0,"",SER_hh_tes!D23/SER_hh_fec!D23)</f>
        <v>0.55365092814523442</v>
      </c>
      <c r="E23" s="137">
        <f>IF(SER_hh_tes!E23=0,"",SER_hh_tes!E23/SER_hh_fec!E23)</f>
        <v>0.55990646793724652</v>
      </c>
      <c r="F23" s="137">
        <f>IF(SER_hh_tes!F23=0,"",SER_hh_tes!F23/SER_hh_fec!F23)</f>
        <v>0.56657509883738588</v>
      </c>
      <c r="G23" s="137">
        <f>IF(SER_hh_tes!G23=0,"",SER_hh_tes!G23/SER_hh_fec!G23)</f>
        <v>0.57337935013598396</v>
      </c>
      <c r="H23" s="137">
        <f>IF(SER_hh_tes!H23=0,"",SER_hh_tes!H23/SER_hh_fec!H23)</f>
        <v>0.58055527442421129</v>
      </c>
      <c r="I23" s="137">
        <f>IF(SER_hh_tes!I23=0,"",SER_hh_tes!I23/SER_hh_fec!I23)</f>
        <v>0.58802943354580817</v>
      </c>
      <c r="J23" s="137">
        <f>IF(SER_hh_tes!J23=0,"",SER_hh_tes!J23/SER_hh_fec!J23)</f>
        <v>0.595324295848768</v>
      </c>
      <c r="K23" s="137">
        <f>IF(SER_hh_tes!K23=0,"",SER_hh_tes!K23/SER_hh_fec!K23)</f>
        <v>0.60310866910705818</v>
      </c>
      <c r="L23" s="137">
        <f>IF(SER_hh_tes!L23=0,"",SER_hh_tes!L23/SER_hh_fec!L23)</f>
        <v>0.61195072402659467</v>
      </c>
      <c r="M23" s="137">
        <f>IF(SER_hh_tes!M23=0,"",SER_hh_tes!M23/SER_hh_fec!M23)</f>
        <v>0.6229122457157662</v>
      </c>
      <c r="N23" s="137">
        <f>IF(SER_hh_tes!N23=0,"",SER_hh_tes!N23/SER_hh_fec!N23)</f>
        <v>0.63620599648624543</v>
      </c>
      <c r="O23" s="137">
        <f>IF(SER_hh_tes!O23=0,"",SER_hh_tes!O23/SER_hh_fec!O23)</f>
        <v>0.65050805216815222</v>
      </c>
      <c r="P23" s="137">
        <f>IF(SER_hh_tes!P23=0,"",SER_hh_tes!P23/SER_hh_fec!P23)</f>
        <v>0.65851073445247899</v>
      </c>
      <c r="Q23" s="137">
        <f>IF(SER_hh_tes!Q23=0,"",SER_hh_tes!Q23/SER_hh_fec!Q23)</f>
        <v>0.66784036514487044</v>
      </c>
      <c r="R23" s="137">
        <f>IF(SER_hh_tes!R23=0,"",SER_hh_tes!R23/SER_hh_fec!R23)</f>
        <v>0.67911645427341993</v>
      </c>
      <c r="S23" s="137">
        <f>IF(SER_hh_tes!S23=0,"",SER_hh_tes!S23/SER_hh_fec!S23)</f>
        <v>0.69203923525756394</v>
      </c>
      <c r="T23" s="137">
        <f>IF(SER_hh_tes!T23=0,"",SER_hh_tes!T23/SER_hh_fec!T23)</f>
        <v>0.7026801862736175</v>
      </c>
      <c r="U23" s="137">
        <f>IF(SER_hh_tes!U23=0,"",SER_hh_tes!U23/SER_hh_fec!U23)</f>
        <v>0.71374502464648937</v>
      </c>
      <c r="V23" s="137">
        <f>IF(SER_hh_tes!V23=0,"",SER_hh_tes!V23/SER_hh_fec!V23)</f>
        <v>0.72401762705114825</v>
      </c>
      <c r="W23" s="137">
        <f>IF(SER_hh_tes!W23=0,"",SER_hh_tes!W23/SER_hh_fec!W23)</f>
        <v>0.73796370257491928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0.66915564797288141</v>
      </c>
      <c r="C26" s="138">
        <f>IF(SER_hh_tes!C26=0,"",SER_hh_tes!C26/SER_hh_fec!C26)</f>
        <v>0.67189121589204193</v>
      </c>
      <c r="D26" s="138">
        <f>IF(SER_hh_tes!D26=0,"",SER_hh_tes!D26/SER_hh_fec!D26)</f>
        <v>0.67478593869315306</v>
      </c>
      <c r="E26" s="138">
        <f>IF(SER_hh_tes!E26=0,"",SER_hh_tes!E26/SER_hh_fec!E26)</f>
        <v>0.67762990283987512</v>
      </c>
      <c r="F26" s="138">
        <f>IF(SER_hh_tes!F26=0,"",SER_hh_tes!F26/SER_hh_fec!F26)</f>
        <v>0.68062430495758364</v>
      </c>
      <c r="G26" s="138">
        <f>IF(SER_hh_tes!G26=0,"",SER_hh_tes!G26/SER_hh_fec!G26)</f>
        <v>0.68410485322489523</v>
      </c>
      <c r="H26" s="138">
        <f>IF(SER_hh_tes!H26=0,"",SER_hh_tes!H26/SER_hh_fec!H26)</f>
        <v>0.68740291202130788</v>
      </c>
      <c r="I26" s="138">
        <f>IF(SER_hh_tes!I26=0,"",SER_hh_tes!I26/SER_hh_fec!I26)</f>
        <v>0.69141953558959091</v>
      </c>
      <c r="J26" s="138">
        <f>IF(SER_hh_tes!J26=0,"",SER_hh_tes!J26/SER_hh_fec!J26)</f>
        <v>0.69441147937983383</v>
      </c>
      <c r="K26" s="138">
        <f>IF(SER_hh_tes!K26=0,"",SER_hh_tes!K26/SER_hh_fec!K26)</f>
        <v>0.69650953286324591</v>
      </c>
      <c r="L26" s="138">
        <f>IF(SER_hh_tes!L26=0,"",SER_hh_tes!L26/SER_hh_fec!L26)</f>
        <v>0.69939859332335741</v>
      </c>
      <c r="M26" s="138">
        <f>IF(SER_hh_tes!M26=0,"",SER_hh_tes!M26/SER_hh_fec!M26)</f>
        <v>0.70357231058282921</v>
      </c>
      <c r="N26" s="138">
        <f>IF(SER_hh_tes!N26=0,"",SER_hh_tes!N26/SER_hh_fec!N26)</f>
        <v>0.70838221381777988</v>
      </c>
      <c r="O26" s="138">
        <f>IF(SER_hh_tes!O26=0,"",SER_hh_tes!O26/SER_hh_fec!O26)</f>
        <v>0.71453495081667895</v>
      </c>
      <c r="P26" s="138">
        <f>IF(SER_hh_tes!P26=0,"",SER_hh_tes!P26/SER_hh_fec!P26)</f>
        <v>0.71906361528903029</v>
      </c>
      <c r="Q26" s="138">
        <f>IF(SER_hh_tes!Q26=0,"",SER_hh_tes!Q26/SER_hh_fec!Q26)</f>
        <v>0.72519820437429494</v>
      </c>
      <c r="R26" s="138">
        <f>IF(SER_hh_tes!R26=0,"",SER_hh_tes!R26/SER_hh_fec!R26)</f>
        <v>0.73697974869658489</v>
      </c>
      <c r="S26" s="138">
        <f>IF(SER_hh_tes!S26=0,"",SER_hh_tes!S26/SER_hh_fec!S26)</f>
        <v>0.75065929700053147</v>
      </c>
      <c r="T26" s="138">
        <f>IF(SER_hh_tes!T26=0,"",SER_hh_tes!T26/SER_hh_fec!T26)</f>
        <v>0.76746982738199632</v>
      </c>
      <c r="U26" s="138">
        <f>IF(SER_hh_tes!U26=0,"",SER_hh_tes!U26/SER_hh_fec!U26)</f>
        <v>0.78414345623135118</v>
      </c>
      <c r="V26" s="138">
        <f>IF(SER_hh_tes!V26=0,"",SER_hh_tes!V26/SER_hh_fec!V26)</f>
        <v>0.80146769048834599</v>
      </c>
      <c r="W26" s="138">
        <f>IF(SER_hh_tes!W26=0,"",SER_hh_tes!W26/SER_hh_fec!W26)</f>
        <v>0.81694286608724564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0.67265660760786394</v>
      </c>
      <c r="C29" s="136">
        <f>IF(SER_hh_tes!C29=0,"",SER_hh_tes!C29/SER_hh_fec!C29)</f>
        <v>0.67006959009636602</v>
      </c>
      <c r="D29" s="136">
        <f>IF(SER_hh_tes!D29=0,"",SER_hh_tes!D29/SER_hh_fec!D29)</f>
        <v>0.67207488972810836</v>
      </c>
      <c r="E29" s="136">
        <f>IF(SER_hh_tes!E29=0,"",SER_hh_tes!E29/SER_hh_fec!E29)</f>
        <v>0.67185143697478034</v>
      </c>
      <c r="F29" s="136">
        <f>IF(SER_hh_tes!F29=0,"",SER_hh_tes!F29/SER_hh_fec!F29)</f>
        <v>0.6687228183103765</v>
      </c>
      <c r="G29" s="136">
        <f>IF(SER_hh_tes!G29=0,"",SER_hh_tes!G29/SER_hh_fec!G29)</f>
        <v>0.66024465765531903</v>
      </c>
      <c r="H29" s="136">
        <f>IF(SER_hh_tes!H29=0,"",SER_hh_tes!H29/SER_hh_fec!H29)</f>
        <v>0.66007166620177316</v>
      </c>
      <c r="I29" s="136">
        <f>IF(SER_hh_tes!I29=0,"",SER_hh_tes!I29/SER_hh_fec!I29)</f>
        <v>0.66156814239388795</v>
      </c>
      <c r="J29" s="136">
        <f>IF(SER_hh_tes!J29=0,"",SER_hh_tes!J29/SER_hh_fec!J29)</f>
        <v>0.65547492421778619</v>
      </c>
      <c r="K29" s="136">
        <f>IF(SER_hh_tes!K29=0,"",SER_hh_tes!K29/SER_hh_fec!K29)</f>
        <v>0.67506940315205566</v>
      </c>
      <c r="L29" s="136">
        <f>IF(SER_hh_tes!L29=0,"",SER_hh_tes!L29/SER_hh_fec!L29)</f>
        <v>0.65804854795156997</v>
      </c>
      <c r="M29" s="136">
        <f>IF(SER_hh_tes!M29=0,"",SER_hh_tes!M29/SER_hh_fec!M29)</f>
        <v>0.66513364829666854</v>
      </c>
      <c r="N29" s="136">
        <f>IF(SER_hh_tes!N29=0,"",SER_hh_tes!N29/SER_hh_fec!N29)</f>
        <v>0.67248192242301119</v>
      </c>
      <c r="O29" s="136">
        <f>IF(SER_hh_tes!O29=0,"",SER_hh_tes!O29/SER_hh_fec!O29)</f>
        <v>0.66238788822683747</v>
      </c>
      <c r="P29" s="136">
        <f>IF(SER_hh_tes!P29=0,"",SER_hh_tes!P29/SER_hh_fec!P29)</f>
        <v>0.68329691064870424</v>
      </c>
      <c r="Q29" s="136">
        <f>IF(SER_hh_tes!Q29=0,"",SER_hh_tes!Q29/SER_hh_fec!Q29)</f>
        <v>0.6795451589272451</v>
      </c>
      <c r="R29" s="136">
        <f>IF(SER_hh_tes!R29=0,"",SER_hh_tes!R29/SER_hh_fec!R29)</f>
        <v>0.69587215908262012</v>
      </c>
      <c r="S29" s="136">
        <f>IF(SER_hh_tes!S29=0,"",SER_hh_tes!S29/SER_hh_fec!S29)</f>
        <v>0.69903368528927079</v>
      </c>
      <c r="T29" s="136">
        <f>IF(SER_hh_tes!T29=0,"",SER_hh_tes!T29/SER_hh_fec!T29)</f>
        <v>0.69730141736568063</v>
      </c>
      <c r="U29" s="136">
        <f>IF(SER_hh_tes!U29=0,"",SER_hh_tes!U29/SER_hh_fec!U29)</f>
        <v>0.70379991303462774</v>
      </c>
      <c r="V29" s="136">
        <f>IF(SER_hh_tes!V29=0,"",SER_hh_tes!V29/SER_hh_fec!V29)</f>
        <v>0.72087694262154411</v>
      </c>
      <c r="W29" s="136">
        <f>IF(SER_hh_tes!W29=0,"",SER_hh_tes!W29/SER_hh_fec!W29)</f>
        <v>0.72274838363965777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0.5856345576494808</v>
      </c>
      <c r="C30" s="137">
        <f>IF(SER_hh_tes!C30=0,"",SER_hh_tes!C30/SER_hh_fec!C30)</f>
        <v>0.58664883546411373</v>
      </c>
      <c r="D30" s="137">
        <f>IF(SER_hh_tes!D30=0,"",SER_hh_tes!D30/SER_hh_fec!D30)</f>
        <v>0.58769874729757776</v>
      </c>
      <c r="E30" s="137">
        <f>IF(SER_hh_tes!E30=0,"",SER_hh_tes!E30/SER_hh_fec!E30)</f>
        <v>0.58883490632426505</v>
      </c>
      <c r="F30" s="137">
        <f>IF(SER_hh_tes!F30=0,"",SER_hh_tes!F30/SER_hh_fec!F30)</f>
        <v>0.58999063182228262</v>
      </c>
      <c r="G30" s="137">
        <f>IF(SER_hh_tes!G30=0,"",SER_hh_tes!G30/SER_hh_fec!G30)</f>
        <v>0.59115028336024833</v>
      </c>
      <c r="H30" s="137">
        <f>IF(SER_hh_tes!H30=0,"",SER_hh_tes!H30/SER_hh_fec!H30)</f>
        <v>0.59215595631778106</v>
      </c>
      <c r="I30" s="137">
        <f>IF(SER_hh_tes!I30=0,"",SER_hh_tes!I30/SER_hh_fec!I30)</f>
        <v>0.59311848942836076</v>
      </c>
      <c r="J30" s="137">
        <f>IF(SER_hh_tes!J30=0,"",SER_hh_tes!J30/SER_hh_fec!J30)</f>
        <v>0.59379168573507679</v>
      </c>
      <c r="K30" s="137">
        <f>IF(SER_hh_tes!K30=0,"",SER_hh_tes!K30/SER_hh_fec!K30)</f>
        <v>0.5944818000456028</v>
      </c>
      <c r="L30" s="137">
        <f>IF(SER_hh_tes!L30=0,"",SER_hh_tes!L30/SER_hh_fec!L30)</f>
        <v>0.5951375018410493</v>
      </c>
      <c r="M30" s="137">
        <f>IF(SER_hh_tes!M30=0,"",SER_hh_tes!M30/SER_hh_fec!M30)</f>
        <v>0.59545795346041297</v>
      </c>
      <c r="N30" s="137">
        <f>IF(SER_hh_tes!N30=0,"",SER_hh_tes!N30/SER_hh_fec!N30)</f>
        <v>0.59579795030785676</v>
      </c>
      <c r="O30" s="137">
        <f>IF(SER_hh_tes!O30=0,"",SER_hh_tes!O30/SER_hh_fec!O30)</f>
        <v>0.59629092386485716</v>
      </c>
      <c r="P30" s="137">
        <f>IF(SER_hh_tes!P30=0,"",SER_hh_tes!P30/SER_hh_fec!P30)</f>
        <v>0.59664286701825264</v>
      </c>
      <c r="Q30" s="137">
        <f>IF(SER_hh_tes!Q30=0,"",SER_hh_tes!Q30/SER_hh_fec!Q30)</f>
        <v>0.59705150098327842</v>
      </c>
      <c r="R30" s="137">
        <f>IF(SER_hh_tes!R30=0,"",SER_hh_tes!R30/SER_hh_fec!R30)</f>
        <v>0.59756453587387015</v>
      </c>
      <c r="S30" s="137">
        <f>IF(SER_hh_tes!S30=0,"",SER_hh_tes!S30/SER_hh_fec!S30)</f>
        <v>0.59862533022849462</v>
      </c>
      <c r="T30" s="137">
        <f>IF(SER_hh_tes!T30=0,"",SER_hh_tes!T30/SER_hh_fec!T30)</f>
        <v>0.60001011609878285</v>
      </c>
      <c r="U30" s="137">
        <f>IF(SER_hh_tes!U30=0,"",SER_hh_tes!U30/SER_hh_fec!U30)</f>
        <v>0.60142252314980593</v>
      </c>
      <c r="V30" s="137">
        <f>IF(SER_hh_tes!V30=0,"",SER_hh_tes!V30/SER_hh_fec!V30)</f>
        <v>0.60221015777696607</v>
      </c>
      <c r="W30" s="137">
        <f>IF(SER_hh_tes!W30=0,"",SER_hh_tes!W30/SER_hh_fec!W30)</f>
        <v>0.60375121369464124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0.58872327329690455</v>
      </c>
      <c r="C31" s="137">
        <f>IF(SER_hh_tes!C31=0,"",SER_hh_tes!C31/SER_hh_fec!C31)</f>
        <v>0.58932872758723376</v>
      </c>
      <c r="D31" s="137">
        <f>IF(SER_hh_tes!D31=0,"",SER_hh_tes!D31/SER_hh_fec!D31)</f>
        <v>0.58999546115503088</v>
      </c>
      <c r="E31" s="137">
        <f>IF(SER_hh_tes!E31=0,"",SER_hh_tes!E31/SER_hh_fec!E31)</f>
        <v>0.59081915612418134</v>
      </c>
      <c r="F31" s="137">
        <f>IF(SER_hh_tes!F31=0,"",SER_hh_tes!F31/SER_hh_fec!F31)</f>
        <v>0.59184856823717968</v>
      </c>
      <c r="G31" s="137">
        <f>IF(SER_hh_tes!G31=0,"",SER_hh_tes!G31/SER_hh_fec!G31)</f>
        <v>0.5930063285834164</v>
      </c>
      <c r="H31" s="137">
        <f>IF(SER_hh_tes!H31=0,"",SER_hh_tes!H31/SER_hh_fec!H31)</f>
        <v>0.59426770411393315</v>
      </c>
      <c r="I31" s="137">
        <f>IF(SER_hh_tes!I31=0,"",SER_hh_tes!I31/SER_hh_fec!I31)</f>
        <v>0.59562694145130757</v>
      </c>
      <c r="J31" s="137">
        <f>IF(SER_hh_tes!J31=0,"",SER_hh_tes!J31/SER_hh_fec!J31)</f>
        <v>0.5970928465353863</v>
      </c>
      <c r="K31" s="137">
        <f>IF(SER_hh_tes!K31=0,"",SER_hh_tes!K31/SER_hh_fec!K31)</f>
        <v>0.59870473830182769</v>
      </c>
      <c r="L31" s="137">
        <f>IF(SER_hh_tes!L31=0,"",SER_hh_tes!L31/SER_hh_fec!L31)</f>
        <v>0.59979547883296958</v>
      </c>
      <c r="M31" s="137">
        <f>IF(SER_hh_tes!M31=0,"",SER_hh_tes!M31/SER_hh_fec!M31)</f>
        <v>0.60008520664511966</v>
      </c>
      <c r="N31" s="137">
        <f>IF(SER_hh_tes!N31=0,"",SER_hh_tes!N31/SER_hh_fec!N31)</f>
        <v>0.60046992748123074</v>
      </c>
      <c r="O31" s="137">
        <f>IF(SER_hh_tes!O31=0,"",SER_hh_tes!O31/SER_hh_fec!O31)</f>
        <v>0.60098434706600867</v>
      </c>
      <c r="P31" s="137">
        <f>IF(SER_hh_tes!P31=0,"",SER_hh_tes!P31/SER_hh_fec!P31)</f>
        <v>0.60145638282229086</v>
      </c>
      <c r="Q31" s="137">
        <f>IF(SER_hh_tes!Q31=0,"",SER_hh_tes!Q31/SER_hh_fec!Q31)</f>
        <v>0.60188111256010068</v>
      </c>
      <c r="R31" s="137">
        <f>IF(SER_hh_tes!R31=0,"",SER_hh_tes!R31/SER_hh_fec!R31)</f>
        <v>0.60253236064168236</v>
      </c>
      <c r="S31" s="137">
        <f>IF(SER_hh_tes!S31=0,"",SER_hh_tes!S31/SER_hh_fec!S31)</f>
        <v>0.60354002848309418</v>
      </c>
      <c r="T31" s="137">
        <f>IF(SER_hh_tes!T31=0,"",SER_hh_tes!T31/SER_hh_fec!T31)</f>
        <v>0.60501351800538139</v>
      </c>
      <c r="U31" s="137">
        <f>IF(SER_hh_tes!U31=0,"",SER_hh_tes!U31/SER_hh_fec!U31)</f>
        <v>0.60684400671841066</v>
      </c>
      <c r="V31" s="137">
        <f>IF(SER_hh_tes!V31=0,"",SER_hh_tes!V31/SER_hh_fec!V31)</f>
        <v>0.60893509663575629</v>
      </c>
      <c r="W31" s="137">
        <f>IF(SER_hh_tes!W31=0,"",SER_hh_tes!W31/SER_hh_fec!W31)</f>
        <v>0.61136020574606087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0.76807856181908818</v>
      </c>
      <c r="C33" s="150">
        <f>IF(SER_hh_tes!C33=0,"",SER_hh_tes!C33/SER_hh_fec!C33)</f>
        <v>0.76979272969409795</v>
      </c>
      <c r="D33" s="150">
        <f>IF(SER_hh_tes!D33=0,"",SER_hh_tes!D33/SER_hh_fec!D33)</f>
        <v>0.77154793293257362</v>
      </c>
      <c r="E33" s="150">
        <f>IF(SER_hh_tes!E33=0,"",SER_hh_tes!E33/SER_hh_fec!E33)</f>
        <v>0.77307692904851144</v>
      </c>
      <c r="F33" s="150">
        <f>IF(SER_hh_tes!F33=0,"",SER_hh_tes!F33/SER_hh_fec!F33)</f>
        <v>0.77460344858466568</v>
      </c>
      <c r="G33" s="150">
        <f>IF(SER_hh_tes!G33=0,"",SER_hh_tes!G33/SER_hh_fec!G33)</f>
        <v>0.77632577569930505</v>
      </c>
      <c r="H33" s="150">
        <f>IF(SER_hh_tes!H33=0,"",SER_hh_tes!H33/SER_hh_fec!H33)</f>
        <v>0.77835298507670647</v>
      </c>
      <c r="I33" s="150">
        <f>IF(SER_hh_tes!I33=0,"",SER_hh_tes!I33/SER_hh_fec!I33)</f>
        <v>0.7811567328079817</v>
      </c>
      <c r="J33" s="150">
        <f>IF(SER_hh_tes!J33=0,"",SER_hh_tes!J33/SER_hh_fec!J33)</f>
        <v>0.78417430890891582</v>
      </c>
      <c r="K33" s="150">
        <f>IF(SER_hh_tes!K33=0,"",SER_hh_tes!K33/SER_hh_fec!K33)</f>
        <v>0.78688863553148036</v>
      </c>
      <c r="L33" s="150">
        <f>IF(SER_hh_tes!L33=0,"",SER_hh_tes!L33/SER_hh_fec!L33)</f>
        <v>0.78890020535310001</v>
      </c>
      <c r="M33" s="150">
        <f>IF(SER_hh_tes!M33=0,"",SER_hh_tes!M33/SER_hh_fec!M33)</f>
        <v>0.78975359403329803</v>
      </c>
      <c r="N33" s="150">
        <f>IF(SER_hh_tes!N33=0,"",SER_hh_tes!N33/SER_hh_fec!N33)</f>
        <v>0.79114661750410264</v>
      </c>
      <c r="O33" s="150">
        <f>IF(SER_hh_tes!O33=0,"",SER_hh_tes!O33/SER_hh_fec!O33)</f>
        <v>0.79328049642037368</v>
      </c>
      <c r="P33" s="150">
        <f>IF(SER_hh_tes!P33=0,"",SER_hh_tes!P33/SER_hh_fec!P33)</f>
        <v>0.79676096790804485</v>
      </c>
      <c r="Q33" s="150">
        <f>IF(SER_hh_tes!Q33=0,"",SER_hh_tes!Q33/SER_hh_fec!Q33)</f>
        <v>0.79970390677582404</v>
      </c>
      <c r="R33" s="150">
        <f>IF(SER_hh_tes!R33=0,"",SER_hh_tes!R33/SER_hh_fec!R33)</f>
        <v>0.80479179802576473</v>
      </c>
      <c r="S33" s="150">
        <f>IF(SER_hh_tes!S33=0,"",SER_hh_tes!S33/SER_hh_fec!S33)</f>
        <v>0.80945340679790567</v>
      </c>
      <c r="T33" s="150">
        <f>IF(SER_hh_tes!T33=0,"",SER_hh_tes!T33/SER_hh_fec!T33)</f>
        <v>0.8155712531398609</v>
      </c>
      <c r="U33" s="150">
        <f>IF(SER_hh_tes!U33=0,"",SER_hh_tes!U33/SER_hh_fec!U33)</f>
        <v>0.82298545859649586</v>
      </c>
      <c r="V33" s="150">
        <f>IF(SER_hh_tes!V33=0,"",SER_hh_tes!V33/SER_hh_fec!V33)</f>
        <v>0.83138519646201203</v>
      </c>
      <c r="W33" s="150">
        <f>IF(SER_hh_tes!W33=0,"",SER_hh_tes!W33/SER_hh_fec!W33)</f>
        <v>0.83814172956151112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1864.1438305199999</v>
      </c>
      <c r="C3" s="126">
        <f t="shared" si="0"/>
        <v>1825.8695676</v>
      </c>
      <c r="D3" s="126">
        <f t="shared" si="0"/>
        <v>1741.3744928399997</v>
      </c>
      <c r="E3" s="126">
        <f t="shared" si="0"/>
        <v>1798.9056304044004</v>
      </c>
      <c r="F3" s="126">
        <f t="shared" si="0"/>
        <v>1716.0318036504002</v>
      </c>
      <c r="G3" s="126">
        <f t="shared" si="0"/>
        <v>1755.7027108440002</v>
      </c>
      <c r="H3" s="126">
        <f t="shared" si="0"/>
        <v>1744.7240412036006</v>
      </c>
      <c r="I3" s="126">
        <f t="shared" si="0"/>
        <v>1692.7622130492005</v>
      </c>
      <c r="J3" s="126">
        <f t="shared" si="0"/>
        <v>1750.4035796220001</v>
      </c>
      <c r="K3" s="126">
        <f t="shared" si="0"/>
        <v>1412.5889667600002</v>
      </c>
      <c r="L3" s="126">
        <f t="shared" si="0"/>
        <v>1511.3525471999997</v>
      </c>
      <c r="M3" s="126">
        <f t="shared" si="0"/>
        <v>1461.8855412</v>
      </c>
      <c r="N3" s="126">
        <f t="shared" si="0"/>
        <v>1500.9685477200007</v>
      </c>
      <c r="O3" s="126">
        <f t="shared" si="0"/>
        <v>1592.28644508</v>
      </c>
      <c r="P3" s="126">
        <f t="shared" si="0"/>
        <v>1475.3848165200006</v>
      </c>
      <c r="Q3" s="126">
        <f t="shared" si="0"/>
        <v>1581.9829761599999</v>
      </c>
      <c r="R3" s="126">
        <f t="shared" ref="R3:W3" si="1">SUM(R4,R16,R19,R29)</f>
        <v>1536.3753296399998</v>
      </c>
      <c r="S3" s="126">
        <f t="shared" si="1"/>
        <v>1504.4090605200006</v>
      </c>
      <c r="T3" s="126">
        <f t="shared" si="1"/>
        <v>1646.87471424</v>
      </c>
      <c r="U3" s="126">
        <f t="shared" si="1"/>
        <v>1610.1638460000004</v>
      </c>
      <c r="V3" s="126">
        <f t="shared" si="1"/>
        <v>1541.527545599999</v>
      </c>
      <c r="W3" s="126">
        <f t="shared" si="1"/>
        <v>1354.7959059599998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1526.5724303926402</v>
      </c>
      <c r="C4" s="131">
        <f t="shared" si="2"/>
        <v>1474.3910085886928</v>
      </c>
      <c r="D4" s="131">
        <f t="shared" si="2"/>
        <v>1390.5701836886847</v>
      </c>
      <c r="E4" s="131">
        <f t="shared" si="2"/>
        <v>1449.6471055301081</v>
      </c>
      <c r="F4" s="131">
        <f t="shared" si="2"/>
        <v>1354.3619922279217</v>
      </c>
      <c r="G4" s="131">
        <f t="shared" si="2"/>
        <v>1371.9348467150312</v>
      </c>
      <c r="H4" s="131">
        <f t="shared" si="2"/>
        <v>1358.7157281425598</v>
      </c>
      <c r="I4" s="131">
        <f t="shared" si="2"/>
        <v>1297.7686654640711</v>
      </c>
      <c r="J4" s="131">
        <f t="shared" si="2"/>
        <v>1329.6272783622126</v>
      </c>
      <c r="K4" s="131">
        <f t="shared" si="2"/>
        <v>1048.3040687812882</v>
      </c>
      <c r="L4" s="131">
        <f t="shared" si="2"/>
        <v>1098.5939480684383</v>
      </c>
      <c r="M4" s="131">
        <f t="shared" si="2"/>
        <v>1047.2286018383963</v>
      </c>
      <c r="N4" s="131">
        <f t="shared" si="2"/>
        <v>1096.2055902839243</v>
      </c>
      <c r="O4" s="131">
        <f t="shared" si="2"/>
        <v>1156.6524995643085</v>
      </c>
      <c r="P4" s="131">
        <f t="shared" si="2"/>
        <v>1082.3420541418684</v>
      </c>
      <c r="Q4" s="131">
        <f t="shared" si="2"/>
        <v>1176.7839715508912</v>
      </c>
      <c r="R4" s="131">
        <f t="shared" ref="R4:W4" si="3">SUM(R5:R15)</f>
        <v>1159.2540398375554</v>
      </c>
      <c r="S4" s="131">
        <f t="shared" si="3"/>
        <v>1119.4679104098113</v>
      </c>
      <c r="T4" s="131">
        <f t="shared" si="3"/>
        <v>1256.8147192189033</v>
      </c>
      <c r="U4" s="131">
        <f t="shared" si="3"/>
        <v>1225.5858784410282</v>
      </c>
      <c r="V4" s="131">
        <f t="shared" si="3"/>
        <v>1215.4400850498851</v>
      </c>
      <c r="W4" s="131">
        <f t="shared" si="3"/>
        <v>1001.1774742666662</v>
      </c>
      <c r="DA4" s="156" t="s">
        <v>233</v>
      </c>
    </row>
    <row r="5" spans="1:105" ht="12" customHeight="1" x14ac:dyDescent="0.25">
      <c r="A5" s="132" t="s">
        <v>29</v>
      </c>
      <c r="B5" s="133">
        <v>17.694410399999999</v>
      </c>
      <c r="C5" s="133">
        <v>19.660413600000002</v>
      </c>
      <c r="D5" s="133">
        <v>13.762403999999998</v>
      </c>
      <c r="E5" s="133">
        <v>110.91432868440003</v>
      </c>
      <c r="F5" s="133">
        <v>106.73603321040002</v>
      </c>
      <c r="G5" s="133">
        <v>107.75644436399998</v>
      </c>
      <c r="H5" s="133">
        <v>107.41058568360003</v>
      </c>
      <c r="I5" s="133">
        <v>105.73964764919998</v>
      </c>
      <c r="J5" s="133">
        <v>105.72407698199997</v>
      </c>
      <c r="K5" s="133">
        <v>1.9752479999999988</v>
      </c>
      <c r="L5" s="133">
        <v>3.9290407199999993</v>
      </c>
      <c r="M5" s="133">
        <v>5.9911315199999988</v>
      </c>
      <c r="N5" s="133">
        <v>2.4833635200000006</v>
      </c>
      <c r="O5" s="133">
        <v>2.2701729600000005</v>
      </c>
      <c r="P5" s="133">
        <v>1.1088633599999995</v>
      </c>
      <c r="Q5" s="133">
        <v>1.1061388800000003</v>
      </c>
      <c r="R5" s="133">
        <v>2.4070780799999985</v>
      </c>
      <c r="S5" s="133">
        <v>2.1199860000000004</v>
      </c>
      <c r="T5" s="133">
        <v>2.230668000000001</v>
      </c>
      <c r="U5" s="133">
        <v>1.7984973599999994</v>
      </c>
      <c r="V5" s="133">
        <v>0.71619767999999984</v>
      </c>
      <c r="W5" s="133">
        <v>0.77954184000000026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943.41563754092374</v>
      </c>
      <c r="C7" s="133">
        <v>899.35050822164999</v>
      </c>
      <c r="D7" s="133">
        <v>848.54337165586207</v>
      </c>
      <c r="E7" s="133">
        <v>793.66916212453293</v>
      </c>
      <c r="F7" s="133">
        <v>695.93101452968722</v>
      </c>
      <c r="G7" s="133">
        <v>706.59309982591753</v>
      </c>
      <c r="H7" s="133">
        <v>626.97343460647187</v>
      </c>
      <c r="I7" s="133">
        <v>550.1648849210768</v>
      </c>
      <c r="J7" s="133">
        <v>556.11975563837348</v>
      </c>
      <c r="K7" s="133">
        <v>431.06055589773496</v>
      </c>
      <c r="L7" s="133">
        <v>420.29137366396805</v>
      </c>
      <c r="M7" s="133">
        <v>361.9193320971342</v>
      </c>
      <c r="N7" s="133">
        <v>347.38202922388012</v>
      </c>
      <c r="O7" s="133">
        <v>452.03558529313528</v>
      </c>
      <c r="P7" s="133">
        <v>431.37242659201951</v>
      </c>
      <c r="Q7" s="133">
        <v>468.15067184935947</v>
      </c>
      <c r="R7" s="133">
        <v>445.18936542594895</v>
      </c>
      <c r="S7" s="133">
        <v>405.07964751600269</v>
      </c>
      <c r="T7" s="133">
        <v>449.10734320063028</v>
      </c>
      <c r="U7" s="133">
        <v>407.68984196528038</v>
      </c>
      <c r="V7" s="133">
        <v>366.65064675400964</v>
      </c>
      <c r="W7" s="133">
        <v>350.96904118939057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565.46238245171639</v>
      </c>
      <c r="C9" s="133">
        <v>555.38008676704294</v>
      </c>
      <c r="D9" s="133">
        <v>528.26440803282276</v>
      </c>
      <c r="E9" s="133">
        <v>545.06361472117499</v>
      </c>
      <c r="F9" s="133">
        <v>551.69494448783439</v>
      </c>
      <c r="G9" s="133">
        <v>557.58530252511366</v>
      </c>
      <c r="H9" s="133">
        <v>624.33170785248797</v>
      </c>
      <c r="I9" s="133">
        <v>641.86413289379425</v>
      </c>
      <c r="J9" s="133">
        <v>667.78344574183927</v>
      </c>
      <c r="K9" s="133">
        <v>615.26826488355323</v>
      </c>
      <c r="L9" s="133">
        <v>674.37353368447032</v>
      </c>
      <c r="M9" s="133">
        <v>679.31813822126207</v>
      </c>
      <c r="N9" s="133">
        <v>746.34019754004407</v>
      </c>
      <c r="O9" s="133">
        <v>702.34674131117333</v>
      </c>
      <c r="P9" s="133">
        <v>649.86076418984896</v>
      </c>
      <c r="Q9" s="133">
        <v>707.52716082153188</v>
      </c>
      <c r="R9" s="133">
        <v>711.65759633160633</v>
      </c>
      <c r="S9" s="133">
        <v>712.26827689380855</v>
      </c>
      <c r="T9" s="133">
        <v>805.47670801827303</v>
      </c>
      <c r="U9" s="133">
        <v>816.09753911574785</v>
      </c>
      <c r="V9" s="133">
        <v>848.07324061587553</v>
      </c>
      <c r="W9" s="133">
        <v>649.42889123727571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5.4121199057509582E-2</v>
      </c>
      <c r="C16" s="131">
        <f t="shared" si="4"/>
        <v>6.1478722448033478E-2</v>
      </c>
      <c r="D16" s="131">
        <f t="shared" si="4"/>
        <v>7.2307824243795574E-2</v>
      </c>
      <c r="E16" s="131">
        <f t="shared" si="4"/>
        <v>7.1569505148214349E-2</v>
      </c>
      <c r="F16" s="131">
        <f t="shared" si="4"/>
        <v>8.8296432789998477E-2</v>
      </c>
      <c r="G16" s="131">
        <f t="shared" si="4"/>
        <v>0.10183175219765069</v>
      </c>
      <c r="H16" s="131">
        <f t="shared" si="4"/>
        <v>0.13041601354949212</v>
      </c>
      <c r="I16" s="131">
        <f t="shared" si="4"/>
        <v>0.1427360225437462</v>
      </c>
      <c r="J16" s="131">
        <f t="shared" si="4"/>
        <v>0.14718929128427832</v>
      </c>
      <c r="K16" s="131">
        <f t="shared" si="4"/>
        <v>0.1635833681396279</v>
      </c>
      <c r="L16" s="131">
        <f t="shared" si="4"/>
        <v>0.17687458216687174</v>
      </c>
      <c r="M16" s="131">
        <f t="shared" si="4"/>
        <v>0.19130842562540895</v>
      </c>
      <c r="N16" s="131">
        <f t="shared" si="4"/>
        <v>0.21993498539134076</v>
      </c>
      <c r="O16" s="131">
        <f t="shared" si="4"/>
        <v>0.26982024157788354</v>
      </c>
      <c r="P16" s="131">
        <f t="shared" si="4"/>
        <v>0.35848544439425711</v>
      </c>
      <c r="Q16" s="131">
        <f t="shared" si="4"/>
        <v>0.49081486849570283</v>
      </c>
      <c r="R16" s="131">
        <f t="shared" ref="R16:W16" si="5">SUM(R17:R18)</f>
        <v>0.61100069312008143</v>
      </c>
      <c r="S16" s="131">
        <f t="shared" si="5"/>
        <v>0.70748665290620916</v>
      </c>
      <c r="T16" s="131">
        <f t="shared" si="5"/>
        <v>0.77846528107694191</v>
      </c>
      <c r="U16" s="131">
        <f t="shared" si="5"/>
        <v>0.85069964664066067</v>
      </c>
      <c r="V16" s="131">
        <f t="shared" si="5"/>
        <v>0.83299058213875754</v>
      </c>
      <c r="W16" s="131">
        <f t="shared" si="5"/>
        <v>0.82267434865627964</v>
      </c>
      <c r="DA16" s="156" t="s">
        <v>234</v>
      </c>
    </row>
    <row r="17" spans="1:105" ht="12.95" customHeight="1" x14ac:dyDescent="0.25">
      <c r="A17" s="132" t="s">
        <v>73</v>
      </c>
      <c r="B17" s="133">
        <v>5.4121199057509582E-2</v>
      </c>
      <c r="C17" s="133">
        <v>6.1478722448033478E-2</v>
      </c>
      <c r="D17" s="133">
        <v>7.2307824243795574E-2</v>
      </c>
      <c r="E17" s="133">
        <v>7.1569505148214349E-2</v>
      </c>
      <c r="F17" s="133">
        <v>8.8296432789998477E-2</v>
      </c>
      <c r="G17" s="133">
        <v>0.10183175219765069</v>
      </c>
      <c r="H17" s="133">
        <v>0.13041601354949212</v>
      </c>
      <c r="I17" s="133">
        <v>0.1427360225437462</v>
      </c>
      <c r="J17" s="133">
        <v>0.14718929128427832</v>
      </c>
      <c r="K17" s="133">
        <v>0.1635833681396279</v>
      </c>
      <c r="L17" s="133">
        <v>0.17687458216687174</v>
      </c>
      <c r="M17" s="133">
        <v>0.19130842562540895</v>
      </c>
      <c r="N17" s="133">
        <v>0.21993498539134076</v>
      </c>
      <c r="O17" s="133">
        <v>0.26982024157788354</v>
      </c>
      <c r="P17" s="133">
        <v>0.35848544439425711</v>
      </c>
      <c r="Q17" s="133">
        <v>0.49081486849570283</v>
      </c>
      <c r="R17" s="133">
        <v>0.61100069312008143</v>
      </c>
      <c r="S17" s="133">
        <v>0.70748665290620916</v>
      </c>
      <c r="T17" s="133">
        <v>0.77846528107694191</v>
      </c>
      <c r="U17" s="133">
        <v>0.85069964664066067</v>
      </c>
      <c r="V17" s="133">
        <v>0.83299058213875754</v>
      </c>
      <c r="W17" s="133">
        <v>0.82267434865627964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175.93173280277222</v>
      </c>
      <c r="C19" s="131">
        <f t="shared" si="6"/>
        <v>178.42070587199601</v>
      </c>
      <c r="D19" s="131">
        <f t="shared" si="6"/>
        <v>176.41823161491095</v>
      </c>
      <c r="E19" s="131">
        <f t="shared" si="6"/>
        <v>169.07030668975216</v>
      </c>
      <c r="F19" s="131">
        <f t="shared" si="6"/>
        <v>169.01910072104829</v>
      </c>
      <c r="G19" s="131">
        <f t="shared" si="6"/>
        <v>163.64228117622724</v>
      </c>
      <c r="H19" s="131">
        <f t="shared" si="6"/>
        <v>157.87653749107579</v>
      </c>
      <c r="I19" s="131">
        <f t="shared" si="6"/>
        <v>156.9619880772687</v>
      </c>
      <c r="J19" s="131">
        <f t="shared" si="6"/>
        <v>156.29070359765518</v>
      </c>
      <c r="K19" s="131">
        <f t="shared" si="6"/>
        <v>156.64107754975694</v>
      </c>
      <c r="L19" s="131">
        <f t="shared" si="6"/>
        <v>159.70701983156016</v>
      </c>
      <c r="M19" s="131">
        <f t="shared" si="6"/>
        <v>161.62728442950203</v>
      </c>
      <c r="N19" s="131">
        <f t="shared" si="6"/>
        <v>161.87748771310964</v>
      </c>
      <c r="O19" s="131">
        <f t="shared" si="6"/>
        <v>161.80981874463575</v>
      </c>
      <c r="P19" s="131">
        <f t="shared" si="6"/>
        <v>165.59831648790185</v>
      </c>
      <c r="Q19" s="131">
        <f t="shared" si="6"/>
        <v>162.5670303994323</v>
      </c>
      <c r="R19" s="131">
        <f t="shared" ref="R19:W19" si="7">SUM(R20:R27)</f>
        <v>161.50825950336463</v>
      </c>
      <c r="S19" s="131">
        <f t="shared" si="7"/>
        <v>164.35091411905273</v>
      </c>
      <c r="T19" s="131">
        <f t="shared" si="7"/>
        <v>152.77222335034037</v>
      </c>
      <c r="U19" s="131">
        <f t="shared" si="7"/>
        <v>147.94106892508825</v>
      </c>
      <c r="V19" s="131">
        <f t="shared" si="7"/>
        <v>128.48106334835148</v>
      </c>
      <c r="W19" s="131">
        <f t="shared" si="7"/>
        <v>132.81712409832804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109.74854297907611</v>
      </c>
      <c r="C22" s="133">
        <v>109.77378545835003</v>
      </c>
      <c r="D22" s="133">
        <v>107.07052994413777</v>
      </c>
      <c r="E22" s="133">
        <v>99.940999875467057</v>
      </c>
      <c r="F22" s="133">
        <v>97.661271230312593</v>
      </c>
      <c r="G22" s="133">
        <v>91.531252934082545</v>
      </c>
      <c r="H22" s="133">
        <v>85.829550153528345</v>
      </c>
      <c r="I22" s="133">
        <v>82.680969438923242</v>
      </c>
      <c r="J22" s="133">
        <v>82.355209921626368</v>
      </c>
      <c r="K22" s="133">
        <v>80.078525622264806</v>
      </c>
      <c r="L22" s="133">
        <v>81.10732141603178</v>
      </c>
      <c r="M22" s="133">
        <v>80.340523182865979</v>
      </c>
      <c r="N22" s="133">
        <v>79.731457496119958</v>
      </c>
      <c r="O22" s="133">
        <v>77.134156346864557</v>
      </c>
      <c r="P22" s="133">
        <v>77.273141927980973</v>
      </c>
      <c r="Q22" s="133">
        <v>74.384899590640657</v>
      </c>
      <c r="R22" s="133">
        <v>71.696418774050713</v>
      </c>
      <c r="S22" s="133">
        <v>72.148214843997508</v>
      </c>
      <c r="T22" s="133">
        <v>66.930845119369749</v>
      </c>
      <c r="U22" s="133">
        <v>64.17049599471963</v>
      </c>
      <c r="V22" s="133">
        <v>54.666901885990086</v>
      </c>
      <c r="W22" s="133">
        <v>56.444014330609342</v>
      </c>
      <c r="DA22" s="157" t="s">
        <v>372</v>
      </c>
    </row>
    <row r="23" spans="1:105" ht="12" customHeight="1" x14ac:dyDescent="0.25">
      <c r="A23" s="132" t="s">
        <v>153</v>
      </c>
      <c r="B23" s="133">
        <v>66.183189823696111</v>
      </c>
      <c r="C23" s="133">
        <v>68.646920413645972</v>
      </c>
      <c r="D23" s="133">
        <v>69.347701670773191</v>
      </c>
      <c r="E23" s="133">
        <v>69.129306814285115</v>
      </c>
      <c r="F23" s="133">
        <v>71.357829490735696</v>
      </c>
      <c r="G23" s="133">
        <v>72.111028242144712</v>
      </c>
      <c r="H23" s="133">
        <v>72.046987337547435</v>
      </c>
      <c r="I23" s="133">
        <v>74.281018638345444</v>
      </c>
      <c r="J23" s="133">
        <v>73.935493676028798</v>
      </c>
      <c r="K23" s="133">
        <v>76.562551927492137</v>
      </c>
      <c r="L23" s="133">
        <v>78.59969841552838</v>
      </c>
      <c r="M23" s="133">
        <v>81.286761246636033</v>
      </c>
      <c r="N23" s="133">
        <v>82.146030216989686</v>
      </c>
      <c r="O23" s="133">
        <v>84.675662397771191</v>
      </c>
      <c r="P23" s="133">
        <v>88.325174559920868</v>
      </c>
      <c r="Q23" s="133">
        <v>88.182130808791641</v>
      </c>
      <c r="R23" s="133">
        <v>89.811840729313914</v>
      </c>
      <c r="S23" s="133">
        <v>92.202699275055238</v>
      </c>
      <c r="T23" s="133">
        <v>85.841378230970633</v>
      </c>
      <c r="U23" s="133">
        <v>83.770572930368601</v>
      </c>
      <c r="V23" s="133">
        <v>73.814161462361412</v>
      </c>
      <c r="W23" s="133">
        <v>76.373109767718702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161.58554612553002</v>
      </c>
      <c r="C29" s="131">
        <f t="shared" si="8"/>
        <v>172.99637441686303</v>
      </c>
      <c r="D29" s="131">
        <f t="shared" si="8"/>
        <v>174.31376971216017</v>
      </c>
      <c r="E29" s="131">
        <f t="shared" si="8"/>
        <v>180.11664867939174</v>
      </c>
      <c r="F29" s="131">
        <f t="shared" si="8"/>
        <v>192.56241426864008</v>
      </c>
      <c r="G29" s="131">
        <f t="shared" si="8"/>
        <v>220.0237512005441</v>
      </c>
      <c r="H29" s="131">
        <f t="shared" si="8"/>
        <v>228.00135955641554</v>
      </c>
      <c r="I29" s="131">
        <f t="shared" si="8"/>
        <v>237.88882348531712</v>
      </c>
      <c r="J29" s="131">
        <f t="shared" si="8"/>
        <v>264.33840837084779</v>
      </c>
      <c r="K29" s="131">
        <f t="shared" si="8"/>
        <v>207.48023706081534</v>
      </c>
      <c r="L29" s="131">
        <f t="shared" si="8"/>
        <v>252.87470471783453</v>
      </c>
      <c r="M29" s="131">
        <f t="shared" si="8"/>
        <v>252.83834650647617</v>
      </c>
      <c r="N29" s="131">
        <f t="shared" si="8"/>
        <v>242.66553473757563</v>
      </c>
      <c r="O29" s="131">
        <f t="shared" si="8"/>
        <v>273.5543065294778</v>
      </c>
      <c r="P29" s="131">
        <f t="shared" si="8"/>
        <v>227.08596044583601</v>
      </c>
      <c r="Q29" s="131">
        <f t="shared" si="8"/>
        <v>242.14115934118084</v>
      </c>
      <c r="R29" s="131">
        <f t="shared" ref="R29:W29" si="9">SUM(R30:R33)</f>
        <v>215.00202960595971</v>
      </c>
      <c r="S29" s="131">
        <f t="shared" si="9"/>
        <v>219.8827493382303</v>
      </c>
      <c r="T29" s="131">
        <f t="shared" si="9"/>
        <v>236.50930638967955</v>
      </c>
      <c r="U29" s="131">
        <f t="shared" si="9"/>
        <v>235.78619898724344</v>
      </c>
      <c r="V29" s="131">
        <f t="shared" si="9"/>
        <v>196.77340661962373</v>
      </c>
      <c r="W29" s="131">
        <f t="shared" si="9"/>
        <v>219.97863324634943</v>
      </c>
      <c r="DA29" s="156" t="s">
        <v>236</v>
      </c>
    </row>
    <row r="30" spans="1:105" ht="12" customHeight="1" x14ac:dyDescent="0.25">
      <c r="A30" s="132" t="s">
        <v>52</v>
      </c>
      <c r="B30" s="133">
        <v>105.81339959999998</v>
      </c>
      <c r="C30" s="133">
        <v>118.57842864000003</v>
      </c>
      <c r="D30" s="133">
        <v>121.94085095999999</v>
      </c>
      <c r="E30" s="133">
        <v>129.57001955999999</v>
      </c>
      <c r="F30" s="133">
        <v>141.47820108000002</v>
      </c>
      <c r="G30" s="133">
        <v>168.93639323999997</v>
      </c>
      <c r="H30" s="133">
        <v>176.51808540000007</v>
      </c>
      <c r="I30" s="133">
        <v>186.80161860000013</v>
      </c>
      <c r="J30" s="133">
        <v>212.91797664000001</v>
      </c>
      <c r="K30" s="133">
        <v>153.64807092000007</v>
      </c>
      <c r="L30" s="133">
        <v>198.16825068000006</v>
      </c>
      <c r="M30" s="133">
        <v>196.68353291999981</v>
      </c>
      <c r="N30" s="133">
        <v>185.03408663999991</v>
      </c>
      <c r="O30" s="133">
        <v>215.98281936000001</v>
      </c>
      <c r="P30" s="133">
        <v>169.63877195999999</v>
      </c>
      <c r="Q30" s="133">
        <v>182.61210672000001</v>
      </c>
      <c r="R30" s="133">
        <v>155.00489759999999</v>
      </c>
      <c r="S30" s="133">
        <v>160.55123616000012</v>
      </c>
      <c r="T30" s="133">
        <v>175.68486252000005</v>
      </c>
      <c r="U30" s="133">
        <v>175.08675023999979</v>
      </c>
      <c r="V30" s="133">
        <v>141.28761384000003</v>
      </c>
      <c r="W30" s="133">
        <v>160.05716315999987</v>
      </c>
      <c r="DA30" s="157" t="s">
        <v>378</v>
      </c>
    </row>
    <row r="31" spans="1:105" ht="12" customHeight="1" x14ac:dyDescent="0.25">
      <c r="A31" s="132" t="s">
        <v>153</v>
      </c>
      <c r="B31" s="133">
        <v>55.772146525530019</v>
      </c>
      <c r="C31" s="133">
        <v>54.417945776863014</v>
      </c>
      <c r="D31" s="133">
        <v>52.372918752160182</v>
      </c>
      <c r="E31" s="133">
        <v>50.546629119391739</v>
      </c>
      <c r="F31" s="133">
        <v>51.084213188640064</v>
      </c>
      <c r="G31" s="133">
        <v>51.087357960544111</v>
      </c>
      <c r="H31" s="133">
        <v>51.483274156415455</v>
      </c>
      <c r="I31" s="133">
        <v>51.087204885316986</v>
      </c>
      <c r="J31" s="133">
        <v>51.420431730847788</v>
      </c>
      <c r="K31" s="133">
        <v>53.832166140815275</v>
      </c>
      <c r="L31" s="133">
        <v>54.706454037834469</v>
      </c>
      <c r="M31" s="133">
        <v>56.154813586476351</v>
      </c>
      <c r="N31" s="133">
        <v>57.631448097575706</v>
      </c>
      <c r="O31" s="133">
        <v>57.571487169477777</v>
      </c>
      <c r="P31" s="133">
        <v>57.447188485836016</v>
      </c>
      <c r="Q31" s="133">
        <v>59.529052621180831</v>
      </c>
      <c r="R31" s="133">
        <v>59.99713200595972</v>
      </c>
      <c r="S31" s="133">
        <v>59.331513178230189</v>
      </c>
      <c r="T31" s="133">
        <v>60.824443869679499</v>
      </c>
      <c r="U31" s="133">
        <v>60.699448747243665</v>
      </c>
      <c r="V31" s="133">
        <v>55.485792779623694</v>
      </c>
      <c r="W31" s="133">
        <v>59.921470086349565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289269.77649031859</v>
      </c>
      <c r="C3" s="126">
        <f>IF(SER_hh_fec!C3=0,0,11630*1000*SER_hh_fec!C3/SER_hh_num!C3)</f>
        <v>287726.32458188653</v>
      </c>
      <c r="D3" s="126">
        <f>IF(SER_hh_fec!D3=0,0,11630*1000*SER_hh_fec!D3/SER_hh_num!D3)</f>
        <v>286281.54528486292</v>
      </c>
      <c r="E3" s="126">
        <f>IF(SER_hh_fec!E3=0,0,11630*1000*SER_hh_fec!E3/SER_hh_num!E3)</f>
        <v>300684.52468744857</v>
      </c>
      <c r="F3" s="126">
        <f>IF(SER_hh_fec!F3=0,0,11630*1000*SER_hh_fec!F3/SER_hh_num!F3)</f>
        <v>287820.17323029845</v>
      </c>
      <c r="G3" s="126">
        <f>IF(SER_hh_fec!G3=0,0,11630*1000*SER_hh_fec!G3/SER_hh_num!G3)</f>
        <v>300939.65261508297</v>
      </c>
      <c r="H3" s="126">
        <f>IF(SER_hh_fec!H3=0,0,11630*1000*SER_hh_fec!H3/SER_hh_num!H3)</f>
        <v>311788.78471176501</v>
      </c>
      <c r="I3" s="126">
        <f>IF(SER_hh_fec!I3=0,0,11630*1000*SER_hh_fec!I3/SER_hh_num!I3)</f>
        <v>299103.22337200743</v>
      </c>
      <c r="J3" s="126">
        <f>IF(SER_hh_fec!J3=0,0,11630*1000*SER_hh_fec!J3/SER_hh_num!J3)</f>
        <v>311957.23590028577</v>
      </c>
      <c r="K3" s="126">
        <f>IF(SER_hh_fec!K3=0,0,11630*1000*SER_hh_fec!K3/SER_hh_num!K3)</f>
        <v>288457.18493551644</v>
      </c>
      <c r="L3" s="126">
        <f>IF(SER_hh_fec!L3=0,0,11630*1000*SER_hh_fec!L3/SER_hh_num!L3)</f>
        <v>293582.63411693601</v>
      </c>
      <c r="M3" s="126">
        <f>IF(SER_hh_fec!M3=0,0,11630*1000*SER_hh_fec!M3/SER_hh_num!M3)</f>
        <v>288083.83761002548</v>
      </c>
      <c r="N3" s="126">
        <f>IF(SER_hh_fec!N3=0,0,11630*1000*SER_hh_fec!N3/SER_hh_num!N3)</f>
        <v>288652.37103188731</v>
      </c>
      <c r="O3" s="126">
        <f>IF(SER_hh_fec!O3=0,0,11630*1000*SER_hh_fec!O3/SER_hh_num!O3)</f>
        <v>291038.64832813758</v>
      </c>
      <c r="P3" s="126">
        <f>IF(SER_hh_fec!P3=0,0,11630*1000*SER_hh_fec!P3/SER_hh_num!P3)</f>
        <v>266031.95987269806</v>
      </c>
      <c r="Q3" s="126">
        <f>IF(SER_hh_fec!Q3=0,0,11630*1000*SER_hh_fec!Q3/SER_hh_num!Q3)</f>
        <v>287129.03978643852</v>
      </c>
      <c r="R3" s="126">
        <f>IF(SER_hh_fec!R3=0,0,11630*1000*SER_hh_fec!R3/SER_hh_num!R3)</f>
        <v>278509.07609163568</v>
      </c>
      <c r="S3" s="126">
        <f>IF(SER_hh_fec!S3=0,0,11630*1000*SER_hh_fec!S3/SER_hh_num!S3)</f>
        <v>268781.17591481941</v>
      </c>
      <c r="T3" s="126">
        <f>IF(SER_hh_fec!T3=0,0,11630*1000*SER_hh_fec!T3/SER_hh_num!T3)</f>
        <v>292648.83412454475</v>
      </c>
      <c r="U3" s="126">
        <f>IF(SER_hh_fec!U3=0,0,11630*1000*SER_hh_fec!U3/SER_hh_num!U3)</f>
        <v>290579.99569315027</v>
      </c>
      <c r="V3" s="126">
        <f>IF(SER_hh_fec!V3=0,0,11630*1000*SER_hh_fec!V3/SER_hh_num!V3)</f>
        <v>260528.55206405249</v>
      </c>
      <c r="W3" s="126">
        <f>IF(SER_hh_fec!W3=0,0,11630*1000*SER_hh_fec!W3/SER_hh_num!W3)</f>
        <v>238846.59150479274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212232.70740743191</v>
      </c>
      <c r="C4" s="131">
        <f>IF(SER_hh_fec!C4=0,0,11630*1000*SER_hh_fec!C4/SER_hh_num!C4)</f>
        <v>210539.91734208984</v>
      </c>
      <c r="D4" s="131">
        <f>IF(SER_hh_fec!D4=0,0,11630*1000*SER_hh_fec!D4/SER_hh_num!D4)</f>
        <v>210016.5496309342</v>
      </c>
      <c r="E4" s="131">
        <f>IF(SER_hh_fec!E4=0,0,11630*1000*SER_hh_fec!E4/SER_hh_num!E4)</f>
        <v>225132.38024789843</v>
      </c>
      <c r="F4" s="131">
        <f>IF(SER_hh_fec!F4=0,0,11630*1000*SER_hh_fec!F4/SER_hh_num!F4)</f>
        <v>212660.62149790642</v>
      </c>
      <c r="G4" s="131">
        <f>IF(SER_hh_fec!G4=0,0,11630*1000*SER_hh_fec!G4/SER_hh_num!G4)</f>
        <v>225537.61496675378</v>
      </c>
      <c r="H4" s="131">
        <f>IF(SER_hh_fec!H4=0,0,11630*1000*SER_hh_fec!H4/SER_hh_num!H4)</f>
        <v>237307.68029498419</v>
      </c>
      <c r="I4" s="131">
        <f>IF(SER_hh_fec!I4=0,0,11630*1000*SER_hh_fec!I4/SER_hh_num!I4)</f>
        <v>225913.51525346353</v>
      </c>
      <c r="J4" s="131">
        <f>IF(SER_hh_fec!J4=0,0,11630*1000*SER_hh_fec!J4/SER_hh_num!J4)</f>
        <v>237915.08234319958</v>
      </c>
      <c r="K4" s="131">
        <f>IF(SER_hh_fec!K4=0,0,11630*1000*SER_hh_fec!K4/SER_hh_num!K4)</f>
        <v>214647.10423507789</v>
      </c>
      <c r="L4" s="131">
        <f>IF(SER_hh_fec!L4=0,0,11630*1000*SER_hh_fec!L4/SER_hh_num!L4)</f>
        <v>216697.03995474582</v>
      </c>
      <c r="M4" s="131">
        <f>IF(SER_hh_fec!M4=0,0,11630*1000*SER_hh_fec!M4/SER_hh_num!M4)</f>
        <v>209660.61184723681</v>
      </c>
      <c r="N4" s="131">
        <f>IF(SER_hh_fec!N4=0,0,11630*1000*SER_hh_fec!N4/SER_hh_num!N4)</f>
        <v>209840.64777867045</v>
      </c>
      <c r="O4" s="131">
        <f>IF(SER_hh_fec!O4=0,0,11630*1000*SER_hh_fec!O4/SER_hh_num!O4)</f>
        <v>212052.4928767682</v>
      </c>
      <c r="P4" s="131">
        <f>IF(SER_hh_fec!P4=0,0,11630*1000*SER_hh_fec!P4/SER_hh_num!P4)</f>
        <v>188991.08654484942</v>
      </c>
      <c r="Q4" s="131">
        <f>IF(SER_hh_fec!Q4=0,0,11630*1000*SER_hh_fec!Q4/SER_hh_num!Q4)</f>
        <v>209252.35745079216</v>
      </c>
      <c r="R4" s="131">
        <f>IF(SER_hh_fec!R4=0,0,11630*1000*SER_hh_fec!R4/SER_hh_num!R4)</f>
        <v>202447.97669198358</v>
      </c>
      <c r="S4" s="131">
        <f>IF(SER_hh_fec!S4=0,0,11630*1000*SER_hh_fec!S4/SER_hh_num!S4)</f>
        <v>192726.45272835341</v>
      </c>
      <c r="T4" s="131">
        <f>IF(SER_hh_fec!T4=0,0,11630*1000*SER_hh_fec!T4/SER_hh_num!T4)</f>
        <v>217305.59916620687</v>
      </c>
      <c r="U4" s="131">
        <f>IF(SER_hh_fec!U4=0,0,11630*1000*SER_hh_fec!U4/SER_hh_num!U4)</f>
        <v>215799.5048670893</v>
      </c>
      <c r="V4" s="131">
        <f>IF(SER_hh_fec!V4=0,0,11630*1000*SER_hh_fec!V4/SER_hh_num!V4)</f>
        <v>190896.04568797519</v>
      </c>
      <c r="W4" s="131">
        <f>IF(SER_hh_fec!W4=0,0,11630*1000*SER_hh_fec!W4/SER_hh_num!W4)</f>
        <v>166428.99356777853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108129.65864301272</v>
      </c>
      <c r="C5" s="133">
        <f>IF(SER_hh_fec!C5=0,0,11630*1000*SER_hh_fec!C5/SER_hh_num!C5)</f>
        <v>122018.56475419278</v>
      </c>
      <c r="D5" s="133">
        <f>IF(SER_hh_fec!D5=0,0,11630*1000*SER_hh_fec!D5/SER_hh_num!D5)</f>
        <v>60522.746469140016</v>
      </c>
      <c r="E5" s="133">
        <f>IF(SER_hh_fec!E5=0,0,11630*1000*SER_hh_fec!E5/SER_hh_num!E5)</f>
        <v>321084.33687494986</v>
      </c>
      <c r="F5" s="133">
        <f>IF(SER_hh_fec!F5=0,0,11630*1000*SER_hh_fec!F5/SER_hh_num!F5)</f>
        <v>273641.46437780169</v>
      </c>
      <c r="G5" s="133">
        <f>IF(SER_hh_fec!G5=0,0,11630*1000*SER_hh_fec!G5/SER_hh_num!G5)</f>
        <v>271199.71798320342</v>
      </c>
      <c r="H5" s="133">
        <f>IF(SER_hh_fec!H5=0,0,11630*1000*SER_hh_fec!H5/SER_hh_num!H5)</f>
        <v>274363.27578497649</v>
      </c>
      <c r="I5" s="133">
        <f>IF(SER_hh_fec!I5=0,0,11630*1000*SER_hh_fec!I5/SER_hh_num!I5)</f>
        <v>286392.55496547488</v>
      </c>
      <c r="J5" s="133">
        <f>IF(SER_hh_fec!J5=0,0,11630*1000*SER_hh_fec!J5/SER_hh_num!J5)</f>
        <v>344359.31155048497</v>
      </c>
      <c r="K5" s="133">
        <f>IF(SER_hh_fec!K5=0,0,11630*1000*SER_hh_fec!K5/SER_hh_num!K5)</f>
        <v>14261.160090592239</v>
      </c>
      <c r="L5" s="133">
        <f>IF(SER_hh_fec!L5=0,0,11630*1000*SER_hh_fec!L5/SER_hh_num!L5)</f>
        <v>69410.983467897662</v>
      </c>
      <c r="M5" s="133">
        <f>IF(SER_hh_fec!M5=0,0,11630*1000*SER_hh_fec!M5/SER_hh_num!M5)</f>
        <v>342248.18848039676</v>
      </c>
      <c r="N5" s="133">
        <f>IF(SER_hh_fec!N5=0,0,11630*1000*SER_hh_fec!N5/SER_hh_num!N5)</f>
        <v>185204.6439804156</v>
      </c>
      <c r="O5" s="133">
        <f>IF(SER_hh_fec!O5=0,0,11630*1000*SER_hh_fec!O5/SER_hh_num!O5)</f>
        <v>228132.28945141259</v>
      </c>
      <c r="P5" s="133">
        <f>IF(SER_hh_fec!P5=0,0,11630*1000*SER_hh_fec!P5/SER_hh_num!P5)</f>
        <v>159210.5483154486</v>
      </c>
      <c r="Q5" s="133">
        <f>IF(SER_hh_fec!Q5=0,0,11630*1000*SER_hh_fec!Q5/SER_hh_num!Q5)</f>
        <v>162129.19068792555</v>
      </c>
      <c r="R5" s="133">
        <f>IF(SER_hh_fec!R5=0,0,11630*1000*SER_hh_fec!R5/SER_hh_num!R5)</f>
        <v>289407.1230060911</v>
      </c>
      <c r="S5" s="133">
        <f>IF(SER_hh_fec!S5=0,0,11630*1000*SER_hh_fec!S5/SER_hh_num!S5)</f>
        <v>242432.83246810164</v>
      </c>
      <c r="T5" s="133">
        <f>IF(SER_hh_fec!T5=0,0,11630*1000*SER_hh_fec!T5/SER_hh_num!T5)</f>
        <v>273259.20528633596</v>
      </c>
      <c r="U5" s="133">
        <f>IF(SER_hh_fec!U5=0,0,11630*1000*SER_hh_fec!U5/SER_hh_num!U5)</f>
        <v>273157.51730619039</v>
      </c>
      <c r="V5" s="133">
        <f>IF(SER_hh_fec!V5=0,0,11630*1000*SER_hh_fec!V5/SER_hh_num!V5)</f>
        <v>163399.66685112493</v>
      </c>
      <c r="W5" s="133">
        <f>IF(SER_hh_fec!W5=0,0,11630*1000*SER_hh_fec!W5/SER_hh_num!W5)</f>
        <v>209741.4071422774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249602.99951594914</v>
      </c>
      <c r="C7" s="133">
        <f>IF(SER_hh_fec!C7=0,0,11630*1000*SER_hh_fec!C7/SER_hh_num!C7)</f>
        <v>243155.65054951771</v>
      </c>
      <c r="D7" s="133">
        <f>IF(SER_hh_fec!D7=0,0,11630*1000*SER_hh_fec!D7/SER_hh_num!D7)</f>
        <v>253269.89517707675</v>
      </c>
      <c r="E7" s="133">
        <f>IF(SER_hh_fec!E7=0,0,11630*1000*SER_hh_fec!E7/SER_hh_num!E7)</f>
        <v>265259.96490776574</v>
      </c>
      <c r="F7" s="133">
        <f>IF(SER_hh_fec!F7=0,0,11630*1000*SER_hh_fec!F7/SER_hh_num!F7)</f>
        <v>260044.1004683284</v>
      </c>
      <c r="G7" s="133">
        <f>IF(SER_hh_fec!G7=0,0,11630*1000*SER_hh_fec!G7/SER_hh_num!G7)</f>
        <v>295201.88927386171</v>
      </c>
      <c r="H7" s="133">
        <f>IF(SER_hh_fec!H7=0,0,11630*1000*SER_hh_fec!H7/SER_hh_num!H7)</f>
        <v>297291.47845152626</v>
      </c>
      <c r="I7" s="133">
        <f>IF(SER_hh_fec!I7=0,0,11630*1000*SER_hh_fec!I7/SER_hh_num!I7)</f>
        <v>292156.84797524335</v>
      </c>
      <c r="J7" s="133">
        <f>IF(SER_hh_fec!J7=0,0,11630*1000*SER_hh_fec!J7/SER_hh_num!J7)</f>
        <v>323922.55199165049</v>
      </c>
      <c r="K7" s="133">
        <f>IF(SER_hh_fec!K7=0,0,11630*1000*SER_hh_fec!K7/SER_hh_num!K7)</f>
        <v>275619.92332766263</v>
      </c>
      <c r="L7" s="133">
        <f>IF(SER_hh_fec!L7=0,0,11630*1000*SER_hh_fec!L7/SER_hh_num!L7)</f>
        <v>284858.21887057862</v>
      </c>
      <c r="M7" s="133">
        <f>IF(SER_hh_fec!M7=0,0,11630*1000*SER_hh_fec!M7/SER_hh_num!M7)</f>
        <v>250509.05448199945</v>
      </c>
      <c r="N7" s="133">
        <f>IF(SER_hh_fec!N7=0,0,11630*1000*SER_hh_fec!N7/SER_hh_num!N7)</f>
        <v>226688.4726230276</v>
      </c>
      <c r="O7" s="133">
        <f>IF(SER_hh_fec!O7=0,0,11630*1000*SER_hh_fec!O7/SER_hh_num!O7)</f>
        <v>260153.71966788024</v>
      </c>
      <c r="P7" s="133">
        <f>IF(SER_hh_fec!P7=0,0,11630*1000*SER_hh_fec!P7/SER_hh_num!P7)</f>
        <v>229705.75968953129</v>
      </c>
      <c r="Q7" s="133">
        <f>IF(SER_hh_fec!Q7=0,0,11630*1000*SER_hh_fec!Q7/SER_hh_num!Q7)</f>
        <v>244741.49451966758</v>
      </c>
      <c r="R7" s="133">
        <f>IF(SER_hh_fec!R7=0,0,11630*1000*SER_hh_fec!R7/SER_hh_num!R7)</f>
        <v>238123.15484202505</v>
      </c>
      <c r="S7" s="133">
        <f>IF(SER_hh_fec!S7=0,0,11630*1000*SER_hh_fec!S7/SER_hh_num!S7)</f>
        <v>227408.17915446262</v>
      </c>
      <c r="T7" s="133">
        <f>IF(SER_hh_fec!T7=0,0,11630*1000*SER_hh_fec!T7/SER_hh_num!T7)</f>
        <v>264307.71960720269</v>
      </c>
      <c r="U7" s="133">
        <f>IF(SER_hh_fec!U7=0,0,11630*1000*SER_hh_fec!U7/SER_hh_num!U7)</f>
        <v>251501.13860747244</v>
      </c>
      <c r="V7" s="133">
        <f>IF(SER_hh_fec!V7=0,0,11630*1000*SER_hh_fec!V7/SER_hh_num!V7)</f>
        <v>230630.52435133341</v>
      </c>
      <c r="W7" s="133">
        <f>IF(SER_hh_fec!W7=0,0,11630*1000*SER_hh_fec!W7/SER_hh_num!W7)</f>
        <v>230726.22778578923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223315.73082973916</v>
      </c>
      <c r="C9" s="133">
        <f>IF(SER_hh_fec!C9=0,0,11630*1000*SER_hh_fec!C9/SER_hh_num!C9)</f>
        <v>225628.43012127129</v>
      </c>
      <c r="D9" s="133">
        <f>IF(SER_hh_fec!D9=0,0,11630*1000*SER_hh_fec!D9/SER_hh_num!D9)</f>
        <v>220274.82918450498</v>
      </c>
      <c r="E9" s="133">
        <f>IF(SER_hh_fec!E9=0,0,11630*1000*SER_hh_fec!E9/SER_hh_num!E9)</f>
        <v>233605.05259213326</v>
      </c>
      <c r="F9" s="133">
        <f>IF(SER_hh_fec!F9=0,0,11630*1000*SER_hh_fec!F9/SER_hh_num!F9)</f>
        <v>232890.51553630401</v>
      </c>
      <c r="G9" s="133">
        <f>IF(SER_hh_fec!G9=0,0,11630*1000*SER_hh_fec!G9/SER_hh_num!G9)</f>
        <v>232877.44617063884</v>
      </c>
      <c r="H9" s="133">
        <f>IF(SER_hh_fec!H9=0,0,11630*1000*SER_hh_fec!H9/SER_hh_num!H9)</f>
        <v>253826.70422112054</v>
      </c>
      <c r="I9" s="133">
        <f>IF(SER_hh_fec!I9=0,0,11630*1000*SER_hh_fec!I9/SER_hh_num!I9)</f>
        <v>252262.82693019323</v>
      </c>
      <c r="J9" s="133">
        <f>IF(SER_hh_fec!J9=0,0,11630*1000*SER_hh_fec!J9/SER_hh_num!J9)</f>
        <v>255510.97299543201</v>
      </c>
      <c r="K9" s="133">
        <f>IF(SER_hh_fec!K9=0,0,11630*1000*SER_hh_fec!K9/SER_hh_num!K9)</f>
        <v>225898.80449922985</v>
      </c>
      <c r="L9" s="133">
        <f>IF(SER_hh_fec!L9=0,0,11630*1000*SER_hh_fec!L9/SER_hh_num!L9)</f>
        <v>231810.55634946947</v>
      </c>
      <c r="M9" s="133">
        <f>IF(SER_hh_fec!M9=0,0,11630*1000*SER_hh_fec!M9/SER_hh_num!M9)</f>
        <v>221109.46154299442</v>
      </c>
      <c r="N9" s="133">
        <f>IF(SER_hh_fec!N9=0,0,11630*1000*SER_hh_fec!N9/SER_hh_num!N9)</f>
        <v>230172.57296166877</v>
      </c>
      <c r="O9" s="133">
        <f>IF(SER_hh_fec!O9=0,0,11630*1000*SER_hh_fec!O9/SER_hh_num!O9)</f>
        <v>214909.27418815874</v>
      </c>
      <c r="P9" s="133">
        <f>IF(SER_hh_fec!P9=0,0,11630*1000*SER_hh_fec!P9/SER_hh_num!P9)</f>
        <v>195904.33548486122</v>
      </c>
      <c r="Q9" s="133">
        <f>IF(SER_hh_fec!Q9=0,0,11630*1000*SER_hh_fec!Q9/SER_hh_num!Q9)</f>
        <v>213561.7618512692</v>
      </c>
      <c r="R9" s="133">
        <f>IF(SER_hh_fec!R9=0,0,11630*1000*SER_hh_fec!R9/SER_hh_num!R9)</f>
        <v>209733.5838388335</v>
      </c>
      <c r="S9" s="133">
        <f>IF(SER_hh_fec!S9=0,0,11630*1000*SER_hh_fec!S9/SER_hh_num!S9)</f>
        <v>205044.38912594688</v>
      </c>
      <c r="T9" s="133">
        <f>IF(SER_hh_fec!T9=0,0,11630*1000*SER_hh_fec!T9/SER_hh_num!T9)</f>
        <v>223388.01444459928</v>
      </c>
      <c r="U9" s="133">
        <f>IF(SER_hh_fec!U9=0,0,11630*1000*SER_hh_fec!U9/SER_hh_num!U9)</f>
        <v>213788.1974127086</v>
      </c>
      <c r="V9" s="133">
        <f>IF(SER_hh_fec!V9=0,0,11630*1000*SER_hh_fec!V9/SER_hh_num!V9)</f>
        <v>214029.60816797926</v>
      </c>
      <c r="W9" s="133">
        <f>IF(SER_hh_fec!W9=0,0,11630*1000*SER_hh_fec!W9/SER_hh_num!W9)</f>
        <v>157739.34095240678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56782.107997445521</v>
      </c>
      <c r="H10" s="133">
        <f>IF(SER_hh_fec!H10=0,0,11630*1000*SER_hh_fec!H10/SER_hh_num!H10)</f>
        <v>149814.61704470258</v>
      </c>
      <c r="I10" s="133">
        <f>IF(SER_hh_fec!I10=0,0,11630*1000*SER_hh_fec!I10/SER_hh_num!I10)</f>
        <v>282329.84802116803</v>
      </c>
      <c r="J10" s="133">
        <f>IF(SER_hh_fec!J10=0,0,11630*1000*SER_hh_fec!J10/SER_hh_num!J10)</f>
        <v>349239.92242246028</v>
      </c>
      <c r="K10" s="133">
        <f>IF(SER_hh_fec!K10=0,0,11630*1000*SER_hh_fec!K10/SER_hh_num!K10)</f>
        <v>343724.73706221586</v>
      </c>
      <c r="L10" s="133">
        <f>IF(SER_hh_fec!L10=0,0,11630*1000*SER_hh_fec!L10/SER_hh_num!L10)</f>
        <v>256253.74041826263</v>
      </c>
      <c r="M10" s="133">
        <f>IF(SER_hh_fec!M10=0,0,11630*1000*SER_hh_fec!M10/SER_hh_num!M10)</f>
        <v>280783.35022584029</v>
      </c>
      <c r="N10" s="133">
        <f>IF(SER_hh_fec!N10=0,0,11630*1000*SER_hh_fec!N10/SER_hh_num!N10)</f>
        <v>279484.39165897941</v>
      </c>
      <c r="O10" s="133">
        <f>IF(SER_hh_fec!O10=0,0,11630*1000*SER_hh_fec!O10/SER_hh_num!O10)</f>
        <v>335850.59640829428</v>
      </c>
      <c r="P10" s="133">
        <f>IF(SER_hh_fec!P10=0,0,11630*1000*SER_hh_fec!P10/SER_hh_num!P10)</f>
        <v>362236.87640046026</v>
      </c>
      <c r="Q10" s="133">
        <f>IF(SER_hh_fec!Q10=0,0,11630*1000*SER_hh_fec!Q10/SER_hh_num!Q10)</f>
        <v>217836.22644718582</v>
      </c>
      <c r="R10" s="133">
        <f>IF(SER_hh_fec!R10=0,0,11630*1000*SER_hh_fec!R10/SER_hh_num!R10)</f>
        <v>326863.92949621822</v>
      </c>
      <c r="S10" s="133">
        <f>IF(SER_hh_fec!S10=0,0,11630*1000*SER_hh_fec!S10/SER_hh_num!S10)</f>
        <v>308857.90591377986</v>
      </c>
      <c r="T10" s="133">
        <f>IF(SER_hh_fec!T10=0,0,11630*1000*SER_hh_fec!T10/SER_hh_num!T10)</f>
        <v>300028.82418173546</v>
      </c>
      <c r="U10" s="133">
        <f>IF(SER_hh_fec!U10=0,0,11630*1000*SER_hh_fec!U10/SER_hh_num!U10)</f>
        <v>257841.10976047421</v>
      </c>
      <c r="V10" s="133">
        <f>IF(SER_hh_fec!V10=0,0,11630*1000*SER_hh_fec!V10/SER_hh_num!V10)</f>
        <v>298703.84208498709</v>
      </c>
      <c r="W10" s="133">
        <f>IF(SER_hh_fec!W10=0,0,11630*1000*SER_hh_fec!W10/SER_hh_num!W10)</f>
        <v>363223.98290589172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54918.144877214894</v>
      </c>
      <c r="C13" s="133">
        <f>IF(SER_hh_fec!C13=0,0,11630*1000*SER_hh_fec!C13/SER_hh_num!C13)</f>
        <v>41035.323139986547</v>
      </c>
      <c r="D13" s="133">
        <f>IF(SER_hh_fec!D13=0,0,11630*1000*SER_hh_fec!D13/SER_hh_num!D13)</f>
        <v>11031.170433119913</v>
      </c>
      <c r="E13" s="133">
        <f>IF(SER_hh_fec!E13=0,0,11630*1000*SER_hh_fec!E13/SER_hh_num!E13)</f>
        <v>54077.549746529738</v>
      </c>
      <c r="F13" s="133">
        <f>IF(SER_hh_fec!F13=0,0,11630*1000*SER_hh_fec!F13/SER_hh_num!F13)</f>
        <v>40977.94397332333</v>
      </c>
      <c r="G13" s="133">
        <f>IF(SER_hh_fec!G13=0,0,11630*1000*SER_hh_fec!G13/SER_hh_num!G13)</f>
        <v>60798.783400302578</v>
      </c>
      <c r="H13" s="133">
        <f>IF(SER_hh_fec!H13=0,0,11630*1000*SER_hh_fec!H13/SER_hh_num!H13)</f>
        <v>68205.412569925087</v>
      </c>
      <c r="I13" s="133">
        <f>IF(SER_hh_fec!I13=0,0,11630*1000*SER_hh_fec!I13/SER_hh_num!I13)</f>
        <v>69534.493300354312</v>
      </c>
      <c r="J13" s="133">
        <f>IF(SER_hh_fec!J13=0,0,11630*1000*SER_hh_fec!J13/SER_hh_num!J13)</f>
        <v>75681.597160995312</v>
      </c>
      <c r="K13" s="133">
        <f>IF(SER_hh_fec!K13=0,0,11630*1000*SER_hh_fec!K13/SER_hh_num!K13)</f>
        <v>67150.61124099679</v>
      </c>
      <c r="L13" s="133">
        <f>IF(SER_hh_fec!L13=0,0,11630*1000*SER_hh_fec!L13/SER_hh_num!L13)</f>
        <v>62245.157484581614</v>
      </c>
      <c r="M13" s="133">
        <f>IF(SER_hh_fec!M13=0,0,11630*1000*SER_hh_fec!M13/SER_hh_num!M13)</f>
        <v>63227.581055209688</v>
      </c>
      <c r="N13" s="133">
        <f>IF(SER_hh_fec!N13=0,0,11630*1000*SER_hh_fec!N13/SER_hh_num!N13)</f>
        <v>60805.661891432515</v>
      </c>
      <c r="O13" s="133">
        <f>IF(SER_hh_fec!O13=0,0,11630*1000*SER_hh_fec!O13/SER_hh_num!O13)</f>
        <v>57639.073748344112</v>
      </c>
      <c r="P13" s="133">
        <f>IF(SER_hh_fec!P13=0,0,11630*1000*SER_hh_fec!P13/SER_hh_num!P13)</f>
        <v>53678.836753477452</v>
      </c>
      <c r="Q13" s="133">
        <f>IF(SER_hh_fec!Q13=0,0,11630*1000*SER_hh_fec!Q13/SER_hh_num!Q13)</f>
        <v>52823.403259619132</v>
      </c>
      <c r="R13" s="133">
        <f>IF(SER_hh_fec!R13=0,0,11630*1000*SER_hh_fec!R13/SER_hh_num!R13)</f>
        <v>52328.390187546327</v>
      </c>
      <c r="S13" s="133">
        <f>IF(SER_hh_fec!S13=0,0,11630*1000*SER_hh_fec!S13/SER_hh_num!S13)</f>
        <v>53582.111426351708</v>
      </c>
      <c r="T13" s="133">
        <f>IF(SER_hh_fec!T13=0,0,11630*1000*SER_hh_fec!T13/SER_hh_num!T13)</f>
        <v>50228.251845138329</v>
      </c>
      <c r="U13" s="133">
        <f>IF(SER_hh_fec!U13=0,0,11630*1000*SER_hh_fec!U13/SER_hh_num!U13)</f>
        <v>48741.120240532626</v>
      </c>
      <c r="V13" s="133">
        <f>IF(SER_hh_fec!V13=0,0,11630*1000*SER_hh_fec!V13/SER_hh_num!V13)</f>
        <v>45243.307712110043</v>
      </c>
      <c r="W13" s="133">
        <f>IF(SER_hh_fec!W13=0,0,11630*1000*SER_hh_fec!W13/SER_hh_num!W13)</f>
        <v>40642.576329762509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150808.19537199941</v>
      </c>
      <c r="C14" s="65">
        <f>IF(SER_hh_fec!C14=0,0,11630*1000*SER_hh_fec!C14/SER_hh_num!C14)</f>
        <v>159087.830090562</v>
      </c>
      <c r="D14" s="65">
        <f>IF(SER_hh_fec!D14=0,0,11630*1000*SER_hh_fec!D14/SER_hh_num!D14)</f>
        <v>168617.45368759075</v>
      </c>
      <c r="E14" s="65">
        <f>IF(SER_hh_fec!E14=0,0,11630*1000*SER_hh_fec!E14/SER_hh_num!E14)</f>
        <v>184500.34780658167</v>
      </c>
      <c r="F14" s="65">
        <f>IF(SER_hh_fec!F14=0,0,11630*1000*SER_hh_fec!F14/SER_hh_num!F14)</f>
        <v>168999.65191036271</v>
      </c>
      <c r="G14" s="65">
        <f>IF(SER_hh_fec!G14=0,0,11630*1000*SER_hh_fec!G14/SER_hh_num!G14)</f>
        <v>188102.523347087</v>
      </c>
      <c r="H14" s="65">
        <f>IF(SER_hh_fec!H14=0,0,11630*1000*SER_hh_fec!H14/SER_hh_num!H14)</f>
        <v>205860.38427993035</v>
      </c>
      <c r="I14" s="65">
        <f>IF(SER_hh_fec!I14=0,0,11630*1000*SER_hh_fec!I14/SER_hh_num!I14)</f>
        <v>191777.94450021622</v>
      </c>
      <c r="J14" s="65">
        <f>IF(SER_hh_fec!J14=0,0,11630*1000*SER_hh_fec!J14/SER_hh_num!J14)</f>
        <v>204267.82664600053</v>
      </c>
      <c r="K14" s="65">
        <f>IF(SER_hh_fec!K14=0,0,11630*1000*SER_hh_fec!K14/SER_hh_num!K14)</f>
        <v>197249.58522178873</v>
      </c>
      <c r="L14" s="65">
        <f>IF(SER_hh_fec!L14=0,0,11630*1000*SER_hh_fec!L14/SER_hh_num!L14)</f>
        <v>194879.28327886123</v>
      </c>
      <c r="M14" s="65">
        <f>IF(SER_hh_fec!M14=0,0,11630*1000*SER_hh_fec!M14/SER_hh_num!M14)</f>
        <v>193698.35249205644</v>
      </c>
      <c r="N14" s="65">
        <f>IF(SER_hh_fec!N14=0,0,11630*1000*SER_hh_fec!N14/SER_hh_num!N14)</f>
        <v>191904.99292955911</v>
      </c>
      <c r="O14" s="65">
        <f>IF(SER_hh_fec!O14=0,0,11630*1000*SER_hh_fec!O14/SER_hh_num!O14)</f>
        <v>194633.66844786133</v>
      </c>
      <c r="P14" s="65">
        <f>IF(SER_hh_fec!P14=0,0,11630*1000*SER_hh_fec!P14/SER_hh_num!P14)</f>
        <v>167367.61193562314</v>
      </c>
      <c r="Q14" s="65">
        <f>IF(SER_hh_fec!Q14=0,0,11630*1000*SER_hh_fec!Q14/SER_hh_num!Q14)</f>
        <v>200257.59104274481</v>
      </c>
      <c r="R14" s="65">
        <f>IF(SER_hh_fec!R14=0,0,11630*1000*SER_hh_fec!R14/SER_hh_num!R14)</f>
        <v>187721.82399392652</v>
      </c>
      <c r="S14" s="65">
        <f>IF(SER_hh_fec!S14=0,0,11630*1000*SER_hh_fec!S14/SER_hh_num!S14)</f>
        <v>176382.47422577598</v>
      </c>
      <c r="T14" s="65">
        <f>IF(SER_hh_fec!T14=0,0,11630*1000*SER_hh_fec!T14/SER_hh_num!T14)</f>
        <v>206962.13753510779</v>
      </c>
      <c r="U14" s="65">
        <f>IF(SER_hh_fec!U14=0,0,11630*1000*SER_hh_fec!U14/SER_hh_num!U14)</f>
        <v>218226.00983464456</v>
      </c>
      <c r="V14" s="65">
        <f>IF(SER_hh_fec!V14=0,0,11630*1000*SER_hh_fec!V14/SER_hh_num!V14)</f>
        <v>169313.55114827654</v>
      </c>
      <c r="W14" s="65">
        <f>IF(SER_hh_fec!W14=0,0,11630*1000*SER_hh_fec!W14/SER_hh_num!W14)</f>
        <v>164735.62872600515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2303.4651186214778</v>
      </c>
      <c r="C15" s="135">
        <f>IF(SER_hh_fec!C15=0,0,11630*1000*SER_hh_fec!C15/SER_hh_num!C15)</f>
        <v>2253.0212615534206</v>
      </c>
      <c r="D15" s="135">
        <f>IF(SER_hh_fec!D15=0,0,11630*1000*SER_hh_fec!D15/SER_hh_num!D15)</f>
        <v>2218.0346166075938</v>
      </c>
      <c r="E15" s="135">
        <f>IF(SER_hh_fec!E15=0,0,11630*1000*SER_hh_fec!E15/SER_hh_num!E15)</f>
        <v>2331.0954210637974</v>
      </c>
      <c r="F15" s="135">
        <f>IF(SER_hh_fec!F15=0,0,11630*1000*SER_hh_fec!F15/SER_hh_num!F15)</f>
        <v>2270.4279332396086</v>
      </c>
      <c r="G15" s="135">
        <f>IF(SER_hh_fec!G15=0,0,11630*1000*SER_hh_fec!G15/SER_hh_num!G15)</f>
        <v>2375.7098950302948</v>
      </c>
      <c r="H15" s="135">
        <f>IF(SER_hh_fec!H15=0,0,11630*1000*SER_hh_fec!H15/SER_hh_num!H15)</f>
        <v>2487.1509090198083</v>
      </c>
      <c r="I15" s="135">
        <f>IF(SER_hh_fec!I15=0,0,11630*1000*SER_hh_fec!I15/SER_hh_num!I15)</f>
        <v>2466.2544511811047</v>
      </c>
      <c r="J15" s="135">
        <f>IF(SER_hh_fec!J15=0,0,11630*1000*SER_hh_fec!J15/SER_hh_num!J15)</f>
        <v>2608.2908817117782</v>
      </c>
      <c r="K15" s="135">
        <f>IF(SER_hh_fec!K15=0,0,11630*1000*SER_hh_fec!K15/SER_hh_num!K15)</f>
        <v>2286.003467622359</v>
      </c>
      <c r="L15" s="135">
        <f>IF(SER_hh_fec!L15=0,0,11630*1000*SER_hh_fec!L15/SER_hh_num!L15)</f>
        <v>2412.099571965558</v>
      </c>
      <c r="M15" s="135">
        <f>IF(SER_hh_fec!M15=0,0,11630*1000*SER_hh_fec!M15/SER_hh_num!M15)</f>
        <v>2319.6833046931911</v>
      </c>
      <c r="N15" s="135">
        <f>IF(SER_hh_fec!N15=0,0,11630*1000*SER_hh_fec!N15/SER_hh_num!N15)</f>
        <v>2392.690187392705</v>
      </c>
      <c r="O15" s="135">
        <f>IF(SER_hh_fec!O15=0,0,11630*1000*SER_hh_fec!O15/SER_hh_num!O15)</f>
        <v>2422.7926854147054</v>
      </c>
      <c r="P15" s="135">
        <f>IF(SER_hh_fec!P15=0,0,11630*1000*SER_hh_fec!P15/SER_hh_num!P15)</f>
        <v>2195.7829100341723</v>
      </c>
      <c r="Q15" s="135">
        <f>IF(SER_hh_fec!Q15=0,0,11630*1000*SER_hh_fec!Q15/SER_hh_num!Q15)</f>
        <v>2350.1581106833378</v>
      </c>
      <c r="R15" s="135">
        <f>IF(SER_hh_fec!R15=0,0,11630*1000*SER_hh_fec!R15/SER_hh_num!R15)</f>
        <v>2324.1018273776103</v>
      </c>
      <c r="S15" s="135">
        <f>IF(SER_hh_fec!S15=0,0,11630*1000*SER_hh_fec!S15/SER_hh_num!S15)</f>
        <v>2271.1306182595481</v>
      </c>
      <c r="T15" s="135">
        <f>IF(SER_hh_fec!T15=0,0,11630*1000*SER_hh_fec!T15/SER_hh_num!T15)</f>
        <v>2532.8341958998071</v>
      </c>
      <c r="U15" s="135">
        <f>IF(SER_hh_fec!U15=0,0,11630*1000*SER_hh_fec!U15/SER_hh_num!U15)</f>
        <v>2440.4794032692662</v>
      </c>
      <c r="V15" s="135">
        <f>IF(SER_hh_fec!V15=0,0,11630*1000*SER_hh_fec!V15/SER_hh_num!V15)</f>
        <v>2430.0798829631026</v>
      </c>
      <c r="W15" s="135">
        <f>IF(SER_hh_fec!W15=0,0,11630*1000*SER_hh_fec!W15/SER_hh_num!W15)</f>
        <v>1954.1149295013272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10833.740124538726</v>
      </c>
      <c r="C16" s="131">
        <f>IF(SER_hh_fec!C16=0,0,11630*1000*SER_hh_fec!C16/SER_hh_num!C16)</f>
        <v>10183.324678297233</v>
      </c>
      <c r="D16" s="131">
        <f>IF(SER_hh_fec!D16=0,0,11630*1000*SER_hh_fec!D16/SER_hh_num!D16)</f>
        <v>9775.1352701113919</v>
      </c>
      <c r="E16" s="131">
        <f>IF(SER_hh_fec!E16=0,0,11630*1000*SER_hh_fec!E16/SER_hh_num!E16)</f>
        <v>9304.7662158979601</v>
      </c>
      <c r="F16" s="131">
        <f>IF(SER_hh_fec!F16=0,0,11630*1000*SER_hh_fec!F16/SER_hh_num!F16)</f>
        <v>8805.6401878686829</v>
      </c>
      <c r="G16" s="131">
        <f>IF(SER_hh_fec!G16=0,0,11630*1000*SER_hh_fec!G16/SER_hh_num!G16)</f>
        <v>8203.0153084833819</v>
      </c>
      <c r="H16" s="131">
        <f>IF(SER_hh_fec!H16=0,0,11630*1000*SER_hh_fec!H16/SER_hh_num!H16)</f>
        <v>7895.9367769334431</v>
      </c>
      <c r="I16" s="131">
        <f>IF(SER_hh_fec!I16=0,0,11630*1000*SER_hh_fec!I16/SER_hh_num!I16)</f>
        <v>7627.3922098579669</v>
      </c>
      <c r="J16" s="131">
        <f>IF(SER_hh_fec!J16=0,0,11630*1000*SER_hh_fec!J16/SER_hh_num!J16)</f>
        <v>7117.4537482554533</v>
      </c>
      <c r="K16" s="131">
        <f>IF(SER_hh_fec!K16=0,0,11630*1000*SER_hh_fec!K16/SER_hh_num!K16)</f>
        <v>6983.4918843621745</v>
      </c>
      <c r="L16" s="131">
        <f>IF(SER_hh_fec!L16=0,0,11630*1000*SER_hh_fec!L16/SER_hh_num!L16)</f>
        <v>6896.6272248943142</v>
      </c>
      <c r="M16" s="131">
        <f>IF(SER_hh_fec!M16=0,0,11630*1000*SER_hh_fec!M16/SER_hh_num!M16)</f>
        <v>6648.4767201699697</v>
      </c>
      <c r="N16" s="131">
        <f>IF(SER_hh_fec!N16=0,0,11630*1000*SER_hh_fec!N16/SER_hh_num!N16)</f>
        <v>6558.374158080609</v>
      </c>
      <c r="O16" s="131">
        <f>IF(SER_hh_fec!O16=0,0,11630*1000*SER_hh_fec!O16/SER_hh_num!O16)</f>
        <v>6252.4423126533457</v>
      </c>
      <c r="P16" s="131">
        <f>IF(SER_hh_fec!P16=0,0,11630*1000*SER_hh_fec!P16/SER_hh_num!P16)</f>
        <v>6119.4108933496846</v>
      </c>
      <c r="Q16" s="131">
        <f>IF(SER_hh_fec!Q16=0,0,11630*1000*SER_hh_fec!Q16/SER_hh_num!Q16)</f>
        <v>5899.7624519610945</v>
      </c>
      <c r="R16" s="131">
        <f>IF(SER_hh_fec!R16=0,0,11630*1000*SER_hh_fec!R16/SER_hh_num!R16)</f>
        <v>5692.5664647129979</v>
      </c>
      <c r="S16" s="131">
        <f>IF(SER_hh_fec!S16=0,0,11630*1000*SER_hh_fec!S16/SER_hh_num!S16)</f>
        <v>5490.0960042210108</v>
      </c>
      <c r="T16" s="131">
        <f>IF(SER_hh_fec!T16=0,0,11630*1000*SER_hh_fec!T16/SER_hh_num!T16)</f>
        <v>5315.2698680667982</v>
      </c>
      <c r="U16" s="131">
        <f>IF(SER_hh_fec!U16=0,0,11630*1000*SER_hh_fec!U16/SER_hh_num!U16)</f>
        <v>5218.9560204005174</v>
      </c>
      <c r="V16" s="131">
        <f>IF(SER_hh_fec!V16=0,0,11630*1000*SER_hh_fec!V16/SER_hh_num!V16)</f>
        <v>5113.1941246382012</v>
      </c>
      <c r="W16" s="131">
        <f>IF(SER_hh_fec!W16=0,0,11630*1000*SER_hh_fec!W16/SER_hh_num!W16)</f>
        <v>4931.3828280248244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17635.459657938482</v>
      </c>
      <c r="C17" s="133">
        <f>IF(SER_hh_fec!C17=0,0,11630*1000*SER_hh_fec!C17/SER_hh_num!C17)</f>
        <v>17387.552611570121</v>
      </c>
      <c r="D17" s="133">
        <f>IF(SER_hh_fec!D17=0,0,11630*1000*SER_hh_fec!D17/SER_hh_num!D17)</f>
        <v>17499.068468523383</v>
      </c>
      <c r="E17" s="133">
        <f>IF(SER_hh_fec!E17=0,0,11630*1000*SER_hh_fec!E17/SER_hh_num!E17)</f>
        <v>17428.305018514933</v>
      </c>
      <c r="F17" s="133">
        <f>IF(SER_hh_fec!F17=0,0,11630*1000*SER_hh_fec!F17/SER_hh_num!F17)</f>
        <v>17197.084920935285</v>
      </c>
      <c r="G17" s="133">
        <f>IF(SER_hh_fec!G17=0,0,11630*1000*SER_hh_fec!G17/SER_hh_num!G17)</f>
        <v>16807.699219243485</v>
      </c>
      <c r="H17" s="133">
        <f>IF(SER_hh_fec!H17=0,0,11630*1000*SER_hh_fec!H17/SER_hh_num!H17)</f>
        <v>16931.100529085648</v>
      </c>
      <c r="I17" s="133">
        <f>IF(SER_hh_fec!I17=0,0,11630*1000*SER_hh_fec!I17/SER_hh_num!I17)</f>
        <v>16813.084436061992</v>
      </c>
      <c r="J17" s="133">
        <f>IF(SER_hh_fec!J17=0,0,11630*1000*SER_hh_fec!J17/SER_hh_num!J17)</f>
        <v>16716.38479680739</v>
      </c>
      <c r="K17" s="133">
        <f>IF(SER_hh_fec!K17=0,0,11630*1000*SER_hh_fec!K17/SER_hh_num!K17)</f>
        <v>16630.694484883305</v>
      </c>
      <c r="L17" s="133">
        <f>IF(SER_hh_fec!L17=0,0,11630*1000*SER_hh_fec!L17/SER_hh_num!L17)</f>
        <v>16770.932761071639</v>
      </c>
      <c r="M17" s="133">
        <f>IF(SER_hh_fec!M17=0,0,11630*1000*SER_hh_fec!M17/SER_hh_num!M17)</f>
        <v>16632.407411857934</v>
      </c>
      <c r="N17" s="133">
        <f>IF(SER_hh_fec!N17=0,0,11630*1000*SER_hh_fec!N17/SER_hh_num!N17)</f>
        <v>16855.076450828423</v>
      </c>
      <c r="O17" s="133">
        <f>IF(SER_hh_fec!O17=0,0,11630*1000*SER_hh_fec!O17/SER_hh_num!O17)</f>
        <v>16462.066952366342</v>
      </c>
      <c r="P17" s="133">
        <f>IF(SER_hh_fec!P17=0,0,11630*1000*SER_hh_fec!P17/SER_hh_num!P17)</f>
        <v>16470.465915631896</v>
      </c>
      <c r="Q17" s="133">
        <f>IF(SER_hh_fec!Q17=0,0,11630*1000*SER_hh_fec!Q17/SER_hh_num!Q17)</f>
        <v>16076.794117598827</v>
      </c>
      <c r="R17" s="133">
        <f>IF(SER_hh_fec!R17=0,0,11630*1000*SER_hh_fec!R17/SER_hh_num!R17)</f>
        <v>15863.443415181169</v>
      </c>
      <c r="S17" s="133">
        <f>IF(SER_hh_fec!S17=0,0,11630*1000*SER_hh_fec!S17/SER_hh_num!S17)</f>
        <v>15610.093803015448</v>
      </c>
      <c r="T17" s="133">
        <f>IF(SER_hh_fec!T17=0,0,11630*1000*SER_hh_fec!T17/SER_hh_num!T17)</f>
        <v>15408.231550106357</v>
      </c>
      <c r="U17" s="133">
        <f>IF(SER_hh_fec!U17=0,0,11630*1000*SER_hh_fec!U17/SER_hh_num!U17)</f>
        <v>15319.907992006947</v>
      </c>
      <c r="V17" s="133">
        <f>IF(SER_hh_fec!V17=0,0,11630*1000*SER_hh_fec!V17/SER_hh_num!V17)</f>
        <v>13617.765526170226</v>
      </c>
      <c r="W17" s="133">
        <f>IF(SER_hh_fec!W17=0,0,11630*1000*SER_hh_fec!W17/SER_hh_num!W17)</f>
        <v>12477.009146863786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10813.706839582366</v>
      </c>
      <c r="C18" s="133">
        <f>IF(SER_hh_fec!C18=0,0,11630*1000*SER_hh_fec!C18/SER_hh_num!C18)</f>
        <v>10161.728824339702</v>
      </c>
      <c r="D18" s="133">
        <f>IF(SER_hh_fec!D18=0,0,11630*1000*SER_hh_fec!D18/SER_hh_num!D18)</f>
        <v>9751.262571121204</v>
      </c>
      <c r="E18" s="133">
        <f>IF(SER_hh_fec!E18=0,0,11630*1000*SER_hh_fec!E18/SER_hh_num!E18)</f>
        <v>9281.7890767165864</v>
      </c>
      <c r="F18" s="133">
        <f>IF(SER_hh_fec!F18=0,0,11630*1000*SER_hh_fec!F18/SER_hh_num!F18)</f>
        <v>8778.9586850924625</v>
      </c>
      <c r="G18" s="133">
        <f>IF(SER_hh_fec!G18=0,0,11630*1000*SER_hh_fec!G18/SER_hh_num!G18)</f>
        <v>8174.6647687406521</v>
      </c>
      <c r="H18" s="133">
        <f>IF(SER_hh_fec!H18=0,0,11630*1000*SER_hh_fec!H18/SER_hh_num!H18)</f>
        <v>7862.4359863480104</v>
      </c>
      <c r="I18" s="133">
        <f>IF(SER_hh_fec!I18=0,0,11630*1000*SER_hh_fec!I18/SER_hh_num!I18)</f>
        <v>7593.403408897987</v>
      </c>
      <c r="J18" s="133">
        <f>IF(SER_hh_fec!J18=0,0,11630*1000*SER_hh_fec!J18/SER_hh_num!J18)</f>
        <v>7083.3437486690646</v>
      </c>
      <c r="K18" s="133">
        <f>IF(SER_hh_fec!K18=0,0,11630*1000*SER_hh_fec!K18/SER_hh_num!K18)</f>
        <v>6946.4825951115199</v>
      </c>
      <c r="L18" s="133">
        <f>IF(SER_hh_fec!L18=0,0,11630*1000*SER_hh_fec!L18/SER_hh_num!L18)</f>
        <v>6857.3423575753359</v>
      </c>
      <c r="M18" s="133">
        <f>IF(SER_hh_fec!M18=0,0,11630*1000*SER_hh_fec!M18/SER_hh_num!M18)</f>
        <v>6606.2632128395489</v>
      </c>
      <c r="N18" s="133">
        <f>IF(SER_hh_fec!N18=0,0,11630*1000*SER_hh_fec!N18/SER_hh_num!N18)</f>
        <v>6510.0829027138871</v>
      </c>
      <c r="O18" s="133">
        <f>IF(SER_hh_fec!O18=0,0,11630*1000*SER_hh_fec!O18/SER_hh_num!O18)</f>
        <v>6194.2385589841206</v>
      </c>
      <c r="P18" s="133">
        <f>IF(SER_hh_fec!P18=0,0,11630*1000*SER_hh_fec!P18/SER_hh_num!P18)</f>
        <v>6044.4746444081811</v>
      </c>
      <c r="Q18" s="133">
        <f>IF(SER_hh_fec!Q18=0,0,11630*1000*SER_hh_fec!Q18/SER_hh_num!Q18)</f>
        <v>5797.1365686369782</v>
      </c>
      <c r="R18" s="133">
        <f>IF(SER_hh_fec!R18=0,0,11630*1000*SER_hh_fec!R18/SER_hh_num!R18)</f>
        <v>5569.8154408507789</v>
      </c>
      <c r="S18" s="133">
        <f>IF(SER_hh_fec!S18=0,0,11630*1000*SER_hh_fec!S18/SER_hh_num!S18)</f>
        <v>5351.8845175634733</v>
      </c>
      <c r="T18" s="133">
        <f>IF(SER_hh_fec!T18=0,0,11630*1000*SER_hh_fec!T18/SER_hh_num!T18)</f>
        <v>5169.868133416051</v>
      </c>
      <c r="U18" s="133">
        <f>IF(SER_hh_fec!U18=0,0,11630*1000*SER_hh_fec!U18/SER_hh_num!U18)</f>
        <v>5067.6640664697288</v>
      </c>
      <c r="V18" s="133">
        <f>IF(SER_hh_fec!V18=0,0,11630*1000*SER_hh_fec!V18/SER_hh_num!V18)</f>
        <v>4969.3774110554104</v>
      </c>
      <c r="W18" s="133">
        <f>IF(SER_hh_fec!W18=0,0,11630*1000*SER_hh_fec!W18/SER_hh_num!W18)</f>
        <v>4798.8814984502151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38751.019606622511</v>
      </c>
      <c r="C19" s="131">
        <f>IF(SER_hh_fec!C19=0,0,11630*1000*SER_hh_fec!C19/SER_hh_num!C19)</f>
        <v>38823.149597145581</v>
      </c>
      <c r="D19" s="131">
        <f>IF(SER_hh_fec!D19=0,0,11630*1000*SER_hh_fec!D19/SER_hh_num!D19)</f>
        <v>38232.391583442441</v>
      </c>
      <c r="E19" s="131">
        <f>IF(SER_hh_fec!E19=0,0,11630*1000*SER_hh_fec!E19/SER_hh_num!E19)</f>
        <v>37520.796778099058</v>
      </c>
      <c r="F19" s="131">
        <f>IF(SER_hh_fec!F19=0,0,11630*1000*SER_hh_fec!F19/SER_hh_num!F19)</f>
        <v>37074.038113137969</v>
      </c>
      <c r="G19" s="131">
        <f>IF(SER_hh_fec!G19=0,0,11630*1000*SER_hh_fec!G19/SER_hh_num!G19)</f>
        <v>36948.818227585463</v>
      </c>
      <c r="H19" s="131">
        <f>IF(SER_hh_fec!H19=0,0,11630*1000*SER_hh_fec!H19/SER_hh_num!H19)</f>
        <v>36149.851385386355</v>
      </c>
      <c r="I19" s="131">
        <f>IF(SER_hh_fec!I19=0,0,11630*1000*SER_hh_fec!I19/SER_hh_num!I19)</f>
        <v>35316.710770207646</v>
      </c>
      <c r="J19" s="131">
        <f>IF(SER_hh_fec!J19=0,0,11630*1000*SER_hh_fec!J19/SER_hh_num!J19)</f>
        <v>35200.939622287486</v>
      </c>
      <c r="K19" s="131">
        <f>IF(SER_hh_fec!K19=0,0,11630*1000*SER_hh_fec!K19/SER_hh_num!K19)</f>
        <v>36961.614818842078</v>
      </c>
      <c r="L19" s="131">
        <f>IF(SER_hh_fec!L19=0,0,11630*1000*SER_hh_fec!L19/SER_hh_num!L19)</f>
        <v>38005.068962722929</v>
      </c>
      <c r="M19" s="131">
        <f>IF(SER_hh_fec!M19=0,0,11630*1000*SER_hh_fec!M19/SER_hh_num!M19)</f>
        <v>37865.555965935557</v>
      </c>
      <c r="N19" s="131">
        <f>IF(SER_hh_fec!N19=0,0,11630*1000*SER_hh_fec!N19/SER_hh_num!N19)</f>
        <v>37585.493313803207</v>
      </c>
      <c r="O19" s="131">
        <f>IF(SER_hh_fec!O19=0,0,11630*1000*SER_hh_fec!O19/SER_hh_num!O19)</f>
        <v>36899.381223664364</v>
      </c>
      <c r="P19" s="131">
        <f>IF(SER_hh_fec!P19=0,0,11630*1000*SER_hh_fec!P19/SER_hh_num!P19)</f>
        <v>36425.961018396527</v>
      </c>
      <c r="Q19" s="131">
        <f>IF(SER_hh_fec!Q19=0,0,11630*1000*SER_hh_fec!Q19/SER_hh_num!Q19)</f>
        <v>36747.221423282674</v>
      </c>
      <c r="R19" s="131">
        <f>IF(SER_hh_fec!R19=0,0,11630*1000*SER_hh_fec!R19/SER_hh_num!R19)</f>
        <v>35821.966725785307</v>
      </c>
      <c r="S19" s="131">
        <f>IF(SER_hh_fec!S19=0,0,11630*1000*SER_hh_fec!S19/SER_hh_num!S19)</f>
        <v>35479.399048085317</v>
      </c>
      <c r="T19" s="131">
        <f>IF(SER_hh_fec!T19=0,0,11630*1000*SER_hh_fec!T19/SER_hh_num!T19)</f>
        <v>34671.31752695662</v>
      </c>
      <c r="U19" s="131">
        <f>IF(SER_hh_fec!U19=0,0,11630*1000*SER_hh_fec!U19/SER_hh_num!U19)</f>
        <v>34074.042738909862</v>
      </c>
      <c r="V19" s="131">
        <f>IF(SER_hh_fec!V19=0,0,11630*1000*SER_hh_fec!V19/SER_hh_num!V19)</f>
        <v>32189.350579052341</v>
      </c>
      <c r="W19" s="131">
        <f>IF(SER_hh_fec!W19=0,0,11630*1000*SER_hh_fec!W19/SER_hh_num!W19)</f>
        <v>32139.536841650337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44065.842394907246</v>
      </c>
      <c r="C22" s="133">
        <f>IF(SER_hh_fec!C22=0,0,11630*1000*SER_hh_fec!C22/SER_hh_num!C22)</f>
        <v>44335.379965861342</v>
      </c>
      <c r="D22" s="133">
        <f>IF(SER_hh_fec!D22=0,0,11630*1000*SER_hh_fec!D22/SER_hh_num!D22)</f>
        <v>44356.045624275379</v>
      </c>
      <c r="E22" s="133">
        <f>IF(SER_hh_fec!E22=0,0,11630*1000*SER_hh_fec!E22/SER_hh_num!E22)</f>
        <v>42911.457225898419</v>
      </c>
      <c r="F22" s="133">
        <f>IF(SER_hh_fec!F22=0,0,11630*1000*SER_hh_fec!F22/SER_hh_num!F22)</f>
        <v>43541.735425315499</v>
      </c>
      <c r="G22" s="133">
        <f>IF(SER_hh_fec!G22=0,0,11630*1000*SER_hh_fec!G22/SER_hh_num!G22)</f>
        <v>42842.959650844306</v>
      </c>
      <c r="H22" s="133">
        <f>IF(SER_hh_fec!H22=0,0,11630*1000*SER_hh_fec!H22/SER_hh_num!H22)</f>
        <v>41780.546129756818</v>
      </c>
      <c r="I22" s="133">
        <f>IF(SER_hh_fec!I22=0,0,11630*1000*SER_hh_fec!I22/SER_hh_num!I22)</f>
        <v>41619.498343523679</v>
      </c>
      <c r="J22" s="133">
        <f>IF(SER_hh_fec!J22=0,0,11630*1000*SER_hh_fec!J22/SER_hh_num!J22)</f>
        <v>42555.139998561463</v>
      </c>
      <c r="K22" s="133">
        <f>IF(SER_hh_fec!K22=0,0,11630*1000*SER_hh_fec!K22/SER_hh_num!K22)</f>
        <v>42933.013651492111</v>
      </c>
      <c r="L22" s="133">
        <f>IF(SER_hh_fec!L22=0,0,11630*1000*SER_hh_fec!L22/SER_hh_num!L22)</f>
        <v>44349.755672923427</v>
      </c>
      <c r="M22" s="133">
        <f>IF(SER_hh_fec!M22=0,0,11630*1000*SER_hh_fec!M22/SER_hh_num!M22)</f>
        <v>44436.564262239022</v>
      </c>
      <c r="N22" s="133">
        <f>IF(SER_hh_fec!N22=0,0,11630*1000*SER_hh_fec!N22/SER_hh_num!N22)</f>
        <v>44062.258828523132</v>
      </c>
      <c r="O22" s="133">
        <f>IF(SER_hh_fec!O22=0,0,11630*1000*SER_hh_fec!O22/SER_hh_num!O22)</f>
        <v>42822.449975256102</v>
      </c>
      <c r="P22" s="133">
        <f>IF(SER_hh_fec!P22=0,0,11630*1000*SER_hh_fec!P22/SER_hh_num!P22)</f>
        <v>43163.350644421385</v>
      </c>
      <c r="Q22" s="133">
        <f>IF(SER_hh_fec!Q22=0,0,11630*1000*SER_hh_fec!Q22/SER_hh_num!Q22)</f>
        <v>42354.748994524183</v>
      </c>
      <c r="R22" s="133">
        <f>IF(SER_hh_fec!R22=0,0,11630*1000*SER_hh_fec!R22/SER_hh_num!R22)</f>
        <v>41555.361898482755</v>
      </c>
      <c r="S22" s="133">
        <f>IF(SER_hh_fec!S22=0,0,11630*1000*SER_hh_fec!S22/SER_hh_num!S22)</f>
        <v>42528.232274319053</v>
      </c>
      <c r="T22" s="133">
        <f>IF(SER_hh_fec!T22=0,0,11630*1000*SER_hh_fec!T22/SER_hh_num!T22)</f>
        <v>41012.113030011838</v>
      </c>
      <c r="U22" s="133">
        <f>IF(SER_hh_fec!U22=0,0,11630*1000*SER_hh_fec!U22/SER_hh_num!U22)</f>
        <v>41022.963007190796</v>
      </c>
      <c r="V22" s="133">
        <f>IF(SER_hh_fec!V22=0,0,11630*1000*SER_hh_fec!V22/SER_hh_num!V22)</f>
        <v>37165.708418172282</v>
      </c>
      <c r="W22" s="133">
        <f>IF(SER_hh_fec!W22=0,0,11630*1000*SER_hh_fec!W22/SER_hh_num!W22)</f>
        <v>38870.837060259284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42512.866261244104</v>
      </c>
      <c r="C23" s="133">
        <f>IF(SER_hh_fec!C23=0,0,11630*1000*SER_hh_fec!C23/SER_hh_num!C23)</f>
        <v>43078.149680627444</v>
      </c>
      <c r="D23" s="133">
        <f>IF(SER_hh_fec!D23=0,0,11630*1000*SER_hh_fec!D23/SER_hh_num!D23)</f>
        <v>42144.376714845275</v>
      </c>
      <c r="E23" s="133">
        <f>IF(SER_hh_fec!E23=0,0,11630*1000*SER_hh_fec!E23/SER_hh_num!E23)</f>
        <v>41052.779555445581</v>
      </c>
      <c r="F23" s="133">
        <f>IF(SER_hh_fec!F23=0,0,11630*1000*SER_hh_fec!F23/SER_hh_num!F23)</f>
        <v>40961.844779755316</v>
      </c>
      <c r="G23" s="133">
        <f>IF(SER_hh_fec!G23=0,0,11630*1000*SER_hh_fec!G23/SER_hh_num!G23)</f>
        <v>40248.138137805465</v>
      </c>
      <c r="H23" s="133">
        <f>IF(SER_hh_fec!H23=0,0,11630*1000*SER_hh_fec!H23/SER_hh_num!H23)</f>
        <v>39177.907247954317</v>
      </c>
      <c r="I23" s="133">
        <f>IF(SER_hh_fec!I23=0,0,11630*1000*SER_hh_fec!I23/SER_hh_num!I23)</f>
        <v>39151.685342462639</v>
      </c>
      <c r="J23" s="133">
        <f>IF(SER_hh_fec!J23=0,0,11630*1000*SER_hh_fec!J23/SER_hh_num!J23)</f>
        <v>38437.914848302702</v>
      </c>
      <c r="K23" s="133">
        <f>IF(SER_hh_fec!K23=0,0,11630*1000*SER_hh_fec!K23/SER_hh_num!K23)</f>
        <v>39486.288940274535</v>
      </c>
      <c r="L23" s="133">
        <f>IF(SER_hh_fec!L23=0,0,11630*1000*SER_hh_fec!L23/SER_hh_num!L23)</f>
        <v>39977.274300056815</v>
      </c>
      <c r="M23" s="133">
        <f>IF(SER_hh_fec!M23=0,0,11630*1000*SER_hh_fec!M23/SER_hh_num!M23)</f>
        <v>40127.913683364779</v>
      </c>
      <c r="N23" s="133">
        <f>IF(SER_hh_fec!N23=0,0,11630*1000*SER_hh_fec!N23/SER_hh_num!N23)</f>
        <v>38928.626669477126</v>
      </c>
      <c r="O23" s="133">
        <f>IF(SER_hh_fec!O23=0,0,11630*1000*SER_hh_fec!O23/SER_hh_num!O23)</f>
        <v>38421.943555216865</v>
      </c>
      <c r="P23" s="133">
        <f>IF(SER_hh_fec!P23=0,0,11630*1000*SER_hh_fec!P23/SER_hh_num!P23)</f>
        <v>38487.799617571844</v>
      </c>
      <c r="Q23" s="133">
        <f>IF(SER_hh_fec!Q23=0,0,11630*1000*SER_hh_fec!Q23/SER_hh_num!Q23)</f>
        <v>37372.65816197313</v>
      </c>
      <c r="R23" s="133">
        <f>IF(SER_hh_fec!R23=0,0,11630*1000*SER_hh_fec!R23/SER_hh_num!R23)</f>
        <v>37183.024001778373</v>
      </c>
      <c r="S23" s="133">
        <f>IF(SER_hh_fec!S23=0,0,11630*1000*SER_hh_fec!S23/SER_hh_num!S23)</f>
        <v>37819.648607762058</v>
      </c>
      <c r="T23" s="133">
        <f>IF(SER_hh_fec!T23=0,0,11630*1000*SER_hh_fec!T23/SER_hh_num!T23)</f>
        <v>35879.332606412914</v>
      </c>
      <c r="U23" s="133">
        <f>IF(SER_hh_fec!U23=0,0,11630*1000*SER_hh_fec!U23/SER_hh_num!U23)</f>
        <v>35922.881685261542</v>
      </c>
      <c r="V23" s="133">
        <f>IF(SER_hh_fec!V23=0,0,11630*1000*SER_hh_fec!V23/SER_hh_num!V23)</f>
        <v>32919.646313549463</v>
      </c>
      <c r="W23" s="133">
        <f>IF(SER_hh_fec!W23=0,0,11630*1000*SER_hh_fec!W23/SER_hh_num!W23)</f>
        <v>34317.837785871081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35053.586245178732</v>
      </c>
      <c r="C26" s="65">
        <f>IF(SER_hh_fec!C26=0,0,11630*1000*SER_hh_fec!C26/SER_hh_num!C26)</f>
        <v>34988.517992745656</v>
      </c>
      <c r="D26" s="65">
        <f>IF(SER_hh_fec!D26=0,0,11630*1000*SER_hh_fec!D26/SER_hh_num!D26)</f>
        <v>34445.104168803038</v>
      </c>
      <c r="E26" s="65">
        <f>IF(SER_hh_fec!E26=0,0,11630*1000*SER_hh_fec!E26/SER_hh_num!E26)</f>
        <v>34306.39136169626</v>
      </c>
      <c r="F26" s="65">
        <f>IF(SER_hh_fec!F26=0,0,11630*1000*SER_hh_fec!F26/SER_hh_num!F26)</f>
        <v>33519.521727307045</v>
      </c>
      <c r="G26" s="65">
        <f>IF(SER_hh_fec!G26=0,0,11630*1000*SER_hh_fec!G26/SER_hh_num!G26)</f>
        <v>34030.68436632854</v>
      </c>
      <c r="H26" s="65">
        <f>IF(SER_hh_fec!H26=0,0,11630*1000*SER_hh_fec!H26/SER_hh_num!H26)</f>
        <v>33551.557383662323</v>
      </c>
      <c r="I26" s="65">
        <f>IF(SER_hh_fec!I26=0,0,11630*1000*SER_hh_fec!I26/SER_hh_num!I26)</f>
        <v>32517.186016907377</v>
      </c>
      <c r="J26" s="65">
        <f>IF(SER_hh_fec!J26=0,0,11630*1000*SER_hh_fec!J26/SER_hh_num!J26)</f>
        <v>32407.105614614858</v>
      </c>
      <c r="K26" s="65">
        <f>IF(SER_hh_fec!K26=0,0,11630*1000*SER_hh_fec!K26/SER_hh_num!K26)</f>
        <v>34675.61696707079</v>
      </c>
      <c r="L26" s="65">
        <f>IF(SER_hh_fec!L26=0,0,11630*1000*SER_hh_fec!L26/SER_hh_num!L26)</f>
        <v>35769.376945767828</v>
      </c>
      <c r="M26" s="65">
        <f>IF(SER_hh_fec!M26=0,0,11630*1000*SER_hh_fec!M26/SER_hh_num!M26)</f>
        <v>35470.732717580133</v>
      </c>
      <c r="N26" s="65">
        <f>IF(SER_hh_fec!N26=0,0,11630*1000*SER_hh_fec!N26/SER_hh_num!N26)</f>
        <v>35473.702318917669</v>
      </c>
      <c r="O26" s="65">
        <f>IF(SER_hh_fec!O26=0,0,11630*1000*SER_hh_fec!O26/SER_hh_num!O26)</f>
        <v>34815.182491397049</v>
      </c>
      <c r="P26" s="65">
        <f>IF(SER_hh_fec!P26=0,0,11630*1000*SER_hh_fec!P26/SER_hh_num!P26)</f>
        <v>33936.282791292644</v>
      </c>
      <c r="Q26" s="65">
        <f>IF(SER_hh_fec!Q26=0,0,11630*1000*SER_hh_fec!Q26/SER_hh_num!Q26)</f>
        <v>35119.457330295205</v>
      </c>
      <c r="R26" s="65">
        <f>IF(SER_hh_fec!R26=0,0,11630*1000*SER_hh_fec!R26/SER_hh_num!R26)</f>
        <v>33945.654427581634</v>
      </c>
      <c r="S26" s="65">
        <f>IF(SER_hh_fec!S26=0,0,11630*1000*SER_hh_fec!S26/SER_hh_num!S26)</f>
        <v>32994.671407265647</v>
      </c>
      <c r="T26" s="65">
        <f>IF(SER_hh_fec!T26=0,0,11630*1000*SER_hh_fec!T26/SER_hh_num!T26)</f>
        <v>32940.85166911361</v>
      </c>
      <c r="U26" s="65">
        <f>IF(SER_hh_fec!U26=0,0,11630*1000*SER_hh_fec!U26/SER_hh_num!U26)</f>
        <v>32141.941462022583</v>
      </c>
      <c r="V26" s="65">
        <f>IF(SER_hh_fec!V26=0,0,11630*1000*SER_hh_fec!V26/SER_hh_num!V26)</f>
        <v>31109.832200148616</v>
      </c>
      <c r="W26" s="65">
        <f>IF(SER_hh_fec!W26=0,0,11630*1000*SER_hh_fec!W26/SER_hh_num!W26)</f>
        <v>30374.002043657132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8.5933309261693598</v>
      </c>
      <c r="I27" s="146">
        <f>IF(SER_hh_fec!I27=0,0,11630*1000*SER_hh_fec!I27/SER_hh_num!I19)</f>
        <v>9.3302260031352979</v>
      </c>
      <c r="J27" s="146">
        <f>IF(SER_hh_fec!J27=0,0,11630*1000*SER_hh_fec!J27/SER_hh_num!J19)</f>
        <v>23.124367275981495</v>
      </c>
      <c r="K27" s="146">
        <f>IF(SER_hh_fec!K27=0,0,11630*1000*SER_hh_fec!K27/SER_hh_num!K19)</f>
        <v>25.309740198511928</v>
      </c>
      <c r="L27" s="146">
        <f>IF(SER_hh_fec!L27=0,0,11630*1000*SER_hh_fec!L27/SER_hh_num!L19)</f>
        <v>38.956594091442966</v>
      </c>
      <c r="M27" s="146">
        <f>IF(SER_hh_fec!M27=0,0,11630*1000*SER_hh_fec!M27/SER_hh_num!M19)</f>
        <v>41.506293446687458</v>
      </c>
      <c r="N27" s="146">
        <f>IF(SER_hh_fec!N27=0,0,11630*1000*SER_hh_fec!N27/SER_hh_num!N19)</f>
        <v>42.032103746452933</v>
      </c>
      <c r="O27" s="146">
        <f>IF(SER_hh_fec!O27=0,0,11630*1000*SER_hh_fec!O27/SER_hh_num!O19)</f>
        <v>41.81834067155615</v>
      </c>
      <c r="P27" s="146">
        <f>IF(SER_hh_fec!P27=0,0,11630*1000*SER_hh_fec!P27/SER_hh_num!P19)</f>
        <v>41.18301940415202</v>
      </c>
      <c r="Q27" s="146">
        <f>IF(SER_hh_fec!Q27=0,0,11630*1000*SER_hh_fec!Q27/SER_hh_num!Q19)</f>
        <v>41.021812159309768</v>
      </c>
      <c r="R27" s="146">
        <f>IF(SER_hh_fec!R27=0,0,11630*1000*SER_hh_fec!R27/SER_hh_num!R19)</f>
        <v>39.886332111277234</v>
      </c>
      <c r="S27" s="146">
        <f>IF(SER_hh_fec!S27=0,0,11630*1000*SER_hh_fec!S27/SER_hh_num!S19)</f>
        <v>39.235874753127078</v>
      </c>
      <c r="T27" s="146">
        <f>IF(SER_hh_fec!T27=0,0,11630*1000*SER_hh_fec!T27/SER_hh_num!T19)</f>
        <v>38.464785592602539</v>
      </c>
      <c r="U27" s="146">
        <f>IF(SER_hh_fec!U27=0,0,11630*1000*SER_hh_fec!U27/SER_hh_num!U19)</f>
        <v>37.816598682231231</v>
      </c>
      <c r="V27" s="146">
        <f>IF(SER_hh_fec!V27=0,0,11630*1000*SER_hh_fec!V27/SER_hh_num!V19)</f>
        <v>37.27613152399659</v>
      </c>
      <c r="W27" s="146">
        <f>IF(SER_hh_fec!W27=0,0,11630*1000*SER_hh_fec!W27/SER_hh_num!W19)</f>
        <v>36.80088383971831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4970.2110627158663</v>
      </c>
      <c r="I28" s="147">
        <f>IF(SER_hh_fec!I27=0,0,11630*1000*SER_hh_fec!I27/SER_hh_num!I27)</f>
        <v>4954.5666731695583</v>
      </c>
      <c r="J28" s="147">
        <f>IF(SER_hh_fec!J27=0,0,11630*1000*SER_hh_fec!J27/SER_hh_num!J27)</f>
        <v>5107.68258560086</v>
      </c>
      <c r="K28" s="147">
        <f>IF(SER_hh_fec!K27=0,0,11630*1000*SER_hh_fec!K27/SER_hh_num!K27)</f>
        <v>5420.494129463259</v>
      </c>
      <c r="L28" s="147">
        <f>IF(SER_hh_fec!L27=0,0,11630*1000*SER_hh_fec!L27/SER_hh_num!L27)</f>
        <v>5561.0531862730377</v>
      </c>
      <c r="M28" s="147">
        <f>IF(SER_hh_fec!M27=0,0,11630*1000*SER_hh_fec!M27/SER_hh_num!M27)</f>
        <v>5506.4015505359166</v>
      </c>
      <c r="N28" s="147">
        <f>IF(SER_hh_fec!N27=0,0,11630*1000*SER_hh_fec!N27/SER_hh_num!N27)</f>
        <v>5581.7141311122414</v>
      </c>
      <c r="O28" s="147">
        <f>IF(SER_hh_fec!O27=0,0,11630*1000*SER_hh_fec!O27/SER_hh_num!O27)</f>
        <v>5569.6304118674252</v>
      </c>
      <c r="P28" s="147">
        <f>IF(SER_hh_fec!P27=0,0,11630*1000*SER_hh_fec!P27/SER_hh_num!P27)</f>
        <v>5549.2734924749011</v>
      </c>
      <c r="Q28" s="147">
        <f>IF(SER_hh_fec!Q27=0,0,11630*1000*SER_hh_fec!Q27/SER_hh_num!Q27)</f>
        <v>5725.5365488951675</v>
      </c>
      <c r="R28" s="147">
        <f>IF(SER_hh_fec!R27=0,0,11630*1000*SER_hh_fec!R27/SER_hh_num!R27)</f>
        <v>5762.1750894509987</v>
      </c>
      <c r="S28" s="147">
        <f>IF(SER_hh_fec!S27=0,0,11630*1000*SER_hh_fec!S27/SER_hh_num!S27)</f>
        <v>5839.9513448958078</v>
      </c>
      <c r="T28" s="147">
        <f>IF(SER_hh_fec!T27=0,0,11630*1000*SER_hh_fec!T27/SER_hh_num!T27)</f>
        <v>5918.416949517009</v>
      </c>
      <c r="U28" s="147">
        <f>IF(SER_hh_fec!U27=0,0,11630*1000*SER_hh_fec!U27/SER_hh_num!U27)</f>
        <v>5998.5841637502172</v>
      </c>
      <c r="V28" s="147">
        <f>IF(SER_hh_fec!V27=0,0,11630*1000*SER_hh_fec!V27/SER_hh_num!V27)</f>
        <v>5595.5940544874329</v>
      </c>
      <c r="W28" s="147">
        <f>IF(SER_hh_fec!W27=0,0,11630*1000*SER_hh_fec!W27/SER_hh_num!W27)</f>
        <v>5632.9670911281055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36821.773235196706</v>
      </c>
      <c r="C29" s="131">
        <f>IF(SER_hh_fec!C29=0,0,11630*1000*SER_hh_fec!C29/SER_hh_num!C29)</f>
        <v>36843.629856205349</v>
      </c>
      <c r="D29" s="131">
        <f>IF(SER_hh_fec!D29=0,0,11630*1000*SER_hh_fec!D29/SER_hh_num!D29)</f>
        <v>36419.473260090635</v>
      </c>
      <c r="E29" s="131">
        <f>IF(SER_hh_fec!E29=0,0,11630*1000*SER_hh_fec!E29/SER_hh_num!E29)</f>
        <v>36382.304967129443</v>
      </c>
      <c r="F29" s="131">
        <f>IF(SER_hh_fec!F29=0,0,11630*1000*SER_hh_fec!F29/SER_hh_num!F29)</f>
        <v>36387.404874309032</v>
      </c>
      <c r="G29" s="131">
        <f>IF(SER_hh_fec!G29=0,0,11630*1000*SER_hh_fec!G29/SER_hh_num!G29)</f>
        <v>36705.513092802576</v>
      </c>
      <c r="H29" s="131">
        <f>IF(SER_hh_fec!H29=0,0,11630*1000*SER_hh_fec!H29/SER_hh_num!H29)</f>
        <v>36475.785999134394</v>
      </c>
      <c r="I29" s="131">
        <f>IF(SER_hh_fec!I29=0,0,11630*1000*SER_hh_fec!I29/SER_hh_num!I29)</f>
        <v>35999.130299265904</v>
      </c>
      <c r="J29" s="131">
        <f>IF(SER_hh_fec!J29=0,0,11630*1000*SER_hh_fec!J29/SER_hh_num!J29)</f>
        <v>36980.3701180274</v>
      </c>
      <c r="K29" s="131">
        <f>IF(SER_hh_fec!K29=0,0,11630*1000*SER_hh_fec!K29/SER_hh_num!K29)</f>
        <v>34905.498686057159</v>
      </c>
      <c r="L29" s="131">
        <f>IF(SER_hh_fec!L29=0,0,11630*1000*SER_hh_fec!L29/SER_hh_num!L29)</f>
        <v>36872.70002413461</v>
      </c>
      <c r="M29" s="131">
        <f>IF(SER_hh_fec!M29=0,0,11630*1000*SER_hh_fec!M29/SER_hh_num!M29)</f>
        <v>38582.706380957643</v>
      </c>
      <c r="N29" s="131">
        <f>IF(SER_hh_fec!N29=0,0,11630*1000*SER_hh_fec!N29/SER_hh_num!N29)</f>
        <v>39231.955494504451</v>
      </c>
      <c r="O29" s="131">
        <f>IF(SER_hh_fec!O29=0,0,11630*1000*SER_hh_fec!O29/SER_hh_num!O29)</f>
        <v>40126.641515128453</v>
      </c>
      <c r="P29" s="131">
        <f>IF(SER_hh_fec!P29=0,0,11630*1000*SER_hh_fec!P29/SER_hh_num!P29)</f>
        <v>38633.620562464159</v>
      </c>
      <c r="Q29" s="131">
        <f>IF(SER_hh_fec!Q29=0,0,11630*1000*SER_hh_fec!Q29/SER_hh_num!Q29)</f>
        <v>39208.344475630875</v>
      </c>
      <c r="R29" s="131">
        <f>IF(SER_hh_fec!R29=0,0,11630*1000*SER_hh_fec!R29/SER_hh_num!R29)</f>
        <v>38333.794727214176</v>
      </c>
      <c r="S29" s="131">
        <f>IF(SER_hh_fec!S29=0,0,11630*1000*SER_hh_fec!S29/SER_hh_num!S29)</f>
        <v>38689.504018541142</v>
      </c>
      <c r="T29" s="131">
        <f>IF(SER_hh_fec!T29=0,0,11630*1000*SER_hh_fec!T29/SER_hh_num!T29)</f>
        <v>38786.885437308141</v>
      </c>
      <c r="U29" s="131">
        <f>IF(SER_hh_fec!U29=0,0,11630*1000*SER_hh_fec!U29/SER_hh_num!U29)</f>
        <v>38778.746701252283</v>
      </c>
      <c r="V29" s="131">
        <f>IF(SER_hh_fec!V29=0,0,11630*1000*SER_hh_fec!V29/SER_hh_num!V29)</f>
        <v>35624.19493669751</v>
      </c>
      <c r="W29" s="131">
        <f>IF(SER_hh_fec!W29=0,0,11630*1000*SER_hh_fec!W29/SER_hh_num!W29)</f>
        <v>38473.029719910068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40587.110409792062</v>
      </c>
      <c r="C30" s="133">
        <f>IF(SER_hh_fec!C30=0,0,11630*1000*SER_hh_fec!C30/SER_hh_num!C30)</f>
        <v>42869.867604790277</v>
      </c>
      <c r="D30" s="133">
        <f>IF(SER_hh_fec!D30=0,0,11630*1000*SER_hh_fec!D30/SER_hh_num!D30)</f>
        <v>41312.526325005005</v>
      </c>
      <c r="E30" s="133">
        <f>IF(SER_hh_fec!E30=0,0,11630*1000*SER_hh_fec!E30/SER_hh_num!E30)</f>
        <v>40322.362496471316</v>
      </c>
      <c r="F30" s="133">
        <f>IF(SER_hh_fec!F30=0,0,11630*1000*SER_hh_fec!F30/SER_hh_num!F30)</f>
        <v>39890.524879048171</v>
      </c>
      <c r="G30" s="133">
        <f>IF(SER_hh_fec!G30=0,0,11630*1000*SER_hh_fec!G30/SER_hh_num!G30)</f>
        <v>42453.968379915321</v>
      </c>
      <c r="H30" s="133">
        <f>IF(SER_hh_fec!H30=0,0,11630*1000*SER_hh_fec!H30/SER_hh_num!H30)</f>
        <v>40529.623254626931</v>
      </c>
      <c r="I30" s="133">
        <f>IF(SER_hh_fec!I30=0,0,11630*1000*SER_hh_fec!I30/SER_hh_num!I30)</f>
        <v>39364.432157620031</v>
      </c>
      <c r="J30" s="133">
        <f>IF(SER_hh_fec!J30=0,0,11630*1000*SER_hh_fec!J30/SER_hh_num!J30)</f>
        <v>45455.493441316437</v>
      </c>
      <c r="K30" s="133">
        <f>IF(SER_hh_fec!K30=0,0,11630*1000*SER_hh_fec!K30/SER_hh_num!K30)</f>
        <v>34239.546393780511</v>
      </c>
      <c r="L30" s="133">
        <f>IF(SER_hh_fec!L30=0,0,11630*1000*SER_hh_fec!L30/SER_hh_num!L30)</f>
        <v>44188.956342581871</v>
      </c>
      <c r="M30" s="133">
        <f>IF(SER_hh_fec!M30=0,0,11630*1000*SER_hh_fec!M30/SER_hh_num!M30)</f>
        <v>43541.979184056428</v>
      </c>
      <c r="N30" s="133">
        <f>IF(SER_hh_fec!N30=0,0,11630*1000*SER_hh_fec!N30/SER_hh_num!N30)</f>
        <v>41816.825683870891</v>
      </c>
      <c r="O30" s="133">
        <f>IF(SER_hh_fec!O30=0,0,11630*1000*SER_hh_fec!O30/SER_hh_num!O30)</f>
        <v>48990.887249472005</v>
      </c>
      <c r="P30" s="133">
        <f>IF(SER_hh_fec!P30=0,0,11630*1000*SER_hh_fec!P30/SER_hh_num!P30)</f>
        <v>41497.291119254376</v>
      </c>
      <c r="Q30" s="133">
        <f>IF(SER_hh_fec!Q30=0,0,11630*1000*SER_hh_fec!Q30/SER_hh_num!Q30)</f>
        <v>46368.179693099992</v>
      </c>
      <c r="R30" s="133">
        <f>IF(SER_hh_fec!R30=0,0,11630*1000*SER_hh_fec!R30/SER_hh_num!R30)</f>
        <v>42009.537936761531</v>
      </c>
      <c r="S30" s="133">
        <f>IF(SER_hh_fec!S30=0,0,11630*1000*SER_hh_fec!S30/SER_hh_num!S30)</f>
        <v>43550.623382118196</v>
      </c>
      <c r="T30" s="133">
        <f>IF(SER_hh_fec!T30=0,0,11630*1000*SER_hh_fec!T30/SER_hh_num!T30)</f>
        <v>47317.195622114144</v>
      </c>
      <c r="U30" s="133">
        <f>IF(SER_hh_fec!U30=0,0,11630*1000*SER_hh_fec!U30/SER_hh_num!U30)</f>
        <v>47595.510707723239</v>
      </c>
      <c r="V30" s="133">
        <f>IF(SER_hh_fec!V30=0,0,11630*1000*SER_hh_fec!V30/SER_hh_num!V30)</f>
        <v>40623.966619310864</v>
      </c>
      <c r="W30" s="133">
        <f>IF(SER_hh_fec!W30=0,0,11630*1000*SER_hh_fec!W30/SER_hh_num!W30)</f>
        <v>46953.855921214679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42357.539253816009</v>
      </c>
      <c r="C31" s="133">
        <f>IF(SER_hh_fec!C31=0,0,11630*1000*SER_hh_fec!C31/SER_hh_num!C31)</f>
        <v>41976.777312951293</v>
      </c>
      <c r="D31" s="133">
        <f>IF(SER_hh_fec!D31=0,0,11630*1000*SER_hh_fec!D31/SER_hh_num!D31)</f>
        <v>41271.363486257469</v>
      </c>
      <c r="E31" s="133">
        <f>IF(SER_hh_fec!E31=0,0,11630*1000*SER_hh_fec!E31/SER_hh_num!E31)</f>
        <v>40715.804344440105</v>
      </c>
      <c r="F31" s="133">
        <f>IF(SER_hh_fec!F31=0,0,11630*1000*SER_hh_fec!F31/SER_hh_num!F31)</f>
        <v>41033.902855283028</v>
      </c>
      <c r="G31" s="133">
        <f>IF(SER_hh_fec!G31=0,0,11630*1000*SER_hh_fec!G31/SER_hh_num!G31)</f>
        <v>40763.164813283896</v>
      </c>
      <c r="H31" s="133">
        <f>IF(SER_hh_fec!H31=0,0,11630*1000*SER_hh_fec!H31/SER_hh_num!H31)</f>
        <v>40797.075366724312</v>
      </c>
      <c r="I31" s="133">
        <f>IF(SER_hh_fec!I31=0,0,11630*1000*SER_hh_fec!I31/SER_hh_num!I31)</f>
        <v>39883.334771087582</v>
      </c>
      <c r="J31" s="133">
        <f>IF(SER_hh_fec!J31=0,0,11630*1000*SER_hh_fec!J31/SER_hh_num!J31)</f>
        <v>39592.571437520295</v>
      </c>
      <c r="K31" s="133">
        <f>IF(SER_hh_fec!K31=0,0,11630*1000*SER_hh_fec!K31/SER_hh_num!K31)</f>
        <v>40491.539422356807</v>
      </c>
      <c r="L31" s="133">
        <f>IF(SER_hh_fec!L31=0,0,11630*1000*SER_hh_fec!L31/SER_hh_num!L31)</f>
        <v>40969.544540924559</v>
      </c>
      <c r="M31" s="133">
        <f>IF(SER_hh_fec!M31=0,0,11630*1000*SER_hh_fec!M31/SER_hh_num!M31)</f>
        <v>42394.133523025528</v>
      </c>
      <c r="N31" s="133">
        <f>IF(SER_hh_fec!N31=0,0,11630*1000*SER_hh_fec!N31/SER_hh_num!N31)</f>
        <v>43796.375017771206</v>
      </c>
      <c r="O31" s="133">
        <f>IF(SER_hh_fec!O31=0,0,11630*1000*SER_hh_fec!O31/SER_hh_num!O31)</f>
        <v>43899.205344253322</v>
      </c>
      <c r="P31" s="133">
        <f>IF(SER_hh_fec!P31=0,0,11630*1000*SER_hh_fec!P31/SER_hh_num!P31)</f>
        <v>43536.100681832999</v>
      </c>
      <c r="Q31" s="133">
        <f>IF(SER_hh_fec!Q31=0,0,11630*1000*SER_hh_fec!Q31/SER_hh_num!Q31)</f>
        <v>44625.714945477208</v>
      </c>
      <c r="R31" s="133">
        <f>IF(SER_hh_fec!R31=0,0,11630*1000*SER_hh_fec!R31/SER_hh_num!R31)</f>
        <v>44699.461375902087</v>
      </c>
      <c r="S31" s="133">
        <f>IF(SER_hh_fec!S31=0,0,11630*1000*SER_hh_fec!S31/SER_hh_num!S31)</f>
        <v>44315.639782878869</v>
      </c>
      <c r="T31" s="133">
        <f>IF(SER_hh_fec!T31=0,0,11630*1000*SER_hh_fec!T31/SER_hh_num!T31)</f>
        <v>45281.935534901764</v>
      </c>
      <c r="U31" s="133">
        <f>IF(SER_hh_fec!U31=0,0,11630*1000*SER_hh_fec!U31/SER_hh_num!U31)</f>
        <v>45529.109154338017</v>
      </c>
      <c r="V31" s="133">
        <f>IF(SER_hh_fec!V31=0,0,11630*1000*SER_hh_fec!V31/SER_hh_num!V31)</f>
        <v>42107.235008555523</v>
      </c>
      <c r="W31" s="133">
        <f>IF(SER_hh_fec!W31=0,0,11630*1000*SER_hh_fec!W31/SER_hh_num!W31)</f>
        <v>45844.642002400666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32912.686075410267</v>
      </c>
      <c r="C33" s="68">
        <f>IF(SER_hh_fec!C33=0,0,11630*1000*SER_hh_fec!C33/SER_hh_num!C33)</f>
        <v>31696.839891567965</v>
      </c>
      <c r="D33" s="68">
        <f>IF(SER_hh_fec!D33=0,0,11630*1000*SER_hh_fec!D33/SER_hh_num!D33)</f>
        <v>31931.777908546766</v>
      </c>
      <c r="E33" s="68">
        <f>IF(SER_hh_fec!E33=0,0,11630*1000*SER_hh_fec!E33/SER_hh_num!E33)</f>
        <v>32388.409727111677</v>
      </c>
      <c r="F33" s="68">
        <f>IF(SER_hh_fec!F33=0,0,11630*1000*SER_hh_fec!F33/SER_hh_num!F33)</f>
        <v>32232.185096416022</v>
      </c>
      <c r="G33" s="68">
        <f>IF(SER_hh_fec!G33=0,0,11630*1000*SER_hh_fec!G33/SER_hh_num!G33)</f>
        <v>30246.573380694364</v>
      </c>
      <c r="H33" s="68">
        <f>IF(SER_hh_fec!H33=0,0,11630*1000*SER_hh_fec!H33/SER_hh_num!H33)</f>
        <v>30960.345259347298</v>
      </c>
      <c r="I33" s="68">
        <f>IF(SER_hh_fec!I33=0,0,11630*1000*SER_hh_fec!I33/SER_hh_num!I33)</f>
        <v>31150.605782634808</v>
      </c>
      <c r="J33" s="68">
        <f>IF(SER_hh_fec!J33=0,0,11630*1000*SER_hh_fec!J33/SER_hh_num!J33)</f>
        <v>27622.715451806984</v>
      </c>
      <c r="K33" s="68">
        <f>IF(SER_hh_fec!K33=0,0,11630*1000*SER_hh_fec!K33/SER_hh_num!K33)</f>
        <v>33698.852114552348</v>
      </c>
      <c r="L33" s="68">
        <f>IF(SER_hh_fec!L33=0,0,11630*1000*SER_hh_fec!L33/SER_hh_num!L33)</f>
        <v>27989.012565988589</v>
      </c>
      <c r="M33" s="68">
        <f>IF(SER_hh_fec!M33=0,0,11630*1000*SER_hh_fec!M33/SER_hh_num!M33)</f>
        <v>32249.409899394981</v>
      </c>
      <c r="N33" s="68">
        <f>IF(SER_hh_fec!N33=0,0,11630*1000*SER_hh_fec!N33/SER_hh_num!N33)</f>
        <v>35197.138183408766</v>
      </c>
      <c r="O33" s="68">
        <f>IF(SER_hh_fec!O33=0,0,11630*1000*SER_hh_fec!O33/SER_hh_num!O33)</f>
        <v>30403.598817963906</v>
      </c>
      <c r="P33" s="68">
        <f>IF(SER_hh_fec!P33=0,0,11630*1000*SER_hh_fec!P33/SER_hh_num!P33)</f>
        <v>34870.113574499672</v>
      </c>
      <c r="Q33" s="68">
        <f>IF(SER_hh_fec!Q33=0,0,11630*1000*SER_hh_fec!Q33/SER_hh_num!Q33)</f>
        <v>32262.245800736106</v>
      </c>
      <c r="R33" s="68">
        <f>IF(SER_hh_fec!R33=0,0,11630*1000*SER_hh_fec!R33/SER_hh_num!R33)</f>
        <v>34306.35704818528</v>
      </c>
      <c r="S33" s="68">
        <f>IF(SER_hh_fec!S33=0,0,11630*1000*SER_hh_fec!S33/SER_hh_num!S33)</f>
        <v>34249.38338876357</v>
      </c>
      <c r="T33" s="68">
        <f>IF(SER_hh_fec!T33=0,0,11630*1000*SER_hh_fec!T33/SER_hh_num!T33)</f>
        <v>32067.874348126225</v>
      </c>
      <c r="U33" s="68">
        <f>IF(SER_hh_fec!U33=0,0,11630*1000*SER_hh_fec!U33/SER_hh_num!U33)</f>
        <v>32140.237319880365</v>
      </c>
      <c r="V33" s="68">
        <f>IF(SER_hh_fec!V33=0,0,11630*1000*SER_hh_fec!V33/SER_hh_num!V33)</f>
        <v>31645.619879527381</v>
      </c>
      <c r="W33" s="68">
        <f>IF(SER_hh_fec!W33=0,0,11630*1000*SER_hh_fec!W33/SER_hh_num!W33)</f>
        <v>32807.368661243294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166469.89401188408</v>
      </c>
      <c r="C3" s="126">
        <f>IF(SER_hh_tes!C3=0,0,11630*1000*SER_hh_tes!C3/SER_hh_num!C3)</f>
        <v>168790.35466144572</v>
      </c>
      <c r="D3" s="126">
        <f>IF(SER_hh_tes!D3=0,0,11630*1000*SER_hh_tes!D3/SER_hh_num!D3)</f>
        <v>172051.78768495333</v>
      </c>
      <c r="E3" s="126">
        <f>IF(SER_hh_tes!E3=0,0,11630*1000*SER_hh_tes!E3/SER_hh_num!E3)</f>
        <v>184504.7498545296</v>
      </c>
      <c r="F3" s="126">
        <f>IF(SER_hh_tes!F3=0,0,11630*1000*SER_hh_tes!F3/SER_hh_num!F3)</f>
        <v>179444.99461911546</v>
      </c>
      <c r="G3" s="126">
        <f>IF(SER_hh_tes!G3=0,0,11630*1000*SER_hh_tes!G3/SER_hh_num!G3)</f>
        <v>191362.02713601978</v>
      </c>
      <c r="H3" s="126">
        <f>IF(SER_hh_tes!H3=0,0,11630*1000*SER_hh_tes!H3/SER_hh_num!H3)</f>
        <v>203048.143178403</v>
      </c>
      <c r="I3" s="126">
        <f>IF(SER_hh_tes!I3=0,0,11630*1000*SER_hh_tes!I3/SER_hh_num!I3)</f>
        <v>198538.01329995698</v>
      </c>
      <c r="J3" s="126">
        <f>IF(SER_hh_tes!J3=0,0,11630*1000*SER_hh_tes!J3/SER_hh_num!J3)</f>
        <v>209840.32577092585</v>
      </c>
      <c r="K3" s="126">
        <f>IF(SER_hh_tes!K3=0,0,11630*1000*SER_hh_tes!K3/SER_hh_num!K3)</f>
        <v>198724.41974567983</v>
      </c>
      <c r="L3" s="126">
        <f>IF(SER_hh_tes!L3=0,0,11630*1000*SER_hh_tes!L3/SER_hh_num!L3)</f>
        <v>203629.08024092656</v>
      </c>
      <c r="M3" s="126">
        <f>IF(SER_hh_tes!M3=0,0,11630*1000*SER_hh_tes!M3/SER_hh_num!M3)</f>
        <v>203477.27947001555</v>
      </c>
      <c r="N3" s="126">
        <f>IF(SER_hh_tes!N3=0,0,11630*1000*SER_hh_tes!N3/SER_hh_num!N3)</f>
        <v>206932.58026584424</v>
      </c>
      <c r="O3" s="126">
        <f>IF(SER_hh_tes!O3=0,0,11630*1000*SER_hh_tes!O3/SER_hh_num!O3)</f>
        <v>210374.23327012104</v>
      </c>
      <c r="P3" s="126">
        <f>IF(SER_hh_tes!P3=0,0,11630*1000*SER_hh_tes!P3/SER_hh_num!P3)</f>
        <v>194495.06843589109</v>
      </c>
      <c r="Q3" s="126">
        <f>IF(SER_hh_tes!Q3=0,0,11630*1000*SER_hh_tes!Q3/SER_hh_num!Q3)</f>
        <v>212130.37601006488</v>
      </c>
      <c r="R3" s="126">
        <f>IF(SER_hh_tes!R3=0,0,11630*1000*SER_hh_tes!R3/SER_hh_num!R3)</f>
        <v>208903.69428199338</v>
      </c>
      <c r="S3" s="126">
        <f>IF(SER_hh_tes!S3=0,0,11630*1000*SER_hh_tes!S3/SER_hh_num!S3)</f>
        <v>205351.35399603404</v>
      </c>
      <c r="T3" s="126">
        <f>IF(SER_hh_tes!T3=0,0,11630*1000*SER_hh_tes!T3/SER_hh_num!T3)</f>
        <v>226523.40340127487</v>
      </c>
      <c r="U3" s="126">
        <f>IF(SER_hh_tes!U3=0,0,11630*1000*SER_hh_tes!U3/SER_hh_num!U3)</f>
        <v>229695.48677620123</v>
      </c>
      <c r="V3" s="126">
        <f>IF(SER_hh_tes!V3=0,0,11630*1000*SER_hh_tes!V3/SER_hh_num!V3)</f>
        <v>209158.75409290605</v>
      </c>
      <c r="W3" s="126">
        <f>IF(SER_hh_tes!W3=0,0,11630*1000*SER_hh_tes!W3/SER_hh_num!W3)</f>
        <v>195280.84984331508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114980.31045909679</v>
      </c>
      <c r="C4" s="131">
        <f>IF(SER_hh_tes!C4=0,0,11630*1000*SER_hh_tes!C4/SER_hh_num!C4)</f>
        <v>116863.75735441598</v>
      </c>
      <c r="D4" s="131">
        <f>IF(SER_hh_tes!D4=0,0,11630*1000*SER_hh_tes!D4/SER_hh_num!D4)</f>
        <v>120071.04055106343</v>
      </c>
      <c r="E4" s="131">
        <f>IF(SER_hh_tes!E4=0,0,11630*1000*SER_hh_tes!E4/SER_hh_num!E4)</f>
        <v>132473.50796421405</v>
      </c>
      <c r="F4" s="131">
        <f>IF(SER_hh_tes!F4=0,0,11630*1000*SER_hh_tes!F4/SER_hh_num!F4)</f>
        <v>127270.83109212948</v>
      </c>
      <c r="G4" s="131">
        <f>IF(SER_hh_tes!G4=0,0,11630*1000*SER_hh_tes!G4/SER_hh_num!G4)</f>
        <v>138667.83373269791</v>
      </c>
      <c r="H4" s="131">
        <f>IF(SER_hh_tes!H4=0,0,11630*1000*SER_hh_tes!H4/SER_hh_num!H4)</f>
        <v>150154.70614842701</v>
      </c>
      <c r="I4" s="131">
        <f>IF(SER_hh_tes!I4=0,0,11630*1000*SER_hh_tes!I4/SER_hh_num!I4)</f>
        <v>145843.47613209416</v>
      </c>
      <c r="J4" s="131">
        <f>IF(SER_hh_tes!J4=0,0,11630*1000*SER_hh_tes!J4/SER_hh_num!J4)</f>
        <v>156343.98933613757</v>
      </c>
      <c r="K4" s="131">
        <f>IF(SER_hh_tes!K4=0,0,11630*1000*SER_hh_tes!K4/SER_hh_num!K4)</f>
        <v>144193.80944910608</v>
      </c>
      <c r="L4" s="131">
        <f>IF(SER_hh_tes!L4=0,0,11630*1000*SER_hh_tes!L4/SER_hh_num!L4)</f>
        <v>147142.47500317433</v>
      </c>
      <c r="M4" s="131">
        <f>IF(SER_hh_tes!M4=0,0,11630*1000*SER_hh_tes!M4/SER_hh_num!M4)</f>
        <v>145340.02672900792</v>
      </c>
      <c r="N4" s="131">
        <f>IF(SER_hh_tes!N4=0,0,11630*1000*SER_hh_tes!N4/SER_hh_num!N4)</f>
        <v>147654.16110869698</v>
      </c>
      <c r="O4" s="131">
        <f>IF(SER_hh_tes!O4=0,0,11630*1000*SER_hh_tes!O4/SER_hh_num!O4)</f>
        <v>150883.40395897624</v>
      </c>
      <c r="P4" s="131">
        <f>IF(SER_hh_tes!P4=0,0,11630*1000*SER_hh_tes!P4/SER_hh_num!P4)</f>
        <v>134919.90997289011</v>
      </c>
      <c r="Q4" s="131">
        <f>IF(SER_hh_tes!Q4=0,0,11630*1000*SER_hh_tes!Q4/SER_hh_num!Q4)</f>
        <v>151756.47713275551</v>
      </c>
      <c r="R4" s="131">
        <f>IF(SER_hh_tes!R4=0,0,11630*1000*SER_hh_tes!R4/SER_hh_num!R4)</f>
        <v>148459.85354061818</v>
      </c>
      <c r="S4" s="131">
        <f>IF(SER_hh_tes!S4=0,0,11630*1000*SER_hh_tes!S4/SER_hh_num!S4)</f>
        <v>144116.90564921536</v>
      </c>
      <c r="T4" s="131">
        <f>IF(SER_hh_tes!T4=0,0,11630*1000*SER_hh_tes!T4/SER_hh_num!T4)</f>
        <v>165002.16656084158</v>
      </c>
      <c r="U4" s="131">
        <f>IF(SER_hh_tes!U4=0,0,11630*1000*SER_hh_tes!U4/SER_hh_num!U4)</f>
        <v>167369.93967412802</v>
      </c>
      <c r="V4" s="131">
        <f>IF(SER_hh_tes!V4=0,0,11630*1000*SER_hh_tes!V4/SER_hh_num!V4)</f>
        <v>149613.73731048621</v>
      </c>
      <c r="W4" s="131">
        <f>IF(SER_hh_tes!W4=0,0,11630*1000*SER_hh_tes!W4/SER_hh_num!W4)</f>
        <v>133003.31537972065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58791.314697620284</v>
      </c>
      <c r="C5" s="133">
        <f>IF(SER_hh_tes!C5=0,0,11630*1000*SER_hh_tes!C5/SER_hh_num!C5)</f>
        <v>66859.564426229088</v>
      </c>
      <c r="D5" s="133">
        <f>IF(SER_hh_tes!D5=0,0,11630*1000*SER_hh_tes!D5/SER_hh_num!D5)</f>
        <v>34606.456859855374</v>
      </c>
      <c r="E5" s="133">
        <f>IF(SER_hh_tes!E5=0,0,11630*1000*SER_hh_tes!E5/SER_hh_num!E5)</f>
        <v>191108.33812270733</v>
      </c>
      <c r="F5" s="133">
        <f>IF(SER_hh_tes!F5=0,0,11630*1000*SER_hh_tes!F5/SER_hh_num!F5)</f>
        <v>164585.96255764586</v>
      </c>
      <c r="G5" s="133">
        <f>IF(SER_hh_tes!G5=0,0,11630*1000*SER_hh_tes!G5/SER_hh_num!G5)</f>
        <v>163984.10558238224</v>
      </c>
      <c r="H5" s="133">
        <f>IF(SER_hh_tes!H5=0,0,11630*1000*SER_hh_tes!H5/SER_hh_num!H5)</f>
        <v>166570.94123028626</v>
      </c>
      <c r="I5" s="133">
        <f>IF(SER_hh_tes!I5=0,0,11630*1000*SER_hh_tes!I5/SER_hh_num!I5)</f>
        <v>174460.89674216721</v>
      </c>
      <c r="J5" s="133">
        <f>IF(SER_hh_tes!J5=0,0,11630*1000*SER_hh_tes!J5/SER_hh_num!J5)</f>
        <v>210492.28629354967</v>
      </c>
      <c r="K5" s="133">
        <f>IF(SER_hh_tes!K5=0,0,11630*1000*SER_hh_tes!K5/SER_hh_num!K5)</f>
        <v>8729.9717896086167</v>
      </c>
      <c r="L5" s="133">
        <f>IF(SER_hh_tes!L5=0,0,11630*1000*SER_hh_tes!L5/SER_hh_num!L5)</f>
        <v>42489.946379851091</v>
      </c>
      <c r="M5" s="133">
        <f>IF(SER_hh_tes!M5=0,0,11630*1000*SER_hh_tes!M5/SER_hh_num!M5)</f>
        <v>209507.29193829821</v>
      </c>
      <c r="N5" s="133">
        <f>IF(SER_hh_tes!N5=0,0,11630*1000*SER_hh_tes!N5/SER_hh_num!N5)</f>
        <v>113373.05709933941</v>
      </c>
      <c r="O5" s="133">
        <f>IF(SER_hh_tes!O5=0,0,11630*1000*SER_hh_tes!O5/SER_hh_num!O5)</f>
        <v>142684.49322816648</v>
      </c>
      <c r="P5" s="133">
        <f>IF(SER_hh_tes!P5=0,0,11630*1000*SER_hh_tes!P5/SER_hh_num!P5)</f>
        <v>99577.646187636667</v>
      </c>
      <c r="Q5" s="133">
        <f>IF(SER_hh_tes!Q5=0,0,11630*1000*SER_hh_tes!Q5/SER_hh_num!Q5)</f>
        <v>101403.10022061266</v>
      </c>
      <c r="R5" s="133">
        <f>IF(SER_hh_tes!R5=0,0,11630*1000*SER_hh_tes!R5/SER_hh_num!R5)</f>
        <v>182707.46292298788</v>
      </c>
      <c r="S5" s="133">
        <f>IF(SER_hh_tes!S5=0,0,11630*1000*SER_hh_tes!S5/SER_hh_num!S5)</f>
        <v>153684.65140988954</v>
      </c>
      <c r="T5" s="133">
        <f>IF(SER_hh_tes!T5=0,0,11630*1000*SER_hh_tes!T5/SER_hh_num!T5)</f>
        <v>174940.40765502417</v>
      </c>
      <c r="U5" s="133">
        <f>IF(SER_hh_tes!U5=0,0,11630*1000*SER_hh_tes!U5/SER_hh_num!U5)</f>
        <v>179781.98965314147</v>
      </c>
      <c r="V5" s="133">
        <f>IF(SER_hh_tes!V5=0,0,11630*1000*SER_hh_tes!V5/SER_hh_num!V5)</f>
        <v>108901.06568088167</v>
      </c>
      <c r="W5" s="133">
        <f>IF(SER_hh_tes!W5=0,0,11630*1000*SER_hh_tes!W5/SER_hh_num!W5)</f>
        <v>140542.22359222549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117464.6721674883</v>
      </c>
      <c r="C7" s="133">
        <f>IF(SER_hh_tes!C7=0,0,11630*1000*SER_hh_tes!C7/SER_hh_num!C7)</f>
        <v>115250.04699787644</v>
      </c>
      <c r="D7" s="133">
        <f>IF(SER_hh_tes!D7=0,0,11630*1000*SER_hh_tes!D7/SER_hh_num!D7)</f>
        <v>120118.36879699635</v>
      </c>
      <c r="E7" s="133">
        <f>IF(SER_hh_tes!E7=0,0,11630*1000*SER_hh_tes!E7/SER_hh_num!E7)</f>
        <v>125882.83261210166</v>
      </c>
      <c r="F7" s="133">
        <f>IF(SER_hh_tes!F7=0,0,11630*1000*SER_hh_tes!F7/SER_hh_num!F7)</f>
        <v>123478.91173326137</v>
      </c>
      <c r="G7" s="133">
        <f>IF(SER_hh_tes!G7=0,0,11630*1000*SER_hh_tes!G7/SER_hh_num!G7)</f>
        <v>140265.32730198686</v>
      </c>
      <c r="H7" s="133">
        <f>IF(SER_hh_tes!H7=0,0,11630*1000*SER_hh_tes!H7/SER_hh_num!H7)</f>
        <v>141384.75006474424</v>
      </c>
      <c r="I7" s="133">
        <f>IF(SER_hh_tes!I7=0,0,11630*1000*SER_hh_tes!I7/SER_hh_num!I7)</f>
        <v>139113.65499311505</v>
      </c>
      <c r="J7" s="133">
        <f>IF(SER_hh_tes!J7=0,0,11630*1000*SER_hh_tes!J7/SER_hh_num!J7)</f>
        <v>156499.75542180895</v>
      </c>
      <c r="K7" s="133">
        <f>IF(SER_hh_tes!K7=0,0,11630*1000*SER_hh_tes!K7/SER_hh_num!K7)</f>
        <v>135988.11806596303</v>
      </c>
      <c r="L7" s="133">
        <f>IF(SER_hh_tes!L7=0,0,11630*1000*SER_hh_tes!L7/SER_hh_num!L7)</f>
        <v>145294.62455856739</v>
      </c>
      <c r="M7" s="133">
        <f>IF(SER_hh_tes!M7=0,0,11630*1000*SER_hh_tes!M7/SER_hh_num!M7)</f>
        <v>133951.54226073573</v>
      </c>
      <c r="N7" s="133">
        <f>IF(SER_hh_tes!N7=0,0,11630*1000*SER_hh_tes!N7/SER_hh_num!N7)</f>
        <v>129301.99647293238</v>
      </c>
      <c r="O7" s="133">
        <f>IF(SER_hh_tes!O7=0,0,11630*1000*SER_hh_tes!O7/SER_hh_num!O7)</f>
        <v>157942.77390751292</v>
      </c>
      <c r="P7" s="133">
        <f>IF(SER_hh_tes!P7=0,0,11630*1000*SER_hh_tes!P7/SER_hh_num!P7)</f>
        <v>140892.51002593001</v>
      </c>
      <c r="Q7" s="133">
        <f>IF(SER_hh_tes!Q7=0,0,11630*1000*SER_hh_tes!Q7/SER_hh_num!Q7)</f>
        <v>151201.35683472353</v>
      </c>
      <c r="R7" s="133">
        <f>IF(SER_hh_tes!R7=0,0,11630*1000*SER_hh_tes!R7/SER_hh_num!R7)</f>
        <v>147718.55732946491</v>
      </c>
      <c r="S7" s="133">
        <f>IF(SER_hh_tes!S7=0,0,11630*1000*SER_hh_tes!S7/SER_hh_num!S7)</f>
        <v>141640.09089451731</v>
      </c>
      <c r="T7" s="133">
        <f>IF(SER_hh_tes!T7=0,0,11630*1000*SER_hh_tes!T7/SER_hh_num!T7)</f>
        <v>164768.28370009974</v>
      </c>
      <c r="U7" s="133">
        <f>IF(SER_hh_tes!U7=0,0,11630*1000*SER_hh_tes!U7/SER_hh_num!U7)</f>
        <v>156934.50339582071</v>
      </c>
      <c r="V7" s="133">
        <f>IF(SER_hh_tes!V7=0,0,11630*1000*SER_hh_tes!V7/SER_hh_num!V7)</f>
        <v>144205.84982625672</v>
      </c>
      <c r="W7" s="133">
        <f>IF(SER_hh_tes!W7=0,0,11630*1000*SER_hh_tes!W7/SER_hh_num!W7)</f>
        <v>145019.89387006938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115520.32054250548</v>
      </c>
      <c r="C9" s="133">
        <f>IF(SER_hh_tes!C9=0,0,11630*1000*SER_hh_tes!C9/SER_hh_num!C9)</f>
        <v>117671.97986538213</v>
      </c>
      <c r="D9" s="133">
        <f>IF(SER_hh_tes!D9=0,0,11630*1000*SER_hh_tes!D9/SER_hh_num!D9)</f>
        <v>116006.58912795922</v>
      </c>
      <c r="E9" s="133">
        <f>IF(SER_hh_tes!E9=0,0,11630*1000*SER_hh_tes!E9/SER_hh_num!E9)</f>
        <v>124541.3620305517</v>
      </c>
      <c r="F9" s="133">
        <f>IF(SER_hh_tes!F9=0,0,11630*1000*SER_hh_tes!F9/SER_hh_num!F9)</f>
        <v>126503.64429905775</v>
      </c>
      <c r="G9" s="133">
        <f>IF(SER_hh_tes!G9=0,0,11630*1000*SER_hh_tes!G9/SER_hh_num!G9)</f>
        <v>128942.42450750488</v>
      </c>
      <c r="H9" s="133">
        <f>IF(SER_hh_tes!H9=0,0,11630*1000*SER_hh_tes!H9/SER_hh_num!H9)</f>
        <v>143754.87141231584</v>
      </c>
      <c r="I9" s="133">
        <f>IF(SER_hh_tes!I9=0,0,11630*1000*SER_hh_tes!I9/SER_hh_num!I9)</f>
        <v>146176.09579858594</v>
      </c>
      <c r="J9" s="133">
        <f>IF(SER_hh_tes!J9=0,0,11630*1000*SER_hh_tes!J9/SER_hh_num!J9)</f>
        <v>151557.37523113147</v>
      </c>
      <c r="K9" s="133">
        <f>IF(SER_hh_tes!K9=0,0,11630*1000*SER_hh_tes!K9/SER_hh_num!K9)</f>
        <v>137521.82464263556</v>
      </c>
      <c r="L9" s="133">
        <f>IF(SER_hh_tes!L9=0,0,11630*1000*SER_hh_tes!L9/SER_hh_num!L9)</f>
        <v>145199.40625816068</v>
      </c>
      <c r="M9" s="133">
        <f>IF(SER_hh_tes!M9=0,0,11630*1000*SER_hh_tes!M9/SER_hh_num!M9)</f>
        <v>142364.64970976172</v>
      </c>
      <c r="N9" s="133">
        <f>IF(SER_hh_tes!N9=0,0,11630*1000*SER_hh_tes!N9/SER_hh_num!N9)</f>
        <v>152470.98848495938</v>
      </c>
      <c r="O9" s="133">
        <f>IF(SER_hh_tes!O9=0,0,11630*1000*SER_hh_tes!O9/SER_hh_num!O9)</f>
        <v>145593.67893863312</v>
      </c>
      <c r="P9" s="133">
        <f>IF(SER_hh_tes!P9=0,0,11630*1000*SER_hh_tes!P9/SER_hh_num!P9)</f>
        <v>133517.64291130574</v>
      </c>
      <c r="Q9" s="133">
        <f>IF(SER_hh_tes!Q9=0,0,11630*1000*SER_hh_tes!Q9/SER_hh_num!Q9)</f>
        <v>146507.10257829897</v>
      </c>
      <c r="R9" s="133">
        <f>IF(SER_hh_tes!R9=0,0,11630*1000*SER_hh_tes!R9/SER_hh_num!R9)</f>
        <v>145450.2248981403</v>
      </c>
      <c r="S9" s="133">
        <f>IF(SER_hh_tes!S9=0,0,11630*1000*SER_hh_tes!S9/SER_hh_num!S9)</f>
        <v>144126.64789012188</v>
      </c>
      <c r="T9" s="133">
        <f>IF(SER_hh_tes!T9=0,0,11630*1000*SER_hh_tes!T9/SER_hh_num!T9)</f>
        <v>159353.85627107546</v>
      </c>
      <c r="U9" s="133">
        <f>IF(SER_hh_tes!U9=0,0,11630*1000*SER_hh_tes!U9/SER_hh_num!U9)</f>
        <v>155147.43888110432</v>
      </c>
      <c r="V9" s="133">
        <f>IF(SER_hh_tes!V9=0,0,11630*1000*SER_hh_tes!V9/SER_hh_num!V9)</f>
        <v>157728.1228036221</v>
      </c>
      <c r="W9" s="133">
        <f>IF(SER_hh_tes!W9=0,0,11630*1000*SER_hh_tes!W9/SER_hh_num!W9)</f>
        <v>117996.6924970449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26432.31512546157</v>
      </c>
      <c r="H10" s="133">
        <f>IF(SER_hh_tes!H10=0,0,11630*1000*SER_hh_tes!H10/SER_hh_num!H10)</f>
        <v>70636.069451591349</v>
      </c>
      <c r="I10" s="133">
        <f>IF(SER_hh_tes!I10=0,0,11630*1000*SER_hh_tes!I10/SER_hh_num!I10)</f>
        <v>134950.35387133036</v>
      </c>
      <c r="J10" s="133">
        <f>IF(SER_hh_tes!J10=0,0,11630*1000*SER_hh_tes!J10/SER_hh_num!J10)</f>
        <v>168758.08695286766</v>
      </c>
      <c r="K10" s="133">
        <f>IF(SER_hh_tes!K10=0,0,11630*1000*SER_hh_tes!K10/SER_hh_num!K10)</f>
        <v>167580.30767970072</v>
      </c>
      <c r="L10" s="133">
        <f>IF(SER_hh_tes!L10=0,0,11630*1000*SER_hh_tes!L10/SER_hh_num!L10)</f>
        <v>125538.38496758514</v>
      </c>
      <c r="M10" s="133">
        <f>IF(SER_hh_tes!M10=0,0,11630*1000*SER_hh_tes!M10/SER_hh_num!M10)</f>
        <v>138900.03564246802</v>
      </c>
      <c r="N10" s="133">
        <f>IF(SER_hh_tes!N10=0,0,11630*1000*SER_hh_tes!N10/SER_hh_num!N10)</f>
        <v>139867.43902327024</v>
      </c>
      <c r="O10" s="133">
        <f>IF(SER_hh_tes!O10=0,0,11630*1000*SER_hh_tes!O10/SER_hh_num!O10)</f>
        <v>169100.95573120425</v>
      </c>
      <c r="P10" s="133">
        <f>IF(SER_hh_tes!P10=0,0,11630*1000*SER_hh_tes!P10/SER_hh_num!P10)</f>
        <v>182967.50149685604</v>
      </c>
      <c r="Q10" s="133">
        <f>IF(SER_hh_tes!Q10=0,0,11630*1000*SER_hh_tes!Q10/SER_hh_num!Q10)</f>
        <v>110281.27083770592</v>
      </c>
      <c r="R10" s="133">
        <f>IF(SER_hh_tes!R10=0,0,11630*1000*SER_hh_tes!R10/SER_hh_num!R10)</f>
        <v>165902.05213943939</v>
      </c>
      <c r="S10" s="133">
        <f>IF(SER_hh_tes!S10=0,0,11630*1000*SER_hh_tes!S10/SER_hh_num!S10)</f>
        <v>156992.99858801594</v>
      </c>
      <c r="T10" s="133">
        <f>IF(SER_hh_tes!T10=0,0,11630*1000*SER_hh_tes!T10/SER_hh_num!T10)</f>
        <v>152677.31002073167</v>
      </c>
      <c r="U10" s="133">
        <f>IF(SER_hh_tes!U10=0,0,11630*1000*SER_hh_tes!U10/SER_hh_num!U10)</f>
        <v>131354.31642142613</v>
      </c>
      <c r="V10" s="133">
        <f>IF(SER_hh_tes!V10=0,0,11630*1000*SER_hh_tes!V10/SER_hh_num!V10)</f>
        <v>152748.15426693397</v>
      </c>
      <c r="W10" s="133">
        <f>IF(SER_hh_tes!W10=0,0,11630*1000*SER_hh_tes!W10/SER_hh_num!W10)</f>
        <v>188694.6811071464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76808.143144565925</v>
      </c>
      <c r="C13" s="133">
        <f>IF(SER_hh_tes!C13=0,0,11630*1000*SER_hh_tes!C13/SER_hh_num!C13)</f>
        <v>61817.993839132374</v>
      </c>
      <c r="D13" s="133">
        <f>IF(SER_hh_tes!D13=0,0,11630*1000*SER_hh_tes!D13/SER_hh_num!D13)</f>
        <v>18349.369137460693</v>
      </c>
      <c r="E13" s="133">
        <f>IF(SER_hh_tes!E13=0,0,11630*1000*SER_hh_tes!E13/SER_hh_num!E13)</f>
        <v>94748.912981403249</v>
      </c>
      <c r="F13" s="133">
        <f>IF(SER_hh_tes!F13=0,0,11630*1000*SER_hh_tes!F13/SER_hh_num!F13)</f>
        <v>75527.859532503702</v>
      </c>
      <c r="G13" s="133">
        <f>IF(SER_hh_tes!G13=0,0,11630*1000*SER_hh_tes!G13/SER_hh_num!G13)</f>
        <v>118121.93379477109</v>
      </c>
      <c r="H13" s="133">
        <f>IF(SER_hh_tes!H13=0,0,11630*1000*SER_hh_tes!H13/SER_hh_num!H13)</f>
        <v>138754.66375929452</v>
      </c>
      <c r="I13" s="133">
        <f>IF(SER_hh_tes!I13=0,0,11630*1000*SER_hh_tes!I13/SER_hh_num!I13)</f>
        <v>147276.45292788112</v>
      </c>
      <c r="J13" s="133">
        <f>IF(SER_hh_tes!J13=0,0,11630*1000*SER_hh_tes!J13/SER_hh_num!J13)</f>
        <v>165672.84273567275</v>
      </c>
      <c r="K13" s="133">
        <f>IF(SER_hh_tes!K13=0,0,11630*1000*SER_hh_tes!K13/SER_hh_num!K13)</f>
        <v>150875.47799018695</v>
      </c>
      <c r="L13" s="133">
        <f>IF(SER_hh_tes!L13=0,0,11630*1000*SER_hh_tes!L13/SER_hh_num!L13)</f>
        <v>142622.00077991252</v>
      </c>
      <c r="M13" s="133">
        <f>IF(SER_hh_tes!M13=0,0,11630*1000*SER_hh_tes!M13/SER_hh_num!M13)</f>
        <v>148124.38004672376</v>
      </c>
      <c r="N13" s="133">
        <f>IF(SER_hh_tes!N13=0,0,11630*1000*SER_hh_tes!N13/SER_hh_num!N13)</f>
        <v>146135.65820793514</v>
      </c>
      <c r="O13" s="133">
        <f>IF(SER_hh_tes!O13=0,0,11630*1000*SER_hh_tes!O13/SER_hh_num!O13)</f>
        <v>142878.2855381589</v>
      </c>
      <c r="P13" s="133">
        <f>IF(SER_hh_tes!P13=0,0,11630*1000*SER_hh_tes!P13/SER_hh_num!P13)</f>
        <v>138741.72201890501</v>
      </c>
      <c r="Q13" s="133">
        <f>IF(SER_hh_tes!Q13=0,0,11630*1000*SER_hh_tes!Q13/SER_hh_num!Q13)</f>
        <v>142938.55899907666</v>
      </c>
      <c r="R13" s="133">
        <f>IF(SER_hh_tes!R13=0,0,11630*1000*SER_hh_tes!R13/SER_hh_num!R13)</f>
        <v>148087.37805508479</v>
      </c>
      <c r="S13" s="133">
        <f>IF(SER_hh_tes!S13=0,0,11630*1000*SER_hh_tes!S13/SER_hh_num!S13)</f>
        <v>158136.34994172785</v>
      </c>
      <c r="T13" s="133">
        <f>IF(SER_hh_tes!T13=0,0,11630*1000*SER_hh_tes!T13/SER_hh_num!T13)</f>
        <v>153226.60901822289</v>
      </c>
      <c r="U13" s="133">
        <f>IF(SER_hh_tes!U13=0,0,11630*1000*SER_hh_tes!U13/SER_hh_num!U13)</f>
        <v>155080.35897862221</v>
      </c>
      <c r="V13" s="133">
        <f>IF(SER_hh_tes!V13=0,0,11630*1000*SER_hh_tes!V13/SER_hh_num!V13)</f>
        <v>150430.94508087393</v>
      </c>
      <c r="W13" s="133">
        <f>IF(SER_hh_tes!W13=0,0,11630*1000*SER_hh_tes!W13/SER_hh_num!W13)</f>
        <v>140142.68133628846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107786.77835607457</v>
      </c>
      <c r="C14" s="65">
        <f>IF(SER_hh_tes!C14=0,0,11630*1000*SER_hh_tes!C14/SER_hh_num!C14)</f>
        <v>114832.6287405465</v>
      </c>
      <c r="D14" s="65">
        <f>IF(SER_hh_tes!D14=0,0,11630*1000*SER_hh_tes!D14/SER_hh_num!D14)</f>
        <v>122975.08464894832</v>
      </c>
      <c r="E14" s="65">
        <f>IF(SER_hh_tes!E14=0,0,11630*1000*SER_hh_tes!E14/SER_hh_num!E14)</f>
        <v>135565.39345712369</v>
      </c>
      <c r="F14" s="65">
        <f>IF(SER_hh_tes!F14=0,0,11630*1000*SER_hh_tes!F14/SER_hh_num!F14)</f>
        <v>124964.60110935372</v>
      </c>
      <c r="G14" s="65">
        <f>IF(SER_hh_tes!G14=0,0,11630*1000*SER_hh_tes!G14/SER_hh_num!G14)</f>
        <v>139979.97564044315</v>
      </c>
      <c r="H14" s="65">
        <f>IF(SER_hh_tes!H14=0,0,11630*1000*SER_hh_tes!H14/SER_hh_num!H14)</f>
        <v>154026.03752646822</v>
      </c>
      <c r="I14" s="65">
        <f>IF(SER_hh_tes!I14=0,0,11630*1000*SER_hh_tes!I14/SER_hh_num!I14)</f>
        <v>144355.93864728612</v>
      </c>
      <c r="J14" s="65">
        <f>IF(SER_hh_tes!J14=0,0,11630*1000*SER_hh_tes!J14/SER_hh_num!J14)</f>
        <v>154380.30616807422</v>
      </c>
      <c r="K14" s="65">
        <f>IF(SER_hh_tes!K14=0,0,11630*1000*SER_hh_tes!K14/SER_hh_num!K14)</f>
        <v>149415.25360074168</v>
      </c>
      <c r="L14" s="65">
        <f>IF(SER_hh_tes!L14=0,0,11630*1000*SER_hh_tes!L14/SER_hh_num!L14)</f>
        <v>148010.50916050214</v>
      </c>
      <c r="M14" s="65">
        <f>IF(SER_hh_tes!M14=0,0,11630*1000*SER_hh_tes!M14/SER_hh_num!M14)</f>
        <v>147723.59585559534</v>
      </c>
      <c r="N14" s="65">
        <f>IF(SER_hh_tes!N14=0,0,11630*1000*SER_hh_tes!N14/SER_hh_num!N14)</f>
        <v>146861.77162712233</v>
      </c>
      <c r="O14" s="65">
        <f>IF(SER_hh_tes!O14=0,0,11630*1000*SER_hh_tes!O14/SER_hh_num!O14)</f>
        <v>149712.13461582107</v>
      </c>
      <c r="P14" s="65">
        <f>IF(SER_hh_tes!P14=0,0,11630*1000*SER_hh_tes!P14/SER_hh_num!P14)</f>
        <v>129242.51495970957</v>
      </c>
      <c r="Q14" s="65">
        <f>IF(SER_hh_tes!Q14=0,0,11630*1000*SER_hh_tes!Q14/SER_hh_num!Q14)</f>
        <v>155679.45792368735</v>
      </c>
      <c r="R14" s="65">
        <f>IF(SER_hh_tes!R14=0,0,11630*1000*SER_hh_tes!R14/SER_hh_num!R14)</f>
        <v>147673.46308163818</v>
      </c>
      <c r="S14" s="65">
        <f>IF(SER_hh_tes!S14=0,0,11630*1000*SER_hh_tes!S14/SER_hh_num!S14)</f>
        <v>140834.64181638297</v>
      </c>
      <c r="T14" s="65">
        <f>IF(SER_hh_tes!T14=0,0,11630*1000*SER_hh_tes!T14/SER_hh_num!T14)</f>
        <v>167953.72814669111</v>
      </c>
      <c r="U14" s="65">
        <f>IF(SER_hh_tes!U14=0,0,11630*1000*SER_hh_tes!U14/SER_hh_num!U14)</f>
        <v>179492.8768067277</v>
      </c>
      <c r="V14" s="65">
        <f>IF(SER_hh_tes!V14=0,0,11630*1000*SER_hh_tes!V14/SER_hh_num!V14)</f>
        <v>141105.27280204414</v>
      </c>
      <c r="W14" s="65">
        <f>IF(SER_hh_tes!W14=0,0,11630*1000*SER_hh_tes!W14/SER_hh_num!W14)</f>
        <v>139009.9413973873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2303.4651186214778</v>
      </c>
      <c r="C15" s="135">
        <f>IF(SER_hh_tes!C15=0,0,11630*1000*SER_hh_tes!C15/SER_hh_num!C15)</f>
        <v>2253.0212615534206</v>
      </c>
      <c r="D15" s="135">
        <f>IF(SER_hh_tes!D15=0,0,11630*1000*SER_hh_tes!D15/SER_hh_num!D15)</f>
        <v>2218.0346166075938</v>
      </c>
      <c r="E15" s="135">
        <f>IF(SER_hh_tes!E15=0,0,11630*1000*SER_hh_tes!E15/SER_hh_num!E15)</f>
        <v>2331.0954210637974</v>
      </c>
      <c r="F15" s="135">
        <f>IF(SER_hh_tes!F15=0,0,11630*1000*SER_hh_tes!F15/SER_hh_num!F15)</f>
        <v>2270.4279332396086</v>
      </c>
      <c r="G15" s="135">
        <f>IF(SER_hh_tes!G15=0,0,11630*1000*SER_hh_tes!G15/SER_hh_num!G15)</f>
        <v>2375.7098950302948</v>
      </c>
      <c r="H15" s="135">
        <f>IF(SER_hh_tes!H15=0,0,11630*1000*SER_hh_tes!H15/SER_hh_num!H15)</f>
        <v>2487.1509090198083</v>
      </c>
      <c r="I15" s="135">
        <f>IF(SER_hh_tes!I15=0,0,11630*1000*SER_hh_tes!I15/SER_hh_num!I15)</f>
        <v>2466.2544511811047</v>
      </c>
      <c r="J15" s="135">
        <f>IF(SER_hh_tes!J15=0,0,11630*1000*SER_hh_tes!J15/SER_hh_num!J15)</f>
        <v>2608.2908817117782</v>
      </c>
      <c r="K15" s="135">
        <f>IF(SER_hh_tes!K15=0,0,11630*1000*SER_hh_tes!K15/SER_hh_num!K15)</f>
        <v>2286.003467622359</v>
      </c>
      <c r="L15" s="135">
        <f>IF(SER_hh_tes!L15=0,0,11630*1000*SER_hh_tes!L15/SER_hh_num!L15)</f>
        <v>2412.099571965558</v>
      </c>
      <c r="M15" s="135">
        <f>IF(SER_hh_tes!M15=0,0,11630*1000*SER_hh_tes!M15/SER_hh_num!M15)</f>
        <v>2319.6833046931911</v>
      </c>
      <c r="N15" s="135">
        <f>IF(SER_hh_tes!N15=0,0,11630*1000*SER_hh_tes!N15/SER_hh_num!N15)</f>
        <v>2392.690187392705</v>
      </c>
      <c r="O15" s="135">
        <f>IF(SER_hh_tes!O15=0,0,11630*1000*SER_hh_tes!O15/SER_hh_num!O15)</f>
        <v>2422.7926854147054</v>
      </c>
      <c r="P15" s="135">
        <f>IF(SER_hh_tes!P15=0,0,11630*1000*SER_hh_tes!P15/SER_hh_num!P15)</f>
        <v>2195.7829100341723</v>
      </c>
      <c r="Q15" s="135">
        <f>IF(SER_hh_tes!Q15=0,0,11630*1000*SER_hh_tes!Q15/SER_hh_num!Q15)</f>
        <v>2350.1581106833378</v>
      </c>
      <c r="R15" s="135">
        <f>IF(SER_hh_tes!R15=0,0,11630*1000*SER_hh_tes!R15/SER_hh_num!R15)</f>
        <v>2324.1018273776103</v>
      </c>
      <c r="S15" s="135">
        <f>IF(SER_hh_tes!S15=0,0,11630*1000*SER_hh_tes!S15/SER_hh_num!S15)</f>
        <v>2271.1306182595481</v>
      </c>
      <c r="T15" s="135">
        <f>IF(SER_hh_tes!T15=0,0,11630*1000*SER_hh_tes!T15/SER_hh_num!T15)</f>
        <v>2532.8341958998071</v>
      </c>
      <c r="U15" s="135">
        <f>IF(SER_hh_tes!U15=0,0,11630*1000*SER_hh_tes!U15/SER_hh_num!U15)</f>
        <v>2440.4794032692662</v>
      </c>
      <c r="V15" s="135">
        <f>IF(SER_hh_tes!V15=0,0,11630*1000*SER_hh_tes!V15/SER_hh_num!V15)</f>
        <v>2430.0798829631026</v>
      </c>
      <c r="W15" s="135">
        <f>IF(SER_hh_tes!W15=0,0,11630*1000*SER_hh_tes!W15/SER_hh_num!W15)</f>
        <v>1954.1149295013272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24840.732931800005</v>
      </c>
      <c r="C16" s="131">
        <f>IF(SER_hh_tes!C16=0,0,11630*1000*SER_hh_tes!C16/SER_hh_num!C16)</f>
        <v>24734.151150505637</v>
      </c>
      <c r="D16" s="131">
        <f>IF(SER_hh_tes!D16=0,0,11630*1000*SER_hh_tes!D16/SER_hh_num!D16)</f>
        <v>25136.763281769552</v>
      </c>
      <c r="E16" s="131">
        <f>IF(SER_hh_tes!E16=0,0,11630*1000*SER_hh_tes!E16/SER_hh_num!E16)</f>
        <v>25160.118619684308</v>
      </c>
      <c r="F16" s="131">
        <f>IF(SER_hh_tes!F16=0,0,11630*1000*SER_hh_tes!F16/SER_hh_num!F16)</f>
        <v>25097.800034070508</v>
      </c>
      <c r="G16" s="131">
        <f>IF(SER_hh_tes!G16=0,0,11630*1000*SER_hh_tes!G16/SER_hh_num!G16)</f>
        <v>24728.283372806098</v>
      </c>
      <c r="H16" s="131">
        <f>IF(SER_hh_tes!H16=0,0,11630*1000*SER_hh_tes!H16/SER_hh_num!H16)</f>
        <v>25117.490426794415</v>
      </c>
      <c r="I16" s="131">
        <f>IF(SER_hh_tes!I16=0,0,11630*1000*SER_hh_tes!I16/SER_hh_num!I16)</f>
        <v>25506.020780593106</v>
      </c>
      <c r="J16" s="131">
        <f>IF(SER_hh_tes!J16=0,0,11630*1000*SER_hh_tes!J16/SER_hh_num!J16)</f>
        <v>25042.421718965394</v>
      </c>
      <c r="K16" s="131">
        <f>IF(SER_hh_tes!K16=0,0,11630*1000*SER_hh_tes!K16/SER_hh_num!K16)</f>
        <v>24982.192722375217</v>
      </c>
      <c r="L16" s="131">
        <f>IF(SER_hh_tes!L16=0,0,11630*1000*SER_hh_tes!L16/SER_hh_num!L16)</f>
        <v>25265.04445409961</v>
      </c>
      <c r="M16" s="131">
        <f>IF(SER_hh_tes!M16=0,0,11630*1000*SER_hh_tes!M16/SER_hh_num!M16)</f>
        <v>25166.855121776833</v>
      </c>
      <c r="N16" s="131">
        <f>IF(SER_hh_tes!N16=0,0,11630*1000*SER_hh_tes!N16/SER_hh_num!N16)</f>
        <v>25674.052992821678</v>
      </c>
      <c r="O16" s="131">
        <f>IF(SER_hh_tes!O16=0,0,11630*1000*SER_hh_tes!O16/SER_hh_num!O16)</f>
        <v>25383.191413814751</v>
      </c>
      <c r="P16" s="131">
        <f>IF(SER_hh_tes!P16=0,0,11630*1000*SER_hh_tes!P16/SER_hh_num!P16)</f>
        <v>25862.98749220587</v>
      </c>
      <c r="Q16" s="131">
        <f>IF(SER_hh_tes!Q16=0,0,11630*1000*SER_hh_tes!Q16/SER_hh_num!Q16)</f>
        <v>25830.468330296433</v>
      </c>
      <c r="R16" s="131">
        <f>IF(SER_hh_tes!R16=0,0,11630*1000*SER_hh_tes!R16/SER_hh_num!R16)</f>
        <v>25911.182772467626</v>
      </c>
      <c r="S16" s="131">
        <f>IF(SER_hh_tes!S16=0,0,11630*1000*SER_hh_tes!S16/SER_hh_num!S16)</f>
        <v>25853.844538264602</v>
      </c>
      <c r="T16" s="131">
        <f>IF(SER_hh_tes!T16=0,0,11630*1000*SER_hh_tes!T16/SER_hh_num!T16)</f>
        <v>25834.020157819399</v>
      </c>
      <c r="U16" s="131">
        <f>IF(SER_hh_tes!U16=0,0,11630*1000*SER_hh_tes!U16/SER_hh_num!U16)</f>
        <v>26062.96293081154</v>
      </c>
      <c r="V16" s="131">
        <f>IF(SER_hh_tes!V16=0,0,11630*1000*SER_hh_tes!V16/SER_hh_num!V16)</f>
        <v>26053.584282578449</v>
      </c>
      <c r="W16" s="131">
        <f>IF(SER_hh_tes!W16=0,0,11630*1000*SER_hh_tes!W16/SER_hh_num!W16)</f>
        <v>25817.267815757932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24840.732931800016</v>
      </c>
      <c r="C17" s="133">
        <f>IF(SER_hh_tes!C17=0,0,11630*1000*SER_hh_tes!C17/SER_hh_num!C17)</f>
        <v>24733.906886791821</v>
      </c>
      <c r="D17" s="133">
        <f>IF(SER_hh_tes!D17=0,0,11630*1000*SER_hh_tes!D17/SER_hh_num!D17)</f>
        <v>25136.774449318767</v>
      </c>
      <c r="E17" s="133">
        <f>IF(SER_hh_tes!E17=0,0,11630*1000*SER_hh_tes!E17/SER_hh_num!E17)</f>
        <v>25160.218710071727</v>
      </c>
      <c r="F17" s="133">
        <f>IF(SER_hh_tes!F17=0,0,11630*1000*SER_hh_tes!F17/SER_hh_num!F17)</f>
        <v>25097.906011685922</v>
      </c>
      <c r="G17" s="133">
        <f>IF(SER_hh_tes!G17=0,0,11630*1000*SER_hh_tes!G17/SER_hh_num!G17)</f>
        <v>24728.347498291168</v>
      </c>
      <c r="H17" s="133">
        <f>IF(SER_hh_tes!H17=0,0,11630*1000*SER_hh_tes!H17/SER_hh_num!H17)</f>
        <v>25117.508028940894</v>
      </c>
      <c r="I17" s="133">
        <f>IF(SER_hh_tes!I17=0,0,11630*1000*SER_hh_tes!I17/SER_hh_num!I17)</f>
        <v>25071.233953536837</v>
      </c>
      <c r="J17" s="133">
        <f>IF(SER_hh_tes!J17=0,0,11630*1000*SER_hh_tes!J17/SER_hh_num!J17)</f>
        <v>25042.379516321445</v>
      </c>
      <c r="K17" s="133">
        <f>IF(SER_hh_tes!K17=0,0,11630*1000*SER_hh_tes!K17/SER_hh_num!K17)</f>
        <v>24982.130367195128</v>
      </c>
      <c r="L17" s="133">
        <f>IF(SER_hh_tes!L17=0,0,11630*1000*SER_hh_tes!L17/SER_hh_num!L17)</f>
        <v>25264.961008187183</v>
      </c>
      <c r="M17" s="133">
        <f>IF(SER_hh_tes!M17=0,0,11630*1000*SER_hh_tes!M17/SER_hh_num!M17)</f>
        <v>25166.758229861523</v>
      </c>
      <c r="N17" s="133">
        <f>IF(SER_hh_tes!N17=0,0,11630*1000*SER_hh_tes!N17/SER_hh_num!N17)</f>
        <v>25674.146516211738</v>
      </c>
      <c r="O17" s="133">
        <f>IF(SER_hh_tes!O17=0,0,11630*1000*SER_hh_tes!O17/SER_hh_num!O17)</f>
        <v>25383.369241617129</v>
      </c>
      <c r="P17" s="133">
        <f>IF(SER_hh_tes!P17=0,0,11630*1000*SER_hh_tes!P17/SER_hh_num!P17)</f>
        <v>25863.161003989517</v>
      </c>
      <c r="Q17" s="133">
        <f>IF(SER_hh_tes!Q17=0,0,11630*1000*SER_hh_tes!Q17/SER_hh_num!Q17)</f>
        <v>25830.564202086232</v>
      </c>
      <c r="R17" s="133">
        <f>IF(SER_hh_tes!R17=0,0,11630*1000*SER_hh_tes!R17/SER_hh_num!R17)</f>
        <v>25911.168336259019</v>
      </c>
      <c r="S17" s="133">
        <f>IF(SER_hh_tes!S17=0,0,11630*1000*SER_hh_tes!S17/SER_hh_num!S17)</f>
        <v>25853.734110773283</v>
      </c>
      <c r="T17" s="133">
        <f>IF(SER_hh_tes!T17=0,0,11630*1000*SER_hh_tes!T17/SER_hh_num!T17)</f>
        <v>25833.854312917061</v>
      </c>
      <c r="U17" s="133">
        <f>IF(SER_hh_tes!U17=0,0,11630*1000*SER_hh_tes!U17/SER_hh_num!U17)</f>
        <v>26062.791156043295</v>
      </c>
      <c r="V17" s="133">
        <f>IF(SER_hh_tes!V17=0,0,11630*1000*SER_hh_tes!V17/SER_hh_num!V17)</f>
        <v>23510.80324811527</v>
      </c>
      <c r="W17" s="133">
        <f>IF(SER_hh_tes!W17=0,0,11630*1000*SER_hh_tes!W17/SER_hh_num!W17)</f>
        <v>21934.552179697432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24840.732931800008</v>
      </c>
      <c r="C18" s="133">
        <f>IF(SER_hh_tes!C18=0,0,11630*1000*SER_hh_tes!C18/SER_hh_num!C18)</f>
        <v>24734.15188272615</v>
      </c>
      <c r="D18" s="133">
        <f>IF(SER_hh_tes!D18=0,0,11630*1000*SER_hh_tes!D18/SER_hh_num!D18)</f>
        <v>25136.763247253519</v>
      </c>
      <c r="E18" s="133">
        <f>IF(SER_hh_tes!E18=0,0,11630*1000*SER_hh_tes!E18/SER_hh_num!E18)</f>
        <v>25160.118336582225</v>
      </c>
      <c r="F18" s="133">
        <f>IF(SER_hh_tes!F18=0,0,11630*1000*SER_hh_tes!F18/SER_hh_num!F18)</f>
        <v>25097.799697103259</v>
      </c>
      <c r="G18" s="133">
        <f>IF(SER_hh_tes!G18=0,0,11630*1000*SER_hh_tes!G18/SER_hh_num!G18)</f>
        <v>24728.283161526731</v>
      </c>
      <c r="H18" s="133">
        <f>IF(SER_hh_tes!H18=0,0,11630*1000*SER_hh_tes!H18/SER_hh_num!H18)</f>
        <v>25117.490361528766</v>
      </c>
      <c r="I18" s="133">
        <f>IF(SER_hh_tes!I18=0,0,11630*1000*SER_hh_tes!I18/SER_hh_num!I18)</f>
        <v>25507.629574199611</v>
      </c>
      <c r="J18" s="133">
        <f>IF(SER_hh_tes!J18=0,0,11630*1000*SER_hh_tes!J18/SER_hh_num!J18)</f>
        <v>25042.421868933354</v>
      </c>
      <c r="K18" s="133">
        <f>IF(SER_hh_tes!K18=0,0,11630*1000*SER_hh_tes!K18/SER_hh_num!K18)</f>
        <v>24982.192961586621</v>
      </c>
      <c r="L18" s="133">
        <f>IF(SER_hh_tes!L18=0,0,11630*1000*SER_hh_tes!L18/SER_hh_num!L18)</f>
        <v>25265.044786088685</v>
      </c>
      <c r="M18" s="133">
        <f>IF(SER_hh_tes!M18=0,0,11630*1000*SER_hh_tes!M18/SER_hh_num!M18)</f>
        <v>25166.85553144991</v>
      </c>
      <c r="N18" s="133">
        <f>IF(SER_hh_tes!N18=0,0,11630*1000*SER_hh_tes!N18/SER_hh_num!N18)</f>
        <v>25674.052554199505</v>
      </c>
      <c r="O18" s="133">
        <f>IF(SER_hh_tes!O18=0,0,11630*1000*SER_hh_tes!O18/SER_hh_num!O18)</f>
        <v>25383.190400041374</v>
      </c>
      <c r="P18" s="133">
        <f>IF(SER_hh_tes!P18=0,0,11630*1000*SER_hh_tes!P18/SER_hh_num!P18)</f>
        <v>25862.986236070898</v>
      </c>
      <c r="Q18" s="133">
        <f>IF(SER_hh_tes!Q18=0,0,11630*1000*SER_hh_tes!Q18/SER_hh_num!Q18)</f>
        <v>25830.467363518746</v>
      </c>
      <c r="R18" s="133">
        <f>IF(SER_hh_tes!R18=0,0,11630*1000*SER_hh_tes!R18/SER_hh_num!R18)</f>
        <v>25911.182946696394</v>
      </c>
      <c r="S18" s="133">
        <f>IF(SER_hh_tes!S18=0,0,11630*1000*SER_hh_tes!S18/SER_hh_num!S18)</f>
        <v>25853.846046402057</v>
      </c>
      <c r="T18" s="133">
        <f>IF(SER_hh_tes!T18=0,0,11630*1000*SER_hh_tes!T18/SER_hh_num!T18)</f>
        <v>25834.022547022614</v>
      </c>
      <c r="U18" s="133">
        <f>IF(SER_hh_tes!U18=0,0,11630*1000*SER_hh_tes!U18/SER_hh_num!U18)</f>
        <v>26062.965503652238</v>
      </c>
      <c r="V18" s="133">
        <f>IF(SER_hh_tes!V18=0,0,11630*1000*SER_hh_tes!V18/SER_hh_num!V18)</f>
        <v>26096.584028770394</v>
      </c>
      <c r="W18" s="133">
        <f>IF(SER_hh_tes!W18=0,0,11630*1000*SER_hh_tes!W18/SER_hh_num!W18)</f>
        <v>25885.448369949132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23363.728704141013</v>
      </c>
      <c r="C19" s="131">
        <f>IF(SER_hh_tes!C19=0,0,11630*1000*SER_hh_tes!C19/SER_hh_num!C19)</f>
        <v>23547.796247701288</v>
      </c>
      <c r="D19" s="131">
        <f>IF(SER_hh_tes!D19=0,0,11630*1000*SER_hh_tes!D19/SER_hh_num!D19)</f>
        <v>23355.967295434315</v>
      </c>
      <c r="E19" s="131">
        <f>IF(SER_hh_tes!E19=0,0,11630*1000*SER_hh_tes!E19/SER_hh_num!E19)</f>
        <v>23128.721118681686</v>
      </c>
      <c r="F19" s="131">
        <f>IF(SER_hh_tes!F19=0,0,11630*1000*SER_hh_tes!F19/SER_hh_num!F19)</f>
        <v>23001.132914484693</v>
      </c>
      <c r="G19" s="131">
        <f>IF(SER_hh_tes!G19=0,0,11630*1000*SER_hh_tes!G19/SER_hh_num!G19)</f>
        <v>23191.051171599658</v>
      </c>
      <c r="H19" s="131">
        <f>IF(SER_hh_tes!H19=0,0,11630*1000*SER_hh_tes!H19/SER_hh_num!H19)</f>
        <v>22914.442413236902</v>
      </c>
      <c r="I19" s="131">
        <f>IF(SER_hh_tes!I19=0,0,11630*1000*SER_hh_tes!I19/SER_hh_num!I19)</f>
        <v>22612.442779986239</v>
      </c>
      <c r="J19" s="131">
        <f>IF(SER_hh_tes!J19=0,0,11630*1000*SER_hh_tes!J19/SER_hh_num!J19)</f>
        <v>22709.34087261674</v>
      </c>
      <c r="K19" s="131">
        <f>IF(SER_hh_tes!K19=0,0,11630*1000*SER_hh_tes!K19/SER_hh_num!K19)</f>
        <v>24016.358627604848</v>
      </c>
      <c r="L19" s="131">
        <f>IF(SER_hh_tes!L19=0,0,11630*1000*SER_hh_tes!L19/SER_hh_num!L19)</f>
        <v>24867.129167333518</v>
      </c>
      <c r="M19" s="131">
        <f>IF(SER_hh_tes!M19=0,0,11630*1000*SER_hh_tes!M19/SER_hh_num!M19)</f>
        <v>24998.655716496778</v>
      </c>
      <c r="N19" s="131">
        <f>IF(SER_hh_tes!N19=0,0,11630*1000*SER_hh_tes!N19/SER_hh_num!N19)</f>
        <v>25088.656491897647</v>
      </c>
      <c r="O19" s="131">
        <f>IF(SER_hh_tes!O19=0,0,11630*1000*SER_hh_tes!O19/SER_hh_num!O19)</f>
        <v>24953.829752786565</v>
      </c>
      <c r="P19" s="131">
        <f>IF(SER_hh_tes!P19=0,0,11630*1000*SER_hh_tes!P19/SER_hh_num!P19)</f>
        <v>24803.222814524914</v>
      </c>
      <c r="Q19" s="131">
        <f>IF(SER_hh_tes!Q19=0,0,11630*1000*SER_hh_tes!Q19/SER_hh_num!Q19)</f>
        <v>25318.984417661657</v>
      </c>
      <c r="R19" s="131">
        <f>IF(SER_hh_tes!R19=0,0,11630*1000*SER_hh_tes!R19/SER_hh_num!R19)</f>
        <v>25095.783724930698</v>
      </c>
      <c r="S19" s="131">
        <f>IF(SER_hh_tes!S19=0,0,11630*1000*SER_hh_tes!S19/SER_hh_num!S19)</f>
        <v>25308.517358302091</v>
      </c>
      <c r="T19" s="131">
        <f>IF(SER_hh_tes!T19=0,0,11630*1000*SER_hh_tes!T19/SER_hh_num!T19)</f>
        <v>25313.189748647699</v>
      </c>
      <c r="U19" s="131">
        <f>IF(SER_hh_tes!U19=0,0,11630*1000*SER_hh_tes!U19/SER_hh_num!U19)</f>
        <v>25406.313776419156</v>
      </c>
      <c r="V19" s="131">
        <f>IF(SER_hh_tes!V19=0,0,11630*1000*SER_hh_tes!V19/SER_hh_num!V19)</f>
        <v>24596.088718421321</v>
      </c>
      <c r="W19" s="131">
        <f>IF(SER_hh_tes!W19=0,0,11630*1000*SER_hh_tes!W19/SER_hh_num!W19)</f>
        <v>25021.333917507087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23400.520481533058</v>
      </c>
      <c r="C22" s="133">
        <f>IF(SER_hh_tes!C22=0,0,11630*1000*SER_hh_tes!C22/SER_hh_num!C22)</f>
        <v>23602.215974760144</v>
      </c>
      <c r="D22" s="133">
        <f>IF(SER_hh_tes!D22=0,0,11630*1000*SER_hh_tes!D22/SER_hh_num!D22)</f>
        <v>23663.966895408797</v>
      </c>
      <c r="E22" s="133">
        <f>IF(SER_hh_tes!E22=0,0,11630*1000*SER_hh_tes!E22/SER_hh_num!E22)</f>
        <v>22942.820667146301</v>
      </c>
      <c r="F22" s="133">
        <f>IF(SER_hh_tes!F22=0,0,11630*1000*SER_hh_tes!F22/SER_hh_num!F22)</f>
        <v>23338.820400613917</v>
      </c>
      <c r="G22" s="133">
        <f>IF(SER_hh_tes!G22=0,0,11630*1000*SER_hh_tes!G22/SER_hh_num!G22)</f>
        <v>23024.125190206971</v>
      </c>
      <c r="H22" s="133">
        <f>IF(SER_hh_tes!H22=0,0,11630*1000*SER_hh_tes!H22/SER_hh_num!H22)</f>
        <v>22534.080595032327</v>
      </c>
      <c r="I22" s="133">
        <f>IF(SER_hh_tes!I22=0,0,11630*1000*SER_hh_tes!I22/SER_hh_num!I22)</f>
        <v>22551.769554226801</v>
      </c>
      <c r="J22" s="133">
        <f>IF(SER_hh_tes!J22=0,0,11630*1000*SER_hh_tes!J22/SER_hh_num!J22)</f>
        <v>23195.232214919964</v>
      </c>
      <c r="K22" s="133">
        <f>IF(SER_hh_tes!K22=0,0,11630*1000*SER_hh_tes!K22/SER_hh_num!K22)</f>
        <v>23557.599977817437</v>
      </c>
      <c r="L22" s="133">
        <f>IF(SER_hh_tes!L22=0,0,11630*1000*SER_hh_tes!L22/SER_hh_num!L22)</f>
        <v>24552.342599051393</v>
      </c>
      <c r="M22" s="133">
        <f>IF(SER_hh_tes!M22=0,0,11630*1000*SER_hh_tes!M22/SER_hh_num!M22)</f>
        <v>24903.043723670955</v>
      </c>
      <c r="N22" s="133">
        <f>IF(SER_hh_tes!N22=0,0,11630*1000*SER_hh_tes!N22/SER_hh_num!N22)</f>
        <v>25134.68819162422</v>
      </c>
      <c r="O22" s="133">
        <f>IF(SER_hh_tes!O22=0,0,11630*1000*SER_hh_tes!O22/SER_hh_num!O22)</f>
        <v>24926.596394708897</v>
      </c>
      <c r="P22" s="133">
        <f>IF(SER_hh_tes!P22=0,0,11630*1000*SER_hh_tes!P22/SER_hh_num!P22)</f>
        <v>25292.627093205792</v>
      </c>
      <c r="Q22" s="133">
        <f>IF(SER_hh_tes!Q22=0,0,11630*1000*SER_hh_tes!Q22/SER_hh_num!Q22)</f>
        <v>25025.015091842855</v>
      </c>
      <c r="R22" s="133">
        <f>IF(SER_hh_tes!R22=0,0,11630*1000*SER_hh_tes!R22/SER_hh_num!R22)</f>
        <v>24868.794749860288</v>
      </c>
      <c r="S22" s="133">
        <f>IF(SER_hh_tes!S22=0,0,11630*1000*SER_hh_tes!S22/SER_hh_num!S22)</f>
        <v>25930.585379886947</v>
      </c>
      <c r="T22" s="133">
        <f>IF(SER_hh_tes!T22=0,0,11630*1000*SER_hh_tes!T22/SER_hh_num!T22)</f>
        <v>25363.932882822308</v>
      </c>
      <c r="U22" s="133">
        <f>IF(SER_hh_tes!U22=0,0,11630*1000*SER_hh_tes!U22/SER_hh_num!U22)</f>
        <v>25763.510726375524</v>
      </c>
      <c r="V22" s="133">
        <f>IF(SER_hh_tes!V22=0,0,11630*1000*SER_hh_tes!V22/SER_hh_num!V22)</f>
        <v>23662.582665579357</v>
      </c>
      <c r="W22" s="133">
        <f>IF(SER_hh_tes!W22=0,0,11630*1000*SER_hh_tes!W22/SER_hh_num!W22)</f>
        <v>25403.865382780052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23064.016835025293</v>
      </c>
      <c r="C23" s="133">
        <f>IF(SER_hh_tes!C23=0,0,11630*1000*SER_hh_tes!C23/SER_hh_num!C23)</f>
        <v>23593.893314227291</v>
      </c>
      <c r="D23" s="133">
        <f>IF(SER_hh_tes!D23=0,0,11630*1000*SER_hh_tes!D23/SER_hh_num!D23)</f>
        <v>23333.273284276493</v>
      </c>
      <c r="E23" s="133">
        <f>IF(SER_hh_tes!E23=0,0,11630*1000*SER_hh_tes!E23/SER_hh_num!E23)</f>
        <v>22985.716799895938</v>
      </c>
      <c r="F23" s="133">
        <f>IF(SER_hh_tes!F23=0,0,11630*1000*SER_hh_tes!F23/SER_hh_num!F23)</f>
        <v>23207.961254651527</v>
      </c>
      <c r="G23" s="133">
        <f>IF(SER_hh_tes!G23=0,0,11630*1000*SER_hh_tes!G23/SER_hh_num!G23)</f>
        <v>23077.451289638211</v>
      </c>
      <c r="H23" s="133">
        <f>IF(SER_hh_tes!H23=0,0,11630*1000*SER_hh_tes!H23/SER_hh_num!H23)</f>
        <v>22744.94069370241</v>
      </c>
      <c r="I23" s="133">
        <f>IF(SER_hh_tes!I23=0,0,11630*1000*SER_hh_tes!I23/SER_hh_num!I23)</f>
        <v>23022.343354292028</v>
      </c>
      <c r="J23" s="133">
        <f>IF(SER_hh_tes!J23=0,0,11630*1000*SER_hh_tes!J23/SER_hh_num!J23)</f>
        <v>22883.024590960707</v>
      </c>
      <c r="K23" s="133">
        <f>IF(SER_hh_tes!K23=0,0,11630*1000*SER_hh_tes!K23/SER_hh_num!K23)</f>
        <v>23814.523170745728</v>
      </c>
      <c r="L23" s="133">
        <f>IF(SER_hh_tes!L23=0,0,11630*1000*SER_hh_tes!L23/SER_hh_num!L23)</f>
        <v>24464.121952529542</v>
      </c>
      <c r="M23" s="133">
        <f>IF(SER_hh_tes!M23=0,0,11630*1000*SER_hh_tes!M23/SER_hh_num!M23)</f>
        <v>24996.168828393176</v>
      </c>
      <c r="N23" s="133">
        <f>IF(SER_hh_tes!N23=0,0,11630*1000*SER_hh_tes!N23/SER_hh_num!N23)</f>
        <v>24766.625722095723</v>
      </c>
      <c r="O23" s="133">
        <f>IF(SER_hh_tes!O23=0,0,11630*1000*SER_hh_tes!O23/SER_hh_num!O23)</f>
        <v>24993.783662618815</v>
      </c>
      <c r="P23" s="133">
        <f>IF(SER_hh_tes!P23=0,0,11630*1000*SER_hh_tes!P23/SER_hh_num!P23)</f>
        <v>25344.629193627072</v>
      </c>
      <c r="Q23" s="133">
        <f>IF(SER_hh_tes!Q23=0,0,11630*1000*SER_hh_tes!Q23/SER_hh_num!Q23)</f>
        <v>24958.969673326555</v>
      </c>
      <c r="R23" s="133">
        <f>IF(SER_hh_tes!R23=0,0,11630*1000*SER_hh_tes!R23/SER_hh_num!R23)</f>
        <v>25251.603419251198</v>
      </c>
      <c r="S23" s="133">
        <f>IF(SER_hh_tes!S23=0,0,11630*1000*SER_hh_tes!S23/SER_hh_num!S23)</f>
        <v>26172.68070022545</v>
      </c>
      <c r="T23" s="133">
        <f>IF(SER_hh_tes!T23=0,0,11630*1000*SER_hh_tes!T23/SER_hh_num!T23)</f>
        <v>25211.696119247306</v>
      </c>
      <c r="U23" s="133">
        <f>IF(SER_hh_tes!U23=0,0,11630*1000*SER_hh_tes!U23/SER_hh_num!U23)</f>
        <v>25639.778073819922</v>
      </c>
      <c r="V23" s="133">
        <f>IF(SER_hh_tes!V23=0,0,11630*1000*SER_hh_tes!V23/SER_hh_num!V23)</f>
        <v>23834.404207299165</v>
      </c>
      <c r="W23" s="133">
        <f>IF(SER_hh_tes!W23=0,0,11630*1000*SER_hh_tes!W23/SER_hh_num!W23)</f>
        <v>25325.318636826894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23456.305217665853</v>
      </c>
      <c r="C26" s="65">
        <f>IF(SER_hh_tes!C26=0,0,11630*1000*SER_hh_tes!C26/SER_hh_num!C26)</f>
        <v>23508.477896406468</v>
      </c>
      <c r="D26" s="65">
        <f>IF(SER_hh_tes!D26=0,0,11630*1000*SER_hh_tes!D26/SER_hh_num!D26)</f>
        <v>23243.071949929199</v>
      </c>
      <c r="E26" s="65">
        <f>IF(SER_hh_tes!E26=0,0,11630*1000*SER_hh_tes!E26/SER_hh_num!E26)</f>
        <v>23247.036645212971</v>
      </c>
      <c r="F26" s="65">
        <f>IF(SER_hh_tes!F26=0,0,11630*1000*SER_hh_tes!F26/SER_hh_num!F26)</f>
        <v>22814.201178158979</v>
      </c>
      <c r="G26" s="65">
        <f>IF(SER_hh_tes!G26=0,0,11630*1000*SER_hh_tes!G26/SER_hh_num!G26)</f>
        <v>23280.556333569923</v>
      </c>
      <c r="H26" s="65">
        <f>IF(SER_hh_tes!H26=0,0,11630*1000*SER_hh_tes!H26/SER_hh_num!H26)</f>
        <v>23063.438248379498</v>
      </c>
      <c r="I26" s="65">
        <f>IF(SER_hh_tes!I26=0,0,11630*1000*SER_hh_tes!I26/SER_hh_num!I26)</f>
        <v>22483.017654490439</v>
      </c>
      <c r="J26" s="65">
        <f>IF(SER_hh_tes!J26=0,0,11630*1000*SER_hh_tes!J26/SER_hh_num!J26)</f>
        <v>22503.866152263225</v>
      </c>
      <c r="K26" s="65">
        <f>IF(SER_hh_tes!K26=0,0,11630*1000*SER_hh_tes!K26/SER_hh_num!K26)</f>
        <v>24151.89777547932</v>
      </c>
      <c r="L26" s="65">
        <f>IF(SER_hh_tes!L26=0,0,11630*1000*SER_hh_tes!L26/SER_hh_num!L26)</f>
        <v>25017.051919922949</v>
      </c>
      <c r="M26" s="65">
        <f>IF(SER_hh_tes!M26=0,0,11630*1000*SER_hh_tes!M26/SER_hh_num!M26)</f>
        <v>24956.22537617381</v>
      </c>
      <c r="N26" s="65">
        <f>IF(SER_hh_tes!N26=0,0,11630*1000*SER_hh_tes!N26/SER_hh_num!N26)</f>
        <v>25128.93978098781</v>
      </c>
      <c r="O26" s="65">
        <f>IF(SER_hh_tes!O26=0,0,11630*1000*SER_hh_tes!O26/SER_hh_num!O26)</f>
        <v>24876.664709164088</v>
      </c>
      <c r="P26" s="65">
        <f>IF(SER_hh_tes!P26=0,0,11630*1000*SER_hh_tes!P26/SER_hh_num!P26)</f>
        <v>24402.346193377794</v>
      </c>
      <c r="Q26" s="65">
        <f>IF(SER_hh_tes!Q26=0,0,11630*1000*SER_hh_tes!Q26/SER_hh_num!Q26)</f>
        <v>25468.567394529749</v>
      </c>
      <c r="R26" s="65">
        <f>IF(SER_hh_tes!R26=0,0,11630*1000*SER_hh_tes!R26/SER_hh_num!R26)</f>
        <v>25017.259869380225</v>
      </c>
      <c r="S26" s="65">
        <f>IF(SER_hh_tes!S26=0,0,11630*1000*SER_hh_tes!S26/SER_hh_num!S26)</f>
        <v>24767.756843341565</v>
      </c>
      <c r="T26" s="65">
        <f>IF(SER_hh_tes!T26=0,0,11630*1000*SER_hh_tes!T26/SER_hh_num!T26)</f>
        <v>25281.109744310572</v>
      </c>
      <c r="U26" s="65">
        <f>IF(SER_hh_tes!U26=0,0,11630*1000*SER_hh_tes!U26/SER_hh_num!U26)</f>
        <v>25203.893068016154</v>
      </c>
      <c r="V26" s="65">
        <f>IF(SER_hh_tes!V26=0,0,11630*1000*SER_hh_tes!V26/SER_hh_num!V26)</f>
        <v>24933.525364933092</v>
      </c>
      <c r="W26" s="65">
        <f>IF(SER_hh_tes!W26=0,0,11630*1000*SER_hh_tes!W26/SER_hh_num!W26)</f>
        <v>24813.824284085109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8.5933309261693598</v>
      </c>
      <c r="I27" s="146">
        <f>IF(SER_hh_tes!I27=0,0,11630*1000*SER_hh_tes!I27/SER_hh_num!I19)</f>
        <v>9.3302260031352979</v>
      </c>
      <c r="J27" s="146">
        <f>IF(SER_hh_tes!J27=0,0,11630*1000*SER_hh_tes!J27/SER_hh_num!J19)</f>
        <v>23.124367275981495</v>
      </c>
      <c r="K27" s="146">
        <f>IF(SER_hh_tes!K27=0,0,11630*1000*SER_hh_tes!K27/SER_hh_num!K19)</f>
        <v>25.309740198511928</v>
      </c>
      <c r="L27" s="146">
        <f>IF(SER_hh_tes!L27=0,0,11630*1000*SER_hh_tes!L27/SER_hh_num!L19)</f>
        <v>38.956594091442966</v>
      </c>
      <c r="M27" s="146">
        <f>IF(SER_hh_tes!M27=0,0,11630*1000*SER_hh_tes!M27/SER_hh_num!M19)</f>
        <v>41.506293446687458</v>
      </c>
      <c r="N27" s="146">
        <f>IF(SER_hh_tes!N27=0,0,11630*1000*SER_hh_tes!N27/SER_hh_num!N19)</f>
        <v>42.032103746452933</v>
      </c>
      <c r="O27" s="146">
        <f>IF(SER_hh_tes!O27=0,0,11630*1000*SER_hh_tes!O27/SER_hh_num!O19)</f>
        <v>41.81834067155615</v>
      </c>
      <c r="P27" s="146">
        <f>IF(SER_hh_tes!P27=0,0,11630*1000*SER_hh_tes!P27/SER_hh_num!P19)</f>
        <v>41.18301940415202</v>
      </c>
      <c r="Q27" s="146">
        <f>IF(SER_hh_tes!Q27=0,0,11630*1000*SER_hh_tes!Q27/SER_hh_num!Q19)</f>
        <v>41.021812159309768</v>
      </c>
      <c r="R27" s="146">
        <f>IF(SER_hh_tes!R27=0,0,11630*1000*SER_hh_tes!R27/SER_hh_num!R19)</f>
        <v>39.886332111277234</v>
      </c>
      <c r="S27" s="146">
        <f>IF(SER_hh_tes!S27=0,0,11630*1000*SER_hh_tes!S27/SER_hh_num!S19)</f>
        <v>39.235874753127078</v>
      </c>
      <c r="T27" s="146">
        <f>IF(SER_hh_tes!T27=0,0,11630*1000*SER_hh_tes!T27/SER_hh_num!T19)</f>
        <v>38.464785592602539</v>
      </c>
      <c r="U27" s="146">
        <f>IF(SER_hh_tes!U27=0,0,11630*1000*SER_hh_tes!U27/SER_hh_num!U19)</f>
        <v>37.816598682231231</v>
      </c>
      <c r="V27" s="146">
        <f>IF(SER_hh_tes!V27=0,0,11630*1000*SER_hh_tes!V27/SER_hh_num!V19)</f>
        <v>37.27613152399659</v>
      </c>
      <c r="W27" s="146">
        <f>IF(SER_hh_tes!W27=0,0,11630*1000*SER_hh_tes!W27/SER_hh_num!W19)</f>
        <v>36.80088383971831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4970.2110627158663</v>
      </c>
      <c r="I28" s="147">
        <f>IF(SER_hh_tes!I27=0,0,11630*1000*SER_hh_tes!I27/SER_hh_num!I27)</f>
        <v>4954.5666731695583</v>
      </c>
      <c r="J28" s="147">
        <f>IF(SER_hh_tes!J27=0,0,11630*1000*SER_hh_tes!J27/SER_hh_num!J27)</f>
        <v>5107.68258560086</v>
      </c>
      <c r="K28" s="147">
        <f>IF(SER_hh_tes!K27=0,0,11630*1000*SER_hh_tes!K27/SER_hh_num!K27)</f>
        <v>5420.494129463259</v>
      </c>
      <c r="L28" s="147">
        <f>IF(SER_hh_tes!L27=0,0,11630*1000*SER_hh_tes!L27/SER_hh_num!L27)</f>
        <v>5561.0531862730377</v>
      </c>
      <c r="M28" s="147">
        <f>IF(SER_hh_tes!M27=0,0,11630*1000*SER_hh_tes!M27/SER_hh_num!M27)</f>
        <v>5506.4015505359166</v>
      </c>
      <c r="N28" s="147">
        <f>IF(SER_hh_tes!N27=0,0,11630*1000*SER_hh_tes!N27/SER_hh_num!N27)</f>
        <v>5581.7141311122414</v>
      </c>
      <c r="O28" s="147">
        <f>IF(SER_hh_tes!O27=0,0,11630*1000*SER_hh_tes!O27/SER_hh_num!O27)</f>
        <v>5569.6304118674252</v>
      </c>
      <c r="P28" s="147">
        <f>IF(SER_hh_tes!P27=0,0,11630*1000*SER_hh_tes!P27/SER_hh_num!P27)</f>
        <v>5549.2734924749011</v>
      </c>
      <c r="Q28" s="147">
        <f>IF(SER_hh_tes!Q27=0,0,11630*1000*SER_hh_tes!Q27/SER_hh_num!Q27)</f>
        <v>5725.5365488951675</v>
      </c>
      <c r="R28" s="147">
        <f>IF(SER_hh_tes!R27=0,0,11630*1000*SER_hh_tes!R27/SER_hh_num!R27)</f>
        <v>5762.1750894509987</v>
      </c>
      <c r="S28" s="147">
        <f>IF(SER_hh_tes!S27=0,0,11630*1000*SER_hh_tes!S27/SER_hh_num!S27)</f>
        <v>5839.9513448958078</v>
      </c>
      <c r="T28" s="147">
        <f>IF(SER_hh_tes!T27=0,0,11630*1000*SER_hh_tes!T27/SER_hh_num!T27)</f>
        <v>5918.416949517009</v>
      </c>
      <c r="U28" s="147">
        <f>IF(SER_hh_tes!U27=0,0,11630*1000*SER_hh_tes!U27/SER_hh_num!U27)</f>
        <v>5998.5841637502172</v>
      </c>
      <c r="V28" s="147">
        <f>IF(SER_hh_tes!V27=0,0,11630*1000*SER_hh_tes!V27/SER_hh_num!V27)</f>
        <v>5595.5940544874329</v>
      </c>
      <c r="W28" s="147">
        <f>IF(SER_hh_tes!W27=0,0,11630*1000*SER_hh_tes!W27/SER_hh_num!W27)</f>
        <v>5632.9670911281055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24768.409070493457</v>
      </c>
      <c r="C29" s="131">
        <f>IF(SER_hh_tes!C29=0,0,11630*1000*SER_hh_tes!C29/SER_hh_num!C29)</f>
        <v>24687.795955409754</v>
      </c>
      <c r="D29" s="131">
        <f>IF(SER_hh_tes!D29=0,0,11630*1000*SER_hh_tes!D29/SER_hh_num!D29)</f>
        <v>24476.613475231206</v>
      </c>
      <c r="E29" s="131">
        <f>IF(SER_hh_tes!E29=0,0,11630*1000*SER_hh_tes!E29/SER_hh_num!E29)</f>
        <v>24443.503872620608</v>
      </c>
      <c r="F29" s="131">
        <f>IF(SER_hh_tes!F29=0,0,11630*1000*SER_hh_tes!F29/SER_hh_num!F29)</f>
        <v>24333.087938548666</v>
      </c>
      <c r="G29" s="131">
        <f>IF(SER_hh_tes!G29=0,0,11630*1000*SER_hh_tes!G29/SER_hh_num!G29)</f>
        <v>24234.618926020266</v>
      </c>
      <c r="H29" s="131">
        <f>IF(SER_hh_tes!H29=0,0,11630*1000*SER_hh_tes!H29/SER_hh_num!H29)</f>
        <v>24076.632840467948</v>
      </c>
      <c r="I29" s="131">
        <f>IF(SER_hh_tes!I29=0,0,11630*1000*SER_hh_tes!I29/SER_hh_num!I29)</f>
        <v>23815.877759880867</v>
      </c>
      <c r="J29" s="131">
        <f>IF(SER_hh_tes!J29=0,0,11630*1000*SER_hh_tes!J29/SER_hh_num!J29)</f>
        <v>24239.705300659698</v>
      </c>
      <c r="K29" s="131">
        <f>IF(SER_hh_tes!K29=0,0,11630*1000*SER_hh_tes!K29/SER_hh_num!K29)</f>
        <v>23563.634164721469</v>
      </c>
      <c r="L29" s="131">
        <f>IF(SER_hh_tes!L29=0,0,11630*1000*SER_hh_tes!L29/SER_hh_num!L29)</f>
        <v>24264.026709935606</v>
      </c>
      <c r="M29" s="131">
        <f>IF(SER_hh_tes!M29=0,0,11630*1000*SER_hh_tes!M29/SER_hh_num!M29)</f>
        <v>25662.656256325507</v>
      </c>
      <c r="N29" s="131">
        <f>IF(SER_hh_tes!N29=0,0,11630*1000*SER_hh_tes!N29/SER_hh_num!N29)</f>
        <v>26382.78085135837</v>
      </c>
      <c r="O29" s="131">
        <f>IF(SER_hh_tes!O29=0,0,11630*1000*SER_hh_tes!O29/SER_hh_num!O29)</f>
        <v>26579.401334841281</v>
      </c>
      <c r="P29" s="131">
        <f>IF(SER_hh_tes!P29=0,0,11630*1000*SER_hh_tes!P29/SER_hh_num!P29)</f>
        <v>26398.233577506016</v>
      </c>
      <c r="Q29" s="131">
        <f>IF(SER_hh_tes!Q29=0,0,11630*1000*SER_hh_tes!Q29/SER_hh_num!Q29)</f>
        <v>26643.840677966757</v>
      </c>
      <c r="R29" s="131">
        <f>IF(SER_hh_tes!R29=0,0,11630*1000*SER_hh_tes!R29/SER_hh_num!R29)</f>
        <v>26675.420502656485</v>
      </c>
      <c r="S29" s="131">
        <f>IF(SER_hh_tes!S29=0,0,11630*1000*SER_hh_tes!S29/SER_hh_num!S29)</f>
        <v>27045.266576094869</v>
      </c>
      <c r="T29" s="131">
        <f>IF(SER_hh_tes!T29=0,0,11630*1000*SER_hh_tes!T29/SER_hh_num!T29)</f>
        <v>27046.150190635246</v>
      </c>
      <c r="U29" s="131">
        <f>IF(SER_hh_tes!U29=0,0,11630*1000*SER_hh_tes!U29/SER_hh_num!U29)</f>
        <v>27292.478555933212</v>
      </c>
      <c r="V29" s="131">
        <f>IF(SER_hh_tes!V29=0,0,11630*1000*SER_hh_tes!V29/SER_hh_num!V29)</f>
        <v>25680.660729320392</v>
      </c>
      <c r="W29" s="131">
        <f>IF(SER_hh_tes!W29=0,0,11630*1000*SER_hh_tes!W29/SER_hh_num!W29)</f>
        <v>27806.320043785516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23769.214451109212</v>
      </c>
      <c r="C30" s="133">
        <f>IF(SER_hh_tes!C30=0,0,11630*1000*SER_hh_tes!C30/SER_hh_num!C30)</f>
        <v>25149.557906850954</v>
      </c>
      <c r="D30" s="133">
        <f>IF(SER_hh_tes!D30=0,0,11630*1000*SER_hh_tes!D30/SER_hh_num!D30)</f>
        <v>24279.319968903645</v>
      </c>
      <c r="E30" s="133">
        <f>IF(SER_hh_tes!E30=0,0,11630*1000*SER_hh_tes!E30/SER_hh_num!E30)</f>
        <v>23743.214543382746</v>
      </c>
      <c r="F30" s="133">
        <f>IF(SER_hh_tes!F30=0,0,11630*1000*SER_hh_tes!F30/SER_hh_num!F30)</f>
        <v>23535.035977112111</v>
      </c>
      <c r="G30" s="133">
        <f>IF(SER_hh_tes!G30=0,0,11630*1000*SER_hh_tes!G30/SER_hh_num!G30)</f>
        <v>25096.67543755396</v>
      </c>
      <c r="H30" s="133">
        <f>IF(SER_hh_tes!H30=0,0,11630*1000*SER_hh_tes!H30/SER_hh_num!H30)</f>
        <v>23999.857817542987</v>
      </c>
      <c r="I30" s="133">
        <f>IF(SER_hh_tes!I30=0,0,11630*1000*SER_hh_tes!I30/SER_hh_num!I30)</f>
        <v>23347.772538532779</v>
      </c>
      <c r="J30" s="133">
        <f>IF(SER_hh_tes!J30=0,0,11630*1000*SER_hh_tes!J30/SER_hh_num!J30)</f>
        <v>26991.094076439018</v>
      </c>
      <c r="K30" s="133">
        <f>IF(SER_hh_tes!K30=0,0,11630*1000*SER_hh_tes!K30/SER_hh_num!K30)</f>
        <v>20354.787172919569</v>
      </c>
      <c r="L30" s="133">
        <f>IF(SER_hh_tes!L30=0,0,11630*1000*SER_hh_tes!L30/SER_hh_num!L30)</f>
        <v>26298.505086687361</v>
      </c>
      <c r="M30" s="133">
        <f>IF(SER_hh_tes!M30=0,0,11630*1000*SER_hh_tes!M30/SER_hh_num!M30)</f>
        <v>25927.417814554141</v>
      </c>
      <c r="N30" s="133">
        <f>IF(SER_hh_tes!N30=0,0,11630*1000*SER_hh_tes!N30/SER_hh_num!N30)</f>
        <v>24914.379030831216</v>
      </c>
      <c r="O30" s="133">
        <f>IF(SER_hh_tes!O30=0,0,11630*1000*SER_hh_tes!O30/SER_hh_num!O30)</f>
        <v>29212.821418946718</v>
      </c>
      <c r="P30" s="133">
        <f>IF(SER_hh_tes!P30=0,0,11630*1000*SER_hh_tes!P30/SER_hh_num!P30)</f>
        <v>24759.06274688301</v>
      </c>
      <c r="Q30" s="133">
        <f>IF(SER_hh_tes!Q30=0,0,11630*1000*SER_hh_tes!Q30/SER_hh_num!Q30)</f>
        <v>27684.191283627722</v>
      </c>
      <c r="R30" s="133">
        <f>IF(SER_hh_tes!R30=0,0,11630*1000*SER_hh_tes!R30/SER_hh_num!R30)</f>
        <v>25103.410039456649</v>
      </c>
      <c r="S30" s="133">
        <f>IF(SER_hh_tes!S30=0,0,11630*1000*SER_hh_tes!S30/SER_hh_num!S30)</f>
        <v>26070.506303777307</v>
      </c>
      <c r="T30" s="133">
        <f>IF(SER_hh_tes!T30=0,0,11630*1000*SER_hh_tes!T30/SER_hh_num!T30)</f>
        <v>28390.79603869353</v>
      </c>
      <c r="U30" s="133">
        <f>IF(SER_hh_tes!U30=0,0,11630*1000*SER_hh_tes!U30/SER_hh_num!U30)</f>
        <v>28625.012140442515</v>
      </c>
      <c r="V30" s="133">
        <f>IF(SER_hh_tes!V30=0,0,11630*1000*SER_hh_tes!V30/SER_hh_num!V30)</f>
        <v>24464.165347341404</v>
      </c>
      <c r="W30" s="133">
        <f>IF(SER_hh_tes!W30=0,0,11630*1000*SER_hh_tes!W30/SER_hh_num!W30)</f>
        <v>28348.44750007668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24936.869158308687</v>
      </c>
      <c r="C31" s="133">
        <f>IF(SER_hh_tes!C31=0,0,11630*1000*SER_hh_tes!C31/SER_hh_num!C31)</f>
        <v>24738.120762054252</v>
      </c>
      <c r="D31" s="133">
        <f>IF(SER_hh_tes!D31=0,0,11630*1000*SER_hh_tes!D31/SER_hh_num!D31)</f>
        <v>24349.91713257138</v>
      </c>
      <c r="E31" s="133">
        <f>IF(SER_hh_tes!E31=0,0,11630*1000*SER_hh_tes!E31/SER_hh_num!E31)</f>
        <v>24055.677163699384</v>
      </c>
      <c r="F31" s="133">
        <f>IF(SER_hh_tes!F31=0,0,11630*1000*SER_hh_tes!F31/SER_hh_num!F31)</f>
        <v>24285.856654082778</v>
      </c>
      <c r="G31" s="133">
        <f>IF(SER_hh_tes!G31=0,0,11630*1000*SER_hh_tes!G31/SER_hh_num!G31)</f>
        <v>24172.814707366193</v>
      </c>
      <c r="H31" s="133">
        <f>IF(SER_hh_tes!H31=0,0,11630*1000*SER_hh_tes!H31/SER_hh_num!H31)</f>
        <v>24244.384312746355</v>
      </c>
      <c r="I31" s="133">
        <f>IF(SER_hh_tes!I31=0,0,11630*1000*SER_hh_tes!I31/SER_hh_num!I31)</f>
        <v>23755.588704581485</v>
      </c>
      <c r="J31" s="133">
        <f>IF(SER_hh_tes!J31=0,0,11630*1000*SER_hh_tes!J31/SER_hh_num!J31)</f>
        <v>23640.441181284627</v>
      </c>
      <c r="K31" s="133">
        <f>IF(SER_hh_tes!K31=0,0,11630*1000*SER_hh_tes!K31/SER_hh_num!K31)</f>
        <v>24242.476513300266</v>
      </c>
      <c r="L31" s="133">
        <f>IF(SER_hh_tes!L31=0,0,11630*1000*SER_hh_tes!L31/SER_hh_num!L31)</f>
        <v>24573.34758549252</v>
      </c>
      <c r="M31" s="133">
        <f>IF(SER_hh_tes!M31=0,0,11630*1000*SER_hh_tes!M31/SER_hh_num!M31)</f>
        <v>25440.092375705568</v>
      </c>
      <c r="N31" s="133">
        <f>IF(SER_hh_tes!N31=0,0,11630*1000*SER_hh_tes!N31/SER_hh_num!N31)</f>
        <v>26298.406130861858</v>
      </c>
      <c r="O31" s="133">
        <f>IF(SER_hh_tes!O31=0,0,11630*1000*SER_hh_tes!O31/SER_hh_num!O31)</f>
        <v>26382.735260532721</v>
      </c>
      <c r="P31" s="133">
        <f>IF(SER_hh_tes!P31=0,0,11630*1000*SER_hh_tes!P31/SER_hh_num!P31)</f>
        <v>26185.06563828234</v>
      </c>
      <c r="Q31" s="133">
        <f>IF(SER_hh_tes!Q31=0,0,11630*1000*SER_hh_tes!Q31/SER_hh_num!Q31)</f>
        <v>26859.374960173733</v>
      </c>
      <c r="R31" s="133">
        <f>IF(SER_hh_tes!R31=0,0,11630*1000*SER_hh_tes!R31/SER_hh_num!R31)</f>
        <v>26932.871982233988</v>
      </c>
      <c r="S31" s="133">
        <f>IF(SER_hh_tes!S31=0,0,11630*1000*SER_hh_tes!S31/SER_hh_num!S31)</f>
        <v>26746.262496805259</v>
      </c>
      <c r="T31" s="133">
        <f>IF(SER_hh_tes!T31=0,0,11630*1000*SER_hh_tes!T31/SER_hh_num!T31)</f>
        <v>27396.183120063812</v>
      </c>
      <c r="U31" s="133">
        <f>IF(SER_hh_tes!U31=0,0,11630*1000*SER_hh_tes!U31/SER_hh_num!U31)</f>
        <v>27629.067021538347</v>
      </c>
      <c r="V31" s="133">
        <f>IF(SER_hh_tes!V31=0,0,11630*1000*SER_hh_tes!V31/SER_hh_num!V31)</f>
        <v>25640.573218999252</v>
      </c>
      <c r="W31" s="133">
        <f>IF(SER_hh_tes!W31=0,0,11630*1000*SER_hh_tes!W31/SER_hh_num!W31)</f>
        <v>28027.589766942168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25279.528586404253</v>
      </c>
      <c r="C33" s="68">
        <f>IF(SER_hh_tes!C33=0,0,11630*1000*SER_hh_tes!C33/SER_hh_num!C33)</f>
        <v>24399.996902806881</v>
      </c>
      <c r="D33" s="68">
        <f>IF(SER_hh_tes!D33=0,0,11630*1000*SER_hh_tes!D33/SER_hh_num!D33)</f>
        <v>24636.897240201273</v>
      </c>
      <c r="E33" s="68">
        <f>IF(SER_hh_tes!E33=0,0,11630*1000*SER_hh_tes!E33/SER_hh_num!E33)</f>
        <v>25038.732328600432</v>
      </c>
      <c r="F33" s="68">
        <f>IF(SER_hh_tes!F33=0,0,11630*1000*SER_hh_tes!F33/SER_hh_num!F33)</f>
        <v>24967.161731103115</v>
      </c>
      <c r="G33" s="68">
        <f>IF(SER_hh_tes!G33=0,0,11630*1000*SER_hh_tes!G33/SER_hh_num!G33)</f>
        <v>23481.194542013505</v>
      </c>
      <c r="H33" s="68">
        <f>IF(SER_hh_tes!H33=0,0,11630*1000*SER_hh_tes!H33/SER_hh_num!H33)</f>
        <v>24098.077151618429</v>
      </c>
      <c r="I33" s="68">
        <f>IF(SER_hh_tes!I33=0,0,11630*1000*SER_hh_tes!I33/SER_hh_num!I33)</f>
        <v>24333.505438152424</v>
      </c>
      <c r="J33" s="68">
        <f>IF(SER_hh_tes!J33=0,0,11630*1000*SER_hh_tes!J33/SER_hh_num!J33)</f>
        <v>21661.023799608371</v>
      </c>
      <c r="K33" s="68">
        <f>IF(SER_hh_tes!K33=0,0,11630*1000*SER_hh_tes!K33/SER_hh_num!K33)</f>
        <v>26517.243759397243</v>
      </c>
      <c r="L33" s="68">
        <f>IF(SER_hh_tes!L33=0,0,11630*1000*SER_hh_tes!L33/SER_hh_num!L33)</f>
        <v>22080.537760938892</v>
      </c>
      <c r="M33" s="68">
        <f>IF(SER_hh_tes!M33=0,0,11630*1000*SER_hh_tes!M33/SER_hh_num!M33)</f>
        <v>25469.087373500202</v>
      </c>
      <c r="N33" s="68">
        <f>IF(SER_hh_tes!N33=0,0,11630*1000*SER_hh_tes!N33/SER_hh_num!N33)</f>
        <v>27846.096819628339</v>
      </c>
      <c r="O33" s="68">
        <f>IF(SER_hh_tes!O33=0,0,11630*1000*SER_hh_tes!O33/SER_hh_num!O33)</f>
        <v>24118.581963280296</v>
      </c>
      <c r="P33" s="68">
        <f>IF(SER_hh_tes!P33=0,0,11630*1000*SER_hh_tes!P33/SER_hh_num!P33)</f>
        <v>27783.145442681813</v>
      </c>
      <c r="Q33" s="68">
        <f>IF(SER_hh_tes!Q33=0,0,11630*1000*SER_hh_tes!Q33/SER_hh_num!Q33)</f>
        <v>25800.244008210586</v>
      </c>
      <c r="R33" s="68">
        <f>IF(SER_hh_tes!R33=0,0,11630*1000*SER_hh_tes!R33/SER_hh_num!R33)</f>
        <v>27609.474772522895</v>
      </c>
      <c r="S33" s="68">
        <f>IF(SER_hh_tes!S33=0,0,11630*1000*SER_hh_tes!S33/SER_hh_num!S33)</f>
        <v>27723.280064762272</v>
      </c>
      <c r="T33" s="68">
        <f>IF(SER_hh_tes!T33=0,0,11630*1000*SER_hh_tes!T33/SER_hh_num!T33)</f>
        <v>26153.636467632903</v>
      </c>
      <c r="U33" s="68">
        <f>IF(SER_hh_tes!U33=0,0,11630*1000*SER_hh_tes!U33/SER_hh_num!U33)</f>
        <v>26450.947950101956</v>
      </c>
      <c r="V33" s="68">
        <f>IF(SER_hh_tes!V33=0,0,11630*1000*SER_hh_tes!V33/SER_hh_num!V33)</f>
        <v>26309.699900703024</v>
      </c>
      <c r="W33" s="68">
        <f>IF(SER_hh_tes!W33=0,0,11630*1000*SER_hh_tes!W33/SER_hh_num!W33)</f>
        <v>27497.224712096573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48692.82205810312</v>
      </c>
      <c r="C3" s="126">
        <f>IF(SER_hh_emi!C3=0,0,1000000*SER_hh_emi!C3/SER_hh_num!C3)</f>
        <v>46513.539180734071</v>
      </c>
      <c r="D3" s="126">
        <f>IF(SER_hh_emi!D3=0,0,1000000*SER_hh_emi!D3/SER_hh_num!D3)</f>
        <v>43276.96316243273</v>
      </c>
      <c r="E3" s="126">
        <f>IF(SER_hh_emi!E3=0,0,1000000*SER_hh_emi!E3/SER_hh_num!E3)</f>
        <v>43845.932716431817</v>
      </c>
      <c r="F3" s="126">
        <f>IF(SER_hh_emi!F3=0,0,1000000*SER_hh_emi!F3/SER_hh_num!F3)</f>
        <v>40913.555983022969</v>
      </c>
      <c r="G3" s="126">
        <f>IF(SER_hh_emi!G3=0,0,1000000*SER_hh_emi!G3/SER_hh_num!G3)</f>
        <v>40532.689369097447</v>
      </c>
      <c r="H3" s="126">
        <f>IF(SER_hh_emi!H3=0,0,1000000*SER_hh_emi!H3/SER_hh_num!H3)</f>
        <v>39146.190759545927</v>
      </c>
      <c r="I3" s="126">
        <f>IF(SER_hh_emi!I3=0,0,1000000*SER_hh_emi!I3/SER_hh_num!I3)</f>
        <v>36059.027436795674</v>
      </c>
      <c r="J3" s="126">
        <f>IF(SER_hh_emi!J3=0,0,1000000*SER_hh_emi!J3/SER_hh_num!J3)</f>
        <v>36763.828570728314</v>
      </c>
      <c r="K3" s="126">
        <f>IF(SER_hh_emi!K3=0,0,1000000*SER_hh_emi!K3/SER_hh_num!K3)</f>
        <v>30479.334830332486</v>
      </c>
      <c r="L3" s="126">
        <f>IF(SER_hh_emi!L3=0,0,1000000*SER_hh_emi!L3/SER_hh_num!L3)</f>
        <v>33021.395238552308</v>
      </c>
      <c r="M3" s="126">
        <f>IF(SER_hh_emi!M3=0,0,1000000*SER_hh_emi!M3/SER_hh_num!M3)</f>
        <v>31718.478964201109</v>
      </c>
      <c r="N3" s="126">
        <f>IF(SER_hh_emi!N3=0,0,1000000*SER_hh_emi!N3/SER_hh_num!N3)</f>
        <v>32637.799129813684</v>
      </c>
      <c r="O3" s="126">
        <f>IF(SER_hh_emi!O3=0,0,1000000*SER_hh_emi!O3/SER_hh_num!O3)</f>
        <v>34447.375585647445</v>
      </c>
      <c r="P3" s="126">
        <f>IF(SER_hh_emi!P3=0,0,1000000*SER_hh_emi!P3/SER_hh_num!P3)</f>
        <v>31433.420345232531</v>
      </c>
      <c r="Q3" s="126">
        <f>IF(SER_hh_emi!Q3=0,0,1000000*SER_hh_emi!Q3/SER_hh_num!Q3)</f>
        <v>33572.585870285235</v>
      </c>
      <c r="R3" s="126">
        <f>IF(SER_hh_emi!R3=0,0,1000000*SER_hh_emi!R3/SER_hh_num!R3)</f>
        <v>31702.212439520972</v>
      </c>
      <c r="S3" s="126">
        <f>IF(SER_hh_emi!S3=0,0,1000000*SER_hh_emi!S3/SER_hh_num!S3)</f>
        <v>30536.371172287814</v>
      </c>
      <c r="T3" s="126">
        <f>IF(SER_hh_emi!T3=0,0,1000000*SER_hh_emi!T3/SER_hh_num!T3)</f>
        <v>32703.501693918497</v>
      </c>
      <c r="U3" s="126">
        <f>IF(SER_hh_emi!U3=0,0,1000000*SER_hh_emi!U3/SER_hh_num!U3)</f>
        <v>31435.68403552915</v>
      </c>
      <c r="V3" s="126">
        <f>IF(SER_hh_emi!V3=0,0,1000000*SER_hh_emi!V3/SER_hh_num!V3)</f>
        <v>29665.556808285586</v>
      </c>
      <c r="W3" s="126">
        <f>IF(SER_hh_emi!W3=0,0,1000000*SER_hh_emi!W3/SER_hh_num!W3)</f>
        <v>25739.642107258547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39875.206244777655</v>
      </c>
      <c r="C4" s="131">
        <f>IF(SER_hh_emi!C4=0,0,1000000*SER_hh_emi!C4/SER_hh_num!C4)</f>
        <v>37559.7168399359</v>
      </c>
      <c r="D4" s="131">
        <f>IF(SER_hh_emi!D4=0,0,1000000*SER_hh_emi!D4/SER_hh_num!D4)</f>
        <v>34558.70914712079</v>
      </c>
      <c r="E4" s="131">
        <f>IF(SER_hh_emi!E4=0,0,1000000*SER_hh_emi!E4/SER_hh_num!E4)</f>
        <v>35333.220585537041</v>
      </c>
      <c r="F4" s="131">
        <f>IF(SER_hh_emi!F4=0,0,1000000*SER_hh_emi!F4/SER_hh_num!F4)</f>
        <v>32290.639994213296</v>
      </c>
      <c r="G4" s="131">
        <f>IF(SER_hh_emi!G4=0,0,1000000*SER_hh_emi!G4/SER_hh_num!G4)</f>
        <v>31672.907168781865</v>
      </c>
      <c r="H4" s="131">
        <f>IF(SER_hh_emi!H4=0,0,1000000*SER_hh_emi!H4/SER_hh_num!H4)</f>
        <v>30485.362627990031</v>
      </c>
      <c r="I4" s="131">
        <f>IF(SER_hh_emi!I4=0,0,1000000*SER_hh_emi!I4/SER_hh_num!I4)</f>
        <v>27644.91997389742</v>
      </c>
      <c r="J4" s="131">
        <f>IF(SER_hh_emi!J4=0,0,1000000*SER_hh_emi!J4/SER_hh_num!J4)</f>
        <v>27926.239350600827</v>
      </c>
      <c r="K4" s="131">
        <f>IF(SER_hh_emi!K4=0,0,1000000*SER_hh_emi!K4/SER_hh_num!K4)</f>
        <v>22619.18468021942</v>
      </c>
      <c r="L4" s="131">
        <f>IF(SER_hh_emi!L4=0,0,1000000*SER_hh_emi!L4/SER_hh_num!L4)</f>
        <v>24003.072633885535</v>
      </c>
      <c r="M4" s="131">
        <f>IF(SER_hh_emi!M4=0,0,1000000*SER_hh_emi!M4/SER_hh_num!M4)</f>
        <v>22721.68199355395</v>
      </c>
      <c r="N4" s="131">
        <f>IF(SER_hh_emi!N4=0,0,1000000*SER_hh_emi!N4/SER_hh_num!N4)</f>
        <v>23836.4340911824</v>
      </c>
      <c r="O4" s="131">
        <f>IF(SER_hh_emi!O4=0,0,1000000*SER_hh_emi!O4/SER_hh_num!O4)</f>
        <v>25022.91167376472</v>
      </c>
      <c r="P4" s="131">
        <f>IF(SER_hh_emi!P4=0,0,1000000*SER_hh_emi!P4/SER_hh_num!P4)</f>
        <v>23059.551897389723</v>
      </c>
      <c r="Q4" s="131">
        <f>IF(SER_hh_emi!Q4=0,0,1000000*SER_hh_emi!Q4/SER_hh_num!Q4)</f>
        <v>24973.518382331717</v>
      </c>
      <c r="R4" s="131">
        <f>IF(SER_hh_emi!R4=0,0,1000000*SER_hh_emi!R4/SER_hh_num!R4)</f>
        <v>23920.533695965089</v>
      </c>
      <c r="S4" s="131">
        <f>IF(SER_hh_emi!S4=0,0,1000000*SER_hh_emi!S4/SER_hh_num!S4)</f>
        <v>22722.867420064282</v>
      </c>
      <c r="T4" s="131">
        <f>IF(SER_hh_emi!T4=0,0,1000000*SER_hh_emi!T4/SER_hh_num!T4)</f>
        <v>24957.722614549322</v>
      </c>
      <c r="U4" s="131">
        <f>IF(SER_hh_emi!U4=0,0,1000000*SER_hh_emi!U4/SER_hh_num!U4)</f>
        <v>23927.459636352178</v>
      </c>
      <c r="V4" s="131">
        <f>IF(SER_hh_emi!V4=0,0,1000000*SER_hh_emi!V4/SER_hh_num!V4)</f>
        <v>23390.244950881308</v>
      </c>
      <c r="W4" s="131">
        <f>IF(SER_hh_emi!W4=0,0,1000000*SER_hh_emi!W4/SER_hh_num!W4)</f>
        <v>19021.278230991273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41262.277738173652</v>
      </c>
      <c r="C5" s="133">
        <f>IF(SER_hh_emi!C5=0,0,1000000*SER_hh_emi!C5/SER_hh_num!C5)</f>
        <v>46562.284310199968</v>
      </c>
      <c r="D5" s="133">
        <f>IF(SER_hh_emi!D5=0,0,1000000*SER_hh_emi!D5/SER_hh_num!D5)</f>
        <v>23095.480052623832</v>
      </c>
      <c r="E5" s="133">
        <f>IF(SER_hh_emi!E5=0,0,1000000*SER_hh_emi!E5/SER_hh_num!E5)</f>
        <v>110082.6981408946</v>
      </c>
      <c r="F5" s="133">
        <f>IF(SER_hh_emi!F5=0,0,1000000*SER_hh_emi!F5/SER_hh_num!F5)</f>
        <v>93605.375270638557</v>
      </c>
      <c r="G5" s="133">
        <f>IF(SER_hh_emi!G5=0,0,1000000*SER_hh_emi!G5/SER_hh_num!G5)</f>
        <v>92811.079211453427</v>
      </c>
      <c r="H5" s="133">
        <f>IF(SER_hh_emi!H5=0,0,1000000*SER_hh_emi!H5/SER_hh_num!H5)</f>
        <v>93865.427026597434</v>
      </c>
      <c r="I5" s="133">
        <f>IF(SER_hh_emi!I5=0,0,1000000*SER_hh_emi!I5/SER_hh_num!I5)</f>
        <v>97817.25341874834</v>
      </c>
      <c r="J5" s="133">
        <f>IF(SER_hh_emi!J5=0,0,1000000*SER_hh_emi!J5/SER_hh_num!J5)</f>
        <v>117615.17058586824</v>
      </c>
      <c r="K5" s="133">
        <f>IF(SER_hh_emi!K5=0,0,1000000*SER_hh_emi!K5/SER_hh_num!K5)</f>
        <v>4856.7806804520942</v>
      </c>
      <c r="L5" s="133">
        <f>IF(SER_hh_emi!L5=0,0,1000000*SER_hh_emi!L5/SER_hh_num!L5)</f>
        <v>23638.604529827229</v>
      </c>
      <c r="M5" s="133">
        <f>IF(SER_hh_emi!M5=0,0,1000000*SER_hh_emi!M5/SER_hh_num!M5)</f>
        <v>116556.04306888391</v>
      </c>
      <c r="N5" s="133">
        <f>IF(SER_hh_emi!N5=0,0,1000000*SER_hh_emi!N5/SER_hh_num!N5)</f>
        <v>63073.293553970339</v>
      </c>
      <c r="O5" s="133">
        <f>IF(SER_hh_emi!O5=0,0,1000000*SER_hh_emi!O5/SER_hh_num!O5)</f>
        <v>77692.732495573087</v>
      </c>
      <c r="P5" s="133">
        <f>IF(SER_hh_emi!P5=0,0,1000000*SER_hh_emi!P5/SER_hh_num!P5)</f>
        <v>54220.74433430918</v>
      </c>
      <c r="Q5" s="133">
        <f>IF(SER_hh_emi!Q5=0,0,1000000*SER_hh_emi!Q5/SER_hh_num!Q5)</f>
        <v>55214.717180679931</v>
      </c>
      <c r="R5" s="133">
        <f>IF(SER_hh_emi!R5=0,0,1000000*SER_hh_emi!R5/SER_hh_num!R5)</f>
        <v>98560.489810954401</v>
      </c>
      <c r="S5" s="133">
        <f>IF(SER_hh_emi!S5=0,0,1000000*SER_hh_emi!S5/SER_hh_num!S5)</f>
        <v>82562.925425336711</v>
      </c>
      <c r="T5" s="133">
        <f>IF(SER_hh_emi!T5=0,0,1000000*SER_hh_emi!T5/SER_hh_num!T5)</f>
        <v>93061.15495231458</v>
      </c>
      <c r="U5" s="133">
        <f>IF(SER_hh_emi!U5=0,0,1000000*SER_hh_emi!U5/SER_hh_num!U5)</f>
        <v>93026.524093796193</v>
      </c>
      <c r="V5" s="133">
        <f>IF(SER_hh_emi!V5=0,0,1000000*SER_hh_emi!V5/SER_hh_num!V5)</f>
        <v>55647.390542819121</v>
      </c>
      <c r="W5" s="133">
        <f>IF(SER_hh_emi!W5=0,0,1000000*SER_hh_emi!W5/SER_hh_num!W5)</f>
        <v>71429.533616374014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66654.24348787652</v>
      </c>
      <c r="C7" s="133">
        <f>IF(SER_hh_emi!C7=0,0,1000000*SER_hh_emi!C7/SER_hh_num!C7)</f>
        <v>64907.801977933537</v>
      </c>
      <c r="D7" s="133">
        <f>IF(SER_hh_emi!D7=0,0,1000000*SER_hh_emi!D7/SER_hh_num!D7)</f>
        <v>67578.054070653074</v>
      </c>
      <c r="E7" s="133">
        <f>IF(SER_hh_emi!E7=0,0,1000000*SER_hh_emi!E7/SER_hh_num!E7)</f>
        <v>70744.437391727435</v>
      </c>
      <c r="F7" s="133">
        <f>IF(SER_hh_emi!F7=0,0,1000000*SER_hh_emi!F7/SER_hh_num!F7)</f>
        <v>69300.198592720495</v>
      </c>
      <c r="G7" s="133">
        <f>IF(SER_hh_emi!G7=0,0,1000000*SER_hh_emi!G7/SER_hh_num!G7)</f>
        <v>78633.995529168213</v>
      </c>
      <c r="H7" s="133">
        <f>IF(SER_hh_emi!H7=0,0,1000000*SER_hh_emi!H7/SER_hh_num!H7)</f>
        <v>79204.662639208327</v>
      </c>
      <c r="I7" s="133">
        <f>IF(SER_hh_emi!I7=0,0,1000000*SER_hh_emi!I7/SER_hh_num!I7)</f>
        <v>77754.729584739893</v>
      </c>
      <c r="J7" s="133">
        <f>IF(SER_hh_emi!J7=0,0,1000000*SER_hh_emi!J7/SER_hh_num!J7)</f>
        <v>86142.756618564279</v>
      </c>
      <c r="K7" s="133">
        <f>IF(SER_hh_emi!K7=0,0,1000000*SER_hh_emi!K7/SER_hh_num!K7)</f>
        <v>73135.19901568364</v>
      </c>
      <c r="L7" s="133">
        <f>IF(SER_hh_emi!L7=0,0,1000000*SER_hh_emi!L7/SER_hh_num!L7)</f>
        <v>75606.609763293789</v>
      </c>
      <c r="M7" s="133">
        <f>IF(SER_hh_emi!M7=0,0,1000000*SER_hh_emi!M7/SER_hh_num!M7)</f>
        <v>66370.348602197439</v>
      </c>
      <c r="N7" s="133">
        <f>IF(SER_hh_emi!N7=0,0,1000000*SER_hh_emi!N7/SER_hh_num!N7)</f>
        <v>60004.204274249831</v>
      </c>
      <c r="O7" s="133">
        <f>IF(SER_hh_emi!O7=0,0,1000000*SER_hh_emi!O7/SER_hh_num!O7)</f>
        <v>68759.852867628899</v>
      </c>
      <c r="P7" s="133">
        <f>IF(SER_hh_emi!P7=0,0,1000000*SER_hh_emi!P7/SER_hh_num!P7)</f>
        <v>60704.665863567003</v>
      </c>
      <c r="Q7" s="133">
        <f>IF(SER_hh_emi!Q7=0,0,1000000*SER_hh_emi!Q7/SER_hh_num!Q7)</f>
        <v>64664.01865800369</v>
      </c>
      <c r="R7" s="133">
        <f>IF(SER_hh_emi!R7=0,0,1000000*SER_hh_emi!R7/SER_hh_num!R7)</f>
        <v>62869.608777202586</v>
      </c>
      <c r="S7" s="133">
        <f>IF(SER_hh_emi!S7=0,0,1000000*SER_hh_emi!S7/SER_hh_num!S7)</f>
        <v>59996.439327768952</v>
      </c>
      <c r="T7" s="133">
        <f>IF(SER_hh_emi!T7=0,0,1000000*SER_hh_emi!T7/SER_hh_num!T7)</f>
        <v>69751.97723690595</v>
      </c>
      <c r="U7" s="133">
        <f>IF(SER_hh_emi!U7=0,0,1000000*SER_hh_emi!U7/SER_hh_num!U7)</f>
        <v>66302.181233031341</v>
      </c>
      <c r="V7" s="133">
        <f>IF(SER_hh_emi!V7=0,0,1000000*SER_hh_emi!V7/SER_hh_num!V7)</f>
        <v>60842.303260909532</v>
      </c>
      <c r="W7" s="133">
        <f>IF(SER_hh_emi!W7=0,0,1000000*SER_hh_emi!W7/SER_hh_num!W7)</f>
        <v>60912.405830177762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45100.84499837413</v>
      </c>
      <c r="C9" s="133">
        <f>IF(SER_hh_emi!C9=0,0,1000000*SER_hh_emi!C9/SER_hh_num!C9)</f>
        <v>45567.917747291955</v>
      </c>
      <c r="D9" s="133">
        <f>IF(SER_hh_emi!D9=0,0,1000000*SER_hh_emi!D9/SER_hh_num!D9)</f>
        <v>44486.704502102621</v>
      </c>
      <c r="E9" s="133">
        <f>IF(SER_hh_emi!E9=0,0,1000000*SER_hh_emi!E9/SER_hh_num!E9)</f>
        <v>46776.265828469863</v>
      </c>
      <c r="F9" s="133">
        <f>IF(SER_hh_emi!F9=0,0,1000000*SER_hh_emi!F9/SER_hh_num!F9)</f>
        <v>46642.584207063075</v>
      </c>
      <c r="G9" s="133">
        <f>IF(SER_hh_emi!G9=0,0,1000000*SER_hh_emi!G9/SER_hh_num!G9)</f>
        <v>46554.752850883233</v>
      </c>
      <c r="H9" s="133">
        <f>IF(SER_hh_emi!H9=0,0,1000000*SER_hh_emi!H9/SER_hh_num!H9)</f>
        <v>50534.096717346983</v>
      </c>
      <c r="I9" s="133">
        <f>IF(SER_hh_emi!I9=0,0,1000000*SER_hh_emi!I9/SER_hh_num!I9)</f>
        <v>50370.337928118846</v>
      </c>
      <c r="J9" s="133">
        <f>IF(SER_hh_emi!J9=0,0,1000000*SER_hh_emi!J9/SER_hh_num!J9)</f>
        <v>51041.376314124936</v>
      </c>
      <c r="K9" s="133">
        <f>IF(SER_hh_emi!K9=0,0,1000000*SER_hh_emi!K9/SER_hh_num!K9)</f>
        <v>45091.332698359249</v>
      </c>
      <c r="L9" s="133">
        <f>IF(SER_hh_emi!L9=0,0,1000000*SER_hh_emi!L9/SER_hh_num!L9)</f>
        <v>46300.703842881492</v>
      </c>
      <c r="M9" s="133">
        <f>IF(SER_hh_emi!M9=0,0,1000000*SER_hh_emi!M9/SER_hh_num!M9)</f>
        <v>44119.532177571295</v>
      </c>
      <c r="N9" s="133">
        <f>IF(SER_hh_emi!N9=0,0,1000000*SER_hh_emi!N9/SER_hh_num!N9)</f>
        <v>46008.64385292006</v>
      </c>
      <c r="O9" s="133">
        <f>IF(SER_hh_emi!O9=0,0,1000000*SER_hh_emi!O9/SER_hh_num!O9)</f>
        <v>42881.709189943904</v>
      </c>
      <c r="P9" s="133">
        <f>IF(SER_hh_emi!P9=0,0,1000000*SER_hh_emi!P9/SER_hh_num!P9)</f>
        <v>39037.555224005016</v>
      </c>
      <c r="Q9" s="133">
        <f>IF(SER_hh_emi!Q9=0,0,1000000*SER_hh_emi!Q9/SER_hh_num!Q9)</f>
        <v>42562.518664327494</v>
      </c>
      <c r="R9" s="133">
        <f>IF(SER_hh_emi!R9=0,0,1000000*SER_hh_emi!R9/SER_hh_num!R9)</f>
        <v>41762.251275477523</v>
      </c>
      <c r="S9" s="133">
        <f>IF(SER_hh_emi!S9=0,0,1000000*SER_hh_emi!S9/SER_hh_num!S9)</f>
        <v>40758.594935129477</v>
      </c>
      <c r="T9" s="133">
        <f>IF(SER_hh_emi!T9=0,0,1000000*SER_hh_emi!T9/SER_hh_num!T9)</f>
        <v>44498.724451566559</v>
      </c>
      <c r="U9" s="133">
        <f>IF(SER_hh_emi!U9=0,0,1000000*SER_hh_emi!U9/SER_hh_num!U9)</f>
        <v>42521.016793500821</v>
      </c>
      <c r="V9" s="133">
        <f>IF(SER_hh_emi!V9=0,0,1000000*SER_hh_emi!V9/SER_hh_num!V9)</f>
        <v>42589.647764589448</v>
      </c>
      <c r="W9" s="133">
        <f>IF(SER_hh_emi!W9=0,0,1000000*SER_hh_emi!W9/SER_hh_num!W9)</f>
        <v>31282.767576863855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10.459437649303055</v>
      </c>
      <c r="C16" s="131">
        <f>IF(SER_hh_emi!C16=0,0,1000000*SER_hh_emi!C16/SER_hh_num!C16)</f>
        <v>10.495106127770741</v>
      </c>
      <c r="D16" s="131">
        <f>IF(SER_hh_emi!D16=0,0,1000000*SER_hh_emi!D16/SER_hh_num!D16)</f>
        <v>10.889378223631928</v>
      </c>
      <c r="E16" s="131">
        <f>IF(SER_hh_emi!E16=0,0,1000000*SER_hh_emi!E16/SER_hh_num!E16)</f>
        <v>9.8428872977178123</v>
      </c>
      <c r="F16" s="131">
        <f>IF(SER_hh_emi!F16=0,0,1000000*SER_hh_emi!F16/SER_hh_num!F16)</f>
        <v>10.916426385113633</v>
      </c>
      <c r="G16" s="131">
        <f>IF(SER_hh_emi!G16=0,0,1000000*SER_hh_emi!G16/SER_hh_num!G16)</f>
        <v>11.034247491549268</v>
      </c>
      <c r="H16" s="131">
        <f>IF(SER_hh_emi!H16=0,0,1000000*SER_hh_emi!H16/SER_hh_num!H16)</f>
        <v>12.452143118523747</v>
      </c>
      <c r="I16" s="131">
        <f>IF(SER_hh_emi!I16=0,0,1000000*SER_hh_emi!I16/SER_hh_num!I16)</f>
        <v>12.376246430067004</v>
      </c>
      <c r="J16" s="131">
        <f>IF(SER_hh_emi!J16=0,0,1000000*SER_hh_emi!J16/SER_hh_num!J16)</f>
        <v>11.824246737915118</v>
      </c>
      <c r="K16" s="131">
        <f>IF(SER_hh_emi!K16=0,0,1000000*SER_hh_emi!K16/SER_hh_num!K16)</f>
        <v>12.686329458771368</v>
      </c>
      <c r="L16" s="131">
        <f>IF(SER_hh_emi!L16=0,0,1000000*SER_hh_emi!L16/SER_hh_num!L16)</f>
        <v>13.274125545448298</v>
      </c>
      <c r="M16" s="131">
        <f>IF(SER_hh_emi!M16=0,0,1000000*SER_hh_emi!M16/SER_hh_num!M16)</f>
        <v>13.973209711788819</v>
      </c>
      <c r="N16" s="131">
        <f>IF(SER_hh_emi!N16=0,0,1000000*SER_hh_emi!N16/SER_hh_num!N16)</f>
        <v>15.727324864638527</v>
      </c>
      <c r="O16" s="131">
        <f>IF(SER_hh_emi!O16=0,0,1000000*SER_hh_emi!O16/SER_hh_num!O16)</f>
        <v>18.619743150447125</v>
      </c>
      <c r="P16" s="131">
        <f>IF(SER_hh_emi!P16=0,0,1000000*SER_hh_emi!P16/SER_hh_num!P16)</f>
        <v>23.589516630951618</v>
      </c>
      <c r="Q16" s="131">
        <f>IF(SER_hh_emi!Q16=0,0,1000000*SER_hh_emi!Q16/SER_hh_num!Q16)</f>
        <v>31.987591114211533</v>
      </c>
      <c r="R16" s="131">
        <f>IF(SER_hh_emi!R16=0,0,1000000*SER_hh_emi!R16/SER_hh_num!R16)</f>
        <v>37.667781540926782</v>
      </c>
      <c r="S16" s="131">
        <f>IF(SER_hh_emi!S16=0,0,1000000*SER_hh_emi!S16/SER_hh_num!S16)</f>
        <v>41.807039100761536</v>
      </c>
      <c r="T16" s="131">
        <f>IF(SER_hh_emi!T16=0,0,1000000*SER_hh_emi!T16/SER_hh_num!T16)</f>
        <v>43.589264110681995</v>
      </c>
      <c r="U16" s="131">
        <f>IF(SER_hh_emi!U16=0,0,1000000*SER_hh_emi!U16/SER_hh_num!U16)</f>
        <v>44.964831880354005</v>
      </c>
      <c r="V16" s="131">
        <f>IF(SER_hh_emi!V16=0,0,1000000*SER_hh_emi!V16/SER_hh_num!V16)</f>
        <v>45.061976110067867</v>
      </c>
      <c r="W16" s="131">
        <f>IF(SER_hh_emi!W16=0,0,1000000*SER_hh_emi!W16/SER_hh_num!W16)</f>
        <v>42.701246000854823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3561.6574325172564</v>
      </c>
      <c r="C17" s="133">
        <f>IF(SER_hh_emi!C17=0,0,1000000*SER_hh_emi!C17/SER_hh_num!C17)</f>
        <v>3511.5901254327018</v>
      </c>
      <c r="D17" s="133">
        <f>IF(SER_hh_emi!D17=0,0,1000000*SER_hh_emi!D17/SER_hh_num!D17)</f>
        <v>3534.1118679029823</v>
      </c>
      <c r="E17" s="133">
        <f>IF(SER_hh_emi!E17=0,0,1000000*SER_hh_emi!E17/SER_hh_num!E17)</f>
        <v>3489.7833734318942</v>
      </c>
      <c r="F17" s="133">
        <f>IF(SER_hh_emi!F17=0,0,1000000*SER_hh_emi!F17/SER_hh_num!F17)</f>
        <v>3444.1783929826943</v>
      </c>
      <c r="G17" s="133">
        <f>IF(SER_hh_emi!G17=0,0,1000000*SER_hh_emi!G17/SER_hh_num!G17)</f>
        <v>3360.0432159089796</v>
      </c>
      <c r="H17" s="133">
        <f>IF(SER_hh_emi!H17=0,0,1000000*SER_hh_emi!H17/SER_hh_num!H17)</f>
        <v>3370.7953396526264</v>
      </c>
      <c r="I17" s="133">
        <f>IF(SER_hh_emi!I17=0,0,1000000*SER_hh_emi!I17/SER_hh_num!I17)</f>
        <v>3357.1365030837014</v>
      </c>
      <c r="J17" s="133">
        <f>IF(SER_hh_emi!J17=0,0,1000000*SER_hh_emi!J17/SER_hh_num!J17)</f>
        <v>3339.2980231843767</v>
      </c>
      <c r="K17" s="133">
        <f>IF(SER_hh_emi!K17=0,0,1000000*SER_hh_emi!K17/SER_hh_num!K17)</f>
        <v>3319.628803193591</v>
      </c>
      <c r="L17" s="133">
        <f>IF(SER_hh_emi!L17=0,0,1000000*SER_hh_emi!L17/SER_hh_num!L17)</f>
        <v>3349.7438734784096</v>
      </c>
      <c r="M17" s="133">
        <f>IF(SER_hh_emi!M17=0,0,1000000*SER_hh_emi!M17/SER_hh_num!M17)</f>
        <v>3318.7816969797659</v>
      </c>
      <c r="N17" s="133">
        <f>IF(SER_hh_emi!N17=0,0,1000000*SER_hh_emi!N17/SER_hh_num!N17)</f>
        <v>3369.1208277410515</v>
      </c>
      <c r="O17" s="133">
        <f>IF(SER_hh_emi!O17=0,0,1000000*SER_hh_emi!O17/SER_hh_num!O17)</f>
        <v>3284.7422261484485</v>
      </c>
      <c r="P17" s="133">
        <f>IF(SER_hh_emi!P17=0,0,1000000*SER_hh_emi!P17/SER_hh_num!P17)</f>
        <v>3282.0443771968407</v>
      </c>
      <c r="Q17" s="133">
        <f>IF(SER_hh_emi!Q17=0,0,1000000*SER_hh_emi!Q17/SER_hh_num!Q17)</f>
        <v>3204.0794370735521</v>
      </c>
      <c r="R17" s="133">
        <f>IF(SER_hh_emi!R17=0,0,1000000*SER_hh_emi!R17/SER_hh_num!R17)</f>
        <v>3158.7364210979099</v>
      </c>
      <c r="S17" s="133">
        <f>IF(SER_hh_emi!S17=0,0,1000000*SER_hh_emi!S17/SER_hh_num!S17)</f>
        <v>3102.9646455025531</v>
      </c>
      <c r="T17" s="133">
        <f>IF(SER_hh_emi!T17=0,0,1000000*SER_hh_emi!T17/SER_hh_num!T17)</f>
        <v>3069.3081351692617</v>
      </c>
      <c r="U17" s="133">
        <f>IF(SER_hh_emi!U17=0,0,1000000*SER_hh_emi!U17/SER_hh_num!U17)</f>
        <v>3047.0253872129406</v>
      </c>
      <c r="V17" s="133">
        <f>IF(SER_hh_emi!V17=0,0,1000000*SER_hh_emi!V17/SER_hh_num!V17)</f>
        <v>2709.7925472309898</v>
      </c>
      <c r="W17" s="133">
        <f>IF(SER_hh_emi!W17=0,0,1000000*SER_hh_emi!W17/SER_hh_num!W17)</f>
        <v>2474.4326611172437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4595.4675918700377</v>
      </c>
      <c r="C19" s="131">
        <f>IF(SER_hh_emi!C19=0,0,1000000*SER_hh_emi!C19/SER_hh_num!C19)</f>
        <v>4545.2197903379511</v>
      </c>
      <c r="D19" s="131">
        <f>IF(SER_hh_emi!D19=0,0,1000000*SER_hh_emi!D19/SER_hh_num!D19)</f>
        <v>4384.3787434421374</v>
      </c>
      <c r="E19" s="131">
        <f>IF(SER_hh_emi!E19=0,0,1000000*SER_hh_emi!E19/SER_hh_num!E19)</f>
        <v>4120.8639109094847</v>
      </c>
      <c r="F19" s="131">
        <f>IF(SER_hh_emi!F19=0,0,1000000*SER_hh_emi!F19/SER_hh_num!F19)</f>
        <v>4029.746083283901</v>
      </c>
      <c r="G19" s="131">
        <f>IF(SER_hh_emi!G19=0,0,1000000*SER_hh_emi!G19/SER_hh_num!G19)</f>
        <v>3777.8957163983509</v>
      </c>
      <c r="H19" s="131">
        <f>IF(SER_hh_emi!H19=0,0,1000000*SER_hh_emi!H19/SER_hh_num!H19)</f>
        <v>3542.2593528422931</v>
      </c>
      <c r="I19" s="131">
        <f>IF(SER_hh_emi!I19=0,0,1000000*SER_hh_emi!I19/SER_hh_num!I19)</f>
        <v>3343.5863531103764</v>
      </c>
      <c r="J19" s="131">
        <f>IF(SER_hh_emi!J19=0,0,1000000*SER_hh_emi!J19/SER_hh_num!J19)</f>
        <v>3282.5827718562587</v>
      </c>
      <c r="K19" s="131">
        <f>IF(SER_hh_emi!K19=0,0,1000000*SER_hh_emi!K19/SER_hh_num!K19)</f>
        <v>3379.833740152862</v>
      </c>
      <c r="L19" s="131">
        <f>IF(SER_hh_emi!L19=0,0,1000000*SER_hh_emi!L19/SER_hh_num!L19)</f>
        <v>3489.4231885205386</v>
      </c>
      <c r="M19" s="131">
        <f>IF(SER_hh_emi!M19=0,0,1000000*SER_hh_emi!M19/SER_hh_num!M19)</f>
        <v>3506.8214827611773</v>
      </c>
      <c r="N19" s="131">
        <f>IF(SER_hh_emi!N19=0,0,1000000*SER_hh_emi!N19/SER_hh_num!N19)</f>
        <v>3519.9437960541045</v>
      </c>
      <c r="O19" s="131">
        <f>IF(SER_hh_emi!O19=0,0,1000000*SER_hh_emi!O19/SER_hh_num!O19)</f>
        <v>3500.5784398685623</v>
      </c>
      <c r="P19" s="131">
        <f>IF(SER_hh_emi!P19=0,0,1000000*SER_hh_emi!P19/SER_hh_num!P19)</f>
        <v>3528.1110611568392</v>
      </c>
      <c r="Q19" s="131">
        <f>IF(SER_hh_emi!Q19=0,0,1000000*SER_hh_emi!Q19/SER_hh_num!Q19)</f>
        <v>3449.9711248537546</v>
      </c>
      <c r="R19" s="131">
        <f>IF(SER_hh_emi!R19=0,0,1000000*SER_hh_emi!R19/SER_hh_num!R19)</f>
        <v>3332.6291139501009</v>
      </c>
      <c r="S19" s="131">
        <f>IF(SER_hh_emi!S19=0,0,1000000*SER_hh_emi!S19/SER_hh_num!S19)</f>
        <v>3335.9813150217778</v>
      </c>
      <c r="T19" s="131">
        <f>IF(SER_hh_emi!T19=0,0,1000000*SER_hh_emi!T19/SER_hh_num!T19)</f>
        <v>3033.738159874044</v>
      </c>
      <c r="U19" s="131">
        <f>IF(SER_hh_emi!U19=0,0,1000000*SER_hh_emi!U19/SER_hh_num!U19)</f>
        <v>2888.2953186166073</v>
      </c>
      <c r="V19" s="131">
        <f>IF(SER_hh_emi!V19=0,0,1000000*SER_hh_emi!V19/SER_hh_num!V19)</f>
        <v>2472.522981784246</v>
      </c>
      <c r="W19" s="131">
        <f>IF(SER_hh_emi!W19=0,0,1000000*SER_hh_emi!W19/SER_hh_num!W19)</f>
        <v>2523.3802559979458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11767.388189182637</v>
      </c>
      <c r="C22" s="133">
        <f>IF(SER_hh_emi!C22=0,0,1000000*SER_hh_emi!C22/SER_hh_num!C22)</f>
        <v>11834.855809178636</v>
      </c>
      <c r="D22" s="133">
        <f>IF(SER_hh_emi!D22=0,0,1000000*SER_hh_emi!D22/SER_hh_num!D22)</f>
        <v>11835.181782903575</v>
      </c>
      <c r="E22" s="133">
        <f>IF(SER_hh_emi!E22=0,0,1000000*SER_hh_emi!E22/SER_hh_num!E22)</f>
        <v>11444.421702162739</v>
      </c>
      <c r="F22" s="133">
        <f>IF(SER_hh_emi!F22=0,0,1000000*SER_hh_emi!F22/SER_hh_num!F22)</f>
        <v>11603.612258888996</v>
      </c>
      <c r="G22" s="133">
        <f>IF(SER_hh_emi!G22=0,0,1000000*SER_hh_emi!G22/SER_hh_num!G22)</f>
        <v>11412.234203269109</v>
      </c>
      <c r="H22" s="133">
        <f>IF(SER_hh_emi!H22=0,0,1000000*SER_hh_emi!H22/SER_hh_num!H22)</f>
        <v>11131.210616347489</v>
      </c>
      <c r="I22" s="133">
        <f>IF(SER_hh_emi!I22=0,0,1000000*SER_hh_emi!I22/SER_hh_num!I22)</f>
        <v>11076.628398686153</v>
      </c>
      <c r="J22" s="133">
        <f>IF(SER_hh_emi!J22=0,0,1000000*SER_hh_emi!J22/SER_hh_num!J22)</f>
        <v>11316.955380925439</v>
      </c>
      <c r="K22" s="133">
        <f>IF(SER_hh_emi!K22=0,0,1000000*SER_hh_emi!K22/SER_hh_num!K22)</f>
        <v>11392.189867247524</v>
      </c>
      <c r="L22" s="133">
        <f>IF(SER_hh_emi!L22=0,0,1000000*SER_hh_emi!L22/SER_hh_num!L22)</f>
        <v>11771.240737075577</v>
      </c>
      <c r="M22" s="133">
        <f>IF(SER_hh_emi!M22=0,0,1000000*SER_hh_emi!M22/SER_hh_num!M22)</f>
        <v>11773.10842862438</v>
      </c>
      <c r="N22" s="133">
        <f>IF(SER_hh_emi!N22=0,0,1000000*SER_hh_emi!N22/SER_hh_num!N22)</f>
        <v>11663.23434508418</v>
      </c>
      <c r="O22" s="133">
        <f>IF(SER_hh_emi!O22=0,0,1000000*SER_hh_emi!O22/SER_hh_num!O22)</f>
        <v>11318.175129262028</v>
      </c>
      <c r="P22" s="133">
        <f>IF(SER_hh_emi!P22=0,0,1000000*SER_hh_emi!P22/SER_hh_num!P22)</f>
        <v>11406.839697720454</v>
      </c>
      <c r="Q22" s="133">
        <f>IF(SER_hh_emi!Q22=0,0,1000000*SER_hh_emi!Q22/SER_hh_num!Q22)</f>
        <v>11190.698514823694</v>
      </c>
      <c r="R22" s="133">
        <f>IF(SER_hh_emi!R22=0,0,1000000*SER_hh_emi!R22/SER_hh_num!R22)</f>
        <v>10971.504837007153</v>
      </c>
      <c r="S22" s="133">
        <f>IF(SER_hh_emi!S22=0,0,1000000*SER_hh_emi!S22/SER_hh_num!S22)</f>
        <v>11220.099984312184</v>
      </c>
      <c r="T22" s="133">
        <f>IF(SER_hh_emi!T22=0,0,1000000*SER_hh_emi!T22/SER_hh_num!T22)</f>
        <v>10823.278180289832</v>
      </c>
      <c r="U22" s="133">
        <f>IF(SER_hh_emi!U22=0,0,1000000*SER_hh_emi!U22/SER_hh_num!U22)</f>
        <v>10814.710196059101</v>
      </c>
      <c r="V22" s="133">
        <f>IF(SER_hh_emi!V22=0,0,1000000*SER_hh_emi!V22/SER_hh_num!V22)</f>
        <v>9804.6314937925636</v>
      </c>
      <c r="W22" s="133">
        <f>IF(SER_hh_emi!W22=0,0,1000000*SER_hh_emi!W22/SER_hh_num!W22)</f>
        <v>10262.015830170212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8585.8984701208592</v>
      </c>
      <c r="C23" s="133">
        <f>IF(SER_hh_emi!C23=0,0,1000000*SER_hh_emi!C23/SER_hh_num!C23)</f>
        <v>8700.0631094995206</v>
      </c>
      <c r="D23" s="133">
        <f>IF(SER_hh_emi!D23=0,0,1000000*SER_hh_emi!D23/SER_hh_num!D23)</f>
        <v>8511.4783213301525</v>
      </c>
      <c r="E23" s="133">
        <f>IF(SER_hh_emi!E23=0,0,1000000*SER_hh_emi!E23/SER_hh_num!E23)</f>
        <v>8220.2662492744475</v>
      </c>
      <c r="F23" s="133">
        <f>IF(SER_hh_emi!F23=0,0,1000000*SER_hh_emi!F23/SER_hh_num!F23)</f>
        <v>8203.710185520873</v>
      </c>
      <c r="G23" s="133">
        <f>IF(SER_hh_emi!G23=0,0,1000000*SER_hh_emi!G23/SER_hh_num!G23)</f>
        <v>8046.0437647567378</v>
      </c>
      <c r="H23" s="133">
        <f>IF(SER_hh_emi!H23=0,0,1000000*SER_hh_emi!H23/SER_hh_num!H23)</f>
        <v>7799.8891413988385</v>
      </c>
      <c r="I23" s="133">
        <f>IF(SER_hh_emi!I23=0,0,1000000*SER_hh_emi!I23/SER_hh_num!I23)</f>
        <v>7817.5752058028756</v>
      </c>
      <c r="J23" s="133">
        <f>IF(SER_hh_emi!J23=0,0,1000000*SER_hh_emi!J23/SER_hh_num!J23)</f>
        <v>7678.4337420122592</v>
      </c>
      <c r="K23" s="133">
        <f>IF(SER_hh_emi!K23=0,0,1000000*SER_hh_emi!K23/SER_hh_num!K23)</f>
        <v>7881.8008602410846</v>
      </c>
      <c r="L23" s="133">
        <f>IF(SER_hh_emi!L23=0,0,1000000*SER_hh_emi!L23/SER_hh_num!L23)</f>
        <v>7984.8647402498009</v>
      </c>
      <c r="M23" s="133">
        <f>IF(SER_hh_emi!M23=0,0,1000000*SER_hh_emi!M23/SER_hh_num!M23)</f>
        <v>8007.0059716904461</v>
      </c>
      <c r="N23" s="133">
        <f>IF(SER_hh_emi!N23=0,0,1000000*SER_hh_emi!N23/SER_hh_num!N23)</f>
        <v>7781.3498675080091</v>
      </c>
      <c r="O23" s="133">
        <f>IF(SER_hh_emi!O23=0,0,1000000*SER_hh_emi!O23/SER_hh_num!O23)</f>
        <v>7666.484456155823</v>
      </c>
      <c r="P23" s="133">
        <f>IF(SER_hh_emi!P23=0,0,1000000*SER_hh_emi!P23/SER_hh_num!P23)</f>
        <v>7669.4045555592375</v>
      </c>
      <c r="Q23" s="133">
        <f>IF(SER_hh_emi!Q23=0,0,1000000*SER_hh_emi!Q23/SER_hh_num!Q23)</f>
        <v>7448.3111900074418</v>
      </c>
      <c r="R23" s="133">
        <f>IF(SER_hh_emi!R23=0,0,1000000*SER_hh_emi!R23/SER_hh_num!R23)</f>
        <v>7403.9014788286895</v>
      </c>
      <c r="S23" s="133">
        <f>IF(SER_hh_emi!S23=0,0,1000000*SER_hh_emi!S23/SER_hh_num!S23)</f>
        <v>7517.7660055153601</v>
      </c>
      <c r="T23" s="133">
        <f>IF(SER_hh_emi!T23=0,0,1000000*SER_hh_emi!T23/SER_hh_num!T23)</f>
        <v>7147.1360678342571</v>
      </c>
      <c r="U23" s="133">
        <f>IF(SER_hh_emi!U23=0,0,1000000*SER_hh_emi!U23/SER_hh_num!U23)</f>
        <v>7144.8165703049635</v>
      </c>
      <c r="V23" s="133">
        <f>IF(SER_hh_emi!V23=0,0,1000000*SER_hh_emi!V23/SER_hh_num!V23)</f>
        <v>6550.6644292343044</v>
      </c>
      <c r="W23" s="133">
        <f>IF(SER_hh_emi!W23=0,0,1000000*SER_hh_emi!W23/SER_hh_num!W23)</f>
        <v>6805.8921554632052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4220.734535519754</v>
      </c>
      <c r="C29" s="131">
        <f>IF(SER_hh_emi!C29=0,0,1000000*SER_hh_emi!C29/SER_hh_num!C29)</f>
        <v>4407.0363964390872</v>
      </c>
      <c r="D29" s="131">
        <f>IF(SER_hh_emi!D29=0,0,1000000*SER_hh_emi!D29/SER_hh_num!D29)</f>
        <v>4332.0782643570474</v>
      </c>
      <c r="E29" s="131">
        <f>IF(SER_hh_emi!E29=0,0,1000000*SER_hh_emi!E29/SER_hh_num!E29)</f>
        <v>4390.1038084640613</v>
      </c>
      <c r="F29" s="131">
        <f>IF(SER_hh_emi!F29=0,0,1000000*SER_hh_emi!F29/SER_hh_num!F29)</f>
        <v>4591.0647457971581</v>
      </c>
      <c r="G29" s="131">
        <f>IF(SER_hh_emi!G29=0,0,1000000*SER_hh_emi!G29/SER_hh_num!G29)</f>
        <v>5079.535564963674</v>
      </c>
      <c r="H29" s="131">
        <f>IF(SER_hh_emi!H29=0,0,1000000*SER_hh_emi!H29/SER_hh_num!H29)</f>
        <v>5115.6426482631987</v>
      </c>
      <c r="I29" s="131">
        <f>IF(SER_hh_emi!I29=0,0,1000000*SER_hh_emi!I29/SER_hh_num!I29)</f>
        <v>5067.4805633286951</v>
      </c>
      <c r="J29" s="131">
        <f>IF(SER_hh_emi!J29=0,0,1000000*SER_hh_emi!J29/SER_hh_num!J29)</f>
        <v>5551.9150229935194</v>
      </c>
      <c r="K29" s="131">
        <f>IF(SER_hh_emi!K29=0,0,1000000*SER_hh_emi!K29/SER_hh_num!K29)</f>
        <v>4476.7867828942044</v>
      </c>
      <c r="L29" s="131">
        <f>IF(SER_hh_emi!L29=0,0,1000000*SER_hh_emi!L29/SER_hh_num!L29)</f>
        <v>5525.0349005530989</v>
      </c>
      <c r="M29" s="131">
        <f>IF(SER_hh_emi!M29=0,0,1000000*SER_hh_emi!M29/SER_hh_num!M29)</f>
        <v>5485.8246757308152</v>
      </c>
      <c r="N29" s="131">
        <f>IF(SER_hh_emi!N29=0,0,1000000*SER_hh_emi!N29/SER_hh_num!N29)</f>
        <v>5276.6388679659876</v>
      </c>
      <c r="O29" s="131">
        <f>IF(SER_hh_emi!O29=0,0,1000000*SER_hh_emi!O29/SER_hh_num!O29)</f>
        <v>5918.048206218833</v>
      </c>
      <c r="P29" s="131">
        <f>IF(SER_hh_emi!P29=0,0,1000000*SER_hh_emi!P29/SER_hh_num!P29)</f>
        <v>4838.1197700214016</v>
      </c>
      <c r="Q29" s="131">
        <f>IF(SER_hh_emi!Q29=0,0,1000000*SER_hh_emi!Q29/SER_hh_num!Q29)</f>
        <v>5138.6803696489433</v>
      </c>
      <c r="R29" s="131">
        <f>IF(SER_hh_emi!R29=0,0,1000000*SER_hh_emi!R29/SER_hh_num!R29)</f>
        <v>4436.4419852364008</v>
      </c>
      <c r="S29" s="131">
        <f>IF(SER_hh_emi!S29=0,0,1000000*SER_hh_emi!S29/SER_hh_num!S29)</f>
        <v>4463.1619314061281</v>
      </c>
      <c r="T29" s="131">
        <f>IF(SER_hh_emi!T29=0,0,1000000*SER_hh_emi!T29/SER_hh_num!T29)</f>
        <v>4696.582220409995</v>
      </c>
      <c r="U29" s="131">
        <f>IF(SER_hh_emi!U29=0,0,1000000*SER_hh_emi!U29/SER_hh_num!U29)</f>
        <v>4603.3206308256567</v>
      </c>
      <c r="V29" s="131">
        <f>IF(SER_hh_emi!V29=0,0,1000000*SER_hh_emi!V29/SER_hh_num!V29)</f>
        <v>3786.75858832109</v>
      </c>
      <c r="W29" s="131">
        <f>IF(SER_hh_emi!W29=0,0,1000000*SER_hh_emi!W29/SER_hh_num!W29)</f>
        <v>4179.3537064114071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9219.7680006883656</v>
      </c>
      <c r="C30" s="133">
        <f>IF(SER_hh_emi!C30=0,0,1000000*SER_hh_emi!C30/SER_hh_num!C30)</f>
        <v>9738.3191251041626</v>
      </c>
      <c r="D30" s="133">
        <f>IF(SER_hh_emi!D30=0,0,1000000*SER_hh_emi!D30/SER_hh_num!D30)</f>
        <v>9384.5534799881389</v>
      </c>
      <c r="E30" s="133">
        <f>IF(SER_hh_emi!E30=0,0,1000000*SER_hh_emi!E30/SER_hh_num!E30)</f>
        <v>9159.6278646984247</v>
      </c>
      <c r="F30" s="133">
        <f>IF(SER_hh_emi!F30=0,0,1000000*SER_hh_emi!F30/SER_hh_num!F30)</f>
        <v>9061.5316315245855</v>
      </c>
      <c r="G30" s="133">
        <f>IF(SER_hh_emi!G30=0,0,1000000*SER_hh_emi!G30/SER_hh_num!G30)</f>
        <v>9643.8434571815651</v>
      </c>
      <c r="H30" s="133">
        <f>IF(SER_hh_emi!H30=0,0,1000000*SER_hh_emi!H30/SER_hh_num!H30)</f>
        <v>9206.7092185210549</v>
      </c>
      <c r="I30" s="133">
        <f>IF(SER_hh_emi!I30=0,0,1000000*SER_hh_emi!I30/SER_hh_num!I30)</f>
        <v>8942.0244089249663</v>
      </c>
      <c r="J30" s="133">
        <f>IF(SER_hh_emi!J30=0,0,1000000*SER_hh_emi!J30/SER_hh_num!J30)</f>
        <v>10325.669890129444</v>
      </c>
      <c r="K30" s="133">
        <f>IF(SER_hh_emi!K30=0,0,1000000*SER_hh_emi!K30/SER_hh_num!K30)</f>
        <v>7777.8553588111836</v>
      </c>
      <c r="L30" s="133">
        <f>IF(SER_hh_emi!L30=0,0,1000000*SER_hh_emi!L30/SER_hh_num!L30)</f>
        <v>10037.963322780899</v>
      </c>
      <c r="M30" s="133">
        <f>IF(SER_hh_emi!M30=0,0,1000000*SER_hh_emi!M30/SER_hh_num!M30)</f>
        <v>9890.9959914502597</v>
      </c>
      <c r="N30" s="133">
        <f>IF(SER_hh_emi!N30=0,0,1000000*SER_hh_emi!N30/SER_hh_num!N30)</f>
        <v>9499.1101223481146</v>
      </c>
      <c r="O30" s="133">
        <f>IF(SER_hh_emi!O30=0,0,1000000*SER_hh_emi!O30/SER_hh_num!O30)</f>
        <v>11128.769947590063</v>
      </c>
      <c r="P30" s="133">
        <f>IF(SER_hh_emi!P30=0,0,1000000*SER_hh_emi!P30/SER_hh_num!P30)</f>
        <v>9426.5246506498261</v>
      </c>
      <c r="Q30" s="133">
        <f>IF(SER_hh_emi!Q30=0,0,1000000*SER_hh_emi!Q30/SER_hh_num!Q30)</f>
        <v>10532.995699084599</v>
      </c>
      <c r="R30" s="133">
        <f>IF(SER_hh_emi!R30=0,0,1000000*SER_hh_emi!R30/SER_hh_num!R30)</f>
        <v>9542.8866377147533</v>
      </c>
      <c r="S30" s="133">
        <f>IF(SER_hh_emi!S30=0,0,1000000*SER_hh_emi!S30/SER_hh_num!S30)</f>
        <v>9892.959607481971</v>
      </c>
      <c r="T30" s="133">
        <f>IF(SER_hh_emi!T30=0,0,1000000*SER_hh_emi!T30/SER_hh_num!T30)</f>
        <v>10748.574157519452</v>
      </c>
      <c r="U30" s="133">
        <f>IF(SER_hh_emi!U30=0,0,1000000*SER_hh_emi!U30/SER_hh_num!U30)</f>
        <v>10811.796212366415</v>
      </c>
      <c r="V30" s="133">
        <f>IF(SER_hh_emi!V30=0,0,1000000*SER_hh_emi!V30/SER_hh_num!V30)</f>
        <v>9228.1402572426578</v>
      </c>
      <c r="W30" s="133">
        <f>IF(SER_hh_emi!W30=0,0,1000000*SER_hh_emi!W30/SER_hh_num!W30)</f>
        <v>10666.037911063129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8554.5286277006817</v>
      </c>
      <c r="C31" s="133">
        <f>IF(SER_hh_emi!C31=0,0,1000000*SER_hh_emi!C31/SER_hh_num!C31)</f>
        <v>8477.6299461236449</v>
      </c>
      <c r="D31" s="133">
        <f>IF(SER_hh_emi!D31=0,0,1000000*SER_hh_emi!D31/SER_hh_num!D31)</f>
        <v>8335.1645696845608</v>
      </c>
      <c r="E31" s="133">
        <f>IF(SER_hh_emi!E31=0,0,1000000*SER_hh_emi!E31/SER_hh_num!E31)</f>
        <v>8152.7915013069141</v>
      </c>
      <c r="F31" s="133">
        <f>IF(SER_hh_emi!F31=0,0,1000000*SER_hh_emi!F31/SER_hh_num!F31)</f>
        <v>8218.1417515632274</v>
      </c>
      <c r="G31" s="133">
        <f>IF(SER_hh_emi!G31=0,0,1000000*SER_hh_emi!G31/SER_hh_num!G31)</f>
        <v>8149.0032397199811</v>
      </c>
      <c r="H31" s="133">
        <f>IF(SER_hh_emi!H31=0,0,1000000*SER_hh_emi!H31/SER_hh_num!H31)</f>
        <v>8122.2476519686634</v>
      </c>
      <c r="I31" s="133">
        <f>IF(SER_hh_emi!I31=0,0,1000000*SER_hh_emi!I31/SER_hh_num!I31)</f>
        <v>7963.6666034662803</v>
      </c>
      <c r="J31" s="133">
        <f>IF(SER_hh_emi!J31=0,0,1000000*SER_hh_emi!J31/SER_hh_num!J31)</f>
        <v>7909.0902214304369</v>
      </c>
      <c r="K31" s="133">
        <f>IF(SER_hh_emi!K31=0,0,1000000*SER_hh_emi!K31/SER_hh_num!K31)</f>
        <v>8082.4574508469532</v>
      </c>
      <c r="L31" s="133">
        <f>IF(SER_hh_emi!L31=0,0,1000000*SER_hh_emi!L31/SER_hh_num!L31)</f>
        <v>8183.0559325665999</v>
      </c>
      <c r="M31" s="133">
        <f>IF(SER_hh_emi!M31=0,0,1000000*SER_hh_emi!M31/SER_hh_num!M31)</f>
        <v>8459.2008187115953</v>
      </c>
      <c r="N31" s="133">
        <f>IF(SER_hh_emi!N31=0,0,1000000*SER_hh_emi!N31/SER_hh_num!N31)</f>
        <v>8754.3524161635287</v>
      </c>
      <c r="O31" s="133">
        <f>IF(SER_hh_emi!O31=0,0,1000000*SER_hh_emi!O31/SER_hh_num!O31)</f>
        <v>8759.3844628303359</v>
      </c>
      <c r="P31" s="133">
        <f>IF(SER_hh_emi!P31=0,0,1000000*SER_hh_emi!P31/SER_hh_num!P31)</f>
        <v>8675.3717338544157</v>
      </c>
      <c r="Q31" s="133">
        <f>IF(SER_hh_emi!Q31=0,0,1000000*SER_hh_emi!Q31/SER_hh_num!Q31)</f>
        <v>8893.8338437131788</v>
      </c>
      <c r="R31" s="133">
        <f>IF(SER_hh_emi!R31=0,0,1000000*SER_hh_emi!R31/SER_hh_num!R31)</f>
        <v>8900.5780747703247</v>
      </c>
      <c r="S31" s="133">
        <f>IF(SER_hh_emi!S31=0,0,1000000*SER_hh_emi!S31/SER_hh_num!S31)</f>
        <v>8809.0350528538402</v>
      </c>
      <c r="T31" s="133">
        <f>IF(SER_hh_emi!T31=0,0,1000000*SER_hh_emi!T31/SER_hh_num!T31)</f>
        <v>9020.1274988319292</v>
      </c>
      <c r="U31" s="133">
        <f>IF(SER_hh_emi!U31=0,0,1000000*SER_hh_emi!U31/SER_hh_num!U31)</f>
        <v>9055.4298056383577</v>
      </c>
      <c r="V31" s="133">
        <f>IF(SER_hh_emi!V31=0,0,1000000*SER_hh_emi!V31/SER_hh_num!V31)</f>
        <v>8378.8982407877338</v>
      </c>
      <c r="W31" s="133">
        <f>IF(SER_hh_emi!W31=0,0,1000000*SER_hh_emi!W31/SER_hh_num!W31)</f>
        <v>9091.8807682754432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321.41086276702072</v>
      </c>
      <c r="C3" s="126">
        <f>IF(SER_hh_fech!C3=0,0,SER_hh_fech!C3/SER_summary!C$26)</f>
        <v>319.69591620209616</v>
      </c>
      <c r="D3" s="126">
        <f>IF(SER_hh_fech!D3=0,0,SER_hh_fech!D3/SER_summary!D$26)</f>
        <v>318.09060587206994</v>
      </c>
      <c r="E3" s="126">
        <f>IF(SER_hh_fech!E3=0,0,SER_hh_fech!E3/SER_summary!E$26)</f>
        <v>334.09391631938735</v>
      </c>
      <c r="F3" s="126">
        <f>IF(SER_hh_fech!F3=0,0,SER_hh_fech!F3/SER_summary!F$26)</f>
        <v>319.80019247810941</v>
      </c>
      <c r="G3" s="126">
        <f>IF(SER_hh_fech!G3=0,0,SER_hh_fech!G3/SER_summary!G$26)</f>
        <v>334.37739179453666</v>
      </c>
      <c r="H3" s="126">
        <f>IF(SER_hh_fech!H3=0,0,SER_hh_fech!H3/SER_summary!H$26)</f>
        <v>346.43198301307223</v>
      </c>
      <c r="I3" s="126">
        <f>IF(SER_hh_fech!I3=0,0,SER_hh_fech!I3/SER_summary!I$26)</f>
        <v>332.33691485778604</v>
      </c>
      <c r="J3" s="126">
        <f>IF(SER_hh_fech!J3=0,0,SER_hh_fech!J3/SER_summary!J$26)</f>
        <v>346.61915100031752</v>
      </c>
      <c r="K3" s="126">
        <f>IF(SER_hh_fech!K3=0,0,SER_hh_fech!K3/SER_summary!K$26)</f>
        <v>320.50798326168496</v>
      </c>
      <c r="L3" s="126">
        <f>IF(SER_hh_fech!L3=0,0,SER_hh_fech!L3/SER_summary!L$26)</f>
        <v>326.20292679659559</v>
      </c>
      <c r="M3" s="126">
        <f>IF(SER_hh_fech!M3=0,0,SER_hh_fech!M3/SER_summary!M$26)</f>
        <v>320.09315290002831</v>
      </c>
      <c r="N3" s="126">
        <f>IF(SER_hh_fech!N3=0,0,SER_hh_fech!N3/SER_summary!N$26)</f>
        <v>320.72485670209699</v>
      </c>
      <c r="O3" s="126">
        <f>IF(SER_hh_fech!O3=0,0,SER_hh_fech!O3/SER_summary!O$26)</f>
        <v>323.37627592015292</v>
      </c>
      <c r="P3" s="126">
        <f>IF(SER_hh_fech!P3=0,0,SER_hh_fech!P3/SER_summary!P$26)</f>
        <v>295.59106652522013</v>
      </c>
      <c r="Q3" s="126">
        <f>IF(SER_hh_fech!Q3=0,0,SER_hh_fech!Q3/SER_summary!Q$26)</f>
        <v>319.03226642937614</v>
      </c>
      <c r="R3" s="126">
        <f>IF(SER_hh_fech!R3=0,0,SER_hh_fech!R3/SER_summary!R$26)</f>
        <v>309.45452899070631</v>
      </c>
      <c r="S3" s="126">
        <f>IF(SER_hh_fech!S3=0,0,SER_hh_fech!S3/SER_summary!S$26)</f>
        <v>298.64575101646602</v>
      </c>
      <c r="T3" s="126">
        <f>IF(SER_hh_fech!T3=0,0,SER_hh_fech!T3/SER_summary!T$26)</f>
        <v>325.16537124949417</v>
      </c>
      <c r="U3" s="126">
        <f>IF(SER_hh_fech!U3=0,0,SER_hh_fech!U3/SER_summary!U$26)</f>
        <v>322.86666188127805</v>
      </c>
      <c r="V3" s="126">
        <f>IF(SER_hh_fech!V3=0,0,SER_hh_fech!V3/SER_summary!V$26)</f>
        <v>289.47616896005837</v>
      </c>
      <c r="W3" s="126">
        <f>IF(SER_hh_fech!W3=0,0,SER_hh_fech!W3/SER_summary!W$26)</f>
        <v>265.38510167199189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235.81411934159104</v>
      </c>
      <c r="C4" s="131">
        <f>IF(SER_hh_fech!C4=0,0,SER_hh_fech!C4/SER_summary!C$26)</f>
        <v>233.93324149121094</v>
      </c>
      <c r="D4" s="131">
        <f>IF(SER_hh_fech!D4=0,0,SER_hh_fech!D4/SER_summary!D$26)</f>
        <v>233.35172181214915</v>
      </c>
      <c r="E4" s="131">
        <f>IF(SER_hh_fech!E4=0,0,SER_hh_fech!E4/SER_summary!E$26)</f>
        <v>250.14708916433162</v>
      </c>
      <c r="F4" s="131">
        <f>IF(SER_hh_fech!F4=0,0,SER_hh_fech!F4/SER_summary!F$26)</f>
        <v>236.28957944211825</v>
      </c>
      <c r="G4" s="131">
        <f>IF(SER_hh_fech!G4=0,0,SER_hh_fech!G4/SER_summary!G$26)</f>
        <v>250.59734996305977</v>
      </c>
      <c r="H4" s="131">
        <f>IF(SER_hh_fech!H4=0,0,SER_hh_fech!H4/SER_summary!H$26)</f>
        <v>263.67520032776019</v>
      </c>
      <c r="I4" s="131">
        <f>IF(SER_hh_fech!I4=0,0,SER_hh_fech!I4/SER_summary!I$26)</f>
        <v>251.01501694829281</v>
      </c>
      <c r="J4" s="131">
        <f>IF(SER_hh_fech!J4=0,0,SER_hh_fech!J4/SER_summary!J$26)</f>
        <v>264.35009149244399</v>
      </c>
      <c r="K4" s="131">
        <f>IF(SER_hh_fech!K4=0,0,SER_hh_fech!K4/SER_summary!K$26)</f>
        <v>238.49678248341988</v>
      </c>
      <c r="L4" s="131">
        <f>IF(SER_hh_fech!L4=0,0,SER_hh_fech!L4/SER_summary!L$26)</f>
        <v>240.77448883860646</v>
      </c>
      <c r="M4" s="131">
        <f>IF(SER_hh_fech!M4=0,0,SER_hh_fech!M4/SER_summary!M$26)</f>
        <v>232.95623538581867</v>
      </c>
      <c r="N4" s="131">
        <f>IF(SER_hh_fech!N4=0,0,SER_hh_fech!N4/SER_summary!N$26)</f>
        <v>233.1562753096338</v>
      </c>
      <c r="O4" s="131">
        <f>IF(SER_hh_fech!O4=0,0,SER_hh_fech!O4/SER_summary!O$26)</f>
        <v>235.61388097418691</v>
      </c>
      <c r="P4" s="131">
        <f>IF(SER_hh_fech!P4=0,0,SER_hh_fech!P4/SER_summary!P$26)</f>
        <v>209.99009616094381</v>
      </c>
      <c r="Q4" s="131">
        <f>IF(SER_hh_fech!Q4=0,0,SER_hh_fech!Q4/SER_summary!Q$26)</f>
        <v>232.50261938976905</v>
      </c>
      <c r="R4" s="131">
        <f>IF(SER_hh_fech!R4=0,0,SER_hh_fech!R4/SER_summary!R$26)</f>
        <v>224.94219632442619</v>
      </c>
      <c r="S4" s="131">
        <f>IF(SER_hh_fech!S4=0,0,SER_hh_fech!S4/SER_summary!S$26)</f>
        <v>214.14050303150381</v>
      </c>
      <c r="T4" s="131">
        <f>IF(SER_hh_fech!T4=0,0,SER_hh_fech!T4/SER_summary!T$26)</f>
        <v>241.45066574022985</v>
      </c>
      <c r="U4" s="131">
        <f>IF(SER_hh_fech!U4=0,0,SER_hh_fech!U4/SER_summary!U$26)</f>
        <v>239.77722763009922</v>
      </c>
      <c r="V4" s="131">
        <f>IF(SER_hh_fech!V4=0,0,SER_hh_fech!V4/SER_summary!V$26)</f>
        <v>212.10671743108358</v>
      </c>
      <c r="W4" s="131">
        <f>IF(SER_hh_fech!W4=0,0,SER_hh_fech!W4/SER_summary!W$26)</f>
        <v>184.92110396419835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120.14406515890303</v>
      </c>
      <c r="C5" s="133">
        <f>IF(SER_hh_fech!C5=0,0,SER_hh_fech!C5/SER_summary!C$26)</f>
        <v>135.57618306021419</v>
      </c>
      <c r="D5" s="133">
        <f>IF(SER_hh_fech!D5=0,0,SER_hh_fech!D5/SER_summary!D$26)</f>
        <v>67.247496076822245</v>
      </c>
      <c r="E5" s="133">
        <f>IF(SER_hh_fech!E5=0,0,SER_hh_fech!E5/SER_summary!E$26)</f>
        <v>356.76037430549991</v>
      </c>
      <c r="F5" s="133">
        <f>IF(SER_hh_fech!F5=0,0,SER_hh_fech!F5/SER_summary!F$26)</f>
        <v>304.04607153089074</v>
      </c>
      <c r="G5" s="133">
        <f>IF(SER_hh_fech!G5=0,0,SER_hh_fech!G5/SER_summary!G$26)</f>
        <v>301.33301998133715</v>
      </c>
      <c r="H5" s="133">
        <f>IF(SER_hh_fech!H5=0,0,SER_hh_fech!H5/SER_summary!H$26)</f>
        <v>304.84808420552946</v>
      </c>
      <c r="I5" s="133">
        <f>IF(SER_hh_fech!I5=0,0,SER_hh_fech!I5/SER_summary!I$26)</f>
        <v>318.21394996163878</v>
      </c>
      <c r="J5" s="133">
        <f>IF(SER_hh_fech!J5=0,0,SER_hh_fech!J5/SER_summary!J$26)</f>
        <v>382.62145727831665</v>
      </c>
      <c r="K5" s="133">
        <f>IF(SER_hh_fech!K5=0,0,SER_hh_fech!K5/SER_summary!K$26)</f>
        <v>15.845733433991377</v>
      </c>
      <c r="L5" s="133">
        <f>IF(SER_hh_fech!L5=0,0,SER_hh_fech!L5/SER_summary!L$26)</f>
        <v>77.123314964330731</v>
      </c>
      <c r="M5" s="133">
        <f>IF(SER_hh_fech!M5=0,0,SER_hh_fech!M5/SER_summary!M$26)</f>
        <v>380.2757649782186</v>
      </c>
      <c r="N5" s="133">
        <f>IF(SER_hh_fech!N5=0,0,SER_hh_fech!N5/SER_summary!N$26)</f>
        <v>205.7829377560173</v>
      </c>
      <c r="O5" s="133">
        <f>IF(SER_hh_fech!O5=0,0,SER_hh_fech!O5/SER_summary!O$26)</f>
        <v>253.48032161268068</v>
      </c>
      <c r="P5" s="133">
        <f>IF(SER_hh_fech!P5=0,0,SER_hh_fech!P5/SER_summary!P$26)</f>
        <v>176.90060923938736</v>
      </c>
      <c r="Q5" s="133">
        <f>IF(SER_hh_fech!Q5=0,0,SER_hh_fech!Q5/SER_summary!Q$26)</f>
        <v>180.14354520880616</v>
      </c>
      <c r="R5" s="133">
        <f>IF(SER_hh_fech!R5=0,0,SER_hh_fech!R5/SER_summary!R$26)</f>
        <v>321.56347000676789</v>
      </c>
      <c r="S5" s="133">
        <f>IF(SER_hh_fech!S5=0,0,SER_hh_fech!S5/SER_summary!S$26)</f>
        <v>269.36981385344632</v>
      </c>
      <c r="T5" s="133">
        <f>IF(SER_hh_fech!T5=0,0,SER_hh_fech!T5/SER_summary!T$26)</f>
        <v>303.62133920703997</v>
      </c>
      <c r="U5" s="133">
        <f>IF(SER_hh_fech!U5=0,0,SER_hh_fech!U5/SER_summary!U$26)</f>
        <v>303.50835256243374</v>
      </c>
      <c r="V5" s="133">
        <f>IF(SER_hh_fech!V5=0,0,SER_hh_fech!V5/SER_summary!V$26)</f>
        <v>181.55518539013883</v>
      </c>
      <c r="W5" s="133">
        <f>IF(SER_hh_fech!W5=0,0,SER_hh_fech!W5/SER_summary!W$26)</f>
        <v>233.04600793586374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277.33666612883241</v>
      </c>
      <c r="C7" s="133">
        <f>IF(SER_hh_fech!C7=0,0,SER_hh_fech!C7/SER_summary!C$26)</f>
        <v>270.17294505501968</v>
      </c>
      <c r="D7" s="133">
        <f>IF(SER_hh_fech!D7=0,0,SER_hh_fech!D7/SER_summary!D$26)</f>
        <v>281.4109946411964</v>
      </c>
      <c r="E7" s="133">
        <f>IF(SER_hh_fech!E7=0,0,SER_hh_fech!E7/SER_summary!E$26)</f>
        <v>294.73329434196199</v>
      </c>
      <c r="F7" s="133">
        <f>IF(SER_hh_fech!F7=0,0,SER_hh_fech!F7/SER_summary!F$26)</f>
        <v>288.93788940925378</v>
      </c>
      <c r="G7" s="133">
        <f>IF(SER_hh_fech!G7=0,0,SER_hh_fech!G7/SER_summary!G$26)</f>
        <v>328.00209919317967</v>
      </c>
      <c r="H7" s="133">
        <f>IF(SER_hh_fech!H7=0,0,SER_hh_fech!H7/SER_summary!H$26)</f>
        <v>330.3238649461403</v>
      </c>
      <c r="I7" s="133">
        <f>IF(SER_hh_fech!I7=0,0,SER_hh_fech!I7/SER_summary!I$26)</f>
        <v>324.61871997249261</v>
      </c>
      <c r="J7" s="133">
        <f>IF(SER_hh_fech!J7=0,0,SER_hh_fech!J7/SER_summary!J$26)</f>
        <v>359.91394665738943</v>
      </c>
      <c r="K7" s="133">
        <f>IF(SER_hh_fech!K7=0,0,SER_hh_fech!K7/SER_summary!K$26)</f>
        <v>306.24435925295847</v>
      </c>
      <c r="L7" s="133">
        <f>IF(SER_hh_fech!L7=0,0,SER_hh_fech!L7/SER_summary!L$26)</f>
        <v>316.50913207842069</v>
      </c>
      <c r="M7" s="133">
        <f>IF(SER_hh_fech!M7=0,0,SER_hh_fech!M7/SER_summary!M$26)</f>
        <v>278.34339386888826</v>
      </c>
      <c r="N7" s="133">
        <f>IF(SER_hh_fech!N7=0,0,SER_hh_fech!N7/SER_summary!N$26)</f>
        <v>251.87608069225286</v>
      </c>
      <c r="O7" s="133">
        <f>IF(SER_hh_fech!O7=0,0,SER_hh_fech!O7/SER_summary!O$26)</f>
        <v>289.059688519867</v>
      </c>
      <c r="P7" s="133">
        <f>IF(SER_hh_fech!P7=0,0,SER_hh_fech!P7/SER_summary!P$26)</f>
        <v>255.22862187725701</v>
      </c>
      <c r="Q7" s="133">
        <f>IF(SER_hh_fech!Q7=0,0,SER_hh_fech!Q7/SER_summary!Q$26)</f>
        <v>271.93499391074175</v>
      </c>
      <c r="R7" s="133">
        <f>IF(SER_hh_fech!R7=0,0,SER_hh_fech!R7/SER_summary!R$26)</f>
        <v>264.58128315780561</v>
      </c>
      <c r="S7" s="133">
        <f>IF(SER_hh_fech!S7=0,0,SER_hh_fech!S7/SER_summary!S$26)</f>
        <v>252.67575461606961</v>
      </c>
      <c r="T7" s="133">
        <f>IF(SER_hh_fech!T7=0,0,SER_hh_fech!T7/SER_summary!T$26)</f>
        <v>293.67524400800301</v>
      </c>
      <c r="U7" s="133">
        <f>IF(SER_hh_fech!U7=0,0,SER_hh_fech!U7/SER_summary!U$26)</f>
        <v>279.44570956385826</v>
      </c>
      <c r="V7" s="133">
        <f>IF(SER_hh_fech!V7=0,0,SER_hh_fech!V7/SER_summary!V$26)</f>
        <v>256.25613816814825</v>
      </c>
      <c r="W7" s="133">
        <f>IF(SER_hh_fech!W7=0,0,SER_hh_fech!W7/SER_summary!W$26)</f>
        <v>256.36247531754356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248.12858981082132</v>
      </c>
      <c r="C9" s="133">
        <f>IF(SER_hh_fech!C9=0,0,SER_hh_fech!C9/SER_summary!C$26)</f>
        <v>250.69825569030144</v>
      </c>
      <c r="D9" s="133">
        <f>IF(SER_hh_fech!D9=0,0,SER_hh_fech!D9/SER_summary!D$26)</f>
        <v>244.74981020500556</v>
      </c>
      <c r="E9" s="133">
        <f>IF(SER_hh_fech!E9=0,0,SER_hh_fech!E9/SER_summary!E$26)</f>
        <v>259.56116954681477</v>
      </c>
      <c r="F9" s="133">
        <f>IF(SER_hh_fech!F9=0,0,SER_hh_fech!F9/SER_summary!F$26)</f>
        <v>258.76723948478224</v>
      </c>
      <c r="G9" s="133">
        <f>IF(SER_hh_fech!G9=0,0,SER_hh_fech!G9/SER_summary!G$26)</f>
        <v>258.7527179673765</v>
      </c>
      <c r="H9" s="133">
        <f>IF(SER_hh_fech!H9=0,0,SER_hh_fech!H9/SER_summary!H$26)</f>
        <v>282.02967135680058</v>
      </c>
      <c r="I9" s="133">
        <f>IF(SER_hh_fech!I9=0,0,SER_hh_fech!I9/SER_summary!I$26)</f>
        <v>280.29202992243694</v>
      </c>
      <c r="J9" s="133">
        <f>IF(SER_hh_fech!J9=0,0,SER_hh_fech!J9/SER_summary!J$26)</f>
        <v>283.90108110603558</v>
      </c>
      <c r="K9" s="133">
        <f>IF(SER_hh_fech!K9=0,0,SER_hh_fech!K9/SER_summary!K$26)</f>
        <v>250.99867166581095</v>
      </c>
      <c r="L9" s="133">
        <f>IF(SER_hh_fech!L9=0,0,SER_hh_fech!L9/SER_summary!L$26)</f>
        <v>257.56728483274384</v>
      </c>
      <c r="M9" s="133">
        <f>IF(SER_hh_fech!M9=0,0,SER_hh_fech!M9/SER_summary!M$26)</f>
        <v>245.67717949221603</v>
      </c>
      <c r="N9" s="133">
        <f>IF(SER_hh_fech!N9=0,0,SER_hh_fech!N9/SER_summary!N$26)</f>
        <v>255.74730329074305</v>
      </c>
      <c r="O9" s="133">
        <f>IF(SER_hh_fech!O9=0,0,SER_hh_fech!O9/SER_summary!O$26)</f>
        <v>238.78808243128753</v>
      </c>
      <c r="P9" s="133">
        <f>IF(SER_hh_fech!P9=0,0,SER_hh_fech!P9/SER_summary!P$26)</f>
        <v>217.67148387206805</v>
      </c>
      <c r="Q9" s="133">
        <f>IF(SER_hh_fech!Q9=0,0,SER_hh_fech!Q9/SER_summary!Q$26)</f>
        <v>237.29084650141021</v>
      </c>
      <c r="R9" s="133">
        <f>IF(SER_hh_fech!R9=0,0,SER_hh_fech!R9/SER_summary!R$26)</f>
        <v>233.03731537648167</v>
      </c>
      <c r="S9" s="133">
        <f>IF(SER_hh_fech!S9=0,0,SER_hh_fech!S9/SER_summary!S$26)</f>
        <v>227.82709902882991</v>
      </c>
      <c r="T9" s="133">
        <f>IF(SER_hh_fech!T9=0,0,SER_hh_fech!T9/SER_summary!T$26)</f>
        <v>248.20890493844365</v>
      </c>
      <c r="U9" s="133">
        <f>IF(SER_hh_fech!U9=0,0,SER_hh_fech!U9/SER_summary!U$26)</f>
        <v>237.54244156967621</v>
      </c>
      <c r="V9" s="133">
        <f>IF(SER_hh_fech!V9=0,0,SER_hh_fech!V9/SER_summary!V$26)</f>
        <v>237.81067574219921</v>
      </c>
      <c r="W9" s="133">
        <f>IF(SER_hh_fech!W9=0,0,SER_hh_fech!W9/SER_summary!W$26)</f>
        <v>175.26593439156306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63.091231108272801</v>
      </c>
      <c r="H10" s="133">
        <f>IF(SER_hh_fech!H10=0,0,SER_hh_fech!H10/SER_summary!H$26)</f>
        <v>166.46068560522508</v>
      </c>
      <c r="I10" s="133">
        <f>IF(SER_hh_fech!I10=0,0,SER_hh_fech!I10/SER_summary!I$26)</f>
        <v>313.69983113463115</v>
      </c>
      <c r="J10" s="133">
        <f>IF(SER_hh_fech!J10=0,0,SER_hh_fech!J10/SER_summary!J$26)</f>
        <v>388.04435824717808</v>
      </c>
      <c r="K10" s="133">
        <f>IF(SER_hh_fech!K10=0,0,SER_hh_fech!K10/SER_summary!K$26)</f>
        <v>381.9163745135732</v>
      </c>
      <c r="L10" s="133">
        <f>IF(SER_hh_fech!L10=0,0,SER_hh_fech!L10/SER_summary!L$26)</f>
        <v>284.72637824251404</v>
      </c>
      <c r="M10" s="133">
        <f>IF(SER_hh_fech!M10=0,0,SER_hh_fech!M10/SER_summary!M$26)</f>
        <v>311.98150025093366</v>
      </c>
      <c r="N10" s="133">
        <f>IF(SER_hh_fech!N10=0,0,SER_hh_fech!N10/SER_summary!N$26)</f>
        <v>310.53821295442151</v>
      </c>
      <c r="O10" s="133">
        <f>IF(SER_hh_fech!O10=0,0,SER_hh_fech!O10/SER_summary!O$26)</f>
        <v>373.16732934254924</v>
      </c>
      <c r="P10" s="133">
        <f>IF(SER_hh_fech!P10=0,0,SER_hh_fech!P10/SER_summary!P$26)</f>
        <v>402.48541822273364</v>
      </c>
      <c r="Q10" s="133">
        <f>IF(SER_hh_fech!Q10=0,0,SER_hh_fech!Q10/SER_summary!Q$26)</f>
        <v>242.04025160798426</v>
      </c>
      <c r="R10" s="133">
        <f>IF(SER_hh_fech!R10=0,0,SER_hh_fech!R10/SER_summary!R$26)</f>
        <v>363.18214388468692</v>
      </c>
      <c r="S10" s="133">
        <f>IF(SER_hh_fech!S10=0,0,SER_hh_fech!S10/SER_summary!S$26)</f>
        <v>343.17545101531101</v>
      </c>
      <c r="T10" s="133">
        <f>IF(SER_hh_fech!T10=0,0,SER_hh_fech!T10/SER_summary!T$26)</f>
        <v>333.3653602019283</v>
      </c>
      <c r="U10" s="133">
        <f>IF(SER_hh_fech!U10=0,0,SER_hh_fech!U10/SER_summary!U$26)</f>
        <v>286.49012195608248</v>
      </c>
      <c r="V10" s="133">
        <f>IF(SER_hh_fech!V10=0,0,SER_hh_fech!V10/SER_summary!V$26)</f>
        <v>331.89315787220789</v>
      </c>
      <c r="W10" s="133">
        <f>IF(SER_hh_fech!W10=0,0,SER_hh_fech!W10/SER_summary!W$26)</f>
        <v>403.58220322876855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61.020160974683222</v>
      </c>
      <c r="C13" s="133">
        <f>IF(SER_hh_fech!C13=0,0,SER_hh_fech!C13/SER_summary!C$26)</f>
        <v>45.594803488873943</v>
      </c>
      <c r="D13" s="133">
        <f>IF(SER_hh_fech!D13=0,0,SER_hh_fech!D13/SER_summary!D$26)</f>
        <v>12.256856036799904</v>
      </c>
      <c r="E13" s="133">
        <f>IF(SER_hh_fech!E13=0,0,SER_hh_fech!E13/SER_summary!E$26)</f>
        <v>60.086166385033046</v>
      </c>
      <c r="F13" s="133">
        <f>IF(SER_hh_fech!F13=0,0,SER_hh_fech!F13/SER_summary!F$26)</f>
        <v>45.531048859248145</v>
      </c>
      <c r="G13" s="133">
        <f>IF(SER_hh_fech!G13=0,0,SER_hh_fech!G13/SER_summary!G$26)</f>
        <v>67.554203778113973</v>
      </c>
      <c r="H13" s="133">
        <f>IF(SER_hh_fech!H13=0,0,SER_hh_fech!H13/SER_summary!H$26)</f>
        <v>75.78379174436121</v>
      </c>
      <c r="I13" s="133">
        <f>IF(SER_hh_fech!I13=0,0,SER_hh_fech!I13/SER_summary!I$26)</f>
        <v>77.260548111504789</v>
      </c>
      <c r="J13" s="133">
        <f>IF(SER_hh_fech!J13=0,0,SER_hh_fech!J13/SER_summary!J$26)</f>
        <v>84.09066351221702</v>
      </c>
      <c r="K13" s="133">
        <f>IF(SER_hh_fech!K13=0,0,SER_hh_fech!K13/SER_summary!K$26)</f>
        <v>74.611790267774211</v>
      </c>
      <c r="L13" s="133">
        <f>IF(SER_hh_fech!L13=0,0,SER_hh_fech!L13/SER_summary!L$26)</f>
        <v>69.16128609397957</v>
      </c>
      <c r="M13" s="133">
        <f>IF(SER_hh_fech!M13=0,0,SER_hh_fech!M13/SER_summary!M$26)</f>
        <v>70.252867839121876</v>
      </c>
      <c r="N13" s="133">
        <f>IF(SER_hh_fech!N13=0,0,SER_hh_fech!N13/SER_summary!N$26)</f>
        <v>67.561846546036122</v>
      </c>
      <c r="O13" s="133">
        <f>IF(SER_hh_fech!O13=0,0,SER_hh_fech!O13/SER_summary!O$26)</f>
        <v>64.043415275937903</v>
      </c>
      <c r="P13" s="133">
        <f>IF(SER_hh_fech!P13=0,0,SER_hh_fech!P13/SER_summary!P$26)</f>
        <v>59.643151948308287</v>
      </c>
      <c r="Q13" s="133">
        <f>IF(SER_hh_fech!Q13=0,0,SER_hh_fech!Q13/SER_summary!Q$26)</f>
        <v>58.692670288465699</v>
      </c>
      <c r="R13" s="133">
        <f>IF(SER_hh_fech!R13=0,0,SER_hh_fech!R13/SER_summary!R$26)</f>
        <v>58.142655763940361</v>
      </c>
      <c r="S13" s="133">
        <f>IF(SER_hh_fech!S13=0,0,SER_hh_fech!S13/SER_summary!S$26)</f>
        <v>59.535679362613017</v>
      </c>
      <c r="T13" s="133">
        <f>IF(SER_hh_fech!T13=0,0,SER_hh_fech!T13/SER_summary!T$26)</f>
        <v>55.809168716820366</v>
      </c>
      <c r="U13" s="133">
        <f>IF(SER_hh_fech!U13=0,0,SER_hh_fech!U13/SER_summary!U$26)</f>
        <v>54.156800267258475</v>
      </c>
      <c r="V13" s="133">
        <f>IF(SER_hh_fech!V13=0,0,SER_hh_fech!V13/SER_summary!V$26)</f>
        <v>50.270341902344498</v>
      </c>
      <c r="W13" s="133">
        <f>IF(SER_hh_fech!W13=0,0,SER_hh_fech!W13/SER_summary!W$26)</f>
        <v>45.158418144180558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167.56466152444381</v>
      </c>
      <c r="C14" s="65">
        <f>IF(SER_hh_fech!C14=0,0,SER_hh_fech!C14/SER_summary!C$26)</f>
        <v>176.76425565618001</v>
      </c>
      <c r="D14" s="65">
        <f>IF(SER_hh_fech!D14=0,0,SER_hh_fech!D14/SER_summary!D$26)</f>
        <v>187.3527263195453</v>
      </c>
      <c r="E14" s="65">
        <f>IF(SER_hh_fech!E14=0,0,SER_hh_fech!E14/SER_summary!E$26)</f>
        <v>205.00038645175744</v>
      </c>
      <c r="F14" s="65">
        <f>IF(SER_hh_fech!F14=0,0,SER_hh_fech!F14/SER_summary!F$26)</f>
        <v>187.77739101151411</v>
      </c>
      <c r="G14" s="65">
        <f>IF(SER_hh_fech!G14=0,0,SER_hh_fech!G14/SER_summary!G$26)</f>
        <v>209.00280371898555</v>
      </c>
      <c r="H14" s="65">
        <f>IF(SER_hh_fech!H14=0,0,SER_hh_fech!H14/SER_summary!H$26)</f>
        <v>228.73376031103373</v>
      </c>
      <c r="I14" s="65">
        <f>IF(SER_hh_fech!I14=0,0,SER_hh_fech!I14/SER_summary!I$26)</f>
        <v>213.08660500024024</v>
      </c>
      <c r="J14" s="65">
        <f>IF(SER_hh_fech!J14=0,0,SER_hh_fech!J14/SER_summary!J$26)</f>
        <v>226.96425182888947</v>
      </c>
      <c r="K14" s="65">
        <f>IF(SER_hh_fech!K14=0,0,SER_hh_fech!K14/SER_summary!K$26)</f>
        <v>219.16620580198747</v>
      </c>
      <c r="L14" s="65">
        <f>IF(SER_hh_fech!L14=0,0,SER_hh_fech!L14/SER_summary!L$26)</f>
        <v>216.53253697651249</v>
      </c>
      <c r="M14" s="65">
        <f>IF(SER_hh_fech!M14=0,0,SER_hh_fech!M14/SER_summary!M$26)</f>
        <v>215.22039165784048</v>
      </c>
      <c r="N14" s="65">
        <f>IF(SER_hh_fech!N14=0,0,SER_hh_fech!N14/SER_summary!N$26)</f>
        <v>213.22776992173232</v>
      </c>
      <c r="O14" s="65">
        <f>IF(SER_hh_fech!O14=0,0,SER_hh_fech!O14/SER_summary!O$26)</f>
        <v>216.25963160873485</v>
      </c>
      <c r="P14" s="65">
        <f>IF(SER_hh_fech!P14=0,0,SER_hh_fech!P14/SER_summary!P$26)</f>
        <v>185.9640132618035</v>
      </c>
      <c r="Q14" s="65">
        <f>IF(SER_hh_fech!Q14=0,0,SER_hh_fech!Q14/SER_summary!Q$26)</f>
        <v>222.50843449193869</v>
      </c>
      <c r="R14" s="65">
        <f>IF(SER_hh_fech!R14=0,0,SER_hh_fech!R14/SER_summary!R$26)</f>
        <v>208.57980443769614</v>
      </c>
      <c r="S14" s="65">
        <f>IF(SER_hh_fech!S14=0,0,SER_hh_fech!S14/SER_summary!S$26)</f>
        <v>195.98052691752889</v>
      </c>
      <c r="T14" s="65">
        <f>IF(SER_hh_fech!T14=0,0,SER_hh_fech!T14/SER_summary!T$26)</f>
        <v>229.9579305945642</v>
      </c>
      <c r="U14" s="65">
        <f>IF(SER_hh_fech!U14=0,0,SER_hh_fech!U14/SER_summary!U$26)</f>
        <v>242.47334426071617</v>
      </c>
      <c r="V14" s="65">
        <f>IF(SER_hh_fech!V14=0,0,SER_hh_fech!V14/SER_summary!V$26)</f>
        <v>188.12616794252952</v>
      </c>
      <c r="W14" s="65">
        <f>IF(SER_hh_fech!W14=0,0,SER_hh_fech!W14/SER_summary!W$26)</f>
        <v>183.03958747333903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2.5594056873571978</v>
      </c>
      <c r="C15" s="135">
        <f>IF(SER_hh_fech!C15=0,0,SER_hh_fech!C15/SER_summary!C$26)</f>
        <v>2.5033569572815786</v>
      </c>
      <c r="D15" s="135">
        <f>IF(SER_hh_fech!D15=0,0,SER_hh_fech!D15/SER_summary!D$26)</f>
        <v>2.4644829073417713</v>
      </c>
      <c r="E15" s="135">
        <f>IF(SER_hh_fech!E15=0,0,SER_hh_fech!E15/SER_summary!E$26)</f>
        <v>2.5901060234042195</v>
      </c>
      <c r="F15" s="135">
        <f>IF(SER_hh_fech!F15=0,0,SER_hh_fech!F15/SER_summary!F$26)</f>
        <v>2.5226977035995652</v>
      </c>
      <c r="G15" s="135">
        <f>IF(SER_hh_fech!G15=0,0,SER_hh_fech!G15/SER_summary!G$26)</f>
        <v>2.6396776611447721</v>
      </c>
      <c r="H15" s="135">
        <f>IF(SER_hh_fech!H15=0,0,SER_hh_fech!H15/SER_summary!H$26)</f>
        <v>2.7635010100220092</v>
      </c>
      <c r="I15" s="135">
        <f>IF(SER_hh_fech!I15=0,0,SER_hh_fech!I15/SER_summary!I$26)</f>
        <v>2.7402827235345608</v>
      </c>
      <c r="J15" s="135">
        <f>IF(SER_hh_fech!J15=0,0,SER_hh_fech!J15/SER_summary!J$26)</f>
        <v>2.8981009796797537</v>
      </c>
      <c r="K15" s="135">
        <f>IF(SER_hh_fech!K15=0,0,SER_hh_fech!K15/SER_summary!K$26)</f>
        <v>2.5400038529137321</v>
      </c>
      <c r="L15" s="135">
        <f>IF(SER_hh_fech!L15=0,0,SER_hh_fech!L15/SER_summary!L$26)</f>
        <v>2.6801106355172868</v>
      </c>
      <c r="M15" s="135">
        <f>IF(SER_hh_fech!M15=0,0,SER_hh_fech!M15/SER_summary!M$26)</f>
        <v>2.5774258941035457</v>
      </c>
      <c r="N15" s="135">
        <f>IF(SER_hh_fech!N15=0,0,SER_hh_fech!N15/SER_summary!N$26)</f>
        <v>2.6585446526585605</v>
      </c>
      <c r="O15" s="135">
        <f>IF(SER_hh_fech!O15=0,0,SER_hh_fech!O15/SER_summary!O$26)</f>
        <v>2.6919918726830061</v>
      </c>
      <c r="P15" s="135">
        <f>IF(SER_hh_fech!P15=0,0,SER_hh_fech!P15/SER_summary!P$26)</f>
        <v>2.4397587889268584</v>
      </c>
      <c r="Q15" s="135">
        <f>IF(SER_hh_fech!Q15=0,0,SER_hh_fech!Q15/SER_summary!Q$26)</f>
        <v>2.6112867896481533</v>
      </c>
      <c r="R15" s="135">
        <f>IF(SER_hh_fech!R15=0,0,SER_hh_fech!R15/SER_summary!R$26)</f>
        <v>2.5823353637529003</v>
      </c>
      <c r="S15" s="135">
        <f>IF(SER_hh_fech!S15=0,0,SER_hh_fech!S15/SER_summary!S$26)</f>
        <v>2.5234784647328317</v>
      </c>
      <c r="T15" s="135">
        <f>IF(SER_hh_fech!T15=0,0,SER_hh_fech!T15/SER_summary!T$26)</f>
        <v>2.8142602176664524</v>
      </c>
      <c r="U15" s="135">
        <f>IF(SER_hh_fech!U15=0,0,SER_hh_fech!U15/SER_summary!U$26)</f>
        <v>2.7116437814102956</v>
      </c>
      <c r="V15" s="135">
        <f>IF(SER_hh_fech!V15=0,0,SER_hh_fech!V15/SER_summary!V$26)</f>
        <v>2.7000887588478921</v>
      </c>
      <c r="W15" s="135">
        <f>IF(SER_hh_fech!W15=0,0,SER_hh_fech!W15/SER_summary!W$26)</f>
        <v>2.1712388105570302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12.037489027265254</v>
      </c>
      <c r="C16" s="131">
        <f>IF(SER_hh_fech!C16=0,0,SER_hh_fech!C16/SER_summary!C$26)</f>
        <v>11.314805198108036</v>
      </c>
      <c r="D16" s="131">
        <f>IF(SER_hh_fech!D16=0,0,SER_hh_fech!D16/SER_summary!D$26)</f>
        <v>10.861261411234882</v>
      </c>
      <c r="E16" s="131">
        <f>IF(SER_hh_fech!E16=0,0,SER_hh_fech!E16/SER_summary!E$26)</f>
        <v>10.338629128775512</v>
      </c>
      <c r="F16" s="131">
        <f>IF(SER_hh_fech!F16=0,0,SER_hh_fech!F16/SER_summary!F$26)</f>
        <v>9.7840446531874257</v>
      </c>
      <c r="G16" s="131">
        <f>IF(SER_hh_fech!G16=0,0,SER_hh_fech!G16/SER_summary!G$26)</f>
        <v>9.1144614538704243</v>
      </c>
      <c r="H16" s="131">
        <f>IF(SER_hh_fech!H16=0,0,SER_hh_fech!H16/SER_summary!H$26)</f>
        <v>8.7732630854816041</v>
      </c>
      <c r="I16" s="131">
        <f>IF(SER_hh_fech!I16=0,0,SER_hh_fech!I16/SER_summary!I$26)</f>
        <v>8.4748802331755186</v>
      </c>
      <c r="J16" s="131">
        <f>IF(SER_hh_fech!J16=0,0,SER_hh_fech!J16/SER_summary!J$26)</f>
        <v>7.9082819425060595</v>
      </c>
      <c r="K16" s="131">
        <f>IF(SER_hh_fech!K16=0,0,SER_hh_fech!K16/SER_summary!K$26)</f>
        <v>7.7594354270690831</v>
      </c>
      <c r="L16" s="131">
        <f>IF(SER_hh_fech!L16=0,0,SER_hh_fech!L16/SER_summary!L$26)</f>
        <v>7.6629191387714606</v>
      </c>
      <c r="M16" s="131">
        <f>IF(SER_hh_fech!M16=0,0,SER_hh_fech!M16/SER_summary!M$26)</f>
        <v>7.3871963557444111</v>
      </c>
      <c r="N16" s="131">
        <f>IF(SER_hh_fech!N16=0,0,SER_hh_fech!N16/SER_summary!N$26)</f>
        <v>7.2870823978673425</v>
      </c>
      <c r="O16" s="131">
        <f>IF(SER_hh_fech!O16=0,0,SER_hh_fech!O16/SER_summary!O$26)</f>
        <v>6.9471581251703851</v>
      </c>
      <c r="P16" s="131">
        <f>IF(SER_hh_fech!P16=0,0,SER_hh_fech!P16/SER_summary!P$26)</f>
        <v>6.799345437055206</v>
      </c>
      <c r="Q16" s="131">
        <f>IF(SER_hh_fech!Q16=0,0,SER_hh_fech!Q16/SER_summary!Q$26)</f>
        <v>6.5552916132901053</v>
      </c>
      <c r="R16" s="131">
        <f>IF(SER_hh_fech!R16=0,0,SER_hh_fech!R16/SER_summary!R$26)</f>
        <v>6.3250738496811092</v>
      </c>
      <c r="S16" s="131">
        <f>IF(SER_hh_fech!S16=0,0,SER_hh_fech!S16/SER_summary!S$26)</f>
        <v>6.1001066713566798</v>
      </c>
      <c r="T16" s="131">
        <f>IF(SER_hh_fech!T16=0,0,SER_hh_fech!T16/SER_summary!T$26)</f>
        <v>5.9058554089631095</v>
      </c>
      <c r="U16" s="131">
        <f>IF(SER_hh_fech!U16=0,0,SER_hh_fech!U16/SER_summary!U$26)</f>
        <v>5.7988400226672416</v>
      </c>
      <c r="V16" s="131">
        <f>IF(SER_hh_fech!V16=0,0,SER_hh_fech!V16/SER_summary!V$26)</f>
        <v>5.6813268051535575</v>
      </c>
      <c r="W16" s="131">
        <f>IF(SER_hh_fech!W16=0,0,SER_hh_fech!W16/SER_summary!W$26)</f>
        <v>5.4793142533609149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19.594955175487204</v>
      </c>
      <c r="C17" s="133">
        <f>IF(SER_hh_fech!C17=0,0,SER_hh_fech!C17/SER_summary!C$26)</f>
        <v>19.319502901744578</v>
      </c>
      <c r="D17" s="133">
        <f>IF(SER_hh_fech!D17=0,0,SER_hh_fech!D17/SER_summary!D$26)</f>
        <v>19.443409409470426</v>
      </c>
      <c r="E17" s="133">
        <f>IF(SER_hh_fech!E17=0,0,SER_hh_fech!E17/SER_summary!E$26)</f>
        <v>19.364783353905484</v>
      </c>
      <c r="F17" s="133">
        <f>IF(SER_hh_fech!F17=0,0,SER_hh_fech!F17/SER_summary!F$26)</f>
        <v>19.107872134372538</v>
      </c>
      <c r="G17" s="133">
        <f>IF(SER_hh_fech!G17=0,0,SER_hh_fech!G17/SER_summary!G$26)</f>
        <v>18.675221354714981</v>
      </c>
      <c r="H17" s="133">
        <f>IF(SER_hh_fech!H17=0,0,SER_hh_fech!H17/SER_summary!H$26)</f>
        <v>18.812333921206275</v>
      </c>
      <c r="I17" s="133">
        <f>IF(SER_hh_fech!I17=0,0,SER_hh_fech!I17/SER_summary!I$26)</f>
        <v>18.681204928957769</v>
      </c>
      <c r="J17" s="133">
        <f>IF(SER_hh_fech!J17=0,0,SER_hh_fech!J17/SER_summary!J$26)</f>
        <v>18.573760885341542</v>
      </c>
      <c r="K17" s="133">
        <f>IF(SER_hh_fech!K17=0,0,SER_hh_fech!K17/SER_summary!K$26)</f>
        <v>18.478549427648115</v>
      </c>
      <c r="L17" s="133">
        <f>IF(SER_hh_fech!L17=0,0,SER_hh_fech!L17/SER_summary!L$26)</f>
        <v>18.634369734524043</v>
      </c>
      <c r="M17" s="133">
        <f>IF(SER_hh_fech!M17=0,0,SER_hh_fech!M17/SER_summary!M$26)</f>
        <v>18.480452679842148</v>
      </c>
      <c r="N17" s="133">
        <f>IF(SER_hh_fech!N17=0,0,SER_hh_fech!N17/SER_summary!N$26)</f>
        <v>18.727862723142689</v>
      </c>
      <c r="O17" s="133">
        <f>IF(SER_hh_fech!O17=0,0,SER_hh_fech!O17/SER_summary!O$26)</f>
        <v>18.291185502629272</v>
      </c>
      <c r="P17" s="133">
        <f>IF(SER_hh_fech!P17=0,0,SER_hh_fech!P17/SER_summary!P$26)</f>
        <v>18.300517684035441</v>
      </c>
      <c r="Q17" s="133">
        <f>IF(SER_hh_fech!Q17=0,0,SER_hh_fech!Q17/SER_summary!Q$26)</f>
        <v>17.863104575109809</v>
      </c>
      <c r="R17" s="133">
        <f>IF(SER_hh_fech!R17=0,0,SER_hh_fech!R17/SER_summary!R$26)</f>
        <v>17.626048239090188</v>
      </c>
      <c r="S17" s="133">
        <f>IF(SER_hh_fech!S17=0,0,SER_hh_fech!S17/SER_summary!S$26)</f>
        <v>17.344548670017168</v>
      </c>
      <c r="T17" s="133">
        <f>IF(SER_hh_fech!T17=0,0,SER_hh_fech!T17/SER_summary!T$26)</f>
        <v>17.120257277895952</v>
      </c>
      <c r="U17" s="133">
        <f>IF(SER_hh_fech!U17=0,0,SER_hh_fech!U17/SER_summary!U$26)</f>
        <v>17.022119991118831</v>
      </c>
      <c r="V17" s="133">
        <f>IF(SER_hh_fech!V17=0,0,SER_hh_fech!V17/SER_summary!V$26)</f>
        <v>15.130850584633587</v>
      </c>
      <c r="W17" s="133">
        <f>IF(SER_hh_fech!W17=0,0,SER_hh_fech!W17/SER_summary!W$26)</f>
        <v>13.863343496515316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12.015229821758187</v>
      </c>
      <c r="C18" s="133">
        <f>IF(SER_hh_fech!C18=0,0,SER_hh_fech!C18/SER_summary!C$26)</f>
        <v>11.29080980482189</v>
      </c>
      <c r="D18" s="133">
        <f>IF(SER_hh_fech!D18=0,0,SER_hh_fech!D18/SER_summary!D$26)</f>
        <v>10.834736190134672</v>
      </c>
      <c r="E18" s="133">
        <f>IF(SER_hh_fech!E18=0,0,SER_hh_fech!E18/SER_summary!E$26)</f>
        <v>10.313098974129542</v>
      </c>
      <c r="F18" s="133">
        <f>IF(SER_hh_fech!F18=0,0,SER_hh_fech!F18/SER_summary!F$26)</f>
        <v>9.7543985389916248</v>
      </c>
      <c r="G18" s="133">
        <f>IF(SER_hh_fech!G18=0,0,SER_hh_fech!G18/SER_summary!G$26)</f>
        <v>9.0829608541562799</v>
      </c>
      <c r="H18" s="133">
        <f>IF(SER_hh_fech!H18=0,0,SER_hh_fech!H18/SER_summary!H$26)</f>
        <v>8.7360399848311232</v>
      </c>
      <c r="I18" s="133">
        <f>IF(SER_hh_fech!I18=0,0,SER_hh_fech!I18/SER_summary!I$26)</f>
        <v>8.4371148987755404</v>
      </c>
      <c r="J18" s="133">
        <f>IF(SER_hh_fech!J18=0,0,SER_hh_fech!J18/SER_summary!J$26)</f>
        <v>7.8703819429656274</v>
      </c>
      <c r="K18" s="133">
        <f>IF(SER_hh_fech!K18=0,0,SER_hh_fech!K18/SER_summary!K$26)</f>
        <v>7.7183139945683559</v>
      </c>
      <c r="L18" s="133">
        <f>IF(SER_hh_fech!L18=0,0,SER_hh_fech!L18/SER_summary!L$26)</f>
        <v>7.6192692861948172</v>
      </c>
      <c r="M18" s="133">
        <f>IF(SER_hh_fech!M18=0,0,SER_hh_fech!M18/SER_summary!M$26)</f>
        <v>7.3402924587106098</v>
      </c>
      <c r="N18" s="133">
        <f>IF(SER_hh_fech!N18=0,0,SER_hh_fech!N18/SER_summary!N$26)</f>
        <v>7.2334254474598731</v>
      </c>
      <c r="O18" s="133">
        <f>IF(SER_hh_fech!O18=0,0,SER_hh_fech!O18/SER_summary!O$26)</f>
        <v>6.8824872877601351</v>
      </c>
      <c r="P18" s="133">
        <f>IF(SER_hh_fech!P18=0,0,SER_hh_fech!P18/SER_summary!P$26)</f>
        <v>6.7160829382313132</v>
      </c>
      <c r="Q18" s="133">
        <f>IF(SER_hh_fech!Q18=0,0,SER_hh_fech!Q18/SER_summary!Q$26)</f>
        <v>6.4412628540410868</v>
      </c>
      <c r="R18" s="133">
        <f>IF(SER_hh_fech!R18=0,0,SER_hh_fech!R18/SER_summary!R$26)</f>
        <v>6.1886838231675325</v>
      </c>
      <c r="S18" s="133">
        <f>IF(SER_hh_fech!S18=0,0,SER_hh_fech!S18/SER_summary!S$26)</f>
        <v>5.9465383528483047</v>
      </c>
      <c r="T18" s="133">
        <f>IF(SER_hh_fech!T18=0,0,SER_hh_fech!T18/SER_summary!T$26)</f>
        <v>5.7442979260178344</v>
      </c>
      <c r="U18" s="133">
        <f>IF(SER_hh_fech!U18=0,0,SER_hh_fech!U18/SER_summary!U$26)</f>
        <v>5.6307378516330324</v>
      </c>
      <c r="V18" s="133">
        <f>IF(SER_hh_fech!V18=0,0,SER_hh_fech!V18/SER_summary!V$26)</f>
        <v>5.5215304567282342</v>
      </c>
      <c r="W18" s="133">
        <f>IF(SER_hh_fech!W18=0,0,SER_hh_fech!W18/SER_summary!W$26)</f>
        <v>5.3320905538335719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43.056688451802792</v>
      </c>
      <c r="C19" s="131">
        <f>IF(SER_hh_fech!C19=0,0,SER_hh_fech!C19/SER_summary!C$26)</f>
        <v>43.136832885717311</v>
      </c>
      <c r="D19" s="131">
        <f>IF(SER_hh_fech!D19=0,0,SER_hh_fech!D19/SER_summary!D$26)</f>
        <v>42.480435092713826</v>
      </c>
      <c r="E19" s="131">
        <f>IF(SER_hh_fech!E19=0,0,SER_hh_fech!E19/SER_summary!E$26)</f>
        <v>41.68977419788785</v>
      </c>
      <c r="F19" s="131">
        <f>IF(SER_hh_fech!F19=0,0,SER_hh_fech!F19/SER_summary!F$26)</f>
        <v>41.193375681264413</v>
      </c>
      <c r="G19" s="131">
        <f>IF(SER_hh_fech!G19=0,0,SER_hh_fech!G19/SER_summary!G$26)</f>
        <v>41.054242475094959</v>
      </c>
      <c r="H19" s="131">
        <f>IF(SER_hh_fech!H19=0,0,SER_hh_fech!H19/SER_summary!H$26)</f>
        <v>40.166501539318169</v>
      </c>
      <c r="I19" s="131">
        <f>IF(SER_hh_fech!I19=0,0,SER_hh_fech!I19/SER_summary!I$26)</f>
        <v>39.240789744675162</v>
      </c>
      <c r="J19" s="131">
        <f>IF(SER_hh_fech!J19=0,0,SER_hh_fech!J19/SER_summary!J$26)</f>
        <v>39.112155135874985</v>
      </c>
      <c r="K19" s="131">
        <f>IF(SER_hh_fech!K19=0,0,SER_hh_fech!K19/SER_summary!K$26)</f>
        <v>41.06846090982453</v>
      </c>
      <c r="L19" s="131">
        <f>IF(SER_hh_fech!L19=0,0,SER_hh_fech!L19/SER_summary!L$26)</f>
        <v>42.227854403025475</v>
      </c>
      <c r="M19" s="131">
        <f>IF(SER_hh_fech!M19=0,0,SER_hh_fech!M19/SER_summary!M$26)</f>
        <v>42.072839962150617</v>
      </c>
      <c r="N19" s="131">
        <f>IF(SER_hh_fech!N19=0,0,SER_hh_fech!N19/SER_summary!N$26)</f>
        <v>41.761659237559115</v>
      </c>
      <c r="O19" s="131">
        <f>IF(SER_hh_fech!O19=0,0,SER_hh_fech!O19/SER_summary!O$26)</f>
        <v>40.99931247073819</v>
      </c>
      <c r="P19" s="131">
        <f>IF(SER_hh_fech!P19=0,0,SER_hh_fech!P19/SER_summary!P$26)</f>
        <v>40.473290020440594</v>
      </c>
      <c r="Q19" s="131">
        <f>IF(SER_hh_fech!Q19=0,0,SER_hh_fech!Q19/SER_summary!Q$26)</f>
        <v>40.830246025869634</v>
      </c>
      <c r="R19" s="131">
        <f>IF(SER_hh_fech!R19=0,0,SER_hh_fech!R19/SER_summary!R$26)</f>
        <v>39.802185250872562</v>
      </c>
      <c r="S19" s="131">
        <f>IF(SER_hh_fech!S19=0,0,SER_hh_fech!S19/SER_summary!S$26)</f>
        <v>39.421554497872577</v>
      </c>
      <c r="T19" s="131">
        <f>IF(SER_hh_fech!T19=0,0,SER_hh_fech!T19/SER_summary!T$26)</f>
        <v>38.52368614106291</v>
      </c>
      <c r="U19" s="131">
        <f>IF(SER_hh_fech!U19=0,0,SER_hh_fech!U19/SER_summary!U$26)</f>
        <v>37.860047487677626</v>
      </c>
      <c r="V19" s="131">
        <f>IF(SER_hh_fech!V19=0,0,SER_hh_fech!V19/SER_summary!V$26)</f>
        <v>35.765945087835938</v>
      </c>
      <c r="W19" s="131">
        <f>IF(SER_hh_fech!W19=0,0,SER_hh_fech!W19/SER_summary!W$26)</f>
        <v>35.710596490722594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48.962047105452498</v>
      </c>
      <c r="C22" s="133">
        <f>IF(SER_hh_fech!C22=0,0,SER_hh_fech!C22/SER_summary!C$26)</f>
        <v>49.261533295401492</v>
      </c>
      <c r="D22" s="133">
        <f>IF(SER_hh_fech!D22=0,0,SER_hh_fech!D22/SER_summary!D$26)</f>
        <v>49.284495138083763</v>
      </c>
      <c r="E22" s="133">
        <f>IF(SER_hh_fech!E22=0,0,SER_hh_fech!E22/SER_summary!E$26)</f>
        <v>47.679396917664917</v>
      </c>
      <c r="F22" s="133">
        <f>IF(SER_hh_fech!F22=0,0,SER_hh_fech!F22/SER_summary!F$26)</f>
        <v>48.379706028128332</v>
      </c>
      <c r="G22" s="133">
        <f>IF(SER_hh_fech!G22=0,0,SER_hh_fech!G22/SER_summary!G$26)</f>
        <v>47.60328850093812</v>
      </c>
      <c r="H22" s="133">
        <f>IF(SER_hh_fech!H22=0,0,SER_hh_fech!H22/SER_summary!H$26)</f>
        <v>46.422829033063131</v>
      </c>
      <c r="I22" s="133">
        <f>IF(SER_hh_fech!I22=0,0,SER_hh_fech!I22/SER_summary!I$26)</f>
        <v>46.243887048359646</v>
      </c>
      <c r="J22" s="133">
        <f>IF(SER_hh_fech!J22=0,0,SER_hh_fech!J22/SER_summary!J$26)</f>
        <v>47.283488887290517</v>
      </c>
      <c r="K22" s="133">
        <f>IF(SER_hh_fech!K22=0,0,SER_hh_fech!K22/SER_summary!K$26)</f>
        <v>47.703348501657899</v>
      </c>
      <c r="L22" s="133">
        <f>IF(SER_hh_fech!L22=0,0,SER_hh_fech!L22/SER_summary!L$26)</f>
        <v>49.277506303248252</v>
      </c>
      <c r="M22" s="133">
        <f>IF(SER_hh_fech!M22=0,0,SER_hh_fech!M22/SER_summary!M$26)</f>
        <v>49.37396029137669</v>
      </c>
      <c r="N22" s="133">
        <f>IF(SER_hh_fech!N22=0,0,SER_hh_fech!N22/SER_summary!N$26)</f>
        <v>48.958065365025696</v>
      </c>
      <c r="O22" s="133">
        <f>IF(SER_hh_fech!O22=0,0,SER_hh_fech!O22/SER_summary!O$26)</f>
        <v>47.580499972506786</v>
      </c>
      <c r="P22" s="133">
        <f>IF(SER_hh_fech!P22=0,0,SER_hh_fech!P22/SER_summary!P$26)</f>
        <v>47.959278493801548</v>
      </c>
      <c r="Q22" s="133">
        <f>IF(SER_hh_fech!Q22=0,0,SER_hh_fech!Q22/SER_summary!Q$26)</f>
        <v>47.060832216137982</v>
      </c>
      <c r="R22" s="133">
        <f>IF(SER_hh_fech!R22=0,0,SER_hh_fech!R22/SER_summary!R$26)</f>
        <v>46.172624331647505</v>
      </c>
      <c r="S22" s="133">
        <f>IF(SER_hh_fech!S22=0,0,SER_hh_fech!S22/SER_summary!S$26)</f>
        <v>47.253591415910066</v>
      </c>
      <c r="T22" s="133">
        <f>IF(SER_hh_fech!T22=0,0,SER_hh_fech!T22/SER_summary!T$26)</f>
        <v>45.56901447779093</v>
      </c>
      <c r="U22" s="133">
        <f>IF(SER_hh_fech!U22=0,0,SER_hh_fech!U22/SER_summary!U$26)</f>
        <v>45.581070007989773</v>
      </c>
      <c r="V22" s="133">
        <f>IF(SER_hh_fech!V22=0,0,SER_hh_fech!V22/SER_summary!V$26)</f>
        <v>41.295231575746982</v>
      </c>
      <c r="W22" s="133">
        <f>IF(SER_hh_fech!W22=0,0,SER_hh_fech!W22/SER_summary!W$26)</f>
        <v>43.189818955843641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47.236518068049008</v>
      </c>
      <c r="C23" s="133">
        <f>IF(SER_hh_fech!C23=0,0,SER_hh_fech!C23/SER_summary!C$26)</f>
        <v>47.864610756252716</v>
      </c>
      <c r="D23" s="133">
        <f>IF(SER_hh_fech!D23=0,0,SER_hh_fech!D23/SER_summary!D$26)</f>
        <v>46.827085238716975</v>
      </c>
      <c r="E23" s="133">
        <f>IF(SER_hh_fech!E23=0,0,SER_hh_fech!E23/SER_summary!E$26)</f>
        <v>45.614199506050653</v>
      </c>
      <c r="F23" s="133">
        <f>IF(SER_hh_fech!F23=0,0,SER_hh_fech!F23/SER_summary!F$26)</f>
        <v>45.513160866394799</v>
      </c>
      <c r="G23" s="133">
        <f>IF(SER_hh_fech!G23=0,0,SER_hh_fech!G23/SER_summary!G$26)</f>
        <v>44.720153486450513</v>
      </c>
      <c r="H23" s="133">
        <f>IF(SER_hh_fech!H23=0,0,SER_hh_fech!H23/SER_summary!H$26)</f>
        <v>43.531008053282576</v>
      </c>
      <c r="I23" s="133">
        <f>IF(SER_hh_fech!I23=0,0,SER_hh_fech!I23/SER_summary!I$26)</f>
        <v>43.501872602736263</v>
      </c>
      <c r="J23" s="133">
        <f>IF(SER_hh_fech!J23=0,0,SER_hh_fech!J23/SER_summary!J$26)</f>
        <v>42.70879427589189</v>
      </c>
      <c r="K23" s="133">
        <f>IF(SER_hh_fech!K23=0,0,SER_hh_fech!K23/SER_summary!K$26)</f>
        <v>43.873654378082819</v>
      </c>
      <c r="L23" s="133">
        <f>IF(SER_hh_fech!L23=0,0,SER_hh_fech!L23/SER_summary!L$26)</f>
        <v>44.419193666729797</v>
      </c>
      <c r="M23" s="133">
        <f>IF(SER_hh_fech!M23=0,0,SER_hh_fech!M23/SER_summary!M$26)</f>
        <v>44.586570759294197</v>
      </c>
      <c r="N23" s="133">
        <f>IF(SER_hh_fech!N23=0,0,SER_hh_fech!N23/SER_summary!N$26)</f>
        <v>43.254029632752356</v>
      </c>
      <c r="O23" s="133">
        <f>IF(SER_hh_fech!O23=0,0,SER_hh_fech!O23/SER_summary!O$26)</f>
        <v>42.69104839468541</v>
      </c>
      <c r="P23" s="133">
        <f>IF(SER_hh_fech!P23=0,0,SER_hh_fech!P23/SER_summary!P$26)</f>
        <v>42.764221797302056</v>
      </c>
      <c r="Q23" s="133">
        <f>IF(SER_hh_fech!Q23=0,0,SER_hh_fech!Q23/SER_summary!Q$26)</f>
        <v>41.5251757355257</v>
      </c>
      <c r="R23" s="133">
        <f>IF(SER_hh_fech!R23=0,0,SER_hh_fech!R23/SER_summary!R$26)</f>
        <v>41.31447111308708</v>
      </c>
      <c r="S23" s="133">
        <f>IF(SER_hh_fech!S23=0,0,SER_hh_fech!S23/SER_summary!S$26)</f>
        <v>42.021831786402288</v>
      </c>
      <c r="T23" s="133">
        <f>IF(SER_hh_fech!T23=0,0,SER_hh_fech!T23/SER_summary!T$26)</f>
        <v>39.865925118236568</v>
      </c>
      <c r="U23" s="133">
        <f>IF(SER_hh_fech!U23=0,0,SER_hh_fech!U23/SER_summary!U$26)</f>
        <v>39.914312983623937</v>
      </c>
      <c r="V23" s="133">
        <f>IF(SER_hh_fech!V23=0,0,SER_hh_fech!V23/SER_summary!V$26)</f>
        <v>36.577384792832738</v>
      </c>
      <c r="W23" s="133">
        <f>IF(SER_hh_fech!W23=0,0,SER_hh_fech!W23/SER_summary!W$26)</f>
        <v>38.130930873190088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38.948429161309704</v>
      </c>
      <c r="C26" s="65">
        <f>IF(SER_hh_fech!C26=0,0,SER_hh_fech!C26/SER_summary!C$26)</f>
        <v>38.876131103050731</v>
      </c>
      <c r="D26" s="65">
        <f>IF(SER_hh_fech!D26=0,0,SER_hh_fech!D26/SER_summary!D$26)</f>
        <v>38.27233796533671</v>
      </c>
      <c r="E26" s="65">
        <f>IF(SER_hh_fech!E26=0,0,SER_hh_fech!E26/SER_summary!E$26)</f>
        <v>38.11821262410696</v>
      </c>
      <c r="F26" s="65">
        <f>IF(SER_hh_fech!F26=0,0,SER_hh_fech!F26/SER_summary!F$26)</f>
        <v>37.243913030341162</v>
      </c>
      <c r="G26" s="65">
        <f>IF(SER_hh_fech!G26=0,0,SER_hh_fech!G26/SER_summary!G$26)</f>
        <v>37.811871518142823</v>
      </c>
      <c r="H26" s="65">
        <f>IF(SER_hh_fech!H26=0,0,SER_hh_fech!H26/SER_summary!H$26)</f>
        <v>37.279508204069245</v>
      </c>
      <c r="I26" s="65">
        <f>IF(SER_hh_fech!I26=0,0,SER_hh_fech!I26/SER_summary!I$26)</f>
        <v>36.130206685452642</v>
      </c>
      <c r="J26" s="65">
        <f>IF(SER_hh_fech!J26=0,0,SER_hh_fech!J26/SER_summary!J$26)</f>
        <v>36.00789512734984</v>
      </c>
      <c r="K26" s="65">
        <f>IF(SER_hh_fech!K26=0,0,SER_hh_fech!K26/SER_summary!K$26)</f>
        <v>38.528463296745322</v>
      </c>
      <c r="L26" s="65">
        <f>IF(SER_hh_fech!L26=0,0,SER_hh_fech!L26/SER_summary!L$26)</f>
        <v>39.743752161964252</v>
      </c>
      <c r="M26" s="65">
        <f>IF(SER_hh_fech!M26=0,0,SER_hh_fech!M26/SER_summary!M$26)</f>
        <v>39.411925241755704</v>
      </c>
      <c r="N26" s="65">
        <f>IF(SER_hh_fech!N26=0,0,SER_hh_fech!N26/SER_summary!N$26)</f>
        <v>39.415224798797404</v>
      </c>
      <c r="O26" s="65">
        <f>IF(SER_hh_fech!O26=0,0,SER_hh_fech!O26/SER_summary!O$26)</f>
        <v>38.683536101552278</v>
      </c>
      <c r="P26" s="65">
        <f>IF(SER_hh_fech!P26=0,0,SER_hh_fech!P26/SER_summary!P$26)</f>
        <v>37.706980879214051</v>
      </c>
      <c r="Q26" s="65">
        <f>IF(SER_hh_fech!Q26=0,0,SER_hh_fech!Q26/SER_summary!Q$26)</f>
        <v>39.021619255883564</v>
      </c>
      <c r="R26" s="65">
        <f>IF(SER_hh_fech!R26=0,0,SER_hh_fech!R26/SER_summary!R$26)</f>
        <v>37.717393808424035</v>
      </c>
      <c r="S26" s="65">
        <f>IF(SER_hh_fech!S26=0,0,SER_hh_fech!S26/SER_summary!S$26)</f>
        <v>36.660746008072948</v>
      </c>
      <c r="T26" s="65">
        <f>IF(SER_hh_fech!T26=0,0,SER_hh_fech!T26/SER_summary!T$26)</f>
        <v>36.600946299015121</v>
      </c>
      <c r="U26" s="65">
        <f>IF(SER_hh_fech!U26=0,0,SER_hh_fech!U26/SER_summary!U$26)</f>
        <v>35.713268291136202</v>
      </c>
      <c r="V26" s="65">
        <f>IF(SER_hh_fech!V26=0,0,SER_hh_fech!V26/SER_summary!V$26)</f>
        <v>34.566480222387355</v>
      </c>
      <c r="W26" s="65">
        <f>IF(SER_hh_fech!W26=0,0,SER_hh_fech!W26/SER_summary!W$26)</f>
        <v>33.748891159619035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9.5481454735215111E-3</v>
      </c>
      <c r="I27" s="146">
        <f>IF(SER_hh_fech!I27=0,0,SER_hh_fech!I27/SER_summary!I$26)</f>
        <v>1.0366917781261442E-2</v>
      </c>
      <c r="J27" s="146">
        <f>IF(SER_hh_fech!J27=0,0,SER_hh_fech!J27/SER_summary!J$26)</f>
        <v>2.5693741417757217E-2</v>
      </c>
      <c r="K27" s="146">
        <f>IF(SER_hh_fech!K27=0,0,SER_hh_fech!K27/SER_summary!K$26)</f>
        <v>2.8121933553902141E-2</v>
      </c>
      <c r="L27" s="146">
        <f>IF(SER_hh_fech!L27=0,0,SER_hh_fech!L27/SER_summary!L$26)</f>
        <v>4.328510454604774E-2</v>
      </c>
      <c r="M27" s="146">
        <f>IF(SER_hh_fech!M27=0,0,SER_hh_fech!M27/SER_summary!M$26)</f>
        <v>4.6118103829652729E-2</v>
      </c>
      <c r="N27" s="146">
        <f>IF(SER_hh_fech!N27=0,0,SER_hh_fech!N27/SER_summary!N$26)</f>
        <v>4.6702337496058809E-2</v>
      </c>
      <c r="O27" s="146">
        <f>IF(SER_hh_fech!O27=0,0,SER_hh_fech!O27/SER_summary!O$26)</f>
        <v>4.6464822968395728E-2</v>
      </c>
      <c r="P27" s="146">
        <f>IF(SER_hh_fech!P27=0,0,SER_hh_fech!P27/SER_summary!P$26)</f>
        <v>4.5758910449057805E-2</v>
      </c>
      <c r="Q27" s="146">
        <f>IF(SER_hh_fech!Q27=0,0,SER_hh_fech!Q27/SER_summary!Q$26)</f>
        <v>4.5579791288121965E-2</v>
      </c>
      <c r="R27" s="146">
        <f>IF(SER_hh_fech!R27=0,0,SER_hh_fech!R27/SER_summary!R$26)</f>
        <v>4.4318146790308037E-2</v>
      </c>
      <c r="S27" s="146">
        <f>IF(SER_hh_fech!S27=0,0,SER_hh_fech!S27/SER_summary!S$26)</f>
        <v>4.3595416392363424E-2</v>
      </c>
      <c r="T27" s="146">
        <f>IF(SER_hh_fech!T27=0,0,SER_hh_fech!T27/SER_summary!T$26)</f>
        <v>4.2738650658447265E-2</v>
      </c>
      <c r="U27" s="146">
        <f>IF(SER_hh_fech!U27=0,0,SER_hh_fech!U27/SER_summary!U$26)</f>
        <v>4.201844298025692E-2</v>
      </c>
      <c r="V27" s="146">
        <f>IF(SER_hh_fech!V27=0,0,SER_hh_fech!V27/SER_summary!V$26)</f>
        <v>4.1417923915551769E-2</v>
      </c>
      <c r="W27" s="146">
        <f>IF(SER_hh_fech!W27=0,0,SER_hh_fech!W27/SER_summary!W$26)</f>
        <v>4.0889870933020336E-2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5.5224567363509625</v>
      </c>
      <c r="I28" s="147">
        <f>IF(SER_hh_fech!I28=0,0,SER_hh_fech!I28/SER_summary!I$26)</f>
        <v>5.5050740812995089</v>
      </c>
      <c r="J28" s="147">
        <f>IF(SER_hh_fech!J28=0,0,SER_hh_fech!J28/SER_summary!J$26)</f>
        <v>5.6752028728898445</v>
      </c>
      <c r="K28" s="147">
        <f>IF(SER_hh_fech!K28=0,0,SER_hh_fech!K28/SER_summary!K$26)</f>
        <v>6.022771254959177</v>
      </c>
      <c r="L28" s="147">
        <f>IF(SER_hh_fech!L28=0,0,SER_hh_fech!L28/SER_summary!L$26)</f>
        <v>6.1789479847478193</v>
      </c>
      <c r="M28" s="147">
        <f>IF(SER_hh_fech!M28=0,0,SER_hh_fech!M28/SER_summary!M$26)</f>
        <v>6.1182239450399072</v>
      </c>
      <c r="N28" s="147">
        <f>IF(SER_hh_fech!N28=0,0,SER_hh_fech!N28/SER_summary!N$26)</f>
        <v>6.2019045901247116</v>
      </c>
      <c r="O28" s="147">
        <f>IF(SER_hh_fech!O28=0,0,SER_hh_fech!O28/SER_summary!O$26)</f>
        <v>6.188478235408251</v>
      </c>
      <c r="P28" s="147">
        <f>IF(SER_hh_fech!P28=0,0,SER_hh_fech!P28/SER_summary!P$26)</f>
        <v>6.165859436083224</v>
      </c>
      <c r="Q28" s="147">
        <f>IF(SER_hh_fech!Q28=0,0,SER_hh_fech!Q28/SER_summary!Q$26)</f>
        <v>6.3617072765501863</v>
      </c>
      <c r="R28" s="147">
        <f>IF(SER_hh_fech!R28=0,0,SER_hh_fech!R28/SER_summary!R$26)</f>
        <v>6.4024167660566649</v>
      </c>
      <c r="S28" s="147">
        <f>IF(SER_hh_fech!S28=0,0,SER_hh_fech!S28/SER_summary!S$26)</f>
        <v>6.4888348276620098</v>
      </c>
      <c r="T28" s="147">
        <f>IF(SER_hh_fech!T28=0,0,SER_hh_fech!T28/SER_summary!T$26)</f>
        <v>6.5760188327966764</v>
      </c>
      <c r="U28" s="147">
        <f>IF(SER_hh_fech!U28=0,0,SER_hh_fech!U28/SER_summary!U$26)</f>
        <v>6.6650935152780191</v>
      </c>
      <c r="V28" s="147">
        <f>IF(SER_hh_fech!V28=0,0,SER_hh_fech!V28/SER_summary!V$26)</f>
        <v>6.2173267272082597</v>
      </c>
      <c r="W28" s="147">
        <f>IF(SER_hh_fech!W28=0,0,SER_hh_fech!W28/SER_summary!W$26)</f>
        <v>6.2588523234756721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40.913081372440793</v>
      </c>
      <c r="C29" s="131">
        <f>IF(SER_hh_fech!C29=0,0,SER_hh_fech!C29/SER_summary!C$26)</f>
        <v>40.937366506894833</v>
      </c>
      <c r="D29" s="131">
        <f>IF(SER_hh_fech!D29=0,0,SER_hh_fech!D29/SER_summary!D$26)</f>
        <v>40.466081400100713</v>
      </c>
      <c r="E29" s="131">
        <f>IF(SER_hh_fech!E29=0,0,SER_hh_fech!E29/SER_summary!E$26)</f>
        <v>40.424783296810496</v>
      </c>
      <c r="F29" s="131">
        <f>IF(SER_hh_fech!F29=0,0,SER_hh_fech!F29/SER_summary!F$26)</f>
        <v>40.430449860343366</v>
      </c>
      <c r="G29" s="131">
        <f>IF(SER_hh_fech!G29=0,0,SER_hh_fech!G29/SER_summary!G$26)</f>
        <v>40.783903436447304</v>
      </c>
      <c r="H29" s="131">
        <f>IF(SER_hh_fech!H29=0,0,SER_hh_fech!H29/SER_summary!H$26)</f>
        <v>40.528651110149326</v>
      </c>
      <c r="I29" s="131">
        <f>IF(SER_hh_fech!I29=0,0,SER_hh_fech!I29/SER_summary!I$26)</f>
        <v>39.999033665851002</v>
      </c>
      <c r="J29" s="131">
        <f>IF(SER_hh_fech!J29=0,0,SER_hh_fech!J29/SER_summary!J$26)</f>
        <v>41.089300131141556</v>
      </c>
      <c r="K29" s="131">
        <f>IF(SER_hh_fech!K29=0,0,SER_hh_fech!K29/SER_summary!K$26)</f>
        <v>38.783887428952397</v>
      </c>
      <c r="L29" s="131">
        <f>IF(SER_hh_fech!L29=0,0,SER_hh_fech!L29/SER_summary!L$26)</f>
        <v>40.9696666934829</v>
      </c>
      <c r="M29" s="131">
        <f>IF(SER_hh_fech!M29=0,0,SER_hh_fech!M29/SER_summary!M$26)</f>
        <v>42.869673756619605</v>
      </c>
      <c r="N29" s="131">
        <f>IF(SER_hh_fech!N29=0,0,SER_hh_fech!N29/SER_summary!N$26)</f>
        <v>43.591061660560499</v>
      </c>
      <c r="O29" s="131">
        <f>IF(SER_hh_fech!O29=0,0,SER_hh_fech!O29/SER_summary!O$26)</f>
        <v>44.585157239031616</v>
      </c>
      <c r="P29" s="131">
        <f>IF(SER_hh_fech!P29=0,0,SER_hh_fech!P29/SER_summary!P$26)</f>
        <v>42.926245069404629</v>
      </c>
      <c r="Q29" s="131">
        <f>IF(SER_hh_fech!Q29=0,0,SER_hh_fech!Q29/SER_summary!Q$26)</f>
        <v>43.564827195145419</v>
      </c>
      <c r="R29" s="131">
        <f>IF(SER_hh_fech!R29=0,0,SER_hh_fech!R29/SER_summary!R$26)</f>
        <v>42.593105252460198</v>
      </c>
      <c r="S29" s="131">
        <f>IF(SER_hh_fech!S29=0,0,SER_hh_fech!S29/SER_summary!S$26)</f>
        <v>42.98833779837905</v>
      </c>
      <c r="T29" s="131">
        <f>IF(SER_hh_fech!T29=0,0,SER_hh_fech!T29/SER_summary!T$26)</f>
        <v>43.096539374786822</v>
      </c>
      <c r="U29" s="131">
        <f>IF(SER_hh_fech!U29=0,0,SER_hh_fech!U29/SER_summary!U$26)</f>
        <v>43.087496334724761</v>
      </c>
      <c r="V29" s="131">
        <f>IF(SER_hh_fech!V29=0,0,SER_hh_fech!V29/SER_summary!V$26)</f>
        <v>39.582438818552795</v>
      </c>
      <c r="W29" s="131">
        <f>IF(SER_hh_fech!W29=0,0,SER_hh_fech!W29/SER_summary!W$26)</f>
        <v>42.747810799900073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45.096789344213406</v>
      </c>
      <c r="C30" s="133">
        <f>IF(SER_hh_fech!C30=0,0,SER_hh_fech!C30/SER_summary!C$26)</f>
        <v>47.633186227544755</v>
      </c>
      <c r="D30" s="133">
        <f>IF(SER_hh_fech!D30=0,0,SER_hh_fech!D30/SER_summary!D$26)</f>
        <v>45.902807027783346</v>
      </c>
      <c r="E30" s="133">
        <f>IF(SER_hh_fech!E30=0,0,SER_hh_fech!E30/SER_summary!E$26)</f>
        <v>44.802624996079246</v>
      </c>
      <c r="F30" s="133">
        <f>IF(SER_hh_fech!F30=0,0,SER_hh_fech!F30/SER_summary!F$26)</f>
        <v>44.322805421164631</v>
      </c>
      <c r="G30" s="133">
        <f>IF(SER_hh_fech!G30=0,0,SER_hh_fech!G30/SER_summary!G$26)</f>
        <v>47.171075977683692</v>
      </c>
      <c r="H30" s="133">
        <f>IF(SER_hh_fech!H30=0,0,SER_hh_fech!H30/SER_summary!H$26)</f>
        <v>45.032914727363256</v>
      </c>
      <c r="I30" s="133">
        <f>IF(SER_hh_fech!I30=0,0,SER_hh_fech!I30/SER_summary!I$26)</f>
        <v>43.738257952911148</v>
      </c>
      <c r="J30" s="133">
        <f>IF(SER_hh_fech!J30=0,0,SER_hh_fech!J30/SER_summary!J$26)</f>
        <v>50.506103823684931</v>
      </c>
      <c r="K30" s="133">
        <f>IF(SER_hh_fech!K30=0,0,SER_hh_fech!K30/SER_summary!K$26)</f>
        <v>38.043940437533898</v>
      </c>
      <c r="L30" s="133">
        <f>IF(SER_hh_fech!L30=0,0,SER_hh_fech!L30/SER_summary!L$26)</f>
        <v>49.098840380646521</v>
      </c>
      <c r="M30" s="133">
        <f>IF(SER_hh_fech!M30=0,0,SER_hh_fech!M30/SER_summary!M$26)</f>
        <v>48.37997687117381</v>
      </c>
      <c r="N30" s="133">
        <f>IF(SER_hh_fech!N30=0,0,SER_hh_fech!N30/SER_summary!N$26)</f>
        <v>46.463139648745425</v>
      </c>
      <c r="O30" s="133">
        <f>IF(SER_hh_fech!O30=0,0,SER_hh_fech!O30/SER_summary!O$26)</f>
        <v>54.434319166080016</v>
      </c>
      <c r="P30" s="133">
        <f>IF(SER_hh_fech!P30=0,0,SER_hh_fech!P30/SER_summary!P$26)</f>
        <v>46.108101243615977</v>
      </c>
      <c r="Q30" s="133">
        <f>IF(SER_hh_fech!Q30=0,0,SER_hh_fech!Q30/SER_summary!Q$26)</f>
        <v>51.520199658999992</v>
      </c>
      <c r="R30" s="133">
        <f>IF(SER_hh_fech!R30=0,0,SER_hh_fech!R30/SER_summary!R$26)</f>
        <v>46.677264374179479</v>
      </c>
      <c r="S30" s="133">
        <f>IF(SER_hh_fech!S30=0,0,SER_hh_fech!S30/SER_summary!S$26)</f>
        <v>48.389581535686894</v>
      </c>
      <c r="T30" s="133">
        <f>IF(SER_hh_fech!T30=0,0,SER_hh_fech!T30/SER_summary!T$26)</f>
        <v>52.574661802349048</v>
      </c>
      <c r="U30" s="133">
        <f>IF(SER_hh_fech!U30=0,0,SER_hh_fech!U30/SER_summary!U$26)</f>
        <v>52.883900786359156</v>
      </c>
      <c r="V30" s="133">
        <f>IF(SER_hh_fech!V30=0,0,SER_hh_fech!V30/SER_summary!V$26)</f>
        <v>45.137740688123188</v>
      </c>
      <c r="W30" s="133">
        <f>IF(SER_hh_fech!W30=0,0,SER_hh_fech!W30/SER_summary!W$26)</f>
        <v>52.17095102357186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47.063932504240015</v>
      </c>
      <c r="C31" s="133">
        <f>IF(SER_hh_fech!C31=0,0,SER_hh_fech!C31/SER_summary!C$26)</f>
        <v>46.640863681056992</v>
      </c>
      <c r="D31" s="133">
        <f>IF(SER_hh_fech!D31=0,0,SER_hh_fech!D31/SER_summary!D$26)</f>
        <v>45.857070540286081</v>
      </c>
      <c r="E31" s="133">
        <f>IF(SER_hh_fech!E31=0,0,SER_hh_fech!E31/SER_summary!E$26)</f>
        <v>45.239782604933453</v>
      </c>
      <c r="F31" s="133">
        <f>IF(SER_hh_fech!F31=0,0,SER_hh_fech!F31/SER_summary!F$26)</f>
        <v>45.593225394758917</v>
      </c>
      <c r="G31" s="133">
        <f>IF(SER_hh_fech!G31=0,0,SER_hh_fech!G31/SER_summary!G$26)</f>
        <v>45.292405348093219</v>
      </c>
      <c r="H31" s="133">
        <f>IF(SER_hh_fech!H31=0,0,SER_hh_fech!H31/SER_summary!H$26)</f>
        <v>45.330083740804788</v>
      </c>
      <c r="I31" s="133">
        <f>IF(SER_hh_fech!I31=0,0,SER_hh_fech!I31/SER_summary!I$26)</f>
        <v>44.314816412319537</v>
      </c>
      <c r="J31" s="133">
        <f>IF(SER_hh_fech!J31=0,0,SER_hh_fech!J31/SER_summary!J$26)</f>
        <v>43.991746041689218</v>
      </c>
      <c r="K31" s="133">
        <f>IF(SER_hh_fech!K31=0,0,SER_hh_fech!K31/SER_summary!K$26)</f>
        <v>44.990599358174229</v>
      </c>
      <c r="L31" s="133">
        <f>IF(SER_hh_fech!L31=0,0,SER_hh_fech!L31/SER_summary!L$26)</f>
        <v>45.521716156582841</v>
      </c>
      <c r="M31" s="133">
        <f>IF(SER_hh_fech!M31=0,0,SER_hh_fech!M31/SER_summary!M$26)</f>
        <v>47.104592803361697</v>
      </c>
      <c r="N31" s="133">
        <f>IF(SER_hh_fech!N31=0,0,SER_hh_fech!N31/SER_summary!N$26)</f>
        <v>48.662638908634669</v>
      </c>
      <c r="O31" s="133">
        <f>IF(SER_hh_fech!O31=0,0,SER_hh_fech!O31/SER_summary!O$26)</f>
        <v>48.776894826948144</v>
      </c>
      <c r="P31" s="133">
        <f>IF(SER_hh_fech!P31=0,0,SER_hh_fech!P31/SER_summary!P$26)</f>
        <v>48.37344520203667</v>
      </c>
      <c r="Q31" s="133">
        <f>IF(SER_hh_fech!Q31=0,0,SER_hh_fech!Q31/SER_summary!Q$26)</f>
        <v>49.5841277171969</v>
      </c>
      <c r="R31" s="133">
        <f>IF(SER_hh_fech!R31=0,0,SER_hh_fech!R31/SER_summary!R$26)</f>
        <v>49.666068195446762</v>
      </c>
      <c r="S31" s="133">
        <f>IF(SER_hh_fech!S31=0,0,SER_hh_fech!S31/SER_summary!S$26)</f>
        <v>49.239599758754302</v>
      </c>
      <c r="T31" s="133">
        <f>IF(SER_hh_fech!T31=0,0,SER_hh_fech!T31/SER_summary!T$26)</f>
        <v>50.313261705446408</v>
      </c>
      <c r="U31" s="133">
        <f>IF(SER_hh_fech!U31=0,0,SER_hh_fech!U31/SER_summary!U$26)</f>
        <v>50.587899060375577</v>
      </c>
      <c r="V31" s="133">
        <f>IF(SER_hh_fech!V31=0,0,SER_hh_fech!V31/SER_summary!V$26)</f>
        <v>46.785816676172807</v>
      </c>
      <c r="W31" s="133">
        <f>IF(SER_hh_fech!W31=0,0,SER_hh_fech!W31/SER_summary!W$26)</f>
        <v>50.938491113778511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36.569651194900302</v>
      </c>
      <c r="C33" s="68">
        <f>IF(SER_hh_fech!C33=0,0,SER_hh_fech!C33/SER_summary!C$26)</f>
        <v>35.218710990631074</v>
      </c>
      <c r="D33" s="68">
        <f>IF(SER_hh_fech!D33=0,0,SER_hh_fech!D33/SER_summary!D$26)</f>
        <v>35.479753231718632</v>
      </c>
      <c r="E33" s="68">
        <f>IF(SER_hh_fech!E33=0,0,SER_hh_fech!E33/SER_summary!E$26)</f>
        <v>35.987121919012978</v>
      </c>
      <c r="F33" s="68">
        <f>IF(SER_hh_fech!F33=0,0,SER_hh_fech!F33/SER_summary!F$26)</f>
        <v>35.813538996017805</v>
      </c>
      <c r="G33" s="68">
        <f>IF(SER_hh_fech!G33=0,0,SER_hh_fech!G33/SER_summary!G$26)</f>
        <v>33.60730375632707</v>
      </c>
      <c r="H33" s="68">
        <f>IF(SER_hh_fech!H33=0,0,SER_hh_fech!H33/SER_summary!H$26)</f>
        <v>34.400383621496999</v>
      </c>
      <c r="I33" s="68">
        <f>IF(SER_hh_fech!I33=0,0,SER_hh_fech!I33/SER_summary!I$26)</f>
        <v>34.611784202927566</v>
      </c>
      <c r="J33" s="68">
        <f>IF(SER_hh_fech!J33=0,0,SER_hh_fech!J33/SER_summary!J$26)</f>
        <v>30.691906057563315</v>
      </c>
      <c r="K33" s="68">
        <f>IF(SER_hh_fech!K33=0,0,SER_hh_fech!K33/SER_summary!K$26)</f>
        <v>37.443169016169279</v>
      </c>
      <c r="L33" s="68">
        <f>IF(SER_hh_fech!L33=0,0,SER_hh_fech!L33/SER_summary!L$26)</f>
        <v>31.098902851098433</v>
      </c>
      <c r="M33" s="68">
        <f>IF(SER_hh_fech!M33=0,0,SER_hh_fech!M33/SER_summary!M$26)</f>
        <v>35.832677665994424</v>
      </c>
      <c r="N33" s="68">
        <f>IF(SER_hh_fech!N33=0,0,SER_hh_fech!N33/SER_summary!N$26)</f>
        <v>39.107931314898622</v>
      </c>
      <c r="O33" s="68">
        <f>IF(SER_hh_fech!O33=0,0,SER_hh_fech!O33/SER_summary!O$26)</f>
        <v>33.781776464404345</v>
      </c>
      <c r="P33" s="68">
        <f>IF(SER_hh_fech!P33=0,0,SER_hh_fech!P33/SER_summary!P$26)</f>
        <v>38.744570638332974</v>
      </c>
      <c r="Q33" s="68">
        <f>IF(SER_hh_fech!Q33=0,0,SER_hh_fech!Q33/SER_summary!Q$26)</f>
        <v>35.846939778595676</v>
      </c>
      <c r="R33" s="68">
        <f>IF(SER_hh_fech!R33=0,0,SER_hh_fech!R33/SER_summary!R$26)</f>
        <v>38.118174497983645</v>
      </c>
      <c r="S33" s="68">
        <f>IF(SER_hh_fech!S33=0,0,SER_hh_fech!S33/SER_summary!S$26)</f>
        <v>38.054870431959529</v>
      </c>
      <c r="T33" s="68">
        <f>IF(SER_hh_fech!T33=0,0,SER_hh_fech!T33/SER_summary!T$26)</f>
        <v>35.630971497918026</v>
      </c>
      <c r="U33" s="68">
        <f>IF(SER_hh_fech!U33=0,0,SER_hh_fech!U33/SER_summary!U$26)</f>
        <v>35.711374799867073</v>
      </c>
      <c r="V33" s="68">
        <f>IF(SER_hh_fech!V33=0,0,SER_hh_fech!V33/SER_summary!V$26)</f>
        <v>35.161799866141543</v>
      </c>
      <c r="W33" s="68">
        <f>IF(SER_hh_fech!W33=0,0,SER_hh_fech!W33/SER_summary!W$26)</f>
        <v>36.452631845825877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184.96654890209345</v>
      </c>
      <c r="C3" s="126">
        <f>IF(SER_hh_tesh!C3=0,0,SER_hh_tesh!C3/SER_summary!C$26)</f>
        <v>187.54483851271746</v>
      </c>
      <c r="D3" s="126">
        <f>IF(SER_hh_tesh!D3=0,0,SER_hh_tesh!D3/SER_summary!D$26)</f>
        <v>191.1686529832815</v>
      </c>
      <c r="E3" s="126">
        <f>IF(SER_hh_tesh!E3=0,0,SER_hh_tesh!E3/SER_summary!E$26)</f>
        <v>205.00527761614401</v>
      </c>
      <c r="F3" s="126">
        <f>IF(SER_hh_tesh!F3=0,0,SER_hh_tesh!F3/SER_summary!F$26)</f>
        <v>199.38332735457274</v>
      </c>
      <c r="G3" s="126">
        <f>IF(SER_hh_tesh!G3=0,0,SER_hh_tesh!G3/SER_summary!G$26)</f>
        <v>212.62447459557754</v>
      </c>
      <c r="H3" s="126">
        <f>IF(SER_hh_tesh!H3=0,0,SER_hh_tesh!H3/SER_summary!H$26)</f>
        <v>225.60904797600332</v>
      </c>
      <c r="I3" s="126">
        <f>IF(SER_hh_tesh!I3=0,0,SER_hh_tesh!I3/SER_summary!I$26)</f>
        <v>220.59779255550774</v>
      </c>
      <c r="J3" s="126">
        <f>IF(SER_hh_tesh!J3=0,0,SER_hh_tesh!J3/SER_summary!J$26)</f>
        <v>233.15591752325093</v>
      </c>
      <c r="K3" s="126">
        <f>IF(SER_hh_tesh!K3=0,0,SER_hh_tesh!K3/SER_summary!K$26)</f>
        <v>220.80491082853314</v>
      </c>
      <c r="L3" s="126">
        <f>IF(SER_hh_tesh!L3=0,0,SER_hh_tesh!L3/SER_summary!L$26)</f>
        <v>226.25453360102952</v>
      </c>
      <c r="M3" s="126">
        <f>IF(SER_hh_tesh!M3=0,0,SER_hh_tesh!M3/SER_summary!M$26)</f>
        <v>226.08586607779506</v>
      </c>
      <c r="N3" s="126">
        <f>IF(SER_hh_tesh!N3=0,0,SER_hh_tesh!N3/SER_summary!N$26)</f>
        <v>229.92508918427134</v>
      </c>
      <c r="O3" s="126">
        <f>IF(SER_hh_tesh!O3=0,0,SER_hh_tesh!O3/SER_summary!O$26)</f>
        <v>233.74914807791231</v>
      </c>
      <c r="P3" s="126">
        <f>IF(SER_hh_tesh!P3=0,0,SER_hh_tesh!P3/SER_summary!P$26)</f>
        <v>216.10563159543457</v>
      </c>
      <c r="Q3" s="126">
        <f>IF(SER_hh_tesh!Q3=0,0,SER_hh_tesh!Q3/SER_summary!Q$26)</f>
        <v>235.70041778896098</v>
      </c>
      <c r="R3" s="126">
        <f>IF(SER_hh_tesh!R3=0,0,SER_hh_tesh!R3/SER_summary!R$26)</f>
        <v>232.11521586888153</v>
      </c>
      <c r="S3" s="126">
        <f>IF(SER_hh_tesh!S3=0,0,SER_hh_tesh!S3/SER_summary!S$26)</f>
        <v>228.16817110670453</v>
      </c>
      <c r="T3" s="126">
        <f>IF(SER_hh_tesh!T3=0,0,SER_hh_tesh!T3/SER_summary!T$26)</f>
        <v>251.69267044586098</v>
      </c>
      <c r="U3" s="126">
        <f>IF(SER_hh_tesh!U3=0,0,SER_hh_tesh!U3/SER_summary!U$26)</f>
        <v>255.21720752911247</v>
      </c>
      <c r="V3" s="126">
        <f>IF(SER_hh_tesh!V3=0,0,SER_hh_tesh!V3/SER_summary!V$26)</f>
        <v>232.39861565878454</v>
      </c>
      <c r="W3" s="126">
        <f>IF(SER_hh_tesh!W3=0,0,SER_hh_tesh!W3/SER_summary!W$26)</f>
        <v>216.97872204812785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127.75590051010755</v>
      </c>
      <c r="C4" s="131">
        <f>IF(SER_hh_tesh!C4=0,0,SER_hh_tesh!C4/SER_summary!C$26)</f>
        <v>129.84861928268444</v>
      </c>
      <c r="D4" s="131">
        <f>IF(SER_hh_tesh!D4=0,0,SER_hh_tesh!D4/SER_summary!D$26)</f>
        <v>133.41226727895938</v>
      </c>
      <c r="E4" s="131">
        <f>IF(SER_hh_tesh!E4=0,0,SER_hh_tesh!E4/SER_summary!E$26)</f>
        <v>147.19278662690451</v>
      </c>
      <c r="F4" s="131">
        <f>IF(SER_hh_tesh!F4=0,0,SER_hh_tesh!F4/SER_summary!F$26)</f>
        <v>141.41203454681053</v>
      </c>
      <c r="G4" s="131">
        <f>IF(SER_hh_tesh!G4=0,0,SER_hh_tesh!G4/SER_summary!G$26)</f>
        <v>154.07537081410879</v>
      </c>
      <c r="H4" s="131">
        <f>IF(SER_hh_tesh!H4=0,0,SER_hh_tesh!H4/SER_summary!H$26)</f>
        <v>166.83856238714111</v>
      </c>
      <c r="I4" s="131">
        <f>IF(SER_hh_tesh!I4=0,0,SER_hh_tesh!I4/SER_summary!I$26)</f>
        <v>162.04830681343796</v>
      </c>
      <c r="J4" s="131">
        <f>IF(SER_hh_tesh!J4=0,0,SER_hh_tesh!J4/SER_summary!J$26)</f>
        <v>173.71554370681952</v>
      </c>
      <c r="K4" s="131">
        <f>IF(SER_hh_tesh!K4=0,0,SER_hh_tesh!K4/SER_summary!K$26)</f>
        <v>160.2153438323401</v>
      </c>
      <c r="L4" s="131">
        <f>IF(SER_hh_tesh!L4=0,0,SER_hh_tesh!L4/SER_summary!L$26)</f>
        <v>163.49163889241592</v>
      </c>
      <c r="M4" s="131">
        <f>IF(SER_hh_tesh!M4=0,0,SER_hh_tesh!M4/SER_summary!M$26)</f>
        <v>161.48891858778657</v>
      </c>
      <c r="N4" s="131">
        <f>IF(SER_hh_tesh!N4=0,0,SER_hh_tesh!N4/SER_summary!N$26)</f>
        <v>164.0601790096633</v>
      </c>
      <c r="O4" s="131">
        <f>IF(SER_hh_tesh!O4=0,0,SER_hh_tesh!O4/SER_summary!O$26)</f>
        <v>167.64822662108475</v>
      </c>
      <c r="P4" s="131">
        <f>IF(SER_hh_tesh!P4=0,0,SER_hh_tesh!P4/SER_summary!P$26)</f>
        <v>149.91101108098903</v>
      </c>
      <c r="Q4" s="131">
        <f>IF(SER_hh_tesh!Q4=0,0,SER_hh_tesh!Q4/SER_summary!Q$26)</f>
        <v>168.61830792528389</v>
      </c>
      <c r="R4" s="131">
        <f>IF(SER_hh_tesh!R4=0,0,SER_hh_tesh!R4/SER_summary!R$26)</f>
        <v>164.95539282290909</v>
      </c>
      <c r="S4" s="131">
        <f>IF(SER_hh_tesh!S4=0,0,SER_hh_tesh!S4/SER_summary!S$26)</f>
        <v>160.12989516579486</v>
      </c>
      <c r="T4" s="131">
        <f>IF(SER_hh_tesh!T4=0,0,SER_hh_tesh!T4/SER_summary!T$26)</f>
        <v>183.33574062315731</v>
      </c>
      <c r="U4" s="131">
        <f>IF(SER_hh_tesh!U4=0,0,SER_hh_tesh!U4/SER_summary!U$26)</f>
        <v>185.96659963792001</v>
      </c>
      <c r="V4" s="131">
        <f>IF(SER_hh_tesh!V4=0,0,SER_hh_tesh!V4/SER_summary!V$26)</f>
        <v>166.23748590054024</v>
      </c>
      <c r="W4" s="131">
        <f>IF(SER_hh_tesh!W4=0,0,SER_hh_tesh!W4/SER_summary!W$26)</f>
        <v>147.78146153302293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65.323682997355874</v>
      </c>
      <c r="C5" s="133">
        <f>IF(SER_hh_tesh!C5=0,0,SER_hh_tesh!C5/SER_summary!C$26)</f>
        <v>74.288404918032313</v>
      </c>
      <c r="D5" s="133">
        <f>IF(SER_hh_tesh!D5=0,0,SER_hh_tesh!D5/SER_summary!D$26)</f>
        <v>38.451618733172644</v>
      </c>
      <c r="E5" s="133">
        <f>IF(SER_hh_tesh!E5=0,0,SER_hh_tesh!E5/SER_summary!E$26)</f>
        <v>212.34259791411927</v>
      </c>
      <c r="F5" s="133">
        <f>IF(SER_hh_tesh!F5=0,0,SER_hh_tesh!F5/SER_summary!F$26)</f>
        <v>182.87329173071763</v>
      </c>
      <c r="G5" s="133">
        <f>IF(SER_hh_tesh!G5=0,0,SER_hh_tesh!G5/SER_summary!G$26)</f>
        <v>182.20456175820249</v>
      </c>
      <c r="H5" s="133">
        <f>IF(SER_hh_tesh!H5=0,0,SER_hh_tesh!H5/SER_summary!H$26)</f>
        <v>185.07882358920696</v>
      </c>
      <c r="I5" s="133">
        <f>IF(SER_hh_tesh!I5=0,0,SER_hh_tesh!I5/SER_summary!I$26)</f>
        <v>193.84544082463023</v>
      </c>
      <c r="J5" s="133">
        <f>IF(SER_hh_tesh!J5=0,0,SER_hh_tesh!J5/SER_summary!J$26)</f>
        <v>233.88031810394406</v>
      </c>
      <c r="K5" s="133">
        <f>IF(SER_hh_tesh!K5=0,0,SER_hh_tesh!K5/SER_summary!K$26)</f>
        <v>9.699968655120685</v>
      </c>
      <c r="L5" s="133">
        <f>IF(SER_hh_tesh!L5=0,0,SER_hh_tesh!L5/SER_summary!L$26)</f>
        <v>47.211051533167883</v>
      </c>
      <c r="M5" s="133">
        <f>IF(SER_hh_tesh!M5=0,0,SER_hh_tesh!M5/SER_summary!M$26)</f>
        <v>232.78587993144245</v>
      </c>
      <c r="N5" s="133">
        <f>IF(SER_hh_tesh!N5=0,0,SER_hh_tesh!N5/SER_summary!N$26)</f>
        <v>125.97006344371043</v>
      </c>
      <c r="O5" s="133">
        <f>IF(SER_hh_tesh!O5=0,0,SER_hh_tesh!O5/SER_summary!O$26)</f>
        <v>158.53832580907388</v>
      </c>
      <c r="P5" s="133">
        <f>IF(SER_hh_tesh!P5=0,0,SER_hh_tesh!P5/SER_summary!P$26)</f>
        <v>110.64182909737409</v>
      </c>
      <c r="Q5" s="133">
        <f>IF(SER_hh_tesh!Q5=0,0,SER_hh_tesh!Q5/SER_summary!Q$26)</f>
        <v>112.67011135623629</v>
      </c>
      <c r="R5" s="133">
        <f>IF(SER_hh_tesh!R5=0,0,SER_hh_tesh!R5/SER_summary!R$26)</f>
        <v>203.00829213665321</v>
      </c>
      <c r="S5" s="133">
        <f>IF(SER_hh_tesh!S5=0,0,SER_hh_tesh!S5/SER_summary!S$26)</f>
        <v>170.76072378876617</v>
      </c>
      <c r="T5" s="133">
        <f>IF(SER_hh_tesh!T5=0,0,SER_hh_tesh!T5/SER_summary!T$26)</f>
        <v>194.37823072780463</v>
      </c>
      <c r="U5" s="133">
        <f>IF(SER_hh_tesh!U5=0,0,SER_hh_tesh!U5/SER_summary!U$26)</f>
        <v>199.75776628126829</v>
      </c>
      <c r="V5" s="133">
        <f>IF(SER_hh_tesh!V5=0,0,SER_hh_tesh!V5/SER_summary!V$26)</f>
        <v>121.00118408986854</v>
      </c>
      <c r="W5" s="133">
        <f>IF(SER_hh_tesh!W5=0,0,SER_hh_tesh!W5/SER_summary!W$26)</f>
        <v>156.15802621358387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130.51630240832034</v>
      </c>
      <c r="C7" s="133">
        <f>IF(SER_hh_tesh!C7=0,0,SER_hh_tesh!C7/SER_summary!C$26)</f>
        <v>128.05560777541828</v>
      </c>
      <c r="D7" s="133">
        <f>IF(SER_hh_tesh!D7=0,0,SER_hh_tesh!D7/SER_summary!D$26)</f>
        <v>133.46485421888485</v>
      </c>
      <c r="E7" s="133">
        <f>IF(SER_hh_tesh!E7=0,0,SER_hh_tesh!E7/SER_summary!E$26)</f>
        <v>139.8698140134463</v>
      </c>
      <c r="F7" s="133">
        <f>IF(SER_hh_tesh!F7=0,0,SER_hh_tesh!F7/SER_summary!F$26)</f>
        <v>137.19879081473485</v>
      </c>
      <c r="G7" s="133">
        <f>IF(SER_hh_tesh!G7=0,0,SER_hh_tesh!G7/SER_summary!G$26)</f>
        <v>155.85036366887428</v>
      </c>
      <c r="H7" s="133">
        <f>IF(SER_hh_tesh!H7=0,0,SER_hh_tesh!H7/SER_summary!H$26)</f>
        <v>157.09416673860471</v>
      </c>
      <c r="I7" s="133">
        <f>IF(SER_hh_tesh!I7=0,0,SER_hh_tesh!I7/SER_summary!I$26)</f>
        <v>154.57072777012783</v>
      </c>
      <c r="J7" s="133">
        <f>IF(SER_hh_tesh!J7=0,0,SER_hh_tesh!J7/SER_summary!J$26)</f>
        <v>173.88861713534328</v>
      </c>
      <c r="K7" s="133">
        <f>IF(SER_hh_tesh!K7=0,0,SER_hh_tesh!K7/SER_summary!K$26)</f>
        <v>151.09790896218115</v>
      </c>
      <c r="L7" s="133">
        <f>IF(SER_hh_tesh!L7=0,0,SER_hh_tesh!L7/SER_summary!L$26)</f>
        <v>161.43847173174154</v>
      </c>
      <c r="M7" s="133">
        <f>IF(SER_hh_tesh!M7=0,0,SER_hh_tesh!M7/SER_summary!M$26)</f>
        <v>148.83504695637305</v>
      </c>
      <c r="N7" s="133">
        <f>IF(SER_hh_tesh!N7=0,0,SER_hh_tesh!N7/SER_summary!N$26)</f>
        <v>143.66888496992485</v>
      </c>
      <c r="O7" s="133">
        <f>IF(SER_hh_tesh!O7=0,0,SER_hh_tesh!O7/SER_summary!O$26)</f>
        <v>175.49197100834772</v>
      </c>
      <c r="P7" s="133">
        <f>IF(SER_hh_tesh!P7=0,0,SER_hh_tesh!P7/SER_summary!P$26)</f>
        <v>156.54723336214448</v>
      </c>
      <c r="Q7" s="133">
        <f>IF(SER_hh_tesh!Q7=0,0,SER_hh_tesh!Q7/SER_summary!Q$26)</f>
        <v>168.00150759413725</v>
      </c>
      <c r="R7" s="133">
        <f>IF(SER_hh_tesh!R7=0,0,SER_hh_tesh!R7/SER_summary!R$26)</f>
        <v>164.13173036607213</v>
      </c>
      <c r="S7" s="133">
        <f>IF(SER_hh_tesh!S7=0,0,SER_hh_tesh!S7/SER_summary!S$26)</f>
        <v>157.37787877168591</v>
      </c>
      <c r="T7" s="133">
        <f>IF(SER_hh_tesh!T7=0,0,SER_hh_tesh!T7/SER_summary!T$26)</f>
        <v>183.07587077788861</v>
      </c>
      <c r="U7" s="133">
        <f>IF(SER_hh_tesh!U7=0,0,SER_hh_tesh!U7/SER_summary!U$26)</f>
        <v>174.37167043980079</v>
      </c>
      <c r="V7" s="133">
        <f>IF(SER_hh_tesh!V7=0,0,SER_hh_tesh!V7/SER_summary!V$26)</f>
        <v>160.22872202917415</v>
      </c>
      <c r="W7" s="133">
        <f>IF(SER_hh_tesh!W7=0,0,SER_hh_tesh!W7/SER_summary!W$26)</f>
        <v>161.13321541118819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128.35591171389498</v>
      </c>
      <c r="C9" s="133">
        <f>IF(SER_hh_tesh!C9=0,0,SER_hh_tesh!C9/SER_summary!C$26)</f>
        <v>130.74664429486904</v>
      </c>
      <c r="D9" s="133">
        <f>IF(SER_hh_tesh!D9=0,0,SER_hh_tesh!D9/SER_summary!D$26)</f>
        <v>128.89621014217693</v>
      </c>
      <c r="E9" s="133">
        <f>IF(SER_hh_tesh!E9=0,0,SER_hh_tesh!E9/SER_summary!E$26)</f>
        <v>138.37929114505746</v>
      </c>
      <c r="F9" s="133">
        <f>IF(SER_hh_tesh!F9=0,0,SER_hh_tesh!F9/SER_summary!F$26)</f>
        <v>140.55960477673082</v>
      </c>
      <c r="G9" s="133">
        <f>IF(SER_hh_tesh!G9=0,0,SER_hh_tesh!G9/SER_summary!G$26)</f>
        <v>143.26936056389431</v>
      </c>
      <c r="H9" s="133">
        <f>IF(SER_hh_tesh!H9=0,0,SER_hh_tesh!H9/SER_summary!H$26)</f>
        <v>159.72763490257316</v>
      </c>
      <c r="I9" s="133">
        <f>IF(SER_hh_tesh!I9=0,0,SER_hh_tesh!I9/SER_summary!I$26)</f>
        <v>162.41788422065105</v>
      </c>
      <c r="J9" s="133">
        <f>IF(SER_hh_tesh!J9=0,0,SER_hh_tesh!J9/SER_summary!J$26)</f>
        <v>168.39708359014608</v>
      </c>
      <c r="K9" s="133">
        <f>IF(SER_hh_tesh!K9=0,0,SER_hh_tesh!K9/SER_summary!K$26)</f>
        <v>152.80202738070619</v>
      </c>
      <c r="L9" s="133">
        <f>IF(SER_hh_tesh!L9=0,0,SER_hh_tesh!L9/SER_summary!L$26)</f>
        <v>161.33267362017853</v>
      </c>
      <c r="M9" s="133">
        <f>IF(SER_hh_tesh!M9=0,0,SER_hh_tesh!M9/SER_summary!M$26)</f>
        <v>158.18294412195746</v>
      </c>
      <c r="N9" s="133">
        <f>IF(SER_hh_tesh!N9=0,0,SER_hh_tesh!N9/SER_summary!N$26)</f>
        <v>169.41220942773262</v>
      </c>
      <c r="O9" s="133">
        <f>IF(SER_hh_tesh!O9=0,0,SER_hh_tesh!O9/SER_summary!O$26)</f>
        <v>161.77075437625905</v>
      </c>
      <c r="P9" s="133">
        <f>IF(SER_hh_tesh!P9=0,0,SER_hh_tesh!P9/SER_summary!P$26)</f>
        <v>148.35293656811751</v>
      </c>
      <c r="Q9" s="133">
        <f>IF(SER_hh_tesh!Q9=0,0,SER_hh_tesh!Q9/SER_summary!Q$26)</f>
        <v>162.78566953144332</v>
      </c>
      <c r="R9" s="133">
        <f>IF(SER_hh_tesh!R9=0,0,SER_hh_tesh!R9/SER_summary!R$26)</f>
        <v>161.61136099793367</v>
      </c>
      <c r="S9" s="133">
        <f>IF(SER_hh_tesh!S9=0,0,SER_hh_tesh!S9/SER_summary!S$26)</f>
        <v>160.14071987791323</v>
      </c>
      <c r="T9" s="133">
        <f>IF(SER_hh_tesh!T9=0,0,SER_hh_tesh!T9/SER_summary!T$26)</f>
        <v>177.05984030119495</v>
      </c>
      <c r="U9" s="133">
        <f>IF(SER_hh_tesh!U9=0,0,SER_hh_tesh!U9/SER_summary!U$26)</f>
        <v>172.38604320122701</v>
      </c>
      <c r="V9" s="133">
        <f>IF(SER_hh_tesh!V9=0,0,SER_hh_tesh!V9/SER_summary!V$26)</f>
        <v>175.25346978180235</v>
      </c>
      <c r="W9" s="133">
        <f>IF(SER_hh_tesh!W9=0,0,SER_hh_tesh!W9/SER_summary!W$26)</f>
        <v>131.10743610782765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29.369239028290632</v>
      </c>
      <c r="H10" s="133">
        <f>IF(SER_hh_tesh!H10=0,0,SER_hh_tesh!H10/SER_summary!H$26)</f>
        <v>78.484521612879277</v>
      </c>
      <c r="I10" s="133">
        <f>IF(SER_hh_tesh!I10=0,0,SER_hh_tesh!I10/SER_summary!I$26)</f>
        <v>149.94483763481151</v>
      </c>
      <c r="J10" s="133">
        <f>IF(SER_hh_tesh!J10=0,0,SER_hh_tesh!J10/SER_summary!J$26)</f>
        <v>187.5089855031863</v>
      </c>
      <c r="K10" s="133">
        <f>IF(SER_hh_tesh!K10=0,0,SER_hh_tesh!K10/SER_summary!K$26)</f>
        <v>186.20034186633413</v>
      </c>
      <c r="L10" s="133">
        <f>IF(SER_hh_tesh!L10=0,0,SER_hh_tesh!L10/SER_summary!L$26)</f>
        <v>139.48709440842794</v>
      </c>
      <c r="M10" s="133">
        <f>IF(SER_hh_tesh!M10=0,0,SER_hh_tesh!M10/SER_summary!M$26)</f>
        <v>154.33337293607559</v>
      </c>
      <c r="N10" s="133">
        <f>IF(SER_hh_tesh!N10=0,0,SER_hh_tesh!N10/SER_summary!N$26)</f>
        <v>155.40826558141137</v>
      </c>
      <c r="O10" s="133">
        <f>IF(SER_hh_tesh!O10=0,0,SER_hh_tesh!O10/SER_summary!O$26)</f>
        <v>187.88995081244917</v>
      </c>
      <c r="P10" s="133">
        <f>IF(SER_hh_tesh!P10=0,0,SER_hh_tesh!P10/SER_summary!P$26)</f>
        <v>203.29722388539562</v>
      </c>
      <c r="Q10" s="133">
        <f>IF(SER_hh_tesh!Q10=0,0,SER_hh_tesh!Q10/SER_summary!Q$26)</f>
        <v>122.53474537522879</v>
      </c>
      <c r="R10" s="133">
        <f>IF(SER_hh_tesh!R10=0,0,SER_hh_tesh!R10/SER_summary!R$26)</f>
        <v>184.33561348826598</v>
      </c>
      <c r="S10" s="133">
        <f>IF(SER_hh_tesh!S10=0,0,SER_hh_tesh!S10/SER_summary!S$26)</f>
        <v>174.4366650977955</v>
      </c>
      <c r="T10" s="133">
        <f>IF(SER_hh_tesh!T10=0,0,SER_hh_tesh!T10/SER_summary!T$26)</f>
        <v>169.64145557859075</v>
      </c>
      <c r="U10" s="133">
        <f>IF(SER_hh_tesh!U10=0,0,SER_hh_tesh!U10/SER_summary!U$26)</f>
        <v>145.94924046825125</v>
      </c>
      <c r="V10" s="133">
        <f>IF(SER_hh_tesh!V10=0,0,SER_hh_tesh!V10/SER_summary!V$26)</f>
        <v>169.72017140770444</v>
      </c>
      <c r="W10" s="133">
        <f>IF(SER_hh_tesh!W10=0,0,SER_hh_tesh!W10/SER_summary!W$26)</f>
        <v>209.66075678571821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85.342381271739924</v>
      </c>
      <c r="C13" s="133">
        <f>IF(SER_hh_tesh!C13=0,0,SER_hh_tesh!C13/SER_summary!C$26)</f>
        <v>68.686659821258189</v>
      </c>
      <c r="D13" s="133">
        <f>IF(SER_hh_tesh!D13=0,0,SER_hh_tesh!D13/SER_summary!D$26)</f>
        <v>20.388187930511883</v>
      </c>
      <c r="E13" s="133">
        <f>IF(SER_hh_tesh!E13=0,0,SER_hh_tesh!E13/SER_summary!E$26)</f>
        <v>105.27656997933695</v>
      </c>
      <c r="F13" s="133">
        <f>IF(SER_hh_tesh!F13=0,0,SER_hh_tesh!F13/SER_summary!F$26)</f>
        <v>83.919843925004116</v>
      </c>
      <c r="G13" s="133">
        <f>IF(SER_hh_tesh!G13=0,0,SER_hh_tesh!G13/SER_summary!G$26)</f>
        <v>131.2465931053012</v>
      </c>
      <c r="H13" s="133">
        <f>IF(SER_hh_tesh!H13=0,0,SER_hh_tesh!H13/SER_summary!H$26)</f>
        <v>154.17184862143836</v>
      </c>
      <c r="I13" s="133">
        <f>IF(SER_hh_tesh!I13=0,0,SER_hh_tesh!I13/SER_summary!I$26)</f>
        <v>163.64050325320125</v>
      </c>
      <c r="J13" s="133">
        <f>IF(SER_hh_tesh!J13=0,0,SER_hh_tesh!J13/SER_summary!J$26)</f>
        <v>184.08093637296972</v>
      </c>
      <c r="K13" s="133">
        <f>IF(SER_hh_tesh!K13=0,0,SER_hh_tesh!K13/SER_summary!K$26)</f>
        <v>167.63941998909661</v>
      </c>
      <c r="L13" s="133">
        <f>IF(SER_hh_tesh!L13=0,0,SER_hh_tesh!L13/SER_summary!L$26)</f>
        <v>158.46888975545835</v>
      </c>
      <c r="M13" s="133">
        <f>IF(SER_hh_tesh!M13=0,0,SER_hh_tesh!M13/SER_summary!M$26)</f>
        <v>164.58264449635973</v>
      </c>
      <c r="N13" s="133">
        <f>IF(SER_hh_tesh!N13=0,0,SER_hh_tesh!N13/SER_summary!N$26)</f>
        <v>162.37295356437235</v>
      </c>
      <c r="O13" s="133">
        <f>IF(SER_hh_tesh!O13=0,0,SER_hh_tesh!O13/SER_summary!O$26)</f>
        <v>158.75365059795436</v>
      </c>
      <c r="P13" s="133">
        <f>IF(SER_hh_tesh!P13=0,0,SER_hh_tesh!P13/SER_summary!P$26)</f>
        <v>154.15746890989448</v>
      </c>
      <c r="Q13" s="133">
        <f>IF(SER_hh_tesh!Q13=0,0,SER_hh_tesh!Q13/SER_summary!Q$26)</f>
        <v>158.82062111008517</v>
      </c>
      <c r="R13" s="133">
        <f>IF(SER_hh_tesh!R13=0,0,SER_hh_tesh!R13/SER_summary!R$26)</f>
        <v>164.54153117231644</v>
      </c>
      <c r="S13" s="133">
        <f>IF(SER_hh_tesh!S13=0,0,SER_hh_tesh!S13/SER_summary!S$26)</f>
        <v>175.70705549080876</v>
      </c>
      <c r="T13" s="133">
        <f>IF(SER_hh_tesh!T13=0,0,SER_hh_tesh!T13/SER_summary!T$26)</f>
        <v>170.25178779802545</v>
      </c>
      <c r="U13" s="133">
        <f>IF(SER_hh_tesh!U13=0,0,SER_hh_tesh!U13/SER_summary!U$26)</f>
        <v>172.3115099762469</v>
      </c>
      <c r="V13" s="133">
        <f>IF(SER_hh_tesh!V13=0,0,SER_hh_tesh!V13/SER_summary!V$26)</f>
        <v>167.14549453430439</v>
      </c>
      <c r="W13" s="133">
        <f>IF(SER_hh_tesh!W13=0,0,SER_hh_tesh!W13/SER_summary!W$26)</f>
        <v>155.71409037365382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119.7630870623051</v>
      </c>
      <c r="C14" s="65">
        <f>IF(SER_hh_tesh!C14=0,0,SER_hh_tesh!C14/SER_summary!C$26)</f>
        <v>127.59180971171833</v>
      </c>
      <c r="D14" s="65">
        <f>IF(SER_hh_tesh!D14=0,0,SER_hh_tesh!D14/SER_summary!D$26)</f>
        <v>136.63898294327592</v>
      </c>
      <c r="E14" s="65">
        <f>IF(SER_hh_tesh!E14=0,0,SER_hh_tesh!E14/SER_summary!E$26)</f>
        <v>150.62821495235968</v>
      </c>
      <c r="F14" s="65">
        <f>IF(SER_hh_tesh!F14=0,0,SER_hh_tesh!F14/SER_summary!F$26)</f>
        <v>138.84955678817082</v>
      </c>
      <c r="G14" s="65">
        <f>IF(SER_hh_tesh!G14=0,0,SER_hh_tesh!G14/SER_summary!G$26)</f>
        <v>155.53330626715905</v>
      </c>
      <c r="H14" s="65">
        <f>IF(SER_hh_tesh!H14=0,0,SER_hh_tesh!H14/SER_summary!H$26)</f>
        <v>171.1400416960758</v>
      </c>
      <c r="I14" s="65">
        <f>IF(SER_hh_tesh!I14=0,0,SER_hh_tesh!I14/SER_summary!I$26)</f>
        <v>160.39548738587348</v>
      </c>
      <c r="J14" s="65">
        <f>IF(SER_hh_tesh!J14=0,0,SER_hh_tesh!J14/SER_summary!J$26)</f>
        <v>171.53367352008246</v>
      </c>
      <c r="K14" s="65">
        <f>IF(SER_hh_tesh!K14=0,0,SER_hh_tesh!K14/SER_summary!K$26)</f>
        <v>166.01694844526853</v>
      </c>
      <c r="L14" s="65">
        <f>IF(SER_hh_tesh!L14=0,0,SER_hh_tesh!L14/SER_summary!L$26)</f>
        <v>164.45612128944683</v>
      </c>
      <c r="M14" s="65">
        <f>IF(SER_hh_tesh!M14=0,0,SER_hh_tesh!M14/SER_summary!M$26)</f>
        <v>164.13732872843926</v>
      </c>
      <c r="N14" s="65">
        <f>IF(SER_hh_tesh!N14=0,0,SER_hh_tesh!N14/SER_summary!N$26)</f>
        <v>163.17974625235811</v>
      </c>
      <c r="O14" s="65">
        <f>IF(SER_hh_tesh!O14=0,0,SER_hh_tesh!O14/SER_summary!O$26)</f>
        <v>166.3468162398012</v>
      </c>
      <c r="P14" s="65">
        <f>IF(SER_hh_tesh!P14=0,0,SER_hh_tesh!P14/SER_summary!P$26)</f>
        <v>143.60279439967732</v>
      </c>
      <c r="Q14" s="65">
        <f>IF(SER_hh_tesh!Q14=0,0,SER_hh_tesh!Q14/SER_summary!Q$26)</f>
        <v>172.97717547076374</v>
      </c>
      <c r="R14" s="65">
        <f>IF(SER_hh_tesh!R14=0,0,SER_hh_tesh!R14/SER_summary!R$26)</f>
        <v>164.08162564626465</v>
      </c>
      <c r="S14" s="65">
        <f>IF(SER_hh_tesh!S14=0,0,SER_hh_tesh!S14/SER_summary!S$26)</f>
        <v>156.48293535153664</v>
      </c>
      <c r="T14" s="65">
        <f>IF(SER_hh_tesh!T14=0,0,SER_hh_tesh!T14/SER_summary!T$26)</f>
        <v>186.61525349632345</v>
      </c>
      <c r="U14" s="65">
        <f>IF(SER_hh_tesh!U14=0,0,SER_hh_tesh!U14/SER_summary!U$26)</f>
        <v>199.43652978525299</v>
      </c>
      <c r="V14" s="65">
        <f>IF(SER_hh_tesh!V14=0,0,SER_hh_tesh!V14/SER_summary!V$26)</f>
        <v>156.78363644671575</v>
      </c>
      <c r="W14" s="65">
        <f>IF(SER_hh_tesh!W14=0,0,SER_hh_tesh!W14/SER_summary!W$26)</f>
        <v>154.45549044154143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2.5594056873571978</v>
      </c>
      <c r="C15" s="135">
        <f>IF(SER_hh_tesh!C15=0,0,SER_hh_tesh!C15/SER_summary!C$26)</f>
        <v>2.5033569572815786</v>
      </c>
      <c r="D15" s="135">
        <f>IF(SER_hh_tesh!D15=0,0,SER_hh_tesh!D15/SER_summary!D$26)</f>
        <v>2.4644829073417713</v>
      </c>
      <c r="E15" s="135">
        <f>IF(SER_hh_tesh!E15=0,0,SER_hh_tesh!E15/SER_summary!E$26)</f>
        <v>2.5901060234042195</v>
      </c>
      <c r="F15" s="135">
        <f>IF(SER_hh_tesh!F15=0,0,SER_hh_tesh!F15/SER_summary!F$26)</f>
        <v>2.5226977035995652</v>
      </c>
      <c r="G15" s="135">
        <f>IF(SER_hh_tesh!G15=0,0,SER_hh_tesh!G15/SER_summary!G$26)</f>
        <v>2.6396776611447721</v>
      </c>
      <c r="H15" s="135">
        <f>IF(SER_hh_tesh!H15=0,0,SER_hh_tesh!H15/SER_summary!H$26)</f>
        <v>2.7635010100220092</v>
      </c>
      <c r="I15" s="135">
        <f>IF(SER_hh_tesh!I15=0,0,SER_hh_tesh!I15/SER_summary!I$26)</f>
        <v>2.7402827235345608</v>
      </c>
      <c r="J15" s="135">
        <f>IF(SER_hh_tesh!J15=0,0,SER_hh_tesh!J15/SER_summary!J$26)</f>
        <v>2.8981009796797537</v>
      </c>
      <c r="K15" s="135">
        <f>IF(SER_hh_tesh!K15=0,0,SER_hh_tesh!K15/SER_summary!K$26)</f>
        <v>2.5400038529137321</v>
      </c>
      <c r="L15" s="135">
        <f>IF(SER_hh_tesh!L15=0,0,SER_hh_tesh!L15/SER_summary!L$26)</f>
        <v>2.6801106355172868</v>
      </c>
      <c r="M15" s="135">
        <f>IF(SER_hh_tesh!M15=0,0,SER_hh_tesh!M15/SER_summary!M$26)</f>
        <v>2.5774258941035457</v>
      </c>
      <c r="N15" s="135">
        <f>IF(SER_hh_tesh!N15=0,0,SER_hh_tesh!N15/SER_summary!N$26)</f>
        <v>2.6585446526585605</v>
      </c>
      <c r="O15" s="135">
        <f>IF(SER_hh_tesh!O15=0,0,SER_hh_tesh!O15/SER_summary!O$26)</f>
        <v>2.6919918726830061</v>
      </c>
      <c r="P15" s="135">
        <f>IF(SER_hh_tesh!P15=0,0,SER_hh_tesh!P15/SER_summary!P$26)</f>
        <v>2.4397587889268584</v>
      </c>
      <c r="Q15" s="135">
        <f>IF(SER_hh_tesh!Q15=0,0,SER_hh_tesh!Q15/SER_summary!Q$26)</f>
        <v>2.6112867896481533</v>
      </c>
      <c r="R15" s="135">
        <f>IF(SER_hh_tesh!R15=0,0,SER_hh_tesh!R15/SER_summary!R$26)</f>
        <v>2.5823353637529003</v>
      </c>
      <c r="S15" s="135">
        <f>IF(SER_hh_tesh!S15=0,0,SER_hh_tesh!S15/SER_summary!S$26)</f>
        <v>2.5234784647328317</v>
      </c>
      <c r="T15" s="135">
        <f>IF(SER_hh_tesh!T15=0,0,SER_hh_tesh!T15/SER_summary!T$26)</f>
        <v>2.8142602176664524</v>
      </c>
      <c r="U15" s="135">
        <f>IF(SER_hh_tesh!U15=0,0,SER_hh_tesh!U15/SER_summary!U$26)</f>
        <v>2.7116437814102956</v>
      </c>
      <c r="V15" s="135">
        <f>IF(SER_hh_tesh!V15=0,0,SER_hh_tesh!V15/SER_summary!V$26)</f>
        <v>2.7000887588478921</v>
      </c>
      <c r="W15" s="135">
        <f>IF(SER_hh_tesh!W15=0,0,SER_hh_tesh!W15/SER_summary!W$26)</f>
        <v>2.1712388105570302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27.600814368666676</v>
      </c>
      <c r="C16" s="131">
        <f>IF(SER_hh_tesh!C16=0,0,SER_hh_tesh!C16/SER_summary!C$26)</f>
        <v>27.482390167228484</v>
      </c>
      <c r="D16" s="131">
        <f>IF(SER_hh_tesh!D16=0,0,SER_hh_tesh!D16/SER_summary!D$26)</f>
        <v>27.92973697974395</v>
      </c>
      <c r="E16" s="131">
        <f>IF(SER_hh_tesh!E16=0,0,SER_hh_tesh!E16/SER_summary!E$26)</f>
        <v>27.955687355204791</v>
      </c>
      <c r="F16" s="131">
        <f>IF(SER_hh_tesh!F16=0,0,SER_hh_tesh!F16/SER_summary!F$26)</f>
        <v>27.886444482300565</v>
      </c>
      <c r="G16" s="131">
        <f>IF(SER_hh_tesh!G16=0,0,SER_hh_tesh!G16/SER_summary!G$26)</f>
        <v>27.475870414228996</v>
      </c>
      <c r="H16" s="131">
        <f>IF(SER_hh_tesh!H16=0,0,SER_hh_tesh!H16/SER_summary!H$26)</f>
        <v>27.908322696438237</v>
      </c>
      <c r="I16" s="131">
        <f>IF(SER_hh_tesh!I16=0,0,SER_hh_tesh!I16/SER_summary!I$26)</f>
        <v>28.340023089547895</v>
      </c>
      <c r="J16" s="131">
        <f>IF(SER_hh_tesh!J16=0,0,SER_hh_tesh!J16/SER_summary!J$26)</f>
        <v>27.824913021072661</v>
      </c>
      <c r="K16" s="131">
        <f>IF(SER_hh_tesh!K16=0,0,SER_hh_tesh!K16/SER_summary!K$26)</f>
        <v>27.757991913750242</v>
      </c>
      <c r="L16" s="131">
        <f>IF(SER_hh_tesh!L16=0,0,SER_hh_tesh!L16/SER_summary!L$26)</f>
        <v>28.072271615666235</v>
      </c>
      <c r="M16" s="131">
        <f>IF(SER_hh_tesh!M16=0,0,SER_hh_tesh!M16/SER_summary!M$26)</f>
        <v>27.963172357529814</v>
      </c>
      <c r="N16" s="131">
        <f>IF(SER_hh_tesh!N16=0,0,SER_hh_tesh!N16/SER_summary!N$26)</f>
        <v>28.526725547579638</v>
      </c>
      <c r="O16" s="131">
        <f>IF(SER_hh_tesh!O16=0,0,SER_hh_tesh!O16/SER_summary!O$26)</f>
        <v>28.203546015349726</v>
      </c>
      <c r="P16" s="131">
        <f>IF(SER_hh_tesh!P16=0,0,SER_hh_tesh!P16/SER_summary!P$26)</f>
        <v>28.736652769117637</v>
      </c>
      <c r="Q16" s="131">
        <f>IF(SER_hh_tesh!Q16=0,0,SER_hh_tesh!Q16/SER_summary!Q$26)</f>
        <v>28.700520366996038</v>
      </c>
      <c r="R16" s="131">
        <f>IF(SER_hh_tesh!R16=0,0,SER_hh_tesh!R16/SER_summary!R$26)</f>
        <v>28.790203080519586</v>
      </c>
      <c r="S16" s="131">
        <f>IF(SER_hh_tesh!S16=0,0,SER_hh_tesh!S16/SER_summary!S$26)</f>
        <v>28.726493931405116</v>
      </c>
      <c r="T16" s="131">
        <f>IF(SER_hh_tesh!T16=0,0,SER_hh_tesh!T16/SER_summary!T$26)</f>
        <v>28.704466842021553</v>
      </c>
      <c r="U16" s="131">
        <f>IF(SER_hh_tesh!U16=0,0,SER_hh_tesh!U16/SER_summary!U$26)</f>
        <v>28.95884770090171</v>
      </c>
      <c r="V16" s="131">
        <f>IF(SER_hh_tesh!V16=0,0,SER_hh_tesh!V16/SER_summary!V$26)</f>
        <v>28.948426980642726</v>
      </c>
      <c r="W16" s="131">
        <f>IF(SER_hh_tesh!W16=0,0,SER_hh_tesh!W16/SER_summary!W$26)</f>
        <v>28.685853128619922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27.600814368666686</v>
      </c>
      <c r="C17" s="133">
        <f>IF(SER_hh_tesh!C17=0,0,SER_hh_tesh!C17/SER_summary!C$26)</f>
        <v>27.482118763102022</v>
      </c>
      <c r="D17" s="133">
        <f>IF(SER_hh_tesh!D17=0,0,SER_hh_tesh!D17/SER_summary!D$26)</f>
        <v>27.929749388131967</v>
      </c>
      <c r="E17" s="133">
        <f>IF(SER_hh_tesh!E17=0,0,SER_hh_tesh!E17/SER_summary!E$26)</f>
        <v>27.955798566746367</v>
      </c>
      <c r="F17" s="133">
        <f>IF(SER_hh_tesh!F17=0,0,SER_hh_tesh!F17/SER_summary!F$26)</f>
        <v>27.886562235206579</v>
      </c>
      <c r="G17" s="133">
        <f>IF(SER_hh_tesh!G17=0,0,SER_hh_tesh!G17/SER_summary!G$26)</f>
        <v>27.475941664767966</v>
      </c>
      <c r="H17" s="133">
        <f>IF(SER_hh_tesh!H17=0,0,SER_hh_tesh!H17/SER_summary!H$26)</f>
        <v>27.90834225437877</v>
      </c>
      <c r="I17" s="133">
        <f>IF(SER_hh_tesh!I17=0,0,SER_hh_tesh!I17/SER_summary!I$26)</f>
        <v>27.85692661504093</v>
      </c>
      <c r="J17" s="133">
        <f>IF(SER_hh_tesh!J17=0,0,SER_hh_tesh!J17/SER_summary!J$26)</f>
        <v>27.82486612924605</v>
      </c>
      <c r="K17" s="133">
        <f>IF(SER_hh_tesh!K17=0,0,SER_hh_tesh!K17/SER_summary!K$26)</f>
        <v>27.757922630216807</v>
      </c>
      <c r="L17" s="133">
        <f>IF(SER_hh_tesh!L17=0,0,SER_hh_tesh!L17/SER_summary!L$26)</f>
        <v>28.072178897985758</v>
      </c>
      <c r="M17" s="133">
        <f>IF(SER_hh_tesh!M17=0,0,SER_hh_tesh!M17/SER_summary!M$26)</f>
        <v>27.963064699846136</v>
      </c>
      <c r="N17" s="133">
        <f>IF(SER_hh_tesh!N17=0,0,SER_hh_tesh!N17/SER_summary!N$26)</f>
        <v>28.526829462457485</v>
      </c>
      <c r="O17" s="133">
        <f>IF(SER_hh_tesh!O17=0,0,SER_hh_tesh!O17/SER_summary!O$26)</f>
        <v>28.203743601796813</v>
      </c>
      <c r="P17" s="133">
        <f>IF(SER_hh_tesh!P17=0,0,SER_hh_tesh!P17/SER_summary!P$26)</f>
        <v>28.736845559988357</v>
      </c>
      <c r="Q17" s="133">
        <f>IF(SER_hh_tesh!Q17=0,0,SER_hh_tesh!Q17/SER_summary!Q$26)</f>
        <v>28.700626891206923</v>
      </c>
      <c r="R17" s="133">
        <f>IF(SER_hh_tesh!R17=0,0,SER_hh_tesh!R17/SER_summary!R$26)</f>
        <v>28.790187040287798</v>
      </c>
      <c r="S17" s="133">
        <f>IF(SER_hh_tesh!S17=0,0,SER_hh_tesh!S17/SER_summary!S$26)</f>
        <v>28.726371234192541</v>
      </c>
      <c r="T17" s="133">
        <f>IF(SER_hh_tesh!T17=0,0,SER_hh_tesh!T17/SER_summary!T$26)</f>
        <v>28.704282569907846</v>
      </c>
      <c r="U17" s="133">
        <f>IF(SER_hh_tesh!U17=0,0,SER_hh_tesh!U17/SER_summary!U$26)</f>
        <v>28.958656840048107</v>
      </c>
      <c r="V17" s="133">
        <f>IF(SER_hh_tesh!V17=0,0,SER_hh_tesh!V17/SER_summary!V$26)</f>
        <v>26.123114720128079</v>
      </c>
      <c r="W17" s="133">
        <f>IF(SER_hh_tesh!W17=0,0,SER_hh_tesh!W17/SER_summary!W$26)</f>
        <v>24.371724644108255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27.600814368666679</v>
      </c>
      <c r="C18" s="133">
        <f>IF(SER_hh_tesh!C18=0,0,SER_hh_tesh!C18/SER_summary!C$26)</f>
        <v>27.482390980806834</v>
      </c>
      <c r="D18" s="133">
        <f>IF(SER_hh_tesh!D18=0,0,SER_hh_tesh!D18/SER_summary!D$26)</f>
        <v>27.929736941392804</v>
      </c>
      <c r="E18" s="133">
        <f>IF(SER_hh_tesh!E18=0,0,SER_hh_tesh!E18/SER_summary!E$26)</f>
        <v>27.955687040646922</v>
      </c>
      <c r="F18" s="133">
        <f>IF(SER_hh_tesh!F18=0,0,SER_hh_tesh!F18/SER_summary!F$26)</f>
        <v>27.886444107892508</v>
      </c>
      <c r="G18" s="133">
        <f>IF(SER_hh_tesh!G18=0,0,SER_hh_tesh!G18/SER_summary!G$26)</f>
        <v>27.475870179474146</v>
      </c>
      <c r="H18" s="133">
        <f>IF(SER_hh_tesh!H18=0,0,SER_hh_tesh!H18/SER_summary!H$26)</f>
        <v>27.908322623920849</v>
      </c>
      <c r="I18" s="133">
        <f>IF(SER_hh_tesh!I18=0,0,SER_hh_tesh!I18/SER_summary!I$26)</f>
        <v>28.341810637999568</v>
      </c>
      <c r="J18" s="133">
        <f>IF(SER_hh_tesh!J18=0,0,SER_hh_tesh!J18/SER_summary!J$26)</f>
        <v>27.824913187703725</v>
      </c>
      <c r="K18" s="133">
        <f>IF(SER_hh_tesh!K18=0,0,SER_hh_tesh!K18/SER_summary!K$26)</f>
        <v>27.75799217954069</v>
      </c>
      <c r="L18" s="133">
        <f>IF(SER_hh_tesh!L18=0,0,SER_hh_tesh!L18/SER_summary!L$26)</f>
        <v>28.072271984542983</v>
      </c>
      <c r="M18" s="133">
        <f>IF(SER_hh_tesh!M18=0,0,SER_hh_tesh!M18/SER_summary!M$26)</f>
        <v>27.963172812722121</v>
      </c>
      <c r="N18" s="133">
        <f>IF(SER_hh_tesh!N18=0,0,SER_hh_tesh!N18/SER_summary!N$26)</f>
        <v>28.526725060221668</v>
      </c>
      <c r="O18" s="133">
        <f>IF(SER_hh_tesh!O18=0,0,SER_hh_tesh!O18/SER_summary!O$26)</f>
        <v>28.203544888934864</v>
      </c>
      <c r="P18" s="133">
        <f>IF(SER_hh_tesh!P18=0,0,SER_hh_tesh!P18/SER_summary!P$26)</f>
        <v>28.736651373412112</v>
      </c>
      <c r="Q18" s="133">
        <f>IF(SER_hh_tesh!Q18=0,0,SER_hh_tesh!Q18/SER_summary!Q$26)</f>
        <v>28.700519292798607</v>
      </c>
      <c r="R18" s="133">
        <f>IF(SER_hh_tesh!R18=0,0,SER_hh_tesh!R18/SER_summary!R$26)</f>
        <v>28.790203274107103</v>
      </c>
      <c r="S18" s="133">
        <f>IF(SER_hh_tesh!S18=0,0,SER_hh_tesh!S18/SER_summary!S$26)</f>
        <v>28.726495607113399</v>
      </c>
      <c r="T18" s="133">
        <f>IF(SER_hh_tesh!T18=0,0,SER_hh_tesh!T18/SER_summary!T$26)</f>
        <v>28.704469496691793</v>
      </c>
      <c r="U18" s="133">
        <f>IF(SER_hh_tesh!U18=0,0,SER_hh_tesh!U18/SER_summary!U$26)</f>
        <v>28.958850559613598</v>
      </c>
      <c r="V18" s="133">
        <f>IF(SER_hh_tesh!V18=0,0,SER_hh_tesh!V18/SER_summary!V$26)</f>
        <v>28.996204476411553</v>
      </c>
      <c r="W18" s="133">
        <f>IF(SER_hh_tesh!W18=0,0,SER_hh_tesh!W18/SER_summary!W$26)</f>
        <v>28.761609299943476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25.959698560156685</v>
      </c>
      <c r="C19" s="131">
        <f>IF(SER_hh_tesh!C19=0,0,SER_hh_tesh!C19/SER_summary!C$26)</f>
        <v>26.164218053001431</v>
      </c>
      <c r="D19" s="131">
        <f>IF(SER_hh_tesh!D19=0,0,SER_hh_tesh!D19/SER_summary!D$26)</f>
        <v>25.951074772704796</v>
      </c>
      <c r="E19" s="131">
        <f>IF(SER_hh_tesh!E19=0,0,SER_hh_tesh!E19/SER_summary!E$26)</f>
        <v>25.698579020757432</v>
      </c>
      <c r="F19" s="131">
        <f>IF(SER_hh_tesh!F19=0,0,SER_hh_tesh!F19/SER_summary!F$26)</f>
        <v>25.556814349427437</v>
      </c>
      <c r="G19" s="131">
        <f>IF(SER_hh_tesh!G19=0,0,SER_hh_tesh!G19/SER_summary!G$26)</f>
        <v>25.767834635110731</v>
      </c>
      <c r="H19" s="131">
        <f>IF(SER_hh_tesh!H19=0,0,SER_hh_tesh!H19/SER_summary!H$26)</f>
        <v>25.460491570263226</v>
      </c>
      <c r="I19" s="131">
        <f>IF(SER_hh_tesh!I19=0,0,SER_hh_tesh!I19/SER_summary!I$26)</f>
        <v>25.124936422206932</v>
      </c>
      <c r="J19" s="131">
        <f>IF(SER_hh_tesh!J19=0,0,SER_hh_tesh!J19/SER_summary!J$26)</f>
        <v>25.232600969574154</v>
      </c>
      <c r="K19" s="131">
        <f>IF(SER_hh_tesh!K19=0,0,SER_hh_tesh!K19/SER_summary!K$26)</f>
        <v>26.684842919560943</v>
      </c>
      <c r="L19" s="131">
        <f>IF(SER_hh_tesh!L19=0,0,SER_hh_tesh!L19/SER_summary!L$26)</f>
        <v>27.630143519259466</v>
      </c>
      <c r="M19" s="131">
        <f>IF(SER_hh_tesh!M19=0,0,SER_hh_tesh!M19/SER_summary!M$26)</f>
        <v>27.776284129440864</v>
      </c>
      <c r="N19" s="131">
        <f>IF(SER_hh_tesh!N19=0,0,SER_hh_tesh!N19/SER_summary!N$26)</f>
        <v>27.876284990997384</v>
      </c>
      <c r="O19" s="131">
        <f>IF(SER_hh_tesh!O19=0,0,SER_hh_tesh!O19/SER_summary!O$26)</f>
        <v>27.726477503096188</v>
      </c>
      <c r="P19" s="131">
        <f>IF(SER_hh_tesh!P19=0,0,SER_hh_tesh!P19/SER_summary!P$26)</f>
        <v>27.55913646058324</v>
      </c>
      <c r="Q19" s="131">
        <f>IF(SER_hh_tesh!Q19=0,0,SER_hh_tesh!Q19/SER_summary!Q$26)</f>
        <v>28.132204908512954</v>
      </c>
      <c r="R19" s="131">
        <f>IF(SER_hh_tesh!R19=0,0,SER_hh_tesh!R19/SER_summary!R$26)</f>
        <v>27.884204138811885</v>
      </c>
      <c r="S19" s="131">
        <f>IF(SER_hh_tesh!S19=0,0,SER_hh_tesh!S19/SER_summary!S$26)</f>
        <v>28.120574842557883</v>
      </c>
      <c r="T19" s="131">
        <f>IF(SER_hh_tesh!T19=0,0,SER_hh_tesh!T19/SER_summary!T$26)</f>
        <v>28.125766387386332</v>
      </c>
      <c r="U19" s="131">
        <f>IF(SER_hh_tesh!U19=0,0,SER_hh_tesh!U19/SER_summary!U$26)</f>
        <v>28.229237529354616</v>
      </c>
      <c r="V19" s="131">
        <f>IF(SER_hh_tesh!V19=0,0,SER_hh_tesh!V19/SER_summary!V$26)</f>
        <v>27.328987464912583</v>
      </c>
      <c r="W19" s="131">
        <f>IF(SER_hh_tesh!W19=0,0,SER_hh_tesh!W19/SER_summary!W$26)</f>
        <v>27.801482130563425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26.000578312814511</v>
      </c>
      <c r="C22" s="133">
        <f>IF(SER_hh_tesh!C22=0,0,SER_hh_tesh!C22/SER_summary!C$26)</f>
        <v>26.224684416400159</v>
      </c>
      <c r="D22" s="133">
        <f>IF(SER_hh_tesh!D22=0,0,SER_hh_tesh!D22/SER_summary!D$26)</f>
        <v>26.293296550454222</v>
      </c>
      <c r="E22" s="133">
        <f>IF(SER_hh_tesh!E22=0,0,SER_hh_tesh!E22/SER_summary!E$26)</f>
        <v>25.492022963495895</v>
      </c>
      <c r="F22" s="133">
        <f>IF(SER_hh_tesh!F22=0,0,SER_hh_tesh!F22/SER_summary!F$26)</f>
        <v>25.932022667348797</v>
      </c>
      <c r="G22" s="133">
        <f>IF(SER_hh_tesh!G22=0,0,SER_hh_tesh!G22/SER_summary!G$26)</f>
        <v>25.58236132245219</v>
      </c>
      <c r="H22" s="133">
        <f>IF(SER_hh_tesh!H22=0,0,SER_hh_tesh!H22/SER_summary!H$26)</f>
        <v>25.037867327813697</v>
      </c>
      <c r="I22" s="133">
        <f>IF(SER_hh_tesh!I22=0,0,SER_hh_tesh!I22/SER_summary!I$26)</f>
        <v>25.057521726918669</v>
      </c>
      <c r="J22" s="133">
        <f>IF(SER_hh_tesh!J22=0,0,SER_hh_tesh!J22/SER_summary!J$26)</f>
        <v>25.772480238799961</v>
      </c>
      <c r="K22" s="133">
        <f>IF(SER_hh_tesh!K22=0,0,SER_hh_tesh!K22/SER_summary!K$26)</f>
        <v>26.175111086463819</v>
      </c>
      <c r="L22" s="133">
        <f>IF(SER_hh_tesh!L22=0,0,SER_hh_tesh!L22/SER_summary!L$26)</f>
        <v>27.280380665612658</v>
      </c>
      <c r="M22" s="133">
        <f>IF(SER_hh_tesh!M22=0,0,SER_hh_tesh!M22/SER_summary!M$26)</f>
        <v>27.670048581856616</v>
      </c>
      <c r="N22" s="133">
        <f>IF(SER_hh_tesh!N22=0,0,SER_hh_tesh!N22/SER_summary!N$26)</f>
        <v>27.927431324026909</v>
      </c>
      <c r="O22" s="133">
        <f>IF(SER_hh_tesh!O22=0,0,SER_hh_tesh!O22/SER_summary!O$26)</f>
        <v>27.696218216343222</v>
      </c>
      <c r="P22" s="133">
        <f>IF(SER_hh_tesh!P22=0,0,SER_hh_tesh!P22/SER_summary!P$26)</f>
        <v>28.102918992450885</v>
      </c>
      <c r="Q22" s="133">
        <f>IF(SER_hh_tesh!Q22=0,0,SER_hh_tesh!Q22/SER_summary!Q$26)</f>
        <v>27.805572324269839</v>
      </c>
      <c r="R22" s="133">
        <f>IF(SER_hh_tesh!R22=0,0,SER_hh_tesh!R22/SER_summary!R$26)</f>
        <v>27.631994166511433</v>
      </c>
      <c r="S22" s="133">
        <f>IF(SER_hh_tesh!S22=0,0,SER_hh_tesh!S22/SER_summary!S$26)</f>
        <v>28.811761533207722</v>
      </c>
      <c r="T22" s="133">
        <f>IF(SER_hh_tesh!T22=0,0,SER_hh_tesh!T22/SER_summary!T$26)</f>
        <v>28.182147647580344</v>
      </c>
      <c r="U22" s="133">
        <f>IF(SER_hh_tesh!U22=0,0,SER_hh_tesh!U22/SER_summary!U$26)</f>
        <v>28.626123029306136</v>
      </c>
      <c r="V22" s="133">
        <f>IF(SER_hh_tesh!V22=0,0,SER_hh_tesh!V22/SER_summary!V$26)</f>
        <v>26.291758517310399</v>
      </c>
      <c r="W22" s="133">
        <f>IF(SER_hh_tesh!W22=0,0,SER_hh_tesh!W22/SER_summary!W$26)</f>
        <v>28.226517091977833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25.626685372250328</v>
      </c>
      <c r="C23" s="133">
        <f>IF(SER_hh_tesh!C23=0,0,SER_hh_tesh!C23/SER_summary!C$26)</f>
        <v>26.215437015808099</v>
      </c>
      <c r="D23" s="133">
        <f>IF(SER_hh_tesh!D23=0,0,SER_hh_tesh!D23/SER_summary!D$26)</f>
        <v>25.92585920475166</v>
      </c>
      <c r="E23" s="133">
        <f>IF(SER_hh_tesh!E23=0,0,SER_hh_tesh!E23/SER_summary!E$26)</f>
        <v>25.539685333217712</v>
      </c>
      <c r="F23" s="133">
        <f>IF(SER_hh_tesh!F23=0,0,SER_hh_tesh!F23/SER_summary!F$26)</f>
        <v>25.786623616279474</v>
      </c>
      <c r="G23" s="133">
        <f>IF(SER_hh_tesh!G23=0,0,SER_hh_tesh!G23/SER_summary!G$26)</f>
        <v>25.641612544042456</v>
      </c>
      <c r="H23" s="133">
        <f>IF(SER_hh_tesh!H23=0,0,SER_hh_tesh!H23/SER_summary!H$26)</f>
        <v>25.272156326336013</v>
      </c>
      <c r="I23" s="133">
        <f>IF(SER_hh_tesh!I23=0,0,SER_hh_tesh!I23/SER_summary!I$26)</f>
        <v>25.580381504768919</v>
      </c>
      <c r="J23" s="133">
        <f>IF(SER_hh_tesh!J23=0,0,SER_hh_tesh!J23/SER_summary!J$26)</f>
        <v>25.42558287884523</v>
      </c>
      <c r="K23" s="133">
        <f>IF(SER_hh_tesh!K23=0,0,SER_hh_tesh!K23/SER_summary!K$26)</f>
        <v>26.460581300828586</v>
      </c>
      <c r="L23" s="133">
        <f>IF(SER_hh_tesh!L23=0,0,SER_hh_tesh!L23/SER_summary!L$26)</f>
        <v>27.182357725032823</v>
      </c>
      <c r="M23" s="133">
        <f>IF(SER_hh_tesh!M23=0,0,SER_hh_tesh!M23/SER_summary!M$26)</f>
        <v>27.773520920436862</v>
      </c>
      <c r="N23" s="133">
        <f>IF(SER_hh_tesh!N23=0,0,SER_hh_tesh!N23/SER_summary!N$26)</f>
        <v>27.518473024550801</v>
      </c>
      <c r="O23" s="133">
        <f>IF(SER_hh_tesh!O23=0,0,SER_hh_tesh!O23/SER_summary!O$26)</f>
        <v>27.770870736243129</v>
      </c>
      <c r="P23" s="133">
        <f>IF(SER_hh_tesh!P23=0,0,SER_hh_tesh!P23/SER_summary!P$26)</f>
        <v>28.160699104030083</v>
      </c>
      <c r="Q23" s="133">
        <f>IF(SER_hh_tesh!Q23=0,0,SER_hh_tesh!Q23/SER_summary!Q$26)</f>
        <v>27.732188525918396</v>
      </c>
      <c r="R23" s="133">
        <f>IF(SER_hh_tesh!R23=0,0,SER_hh_tesh!R23/SER_summary!R$26)</f>
        <v>28.057337132501331</v>
      </c>
      <c r="S23" s="133">
        <f>IF(SER_hh_tesh!S23=0,0,SER_hh_tesh!S23/SER_summary!S$26)</f>
        <v>29.080756333583835</v>
      </c>
      <c r="T23" s="133">
        <f>IF(SER_hh_tesh!T23=0,0,SER_hh_tesh!T23/SER_summary!T$26)</f>
        <v>28.012995688052563</v>
      </c>
      <c r="U23" s="133">
        <f>IF(SER_hh_tesh!U23=0,0,SER_hh_tesh!U23/SER_summary!U$26)</f>
        <v>28.488642304244358</v>
      </c>
      <c r="V23" s="133">
        <f>IF(SER_hh_tesh!V23=0,0,SER_hh_tesh!V23/SER_summary!V$26)</f>
        <v>26.48267134144352</v>
      </c>
      <c r="W23" s="133">
        <f>IF(SER_hh_tesh!W23=0,0,SER_hh_tesh!W23/SER_summary!W$26)</f>
        <v>28.139242929807658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26.062561352962064</v>
      </c>
      <c r="C26" s="65">
        <f>IF(SER_hh_tesh!C26=0,0,SER_hh_tesh!C26/SER_summary!C$26)</f>
        <v>26.120530996007187</v>
      </c>
      <c r="D26" s="65">
        <f>IF(SER_hh_tesh!D26=0,0,SER_hh_tesh!D26/SER_summary!D$26)</f>
        <v>25.825635499921336</v>
      </c>
      <c r="E26" s="65">
        <f>IF(SER_hh_tesh!E26=0,0,SER_hh_tesh!E26/SER_summary!E$26)</f>
        <v>25.830040716903305</v>
      </c>
      <c r="F26" s="65">
        <f>IF(SER_hh_tesh!F26=0,0,SER_hh_tesh!F26/SER_summary!F$26)</f>
        <v>25.349112420176642</v>
      </c>
      <c r="G26" s="65">
        <f>IF(SER_hh_tesh!G26=0,0,SER_hh_tesh!G26/SER_summary!G$26)</f>
        <v>25.867284815077692</v>
      </c>
      <c r="H26" s="65">
        <f>IF(SER_hh_tesh!H26=0,0,SER_hh_tesh!H26/SER_summary!H$26)</f>
        <v>25.626042498199443</v>
      </c>
      <c r="I26" s="65">
        <f>IF(SER_hh_tesh!I26=0,0,SER_hh_tesh!I26/SER_summary!I$26)</f>
        <v>24.9811307272116</v>
      </c>
      <c r="J26" s="65">
        <f>IF(SER_hh_tesh!J26=0,0,SER_hh_tesh!J26/SER_summary!J$26)</f>
        <v>25.004295724736917</v>
      </c>
      <c r="K26" s="65">
        <f>IF(SER_hh_tesh!K26=0,0,SER_hh_tesh!K26/SER_summary!K$26)</f>
        <v>26.835441972754801</v>
      </c>
      <c r="L26" s="65">
        <f>IF(SER_hh_tesh!L26=0,0,SER_hh_tesh!L26/SER_summary!L$26)</f>
        <v>27.796724355469944</v>
      </c>
      <c r="M26" s="65">
        <f>IF(SER_hh_tesh!M26=0,0,SER_hh_tesh!M26/SER_summary!M$26)</f>
        <v>27.729139306859789</v>
      </c>
      <c r="N26" s="65">
        <f>IF(SER_hh_tesh!N26=0,0,SER_hh_tesh!N26/SER_summary!N$26)</f>
        <v>27.921044201097562</v>
      </c>
      <c r="O26" s="65">
        <f>IF(SER_hh_tesh!O26=0,0,SER_hh_tesh!O26/SER_summary!O$26)</f>
        <v>27.64073856573788</v>
      </c>
      <c r="P26" s="65">
        <f>IF(SER_hh_tesh!P26=0,0,SER_hh_tesh!P26/SER_summary!P$26)</f>
        <v>27.113717992641998</v>
      </c>
      <c r="Q26" s="65">
        <f>IF(SER_hh_tesh!Q26=0,0,SER_hh_tesh!Q26/SER_summary!Q$26)</f>
        <v>28.298408216144168</v>
      </c>
      <c r="R26" s="65">
        <f>IF(SER_hh_tesh!R26=0,0,SER_hh_tesh!R26/SER_summary!R$26)</f>
        <v>27.796955410422473</v>
      </c>
      <c r="S26" s="65">
        <f>IF(SER_hh_tesh!S26=0,0,SER_hh_tesh!S26/SER_summary!S$26)</f>
        <v>27.519729825935077</v>
      </c>
      <c r="T26" s="65">
        <f>IF(SER_hh_tesh!T26=0,0,SER_hh_tesh!T26/SER_summary!T$26)</f>
        <v>28.090121938122859</v>
      </c>
      <c r="U26" s="65">
        <f>IF(SER_hh_tesh!U26=0,0,SER_hh_tesh!U26/SER_summary!U$26)</f>
        <v>28.00432563112906</v>
      </c>
      <c r="V26" s="65">
        <f>IF(SER_hh_tesh!V26=0,0,SER_hh_tesh!V26/SER_summary!V$26)</f>
        <v>27.703917072147885</v>
      </c>
      <c r="W26" s="65">
        <f>IF(SER_hh_tesh!W26=0,0,SER_hh_tesh!W26/SER_summary!W$26)</f>
        <v>27.570915871205674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9.5481454735215111E-3</v>
      </c>
      <c r="I27" s="146">
        <f>IF(SER_hh_tesh!I27=0,0,SER_hh_tesh!I27/SER_summary!I$26)</f>
        <v>1.0366917781261442E-2</v>
      </c>
      <c r="J27" s="146">
        <f>IF(SER_hh_tesh!J27=0,0,SER_hh_tesh!J27/SER_summary!J$26)</f>
        <v>2.5693741417757217E-2</v>
      </c>
      <c r="K27" s="146">
        <f>IF(SER_hh_tesh!K27=0,0,SER_hh_tesh!K27/SER_summary!K$26)</f>
        <v>2.8121933553902141E-2</v>
      </c>
      <c r="L27" s="146">
        <f>IF(SER_hh_tesh!L27=0,0,SER_hh_tesh!L27/SER_summary!L$26)</f>
        <v>4.328510454604774E-2</v>
      </c>
      <c r="M27" s="146">
        <f>IF(SER_hh_tesh!M27=0,0,SER_hh_tesh!M27/SER_summary!M$26)</f>
        <v>4.6118103829652729E-2</v>
      </c>
      <c r="N27" s="146">
        <f>IF(SER_hh_tesh!N27=0,0,SER_hh_tesh!N27/SER_summary!N$26)</f>
        <v>4.6702337496058809E-2</v>
      </c>
      <c r="O27" s="146">
        <f>IF(SER_hh_tesh!O27=0,0,SER_hh_tesh!O27/SER_summary!O$26)</f>
        <v>4.6464822968395728E-2</v>
      </c>
      <c r="P27" s="146">
        <f>IF(SER_hh_tesh!P27=0,0,SER_hh_tesh!P27/SER_summary!P$26)</f>
        <v>4.5758910449057805E-2</v>
      </c>
      <c r="Q27" s="146">
        <f>IF(SER_hh_tesh!Q27=0,0,SER_hh_tesh!Q27/SER_summary!Q$26)</f>
        <v>4.5579791288121965E-2</v>
      </c>
      <c r="R27" s="146">
        <f>IF(SER_hh_tesh!R27=0,0,SER_hh_tesh!R27/SER_summary!R$26)</f>
        <v>4.4318146790308037E-2</v>
      </c>
      <c r="S27" s="146">
        <f>IF(SER_hh_tesh!S27=0,0,SER_hh_tesh!S27/SER_summary!S$26)</f>
        <v>4.3595416392363424E-2</v>
      </c>
      <c r="T27" s="146">
        <f>IF(SER_hh_tesh!T27=0,0,SER_hh_tesh!T27/SER_summary!T$26)</f>
        <v>4.2738650658447265E-2</v>
      </c>
      <c r="U27" s="146">
        <f>IF(SER_hh_tesh!U27=0,0,SER_hh_tesh!U27/SER_summary!U$26)</f>
        <v>4.201844298025692E-2</v>
      </c>
      <c r="V27" s="146">
        <f>IF(SER_hh_tesh!V27=0,0,SER_hh_tesh!V27/SER_summary!V$26)</f>
        <v>4.1417923915551769E-2</v>
      </c>
      <c r="W27" s="146">
        <f>IF(SER_hh_tesh!W27=0,0,SER_hh_tesh!W27/SER_summary!W$26)</f>
        <v>4.0889870933020336E-2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5.5224567363509625</v>
      </c>
      <c r="I28" s="147">
        <f>IF(SER_hh_tesh!I28=0,0,SER_hh_tesh!I28/SER_summary!I$26)</f>
        <v>5.5050740812995089</v>
      </c>
      <c r="J28" s="147">
        <f>IF(SER_hh_tesh!J28=0,0,SER_hh_tesh!J28/SER_summary!J$26)</f>
        <v>5.6752028728898445</v>
      </c>
      <c r="K28" s="147">
        <f>IF(SER_hh_tesh!K28=0,0,SER_hh_tesh!K28/SER_summary!K$26)</f>
        <v>6.022771254959177</v>
      </c>
      <c r="L28" s="147">
        <f>IF(SER_hh_tesh!L28=0,0,SER_hh_tesh!L28/SER_summary!L$26)</f>
        <v>6.1789479847478193</v>
      </c>
      <c r="M28" s="147">
        <f>IF(SER_hh_tesh!M28=0,0,SER_hh_tesh!M28/SER_summary!M$26)</f>
        <v>6.1182239450399072</v>
      </c>
      <c r="N28" s="147">
        <f>IF(SER_hh_tesh!N28=0,0,SER_hh_tesh!N28/SER_summary!N$26)</f>
        <v>6.2019045901247116</v>
      </c>
      <c r="O28" s="147">
        <f>IF(SER_hh_tesh!O28=0,0,SER_hh_tesh!O28/SER_summary!O$26)</f>
        <v>6.188478235408251</v>
      </c>
      <c r="P28" s="147">
        <f>IF(SER_hh_tesh!P28=0,0,SER_hh_tesh!P28/SER_summary!P$26)</f>
        <v>6.165859436083224</v>
      </c>
      <c r="Q28" s="147">
        <f>IF(SER_hh_tesh!Q28=0,0,SER_hh_tesh!Q28/SER_summary!Q$26)</f>
        <v>6.3617072765501863</v>
      </c>
      <c r="R28" s="147">
        <f>IF(SER_hh_tesh!R28=0,0,SER_hh_tesh!R28/SER_summary!R$26)</f>
        <v>6.4024167660566649</v>
      </c>
      <c r="S28" s="147">
        <f>IF(SER_hh_tesh!S28=0,0,SER_hh_tesh!S28/SER_summary!S$26)</f>
        <v>6.4888348276620098</v>
      </c>
      <c r="T28" s="147">
        <f>IF(SER_hh_tesh!T28=0,0,SER_hh_tesh!T28/SER_summary!T$26)</f>
        <v>6.5760188327966764</v>
      </c>
      <c r="U28" s="147">
        <f>IF(SER_hh_tesh!U28=0,0,SER_hh_tesh!U28/SER_summary!U$26)</f>
        <v>6.6650935152780191</v>
      </c>
      <c r="V28" s="147">
        <f>IF(SER_hh_tesh!V28=0,0,SER_hh_tesh!V28/SER_summary!V$26)</f>
        <v>6.2173267272082597</v>
      </c>
      <c r="W28" s="147">
        <f>IF(SER_hh_tesh!W28=0,0,SER_hh_tesh!W28/SER_summary!W$26)</f>
        <v>6.2588523234756721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27.52045452277051</v>
      </c>
      <c r="C29" s="131">
        <f>IF(SER_hh_tesh!C29=0,0,SER_hh_tesh!C29/SER_summary!C$26)</f>
        <v>27.430884394899728</v>
      </c>
      <c r="D29" s="131">
        <f>IF(SER_hh_tesh!D29=0,0,SER_hh_tesh!D29/SER_summary!D$26)</f>
        <v>27.196237194701343</v>
      </c>
      <c r="E29" s="131">
        <f>IF(SER_hh_tesh!E29=0,0,SER_hh_tesh!E29/SER_summary!E$26)</f>
        <v>27.159448747356233</v>
      </c>
      <c r="F29" s="131">
        <f>IF(SER_hh_tesh!F29=0,0,SER_hh_tesh!F29/SER_summary!F$26)</f>
        <v>27.036764376165184</v>
      </c>
      <c r="G29" s="131">
        <f>IF(SER_hh_tesh!G29=0,0,SER_hh_tesh!G29/SER_summary!G$26)</f>
        <v>26.927354362244742</v>
      </c>
      <c r="H29" s="131">
        <f>IF(SER_hh_tesh!H29=0,0,SER_hh_tesh!H29/SER_summary!H$26)</f>
        <v>26.75181426718661</v>
      </c>
      <c r="I29" s="131">
        <f>IF(SER_hh_tesh!I29=0,0,SER_hh_tesh!I29/SER_summary!I$26)</f>
        <v>26.46208639986763</v>
      </c>
      <c r="J29" s="131">
        <f>IF(SER_hh_tesh!J29=0,0,SER_hh_tesh!J29/SER_summary!J$26)</f>
        <v>26.933005889621885</v>
      </c>
      <c r="K29" s="131">
        <f>IF(SER_hh_tesh!K29=0,0,SER_hh_tesh!K29/SER_summary!K$26)</f>
        <v>26.181815738579409</v>
      </c>
      <c r="L29" s="131">
        <f>IF(SER_hh_tesh!L29=0,0,SER_hh_tesh!L29/SER_summary!L$26)</f>
        <v>26.960029677706228</v>
      </c>
      <c r="M29" s="131">
        <f>IF(SER_hh_tesh!M29=0,0,SER_hh_tesh!M29/SER_summary!M$26)</f>
        <v>28.514062507028342</v>
      </c>
      <c r="N29" s="131">
        <f>IF(SER_hh_tesh!N29=0,0,SER_hh_tesh!N29/SER_summary!N$26)</f>
        <v>29.31420094595374</v>
      </c>
      <c r="O29" s="131">
        <f>IF(SER_hh_tesh!O29=0,0,SER_hh_tesh!O29/SER_summary!O$26)</f>
        <v>29.53266814982365</v>
      </c>
      <c r="P29" s="131">
        <f>IF(SER_hh_tesh!P29=0,0,SER_hh_tesh!P29/SER_summary!P$26)</f>
        <v>29.331370641673356</v>
      </c>
      <c r="Q29" s="131">
        <f>IF(SER_hh_tesh!Q29=0,0,SER_hh_tesh!Q29/SER_summary!Q$26)</f>
        <v>29.604267419963062</v>
      </c>
      <c r="R29" s="131">
        <f>IF(SER_hh_tesh!R29=0,0,SER_hh_tesh!R29/SER_summary!R$26)</f>
        <v>29.63935611406276</v>
      </c>
      <c r="S29" s="131">
        <f>IF(SER_hh_tesh!S29=0,0,SER_hh_tesh!S29/SER_summary!S$26)</f>
        <v>30.05029619566097</v>
      </c>
      <c r="T29" s="131">
        <f>IF(SER_hh_tesh!T29=0,0,SER_hh_tesh!T29/SER_summary!T$26)</f>
        <v>30.051277989594716</v>
      </c>
      <c r="U29" s="131">
        <f>IF(SER_hh_tesh!U29=0,0,SER_hh_tesh!U29/SER_summary!U$26)</f>
        <v>30.324976173259124</v>
      </c>
      <c r="V29" s="131">
        <f>IF(SER_hh_tesh!V29=0,0,SER_hh_tesh!V29/SER_summary!V$26)</f>
        <v>28.534067477022663</v>
      </c>
      <c r="W29" s="131">
        <f>IF(SER_hh_tesh!W29=0,0,SER_hh_tesh!W29/SER_summary!W$26)</f>
        <v>30.895911159761681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26.41023827901024</v>
      </c>
      <c r="C30" s="133">
        <f>IF(SER_hh_tesh!C30=0,0,SER_hh_tesh!C30/SER_summary!C$26)</f>
        <v>27.943953229834392</v>
      </c>
      <c r="D30" s="133">
        <f>IF(SER_hh_tesh!D30=0,0,SER_hh_tesh!D30/SER_summary!D$26)</f>
        <v>26.97702218767072</v>
      </c>
      <c r="E30" s="133">
        <f>IF(SER_hh_tesh!E30=0,0,SER_hh_tesh!E30/SER_summary!E$26)</f>
        <v>26.381349492647498</v>
      </c>
      <c r="F30" s="133">
        <f>IF(SER_hh_tesh!F30=0,0,SER_hh_tesh!F30/SER_summary!F$26)</f>
        <v>26.150039974569012</v>
      </c>
      <c r="G30" s="133">
        <f>IF(SER_hh_tesh!G30=0,0,SER_hh_tesh!G30/SER_summary!G$26)</f>
        <v>27.885194930615512</v>
      </c>
      <c r="H30" s="133">
        <f>IF(SER_hh_tesh!H30=0,0,SER_hh_tesh!H30/SER_summary!H$26)</f>
        <v>26.666508686158874</v>
      </c>
      <c r="I30" s="133">
        <f>IF(SER_hh_tesh!I30=0,0,SER_hh_tesh!I30/SER_summary!I$26)</f>
        <v>25.941969487258643</v>
      </c>
      <c r="J30" s="133">
        <f>IF(SER_hh_tesh!J30=0,0,SER_hh_tesh!J30/SER_summary!J$26)</f>
        <v>29.990104529376687</v>
      </c>
      <c r="K30" s="133">
        <f>IF(SER_hh_tesh!K30=0,0,SER_hh_tesh!K30/SER_summary!K$26)</f>
        <v>22.616430192132853</v>
      </c>
      <c r="L30" s="133">
        <f>IF(SER_hh_tesh!L30=0,0,SER_hh_tesh!L30/SER_summary!L$26)</f>
        <v>29.2205612074304</v>
      </c>
      <c r="M30" s="133">
        <f>IF(SER_hh_tesh!M30=0,0,SER_hh_tesh!M30/SER_summary!M$26)</f>
        <v>28.808242016171267</v>
      </c>
      <c r="N30" s="133">
        <f>IF(SER_hh_tesh!N30=0,0,SER_hh_tesh!N30/SER_summary!N$26)</f>
        <v>27.682643367590238</v>
      </c>
      <c r="O30" s="133">
        <f>IF(SER_hh_tesh!O30=0,0,SER_hh_tesh!O30/SER_summary!O$26)</f>
        <v>32.45869046549636</v>
      </c>
      <c r="P30" s="133">
        <f>IF(SER_hh_tesh!P30=0,0,SER_hh_tesh!P30/SER_summary!P$26)</f>
        <v>27.510069718758903</v>
      </c>
      <c r="Q30" s="133">
        <f>IF(SER_hh_tesh!Q30=0,0,SER_hh_tesh!Q30/SER_summary!Q$26)</f>
        <v>30.760212537364136</v>
      </c>
      <c r="R30" s="133">
        <f>IF(SER_hh_tesh!R30=0,0,SER_hh_tesh!R30/SER_summary!R$26)</f>
        <v>27.892677821618499</v>
      </c>
      <c r="S30" s="133">
        <f>IF(SER_hh_tesh!S30=0,0,SER_hh_tesh!S30/SER_summary!S$26)</f>
        <v>28.967229226419235</v>
      </c>
      <c r="T30" s="133">
        <f>IF(SER_hh_tesh!T30=0,0,SER_hh_tesh!T30/SER_summary!T$26)</f>
        <v>31.545328931881699</v>
      </c>
      <c r="U30" s="133">
        <f>IF(SER_hh_tesh!U30=0,0,SER_hh_tesh!U30/SER_summary!U$26)</f>
        <v>31.805569044936128</v>
      </c>
      <c r="V30" s="133">
        <f>IF(SER_hh_tesh!V30=0,0,SER_hh_tesh!V30/SER_summary!V$26)</f>
        <v>27.182405941490451</v>
      </c>
      <c r="W30" s="133">
        <f>IF(SER_hh_tesh!W30=0,0,SER_hh_tesh!W30/SER_summary!W$26)</f>
        <v>31.498275000085197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27.707632398120769</v>
      </c>
      <c r="C31" s="133">
        <f>IF(SER_hh_tesh!C31=0,0,SER_hh_tesh!C31/SER_summary!C$26)</f>
        <v>27.486800846726947</v>
      </c>
      <c r="D31" s="133">
        <f>IF(SER_hh_tesh!D31=0,0,SER_hh_tesh!D31/SER_summary!D$26)</f>
        <v>27.05546348063487</v>
      </c>
      <c r="E31" s="133">
        <f>IF(SER_hh_tesh!E31=0,0,SER_hh_tesh!E31/SER_summary!E$26)</f>
        <v>26.728530181888207</v>
      </c>
      <c r="F31" s="133">
        <f>IF(SER_hh_tesh!F31=0,0,SER_hh_tesh!F31/SER_summary!F$26)</f>
        <v>26.984285171203087</v>
      </c>
      <c r="G31" s="133">
        <f>IF(SER_hh_tesh!G31=0,0,SER_hh_tesh!G31/SER_summary!G$26)</f>
        <v>26.858683008184659</v>
      </c>
      <c r="H31" s="133">
        <f>IF(SER_hh_tesh!H31=0,0,SER_hh_tesh!H31/SER_summary!H$26)</f>
        <v>26.938204791940393</v>
      </c>
      <c r="I31" s="133">
        <f>IF(SER_hh_tesh!I31=0,0,SER_hh_tesh!I31/SER_summary!I$26)</f>
        <v>26.395098560646094</v>
      </c>
      <c r="J31" s="133">
        <f>IF(SER_hh_tesh!J31=0,0,SER_hh_tesh!J31/SER_summary!J$26)</f>
        <v>26.26715686809403</v>
      </c>
      <c r="K31" s="133">
        <f>IF(SER_hh_tesh!K31=0,0,SER_hh_tesh!K31/SER_summary!K$26)</f>
        <v>26.936085014778072</v>
      </c>
      <c r="L31" s="133">
        <f>IF(SER_hh_tesh!L31=0,0,SER_hh_tesh!L31/SER_summary!L$26)</f>
        <v>27.303719539436134</v>
      </c>
      <c r="M31" s="133">
        <f>IF(SER_hh_tesh!M31=0,0,SER_hh_tesh!M31/SER_summary!M$26)</f>
        <v>28.266769306339519</v>
      </c>
      <c r="N31" s="133">
        <f>IF(SER_hh_tesh!N31=0,0,SER_hh_tesh!N31/SER_summary!N$26)</f>
        <v>29.220451256513172</v>
      </c>
      <c r="O31" s="133">
        <f>IF(SER_hh_tesh!O31=0,0,SER_hh_tesh!O31/SER_summary!O$26)</f>
        <v>29.314150289480807</v>
      </c>
      <c r="P31" s="133">
        <f>IF(SER_hh_tesh!P31=0,0,SER_hh_tesh!P31/SER_summary!P$26)</f>
        <v>29.09451737586927</v>
      </c>
      <c r="Q31" s="133">
        <f>IF(SER_hh_tesh!Q31=0,0,SER_hh_tesh!Q31/SER_summary!Q$26)</f>
        <v>29.843749955748592</v>
      </c>
      <c r="R31" s="133">
        <f>IF(SER_hh_tesh!R31=0,0,SER_hh_tesh!R31/SER_summary!R$26)</f>
        <v>29.925413313593321</v>
      </c>
      <c r="S31" s="133">
        <f>IF(SER_hh_tesh!S31=0,0,SER_hh_tesh!S31/SER_summary!S$26)</f>
        <v>29.718069440894734</v>
      </c>
      <c r="T31" s="133">
        <f>IF(SER_hh_tesh!T31=0,0,SER_hh_tesh!T31/SER_summary!T$26)</f>
        <v>30.440203466737568</v>
      </c>
      <c r="U31" s="133">
        <f>IF(SER_hh_tesh!U31=0,0,SER_hh_tesh!U31/SER_summary!U$26)</f>
        <v>30.69896335726483</v>
      </c>
      <c r="V31" s="133">
        <f>IF(SER_hh_tesh!V31=0,0,SER_hh_tesh!V31/SER_summary!V$26)</f>
        <v>28.48952579888806</v>
      </c>
      <c r="W31" s="133">
        <f>IF(SER_hh_tesh!W31=0,0,SER_hh_tesh!W31/SER_summary!W$26)</f>
        <v>31.141766407713515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28.088365096004729</v>
      </c>
      <c r="C33" s="68">
        <f>IF(SER_hh_tesh!C33=0,0,SER_hh_tesh!C33/SER_summary!C$26)</f>
        <v>27.111107669785422</v>
      </c>
      <c r="D33" s="68">
        <f>IF(SER_hh_tesh!D33=0,0,SER_hh_tesh!D33/SER_summary!D$26)</f>
        <v>27.374330266890308</v>
      </c>
      <c r="E33" s="68">
        <f>IF(SER_hh_tesh!E33=0,0,SER_hh_tesh!E33/SER_summary!E$26)</f>
        <v>27.82081369844493</v>
      </c>
      <c r="F33" s="68">
        <f>IF(SER_hh_tesh!F33=0,0,SER_hh_tesh!F33/SER_summary!F$26)</f>
        <v>27.741290812336793</v>
      </c>
      <c r="G33" s="68">
        <f>IF(SER_hh_tesh!G33=0,0,SER_hh_tesh!G33/SER_summary!G$26)</f>
        <v>26.090216157792785</v>
      </c>
      <c r="H33" s="68">
        <f>IF(SER_hh_tesh!H33=0,0,SER_hh_tesh!H33/SER_summary!H$26)</f>
        <v>26.775641279576032</v>
      </c>
      <c r="I33" s="68">
        <f>IF(SER_hh_tesh!I33=0,0,SER_hh_tesh!I33/SER_summary!I$26)</f>
        <v>27.037228264613805</v>
      </c>
      <c r="J33" s="68">
        <f>IF(SER_hh_tesh!J33=0,0,SER_hh_tesh!J33/SER_summary!J$26)</f>
        <v>24.067804221787078</v>
      </c>
      <c r="K33" s="68">
        <f>IF(SER_hh_tesh!K33=0,0,SER_hh_tesh!K33/SER_summary!K$26)</f>
        <v>29.463604177108046</v>
      </c>
      <c r="L33" s="68">
        <f>IF(SER_hh_tesh!L33=0,0,SER_hh_tesh!L33/SER_summary!L$26)</f>
        <v>24.533930845487657</v>
      </c>
      <c r="M33" s="68">
        <f>IF(SER_hh_tesh!M33=0,0,SER_hh_tesh!M33/SER_summary!M$26)</f>
        <v>28.29898597055578</v>
      </c>
      <c r="N33" s="68">
        <f>IF(SER_hh_tesh!N33=0,0,SER_hh_tesh!N33/SER_summary!N$26)</f>
        <v>30.940107577364817</v>
      </c>
      <c r="O33" s="68">
        <f>IF(SER_hh_tesh!O33=0,0,SER_hh_tesh!O33/SER_summary!O$26)</f>
        <v>26.798424403644777</v>
      </c>
      <c r="P33" s="68">
        <f>IF(SER_hh_tesh!P33=0,0,SER_hh_tesh!P33/SER_summary!P$26)</f>
        <v>30.870161602979795</v>
      </c>
      <c r="Q33" s="68">
        <f>IF(SER_hh_tesh!Q33=0,0,SER_hh_tesh!Q33/SER_summary!Q$26)</f>
        <v>28.66693778690065</v>
      </c>
      <c r="R33" s="68">
        <f>IF(SER_hh_tesh!R33=0,0,SER_hh_tesh!R33/SER_summary!R$26)</f>
        <v>30.677194191692106</v>
      </c>
      <c r="S33" s="68">
        <f>IF(SER_hh_tesh!S33=0,0,SER_hh_tesh!S33/SER_summary!S$26)</f>
        <v>30.803644516402528</v>
      </c>
      <c r="T33" s="68">
        <f>IF(SER_hh_tesh!T33=0,0,SER_hh_tesh!T33/SER_summary!T$26)</f>
        <v>29.05959607514767</v>
      </c>
      <c r="U33" s="68">
        <f>IF(SER_hh_tesh!U33=0,0,SER_hh_tesh!U33/SER_summary!U$26)</f>
        <v>29.389942166779949</v>
      </c>
      <c r="V33" s="68">
        <f>IF(SER_hh_tesh!V33=0,0,SER_hh_tesh!V33/SER_summary!V$26)</f>
        <v>29.23299988967003</v>
      </c>
      <c r="W33" s="68">
        <f>IF(SER_hh_tesh!W33=0,0,SER_hh_tesh!W33/SER_summary!W$26)</f>
        <v>30.552471902329522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54.103135620114585</v>
      </c>
      <c r="C3" s="126">
        <f>IF(SER_hh_emih!C3=0,0,SER_hh_emih!C3/SER_summary!C$26)</f>
        <v>51.681710200815637</v>
      </c>
      <c r="D3" s="126">
        <f>IF(SER_hh_emih!D3=0,0,SER_hh_emih!D3/SER_summary!D$26)</f>
        <v>48.08551462492526</v>
      </c>
      <c r="E3" s="126">
        <f>IF(SER_hh_emih!E3=0,0,SER_hh_emih!E3/SER_summary!E$26)</f>
        <v>48.717703018257581</v>
      </c>
      <c r="F3" s="126">
        <f>IF(SER_hh_emih!F3=0,0,SER_hh_emih!F3/SER_summary!F$26)</f>
        <v>45.459506647803302</v>
      </c>
      <c r="G3" s="126">
        <f>IF(SER_hh_emih!G3=0,0,SER_hh_emih!G3/SER_summary!G$26)</f>
        <v>45.036321521219385</v>
      </c>
      <c r="H3" s="126">
        <f>IF(SER_hh_emih!H3=0,0,SER_hh_emih!H3/SER_summary!H$26)</f>
        <v>43.495767510606584</v>
      </c>
      <c r="I3" s="126">
        <f>IF(SER_hh_emih!I3=0,0,SER_hh_emih!I3/SER_summary!I$26)</f>
        <v>40.065586040884085</v>
      </c>
      <c r="J3" s="126">
        <f>IF(SER_hh_emih!J3=0,0,SER_hh_emih!J3/SER_summary!J$26)</f>
        <v>40.848698411920346</v>
      </c>
      <c r="K3" s="126">
        <f>IF(SER_hh_emih!K3=0,0,SER_hh_emih!K3/SER_summary!K$26)</f>
        <v>33.86592758925832</v>
      </c>
      <c r="L3" s="126">
        <f>IF(SER_hh_emih!L3=0,0,SER_hh_emih!L3/SER_summary!L$26)</f>
        <v>36.690439153947011</v>
      </c>
      <c r="M3" s="126">
        <f>IF(SER_hh_emih!M3=0,0,SER_hh_emih!M3/SER_summary!M$26)</f>
        <v>35.242754404667899</v>
      </c>
      <c r="N3" s="126">
        <f>IF(SER_hh_emih!N3=0,0,SER_hh_emih!N3/SER_summary!N$26)</f>
        <v>36.264221255348531</v>
      </c>
      <c r="O3" s="126">
        <f>IF(SER_hh_emih!O3=0,0,SER_hh_emih!O3/SER_summary!O$26)</f>
        <v>38.2748617618305</v>
      </c>
      <c r="P3" s="126">
        <f>IF(SER_hh_emih!P3=0,0,SER_hh_emih!P3/SER_summary!P$26)</f>
        <v>34.926022605813927</v>
      </c>
      <c r="Q3" s="126">
        <f>IF(SER_hh_emih!Q3=0,0,SER_hh_emih!Q3/SER_summary!Q$26)</f>
        <v>37.302873189205819</v>
      </c>
      <c r="R3" s="126">
        <f>IF(SER_hh_emih!R3=0,0,SER_hh_emih!R3/SER_summary!R$26)</f>
        <v>35.224680488356633</v>
      </c>
      <c r="S3" s="126">
        <f>IF(SER_hh_emih!S3=0,0,SER_hh_emih!S3/SER_summary!S$26)</f>
        <v>33.929301302542022</v>
      </c>
      <c r="T3" s="126">
        <f>IF(SER_hh_emih!T3=0,0,SER_hh_emih!T3/SER_summary!T$26)</f>
        <v>36.337224104353886</v>
      </c>
      <c r="U3" s="126">
        <f>IF(SER_hh_emih!U3=0,0,SER_hh_emih!U3/SER_summary!U$26)</f>
        <v>34.928537817254607</v>
      </c>
      <c r="V3" s="126">
        <f>IF(SER_hh_emih!V3=0,0,SER_hh_emih!V3/SER_summary!V$26)</f>
        <v>32.961729786983987</v>
      </c>
      <c r="W3" s="126">
        <f>IF(SER_hh_emih!W3=0,0,SER_hh_emih!W3/SER_summary!W$26)</f>
        <v>28.599602341398381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44.305784716419623</v>
      </c>
      <c r="C4" s="131">
        <f>IF(SER_hh_emih!C4=0,0,SER_hh_emih!C4/SER_summary!C$26)</f>
        <v>41.73301871103989</v>
      </c>
      <c r="D4" s="131">
        <f>IF(SER_hh_emih!D4=0,0,SER_hh_emih!D4/SER_summary!D$26)</f>
        <v>38.398565719023104</v>
      </c>
      <c r="E4" s="131">
        <f>IF(SER_hh_emih!E4=0,0,SER_hh_emih!E4/SER_summary!E$26)</f>
        <v>39.259133983930049</v>
      </c>
      <c r="F4" s="131">
        <f>IF(SER_hh_emih!F4=0,0,SER_hh_emih!F4/SER_summary!F$26)</f>
        <v>35.878488882459216</v>
      </c>
      <c r="G4" s="131">
        <f>IF(SER_hh_emih!G4=0,0,SER_hh_emih!G4/SER_summary!G$26)</f>
        <v>35.192119076424298</v>
      </c>
      <c r="H4" s="131">
        <f>IF(SER_hh_emih!H4=0,0,SER_hh_emih!H4/SER_summary!H$26)</f>
        <v>33.872625142211149</v>
      </c>
      <c r="I4" s="131">
        <f>IF(SER_hh_emih!I4=0,0,SER_hh_emih!I4/SER_summary!I$26)</f>
        <v>30.71657774877491</v>
      </c>
      <c r="J4" s="131">
        <f>IF(SER_hh_emih!J4=0,0,SER_hh_emih!J4/SER_summary!J$26)</f>
        <v>31.02915483400092</v>
      </c>
      <c r="K4" s="131">
        <f>IF(SER_hh_emih!K4=0,0,SER_hh_emih!K4/SER_summary!K$26)</f>
        <v>25.132427422466023</v>
      </c>
      <c r="L4" s="131">
        <f>IF(SER_hh_emih!L4=0,0,SER_hh_emih!L4/SER_summary!L$26)</f>
        <v>26.670080704317261</v>
      </c>
      <c r="M4" s="131">
        <f>IF(SER_hh_emih!M4=0,0,SER_hh_emih!M4/SER_summary!M$26)</f>
        <v>25.246313326171055</v>
      </c>
      <c r="N4" s="131">
        <f>IF(SER_hh_emih!N4=0,0,SER_hh_emih!N4/SER_summary!N$26)</f>
        <v>26.48492676798044</v>
      </c>
      <c r="O4" s="131">
        <f>IF(SER_hh_emih!O4=0,0,SER_hh_emih!O4/SER_summary!O$26)</f>
        <v>27.803235193071913</v>
      </c>
      <c r="P4" s="131">
        <f>IF(SER_hh_emih!P4=0,0,SER_hh_emih!P4/SER_summary!P$26)</f>
        <v>25.621724330433029</v>
      </c>
      <c r="Q4" s="131">
        <f>IF(SER_hh_emih!Q4=0,0,SER_hh_emih!Q4/SER_summary!Q$26)</f>
        <v>27.748353758146351</v>
      </c>
      <c r="R4" s="131">
        <f>IF(SER_hh_emih!R4=0,0,SER_hh_emih!R4/SER_summary!R$26)</f>
        <v>26.578370773294544</v>
      </c>
      <c r="S4" s="131">
        <f>IF(SER_hh_emih!S4=0,0,SER_hh_emih!S4/SER_summary!S$26)</f>
        <v>25.247630466738094</v>
      </c>
      <c r="T4" s="131">
        <f>IF(SER_hh_emih!T4=0,0,SER_hh_emih!T4/SER_summary!T$26)</f>
        <v>27.730802905054801</v>
      </c>
      <c r="U4" s="131">
        <f>IF(SER_hh_emih!U4=0,0,SER_hh_emih!U4/SER_summary!U$26)</f>
        <v>26.586066262613532</v>
      </c>
      <c r="V4" s="131">
        <f>IF(SER_hh_emih!V4=0,0,SER_hh_emih!V4/SER_summary!V$26)</f>
        <v>25.98916105653479</v>
      </c>
      <c r="W4" s="131">
        <f>IF(SER_hh_emih!W4=0,0,SER_hh_emih!W4/SER_summary!W$26)</f>
        <v>21.1347535899903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45.8469752646374</v>
      </c>
      <c r="C5" s="133">
        <f>IF(SER_hh_emih!C5=0,0,SER_hh_emih!C5/SER_summary!C$26)</f>
        <v>51.73587145577774</v>
      </c>
      <c r="D5" s="133">
        <f>IF(SER_hh_emih!D5=0,0,SER_hh_emih!D5/SER_summary!D$26)</f>
        <v>25.661644502915372</v>
      </c>
      <c r="E5" s="133">
        <f>IF(SER_hh_emih!E5=0,0,SER_hh_emih!E5/SER_summary!E$26)</f>
        <v>122.31410904543846</v>
      </c>
      <c r="F5" s="133">
        <f>IF(SER_hh_emih!F5=0,0,SER_hh_emih!F5/SER_summary!F$26)</f>
        <v>104.00597252293173</v>
      </c>
      <c r="G5" s="133">
        <f>IF(SER_hh_emih!G5=0,0,SER_hh_emih!G5/SER_summary!G$26)</f>
        <v>103.12342134605936</v>
      </c>
      <c r="H5" s="133">
        <f>IF(SER_hh_emih!H5=0,0,SER_hh_emih!H5/SER_summary!H$26)</f>
        <v>104.2949189184416</v>
      </c>
      <c r="I5" s="133">
        <f>IF(SER_hh_emih!I5=0,0,SER_hh_emih!I5/SER_summary!I$26)</f>
        <v>108.68583713194261</v>
      </c>
      <c r="J5" s="133">
        <f>IF(SER_hh_emih!J5=0,0,SER_hh_emih!J5/SER_summary!J$26)</f>
        <v>130.68352287318694</v>
      </c>
      <c r="K5" s="133">
        <f>IF(SER_hh_emih!K5=0,0,SER_hh_emih!K5/SER_summary!K$26)</f>
        <v>5.3964229782801043</v>
      </c>
      <c r="L5" s="133">
        <f>IF(SER_hh_emih!L5=0,0,SER_hh_emih!L5/SER_summary!L$26)</f>
        <v>26.265116144252477</v>
      </c>
      <c r="M5" s="133">
        <f>IF(SER_hh_emih!M5=0,0,SER_hh_emih!M5/SER_summary!M$26)</f>
        <v>129.50671452098211</v>
      </c>
      <c r="N5" s="133">
        <f>IF(SER_hh_emih!N5=0,0,SER_hh_emih!N5/SER_summary!N$26)</f>
        <v>70.081437282189256</v>
      </c>
      <c r="O5" s="133">
        <f>IF(SER_hh_emih!O5=0,0,SER_hh_emih!O5/SER_summary!O$26)</f>
        <v>86.325258328414549</v>
      </c>
      <c r="P5" s="133">
        <f>IF(SER_hh_emih!P5=0,0,SER_hh_emih!P5/SER_summary!P$26)</f>
        <v>60.245271482565762</v>
      </c>
      <c r="Q5" s="133">
        <f>IF(SER_hh_emih!Q5=0,0,SER_hh_emih!Q5/SER_summary!Q$26)</f>
        <v>61.349685756311032</v>
      </c>
      <c r="R5" s="133">
        <f>IF(SER_hh_emih!R5=0,0,SER_hh_emih!R5/SER_summary!R$26)</f>
        <v>109.51165534550489</v>
      </c>
      <c r="S5" s="133">
        <f>IF(SER_hh_emih!S5=0,0,SER_hh_emih!S5/SER_summary!S$26)</f>
        <v>91.736583805929683</v>
      </c>
      <c r="T5" s="133">
        <f>IF(SER_hh_emih!T5=0,0,SER_hh_emih!T5/SER_summary!T$26)</f>
        <v>103.40128328034953</v>
      </c>
      <c r="U5" s="133">
        <f>IF(SER_hh_emih!U5=0,0,SER_hh_emih!U5/SER_summary!U$26)</f>
        <v>103.36280454866244</v>
      </c>
      <c r="V5" s="133">
        <f>IF(SER_hh_emih!V5=0,0,SER_hh_emih!V5/SER_summary!V$26)</f>
        <v>61.830433936465695</v>
      </c>
      <c r="W5" s="133">
        <f>IF(SER_hh_emih!W5=0,0,SER_hh_emih!W5/SER_summary!W$26)</f>
        <v>79.366148462637781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74.060270542085036</v>
      </c>
      <c r="C7" s="133">
        <f>IF(SER_hh_emih!C7=0,0,SER_hh_emih!C7/SER_summary!C$26)</f>
        <v>72.119779975481705</v>
      </c>
      <c r="D7" s="133">
        <f>IF(SER_hh_emih!D7=0,0,SER_hh_emih!D7/SER_summary!D$26)</f>
        <v>75.086726745170097</v>
      </c>
      <c r="E7" s="133">
        <f>IF(SER_hh_emih!E7=0,0,SER_hh_emih!E7/SER_summary!E$26)</f>
        <v>78.604930435252712</v>
      </c>
      <c r="F7" s="133">
        <f>IF(SER_hh_emih!F7=0,0,SER_hh_emih!F7/SER_summary!F$26)</f>
        <v>77.000220658578328</v>
      </c>
      <c r="G7" s="133">
        <f>IF(SER_hh_emih!G7=0,0,SER_hh_emih!G7/SER_summary!G$26)</f>
        <v>87.371106143520237</v>
      </c>
      <c r="H7" s="133">
        <f>IF(SER_hh_emih!H7=0,0,SER_hh_emih!H7/SER_summary!H$26)</f>
        <v>88.005180710231471</v>
      </c>
      <c r="I7" s="133">
        <f>IF(SER_hh_emih!I7=0,0,SER_hh_emih!I7/SER_summary!I$26)</f>
        <v>86.39414398304433</v>
      </c>
      <c r="J7" s="133">
        <f>IF(SER_hh_emih!J7=0,0,SER_hh_emih!J7/SER_summary!J$26)</f>
        <v>95.71417402062697</v>
      </c>
      <c r="K7" s="133">
        <f>IF(SER_hh_emih!K7=0,0,SER_hh_emih!K7/SER_summary!K$26)</f>
        <v>81.261332239648482</v>
      </c>
      <c r="L7" s="133">
        <f>IF(SER_hh_emih!L7=0,0,SER_hh_emih!L7/SER_summary!L$26)</f>
        <v>84.007344181437546</v>
      </c>
      <c r="M7" s="133">
        <f>IF(SER_hh_emih!M7=0,0,SER_hh_emih!M7/SER_summary!M$26)</f>
        <v>73.744831780219371</v>
      </c>
      <c r="N7" s="133">
        <f>IF(SER_hh_emih!N7=0,0,SER_hh_emih!N7/SER_summary!N$26)</f>
        <v>66.671338082499801</v>
      </c>
      <c r="O7" s="133">
        <f>IF(SER_hh_emih!O7=0,0,SER_hh_emih!O7/SER_summary!O$26)</f>
        <v>76.39983651958768</v>
      </c>
      <c r="P7" s="133">
        <f>IF(SER_hh_emih!P7=0,0,SER_hh_emih!P7/SER_summary!P$26)</f>
        <v>67.449628737296678</v>
      </c>
      <c r="Q7" s="133">
        <f>IF(SER_hh_emih!Q7=0,0,SER_hh_emih!Q7/SER_summary!Q$26)</f>
        <v>71.848909620004093</v>
      </c>
      <c r="R7" s="133">
        <f>IF(SER_hh_emih!R7=0,0,SER_hh_emih!R7/SER_summary!R$26)</f>
        <v>69.855120863558426</v>
      </c>
      <c r="S7" s="133">
        <f>IF(SER_hh_emih!S7=0,0,SER_hh_emih!S7/SER_summary!S$26)</f>
        <v>66.662710364187731</v>
      </c>
      <c r="T7" s="133">
        <f>IF(SER_hh_emih!T7=0,0,SER_hh_emih!T7/SER_summary!T$26)</f>
        <v>77.502196929895504</v>
      </c>
      <c r="U7" s="133">
        <f>IF(SER_hh_emih!U7=0,0,SER_hh_emih!U7/SER_summary!U$26)</f>
        <v>73.669090258923717</v>
      </c>
      <c r="V7" s="133">
        <f>IF(SER_hh_emih!V7=0,0,SER_hh_emih!V7/SER_summary!V$26)</f>
        <v>67.602559178788383</v>
      </c>
      <c r="W7" s="133">
        <f>IF(SER_hh_emih!W7=0,0,SER_hh_emih!W7/SER_summary!W$26)</f>
        <v>67.680450922419723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50.112049998193484</v>
      </c>
      <c r="C9" s="133">
        <f>IF(SER_hh_emih!C9=0,0,SER_hh_emih!C9/SER_summary!C$26)</f>
        <v>50.631019719213285</v>
      </c>
      <c r="D9" s="133">
        <f>IF(SER_hh_emih!D9=0,0,SER_hh_emih!D9/SER_summary!D$26)</f>
        <v>49.429671669002921</v>
      </c>
      <c r="E9" s="133">
        <f>IF(SER_hh_emih!E9=0,0,SER_hh_emih!E9/SER_summary!E$26)</f>
        <v>51.973628698299855</v>
      </c>
      <c r="F9" s="133">
        <f>IF(SER_hh_emih!F9=0,0,SER_hh_emih!F9/SER_summary!F$26)</f>
        <v>51.825093563403414</v>
      </c>
      <c r="G9" s="133">
        <f>IF(SER_hh_emih!G9=0,0,SER_hh_emih!G9/SER_summary!G$26)</f>
        <v>51.727503167648038</v>
      </c>
      <c r="H9" s="133">
        <f>IF(SER_hh_emih!H9=0,0,SER_hh_emih!H9/SER_summary!H$26)</f>
        <v>56.14899635260776</v>
      </c>
      <c r="I9" s="133">
        <f>IF(SER_hh_emih!I9=0,0,SER_hh_emih!I9/SER_summary!I$26)</f>
        <v>55.967042142354273</v>
      </c>
      <c r="J9" s="133">
        <f>IF(SER_hh_emih!J9=0,0,SER_hh_emih!J9/SER_summary!J$26)</f>
        <v>56.712640349027708</v>
      </c>
      <c r="K9" s="133">
        <f>IF(SER_hh_emih!K9=0,0,SER_hh_emih!K9/SER_summary!K$26)</f>
        <v>50.10148077595472</v>
      </c>
      <c r="L9" s="133">
        <f>IF(SER_hh_emih!L9=0,0,SER_hh_emih!L9/SER_summary!L$26)</f>
        <v>51.445226492090548</v>
      </c>
      <c r="M9" s="133">
        <f>IF(SER_hh_emih!M9=0,0,SER_hh_emih!M9/SER_summary!M$26)</f>
        <v>49.021702419523663</v>
      </c>
      <c r="N9" s="133">
        <f>IF(SER_hh_emih!N9=0,0,SER_hh_emih!N9/SER_summary!N$26)</f>
        <v>51.120715392133391</v>
      </c>
      <c r="O9" s="133">
        <f>IF(SER_hh_emih!O9=0,0,SER_hh_emih!O9/SER_summary!O$26)</f>
        <v>47.64634354438212</v>
      </c>
      <c r="P9" s="133">
        <f>IF(SER_hh_emih!P9=0,0,SER_hh_emih!P9/SER_summary!P$26)</f>
        <v>43.375061360005581</v>
      </c>
      <c r="Q9" s="133">
        <f>IF(SER_hh_emih!Q9=0,0,SER_hh_emih!Q9/SER_summary!Q$26)</f>
        <v>47.291687404808329</v>
      </c>
      <c r="R9" s="133">
        <f>IF(SER_hh_emih!R9=0,0,SER_hh_emih!R9/SER_summary!R$26)</f>
        <v>46.40250141719725</v>
      </c>
      <c r="S9" s="133">
        <f>IF(SER_hh_emih!S9=0,0,SER_hh_emih!S9/SER_summary!S$26)</f>
        <v>45.287327705699425</v>
      </c>
      <c r="T9" s="133">
        <f>IF(SER_hh_emih!T9=0,0,SER_hh_emih!T9/SER_summary!T$26)</f>
        <v>49.443027168407291</v>
      </c>
      <c r="U9" s="133">
        <f>IF(SER_hh_emih!U9=0,0,SER_hh_emih!U9/SER_summary!U$26)</f>
        <v>47.245574215000914</v>
      </c>
      <c r="V9" s="133">
        <f>IF(SER_hh_emih!V9=0,0,SER_hh_emih!V9/SER_summary!V$26)</f>
        <v>47.321830849543836</v>
      </c>
      <c r="W9" s="133">
        <f>IF(SER_hh_emih!W9=0,0,SER_hh_emih!W9/SER_summary!W$26)</f>
        <v>34.758630640959836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1.1621597388114507E-2</v>
      </c>
      <c r="C16" s="131">
        <f>IF(SER_hh_emih!C16=0,0,SER_hh_emih!C16/SER_summary!C$26)</f>
        <v>1.1661229030856379E-2</v>
      </c>
      <c r="D16" s="131">
        <f>IF(SER_hh_emih!D16=0,0,SER_hh_emih!D16/SER_summary!D$26)</f>
        <v>1.209930913736881E-2</v>
      </c>
      <c r="E16" s="131">
        <f>IF(SER_hh_emih!E16=0,0,SER_hh_emih!E16/SER_summary!E$26)</f>
        <v>1.0936541441908683E-2</v>
      </c>
      <c r="F16" s="131">
        <f>IF(SER_hh_emih!F16=0,0,SER_hh_emih!F16/SER_summary!F$26)</f>
        <v>1.212936265012626E-2</v>
      </c>
      <c r="G16" s="131">
        <f>IF(SER_hh_emih!G16=0,0,SER_hh_emih!G16/SER_summary!G$26)</f>
        <v>1.2260274990610297E-2</v>
      </c>
      <c r="H16" s="131">
        <f>IF(SER_hh_emih!H16=0,0,SER_hh_emih!H16/SER_summary!H$26)</f>
        <v>1.3835714576137496E-2</v>
      </c>
      <c r="I16" s="131">
        <f>IF(SER_hh_emih!I16=0,0,SER_hh_emih!I16/SER_summary!I$26)</f>
        <v>1.3751384922296672E-2</v>
      </c>
      <c r="J16" s="131">
        <f>IF(SER_hh_emih!J16=0,0,SER_hh_emih!J16/SER_summary!J$26)</f>
        <v>1.3138051931016798E-2</v>
      </c>
      <c r="K16" s="131">
        <f>IF(SER_hh_emih!K16=0,0,SER_hh_emih!K16/SER_summary!K$26)</f>
        <v>1.4095921620857075E-2</v>
      </c>
      <c r="L16" s="131">
        <f>IF(SER_hh_emih!L16=0,0,SER_hh_emih!L16/SER_summary!L$26)</f>
        <v>1.4749028383831441E-2</v>
      </c>
      <c r="M16" s="131">
        <f>IF(SER_hh_emih!M16=0,0,SER_hh_emih!M16/SER_summary!M$26)</f>
        <v>1.5525788568654244E-2</v>
      </c>
      <c r="N16" s="131">
        <f>IF(SER_hh_emih!N16=0,0,SER_hh_emih!N16/SER_summary!N$26)</f>
        <v>1.7474805405153917E-2</v>
      </c>
      <c r="O16" s="131">
        <f>IF(SER_hh_emih!O16=0,0,SER_hh_emih!O16/SER_summary!O$26)</f>
        <v>2.0688603500496807E-2</v>
      </c>
      <c r="P16" s="131">
        <f>IF(SER_hh_emih!P16=0,0,SER_hh_emih!P16/SER_summary!P$26)</f>
        <v>2.6210574034390689E-2</v>
      </c>
      <c r="Q16" s="131">
        <f>IF(SER_hh_emih!Q16=0,0,SER_hh_emih!Q16/SER_summary!Q$26)</f>
        <v>3.5541767904679479E-2</v>
      </c>
      <c r="R16" s="131">
        <f>IF(SER_hh_emih!R16=0,0,SER_hh_emih!R16/SER_summary!R$26)</f>
        <v>4.1853090601029756E-2</v>
      </c>
      <c r="S16" s="131">
        <f>IF(SER_hh_emih!S16=0,0,SER_hh_emih!S16/SER_summary!S$26)</f>
        <v>4.6452265667512822E-2</v>
      </c>
      <c r="T16" s="131">
        <f>IF(SER_hh_emih!T16=0,0,SER_hh_emih!T16/SER_summary!T$26)</f>
        <v>4.843251567853555E-2</v>
      </c>
      <c r="U16" s="131">
        <f>IF(SER_hh_emih!U16=0,0,SER_hh_emih!U16/SER_summary!U$26)</f>
        <v>4.9960924311504451E-2</v>
      </c>
      <c r="V16" s="131">
        <f>IF(SER_hh_emih!V16=0,0,SER_hh_emih!V16/SER_summary!V$26)</f>
        <v>5.0068862344519856E-2</v>
      </c>
      <c r="W16" s="131">
        <f>IF(SER_hh_emih!W16=0,0,SER_hh_emih!W16/SER_summary!W$26)</f>
        <v>4.7445828889838684E-2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3.9573971472413967</v>
      </c>
      <c r="C17" s="133">
        <f>IF(SER_hh_emih!C17=0,0,SER_hh_emih!C17/SER_summary!C$26)</f>
        <v>3.9017668060363353</v>
      </c>
      <c r="D17" s="133">
        <f>IF(SER_hh_emih!D17=0,0,SER_hh_emih!D17/SER_summary!D$26)</f>
        <v>3.9267909643366474</v>
      </c>
      <c r="E17" s="133">
        <f>IF(SER_hh_emih!E17=0,0,SER_hh_emih!E17/SER_summary!E$26)</f>
        <v>3.8775370815909942</v>
      </c>
      <c r="F17" s="133">
        <f>IF(SER_hh_emih!F17=0,0,SER_hh_emih!F17/SER_summary!F$26)</f>
        <v>3.8268648810918826</v>
      </c>
      <c r="G17" s="133">
        <f>IF(SER_hh_emih!G17=0,0,SER_hh_emih!G17/SER_summary!G$26)</f>
        <v>3.7333813510099771</v>
      </c>
      <c r="H17" s="133">
        <f>IF(SER_hh_emih!H17=0,0,SER_hh_emih!H17/SER_summary!H$26)</f>
        <v>3.7453281551695849</v>
      </c>
      <c r="I17" s="133">
        <f>IF(SER_hh_emih!I17=0,0,SER_hh_emih!I17/SER_summary!I$26)</f>
        <v>3.7301516700930017</v>
      </c>
      <c r="J17" s="133">
        <f>IF(SER_hh_emih!J17=0,0,SER_hh_emih!J17/SER_summary!J$26)</f>
        <v>3.7103311368715297</v>
      </c>
      <c r="K17" s="133">
        <f>IF(SER_hh_emih!K17=0,0,SER_hh_emih!K17/SER_summary!K$26)</f>
        <v>3.6884764479928789</v>
      </c>
      <c r="L17" s="133">
        <f>IF(SER_hh_emih!L17=0,0,SER_hh_emih!L17/SER_summary!L$26)</f>
        <v>3.7219376371982329</v>
      </c>
      <c r="M17" s="133">
        <f>IF(SER_hh_emih!M17=0,0,SER_hh_emih!M17/SER_summary!M$26)</f>
        <v>3.6875352188664068</v>
      </c>
      <c r="N17" s="133">
        <f>IF(SER_hh_emih!N17=0,0,SER_hh_emih!N17/SER_summary!N$26)</f>
        <v>3.7434675863789457</v>
      </c>
      <c r="O17" s="133">
        <f>IF(SER_hh_emih!O17=0,0,SER_hh_emih!O17/SER_summary!O$26)</f>
        <v>3.6497135846093878</v>
      </c>
      <c r="P17" s="133">
        <f>IF(SER_hh_emih!P17=0,0,SER_hh_emih!P17/SER_summary!P$26)</f>
        <v>3.6467159746631568</v>
      </c>
      <c r="Q17" s="133">
        <f>IF(SER_hh_emih!Q17=0,0,SER_hh_emih!Q17/SER_summary!Q$26)</f>
        <v>3.5600882634150577</v>
      </c>
      <c r="R17" s="133">
        <f>IF(SER_hh_emih!R17=0,0,SER_hh_emih!R17/SER_summary!R$26)</f>
        <v>3.5097071345532331</v>
      </c>
      <c r="S17" s="133">
        <f>IF(SER_hh_emih!S17=0,0,SER_hh_emih!S17/SER_summary!S$26)</f>
        <v>3.4477384950028371</v>
      </c>
      <c r="T17" s="133">
        <f>IF(SER_hh_emih!T17=0,0,SER_hh_emih!T17/SER_summary!T$26)</f>
        <v>3.410342372410291</v>
      </c>
      <c r="U17" s="133">
        <f>IF(SER_hh_emih!U17=0,0,SER_hh_emih!U17/SER_summary!U$26)</f>
        <v>3.385583763569934</v>
      </c>
      <c r="V17" s="133">
        <f>IF(SER_hh_emih!V17=0,0,SER_hh_emih!V17/SER_summary!V$26)</f>
        <v>3.0108806080344337</v>
      </c>
      <c r="W17" s="133">
        <f>IF(SER_hh_emih!W17=0,0,SER_hh_emih!W17/SER_summary!W$26)</f>
        <v>2.7493696234636036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5.1060751020778206</v>
      </c>
      <c r="C19" s="131">
        <f>IF(SER_hh_emih!C19=0,0,SER_hh_emih!C19/SER_summary!C$26)</f>
        <v>5.0502442114866124</v>
      </c>
      <c r="D19" s="131">
        <f>IF(SER_hh_emih!D19=0,0,SER_hh_emih!D19/SER_summary!D$26)</f>
        <v>4.8715319371579309</v>
      </c>
      <c r="E19" s="131">
        <f>IF(SER_hh_emih!E19=0,0,SER_hh_emih!E19/SER_summary!E$26)</f>
        <v>4.5787376787883174</v>
      </c>
      <c r="F19" s="131">
        <f>IF(SER_hh_emih!F19=0,0,SER_hh_emih!F19/SER_summary!F$26)</f>
        <v>4.4774956480932238</v>
      </c>
      <c r="G19" s="131">
        <f>IF(SER_hh_emih!G19=0,0,SER_hh_emih!G19/SER_summary!G$26)</f>
        <v>4.1976619071092784</v>
      </c>
      <c r="H19" s="131">
        <f>IF(SER_hh_emih!H19=0,0,SER_hh_emih!H19/SER_summary!H$26)</f>
        <v>3.9358437253803258</v>
      </c>
      <c r="I19" s="131">
        <f>IF(SER_hh_emih!I19=0,0,SER_hh_emih!I19/SER_summary!I$26)</f>
        <v>3.7150959479004184</v>
      </c>
      <c r="J19" s="131">
        <f>IF(SER_hh_emih!J19=0,0,SER_hh_emih!J19/SER_summary!J$26)</f>
        <v>3.6473141909513984</v>
      </c>
      <c r="K19" s="131">
        <f>IF(SER_hh_emih!K19=0,0,SER_hh_emih!K19/SER_summary!K$26)</f>
        <v>3.7553708223920688</v>
      </c>
      <c r="L19" s="131">
        <f>IF(SER_hh_emih!L19=0,0,SER_hh_emih!L19/SER_summary!L$26)</f>
        <v>3.8771368761339318</v>
      </c>
      <c r="M19" s="131">
        <f>IF(SER_hh_emih!M19=0,0,SER_hh_emih!M19/SER_summary!M$26)</f>
        <v>3.8964683141790859</v>
      </c>
      <c r="N19" s="131">
        <f>IF(SER_hh_emih!N19=0,0,SER_hh_emih!N19/SER_summary!N$26)</f>
        <v>3.9110486622823379</v>
      </c>
      <c r="O19" s="131">
        <f>IF(SER_hh_emih!O19=0,0,SER_hh_emih!O19/SER_summary!O$26)</f>
        <v>3.8895315998539588</v>
      </c>
      <c r="P19" s="131">
        <f>IF(SER_hh_emih!P19=0,0,SER_hh_emih!P19/SER_summary!P$26)</f>
        <v>3.9201234012853776</v>
      </c>
      <c r="Q19" s="131">
        <f>IF(SER_hh_emih!Q19=0,0,SER_hh_emih!Q19/SER_summary!Q$26)</f>
        <v>3.833301249837505</v>
      </c>
      <c r="R19" s="131">
        <f>IF(SER_hh_emih!R19=0,0,SER_hh_emih!R19/SER_summary!R$26)</f>
        <v>3.7029212377223342</v>
      </c>
      <c r="S19" s="131">
        <f>IF(SER_hh_emih!S19=0,0,SER_hh_emih!S19/SER_summary!S$26)</f>
        <v>3.7066459055797538</v>
      </c>
      <c r="T19" s="131">
        <f>IF(SER_hh_emih!T19=0,0,SER_hh_emih!T19/SER_summary!T$26)</f>
        <v>3.3708201776378268</v>
      </c>
      <c r="U19" s="131">
        <f>IF(SER_hh_emih!U19=0,0,SER_hh_emih!U19/SER_summary!U$26)</f>
        <v>3.2092170206851192</v>
      </c>
      <c r="V19" s="131">
        <f>IF(SER_hh_emih!V19=0,0,SER_hh_emih!V19/SER_summary!V$26)</f>
        <v>2.7472477575380516</v>
      </c>
      <c r="W19" s="131">
        <f>IF(SER_hh_emih!W19=0,0,SER_hh_emih!W19/SER_summary!W$26)</f>
        <v>2.8037558399977174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13.074875765758486</v>
      </c>
      <c r="C22" s="133">
        <f>IF(SER_hh_emih!C22=0,0,SER_hh_emih!C22/SER_summary!C$26)</f>
        <v>13.149839787976262</v>
      </c>
      <c r="D22" s="133">
        <f>IF(SER_hh_emih!D22=0,0,SER_hh_emih!D22/SER_summary!D$26)</f>
        <v>13.150201981003974</v>
      </c>
      <c r="E22" s="133">
        <f>IF(SER_hh_emih!E22=0,0,SER_hh_emih!E22/SER_summary!E$26)</f>
        <v>12.716024113514155</v>
      </c>
      <c r="F22" s="133">
        <f>IF(SER_hh_emih!F22=0,0,SER_hh_emih!F22/SER_summary!F$26)</f>
        <v>12.892902509876661</v>
      </c>
      <c r="G22" s="133">
        <f>IF(SER_hh_emih!G22=0,0,SER_hh_emih!G22/SER_summary!G$26)</f>
        <v>12.680260225854566</v>
      </c>
      <c r="H22" s="133">
        <f>IF(SER_hh_emih!H22=0,0,SER_hh_emih!H22/SER_summary!H$26)</f>
        <v>12.368011795941655</v>
      </c>
      <c r="I22" s="133">
        <f>IF(SER_hh_emih!I22=0,0,SER_hh_emih!I22/SER_summary!I$26)</f>
        <v>12.307364887429058</v>
      </c>
      <c r="J22" s="133">
        <f>IF(SER_hh_emih!J22=0,0,SER_hh_emih!J22/SER_summary!J$26)</f>
        <v>12.574394867694933</v>
      </c>
      <c r="K22" s="133">
        <f>IF(SER_hh_emih!K22=0,0,SER_hh_emih!K22/SER_summary!K$26)</f>
        <v>12.657988741386138</v>
      </c>
      <c r="L22" s="133">
        <f>IF(SER_hh_emih!L22=0,0,SER_hh_emih!L22/SER_summary!L$26)</f>
        <v>13.07915637452842</v>
      </c>
      <c r="M22" s="133">
        <f>IF(SER_hh_emih!M22=0,0,SER_hh_emih!M22/SER_summary!M$26)</f>
        <v>13.081231587360422</v>
      </c>
      <c r="N22" s="133">
        <f>IF(SER_hh_emih!N22=0,0,SER_hh_emih!N22/SER_summary!N$26)</f>
        <v>12.959149272315754</v>
      </c>
      <c r="O22" s="133">
        <f>IF(SER_hh_emih!O22=0,0,SER_hh_emih!O22/SER_summary!O$26)</f>
        <v>12.575750143624477</v>
      </c>
      <c r="P22" s="133">
        <f>IF(SER_hh_emih!P22=0,0,SER_hh_emih!P22/SER_summary!P$26)</f>
        <v>12.674266330800506</v>
      </c>
      <c r="Q22" s="133">
        <f>IF(SER_hh_emih!Q22=0,0,SER_hh_emih!Q22/SER_summary!Q$26)</f>
        <v>12.434109460915217</v>
      </c>
      <c r="R22" s="133">
        <f>IF(SER_hh_emih!R22=0,0,SER_hh_emih!R22/SER_summary!R$26)</f>
        <v>12.190560930007948</v>
      </c>
      <c r="S22" s="133">
        <f>IF(SER_hh_emih!S22=0,0,SER_hh_emih!S22/SER_summary!S$26)</f>
        <v>12.466777760346874</v>
      </c>
      <c r="T22" s="133">
        <f>IF(SER_hh_emih!T22=0,0,SER_hh_emih!T22/SER_summary!T$26)</f>
        <v>12.025864644766479</v>
      </c>
      <c r="U22" s="133">
        <f>IF(SER_hh_emih!U22=0,0,SER_hh_emih!U22/SER_summary!U$26)</f>
        <v>12.01634466228789</v>
      </c>
      <c r="V22" s="133">
        <f>IF(SER_hh_emih!V22=0,0,SER_hh_emih!V22/SER_summary!V$26)</f>
        <v>10.894034993102849</v>
      </c>
      <c r="W22" s="133">
        <f>IF(SER_hh_emih!W22=0,0,SER_hh_emih!W22/SER_summary!W$26)</f>
        <v>11.402239811300234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9.5398871890231778</v>
      </c>
      <c r="C23" s="133">
        <f>IF(SER_hh_emih!C23=0,0,SER_hh_emih!C23/SER_summary!C$26)</f>
        <v>9.6667367883328001</v>
      </c>
      <c r="D23" s="133">
        <f>IF(SER_hh_emih!D23=0,0,SER_hh_emih!D23/SER_summary!D$26)</f>
        <v>9.4571981348112821</v>
      </c>
      <c r="E23" s="133">
        <f>IF(SER_hh_emih!E23=0,0,SER_hh_emih!E23/SER_summary!E$26)</f>
        <v>9.1336291658604978</v>
      </c>
      <c r="F23" s="133">
        <f>IF(SER_hh_emih!F23=0,0,SER_hh_emih!F23/SER_summary!F$26)</f>
        <v>9.1152335394676367</v>
      </c>
      <c r="G23" s="133">
        <f>IF(SER_hh_emih!G23=0,0,SER_hh_emih!G23/SER_summary!G$26)</f>
        <v>8.9400486275074869</v>
      </c>
      <c r="H23" s="133">
        <f>IF(SER_hh_emih!H23=0,0,SER_hh_emih!H23/SER_summary!H$26)</f>
        <v>8.6665434904431535</v>
      </c>
      <c r="I23" s="133">
        <f>IF(SER_hh_emih!I23=0,0,SER_hh_emih!I23/SER_summary!I$26)</f>
        <v>8.686194673114306</v>
      </c>
      <c r="J23" s="133">
        <f>IF(SER_hh_emih!J23=0,0,SER_hh_emih!J23/SER_summary!J$26)</f>
        <v>8.5315930466802872</v>
      </c>
      <c r="K23" s="133">
        <f>IF(SER_hh_emih!K23=0,0,SER_hh_emih!K23/SER_summary!K$26)</f>
        <v>8.7575565113789828</v>
      </c>
      <c r="L23" s="133">
        <f>IF(SER_hh_emih!L23=0,0,SER_hh_emih!L23/SER_summary!L$26)</f>
        <v>8.87207193361089</v>
      </c>
      <c r="M23" s="133">
        <f>IF(SER_hh_emih!M23=0,0,SER_hh_emih!M23/SER_summary!M$26)</f>
        <v>8.8966733018782733</v>
      </c>
      <c r="N23" s="133">
        <f>IF(SER_hh_emih!N23=0,0,SER_hh_emih!N23/SER_summary!N$26)</f>
        <v>8.6459442972311198</v>
      </c>
      <c r="O23" s="133">
        <f>IF(SER_hh_emih!O23=0,0,SER_hh_emih!O23/SER_summary!O$26)</f>
        <v>8.5183160623953604</v>
      </c>
      <c r="P23" s="133">
        <f>IF(SER_hh_emih!P23=0,0,SER_hh_emih!P23/SER_summary!P$26)</f>
        <v>8.521560617288042</v>
      </c>
      <c r="Q23" s="133">
        <f>IF(SER_hh_emih!Q23=0,0,SER_hh_emih!Q23/SER_summary!Q$26)</f>
        <v>8.2759013222304905</v>
      </c>
      <c r="R23" s="133">
        <f>IF(SER_hh_emih!R23=0,0,SER_hh_emih!R23/SER_summary!R$26)</f>
        <v>8.2265571986985435</v>
      </c>
      <c r="S23" s="133">
        <f>IF(SER_hh_emih!S23=0,0,SER_hh_emih!S23/SER_summary!S$26)</f>
        <v>8.3530733394615115</v>
      </c>
      <c r="T23" s="133">
        <f>IF(SER_hh_emih!T23=0,0,SER_hh_emih!T23/SER_summary!T$26)</f>
        <v>7.9412622975936191</v>
      </c>
      <c r="U23" s="133">
        <f>IF(SER_hh_emih!U23=0,0,SER_hh_emih!U23/SER_summary!U$26)</f>
        <v>7.9386850781166265</v>
      </c>
      <c r="V23" s="133">
        <f>IF(SER_hh_emih!V23=0,0,SER_hh_emih!V23/SER_summary!V$26)</f>
        <v>7.2785160324825613</v>
      </c>
      <c r="W23" s="133">
        <f>IF(SER_hh_emih!W23=0,0,SER_hh_emih!W23/SER_summary!W$26)</f>
        <v>7.5621023949591155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4.6897050394663937</v>
      </c>
      <c r="C29" s="131">
        <f>IF(SER_hh_emih!C29=0,0,SER_hh_emih!C29/SER_summary!C$26)</f>
        <v>4.8967071071545414</v>
      </c>
      <c r="D29" s="131">
        <f>IF(SER_hh_emih!D29=0,0,SER_hh_emih!D29/SER_summary!D$26)</f>
        <v>4.8134202937300534</v>
      </c>
      <c r="E29" s="131">
        <f>IF(SER_hh_emih!E29=0,0,SER_hh_emih!E29/SER_summary!E$26)</f>
        <v>4.8778931205156244</v>
      </c>
      <c r="F29" s="131">
        <f>IF(SER_hh_emih!F29=0,0,SER_hh_emih!F29/SER_summary!F$26)</f>
        <v>5.101183050885731</v>
      </c>
      <c r="G29" s="131">
        <f>IF(SER_hh_emih!G29=0,0,SER_hh_emih!G29/SER_summary!G$26)</f>
        <v>5.6439284055151937</v>
      </c>
      <c r="H29" s="131">
        <f>IF(SER_hh_emih!H29=0,0,SER_hh_emih!H29/SER_summary!H$26)</f>
        <v>5.6840473869591097</v>
      </c>
      <c r="I29" s="131">
        <f>IF(SER_hh_emih!I29=0,0,SER_hh_emih!I29/SER_summary!I$26)</f>
        <v>5.6305339592541053</v>
      </c>
      <c r="J29" s="131">
        <f>IF(SER_hh_emih!J29=0,0,SER_hh_emih!J29/SER_summary!J$26)</f>
        <v>6.1687944699927995</v>
      </c>
      <c r="K29" s="131">
        <f>IF(SER_hh_emih!K29=0,0,SER_hh_emih!K29/SER_summary!K$26)</f>
        <v>4.9742075365491161</v>
      </c>
      <c r="L29" s="131">
        <f>IF(SER_hh_emih!L29=0,0,SER_hh_emih!L29/SER_summary!L$26)</f>
        <v>6.1389276672812212</v>
      </c>
      <c r="M29" s="131">
        <f>IF(SER_hh_emih!M29=0,0,SER_hh_emih!M29/SER_summary!M$26)</f>
        <v>6.0953607508120173</v>
      </c>
      <c r="N29" s="131">
        <f>IF(SER_hh_emih!N29=0,0,SER_hh_emih!N29/SER_summary!N$26)</f>
        <v>5.8629320755177634</v>
      </c>
      <c r="O29" s="131">
        <f>IF(SER_hh_emih!O29=0,0,SER_hh_emih!O29/SER_summary!O$26)</f>
        <v>6.5756091180209264</v>
      </c>
      <c r="P29" s="131">
        <f>IF(SER_hh_emih!P29=0,0,SER_hh_emih!P29/SER_summary!P$26)</f>
        <v>5.3756886333571137</v>
      </c>
      <c r="Q29" s="131">
        <f>IF(SER_hh_emih!Q29=0,0,SER_hh_emih!Q29/SER_summary!Q$26)</f>
        <v>5.7096448551654921</v>
      </c>
      <c r="R29" s="131">
        <f>IF(SER_hh_emih!R29=0,0,SER_hh_emih!R29/SER_summary!R$26)</f>
        <v>4.929379983596001</v>
      </c>
      <c r="S29" s="131">
        <f>IF(SER_hh_emih!S29=0,0,SER_hh_emih!S29/SER_summary!S$26)</f>
        <v>4.9590688126734763</v>
      </c>
      <c r="T29" s="131">
        <f>IF(SER_hh_emih!T29=0,0,SER_hh_emih!T29/SER_summary!T$26)</f>
        <v>5.218424689344439</v>
      </c>
      <c r="U29" s="131">
        <f>IF(SER_hh_emih!U29=0,0,SER_hh_emih!U29/SER_summary!U$26)</f>
        <v>5.1148007009173968</v>
      </c>
      <c r="V29" s="131">
        <f>IF(SER_hh_emih!V29=0,0,SER_hh_emih!V29/SER_summary!V$26)</f>
        <v>4.2075095425789897</v>
      </c>
      <c r="W29" s="131">
        <f>IF(SER_hh_emih!W29=0,0,SER_hh_emih!W29/SER_summary!W$26)</f>
        <v>4.6437263404571185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10.244186667431519</v>
      </c>
      <c r="C30" s="133">
        <f>IF(SER_hh_emih!C30=0,0,SER_hh_emih!C30/SER_summary!C$26)</f>
        <v>10.82035458344907</v>
      </c>
      <c r="D30" s="133">
        <f>IF(SER_hh_emih!D30=0,0,SER_hh_emih!D30/SER_summary!D$26)</f>
        <v>10.427281644431266</v>
      </c>
      <c r="E30" s="133">
        <f>IF(SER_hh_emih!E30=0,0,SER_hh_emih!E30/SER_summary!E$26)</f>
        <v>10.177364294109362</v>
      </c>
      <c r="F30" s="133">
        <f>IF(SER_hh_emih!F30=0,0,SER_hh_emih!F30/SER_summary!F$26)</f>
        <v>10.068368479471761</v>
      </c>
      <c r="G30" s="133">
        <f>IF(SER_hh_emih!G30=0,0,SER_hh_emih!G30/SER_summary!G$26)</f>
        <v>10.715381619090628</v>
      </c>
      <c r="H30" s="133">
        <f>IF(SER_hh_emih!H30=0,0,SER_hh_emih!H30/SER_summary!H$26)</f>
        <v>10.229676909467839</v>
      </c>
      <c r="I30" s="133">
        <f>IF(SER_hh_emih!I30=0,0,SER_hh_emih!I30/SER_summary!I$26)</f>
        <v>9.9355826765832962</v>
      </c>
      <c r="J30" s="133">
        <f>IF(SER_hh_emih!J30=0,0,SER_hh_emih!J30/SER_summary!J$26)</f>
        <v>11.472966544588271</v>
      </c>
      <c r="K30" s="133">
        <f>IF(SER_hh_emih!K30=0,0,SER_hh_emih!K30/SER_summary!K$26)</f>
        <v>8.6420615097902047</v>
      </c>
      <c r="L30" s="133">
        <f>IF(SER_hh_emih!L30=0,0,SER_hh_emih!L30/SER_summary!L$26)</f>
        <v>11.153292580867666</v>
      </c>
      <c r="M30" s="133">
        <f>IF(SER_hh_emih!M30=0,0,SER_hh_emih!M30/SER_summary!M$26)</f>
        <v>10.989995546055844</v>
      </c>
      <c r="N30" s="133">
        <f>IF(SER_hh_emih!N30=0,0,SER_hh_emih!N30/SER_summary!N$26)</f>
        <v>10.554566802609015</v>
      </c>
      <c r="O30" s="133">
        <f>IF(SER_hh_emih!O30=0,0,SER_hh_emih!O30/SER_summary!O$26)</f>
        <v>12.365299941766738</v>
      </c>
      <c r="P30" s="133">
        <f>IF(SER_hh_emih!P30=0,0,SER_hh_emih!P30/SER_summary!P$26)</f>
        <v>10.473916278499807</v>
      </c>
      <c r="Q30" s="133">
        <f>IF(SER_hh_emih!Q30=0,0,SER_hh_emih!Q30/SER_summary!Q$26)</f>
        <v>11.703328554538443</v>
      </c>
      <c r="R30" s="133">
        <f>IF(SER_hh_emih!R30=0,0,SER_hh_emih!R30/SER_summary!R$26)</f>
        <v>10.603207375238615</v>
      </c>
      <c r="S30" s="133">
        <f>IF(SER_hh_emih!S30=0,0,SER_hh_emih!S30/SER_summary!S$26)</f>
        <v>10.992177341646636</v>
      </c>
      <c r="T30" s="133">
        <f>IF(SER_hh_emih!T30=0,0,SER_hh_emih!T30/SER_summary!T$26)</f>
        <v>11.942860175021613</v>
      </c>
      <c r="U30" s="133">
        <f>IF(SER_hh_emih!U30=0,0,SER_hh_emih!U30/SER_summary!U$26)</f>
        <v>12.01310690262935</v>
      </c>
      <c r="V30" s="133">
        <f>IF(SER_hh_emih!V30=0,0,SER_hh_emih!V30/SER_summary!V$26)</f>
        <v>10.253489174714066</v>
      </c>
      <c r="W30" s="133">
        <f>IF(SER_hh_emih!W30=0,0,SER_hh_emih!W30/SER_summary!W$26)</f>
        <v>11.851153234514587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9.5050318085563141</v>
      </c>
      <c r="C31" s="133">
        <f>IF(SER_hh_emih!C31=0,0,SER_hh_emih!C31/SER_summary!C$26)</f>
        <v>9.4195888290262726</v>
      </c>
      <c r="D31" s="133">
        <f>IF(SER_hh_emih!D31=0,0,SER_hh_emih!D31/SER_summary!D$26)</f>
        <v>9.2612939663161793</v>
      </c>
      <c r="E31" s="133">
        <f>IF(SER_hh_emih!E31=0,0,SER_hh_emih!E31/SER_summary!E$26)</f>
        <v>9.0586572236743503</v>
      </c>
      <c r="F31" s="133">
        <f>IF(SER_hh_emih!F31=0,0,SER_hh_emih!F31/SER_summary!F$26)</f>
        <v>9.1312686128480305</v>
      </c>
      <c r="G31" s="133">
        <f>IF(SER_hh_emih!G31=0,0,SER_hh_emih!G31/SER_summary!G$26)</f>
        <v>9.0544480441333128</v>
      </c>
      <c r="H31" s="133">
        <f>IF(SER_hh_emih!H31=0,0,SER_hh_emih!H31/SER_summary!H$26)</f>
        <v>9.0247196132985152</v>
      </c>
      <c r="I31" s="133">
        <f>IF(SER_hh_emih!I31=0,0,SER_hh_emih!I31/SER_summary!I$26)</f>
        <v>8.8485184482958665</v>
      </c>
      <c r="J31" s="133">
        <f>IF(SER_hh_emih!J31=0,0,SER_hh_emih!J31/SER_summary!J$26)</f>
        <v>8.7878780238115972</v>
      </c>
      <c r="K31" s="133">
        <f>IF(SER_hh_emih!K31=0,0,SER_hh_emih!K31/SER_summary!K$26)</f>
        <v>8.9805082787188368</v>
      </c>
      <c r="L31" s="133">
        <f>IF(SER_hh_emih!L31=0,0,SER_hh_emih!L31/SER_summary!L$26)</f>
        <v>9.0922843695184437</v>
      </c>
      <c r="M31" s="133">
        <f>IF(SER_hh_emih!M31=0,0,SER_hh_emih!M31/SER_summary!M$26)</f>
        <v>9.3991120207906622</v>
      </c>
      <c r="N31" s="133">
        <f>IF(SER_hh_emih!N31=0,0,SER_hh_emih!N31/SER_summary!N$26)</f>
        <v>9.7270582401816981</v>
      </c>
      <c r="O31" s="133">
        <f>IF(SER_hh_emih!O31=0,0,SER_hh_emih!O31/SER_summary!O$26)</f>
        <v>9.7326494031448192</v>
      </c>
      <c r="P31" s="133">
        <f>IF(SER_hh_emih!P31=0,0,SER_hh_emih!P31/SER_summary!P$26)</f>
        <v>9.639301926504908</v>
      </c>
      <c r="Q31" s="133">
        <f>IF(SER_hh_emih!Q31=0,0,SER_hh_emih!Q31/SER_summary!Q$26)</f>
        <v>9.8820376041257543</v>
      </c>
      <c r="R31" s="133">
        <f>IF(SER_hh_emih!R31=0,0,SER_hh_emih!R31/SER_summary!R$26)</f>
        <v>9.8895311941892494</v>
      </c>
      <c r="S31" s="133">
        <f>IF(SER_hh_emih!S31=0,0,SER_hh_emih!S31/SER_summary!S$26)</f>
        <v>9.7878167253931565</v>
      </c>
      <c r="T31" s="133">
        <f>IF(SER_hh_emih!T31=0,0,SER_hh_emih!T31/SER_summary!T$26)</f>
        <v>10.022363887591032</v>
      </c>
      <c r="U31" s="133">
        <f>IF(SER_hh_emih!U31=0,0,SER_hh_emih!U31/SER_summary!U$26)</f>
        <v>10.061588672931508</v>
      </c>
      <c r="V31" s="133">
        <f>IF(SER_hh_emih!V31=0,0,SER_hh_emih!V31/SER_summary!V$26)</f>
        <v>9.3098869342085937</v>
      </c>
      <c r="W31" s="133">
        <f>IF(SER_hh_emih!W31=0,0,SER_hh_emih!W31/SER_summary!W$26)</f>
        <v>10.102089742528269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1124.0454790146205</v>
      </c>
      <c r="D3" s="125">
        <f t="shared" si="0"/>
        <v>1140.4362992821509</v>
      </c>
      <c r="E3" s="125">
        <f t="shared" si="0"/>
        <v>950.97802125069177</v>
      </c>
      <c r="F3" s="125">
        <f t="shared" si="0"/>
        <v>1079.1610961709705</v>
      </c>
      <c r="G3" s="125">
        <f t="shared" si="0"/>
        <v>1540.6837993981881</v>
      </c>
      <c r="H3" s="125">
        <f t="shared" si="0"/>
        <v>1426.9106279890798</v>
      </c>
      <c r="I3" s="125">
        <f t="shared" si="0"/>
        <v>2553.0561680770224</v>
      </c>
      <c r="J3" s="125">
        <f t="shared" si="0"/>
        <v>855.71458166808713</v>
      </c>
      <c r="K3" s="125">
        <f t="shared" si="0"/>
        <v>190.48093167796327</v>
      </c>
      <c r="L3" s="125">
        <f t="shared" si="0"/>
        <v>185.36571484262146</v>
      </c>
      <c r="M3" s="125">
        <f t="shared" si="0"/>
        <v>503.68138609626624</v>
      </c>
      <c r="N3" s="125">
        <f t="shared" si="0"/>
        <v>184.3913878263659</v>
      </c>
      <c r="O3" s="125">
        <f t="shared" si="0"/>
        <v>418.98473114169667</v>
      </c>
      <c r="P3" s="125">
        <f t="shared" si="0"/>
        <v>897.96185335719645</v>
      </c>
      <c r="Q3" s="125">
        <f t="shared" si="0"/>
        <v>372.25353870831748</v>
      </c>
      <c r="R3" s="125">
        <f t="shared" si="0"/>
        <v>1580.6378810539916</v>
      </c>
      <c r="S3" s="125">
        <f t="shared" si="0"/>
        <v>1049.424756837102</v>
      </c>
      <c r="T3" s="125">
        <f t="shared" si="0"/>
        <v>1341.6929559896494</v>
      </c>
      <c r="U3" s="125">
        <f t="shared" si="0"/>
        <v>1118.7687596014985</v>
      </c>
      <c r="V3" s="125">
        <f t="shared" si="0"/>
        <v>1002.6570085529056</v>
      </c>
      <c r="W3" s="125">
        <f t="shared" si="0"/>
        <v>934.83310160089809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1124.0454790146205</v>
      </c>
      <c r="D4" s="140">
        <f t="shared" si="1"/>
        <v>1140.4362992821509</v>
      </c>
      <c r="E4" s="140">
        <f t="shared" si="1"/>
        <v>950.97802125069177</v>
      </c>
      <c r="F4" s="140">
        <f t="shared" si="1"/>
        <v>1079.1610961709705</v>
      </c>
      <c r="G4" s="140">
        <f t="shared" si="1"/>
        <v>1540.6837993981881</v>
      </c>
      <c r="H4" s="140">
        <f t="shared" si="1"/>
        <v>1426.9106279890798</v>
      </c>
      <c r="I4" s="140">
        <f t="shared" si="1"/>
        <v>2553.0561680770224</v>
      </c>
      <c r="J4" s="140">
        <f t="shared" si="1"/>
        <v>855.71458166808713</v>
      </c>
      <c r="K4" s="140">
        <f t="shared" si="1"/>
        <v>190.48093167796327</v>
      </c>
      <c r="L4" s="140">
        <f t="shared" si="1"/>
        <v>185.36571484262146</v>
      </c>
      <c r="M4" s="140">
        <f t="shared" si="1"/>
        <v>503.68138609626624</v>
      </c>
      <c r="N4" s="140">
        <f t="shared" si="1"/>
        <v>184.3913878263659</v>
      </c>
      <c r="O4" s="140">
        <f t="shared" si="1"/>
        <v>418.98473114169667</v>
      </c>
      <c r="P4" s="140">
        <f t="shared" si="1"/>
        <v>897.96185335719645</v>
      </c>
      <c r="Q4" s="140">
        <f t="shared" si="1"/>
        <v>372.25353870831748</v>
      </c>
      <c r="R4" s="140">
        <f t="shared" ref="R4:W4" si="2">SUM(R5:R14)</f>
        <v>1580.6378810539916</v>
      </c>
      <c r="S4" s="140">
        <f t="shared" si="2"/>
        <v>1049.424756837102</v>
      </c>
      <c r="T4" s="140">
        <f t="shared" si="2"/>
        <v>1341.6929559896494</v>
      </c>
      <c r="U4" s="140">
        <f t="shared" si="2"/>
        <v>1118.7687596014985</v>
      </c>
      <c r="V4" s="140">
        <f t="shared" si="2"/>
        <v>1002.6570085529056</v>
      </c>
      <c r="W4" s="140">
        <f t="shared" si="2"/>
        <v>934.83310160089809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7.6359978638500383</v>
      </c>
      <c r="D5" s="141">
        <v>56.675225195855546</v>
      </c>
      <c r="E5" s="141">
        <v>105.35288908964831</v>
      </c>
      <c r="F5" s="141">
        <v>45.010706484831367</v>
      </c>
      <c r="G5" s="141">
        <v>19.83495321034388</v>
      </c>
      <c r="H5" s="141">
        <v>7.0726123315975755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1.500272859032058</v>
      </c>
      <c r="S5" s="141">
        <v>0.38915961190348214</v>
      </c>
      <c r="T5" s="141">
        <v>0.69532931657571218</v>
      </c>
      <c r="U5" s="141">
        <v>1.1582836801792336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229.16830398548524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98.536768644991184</v>
      </c>
      <c r="K7" s="141">
        <v>39.249861912134413</v>
      </c>
      <c r="L7" s="141">
        <v>44.131843695032948</v>
      </c>
      <c r="M7" s="141">
        <v>122.02455744804858</v>
      </c>
      <c r="N7" s="141">
        <v>67.172833705047424</v>
      </c>
      <c r="O7" s="141">
        <v>172.42046309406857</v>
      </c>
      <c r="P7" s="141">
        <v>206.75391116617365</v>
      </c>
      <c r="Q7" s="141">
        <v>39.086033192673383</v>
      </c>
      <c r="R7" s="141">
        <v>19.965278615761957</v>
      </c>
      <c r="S7" s="141">
        <v>0</v>
      </c>
      <c r="T7" s="141">
        <v>0</v>
      </c>
      <c r="U7" s="141">
        <v>0</v>
      </c>
      <c r="V7" s="141">
        <v>7.098787550797069</v>
      </c>
      <c r="W7" s="141">
        <v>27.367088039236968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178.67251708720789</v>
      </c>
      <c r="D9" s="141">
        <v>182.3026905256491</v>
      </c>
      <c r="E9" s="141">
        <v>179.50552279730931</v>
      </c>
      <c r="F9" s="141">
        <v>312.81993280258382</v>
      </c>
      <c r="G9" s="141">
        <v>401.45419104468073</v>
      </c>
      <c r="H9" s="141">
        <v>455.27756136413223</v>
      </c>
      <c r="I9" s="141">
        <v>675.21561333010754</v>
      </c>
      <c r="J9" s="141">
        <v>289.22019120561191</v>
      </c>
      <c r="K9" s="141">
        <v>118.40600903042728</v>
      </c>
      <c r="L9" s="141">
        <v>115.2726823308774</v>
      </c>
      <c r="M9" s="141">
        <v>233.75592330668795</v>
      </c>
      <c r="N9" s="141">
        <v>92.980346999213978</v>
      </c>
      <c r="O9" s="141">
        <v>130.56863903761703</v>
      </c>
      <c r="P9" s="141">
        <v>248.48887042045556</v>
      </c>
      <c r="Q9" s="141">
        <v>84.853961633765095</v>
      </c>
      <c r="R9" s="141">
        <v>434.36648936494436</v>
      </c>
      <c r="S9" s="141">
        <v>321.15647042806859</v>
      </c>
      <c r="T9" s="141">
        <v>459.31152768422163</v>
      </c>
      <c r="U9" s="141">
        <v>544.5445155004353</v>
      </c>
      <c r="V9" s="141">
        <v>465.51793000164844</v>
      </c>
      <c r="W9" s="141">
        <v>456.75378424696925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12.442537870877347</v>
      </c>
      <c r="H10" s="141">
        <v>23.799912222535941</v>
      </c>
      <c r="I10" s="141">
        <v>63.525391989052011</v>
      </c>
      <c r="J10" s="141">
        <v>28.390843406481814</v>
      </c>
      <c r="K10" s="141">
        <v>8.4067238041436827</v>
      </c>
      <c r="L10" s="141">
        <v>3.1680107439644538</v>
      </c>
      <c r="M10" s="141">
        <v>12.90571202456815</v>
      </c>
      <c r="N10" s="141">
        <v>6.6142463726641409</v>
      </c>
      <c r="O10" s="141">
        <v>8.1572682344093845</v>
      </c>
      <c r="P10" s="141">
        <v>12.46911288304835</v>
      </c>
      <c r="Q10" s="141">
        <v>2.4611068611607667</v>
      </c>
      <c r="R10" s="141">
        <v>5.9199114986482106</v>
      </c>
      <c r="S10" s="141">
        <v>0</v>
      </c>
      <c r="T10" s="141">
        <v>0</v>
      </c>
      <c r="U10" s="141">
        <v>0</v>
      </c>
      <c r="V10" s="141">
        <v>1.2279696041181261</v>
      </c>
      <c r="W10" s="141">
        <v>9.3115446354724085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0.11677958031012306</v>
      </c>
      <c r="D13" s="141">
        <v>2.6858334095038638</v>
      </c>
      <c r="E13" s="141">
        <v>5.6333927944021465</v>
      </c>
      <c r="F13" s="141">
        <v>12.500069628986697</v>
      </c>
      <c r="G13" s="141">
        <v>31.509104537098022</v>
      </c>
      <c r="H13" s="141">
        <v>41.649156785989476</v>
      </c>
      <c r="I13" s="141">
        <v>73.096538093479893</v>
      </c>
      <c r="J13" s="141">
        <v>29.596340910134959</v>
      </c>
      <c r="K13" s="141">
        <v>8.1926384336309184</v>
      </c>
      <c r="L13" s="141">
        <v>4.5161811177112385</v>
      </c>
      <c r="M13" s="141">
        <v>9.8501941363031555</v>
      </c>
      <c r="N13" s="141">
        <v>4.0534206479320893</v>
      </c>
      <c r="O13" s="141">
        <v>10.669914434174043</v>
      </c>
      <c r="P13" s="141">
        <v>51.969394075506393</v>
      </c>
      <c r="Q13" s="141">
        <v>24.406682863965504</v>
      </c>
      <c r="R13" s="141">
        <v>78.061831991337456</v>
      </c>
      <c r="S13" s="141">
        <v>49.620942124933705</v>
      </c>
      <c r="T13" s="141">
        <v>45.132020507635517</v>
      </c>
      <c r="U13" s="141">
        <v>67.228055902836701</v>
      </c>
      <c r="V13" s="141">
        <v>90.041576970326958</v>
      </c>
      <c r="W13" s="141">
        <v>79.89054256727681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708.45188049776709</v>
      </c>
      <c r="D14" s="142">
        <v>898.77255015114247</v>
      </c>
      <c r="E14" s="142">
        <v>660.48621656933199</v>
      </c>
      <c r="F14" s="142">
        <v>708.83038725456868</v>
      </c>
      <c r="G14" s="142">
        <v>1075.4430127351882</v>
      </c>
      <c r="H14" s="142">
        <v>899.11138528482456</v>
      </c>
      <c r="I14" s="142">
        <v>1741.218624664383</v>
      </c>
      <c r="J14" s="142">
        <v>409.97043750086726</v>
      </c>
      <c r="K14" s="142">
        <v>16.22569849762694</v>
      </c>
      <c r="L14" s="142">
        <v>18.27699695503544</v>
      </c>
      <c r="M14" s="142">
        <v>125.14499918065839</v>
      </c>
      <c r="N14" s="142">
        <v>13.570540101508307</v>
      </c>
      <c r="O14" s="142">
        <v>97.168446341427639</v>
      </c>
      <c r="P14" s="142">
        <v>378.28056481201247</v>
      </c>
      <c r="Q14" s="142">
        <v>221.44575415675271</v>
      </c>
      <c r="R14" s="142">
        <v>1040.8240967242675</v>
      </c>
      <c r="S14" s="142">
        <v>678.25818467219619</v>
      </c>
      <c r="T14" s="142">
        <v>836.55407848121661</v>
      </c>
      <c r="U14" s="142">
        <v>505.83790451804731</v>
      </c>
      <c r="V14" s="142">
        <v>438.77074442601503</v>
      </c>
      <c r="W14" s="142">
        <v>361.51014211194263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415.47681893654317</v>
      </c>
      <c r="D15" s="144">
        <f t="shared" si="3"/>
        <v>238.97791572150464</v>
      </c>
      <c r="E15" s="144">
        <f t="shared" si="3"/>
        <v>284.85841188695764</v>
      </c>
      <c r="F15" s="144">
        <f t="shared" si="3"/>
        <v>357.83063928741518</v>
      </c>
      <c r="G15" s="144">
        <f t="shared" si="3"/>
        <v>433.73168212590195</v>
      </c>
      <c r="H15" s="144">
        <f t="shared" si="3"/>
        <v>486.15008591826575</v>
      </c>
      <c r="I15" s="144">
        <f t="shared" si="3"/>
        <v>738.74100531915951</v>
      </c>
      <c r="J15" s="144">
        <f t="shared" si="3"/>
        <v>416.14780325708489</v>
      </c>
      <c r="K15" s="144">
        <f t="shared" si="3"/>
        <v>166.0625947467054</v>
      </c>
      <c r="L15" s="144">
        <f t="shared" si="3"/>
        <v>162.5725367698748</v>
      </c>
      <c r="M15" s="144">
        <f t="shared" si="3"/>
        <v>368.68619277930469</v>
      </c>
      <c r="N15" s="144">
        <f t="shared" si="3"/>
        <v>166.76742707692551</v>
      </c>
      <c r="O15" s="144">
        <f t="shared" si="3"/>
        <v>311.14637036609503</v>
      </c>
      <c r="P15" s="144">
        <f t="shared" si="3"/>
        <v>467.71189446967759</v>
      </c>
      <c r="Q15" s="144">
        <f t="shared" si="3"/>
        <v>126.40110168759925</v>
      </c>
      <c r="R15" s="144">
        <f t="shared" ref="R15:W15" si="4">SUM(R5:R12)</f>
        <v>461.75195233838662</v>
      </c>
      <c r="S15" s="144">
        <f t="shared" si="4"/>
        <v>321.54563003997208</v>
      </c>
      <c r="T15" s="144">
        <f t="shared" si="4"/>
        <v>460.00685700079737</v>
      </c>
      <c r="U15" s="144">
        <f t="shared" si="4"/>
        <v>545.70279918061453</v>
      </c>
      <c r="V15" s="144">
        <f t="shared" si="4"/>
        <v>473.84468715656362</v>
      </c>
      <c r="W15" s="144">
        <f t="shared" si="4"/>
        <v>493.43241692167862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1124.0454790146205</v>
      </c>
      <c r="D16" s="140">
        <f t="shared" si="5"/>
        <v>1140.4362992821509</v>
      </c>
      <c r="E16" s="140">
        <f t="shared" si="5"/>
        <v>950.97802125069177</v>
      </c>
      <c r="F16" s="140">
        <f t="shared" si="5"/>
        <v>1079.1610961709705</v>
      </c>
      <c r="G16" s="140">
        <f t="shared" si="5"/>
        <v>1540.6837993981883</v>
      </c>
      <c r="H16" s="140">
        <f t="shared" si="5"/>
        <v>1426.9106279890798</v>
      </c>
      <c r="I16" s="140">
        <f t="shared" si="5"/>
        <v>2006.1625321410897</v>
      </c>
      <c r="J16" s="140">
        <f t="shared" si="5"/>
        <v>855.71458166808713</v>
      </c>
      <c r="K16" s="140">
        <f t="shared" si="5"/>
        <v>190.48093167796327</v>
      </c>
      <c r="L16" s="140">
        <f t="shared" si="5"/>
        <v>185.36571484262151</v>
      </c>
      <c r="M16" s="140">
        <f t="shared" si="5"/>
        <v>503.68138609626629</v>
      </c>
      <c r="N16" s="140">
        <f t="shared" si="5"/>
        <v>184.39138782636596</v>
      </c>
      <c r="O16" s="140">
        <f t="shared" si="5"/>
        <v>418.98473114169667</v>
      </c>
      <c r="P16" s="140">
        <f t="shared" si="5"/>
        <v>897.96185335719633</v>
      </c>
      <c r="Q16" s="140">
        <f t="shared" si="5"/>
        <v>372.25353870831748</v>
      </c>
      <c r="R16" s="140">
        <f t="shared" ref="R16:W16" si="6">SUM(R17:R18)</f>
        <v>1580.6378810539918</v>
      </c>
      <c r="S16" s="140">
        <f t="shared" si="6"/>
        <v>1049.424756837102</v>
      </c>
      <c r="T16" s="140">
        <f t="shared" si="6"/>
        <v>1341.6929559896496</v>
      </c>
      <c r="U16" s="140">
        <f t="shared" si="6"/>
        <v>1118.7687596014985</v>
      </c>
      <c r="V16" s="140">
        <f t="shared" si="6"/>
        <v>1002.6570085529057</v>
      </c>
      <c r="W16" s="140">
        <f t="shared" si="6"/>
        <v>934.83310160089798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3.5584846716682841</v>
      </c>
      <c r="D17" s="141">
        <v>3.8715456563930926</v>
      </c>
      <c r="E17" s="141">
        <v>1.4628714173403266</v>
      </c>
      <c r="F17" s="141">
        <v>5.1373625282596853</v>
      </c>
      <c r="G17" s="141">
        <v>5.6223741759198829</v>
      </c>
      <c r="H17" s="141">
        <v>7.4816999283508663</v>
      </c>
      <c r="I17" s="141">
        <v>6.6738598401323639</v>
      </c>
      <c r="J17" s="141">
        <v>2.1044467442359687</v>
      </c>
      <c r="K17" s="141">
        <v>1.2291058975669884</v>
      </c>
      <c r="L17" s="141">
        <v>0.88030911064338735</v>
      </c>
      <c r="M17" s="141">
        <v>2.6912856917953487</v>
      </c>
      <c r="N17" s="141">
        <v>1.3036185513484966</v>
      </c>
      <c r="O17" s="141">
        <v>4.451425093847563</v>
      </c>
      <c r="P17" s="141">
        <v>12.516737428423347</v>
      </c>
      <c r="Q17" s="141">
        <v>9.5430684516923652</v>
      </c>
      <c r="R17" s="141">
        <v>28.14132582338987</v>
      </c>
      <c r="S17" s="141">
        <v>18.111523413056119</v>
      </c>
      <c r="T17" s="141">
        <v>18.118764619221405</v>
      </c>
      <c r="U17" s="141">
        <v>16.210547900739464</v>
      </c>
      <c r="V17" s="141">
        <v>31.432092880361541</v>
      </c>
      <c r="W17" s="141">
        <v>15.934448503272057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1120.4869943429521</v>
      </c>
      <c r="D18" s="141">
        <v>1136.5647536257579</v>
      </c>
      <c r="E18" s="141">
        <v>949.51514983335142</v>
      </c>
      <c r="F18" s="141">
        <v>1074.0237336427108</v>
      </c>
      <c r="G18" s="141">
        <v>1535.0614252222683</v>
      </c>
      <c r="H18" s="141">
        <v>1419.4289280607288</v>
      </c>
      <c r="I18" s="141">
        <v>1999.4886723009574</v>
      </c>
      <c r="J18" s="141">
        <v>853.61013492385121</v>
      </c>
      <c r="K18" s="141">
        <v>189.25182578039627</v>
      </c>
      <c r="L18" s="141">
        <v>184.48540573197812</v>
      </c>
      <c r="M18" s="141">
        <v>500.99010040447092</v>
      </c>
      <c r="N18" s="141">
        <v>183.08776927501745</v>
      </c>
      <c r="O18" s="141">
        <v>414.53330604784912</v>
      </c>
      <c r="P18" s="141">
        <v>885.44511592877302</v>
      </c>
      <c r="Q18" s="141">
        <v>362.71047025662511</v>
      </c>
      <c r="R18" s="141">
        <v>1552.4965552306019</v>
      </c>
      <c r="S18" s="141">
        <v>1031.3132334240458</v>
      </c>
      <c r="T18" s="141">
        <v>1323.5741913704283</v>
      </c>
      <c r="U18" s="141">
        <v>1102.5582117007591</v>
      </c>
      <c r="V18" s="141">
        <v>971.22491567254417</v>
      </c>
      <c r="W18" s="141">
        <v>918.89865309762592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1124.0454790146205</v>
      </c>
      <c r="D19" s="140">
        <f t="shared" si="7"/>
        <v>1140.4362992821511</v>
      </c>
      <c r="E19" s="140">
        <f t="shared" si="7"/>
        <v>950.97802125069177</v>
      </c>
      <c r="F19" s="140">
        <f t="shared" si="7"/>
        <v>1079.1610961709707</v>
      </c>
      <c r="G19" s="140">
        <f t="shared" si="7"/>
        <v>1540.6837993981883</v>
      </c>
      <c r="H19" s="140">
        <f t="shared" si="7"/>
        <v>1426.9106279890798</v>
      </c>
      <c r="I19" s="140">
        <f t="shared" si="7"/>
        <v>2553.0561680770224</v>
      </c>
      <c r="J19" s="140">
        <f t="shared" si="7"/>
        <v>855.71458166808702</v>
      </c>
      <c r="K19" s="140">
        <f t="shared" si="7"/>
        <v>190.48093167796321</v>
      </c>
      <c r="L19" s="140">
        <f t="shared" si="7"/>
        <v>185.36571484262146</v>
      </c>
      <c r="M19" s="140">
        <f t="shared" si="7"/>
        <v>503.68138609626618</v>
      </c>
      <c r="N19" s="140">
        <f t="shared" si="7"/>
        <v>184.39138782636593</v>
      </c>
      <c r="O19" s="140">
        <f t="shared" si="7"/>
        <v>418.98473114169667</v>
      </c>
      <c r="P19" s="140">
        <f t="shared" si="7"/>
        <v>897.96185335719633</v>
      </c>
      <c r="Q19" s="140">
        <f t="shared" si="7"/>
        <v>372.25353870831742</v>
      </c>
      <c r="R19" s="140">
        <f t="shared" ref="R19:W19" si="8">SUM(R20:R26)</f>
        <v>1580.6378810539918</v>
      </c>
      <c r="S19" s="140">
        <f t="shared" si="8"/>
        <v>1049.424756837102</v>
      </c>
      <c r="T19" s="140">
        <f t="shared" si="8"/>
        <v>1341.6929559896496</v>
      </c>
      <c r="U19" s="140">
        <f t="shared" si="8"/>
        <v>1118.7687596014985</v>
      </c>
      <c r="V19" s="140">
        <f t="shared" si="8"/>
        <v>1002.6570085529055</v>
      </c>
      <c r="W19" s="140">
        <f t="shared" si="8"/>
        <v>934.83310160089809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192.25100170405202</v>
      </c>
      <c r="D22" s="141">
        <v>143.48201212951534</v>
      </c>
      <c r="E22" s="141">
        <v>104.37894039636467</v>
      </c>
      <c r="F22" s="141">
        <v>114.30002201502288</v>
      </c>
      <c r="G22" s="141">
        <v>119.02366450100044</v>
      </c>
      <c r="H22" s="141">
        <v>142.60429546239001</v>
      </c>
      <c r="I22" s="141">
        <v>234.17089535120166</v>
      </c>
      <c r="J22" s="141">
        <v>125.60718616139852</v>
      </c>
      <c r="K22" s="141">
        <v>46.72727181095027</v>
      </c>
      <c r="L22" s="141">
        <v>40.307578661688957</v>
      </c>
      <c r="M22" s="141">
        <v>92.125855111492527</v>
      </c>
      <c r="N22" s="141">
        <v>39.665962510017145</v>
      </c>
      <c r="O22" s="141">
        <v>74.871945510711328</v>
      </c>
      <c r="P22" s="141">
        <v>71.94699307938285</v>
      </c>
      <c r="Q22" s="141">
        <v>27.57623307796419</v>
      </c>
      <c r="R22" s="141">
        <v>105.13828681254083</v>
      </c>
      <c r="S22" s="141">
        <v>89.249425459730901</v>
      </c>
      <c r="T22" s="141">
        <v>62.665165504365795</v>
      </c>
      <c r="U22" s="141">
        <v>54.03474844530168</v>
      </c>
      <c r="V22" s="141">
        <v>30.568454113302227</v>
      </c>
      <c r="W22" s="141">
        <v>87.84518778296605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222.51081518082245</v>
      </c>
      <c r="D23" s="141">
        <v>246.59782499372568</v>
      </c>
      <c r="E23" s="141">
        <v>217.33161845403254</v>
      </c>
      <c r="F23" s="141">
        <v>245.95470029781589</v>
      </c>
      <c r="G23" s="141">
        <v>306.03259837604713</v>
      </c>
      <c r="H23" s="141">
        <v>294.88364089067784</v>
      </c>
      <c r="I23" s="141">
        <v>417.27264927552869</v>
      </c>
      <c r="J23" s="141">
        <v>171.44057637052936</v>
      </c>
      <c r="K23" s="141">
        <v>67.856257729448444</v>
      </c>
      <c r="L23" s="141">
        <v>52.257150683474322</v>
      </c>
      <c r="M23" s="141">
        <v>130.98273343140303</v>
      </c>
      <c r="N23" s="141">
        <v>56.273195770033198</v>
      </c>
      <c r="O23" s="141">
        <v>128.51082881339158</v>
      </c>
      <c r="P23" s="141">
        <v>289.97273606924733</v>
      </c>
      <c r="Q23" s="141">
        <v>115.72815271481566</v>
      </c>
      <c r="R23" s="141">
        <v>340.20138863921653</v>
      </c>
      <c r="S23" s="141">
        <v>218.23755132684028</v>
      </c>
      <c r="T23" s="141">
        <v>167.56907030227723</v>
      </c>
      <c r="U23" s="141">
        <v>141.66713878478416</v>
      </c>
      <c r="V23" s="141">
        <v>96.32934995654287</v>
      </c>
      <c r="W23" s="141">
        <v>172.60933125566689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709.28366212974595</v>
      </c>
      <c r="D26" s="142">
        <v>750.35646215891006</v>
      </c>
      <c r="E26" s="142">
        <v>629.26746240029456</v>
      </c>
      <c r="F26" s="142">
        <v>718.90637385813181</v>
      </c>
      <c r="G26" s="142">
        <v>1115.6275365211407</v>
      </c>
      <c r="H26" s="142">
        <v>989.42269163601179</v>
      </c>
      <c r="I26" s="142">
        <v>1901.6126234502919</v>
      </c>
      <c r="J26" s="142">
        <v>558.66681913615912</v>
      </c>
      <c r="K26" s="142">
        <v>75.897402137564512</v>
      </c>
      <c r="L26" s="142">
        <v>92.8009854974582</v>
      </c>
      <c r="M26" s="142">
        <v>280.57279755337061</v>
      </c>
      <c r="N26" s="142">
        <v>88.452229546315593</v>
      </c>
      <c r="O26" s="142">
        <v>215.60195681759373</v>
      </c>
      <c r="P26" s="142">
        <v>536.04212420856618</v>
      </c>
      <c r="Q26" s="142">
        <v>228.94915291553758</v>
      </c>
      <c r="R26" s="142">
        <v>1135.2982056022345</v>
      </c>
      <c r="S26" s="142">
        <v>741.93778005053093</v>
      </c>
      <c r="T26" s="142">
        <v>1111.4587201830066</v>
      </c>
      <c r="U26" s="142">
        <v>923.06687237141273</v>
      </c>
      <c r="V26" s="142">
        <v>875.75920448306044</v>
      </c>
      <c r="W26" s="142">
        <v>674.37858256226514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74.011309488680411</v>
      </c>
      <c r="I27" s="151">
        <v>11.100311808754192</v>
      </c>
      <c r="J27" s="151">
        <v>118.59738408995707</v>
      </c>
      <c r="K27" s="151">
        <v>1.0310227067194249</v>
      </c>
      <c r="L27" s="151">
        <v>79.818157440337558</v>
      </c>
      <c r="M27" s="151">
        <v>24.906068701047328</v>
      </c>
      <c r="N27" s="151">
        <v>1.4755203897525566</v>
      </c>
      <c r="O27" s="151">
        <v>4.9178876407032677</v>
      </c>
      <c r="P27" s="151">
        <v>8.3694649116164417</v>
      </c>
      <c r="Q27" s="151">
        <v>9.7773810427980724E-14</v>
      </c>
      <c r="R27" s="151">
        <v>10.893092965603651</v>
      </c>
      <c r="S27" s="151">
        <v>12.434705198665933</v>
      </c>
      <c r="T27" s="151">
        <v>17.630885212108552</v>
      </c>
      <c r="U27" s="151">
        <v>21.616647674044746</v>
      </c>
      <c r="V27" s="151">
        <v>52.426616795829254</v>
      </c>
      <c r="W27" s="151">
        <v>34.40746252931504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1124.0454790146205</v>
      </c>
      <c r="D29" s="140">
        <f t="shared" si="9"/>
        <v>1140.4362992821511</v>
      </c>
      <c r="E29" s="140">
        <f t="shared" si="9"/>
        <v>950.97802125069177</v>
      </c>
      <c r="F29" s="140">
        <f t="shared" si="9"/>
        <v>1079.1610961709707</v>
      </c>
      <c r="G29" s="140">
        <f t="shared" si="9"/>
        <v>1540.6837993981881</v>
      </c>
      <c r="H29" s="140">
        <f t="shared" si="9"/>
        <v>1426.9106279890798</v>
      </c>
      <c r="I29" s="140">
        <f t="shared" si="9"/>
        <v>2553.0561680770224</v>
      </c>
      <c r="J29" s="140">
        <f t="shared" si="9"/>
        <v>855.71458166808725</v>
      </c>
      <c r="K29" s="140">
        <f t="shared" si="9"/>
        <v>190.48093167796321</v>
      </c>
      <c r="L29" s="140">
        <f t="shared" si="9"/>
        <v>185.36571484262149</v>
      </c>
      <c r="M29" s="140">
        <f t="shared" si="9"/>
        <v>503.68138609626624</v>
      </c>
      <c r="N29" s="140">
        <f t="shared" si="9"/>
        <v>184.39138782636593</v>
      </c>
      <c r="O29" s="140">
        <f t="shared" si="9"/>
        <v>418.98473114169667</v>
      </c>
      <c r="P29" s="140">
        <f t="shared" si="9"/>
        <v>897.96185335719633</v>
      </c>
      <c r="Q29" s="140">
        <f t="shared" si="9"/>
        <v>372.25353870831748</v>
      </c>
      <c r="R29" s="140">
        <f t="shared" ref="R29:W29" si="10">SUM(R30:R33)</f>
        <v>1580.6378810539914</v>
      </c>
      <c r="S29" s="140">
        <f t="shared" si="10"/>
        <v>1049.424756837102</v>
      </c>
      <c r="T29" s="140">
        <f t="shared" si="10"/>
        <v>1341.6929559896494</v>
      </c>
      <c r="U29" s="140">
        <f t="shared" si="10"/>
        <v>1118.7687596014985</v>
      </c>
      <c r="V29" s="140">
        <f t="shared" si="10"/>
        <v>1002.6570085529056</v>
      </c>
      <c r="W29" s="140">
        <f t="shared" si="10"/>
        <v>934.8331016008982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429.600499652618</v>
      </c>
      <c r="D30" s="141">
        <v>461.7382970999405</v>
      </c>
      <c r="E30" s="141">
        <v>466.75720149771894</v>
      </c>
      <c r="F30" s="141">
        <v>583.56279079342198</v>
      </c>
      <c r="G30" s="141">
        <v>882.01374586265854</v>
      </c>
      <c r="H30" s="141">
        <v>764.35564441067731</v>
      </c>
      <c r="I30" s="141">
        <v>1162.1886039367505</v>
      </c>
      <c r="J30" s="141">
        <v>206.2039318787088</v>
      </c>
      <c r="K30" s="141">
        <v>45.078010184513516</v>
      </c>
      <c r="L30" s="141">
        <v>78.303489632597561</v>
      </c>
      <c r="M30" s="141">
        <v>227.77216547866649</v>
      </c>
      <c r="N30" s="141">
        <v>66.197727155522031</v>
      </c>
      <c r="O30" s="141">
        <v>175.39260015723073</v>
      </c>
      <c r="P30" s="141">
        <v>154.66526753508253</v>
      </c>
      <c r="Q30" s="141">
        <v>127.40024945189354</v>
      </c>
      <c r="R30" s="141">
        <v>334.38526335723867</v>
      </c>
      <c r="S30" s="141">
        <v>403.69143681798352</v>
      </c>
      <c r="T30" s="141">
        <v>469.19521278109886</v>
      </c>
      <c r="U30" s="141">
        <v>311.01063431025455</v>
      </c>
      <c r="V30" s="141">
        <v>103.04830841495786</v>
      </c>
      <c r="W30" s="141">
        <v>215.33276441258005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131.14035013959958</v>
      </c>
      <c r="D31" s="141">
        <v>124.6858070830688</v>
      </c>
      <c r="E31" s="141">
        <v>118.52118966674753</v>
      </c>
      <c r="F31" s="141">
        <v>152.57827313268115</v>
      </c>
      <c r="G31" s="141">
        <v>209.38620099971729</v>
      </c>
      <c r="H31" s="141">
        <v>201.43626054093062</v>
      </c>
      <c r="I31" s="141">
        <v>303.23080091653117</v>
      </c>
      <c r="J31" s="141">
        <v>134.10889908232937</v>
      </c>
      <c r="K31" s="141">
        <v>46.106853094966517</v>
      </c>
      <c r="L31" s="141">
        <v>32.604355667648996</v>
      </c>
      <c r="M31" s="141">
        <v>49.443212966945161</v>
      </c>
      <c r="N31" s="141">
        <v>21.267608279435482</v>
      </c>
      <c r="O31" s="141">
        <v>50.387943210822534</v>
      </c>
      <c r="P31" s="141">
        <v>111.94202429657504</v>
      </c>
      <c r="Q31" s="141">
        <v>55.064354448737504</v>
      </c>
      <c r="R31" s="141">
        <v>192.62899429607438</v>
      </c>
      <c r="S31" s="141">
        <v>130.83266631196031</v>
      </c>
      <c r="T31" s="141">
        <v>164.66183430198635</v>
      </c>
      <c r="U31" s="141">
        <v>134.01271589574802</v>
      </c>
      <c r="V31" s="141">
        <v>121.70841880911941</v>
      </c>
      <c r="W31" s="141">
        <v>120.68234817092984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563.30462922240292</v>
      </c>
      <c r="D33" s="153">
        <v>554.01219509914176</v>
      </c>
      <c r="E33" s="153">
        <v>365.69963008622528</v>
      </c>
      <c r="F33" s="153">
        <v>343.02003224486748</v>
      </c>
      <c r="G33" s="153">
        <v>449.28385253581223</v>
      </c>
      <c r="H33" s="153">
        <v>461.11872303747185</v>
      </c>
      <c r="I33" s="153">
        <v>1087.6367632237404</v>
      </c>
      <c r="J33" s="153">
        <v>515.40175070704902</v>
      </c>
      <c r="K33" s="153">
        <v>99.296068398483186</v>
      </c>
      <c r="L33" s="153">
        <v>74.457869542374937</v>
      </c>
      <c r="M33" s="153">
        <v>226.46600765065457</v>
      </c>
      <c r="N33" s="153">
        <v>96.926052391408433</v>
      </c>
      <c r="O33" s="153">
        <v>193.20418777364338</v>
      </c>
      <c r="P33" s="153">
        <v>631.35456152553877</v>
      </c>
      <c r="Q33" s="153">
        <v>189.78893480768642</v>
      </c>
      <c r="R33" s="153">
        <v>1053.6236234006783</v>
      </c>
      <c r="S33" s="153">
        <v>514.90065370715809</v>
      </c>
      <c r="T33" s="153">
        <v>707.83590890656421</v>
      </c>
      <c r="U33" s="153">
        <v>673.74540939549604</v>
      </c>
      <c r="V33" s="153">
        <v>777.90028132882833</v>
      </c>
      <c r="W33" s="153">
        <v>598.8179890173883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24.312384261665002</v>
      </c>
      <c r="D3" s="126">
        <f t="shared" si="0"/>
        <v>23.304024885794419</v>
      </c>
      <c r="E3" s="126">
        <f t="shared" si="0"/>
        <v>22.016624809336925</v>
      </c>
      <c r="F3" s="126">
        <f t="shared" si="0"/>
        <v>23.010872311802824</v>
      </c>
      <c r="G3" s="126">
        <f t="shared" si="0"/>
        <v>33.578073440905094</v>
      </c>
      <c r="H3" s="126">
        <f t="shared" si="0"/>
        <v>32.512229992782721</v>
      </c>
      <c r="I3" s="126">
        <f t="shared" si="0"/>
        <v>55.193481244652773</v>
      </c>
      <c r="J3" s="126">
        <f t="shared" si="0"/>
        <v>19.593322741365387</v>
      </c>
      <c r="K3" s="126">
        <f t="shared" si="0"/>
        <v>4.2247819361591459</v>
      </c>
      <c r="L3" s="126">
        <f t="shared" si="0"/>
        <v>4.1277690252754837</v>
      </c>
      <c r="M3" s="126">
        <f t="shared" si="0"/>
        <v>10.61318138975051</v>
      </c>
      <c r="N3" s="126">
        <f t="shared" si="0"/>
        <v>3.8506870852091035</v>
      </c>
      <c r="O3" s="126">
        <f t="shared" si="0"/>
        <v>8.6402188111765064</v>
      </c>
      <c r="P3" s="126">
        <f t="shared" si="0"/>
        <v>15.219859643578614</v>
      </c>
      <c r="Q3" s="126">
        <f t="shared" si="0"/>
        <v>6.3756526335892634</v>
      </c>
      <c r="R3" s="126">
        <f t="shared" ref="R3:W3" si="1">SUM(R4,R16,R19,R29)</f>
        <v>25.000577889010934</v>
      </c>
      <c r="S3" s="126">
        <f t="shared" si="1"/>
        <v>15.617636501190308</v>
      </c>
      <c r="T3" s="126">
        <f t="shared" si="1"/>
        <v>20.80556799136988</v>
      </c>
      <c r="U3" s="126">
        <f t="shared" si="1"/>
        <v>16.230492922395076</v>
      </c>
      <c r="V3" s="126">
        <f t="shared" si="1"/>
        <v>12.222151191913211</v>
      </c>
      <c r="W3" s="126">
        <f t="shared" si="1"/>
        <v>9.6122943343529847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16.464766540192464</v>
      </c>
      <c r="D4" s="131">
        <f t="shared" si="2"/>
        <v>15.489236234821869</v>
      </c>
      <c r="E4" s="131">
        <f t="shared" si="2"/>
        <v>15.530446902098126</v>
      </c>
      <c r="F4" s="131">
        <f t="shared" si="2"/>
        <v>15.699660014949353</v>
      </c>
      <c r="G4" s="131">
        <f t="shared" si="2"/>
        <v>23.089010531926608</v>
      </c>
      <c r="H4" s="131">
        <f t="shared" si="2"/>
        <v>23.031419764519466</v>
      </c>
      <c r="I4" s="131">
        <f t="shared" si="2"/>
        <v>39.104967161146924</v>
      </c>
      <c r="J4" s="131">
        <f t="shared" si="2"/>
        <v>14.272056031306429</v>
      </c>
      <c r="K4" s="131">
        <f t="shared" si="2"/>
        <v>2.9709260208874597</v>
      </c>
      <c r="L4" s="131">
        <f t="shared" si="2"/>
        <v>2.8933873802569723</v>
      </c>
      <c r="M4" s="131">
        <f t="shared" si="2"/>
        <v>7.2197768191318321</v>
      </c>
      <c r="N4" s="131">
        <f t="shared" si="2"/>
        <v>2.6176515333783854</v>
      </c>
      <c r="O4" s="131">
        <f t="shared" si="2"/>
        <v>5.867318087387976</v>
      </c>
      <c r="P4" s="131">
        <f t="shared" si="2"/>
        <v>9.6699249318575689</v>
      </c>
      <c r="Q4" s="131">
        <f t="shared" si="2"/>
        <v>4.0437645942992138</v>
      </c>
      <c r="R4" s="131">
        <f t="shared" ref="R4:W4" si="3">SUM(R5:R15)</f>
        <v>15.568249046203336</v>
      </c>
      <c r="S4" s="131">
        <f t="shared" si="3"/>
        <v>9.2704985477935207</v>
      </c>
      <c r="T4" s="131">
        <f t="shared" si="3"/>
        <v>12.846287283004472</v>
      </c>
      <c r="U4" s="131">
        <f t="shared" si="3"/>
        <v>9.7918372703373358</v>
      </c>
      <c r="V4" s="131">
        <f t="shared" si="3"/>
        <v>6.9461910709777124</v>
      </c>
      <c r="W4" s="131">
        <f t="shared" si="3"/>
        <v>4.4443961355948396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7.0226936090739031E-2</v>
      </c>
      <c r="D5" s="133">
        <v>0.26587314417317215</v>
      </c>
      <c r="E5" s="133">
        <v>2.6872891997767265</v>
      </c>
      <c r="F5" s="133">
        <v>0.97054136140570868</v>
      </c>
      <c r="G5" s="133">
        <v>0.41732823147478393</v>
      </c>
      <c r="H5" s="133">
        <v>0.14767334467843837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2.3169817128272988E-2</v>
      </c>
      <c r="S5" s="133">
        <v>4.7105024144733941E-3</v>
      </c>
      <c r="T5" s="133">
        <v>8.931515886375814E-3</v>
      </c>
      <c r="U5" s="133">
        <v>1.4502625723026383E-2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4.19378793605462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2.0206911122842071</v>
      </c>
      <c r="K7" s="133">
        <v>0.67398949854572843</v>
      </c>
      <c r="L7" s="133">
        <v>0.77764634937799049</v>
      </c>
      <c r="M7" s="133">
        <v>1.8892796480800593</v>
      </c>
      <c r="N7" s="133">
        <v>0.94277460515299671</v>
      </c>
      <c r="O7" s="133">
        <v>2.7482796218668071</v>
      </c>
      <c r="P7" s="133">
        <v>2.7123203268038667</v>
      </c>
      <c r="Q7" s="133">
        <v>0.50559734953389945</v>
      </c>
      <c r="R7" s="133">
        <v>0.2341106171659742</v>
      </c>
      <c r="S7" s="133">
        <v>0</v>
      </c>
      <c r="T7" s="133">
        <v>0</v>
      </c>
      <c r="U7" s="133">
        <v>0</v>
      </c>
      <c r="V7" s="133">
        <v>5.5281113897272312E-2</v>
      </c>
      <c r="W7" s="133">
        <v>0.16823906620286699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2.9151193989493853</v>
      </c>
      <c r="D9" s="133">
        <v>2.8608403727687253</v>
      </c>
      <c r="E9" s="133">
        <v>2.9467788622201949</v>
      </c>
      <c r="F9" s="133">
        <v>5.0791074620160614</v>
      </c>
      <c r="G9" s="133">
        <v>6.4636684680526431</v>
      </c>
      <c r="H9" s="133">
        <v>7.9417695691789056</v>
      </c>
      <c r="I9" s="133">
        <v>11.640813444995095</v>
      </c>
      <c r="J9" s="133">
        <v>4.998412661906527</v>
      </c>
      <c r="K9" s="133">
        <v>1.7873836208062193</v>
      </c>
      <c r="L9" s="133">
        <v>1.7621596597702389</v>
      </c>
      <c r="M9" s="133">
        <v>3.343417077308509</v>
      </c>
      <c r="N9" s="133">
        <v>1.3458425127198921</v>
      </c>
      <c r="O9" s="133">
        <v>1.6922056435892676</v>
      </c>
      <c r="P9" s="133">
        <v>2.7550275968992706</v>
      </c>
      <c r="Q9" s="133">
        <v>0.95903993049899572</v>
      </c>
      <c r="R9" s="133">
        <v>4.5721178877928725</v>
      </c>
      <c r="S9" s="133">
        <v>3.1174704878791895</v>
      </c>
      <c r="T9" s="133">
        <v>4.5643639255996833</v>
      </c>
      <c r="U9" s="133">
        <v>4.8275543853849996</v>
      </c>
      <c r="V9" s="133">
        <v>3.7762079614894439</v>
      </c>
      <c r="W9" s="133">
        <v>2.1963076574279112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5.8149597334799109E-2</v>
      </c>
      <c r="H10" s="133">
        <v>0.28699433991870776</v>
      </c>
      <c r="I10" s="133">
        <v>1.4246605379129331</v>
      </c>
      <c r="J10" s="133">
        <v>0.75975643486148436</v>
      </c>
      <c r="K10" s="133">
        <v>0.21255503904725875</v>
      </c>
      <c r="L10" s="133">
        <v>5.7124394307527374E-2</v>
      </c>
      <c r="M10" s="133">
        <v>0.24502848830597473</v>
      </c>
      <c r="N10" s="133">
        <v>0.11986843909229183</v>
      </c>
      <c r="O10" s="133">
        <v>0.16960262522812802</v>
      </c>
      <c r="P10" s="133">
        <v>0.26596306834142058</v>
      </c>
      <c r="Q10" s="133">
        <v>2.9677378955303198E-2</v>
      </c>
      <c r="R10" s="133">
        <v>9.9624424397777897E-2</v>
      </c>
      <c r="S10" s="133">
        <v>0</v>
      </c>
      <c r="T10" s="133">
        <v>0</v>
      </c>
      <c r="U10" s="133">
        <v>0</v>
      </c>
      <c r="V10" s="133">
        <v>1.2476355213575381E-2</v>
      </c>
      <c r="W10" s="133">
        <v>9.1688511907200704E-2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3.9563502733107591E-4</v>
      </c>
      <c r="D13" s="133">
        <v>2.4923099882566387E-3</v>
      </c>
      <c r="E13" s="133">
        <v>2.4893987389246627E-2</v>
      </c>
      <c r="F13" s="133">
        <v>4.072558242254766E-2</v>
      </c>
      <c r="G13" s="133">
        <v>0.14905276431548486</v>
      </c>
      <c r="H13" s="133">
        <v>0.21448305573981263</v>
      </c>
      <c r="I13" s="133">
        <v>0.37217378491156894</v>
      </c>
      <c r="J13" s="133">
        <v>0.1561152405709732</v>
      </c>
      <c r="K13" s="133">
        <v>3.6143600971302044E-2</v>
      </c>
      <c r="L13" s="133">
        <v>1.728957614570405E-2</v>
      </c>
      <c r="M13" s="133">
        <v>3.5805195304563976E-2</v>
      </c>
      <c r="N13" s="133">
        <v>1.318732711622647E-2</v>
      </c>
      <c r="O13" s="133">
        <v>3.0662994863325257E-2</v>
      </c>
      <c r="P13" s="133">
        <v>0.13217930359544633</v>
      </c>
      <c r="Q13" s="133">
        <v>5.8195113439339308E-2</v>
      </c>
      <c r="R13" s="133">
        <v>0.18132142893123643</v>
      </c>
      <c r="S13" s="133">
        <v>0.11451644808026616</v>
      </c>
      <c r="T13" s="133">
        <v>9.3336476625683396E-2</v>
      </c>
      <c r="U13" s="133">
        <v>0.12896300537072064</v>
      </c>
      <c r="V13" s="133">
        <v>0.15105064712322314</v>
      </c>
      <c r="W13" s="133">
        <v>9.8605199499342627E-2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9.2057293004527345</v>
      </c>
      <c r="D14" s="65">
        <v>12.324321244453987</v>
      </c>
      <c r="E14" s="65">
        <v>9.8207401085760608</v>
      </c>
      <c r="F14" s="65">
        <v>9.5437679902081172</v>
      </c>
      <c r="G14" s="65">
        <v>15.922278237777599</v>
      </c>
      <c r="H14" s="65">
        <v>14.345441207052389</v>
      </c>
      <c r="I14" s="65">
        <v>25.525149143253163</v>
      </c>
      <c r="J14" s="65">
        <v>6.2551256451827673</v>
      </c>
      <c r="K14" s="65">
        <v>0.232314684478793</v>
      </c>
      <c r="L14" s="65">
        <v>0.25051153884579647</v>
      </c>
      <c r="M14" s="65">
        <v>1.646667313667451</v>
      </c>
      <c r="N14" s="65">
        <v>0.16968231060809844</v>
      </c>
      <c r="O14" s="65">
        <v>1.1760990958076691</v>
      </c>
      <c r="P14" s="65">
        <v>3.7394832774547067</v>
      </c>
      <c r="Q14" s="65">
        <v>2.4734271531861887</v>
      </c>
      <c r="R14" s="65">
        <v>10.397202941695728</v>
      </c>
      <c r="S14" s="65">
        <v>5.994433806999095</v>
      </c>
      <c r="T14" s="65">
        <v>8.1218616595102144</v>
      </c>
      <c r="U14" s="65">
        <v>4.7595866605436239</v>
      </c>
      <c r="V14" s="65">
        <v>2.9024012433455062</v>
      </c>
      <c r="W14" s="65">
        <v>1.8591938315456644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7.9507333617654941E-2</v>
      </c>
      <c r="D15" s="135">
        <v>3.5709163437727724E-2</v>
      </c>
      <c r="E15" s="135">
        <v>5.0744744135895567E-2</v>
      </c>
      <c r="F15" s="135">
        <v>6.5517618896916957E-2</v>
      </c>
      <c r="G15" s="135">
        <v>7.8533232971300382E-2</v>
      </c>
      <c r="H15" s="135">
        <v>9.5058247951209818E-2</v>
      </c>
      <c r="I15" s="135">
        <v>0.14217025007416437</v>
      </c>
      <c r="J15" s="135">
        <v>8.1954936500468992E-2</v>
      </c>
      <c r="K15" s="135">
        <v>2.8539577038158008E-2</v>
      </c>
      <c r="L15" s="135">
        <v>2.8655861809715168E-2</v>
      </c>
      <c r="M15" s="135">
        <v>5.9579096465273769E-2</v>
      </c>
      <c r="N15" s="135">
        <v>2.6296338688880361E-2</v>
      </c>
      <c r="O15" s="135">
        <v>5.0468106032778619E-2</v>
      </c>
      <c r="P15" s="135">
        <v>6.4951358762858902E-2</v>
      </c>
      <c r="Q15" s="135">
        <v>1.7827668685488032E-2</v>
      </c>
      <c r="R15" s="135">
        <v>6.0701929091473171E-2</v>
      </c>
      <c r="S15" s="135">
        <v>3.9367302420495666E-2</v>
      </c>
      <c r="T15" s="135">
        <v>5.7793705382515333E-2</v>
      </c>
      <c r="U15" s="135">
        <v>6.1230593314965609E-2</v>
      </c>
      <c r="V15" s="135">
        <v>4.8773749908690892E-2</v>
      </c>
      <c r="W15" s="135">
        <v>3.0361869011853383E-2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0.77912708286505183</v>
      </c>
      <c r="D16" s="131">
        <f t="shared" si="4"/>
        <v>0.76845087085795394</v>
      </c>
      <c r="E16" s="131">
        <f t="shared" si="4"/>
        <v>0.61211243155536821</v>
      </c>
      <c r="F16" s="131">
        <f t="shared" si="4"/>
        <v>0.66623391918398778</v>
      </c>
      <c r="G16" s="131">
        <f t="shared" si="4"/>
        <v>0.89823408087911749</v>
      </c>
      <c r="H16" s="131">
        <f t="shared" si="4"/>
        <v>0.81204063417307559</v>
      </c>
      <c r="I16" s="131">
        <f t="shared" si="4"/>
        <v>1.1128294605998903</v>
      </c>
      <c r="J16" s="131">
        <f t="shared" si="4"/>
        <v>0.44586943668955953</v>
      </c>
      <c r="K16" s="131">
        <f t="shared" si="4"/>
        <v>9.4528692825054134E-2</v>
      </c>
      <c r="L16" s="131">
        <f t="shared" si="4"/>
        <v>8.785304020508479E-2</v>
      </c>
      <c r="M16" s="131">
        <f t="shared" si="4"/>
        <v>0.22473399426746396</v>
      </c>
      <c r="N16" s="131">
        <f t="shared" si="4"/>
        <v>7.8531768972617641E-2</v>
      </c>
      <c r="O16" s="131">
        <f t="shared" si="4"/>
        <v>0.16469586801219663</v>
      </c>
      <c r="P16" s="131">
        <f t="shared" si="4"/>
        <v>0.33662861296075336</v>
      </c>
      <c r="Q16" s="131">
        <f t="shared" si="4"/>
        <v>0.13262021901646079</v>
      </c>
      <c r="R16" s="131">
        <f t="shared" ref="R16:W16" si="5">SUM(R17:R18)</f>
        <v>0.53280407419664755</v>
      </c>
      <c r="S16" s="131">
        <f t="shared" si="5"/>
        <v>0.33513400517048841</v>
      </c>
      <c r="T16" s="131">
        <f t="shared" si="5"/>
        <v>0.40483837585962612</v>
      </c>
      <c r="U16" s="131">
        <f t="shared" si="5"/>
        <v>0.32159473547729706</v>
      </c>
      <c r="V16" s="131">
        <f t="shared" si="5"/>
        <v>0.27934240823553941</v>
      </c>
      <c r="W16" s="131">
        <f t="shared" si="5"/>
        <v>0.21878989604972351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5.1198988050115491E-3</v>
      </c>
      <c r="D17" s="133">
        <v>5.591254474148228E-3</v>
      </c>
      <c r="E17" s="133">
        <v>2.0852725625537965E-3</v>
      </c>
      <c r="F17" s="133">
        <v>7.2319411020453205E-3</v>
      </c>
      <c r="G17" s="133">
        <v>7.7224650360657445E-3</v>
      </c>
      <c r="H17" s="133">
        <v>1.0333387395237179E-2</v>
      </c>
      <c r="I17" s="133">
        <v>9.1102170833935858E-3</v>
      </c>
      <c r="J17" s="133">
        <v>2.8247816735106732E-3</v>
      </c>
      <c r="K17" s="133">
        <v>1.6052645151128011E-3</v>
      </c>
      <c r="L17" s="133">
        <v>1.1320796291164504E-3</v>
      </c>
      <c r="M17" s="133">
        <v>3.3556033860002196E-3</v>
      </c>
      <c r="N17" s="133">
        <v>1.5925356592966782E-3</v>
      </c>
      <c r="O17" s="133">
        <v>5.1439180357396377E-3</v>
      </c>
      <c r="P17" s="133">
        <v>1.4173139095723047E-2</v>
      </c>
      <c r="Q17" s="133">
        <v>1.0202098149500561E-2</v>
      </c>
      <c r="R17" s="133">
        <v>2.9294780179489471E-2</v>
      </c>
      <c r="S17" s="133">
        <v>1.7849240570540104E-2</v>
      </c>
      <c r="T17" s="133">
        <v>1.6790068797152051E-2</v>
      </c>
      <c r="U17" s="133">
        <v>1.4079643381570008E-2</v>
      </c>
      <c r="V17" s="133">
        <v>2.3363831353420638E-2</v>
      </c>
      <c r="W17" s="133">
        <v>9.5228818232747647E-3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0.77400718406004032</v>
      </c>
      <c r="D18" s="133">
        <v>0.76285961638380573</v>
      </c>
      <c r="E18" s="133">
        <v>0.61002715899281446</v>
      </c>
      <c r="F18" s="133">
        <v>0.6590019780819425</v>
      </c>
      <c r="G18" s="133">
        <v>0.89051161584305172</v>
      </c>
      <c r="H18" s="133">
        <v>0.80170724677783844</v>
      </c>
      <c r="I18" s="133">
        <v>1.1037192435164966</v>
      </c>
      <c r="J18" s="133">
        <v>0.44304465501604884</v>
      </c>
      <c r="K18" s="133">
        <v>9.2923428309941339E-2</v>
      </c>
      <c r="L18" s="133">
        <v>8.6720960575968342E-2</v>
      </c>
      <c r="M18" s="133">
        <v>0.22137839088146374</v>
      </c>
      <c r="N18" s="133">
        <v>7.6939233313320962E-2</v>
      </c>
      <c r="O18" s="133">
        <v>0.159551949976457</v>
      </c>
      <c r="P18" s="133">
        <v>0.32245547386503032</v>
      </c>
      <c r="Q18" s="133">
        <v>0.12241812086696022</v>
      </c>
      <c r="R18" s="133">
        <v>0.50350929401715805</v>
      </c>
      <c r="S18" s="133">
        <v>0.31728476459994831</v>
      </c>
      <c r="T18" s="133">
        <v>0.38804830706247406</v>
      </c>
      <c r="U18" s="133">
        <v>0.30751509209572703</v>
      </c>
      <c r="V18" s="133">
        <v>0.25597857688211878</v>
      </c>
      <c r="W18" s="133">
        <v>0.20926701422644875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3.5211886004944208</v>
      </c>
      <c r="D19" s="131">
        <f t="shared" si="6"/>
        <v>3.485240819395532</v>
      </c>
      <c r="E19" s="131">
        <f t="shared" si="6"/>
        <v>2.8550285237848287</v>
      </c>
      <c r="F19" s="131">
        <f t="shared" si="6"/>
        <v>3.1880238574997835</v>
      </c>
      <c r="G19" s="131">
        <f t="shared" si="6"/>
        <v>4.512281501180019</v>
      </c>
      <c r="H19" s="131">
        <f t="shared" si="6"/>
        <v>4.1081407325110808</v>
      </c>
      <c r="I19" s="131">
        <f t="shared" si="6"/>
        <v>7.1496749772522143</v>
      </c>
      <c r="J19" s="131">
        <f t="shared" si="6"/>
        <v>2.40711358692245</v>
      </c>
      <c r="K19" s="131">
        <f t="shared" si="6"/>
        <v>0.58207757700640639</v>
      </c>
      <c r="L19" s="131">
        <f t="shared" si="6"/>
        <v>0.55815165761504226</v>
      </c>
      <c r="M19" s="131">
        <f t="shared" si="6"/>
        <v>1.5180347119708673</v>
      </c>
      <c r="N19" s="131">
        <f t="shared" si="6"/>
        <v>0.54752277730169285</v>
      </c>
      <c r="O19" s="131">
        <f t="shared" si="6"/>
        <v>1.1836830454261795</v>
      </c>
      <c r="P19" s="131">
        <f t="shared" si="6"/>
        <v>2.380775903311934</v>
      </c>
      <c r="Q19" s="131">
        <f t="shared" si="6"/>
        <v>0.96532074917955923</v>
      </c>
      <c r="R19" s="131">
        <f t="shared" ref="R19:W19" si="7">SUM(R20:R27)</f>
        <v>3.9282332435201002</v>
      </c>
      <c r="S19" s="131">
        <f t="shared" si="7"/>
        <v>2.5507341148839089</v>
      </c>
      <c r="T19" s="131">
        <f t="shared" si="7"/>
        <v>3.1600305250786636</v>
      </c>
      <c r="U19" s="131">
        <f t="shared" si="7"/>
        <v>2.568424657395231</v>
      </c>
      <c r="V19" s="131">
        <f t="shared" si="7"/>
        <v>2.1914169177611855</v>
      </c>
      <c r="W19" s="131">
        <f t="shared" si="7"/>
        <v>2.0224066066636461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0.70835652407318839</v>
      </c>
      <c r="D22" s="133">
        <v>0.52688407881653609</v>
      </c>
      <c r="E22" s="133">
        <v>0.36906525706791582</v>
      </c>
      <c r="F22" s="133">
        <v>0.40817002721721191</v>
      </c>
      <c r="G22" s="133">
        <v>0.41596367907184884</v>
      </c>
      <c r="H22" s="133">
        <v>0.48217039464634576</v>
      </c>
      <c r="I22" s="133">
        <v>0.78723757357485902</v>
      </c>
      <c r="J22" s="133">
        <v>0.42757458715552205</v>
      </c>
      <c r="K22" s="133">
        <v>0.16024412961592258</v>
      </c>
      <c r="L22" s="133">
        <v>0.14068500229756734</v>
      </c>
      <c r="M22" s="133">
        <v>0.32023280794830045</v>
      </c>
      <c r="N22" s="133">
        <v>0.13384391817859514</v>
      </c>
      <c r="O22" s="133">
        <v>0.23754843173971427</v>
      </c>
      <c r="P22" s="133">
        <v>0.2176354657078271</v>
      </c>
      <c r="Q22" s="133">
        <v>7.818634468780189E-2</v>
      </c>
      <c r="R22" s="133">
        <v>0.28514811086210085</v>
      </c>
      <c r="S22" s="133">
        <v>0.24325075597077275</v>
      </c>
      <c r="T22" s="133">
        <v>0.16141644432392491</v>
      </c>
      <c r="U22" s="133">
        <v>0.13713384085425909</v>
      </c>
      <c r="V22" s="133">
        <v>6.9448532241755914E-2</v>
      </c>
      <c r="W22" s="133">
        <v>0.20824725079628384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0.75136523481838691</v>
      </c>
      <c r="D23" s="133">
        <v>0.81387292109539011</v>
      </c>
      <c r="E23" s="133">
        <v>0.69793403887785777</v>
      </c>
      <c r="F23" s="133">
        <v>0.78755207177465092</v>
      </c>
      <c r="G23" s="133">
        <v>0.96184904635009971</v>
      </c>
      <c r="H23" s="133">
        <v>0.89976477971184599</v>
      </c>
      <c r="I23" s="133">
        <v>1.2730703095035072</v>
      </c>
      <c r="J23" s="133">
        <v>0.50982045704575552</v>
      </c>
      <c r="K23" s="133">
        <v>0.20746839112365886</v>
      </c>
      <c r="L23" s="133">
        <v>0.15950072438592855</v>
      </c>
      <c r="M23" s="133">
        <v>0.40241205090128801</v>
      </c>
      <c r="N23" s="133">
        <v>0.1659490444215018</v>
      </c>
      <c r="O23" s="133">
        <v>0.36715976361915637</v>
      </c>
      <c r="P23" s="133">
        <v>0.80402562815570089</v>
      </c>
      <c r="Q23" s="133">
        <v>0.30371427978111076</v>
      </c>
      <c r="R23" s="133">
        <v>0.87846036872832578</v>
      </c>
      <c r="S23" s="133">
        <v>0.56821589826512486</v>
      </c>
      <c r="T23" s="133">
        <v>0.41021239053217823</v>
      </c>
      <c r="U23" s="133">
        <v>0.34471919331686524</v>
      </c>
      <c r="V23" s="133">
        <v>0.21347720780897836</v>
      </c>
      <c r="W23" s="133">
        <v>0.39583337668840685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2.0614668416028454</v>
      </c>
      <c r="D26" s="65">
        <v>2.1444838194836056</v>
      </c>
      <c r="E26" s="65">
        <v>1.7880292278390553</v>
      </c>
      <c r="F26" s="65">
        <v>1.9923017585079208</v>
      </c>
      <c r="G26" s="65">
        <v>3.1344687757580707</v>
      </c>
      <c r="H26" s="65">
        <v>2.694596866107887</v>
      </c>
      <c r="I26" s="65">
        <v>5.0846577804757844</v>
      </c>
      <c r="J26" s="65">
        <v>1.4178646942844508</v>
      </c>
      <c r="K26" s="65">
        <v>0.21388905779382258</v>
      </c>
      <c r="L26" s="65">
        <v>0.22026809053817836</v>
      </c>
      <c r="M26" s="65">
        <v>0.78379554261571172</v>
      </c>
      <c r="N26" s="65">
        <v>0.2470402014290056</v>
      </c>
      <c r="O26" s="65">
        <v>0.57668646002668444</v>
      </c>
      <c r="P26" s="65">
        <v>1.3552464350398481</v>
      </c>
      <c r="Q26" s="65">
        <v>0.58342012471064664</v>
      </c>
      <c r="R26" s="65">
        <v>2.7594899083002646</v>
      </c>
      <c r="S26" s="65">
        <v>1.7333663144164071</v>
      </c>
      <c r="T26" s="65">
        <v>2.5799715227554123</v>
      </c>
      <c r="U26" s="65">
        <v>2.0761609738748574</v>
      </c>
      <c r="V26" s="65">
        <v>1.8848394374747857</v>
      </c>
      <c r="W26" s="65">
        <v>1.4028950957383612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3.1608692045002093E-2</v>
      </c>
      <c r="I27" s="148">
        <v>4.7093136980631825E-3</v>
      </c>
      <c r="J27" s="148">
        <v>5.1853848436721903E-2</v>
      </c>
      <c r="K27" s="148">
        <v>4.7599847300239571E-4</v>
      </c>
      <c r="L27" s="148">
        <v>3.7697840393368084E-2</v>
      </c>
      <c r="M27" s="148">
        <v>1.159431050556714E-2</v>
      </c>
      <c r="N27" s="148">
        <v>6.8961327259034618E-4</v>
      </c>
      <c r="O27" s="148">
        <v>2.2883900406243645E-3</v>
      </c>
      <c r="P27" s="148">
        <v>3.8683744085578151E-3</v>
      </c>
      <c r="Q27" s="148">
        <v>4.6164281926964179E-17</v>
      </c>
      <c r="R27" s="148">
        <v>5.1348556294084262E-3</v>
      </c>
      <c r="S27" s="148">
        <v>5.9011462316041945E-3</v>
      </c>
      <c r="T27" s="148">
        <v>8.4301674671480534E-3</v>
      </c>
      <c r="U27" s="148">
        <v>1.0410649349249483E-2</v>
      </c>
      <c r="V27" s="148">
        <v>2.3651740235665717E-2</v>
      </c>
      <c r="W27" s="148">
        <v>1.5430883440594309E-2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3.5473020381130684</v>
      </c>
      <c r="D29" s="131">
        <f t="shared" si="8"/>
        <v>3.561096960719067</v>
      </c>
      <c r="E29" s="131">
        <f t="shared" si="8"/>
        <v>3.0190369518986029</v>
      </c>
      <c r="F29" s="131">
        <f t="shared" si="8"/>
        <v>3.4569545201696981</v>
      </c>
      <c r="G29" s="131">
        <f t="shared" si="8"/>
        <v>5.0785473269193506</v>
      </c>
      <c r="H29" s="131">
        <f t="shared" si="8"/>
        <v>4.5606288615790991</v>
      </c>
      <c r="I29" s="131">
        <f t="shared" si="8"/>
        <v>7.8260096456537376</v>
      </c>
      <c r="J29" s="131">
        <f t="shared" si="8"/>
        <v>2.4682836864469482</v>
      </c>
      <c r="K29" s="131">
        <f t="shared" si="8"/>
        <v>0.57724964544022617</v>
      </c>
      <c r="L29" s="131">
        <f t="shared" si="8"/>
        <v>0.58837694719838374</v>
      </c>
      <c r="M29" s="131">
        <f t="shared" si="8"/>
        <v>1.6506358643803463</v>
      </c>
      <c r="N29" s="131">
        <f t="shared" si="8"/>
        <v>0.60698100555640777</v>
      </c>
      <c r="O29" s="131">
        <f t="shared" si="8"/>
        <v>1.424521810350154</v>
      </c>
      <c r="P29" s="131">
        <f t="shared" si="8"/>
        <v>2.8325301954483582</v>
      </c>
      <c r="Q29" s="131">
        <f t="shared" si="8"/>
        <v>1.233947071094029</v>
      </c>
      <c r="R29" s="131">
        <f t="shared" ref="R29:W29" si="9">SUM(R30:R33)</f>
        <v>4.9712915250908516</v>
      </c>
      <c r="S29" s="131">
        <f t="shared" si="9"/>
        <v>3.4612698333423904</v>
      </c>
      <c r="T29" s="131">
        <f t="shared" si="9"/>
        <v>4.3944118074271179</v>
      </c>
      <c r="U29" s="131">
        <f t="shared" si="9"/>
        <v>3.5486362591852112</v>
      </c>
      <c r="V29" s="131">
        <f t="shared" si="9"/>
        <v>2.8052007949387732</v>
      </c>
      <c r="W29" s="131">
        <f t="shared" si="9"/>
        <v>2.9267016960447751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1.5686910944828416</v>
      </c>
      <c r="D30" s="133">
        <v>1.6258810606339094</v>
      </c>
      <c r="E30" s="133">
        <v>1.6054927335022531</v>
      </c>
      <c r="F30" s="133">
        <v>1.9874818051070919</v>
      </c>
      <c r="G30" s="133">
        <v>3.1997935826663455</v>
      </c>
      <c r="H30" s="133">
        <v>2.648929552415269</v>
      </c>
      <c r="I30" s="133">
        <v>3.9140972181745823</v>
      </c>
      <c r="J30" s="133">
        <v>0.80201603596365922</v>
      </c>
      <c r="K30" s="133">
        <v>0.1320901219500776</v>
      </c>
      <c r="L30" s="133">
        <v>0.29617141882481424</v>
      </c>
      <c r="M30" s="133">
        <v>0.84892914915440498</v>
      </c>
      <c r="N30" s="133">
        <v>0.23708532589039696</v>
      </c>
      <c r="O30" s="133">
        <v>0.73653993505313253</v>
      </c>
      <c r="P30" s="133">
        <v>0.55047617418792849</v>
      </c>
      <c r="Q30" s="133">
        <v>0.50700664173501842</v>
      </c>
      <c r="R30" s="133">
        <v>1.2028392565109169</v>
      </c>
      <c r="S30" s="133">
        <v>1.5002837393448349</v>
      </c>
      <c r="T30" s="133">
        <v>1.8875189990343153</v>
      </c>
      <c r="U30" s="133">
        <v>1.2536895945915389</v>
      </c>
      <c r="V30" s="133">
        <v>0.35297974108120267</v>
      </c>
      <c r="W30" s="133">
        <v>0.85020659035135038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0.46841753356095917</v>
      </c>
      <c r="D31" s="133">
        <v>0.43775518433823152</v>
      </c>
      <c r="E31" s="133">
        <v>0.41051267009596315</v>
      </c>
      <c r="F31" s="133">
        <v>0.53279151563783034</v>
      </c>
      <c r="G31" s="133">
        <v>0.7267640206899304</v>
      </c>
      <c r="H31" s="133">
        <v>0.70029626368339104</v>
      </c>
      <c r="I31" s="133">
        <v>1.0315647622938968</v>
      </c>
      <c r="J31" s="133">
        <v>0.45343102577671285</v>
      </c>
      <c r="K31" s="133">
        <v>0.15966259385524817</v>
      </c>
      <c r="L31" s="133">
        <v>0.11431066836141918</v>
      </c>
      <c r="M31" s="133">
        <v>0.17934773395191492</v>
      </c>
      <c r="N31" s="133">
        <v>7.974778064864281E-2</v>
      </c>
      <c r="O31" s="133">
        <v>0.18954702647764898</v>
      </c>
      <c r="P31" s="133">
        <v>0.41794328136476938</v>
      </c>
      <c r="Q31" s="133">
        <v>0.21088077026831795</v>
      </c>
      <c r="R31" s="133">
        <v>0.73677242500711537</v>
      </c>
      <c r="S31" s="133">
        <v>0.49371414593955931</v>
      </c>
      <c r="T31" s="133">
        <v>0.63168065983085497</v>
      </c>
      <c r="U31" s="133">
        <v>0.51446262815980226</v>
      </c>
      <c r="V31" s="133">
        <v>0.4304998260708443</v>
      </c>
      <c r="W31" s="133">
        <v>0.46354068592332925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1.5101934100692673</v>
      </c>
      <c r="D33" s="68">
        <v>1.4974607157469257</v>
      </c>
      <c r="E33" s="68">
        <v>1.0030315483003869</v>
      </c>
      <c r="F33" s="68">
        <v>0.93668119942477568</v>
      </c>
      <c r="G33" s="68">
        <v>1.1519897235630743</v>
      </c>
      <c r="H33" s="68">
        <v>1.2114030454804388</v>
      </c>
      <c r="I33" s="68">
        <v>2.8803476651852584</v>
      </c>
      <c r="J33" s="68">
        <v>1.212836624706576</v>
      </c>
      <c r="K33" s="68">
        <v>0.28549692963490036</v>
      </c>
      <c r="L33" s="68">
        <v>0.17789486001215038</v>
      </c>
      <c r="M33" s="68">
        <v>0.62235898127402633</v>
      </c>
      <c r="N33" s="68">
        <v>0.29014789901736798</v>
      </c>
      <c r="O33" s="68">
        <v>0.49843484881937256</v>
      </c>
      <c r="P33" s="68">
        <v>1.8641107398956605</v>
      </c>
      <c r="Q33" s="68">
        <v>0.51605965909069274</v>
      </c>
      <c r="R33" s="68">
        <v>3.0316798435728196</v>
      </c>
      <c r="S33" s="68">
        <v>1.4672719480579959</v>
      </c>
      <c r="T33" s="68">
        <v>1.8752121485619477</v>
      </c>
      <c r="U33" s="68">
        <v>1.7804840364338701</v>
      </c>
      <c r="V33" s="68">
        <v>2.0217212277867262</v>
      </c>
      <c r="W33" s="68">
        <v>1.6129544197700958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18.126989489622495</v>
      </c>
      <c r="D3" s="126">
        <f t="shared" si="0"/>
        <v>18.410420920503192</v>
      </c>
      <c r="E3" s="126">
        <f t="shared" si="0"/>
        <v>16.972104935316445</v>
      </c>
      <c r="F3" s="126">
        <f t="shared" si="0"/>
        <v>17.88732527902048</v>
      </c>
      <c r="G3" s="126">
        <f t="shared" si="0"/>
        <v>26.502949450463344</v>
      </c>
      <c r="H3" s="126">
        <f t="shared" si="0"/>
        <v>25.713632137901932</v>
      </c>
      <c r="I3" s="126">
        <f t="shared" si="0"/>
        <v>43.437112180971852</v>
      </c>
      <c r="J3" s="126">
        <f t="shared" si="0"/>
        <v>15.304400407369748</v>
      </c>
      <c r="K3" s="126">
        <f t="shared" si="0"/>
        <v>3.1799430290284381</v>
      </c>
      <c r="L3" s="126">
        <f t="shared" si="0"/>
        <v>3.1101477683530696</v>
      </c>
      <c r="M3" s="126">
        <f t="shared" si="0"/>
        <v>8.1921958150659062</v>
      </c>
      <c r="N3" s="126">
        <f t="shared" si="0"/>
        <v>2.9651796961887888</v>
      </c>
      <c r="O3" s="126">
        <f t="shared" si="0"/>
        <v>6.7796668826687743</v>
      </c>
      <c r="P3" s="126">
        <f t="shared" si="0"/>
        <v>13.158441317623211</v>
      </c>
      <c r="Q3" s="126">
        <f t="shared" si="0"/>
        <v>5.6540600708746895</v>
      </c>
      <c r="R3" s="126">
        <f t="shared" ref="R3:W3" si="1">SUM(R4,R16,R19,R29)</f>
        <v>22.882556150682959</v>
      </c>
      <c r="S3" s="126">
        <f t="shared" si="1"/>
        <v>14.361523728775975</v>
      </c>
      <c r="T3" s="126">
        <f t="shared" si="1"/>
        <v>19.10857879737123</v>
      </c>
      <c r="U3" s="126">
        <f t="shared" si="1"/>
        <v>15.212068480006806</v>
      </c>
      <c r="V3" s="126">
        <f t="shared" si="1"/>
        <v>11.975864901328935</v>
      </c>
      <c r="W3" s="126">
        <f t="shared" si="1"/>
        <v>9.2646757961589081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11.091253511619243</v>
      </c>
      <c r="D4" s="131">
        <f t="shared" si="2"/>
        <v>11.301738115648858</v>
      </c>
      <c r="E4" s="131">
        <f t="shared" si="2"/>
        <v>11.089760695031687</v>
      </c>
      <c r="F4" s="131">
        <f t="shared" si="2"/>
        <v>11.27526826751286</v>
      </c>
      <c r="G4" s="131">
        <f t="shared" si="2"/>
        <v>17.050833206355716</v>
      </c>
      <c r="H4" s="131">
        <f t="shared" si="2"/>
        <v>17.031087599477534</v>
      </c>
      <c r="I4" s="131">
        <f t="shared" si="2"/>
        <v>29.139975224014663</v>
      </c>
      <c r="J4" s="131">
        <f t="shared" si="2"/>
        <v>10.217872493438524</v>
      </c>
      <c r="K4" s="131">
        <f t="shared" si="2"/>
        <v>2.0187040119246675</v>
      </c>
      <c r="L4" s="131">
        <f t="shared" si="2"/>
        <v>1.9748779449635221</v>
      </c>
      <c r="M4" s="131">
        <f t="shared" si="2"/>
        <v>5.0704683880256232</v>
      </c>
      <c r="N4" s="131">
        <f t="shared" si="2"/>
        <v>1.8112639868683726</v>
      </c>
      <c r="O4" s="131">
        <f t="shared" si="2"/>
        <v>4.1995523028553956</v>
      </c>
      <c r="P4" s="131">
        <f t="shared" si="2"/>
        <v>7.6151975792624551</v>
      </c>
      <c r="Q4" s="131">
        <f t="shared" si="2"/>
        <v>3.3839820250468984</v>
      </c>
      <c r="R4" s="131">
        <f t="shared" ref="R4:W4" si="3">SUM(R5:R15)</f>
        <v>13.276593852000198</v>
      </c>
      <c r="S4" s="131">
        <f t="shared" si="3"/>
        <v>8.0536626306691517</v>
      </c>
      <c r="T4" s="131">
        <f t="shared" si="3"/>
        <v>11.107723531018209</v>
      </c>
      <c r="U4" s="131">
        <f t="shared" si="3"/>
        <v>8.6122534732638627</v>
      </c>
      <c r="V4" s="131">
        <f t="shared" si="3"/>
        <v>6.2863443645850801</v>
      </c>
      <c r="W4" s="131">
        <f t="shared" si="3"/>
        <v>4.0201292583870929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4.3467370436923197E-2</v>
      </c>
      <c r="D5" s="133">
        <v>0.16538973538895207</v>
      </c>
      <c r="E5" s="133">
        <v>1.6799937563430747</v>
      </c>
      <c r="F5" s="133">
        <v>0.60975477209671125</v>
      </c>
      <c r="G5" s="133">
        <v>0.26348277025587608</v>
      </c>
      <c r="H5" s="133">
        <v>9.3690561717879831E-2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1.5384017512368326E-2</v>
      </c>
      <c r="S5" s="133">
        <v>3.1494718556159627E-3</v>
      </c>
      <c r="T5" s="133">
        <v>6.0149931404102621E-3</v>
      </c>
      <c r="U5" s="133">
        <v>9.8341649464445454E-3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2.2486557709030293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1.1657791290260771</v>
      </c>
      <c r="K7" s="133">
        <v>0.39350609058153019</v>
      </c>
      <c r="L7" s="133">
        <v>0.45982531731210169</v>
      </c>
      <c r="M7" s="133">
        <v>1.1397248386075702</v>
      </c>
      <c r="N7" s="133">
        <v>0.5853377100732795</v>
      </c>
      <c r="O7" s="133">
        <v>1.7720425017060044</v>
      </c>
      <c r="P7" s="133">
        <v>1.8232167472160419</v>
      </c>
      <c r="Q7" s="133">
        <v>0.35133328040733131</v>
      </c>
      <c r="R7" s="133">
        <v>0.16527870360394586</v>
      </c>
      <c r="S7" s="133">
        <v>0</v>
      </c>
      <c r="T7" s="133">
        <v>0</v>
      </c>
      <c r="U7" s="133">
        <v>0</v>
      </c>
      <c r="V7" s="133">
        <v>4.0256025329187282E-2</v>
      </c>
      <c r="W7" s="133">
        <v>0.12294009916413046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1.7899873728804112</v>
      </c>
      <c r="D9" s="133">
        <v>1.7803255179404729</v>
      </c>
      <c r="E9" s="133">
        <v>1.8581920648206143</v>
      </c>
      <c r="F9" s="133">
        <v>3.2443185401777024</v>
      </c>
      <c r="G9" s="133">
        <v>4.1815126480551692</v>
      </c>
      <c r="H9" s="133">
        <v>5.202473138950352</v>
      </c>
      <c r="I9" s="133">
        <v>7.7206250069140907</v>
      </c>
      <c r="J9" s="133">
        <v>3.3564631475359059</v>
      </c>
      <c r="K9" s="133">
        <v>1.2153632841462885</v>
      </c>
      <c r="L9" s="133">
        <v>1.2135089230212297</v>
      </c>
      <c r="M9" s="133">
        <v>2.3395392905737875</v>
      </c>
      <c r="N9" s="133">
        <v>0.96090992704481903</v>
      </c>
      <c r="O9" s="133">
        <v>1.2383323332233218</v>
      </c>
      <c r="P9" s="133">
        <v>2.0705606386676774</v>
      </c>
      <c r="Q9" s="133">
        <v>0.73685137217888008</v>
      </c>
      <c r="R9" s="133">
        <v>3.556424165875312</v>
      </c>
      <c r="S9" s="133">
        <v>2.447856657714981</v>
      </c>
      <c r="T9" s="133">
        <v>3.6107203700276358</v>
      </c>
      <c r="U9" s="133">
        <v>3.842482959258708</v>
      </c>
      <c r="V9" s="133">
        <v>3.0216653781307179</v>
      </c>
      <c r="W9" s="133">
        <v>1.7638906577170814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2.7068887284728092E-2</v>
      </c>
      <c r="H10" s="133">
        <v>0.13617627419699377</v>
      </c>
      <c r="I10" s="133">
        <v>0.68885295511187161</v>
      </c>
      <c r="J10" s="133">
        <v>0.37422925391286527</v>
      </c>
      <c r="K10" s="133">
        <v>0.10661455227633759</v>
      </c>
      <c r="L10" s="133">
        <v>2.9164860505972588E-2</v>
      </c>
      <c r="M10" s="133">
        <v>0.12712221726752859</v>
      </c>
      <c r="N10" s="133">
        <v>6.3051173369597507E-2</v>
      </c>
      <c r="O10" s="133">
        <v>9.022052631143522E-2</v>
      </c>
      <c r="P10" s="133">
        <v>0.14286563976595473</v>
      </c>
      <c r="Q10" s="133">
        <v>1.6125717372384048E-2</v>
      </c>
      <c r="R10" s="133">
        <v>5.5043957652807923E-2</v>
      </c>
      <c r="S10" s="133">
        <v>0</v>
      </c>
      <c r="T10" s="133">
        <v>0</v>
      </c>
      <c r="U10" s="133">
        <v>0</v>
      </c>
      <c r="V10" s="133">
        <v>7.367441383470244E-3</v>
      </c>
      <c r="W10" s="133">
        <v>5.4729827620019017E-2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6.1575674627144109E-4</v>
      </c>
      <c r="D13" s="133">
        <v>4.1704333284395267E-3</v>
      </c>
      <c r="E13" s="133">
        <v>4.465021809553036E-2</v>
      </c>
      <c r="F13" s="133">
        <v>7.8061082205850132E-2</v>
      </c>
      <c r="G13" s="133">
        <v>0.30453953551290996</v>
      </c>
      <c r="H13" s="133">
        <v>0.46602027802876078</v>
      </c>
      <c r="I13" s="133">
        <v>0.85808935305504741</v>
      </c>
      <c r="J13" s="133">
        <v>0.38124821294498673</v>
      </c>
      <c r="K13" s="133">
        <v>9.3339808050582868E-2</v>
      </c>
      <c r="L13" s="133">
        <v>4.7144237130899019E-2</v>
      </c>
      <c r="M13" s="133">
        <v>0.10331166619385439</v>
      </c>
      <c r="N13" s="133">
        <v>4.0367027718684986E-2</v>
      </c>
      <c r="O13" s="133">
        <v>9.9714932174912271E-2</v>
      </c>
      <c r="P13" s="133">
        <v>0.4551720486126053</v>
      </c>
      <c r="Q13" s="133">
        <v>0.209542186197202</v>
      </c>
      <c r="R13" s="133">
        <v>0.66420515256237267</v>
      </c>
      <c r="S13" s="133">
        <v>0.4240162565586888</v>
      </c>
      <c r="T13" s="133">
        <v>0.34796027487735426</v>
      </c>
      <c r="U13" s="133">
        <v>0.48337888845701049</v>
      </c>
      <c r="V13" s="133">
        <v>0.56984691184976877</v>
      </c>
      <c r="W13" s="133">
        <v>0.37473924780885903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6.9290199070349514</v>
      </c>
      <c r="D14" s="65">
        <v>9.316143265553265</v>
      </c>
      <c r="E14" s="65">
        <v>7.4561799116365712</v>
      </c>
      <c r="F14" s="65">
        <v>7.2776162541356797</v>
      </c>
      <c r="G14" s="65">
        <v>12.195696132275733</v>
      </c>
      <c r="H14" s="65">
        <v>11.037669098632334</v>
      </c>
      <c r="I14" s="65">
        <v>19.730237658859487</v>
      </c>
      <c r="J14" s="65">
        <v>4.8581978135182204</v>
      </c>
      <c r="K14" s="65">
        <v>0.18134069983177034</v>
      </c>
      <c r="L14" s="65">
        <v>0.19657874518360394</v>
      </c>
      <c r="M14" s="65">
        <v>1.3011912789176088</v>
      </c>
      <c r="N14" s="65">
        <v>0.13530180997311139</v>
      </c>
      <c r="O14" s="65">
        <v>0.9487739034069429</v>
      </c>
      <c r="P14" s="65">
        <v>3.0584311462373162</v>
      </c>
      <c r="Q14" s="65">
        <v>2.0523018002056133</v>
      </c>
      <c r="R14" s="65">
        <v>8.7595559257019175</v>
      </c>
      <c r="S14" s="65">
        <v>5.1392729421193701</v>
      </c>
      <c r="T14" s="65">
        <v>7.0852341875902942</v>
      </c>
      <c r="U14" s="65">
        <v>4.2153268672867341</v>
      </c>
      <c r="V14" s="65">
        <v>2.5984348579832446</v>
      </c>
      <c r="W14" s="65">
        <v>1.6734675570651494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7.9507333617654941E-2</v>
      </c>
      <c r="D15" s="135">
        <v>3.5709163437727724E-2</v>
      </c>
      <c r="E15" s="135">
        <v>5.0744744135895567E-2</v>
      </c>
      <c r="F15" s="135">
        <v>6.5517618896916957E-2</v>
      </c>
      <c r="G15" s="135">
        <v>7.8533232971300382E-2</v>
      </c>
      <c r="H15" s="135">
        <v>9.5058247951209818E-2</v>
      </c>
      <c r="I15" s="135">
        <v>0.14217025007416437</v>
      </c>
      <c r="J15" s="135">
        <v>8.1954936500468992E-2</v>
      </c>
      <c r="K15" s="135">
        <v>2.8539577038158008E-2</v>
      </c>
      <c r="L15" s="135">
        <v>2.8655861809715168E-2</v>
      </c>
      <c r="M15" s="135">
        <v>5.9579096465273769E-2</v>
      </c>
      <c r="N15" s="135">
        <v>2.6296338688880361E-2</v>
      </c>
      <c r="O15" s="135">
        <v>5.0468106032778619E-2</v>
      </c>
      <c r="P15" s="135">
        <v>6.4951358762858902E-2</v>
      </c>
      <c r="Q15" s="135">
        <v>1.7827668685488032E-2</v>
      </c>
      <c r="R15" s="135">
        <v>6.0701929091473171E-2</v>
      </c>
      <c r="S15" s="135">
        <v>3.9367302420495666E-2</v>
      </c>
      <c r="T15" s="135">
        <v>5.7793705382515333E-2</v>
      </c>
      <c r="U15" s="135">
        <v>6.1230593314965609E-2</v>
      </c>
      <c r="V15" s="135">
        <v>4.8773749908690892E-2</v>
      </c>
      <c r="W15" s="135">
        <v>3.0361869011853383E-2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2.3750899052465662</v>
      </c>
      <c r="D16" s="131">
        <f t="shared" si="4"/>
        <v>2.4331200896918173</v>
      </c>
      <c r="E16" s="131">
        <f t="shared" si="4"/>
        <v>2.0160050131816072</v>
      </c>
      <c r="F16" s="131">
        <f t="shared" si="4"/>
        <v>2.2651683015235888</v>
      </c>
      <c r="G16" s="131">
        <f t="shared" si="4"/>
        <v>3.1668619525624906</v>
      </c>
      <c r="H16" s="131">
        <f t="shared" si="4"/>
        <v>2.9550770992485016</v>
      </c>
      <c r="I16" s="131">
        <f t="shared" si="4"/>
        <v>4.1981874567564148</v>
      </c>
      <c r="J16" s="131">
        <f t="shared" si="4"/>
        <v>1.7401806124560304</v>
      </c>
      <c r="K16" s="131">
        <f t="shared" si="4"/>
        <v>0.37860889629772065</v>
      </c>
      <c r="L16" s="131">
        <f t="shared" si="4"/>
        <v>0.36435613378889325</v>
      </c>
      <c r="M16" s="131">
        <f t="shared" si="4"/>
        <v>0.96613373192481167</v>
      </c>
      <c r="N16" s="131">
        <f t="shared" si="4"/>
        <v>0.35128544431151021</v>
      </c>
      <c r="O16" s="131">
        <f t="shared" si="4"/>
        <v>0.7682088479062904</v>
      </c>
      <c r="P16" s="131">
        <f t="shared" si="4"/>
        <v>1.6396021424805789</v>
      </c>
      <c r="Q16" s="131">
        <f t="shared" si="4"/>
        <v>0.65701975941277402</v>
      </c>
      <c r="R16" s="131">
        <f t="shared" ref="R16:W16" si="5">SUM(R17:R18)</f>
        <v>2.7499208853995754</v>
      </c>
      <c r="S16" s="131">
        <f t="shared" si="5"/>
        <v>1.7664069525528383</v>
      </c>
      <c r="T16" s="131">
        <f t="shared" si="5"/>
        <v>2.1869684760361903</v>
      </c>
      <c r="U16" s="131">
        <f t="shared" si="5"/>
        <v>1.7601265822268739</v>
      </c>
      <c r="V16" s="131">
        <f t="shared" si="5"/>
        <v>1.5086546524361992</v>
      </c>
      <c r="W16" s="131">
        <f t="shared" si="5"/>
        <v>1.2327856071409136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7.5196311445827214E-3</v>
      </c>
      <c r="D17" s="133">
        <v>8.262737966819516E-3</v>
      </c>
      <c r="E17" s="133">
        <v>3.0982562193231067E-3</v>
      </c>
      <c r="F17" s="133">
        <v>1.0795801520268048E-2</v>
      </c>
      <c r="G17" s="133">
        <v>1.157536707268382E-2</v>
      </c>
      <c r="H17" s="133">
        <v>1.5546038202378981E-2</v>
      </c>
      <c r="I17" s="133">
        <v>1.3751654691119409E-2</v>
      </c>
      <c r="J17" s="133">
        <v>4.2776596791922342E-3</v>
      </c>
      <c r="K17" s="133">
        <v>2.4391471005517289E-3</v>
      </c>
      <c r="L17" s="133">
        <v>1.7266026373871763E-3</v>
      </c>
      <c r="M17" s="133">
        <v>5.1525275270101513E-3</v>
      </c>
      <c r="N17" s="133">
        <v>2.4772651987703237E-3</v>
      </c>
      <c r="O17" s="133">
        <v>8.1641767455259209E-3</v>
      </c>
      <c r="P17" s="133">
        <v>2.3094475526307941E-2</v>
      </c>
      <c r="Q17" s="133">
        <v>1.7074700593064426E-2</v>
      </c>
      <c r="R17" s="133">
        <v>5.0078240725348E-2</v>
      </c>
      <c r="S17" s="133">
        <v>3.1138725624756697E-2</v>
      </c>
      <c r="T17" s="133">
        <v>2.997141915364742E-2</v>
      </c>
      <c r="U17" s="133">
        <v>2.5735303935761476E-2</v>
      </c>
      <c r="V17" s="133">
        <v>4.3674317089186308E-2</v>
      </c>
      <c r="W17" s="133">
        <v>1.8125764671981754E-2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2.3675702741019835</v>
      </c>
      <c r="D18" s="133">
        <v>2.4248573517249978</v>
      </c>
      <c r="E18" s="133">
        <v>2.012906756962284</v>
      </c>
      <c r="F18" s="133">
        <v>2.2543725000033206</v>
      </c>
      <c r="G18" s="133">
        <v>3.1552865854898067</v>
      </c>
      <c r="H18" s="133">
        <v>2.9395310610461225</v>
      </c>
      <c r="I18" s="133">
        <v>4.1844358020652956</v>
      </c>
      <c r="J18" s="133">
        <v>1.7359029527768381</v>
      </c>
      <c r="K18" s="133">
        <v>0.37616974919716895</v>
      </c>
      <c r="L18" s="133">
        <v>0.36262953115150609</v>
      </c>
      <c r="M18" s="133">
        <v>0.96098120439780155</v>
      </c>
      <c r="N18" s="133">
        <v>0.34880817911273987</v>
      </c>
      <c r="O18" s="133">
        <v>0.76004467116076446</v>
      </c>
      <c r="P18" s="133">
        <v>1.6165076669542711</v>
      </c>
      <c r="Q18" s="133">
        <v>0.63994505881970964</v>
      </c>
      <c r="R18" s="133">
        <v>2.6998426446742272</v>
      </c>
      <c r="S18" s="133">
        <v>1.7352682269280817</v>
      </c>
      <c r="T18" s="133">
        <v>2.1569970568825427</v>
      </c>
      <c r="U18" s="133">
        <v>1.7343912782911124</v>
      </c>
      <c r="V18" s="133">
        <v>1.464980335347013</v>
      </c>
      <c r="W18" s="133">
        <v>1.2146598424689319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2.2708731002957645</v>
      </c>
      <c r="D19" s="131">
        <f t="shared" si="6"/>
        <v>2.2769451358209367</v>
      </c>
      <c r="E19" s="131">
        <f t="shared" si="6"/>
        <v>1.8809498031214396</v>
      </c>
      <c r="F19" s="131">
        <f t="shared" si="6"/>
        <v>2.1109556086838834</v>
      </c>
      <c r="G19" s="131">
        <f t="shared" si="6"/>
        <v>3.0396147303756988</v>
      </c>
      <c r="H19" s="131">
        <f t="shared" si="6"/>
        <v>2.7747417756520516</v>
      </c>
      <c r="I19" s="131">
        <f t="shared" si="6"/>
        <v>4.8707503210637535</v>
      </c>
      <c r="J19" s="131">
        <f t="shared" si="6"/>
        <v>1.6352387156336026</v>
      </c>
      <c r="K19" s="131">
        <f t="shared" si="6"/>
        <v>0.38122378746007035</v>
      </c>
      <c r="L19" s="131">
        <f t="shared" si="6"/>
        <v>0.38359359630229894</v>
      </c>
      <c r="M19" s="131">
        <f t="shared" si="6"/>
        <v>1.0437049124753854</v>
      </c>
      <c r="N19" s="131">
        <f t="shared" si="6"/>
        <v>0.38065333426665071</v>
      </c>
      <c r="O19" s="131">
        <f t="shared" si="6"/>
        <v>0.85636871461393094</v>
      </c>
      <c r="P19" s="131">
        <f t="shared" si="6"/>
        <v>1.8140808111581481</v>
      </c>
      <c r="Q19" s="131">
        <f t="shared" si="6"/>
        <v>0.76159071577156578</v>
      </c>
      <c r="R19" s="131">
        <f t="shared" ref="R19:W19" si="7">SUM(R20:R27)</f>
        <v>3.186887735667852</v>
      </c>
      <c r="S19" s="131">
        <f t="shared" si="7"/>
        <v>2.1082245657660663</v>
      </c>
      <c r="T19" s="131">
        <f t="shared" si="7"/>
        <v>2.6888296627070978</v>
      </c>
      <c r="U19" s="131">
        <f t="shared" si="7"/>
        <v>2.2234773971987725</v>
      </c>
      <c r="V19" s="131">
        <f t="shared" si="7"/>
        <v>1.9359830438858892</v>
      </c>
      <c r="W19" s="131">
        <f t="shared" si="7"/>
        <v>1.780237480992088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0.38939486620009894</v>
      </c>
      <c r="D22" s="133">
        <v>0.29072908387288687</v>
      </c>
      <c r="E22" s="133">
        <v>0.20453827560600968</v>
      </c>
      <c r="F22" s="133">
        <v>0.22721595286650118</v>
      </c>
      <c r="G22" s="133">
        <v>0.23271070903854554</v>
      </c>
      <c r="H22" s="133">
        <v>0.27122686294336956</v>
      </c>
      <c r="I22" s="133">
        <v>0.4455173347500363</v>
      </c>
      <c r="J22" s="133">
        <v>0.24369984241675555</v>
      </c>
      <c r="K22" s="133">
        <v>9.2115531263335812E-2</v>
      </c>
      <c r="L22" s="133">
        <v>8.1688130389158981E-2</v>
      </c>
      <c r="M22" s="133">
        <v>0.18984866057371694</v>
      </c>
      <c r="N22" s="133">
        <v>8.2071262781986343E-2</v>
      </c>
      <c r="O22" s="133">
        <v>0.15277231530862942</v>
      </c>
      <c r="P22" s="133">
        <v>0.14790383837733889</v>
      </c>
      <c r="Q22" s="133">
        <v>5.5724245565937622E-2</v>
      </c>
      <c r="R22" s="133">
        <v>0.20960102503760475</v>
      </c>
      <c r="S22" s="133">
        <v>0.18404278270973626</v>
      </c>
      <c r="T22" s="133">
        <v>0.12527561872737181</v>
      </c>
      <c r="U22" s="133">
        <v>0.10865883873062594</v>
      </c>
      <c r="V22" s="133">
        <v>5.5846370137544621E-2</v>
      </c>
      <c r="W22" s="133">
        <v>0.16861437860645498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0.45053243015420485</v>
      </c>
      <c r="D23" s="133">
        <v>0.49272030367197994</v>
      </c>
      <c r="E23" s="133">
        <v>0.42674176893757304</v>
      </c>
      <c r="F23" s="133">
        <v>0.48632766262076815</v>
      </c>
      <c r="G23" s="133">
        <v>0.60002912391681074</v>
      </c>
      <c r="H23" s="133">
        <v>0.56716080966789451</v>
      </c>
      <c r="I23" s="133">
        <v>0.81107802982319555</v>
      </c>
      <c r="J23" s="133">
        <v>0.32847073276934646</v>
      </c>
      <c r="K23" s="133">
        <v>0.13527780466095957</v>
      </c>
      <c r="L23" s="133">
        <v>0.10533407132994939</v>
      </c>
      <c r="M23" s="133">
        <v>0.27083874982187761</v>
      </c>
      <c r="N23" s="133">
        <v>0.11468594411830689</v>
      </c>
      <c r="O23" s="133">
        <v>0.2626636098814481</v>
      </c>
      <c r="P23" s="133">
        <v>0.59793165823618277</v>
      </c>
      <c r="Q23" s="133">
        <v>0.23349613512355674</v>
      </c>
      <c r="R23" s="133">
        <v>0.68987715100064351</v>
      </c>
      <c r="S23" s="133">
        <v>0.45480101383653726</v>
      </c>
      <c r="T23" s="133">
        <v>0.33376521490681721</v>
      </c>
      <c r="U23" s="133">
        <v>0.28425680568323941</v>
      </c>
      <c r="V23" s="133">
        <v>0.17778702986558723</v>
      </c>
      <c r="W23" s="133">
        <v>0.33133348095035792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1.4309458039414604</v>
      </c>
      <c r="D26" s="65">
        <v>1.4934957482760698</v>
      </c>
      <c r="E26" s="65">
        <v>1.2496697585778569</v>
      </c>
      <c r="F26" s="65">
        <v>1.3974119931966142</v>
      </c>
      <c r="G26" s="65">
        <v>2.2068748974203425</v>
      </c>
      <c r="H26" s="65">
        <v>1.9047454109957855</v>
      </c>
      <c r="I26" s="65">
        <v>3.6094456427924584</v>
      </c>
      <c r="J26" s="65">
        <v>1.0112142920107785</v>
      </c>
      <c r="K26" s="65">
        <v>0.15335445306277259</v>
      </c>
      <c r="L26" s="65">
        <v>0.15887355418982246</v>
      </c>
      <c r="M26" s="65">
        <v>0.57142319157422383</v>
      </c>
      <c r="N26" s="65">
        <v>0.18320651409376709</v>
      </c>
      <c r="O26" s="65">
        <v>0.43864439938322913</v>
      </c>
      <c r="P26" s="65">
        <v>1.0643769401360685</v>
      </c>
      <c r="Q26" s="65">
        <v>0.47237033508207138</v>
      </c>
      <c r="R26" s="65">
        <v>2.2822747040001952</v>
      </c>
      <c r="S26" s="65">
        <v>1.4634796229881886</v>
      </c>
      <c r="T26" s="65">
        <v>2.2213586616057608</v>
      </c>
      <c r="U26" s="65">
        <v>1.8201511034356577</v>
      </c>
      <c r="V26" s="65">
        <v>1.6786979036470915</v>
      </c>
      <c r="W26" s="65">
        <v>1.264858737994681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3.1608692045002093E-2</v>
      </c>
      <c r="I27" s="148">
        <v>4.7093136980631825E-3</v>
      </c>
      <c r="J27" s="148">
        <v>5.1853848436721903E-2</v>
      </c>
      <c r="K27" s="148">
        <v>4.7599847300239571E-4</v>
      </c>
      <c r="L27" s="148">
        <v>3.7697840393368084E-2</v>
      </c>
      <c r="M27" s="148">
        <v>1.159431050556714E-2</v>
      </c>
      <c r="N27" s="148">
        <v>6.8961327259034618E-4</v>
      </c>
      <c r="O27" s="148">
        <v>2.2883900406243645E-3</v>
      </c>
      <c r="P27" s="148">
        <v>3.8683744085578151E-3</v>
      </c>
      <c r="Q27" s="148">
        <v>4.6164281926964179E-17</v>
      </c>
      <c r="R27" s="148">
        <v>5.1348556294084262E-3</v>
      </c>
      <c r="S27" s="148">
        <v>5.9011462316041945E-3</v>
      </c>
      <c r="T27" s="148">
        <v>8.4301674671480534E-3</v>
      </c>
      <c r="U27" s="148">
        <v>1.0410649349249483E-2</v>
      </c>
      <c r="V27" s="148">
        <v>2.3651740235665717E-2</v>
      </c>
      <c r="W27" s="148">
        <v>1.5430883440594309E-2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2.3897729724609214</v>
      </c>
      <c r="D29" s="131">
        <f t="shared" si="8"/>
        <v>2.3986175793415772</v>
      </c>
      <c r="E29" s="131">
        <f t="shared" si="8"/>
        <v>1.9853894239817129</v>
      </c>
      <c r="F29" s="131">
        <f t="shared" si="8"/>
        <v>2.2359331013001493</v>
      </c>
      <c r="G29" s="131">
        <f t="shared" si="8"/>
        <v>3.2456395611694382</v>
      </c>
      <c r="H29" s="131">
        <f t="shared" si="8"/>
        <v>2.9527256635238435</v>
      </c>
      <c r="I29" s="131">
        <f t="shared" si="8"/>
        <v>5.2281991791370208</v>
      </c>
      <c r="J29" s="131">
        <f t="shared" si="8"/>
        <v>1.7111085858415924</v>
      </c>
      <c r="K29" s="131">
        <f t="shared" si="8"/>
        <v>0.40140633334597964</v>
      </c>
      <c r="L29" s="131">
        <f t="shared" si="8"/>
        <v>0.38732009329835532</v>
      </c>
      <c r="M29" s="131">
        <f t="shared" si="8"/>
        <v>1.1118887826400867</v>
      </c>
      <c r="N29" s="131">
        <f t="shared" si="8"/>
        <v>0.42197693074225506</v>
      </c>
      <c r="O29" s="131">
        <f t="shared" si="8"/>
        <v>0.95553701729315632</v>
      </c>
      <c r="P29" s="131">
        <f t="shared" si="8"/>
        <v>2.0895607847220297</v>
      </c>
      <c r="Q29" s="131">
        <f t="shared" si="8"/>
        <v>0.85146757064345224</v>
      </c>
      <c r="R29" s="131">
        <f t="shared" ref="R29:W29" si="9">SUM(R30:R33)</f>
        <v>3.6691536776153324</v>
      </c>
      <c r="S29" s="131">
        <f t="shared" si="9"/>
        <v>2.433229579787918</v>
      </c>
      <c r="T29" s="131">
        <f t="shared" si="9"/>
        <v>3.1250571276097325</v>
      </c>
      <c r="U29" s="131">
        <f t="shared" si="9"/>
        <v>2.6162110273172963</v>
      </c>
      <c r="V29" s="131">
        <f t="shared" si="9"/>
        <v>2.2448828404217664</v>
      </c>
      <c r="W29" s="131">
        <f t="shared" si="9"/>
        <v>2.2315234496388148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0.9289993673968715</v>
      </c>
      <c r="D30" s="133">
        <v>0.9639459894399095</v>
      </c>
      <c r="E30" s="133">
        <v>0.95290768485204369</v>
      </c>
      <c r="F30" s="133">
        <v>1.1809261630461856</v>
      </c>
      <c r="G30" s="133">
        <v>1.9033200955611649</v>
      </c>
      <c r="H30" s="133">
        <v>1.5773367831378082</v>
      </c>
      <c r="I30" s="133">
        <v>2.3331483380559077</v>
      </c>
      <c r="J30" s="133">
        <v>0.47856145522526694</v>
      </c>
      <c r="K30" s="133">
        <v>7.8895382930737154E-2</v>
      </c>
      <c r="L30" s="133">
        <v>0.17706489427413924</v>
      </c>
      <c r="M30" s="133">
        <v>0.50778539130620393</v>
      </c>
      <c r="N30" s="133">
        <v>0.14181214663217742</v>
      </c>
      <c r="O30" s="133">
        <v>0.44055999196886603</v>
      </c>
      <c r="P30" s="133">
        <v>0.32926629954123415</v>
      </c>
      <c r="Q30" s="133">
        <v>0.30326507957077464</v>
      </c>
      <c r="R30" s="133">
        <v>0.7217721734487067</v>
      </c>
      <c r="S30" s="133">
        <v>0.90493896374412341</v>
      </c>
      <c r="T30" s="133">
        <v>1.1453848313327235</v>
      </c>
      <c r="U30" s="133">
        <v>0.76549296499894781</v>
      </c>
      <c r="V30" s="133">
        <v>0.21676619568592964</v>
      </c>
      <c r="W30" s="133">
        <v>0.52487958443649207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0.27894804974475429</v>
      </c>
      <c r="D31" s="133">
        <v>0.26105666982635478</v>
      </c>
      <c r="E31" s="133">
        <v>0.2451511157077268</v>
      </c>
      <c r="F31" s="133">
        <v>0.31861513928011903</v>
      </c>
      <c r="G31" s="133">
        <v>0.43520669295318121</v>
      </c>
      <c r="H31" s="133">
        <v>0.41992245185527283</v>
      </c>
      <c r="I31" s="133">
        <v>0.61938316329612564</v>
      </c>
      <c r="J31" s="133">
        <v>0.27260477563565305</v>
      </c>
      <c r="K31" s="133">
        <v>9.6108710512202183E-2</v>
      </c>
      <c r="L31" s="133">
        <v>6.889064184197434E-2</v>
      </c>
      <c r="M31" s="133">
        <v>0.10815476399232744</v>
      </c>
      <c r="N31" s="133">
        <v>4.8091504726111262E-2</v>
      </c>
      <c r="O31" s="133">
        <v>0.11430539690919068</v>
      </c>
      <c r="P31" s="133">
        <v>0.25203862888117023</v>
      </c>
      <c r="Q31" s="133">
        <v>0.12717060559574819</v>
      </c>
      <c r="R31" s="133">
        <v>0.44609217914382232</v>
      </c>
      <c r="S31" s="133">
        <v>0.30088433674433523</v>
      </c>
      <c r="T31" s="133">
        <v>0.38788527647659699</v>
      </c>
      <c r="U31" s="133">
        <v>0.31837027594342271</v>
      </c>
      <c r="V31" s="133">
        <v>0.26832963231675411</v>
      </c>
      <c r="W31" s="133">
        <v>0.29083708913552053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1.1818255553192956</v>
      </c>
      <c r="D33" s="68">
        <v>1.173614920075313</v>
      </c>
      <c r="E33" s="68">
        <v>0.78733062342194227</v>
      </c>
      <c r="F33" s="68">
        <v>0.73639179897384466</v>
      </c>
      <c r="G33" s="68">
        <v>0.90711277265509194</v>
      </c>
      <c r="H33" s="68">
        <v>0.95546642853076225</v>
      </c>
      <c r="I33" s="68">
        <v>2.2756676777849876</v>
      </c>
      <c r="J33" s="68">
        <v>0.9599423549806726</v>
      </c>
      <c r="K33" s="68">
        <v>0.22640223990304031</v>
      </c>
      <c r="L33" s="68">
        <v>0.14136455718224172</v>
      </c>
      <c r="M33" s="68">
        <v>0.49594862734155537</v>
      </c>
      <c r="N33" s="68">
        <v>0.23207327938396635</v>
      </c>
      <c r="O33" s="68">
        <v>0.40067162841509962</v>
      </c>
      <c r="P33" s="68">
        <v>1.5082558562996253</v>
      </c>
      <c r="Q33" s="68">
        <v>0.42103188547692932</v>
      </c>
      <c r="R33" s="68">
        <v>2.5012893250228032</v>
      </c>
      <c r="S33" s="68">
        <v>1.2274062792994593</v>
      </c>
      <c r="T33" s="68">
        <v>1.5917870198004118</v>
      </c>
      <c r="U33" s="68">
        <v>1.5323477863749257</v>
      </c>
      <c r="V33" s="68">
        <v>1.7597870124190829</v>
      </c>
      <c r="W33" s="68">
        <v>1.4158067760668023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0.74558666457919387</v>
      </c>
      <c r="D3" s="127">
        <f>IF(SER_hh_tes_in!D3=0,"",SER_hh_tes_in!D3/SER_hh_fec_in!D3)</f>
        <v>0.79001035274922604</v>
      </c>
      <c r="E3" s="127">
        <f>IF(SER_hh_tes_in!E3=0,"",SER_hh_tes_in!E3/SER_hh_fec_in!E3)</f>
        <v>0.7708767843524692</v>
      </c>
      <c r="F3" s="127">
        <f>IF(SER_hh_tes_in!F3=0,"",SER_hh_tes_in!F3/SER_hh_fec_in!F3)</f>
        <v>0.7773423378585107</v>
      </c>
      <c r="G3" s="127">
        <f>IF(SER_hh_tes_in!G3=0,"",SER_hh_tes_in!G3/SER_hh_fec_in!G3)</f>
        <v>0.78929333146842273</v>
      </c>
      <c r="H3" s="127">
        <f>IF(SER_hh_tes_in!H3=0,"",SER_hh_tes_in!H3/SER_hh_fec_in!H3)</f>
        <v>0.79089106295108069</v>
      </c>
      <c r="I3" s="127">
        <f>IF(SER_hh_tes_in!I3=0,"",SER_hh_tes_in!I3/SER_hh_fec_in!I3)</f>
        <v>0.78699714534096554</v>
      </c>
      <c r="J3" s="127">
        <f>IF(SER_hh_tes_in!J3=0,"",SER_hh_tes_in!J3/SER_hh_fec_in!J3)</f>
        <v>0.78110285883563413</v>
      </c>
      <c r="K3" s="127">
        <f>IF(SER_hh_tes_in!K3=0,"",SER_hh_tes_in!K3/SER_hh_fec_in!K3)</f>
        <v>0.75268808593690473</v>
      </c>
      <c r="L3" s="127">
        <f>IF(SER_hh_tes_in!L3=0,"",SER_hh_tes_in!L3/SER_hh_fec_in!L3)</f>
        <v>0.75346942847547071</v>
      </c>
      <c r="M3" s="127">
        <f>IF(SER_hh_tes_in!M3=0,"",SER_hh_tes_in!M3/SER_hh_fec_in!M3)</f>
        <v>0.77188879698008106</v>
      </c>
      <c r="N3" s="127">
        <f>IF(SER_hh_tes_in!N3=0,"",SER_hh_tes_in!N3/SER_hh_fec_in!N3)</f>
        <v>0.77003912044122147</v>
      </c>
      <c r="O3" s="127">
        <f>IF(SER_hh_tes_in!O3=0,"",SER_hh_tes_in!O3/SER_hh_fec_in!O3)</f>
        <v>0.78466379507645967</v>
      </c>
      <c r="P3" s="127">
        <f>IF(SER_hh_tes_in!P3=0,"",SER_hh_tes_in!P3/SER_hh_fec_in!P3)</f>
        <v>0.86455733664895307</v>
      </c>
      <c r="Q3" s="127">
        <f>IF(SER_hh_tes_in!Q3=0,"",SER_hh_tes_in!Q3/SER_hh_fec_in!Q3)</f>
        <v>0.886820596386798</v>
      </c>
      <c r="R3" s="127">
        <f>IF(SER_hh_tes_in!R3=0,"",SER_hh_tes_in!R3/SER_hh_fec_in!R3)</f>
        <v>0.91528108879199321</v>
      </c>
      <c r="S3" s="127">
        <f>IF(SER_hh_tes_in!S3=0,"",SER_hh_tes_in!S3/SER_hh_fec_in!S3)</f>
        <v>0.91957087922243563</v>
      </c>
      <c r="T3" s="127">
        <f>IF(SER_hh_tes_in!T3=0,"",SER_hh_tes_in!T3/SER_hh_fec_in!T3)</f>
        <v>0.91843581512878869</v>
      </c>
      <c r="U3" s="127">
        <f>IF(SER_hh_tes_in!U3=0,"",SER_hh_tes_in!U3/SER_hh_fec_in!U3)</f>
        <v>0.93725240217547356</v>
      </c>
      <c r="V3" s="127">
        <f>IF(SER_hh_tes_in!V3=0,"",SER_hh_tes_in!V3/SER_hh_fec_in!V3)</f>
        <v>0.97984918638977136</v>
      </c>
      <c r="W3" s="127">
        <f>IF(SER_hh_tes_in!W3=0,"",SER_hh_tes_in!W3/SER_hh_fec_in!W3)</f>
        <v>0.96383604932365241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0.67363563792685233</v>
      </c>
      <c r="D4" s="136">
        <f>IF(SER_hh_tes_in!D4=0,"",SER_hh_tes_in!D4/SER_hh_fec_in!D4)</f>
        <v>0.72965109088084301</v>
      </c>
      <c r="E4" s="136">
        <f>IF(SER_hh_tes_in!E4=0,"",SER_hh_tes_in!E4/SER_hh_fec_in!E4)</f>
        <v>0.7140657809102382</v>
      </c>
      <c r="F4" s="136">
        <f>IF(SER_hh_tes_in!F4=0,"",SER_hh_tes_in!F4/SER_hh_fec_in!F4)</f>
        <v>0.7181855057228278</v>
      </c>
      <c r="G4" s="136">
        <f>IF(SER_hh_tes_in!G4=0,"",SER_hh_tes_in!G4/SER_hh_fec_in!G4)</f>
        <v>0.73848262933478548</v>
      </c>
      <c r="H4" s="136">
        <f>IF(SER_hh_tes_in!H4=0,"",SER_hh_tes_in!H4/SER_hh_fec_in!H4)</f>
        <v>0.73947189420403825</v>
      </c>
      <c r="I4" s="136">
        <f>IF(SER_hh_tes_in!I4=0,"",SER_hh_tes_in!I4/SER_hh_fec_in!I4)</f>
        <v>0.74517324369388382</v>
      </c>
      <c r="J4" s="136">
        <f>IF(SER_hh_tes_in!J4=0,"",SER_hh_tes_in!J4/SER_hh_fec_in!J4)</f>
        <v>0.71593556464640684</v>
      </c>
      <c r="K4" s="136">
        <f>IF(SER_hh_tes_in!K4=0,"",SER_hh_tes_in!K4/SER_hh_fec_in!K4)</f>
        <v>0.67948646237971644</v>
      </c>
      <c r="L4" s="136">
        <f>IF(SER_hh_tes_in!L4=0,"",SER_hh_tes_in!L4/SER_hh_fec_in!L4)</f>
        <v>0.68254875183292119</v>
      </c>
      <c r="M4" s="136">
        <f>IF(SER_hh_tes_in!M4=0,"",SER_hh_tes_in!M4/SER_hh_fec_in!M4)</f>
        <v>0.70230264938235853</v>
      </c>
      <c r="N4" s="136">
        <f>IF(SER_hh_tes_in!N4=0,"",SER_hh_tes_in!N4/SER_hh_fec_in!N4)</f>
        <v>0.69194236275243426</v>
      </c>
      <c r="O4" s="136">
        <f>IF(SER_hh_tes_in!O4=0,"",SER_hh_tes_in!O4/SER_hh_fec_in!O4)</f>
        <v>0.71575330335038312</v>
      </c>
      <c r="P4" s="136">
        <f>IF(SER_hh_tes_in!P4=0,"",SER_hh_tes_in!P4/SER_hh_fec_in!P4)</f>
        <v>0.78751361907414463</v>
      </c>
      <c r="Q4" s="136">
        <f>IF(SER_hh_tes_in!Q4=0,"",SER_hh_tes_in!Q4/SER_hh_fec_in!Q4)</f>
        <v>0.83683952073212708</v>
      </c>
      <c r="R4" s="136">
        <f>IF(SER_hh_tes_in!R4=0,"",SER_hh_tes_in!R4/SER_hh_fec_in!R4)</f>
        <v>0.85279942610103554</v>
      </c>
      <c r="S4" s="136">
        <f>IF(SER_hh_tes_in!S4=0,"",SER_hh_tes_in!S4/SER_hh_fec_in!S4)</f>
        <v>0.86874104873097802</v>
      </c>
      <c r="T4" s="136">
        <f>IF(SER_hh_tes_in!T4=0,"",SER_hh_tes_in!T4/SER_hh_fec_in!T4)</f>
        <v>0.86466410771566915</v>
      </c>
      <c r="U4" s="136">
        <f>IF(SER_hh_tes_in!U4=0,"",SER_hh_tes_in!U4/SER_hh_fec_in!U4)</f>
        <v>0.87953396645522119</v>
      </c>
      <c r="V4" s="136">
        <f>IF(SER_hh_tes_in!V4=0,"",SER_hh_tes_in!V4/SER_hh_fec_in!V4)</f>
        <v>0.90500596662974386</v>
      </c>
      <c r="W4" s="136">
        <f>IF(SER_hh_tes_in!W4=0,"",SER_hh_tes_in!W4/SER_hh_fec_in!W4)</f>
        <v>0.90453891501483752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0.61895581462873084</v>
      </c>
      <c r="D5" s="137">
        <f>IF(SER_hh_tes_in!D5=0,"",SER_hh_tes_in!D5/SER_hh_fec_in!D5)</f>
        <v>0.62206258515989177</v>
      </c>
      <c r="E5" s="137">
        <f>IF(SER_hh_tes_in!E5=0,"",SER_hh_tes_in!E5/SER_hh_fec_in!E5)</f>
        <v>0.62516299194097047</v>
      </c>
      <c r="F5" s="137">
        <f>IF(SER_hh_tes_in!F5=0,"",SER_hh_tes_in!F5/SER_hh_fec_in!F5)</f>
        <v>0.62826253093794704</v>
      </c>
      <c r="G5" s="137">
        <f>IF(SER_hh_tes_in!G5=0,"",SER_hh_tes_in!G5/SER_hh_fec_in!G5)</f>
        <v>0.63135620929540781</v>
      </c>
      <c r="H5" s="137">
        <f>IF(SER_hh_tes_in!H5=0,"",SER_hh_tes_in!H5/SER_hh_fec_in!H5)</f>
        <v>0.63444463807529305</v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>
        <f>IF(SER_hh_tes_in!R5=0,"",SER_hh_tes_in!R5/SER_hh_fec_in!R5)</f>
        <v>0.66396801611334111</v>
      </c>
      <c r="S5" s="137">
        <f>IF(SER_hh_tes_in!S5=0,"",SER_hh_tes_in!S5/SER_hh_fec_in!S5)</f>
        <v>0.66860635628568188</v>
      </c>
      <c r="T5" s="137">
        <f>IF(SER_hh_tes_in!T5=0,"",SER_hh_tes_in!T5/SER_hh_fec_in!T5)</f>
        <v>0.67345713951934716</v>
      </c>
      <c r="U5" s="137">
        <f>IF(SER_hh_tes_in!U5=0,"",SER_hh_tes_in!U5/SER_hh_fec_in!U5)</f>
        <v>0.67809547969168504</v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0.53618728585940179</v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>
        <f>IF(SER_hh_tes_in!J7=0,"",SER_hh_tes_in!J7/SER_hh_fec_in!J7)</f>
        <v>0.5769209959597783</v>
      </c>
      <c r="K7" s="137">
        <f>IF(SER_hh_tes_in!K7=0,"",SER_hh_tes_in!K7/SER_hh_fec_in!K7)</f>
        <v>0.58384602643008665</v>
      </c>
      <c r="L7" s="137">
        <f>IF(SER_hh_tes_in!L7=0,"",SER_hh_tes_in!L7/SER_hh_fec_in!L7)</f>
        <v>0.59130389756204516</v>
      </c>
      <c r="M7" s="137">
        <f>IF(SER_hh_tes_in!M7=0,"",SER_hh_tes_in!M7/SER_hh_fec_in!M7)</f>
        <v>0.60325894039338834</v>
      </c>
      <c r="N7" s="137">
        <f>IF(SER_hh_tes_in!N7=0,"",SER_hh_tes_in!N7/SER_hh_fec_in!N7)</f>
        <v>0.62086707350193093</v>
      </c>
      <c r="O7" s="137">
        <f>IF(SER_hh_tes_in!O7=0,"",SER_hh_tes_in!O7/SER_hh_fec_in!O7)</f>
        <v>0.64478246231084735</v>
      </c>
      <c r="P7" s="137">
        <f>IF(SER_hh_tes_in!P7=0,"",SER_hh_tes_in!P7/SER_hh_fec_in!P7)</f>
        <v>0.67219816523827658</v>
      </c>
      <c r="Q7" s="137">
        <f>IF(SER_hh_tes_in!Q7=0,"",SER_hh_tes_in!Q7/SER_hh_fec_in!Q7)</f>
        <v>0.69488750431785051</v>
      </c>
      <c r="R7" s="137">
        <f>IF(SER_hh_tes_in!R7=0,"",SER_hh_tes_in!R7/SER_hh_fec_in!R7)</f>
        <v>0.7059855106305174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>
        <f>IF(SER_hh_tes_in!V7=0,"",SER_hh_tes_in!V7/SER_hh_fec_in!V7)</f>
        <v>0.72820575583904068</v>
      </c>
      <c r="W7" s="137">
        <f>IF(SER_hh_tes_in!W7=0,"",SER_hh_tes_in!W7/SER_hh_fec_in!W7)</f>
        <v>0.7307464427785525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0.61403569731158392</v>
      </c>
      <c r="D9" s="137">
        <f>IF(SER_hh_tes_in!D9=0,"",SER_hh_tes_in!D9/SER_hh_fec_in!D9)</f>
        <v>0.62230858278103485</v>
      </c>
      <c r="E9" s="137">
        <f>IF(SER_hh_tes_in!E9=0,"",SER_hh_tes_in!E9/SER_hh_fec_in!E9)</f>
        <v>0.63058415704142612</v>
      </c>
      <c r="F9" s="137">
        <f>IF(SER_hh_tes_in!F9=0,"",SER_hh_tes_in!F9/SER_hh_fec_in!F9)</f>
        <v>0.63875760937137716</v>
      </c>
      <c r="G9" s="137">
        <f>IF(SER_hh_tes_in!G9=0,"",SER_hh_tes_in!G9/SER_hh_fec_in!G9)</f>
        <v>0.64692560714132119</v>
      </c>
      <c r="H9" s="137">
        <f>IF(SER_hh_tes_in!H9=0,"",SER_hh_tes_in!H9/SER_hh_fec_in!H9)</f>
        <v>0.6550773217017718</v>
      </c>
      <c r="I9" s="137">
        <f>IF(SER_hh_tes_in!I9=0,"",SER_hh_tes_in!I9/SER_hh_fec_in!I9)</f>
        <v>0.66323758587794668</v>
      </c>
      <c r="J9" s="137">
        <f>IF(SER_hh_tes_in!J9=0,"",SER_hh_tes_in!J9/SER_hh_fec_in!J9)</f>
        <v>0.67150581085789385</v>
      </c>
      <c r="K9" s="137">
        <f>IF(SER_hh_tes_in!K9=0,"",SER_hh_tes_in!K9/SER_hh_fec_in!K9)</f>
        <v>0.67996778643304634</v>
      </c>
      <c r="L9" s="137">
        <f>IF(SER_hh_tes_in!L9=0,"",SER_hh_tes_in!L9/SER_hh_fec_in!L9)</f>
        <v>0.68864867964316834</v>
      </c>
      <c r="M9" s="137">
        <f>IF(SER_hh_tes_in!M9=0,"",SER_hh_tes_in!M9/SER_hh_fec_in!M9)</f>
        <v>0.69974497242717471</v>
      </c>
      <c r="N9" s="137">
        <f>IF(SER_hh_tes_in!N9=0,"",SER_hh_tes_in!N9/SER_hh_fec_in!N9)</f>
        <v>0.71398393048445152</v>
      </c>
      <c r="O9" s="137">
        <f>IF(SER_hh_tes_in!O9=0,"",SER_hh_tes_in!O9/SER_hh_fec_in!O9)</f>
        <v>0.73178596107075156</v>
      </c>
      <c r="P9" s="137">
        <f>IF(SER_hh_tes_in!P9=0,"",SER_hh_tes_in!P9/SER_hh_fec_in!P9)</f>
        <v>0.75155713176813643</v>
      </c>
      <c r="Q9" s="137">
        <f>IF(SER_hh_tes_in!Q9=0,"",SER_hh_tes_in!Q9/SER_hh_fec_in!Q9)</f>
        <v>0.76832189020064134</v>
      </c>
      <c r="R9" s="137">
        <f>IF(SER_hh_tes_in!R9=0,"",SER_hh_tes_in!R9/SER_hh_fec_in!R9)</f>
        <v>0.7778504957999075</v>
      </c>
      <c r="S9" s="137">
        <f>IF(SER_hh_tes_in!S9=0,"",SER_hh_tes_in!S9/SER_hh_fec_in!S9)</f>
        <v>0.78520604035621655</v>
      </c>
      <c r="T9" s="137">
        <f>IF(SER_hh_tes_in!T9=0,"",SER_hh_tes_in!T9/SER_hh_fec_in!T9)</f>
        <v>0.79106758989495907</v>
      </c>
      <c r="U9" s="137">
        <f>IF(SER_hh_tes_in!U9=0,"",SER_hh_tes_in!U9/SER_hh_fec_in!U9)</f>
        <v>0.79594814527444591</v>
      </c>
      <c r="V9" s="137">
        <f>IF(SER_hh_tes_in!V9=0,"",SER_hh_tes_in!V9/SER_hh_fec_in!V9)</f>
        <v>0.80018510869800907</v>
      </c>
      <c r="W9" s="137">
        <f>IF(SER_hh_tes_in!W9=0,"",SER_hh_tes_in!W9/SER_hh_fec_in!W9)</f>
        <v>0.80311638114614969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>
        <f>IF(SER_hh_tes_in!G10=0,"",SER_hh_tes_in!G10/SER_hh_fec_in!G10)</f>
        <v>0.46550429453324788</v>
      </c>
      <c r="H10" s="137">
        <f>IF(SER_hh_tes_in!H10=0,"",SER_hh_tes_in!H10/SER_hh_fec_in!H10)</f>
        <v>0.47449114932219993</v>
      </c>
      <c r="I10" s="137">
        <f>IF(SER_hh_tes_in!I10=0,"",SER_hh_tes_in!I10/SER_hh_fec_in!I10)</f>
        <v>0.48352076637218561</v>
      </c>
      <c r="J10" s="137">
        <f>IF(SER_hh_tes_in!J10=0,"",SER_hh_tes_in!J10/SER_hh_fec_in!J10)</f>
        <v>0.49256477042026398</v>
      </c>
      <c r="K10" s="137">
        <f>IF(SER_hh_tes_in!K10=0,"",SER_hh_tes_in!K10/SER_hh_fec_in!K10)</f>
        <v>0.50158562579470667</v>
      </c>
      <c r="L10" s="137">
        <f>IF(SER_hh_tes_in!L10=0,"",SER_hh_tes_in!L10/SER_hh_fec_in!L10)</f>
        <v>0.51055001737024086</v>
      </c>
      <c r="M10" s="137">
        <f>IF(SER_hh_tes_in!M10=0,"",SER_hh_tes_in!M10/SER_hh_fec_in!M10)</f>
        <v>0.51880586680511653</v>
      </c>
      <c r="N10" s="137">
        <f>IF(SER_hh_tes_in!N10=0,"",SER_hh_tes_in!N10/SER_hh_fec_in!N10)</f>
        <v>0.52600312348316902</v>
      </c>
      <c r="O10" s="137">
        <f>IF(SER_hh_tes_in!O10=0,"",SER_hh_tes_in!O10/SER_hh_fec_in!O10)</f>
        <v>0.53195241636196355</v>
      </c>
      <c r="P10" s="137">
        <f>IF(SER_hh_tes_in!P10=0,"",SER_hh_tes_in!P10/SER_hh_fec_in!P10)</f>
        <v>0.53716345151559186</v>
      </c>
      <c r="Q10" s="137">
        <f>IF(SER_hh_tes_in!Q10=0,"",SER_hh_tes_in!Q10/SER_hh_fec_in!Q10)</f>
        <v>0.54336730331444794</v>
      </c>
      <c r="R10" s="137">
        <f>IF(SER_hh_tes_in!R10=0,"",SER_hh_tes_in!R10/SER_hh_fec_in!R10)</f>
        <v>0.55251468689073469</v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>
        <f>IF(SER_hh_tes_in!V10=0,"",SER_hh_tes_in!V10/SER_hh_fec_in!V10)</f>
        <v>0.59051231368066648</v>
      </c>
      <c r="W10" s="137">
        <f>IF(SER_hh_tes_in!W10=0,"",SER_hh_tes_in!W10/SER_hh_fec_in!W10)</f>
        <v>0.59691041420120206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1.5563757092623718</v>
      </c>
      <c r="D13" s="137">
        <f>IF(SER_hh_tes_in!D13=0,"",SER_hh_tes_in!D13/SER_hh_fec_in!D13)</f>
        <v>1.6733204730109552</v>
      </c>
      <c r="E13" s="137">
        <f>IF(SER_hh_tes_in!E13=0,"",SER_hh_tes_in!E13/SER_hh_fec_in!E13)</f>
        <v>1.7936145542846127</v>
      </c>
      <c r="F13" s="137">
        <f>IF(SER_hh_tes_in!F13=0,"",SER_hh_tes_in!F13/SER_hh_fec_in!F13)</f>
        <v>1.9167579089705473</v>
      </c>
      <c r="G13" s="137">
        <f>IF(SER_hh_tes_in!G13=0,"",SER_hh_tes_in!G13/SER_hh_fec_in!G13)</f>
        <v>2.0431659681823948</v>
      </c>
      <c r="H13" s="137">
        <f>IF(SER_hh_tes_in!H13=0,"",SER_hh_tes_in!H13/SER_hh_fec_in!H13)</f>
        <v>2.1727603442674073</v>
      </c>
      <c r="I13" s="137">
        <f>IF(SER_hh_tes_in!I13=0,"",SER_hh_tes_in!I13/SER_hh_fec_in!I13)</f>
        <v>2.3056147096951909</v>
      </c>
      <c r="J13" s="137">
        <f>IF(SER_hh_tes_in!J13=0,"",SER_hh_tes_in!J13/SER_hh_fec_in!J13)</f>
        <v>2.442094772750028</v>
      </c>
      <c r="K13" s="137">
        <f>IF(SER_hh_tes_in!K13=0,"",SER_hh_tes_in!K13/SER_hh_fec_in!K13)</f>
        <v>2.5824711855549345</v>
      </c>
      <c r="L13" s="137">
        <f>IF(SER_hh_tes_in!L13=0,"",SER_hh_tes_in!L13/SER_hh_fec_in!L13)</f>
        <v>2.7267433703175525</v>
      </c>
      <c r="M13" s="137">
        <f>IF(SER_hh_tes_in!M13=0,"",SER_hh_tes_in!M13/SER_hh_fec_in!M13)</f>
        <v>2.8853820043452068</v>
      </c>
      <c r="N13" s="137">
        <f>IF(SER_hh_tes_in!N13=0,"",SER_hh_tes_in!N13/SER_hh_fec_in!N13)</f>
        <v>3.0610469705430301</v>
      </c>
      <c r="O13" s="137">
        <f>IF(SER_hh_tes_in!O13=0,"",SER_hh_tes_in!O13/SER_hh_fec_in!O13)</f>
        <v>3.251963241665516</v>
      </c>
      <c r="P13" s="137">
        <f>IF(SER_hh_tes_in!P13=0,"",SER_hh_tes_in!P13/SER_hh_fec_in!P13)</f>
        <v>3.4435954512646281</v>
      </c>
      <c r="Q13" s="137">
        <f>IF(SER_hh_tes_in!Q13=0,"",SER_hh_tes_in!Q13/SER_hh_fec_in!Q13)</f>
        <v>3.6006835250114593</v>
      </c>
      <c r="R13" s="137">
        <f>IF(SER_hh_tes_in!R13=0,"",SER_hh_tes_in!R13/SER_hh_fec_in!R13)</f>
        <v>3.6631365441878523</v>
      </c>
      <c r="S13" s="137">
        <f>IF(SER_hh_tes_in!S13=0,"",SER_hh_tes_in!S13/SER_hh_fec_in!S13)</f>
        <v>3.7026668541229113</v>
      </c>
      <c r="T13" s="137">
        <f>IF(SER_hh_tes_in!T13=0,"",SER_hh_tes_in!T13/SER_hh_fec_in!T13)</f>
        <v>3.7280202494981052</v>
      </c>
      <c r="U13" s="137">
        <f>IF(SER_hh_tes_in!U13=0,"",SER_hh_tes_in!U13/SER_hh_fec_in!U13)</f>
        <v>3.7481980748469383</v>
      </c>
      <c r="V13" s="137">
        <f>IF(SER_hh_tes_in!V13=0,"",SER_hh_tes_in!V13/SER_hh_fec_in!V13)</f>
        <v>3.7725552501930211</v>
      </c>
      <c r="W13" s="137">
        <f>IF(SER_hh_tes_in!W13=0,"",SER_hh_tes_in!W13/SER_hh_fec_in!W13)</f>
        <v>3.8004004830532017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0.75268560272505347</v>
      </c>
      <c r="D14" s="138">
        <f>IF(SER_hh_tes_in!D14=0,"",SER_hh_tes_in!D14/SER_hh_fec_in!D14)</f>
        <v>0.75591532229375968</v>
      </c>
      <c r="E14" s="138">
        <f>IF(SER_hh_tes_in!E14=0,"",SER_hh_tes_in!E14/SER_hh_fec_in!E14)</f>
        <v>0.75922790229683268</v>
      </c>
      <c r="F14" s="138">
        <f>IF(SER_hh_tes_in!F14=0,"",SER_hh_tes_in!F14/SER_hh_fec_in!F14)</f>
        <v>0.76255167367883381</v>
      </c>
      <c r="G14" s="138">
        <f>IF(SER_hh_tes_in!G14=0,"",SER_hh_tes_in!G14/SER_hh_fec_in!G14)</f>
        <v>0.76595170302575899</v>
      </c>
      <c r="H14" s="138">
        <f>IF(SER_hh_tes_in!H14=0,"",SER_hh_tes_in!H14/SER_hh_fec_in!H14)</f>
        <v>0.76941998083726315</v>
      </c>
      <c r="I14" s="138">
        <f>IF(SER_hh_tes_in!I14=0,"",SER_hh_tes_in!I14/SER_hh_fec_in!I14)</f>
        <v>0.77297247307464234</v>
      </c>
      <c r="J14" s="138">
        <f>IF(SER_hh_tes_in!J14=0,"",SER_hh_tes_in!J14/SER_hh_fec_in!J14)</f>
        <v>0.77667469673605094</v>
      </c>
      <c r="K14" s="138">
        <f>IF(SER_hh_tes_in!K14=0,"",SER_hh_tes_in!K14/SER_hh_fec_in!K14)</f>
        <v>0.78058216698016847</v>
      </c>
      <c r="L14" s="138">
        <f>IF(SER_hh_tes_in!L14=0,"",SER_hh_tes_in!L14/SER_hh_fec_in!L14)</f>
        <v>0.78470934348700361</v>
      </c>
      <c r="M14" s="138">
        <f>IF(SER_hh_tes_in!M14=0,"",SER_hh_tes_in!M14/SER_hh_fec_in!M14)</f>
        <v>0.79019682246537137</v>
      </c>
      <c r="N14" s="138">
        <f>IF(SER_hh_tes_in!N14=0,"",SER_hh_tes_in!N14/SER_hh_fec_in!N14)</f>
        <v>0.79738311841831933</v>
      </c>
      <c r="O14" s="138">
        <f>IF(SER_hh_tes_in!O14=0,"",SER_hh_tes_in!O14/SER_hh_fec_in!O14)</f>
        <v>0.80671255235970241</v>
      </c>
      <c r="P14" s="138">
        <f>IF(SER_hh_tes_in!P14=0,"",SER_hh_tes_in!P14/SER_hh_fec_in!P14)</f>
        <v>0.81787533712921123</v>
      </c>
      <c r="Q14" s="138">
        <f>IF(SER_hh_tes_in!Q14=0,"",SER_hh_tes_in!Q14/SER_hh_fec_in!Q14)</f>
        <v>0.82974014317013733</v>
      </c>
      <c r="R14" s="138">
        <f>IF(SER_hh_tes_in!R14=0,"",SER_hh_tes_in!R14/SER_hh_fec_in!R14)</f>
        <v>0.84249157920863682</v>
      </c>
      <c r="S14" s="138">
        <f>IF(SER_hh_tes_in!S14=0,"",SER_hh_tes_in!S14/SER_hh_fec_in!S14)</f>
        <v>0.85734084445452718</v>
      </c>
      <c r="T14" s="138">
        <f>IF(SER_hh_tes_in!T14=0,"",SER_hh_tes_in!T14/SER_hh_fec_in!T14)</f>
        <v>0.87236578073130666</v>
      </c>
      <c r="U14" s="138">
        <f>IF(SER_hh_tes_in!U14=0,"",SER_hh_tes_in!U14/SER_hh_fec_in!U14)</f>
        <v>0.88564977758074348</v>
      </c>
      <c r="V14" s="138">
        <f>IF(SER_hh_tes_in!V14=0,"",SER_hh_tes_in!V14/SER_hh_fec_in!V14)</f>
        <v>0.89527072245466333</v>
      </c>
      <c r="W14" s="138">
        <f>IF(SER_hh_tes_in!W14=0,"",SER_hh_tes_in!W14/SER_hh_fec_in!W14)</f>
        <v>0.90010386688616051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3.0483985956600894</v>
      </c>
      <c r="D16" s="136">
        <f>IF(SER_hh_tes_in!D16=0,"",SER_hh_tes_in!D16/SER_hh_fec_in!D16)</f>
        <v>3.1662662923074141</v>
      </c>
      <c r="E16" s="136">
        <f>IF(SER_hh_tes_in!E16=0,"",SER_hh_tes_in!E16/SER_hh_fec_in!E16)</f>
        <v>3.2935207802575905</v>
      </c>
      <c r="F16" s="136">
        <f>IF(SER_hh_tes_in!F16=0,"",SER_hh_tes_in!F16/SER_hh_fec_in!F16)</f>
        <v>3.3999594381174667</v>
      </c>
      <c r="G16" s="136">
        <f>IF(SER_hh_tes_in!G16=0,"",SER_hh_tes_in!G16/SER_hh_fec_in!G16)</f>
        <v>3.5256533012675573</v>
      </c>
      <c r="H16" s="136">
        <f>IF(SER_hh_tes_in!H16=0,"",SER_hh_tes_in!H16/SER_hh_fec_in!H16)</f>
        <v>3.6390754044688194</v>
      </c>
      <c r="I16" s="136">
        <f>IF(SER_hh_tes_in!I16=0,"",SER_hh_tes_in!I16/SER_hh_fec_in!I16)</f>
        <v>3.7725344317298251</v>
      </c>
      <c r="J16" s="136">
        <f>IF(SER_hh_tes_in!J16=0,"",SER_hh_tes_in!J16/SER_hh_fec_in!J16)</f>
        <v>3.9028927960981687</v>
      </c>
      <c r="K16" s="136">
        <f>IF(SER_hh_tes_in!K16=0,"",SER_hh_tes_in!K16/SER_hh_fec_in!K16)</f>
        <v>4.0052272488144798</v>
      </c>
      <c r="L16" s="136">
        <f>IF(SER_hh_tes_in!L16=0,"",SER_hh_tes_in!L16/SER_hh_fec_in!L16)</f>
        <v>4.147336653783837</v>
      </c>
      <c r="M16" s="136">
        <f>IF(SER_hh_tes_in!M16=0,"",SER_hh_tes_in!M16/SER_hh_fec_in!M16)</f>
        <v>4.2990101923564863</v>
      </c>
      <c r="N16" s="136">
        <f>IF(SER_hh_tes_in!N16=0,"",SER_hh_tes_in!N16/SER_hh_fec_in!N16)</f>
        <v>4.4731635223191777</v>
      </c>
      <c r="O16" s="136">
        <f>IF(SER_hh_tes_in!O16=0,"",SER_hh_tes_in!O16/SER_hh_fec_in!O16)</f>
        <v>4.6644087503725373</v>
      </c>
      <c r="P16" s="136">
        <f>IF(SER_hh_tes_in!P16=0,"",SER_hh_tes_in!P16/SER_hh_fec_in!P16)</f>
        <v>4.8706559078854532</v>
      </c>
      <c r="Q16" s="136">
        <f>IF(SER_hh_tes_in!Q16=0,"",SER_hh_tes_in!Q16/SER_hh_fec_in!Q16)</f>
        <v>4.954144732118297</v>
      </c>
      <c r="R16" s="136">
        <f>IF(SER_hh_tes_in!R16=0,"",SER_hh_tes_in!R16/SER_hh_fec_in!R16)</f>
        <v>5.1612234563818919</v>
      </c>
      <c r="S16" s="136">
        <f>IF(SER_hh_tes_in!S16=0,"",SER_hh_tes_in!S16/SER_hh_fec_in!S16)</f>
        <v>5.2707481941566536</v>
      </c>
      <c r="T16" s="136">
        <f>IF(SER_hh_tes_in!T16=0,"",SER_hh_tes_in!T16/SER_hh_fec_in!T16)</f>
        <v>5.4020779808545152</v>
      </c>
      <c r="U16" s="136">
        <f>IF(SER_hh_tes_in!U16=0,"",SER_hh_tes_in!U16/SER_hh_fec_in!U16)</f>
        <v>5.4731200111673779</v>
      </c>
      <c r="V16" s="136">
        <f>IF(SER_hh_tes_in!V16=0,"",SER_hh_tes_in!V16/SER_hh_fec_in!V16)</f>
        <v>5.4007361859790119</v>
      </c>
      <c r="W16" s="136">
        <f>IF(SER_hh_tes_in!W16=0,"",SER_hh_tes_in!W16/SER_hh_fec_in!W16)</f>
        <v>5.6345637042614767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1.4687069864002438</v>
      </c>
      <c r="D17" s="137">
        <f>IF(SER_hh_tes_in!D17=0,"",SER_hh_tes_in!D17/SER_hh_fec_in!D17)</f>
        <v>1.4777967994522843</v>
      </c>
      <c r="E17" s="137">
        <f>IF(SER_hh_tes_in!E17=0,"",SER_hh_tes_in!E17/SER_hh_fec_in!E17)</f>
        <v>1.4857799766610496</v>
      </c>
      <c r="F17" s="137">
        <f>IF(SER_hh_tes_in!F17=0,"",SER_hh_tes_in!F17/SER_hh_fec_in!F17)</f>
        <v>1.4927944472908947</v>
      </c>
      <c r="G17" s="137">
        <f>IF(SER_hh_tes_in!G17=0,"",SER_hh_tes_in!G17/SER_hh_fec_in!G17)</f>
        <v>1.4989212665417206</v>
      </c>
      <c r="H17" s="137">
        <f>IF(SER_hh_tes_in!H17=0,"",SER_hh_tes_in!H17/SER_hh_fec_in!H17)</f>
        <v>1.5044474389438254</v>
      </c>
      <c r="I17" s="137">
        <f>IF(SER_hh_tes_in!I17=0,"",SER_hh_tes_in!I17/SER_hh_fec_in!I17)</f>
        <v>1.5094760712328572</v>
      </c>
      <c r="J17" s="137">
        <f>IF(SER_hh_tes_in!J17=0,"",SER_hh_tes_in!J17/SER_hh_fec_in!J17)</f>
        <v>1.5143328489086048</v>
      </c>
      <c r="K17" s="137">
        <f>IF(SER_hh_tes_in!K17=0,"",SER_hh_tes_in!K17/SER_hh_fec_in!K17)</f>
        <v>1.519467400910143</v>
      </c>
      <c r="L17" s="137">
        <f>IF(SER_hh_tes_in!L17=0,"",SER_hh_tes_in!L17/SER_hh_fec_in!L17)</f>
        <v>1.5251600620485777</v>
      </c>
      <c r="M17" s="137">
        <f>IF(SER_hh_tes_in!M17=0,"",SER_hh_tes_in!M17/SER_hh_fec_in!M17)</f>
        <v>1.535499561273185</v>
      </c>
      <c r="N17" s="137">
        <f>IF(SER_hh_tes_in!N17=0,"",SER_hh_tes_in!N17/SER_hh_fec_in!N17)</f>
        <v>1.5555477105387858</v>
      </c>
      <c r="O17" s="137">
        <f>IF(SER_hh_tes_in!O17=0,"",SER_hh_tes_in!O17/SER_hh_fec_in!O17)</f>
        <v>1.5871514065351946</v>
      </c>
      <c r="P17" s="137">
        <f>IF(SER_hh_tes_in!P17=0,"",SER_hh_tes_in!P17/SER_hh_fec_in!P17)</f>
        <v>1.6294538119136246</v>
      </c>
      <c r="Q17" s="137">
        <f>IF(SER_hh_tes_in!Q17=0,"",SER_hh_tes_in!Q17/SER_hh_fec_in!Q17)</f>
        <v>1.6736459836842787</v>
      </c>
      <c r="R17" s="137">
        <f>IF(SER_hh_tes_in!R17=0,"",SER_hh_tes_in!R17/SER_hh_fec_in!R17)</f>
        <v>1.7094595152623784</v>
      </c>
      <c r="S17" s="137">
        <f>IF(SER_hh_tes_in!S17=0,"",SER_hh_tes_in!S17/SER_hh_fec_in!S17)</f>
        <v>1.7445406431549073</v>
      </c>
      <c r="T17" s="137">
        <f>IF(SER_hh_tes_in!T17=0,"",SER_hh_tes_in!T17/SER_hh_fec_in!T17)</f>
        <v>1.7850682755231595</v>
      </c>
      <c r="U17" s="137">
        <f>IF(SER_hh_tes_in!U17=0,"",SER_hh_tes_in!U17/SER_hh_fec_in!U17)</f>
        <v>1.8278377682099898</v>
      </c>
      <c r="V17" s="137">
        <f>IF(SER_hh_tes_in!V17=0,"",SER_hh_tes_in!V17/SER_hh_fec_in!V17)</f>
        <v>1.869313145970473</v>
      </c>
      <c r="W17" s="137">
        <f>IF(SER_hh_tes_in!W17=0,"",SER_hh_tes_in!W17/SER_hh_fec_in!W17)</f>
        <v>1.9033906970976773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3.0588479317245318</v>
      </c>
      <c r="D18" s="137">
        <f>IF(SER_hh_tes_in!D18=0,"",SER_hh_tes_in!D18/SER_hh_fec_in!D18)</f>
        <v>3.1786416526012786</v>
      </c>
      <c r="E18" s="137">
        <f>IF(SER_hh_tes_in!E18=0,"",SER_hh_tes_in!E18/SER_hh_fec_in!E18)</f>
        <v>3.2997002302089213</v>
      </c>
      <c r="F18" s="137">
        <f>IF(SER_hh_tes_in!F18=0,"",SER_hh_tes_in!F18/SER_hh_fec_in!F18)</f>
        <v>3.4208888212517694</v>
      </c>
      <c r="G18" s="137">
        <f>IF(SER_hh_tes_in!G18=0,"",SER_hh_tes_in!G18/SER_hh_fec_in!G18)</f>
        <v>3.5432290038156116</v>
      </c>
      <c r="H18" s="137">
        <f>IF(SER_hh_tes_in!H18=0,"",SER_hh_tes_in!H18/SER_hh_fec_in!H18)</f>
        <v>3.6665891107514184</v>
      </c>
      <c r="I18" s="137">
        <f>IF(SER_hh_tes_in!I18=0,"",SER_hh_tes_in!I18/SER_hh_fec_in!I18)</f>
        <v>3.7912139583011206</v>
      </c>
      <c r="J18" s="137">
        <f>IF(SER_hh_tes_in!J18=0,"",SER_hh_tes_in!J18/SER_hh_fec_in!J18)</f>
        <v>3.9181218712907322</v>
      </c>
      <c r="K18" s="137">
        <f>IF(SER_hh_tes_in!K18=0,"",SER_hh_tes_in!K18/SER_hh_fec_in!K18)</f>
        <v>4.0481690789805347</v>
      </c>
      <c r="L18" s="137">
        <f>IF(SER_hh_tes_in!L18=0,"",SER_hh_tes_in!L18/SER_hh_fec_in!L18)</f>
        <v>4.1815672790413725</v>
      </c>
      <c r="M18" s="137">
        <f>IF(SER_hh_tes_in!M18=0,"",SER_hh_tes_in!M18/SER_hh_fec_in!M18)</f>
        <v>4.3408988590596245</v>
      </c>
      <c r="N18" s="137">
        <f>IF(SER_hh_tes_in!N18=0,"",SER_hh_tes_in!N18/SER_hh_fec_in!N18)</f>
        <v>4.5335541321588471</v>
      </c>
      <c r="O18" s="137">
        <f>IF(SER_hh_tes_in!O18=0,"",SER_hh_tes_in!O18/SER_hh_fec_in!O18)</f>
        <v>4.7636188167735609</v>
      </c>
      <c r="P18" s="137">
        <f>IF(SER_hh_tes_in!P18=0,"",SER_hh_tes_in!P18/SER_hh_fec_in!P18)</f>
        <v>5.013119013234336</v>
      </c>
      <c r="Q18" s="137">
        <f>IF(SER_hh_tes_in!Q18=0,"",SER_hh_tes_in!Q18/SER_hh_fec_in!Q18)</f>
        <v>5.2275353868172818</v>
      </c>
      <c r="R18" s="137">
        <f>IF(SER_hh_tes_in!R18=0,"",SER_hh_tes_in!R18/SER_hh_fec_in!R18)</f>
        <v>5.3620512605318957</v>
      </c>
      <c r="S18" s="137">
        <f>IF(SER_hh_tes_in!S18=0,"",SER_hh_tes_in!S18/SER_hh_fec_in!S18)</f>
        <v>5.4691192913596467</v>
      </c>
      <c r="T18" s="137">
        <f>IF(SER_hh_tes_in!T18=0,"",SER_hh_tes_in!T18/SER_hh_fec_in!T18)</f>
        <v>5.5585787068909331</v>
      </c>
      <c r="U18" s="137">
        <f>IF(SER_hh_tes_in!U18=0,"",SER_hh_tes_in!U18/SER_hh_fec_in!U18)</f>
        <v>5.6400200278665027</v>
      </c>
      <c r="V18" s="137">
        <f>IF(SER_hh_tes_in!V18=0,"",SER_hh_tes_in!V18/SER_hh_fec_in!V18)</f>
        <v>5.7230583636756993</v>
      </c>
      <c r="W18" s="137">
        <f>IF(SER_hh_tes_in!W18=0,"",SER_hh_tes_in!W18/SER_hh_fec_in!W18)</f>
        <v>5.8043540543591989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0.64491663410954592</v>
      </c>
      <c r="D19" s="136">
        <f>IF(SER_hh_tes_in!D19=0,"",SER_hh_tes_in!D19/SER_hh_fec_in!D19)</f>
        <v>0.65331070471504527</v>
      </c>
      <c r="E19" s="136">
        <f>IF(SER_hh_tes_in!E19=0,"",SER_hh_tes_in!E19/SER_hh_fec_in!E19)</f>
        <v>0.65881996885548411</v>
      </c>
      <c r="F19" s="136">
        <f>IF(SER_hh_tes_in!F19=0,"",SER_hh_tes_in!F19/SER_hh_fec_in!F19)</f>
        <v>0.66215176016261257</v>
      </c>
      <c r="G19" s="136">
        <f>IF(SER_hh_tes_in!G19=0,"",SER_hh_tes_in!G19/SER_hh_fec_in!G19)</f>
        <v>0.67363144998396063</v>
      </c>
      <c r="H19" s="136">
        <f>IF(SER_hh_tes_in!H19=0,"",SER_hh_tes_in!H19/SER_hh_fec_in!H19)</f>
        <v>0.67542519994343142</v>
      </c>
      <c r="I19" s="136">
        <f>IF(SER_hh_tes_in!I19=0,"",SER_hh_tes_in!I19/SER_hh_fec_in!I19)</f>
        <v>0.68125478942200746</v>
      </c>
      <c r="J19" s="136">
        <f>IF(SER_hh_tes_in!J19=0,"",SER_hh_tes_in!J19/SER_hh_fec_in!J19)</f>
        <v>0.67933591689135564</v>
      </c>
      <c r="K19" s="136">
        <f>IF(SER_hh_tes_in!K19=0,"",SER_hh_tes_in!K19/SER_hh_fec_in!K19)</f>
        <v>0.65493639081698307</v>
      </c>
      <c r="L19" s="136">
        <f>IF(SER_hh_tes_in!L19=0,"",SER_hh_tes_in!L19/SER_hh_fec_in!L19)</f>
        <v>0.68725693289414869</v>
      </c>
      <c r="M19" s="136">
        <f>IF(SER_hh_tes_in!M19=0,"",SER_hh_tes_in!M19/SER_hh_fec_in!M19)</f>
        <v>0.68753692141883993</v>
      </c>
      <c r="N19" s="136">
        <f>IF(SER_hh_tes_in!N19=0,"",SER_hh_tes_in!N19/SER_hh_fec_in!N19)</f>
        <v>0.69522830838671268</v>
      </c>
      <c r="O19" s="136">
        <f>IF(SER_hh_tes_in!O19=0,"",SER_hh_tes_in!O19/SER_hh_fec_in!O19)</f>
        <v>0.72347806105949541</v>
      </c>
      <c r="P19" s="136">
        <f>IF(SER_hh_tes_in!P19=0,"",SER_hh_tes_in!P19/SER_hh_fec_in!P19)</f>
        <v>0.7619704183978645</v>
      </c>
      <c r="Q19" s="136">
        <f>IF(SER_hh_tes_in!Q19=0,"",SER_hh_tes_in!Q19/SER_hh_fec_in!Q19)</f>
        <v>0.7889509434235753</v>
      </c>
      <c r="R19" s="136">
        <f>IF(SER_hh_tes_in!R19=0,"",SER_hh_tes_in!R19/SER_hh_fec_in!R19)</f>
        <v>0.81127762485205013</v>
      </c>
      <c r="S19" s="136">
        <f>IF(SER_hh_tes_in!S19=0,"",SER_hh_tes_in!S19/SER_hh_fec_in!S19)</f>
        <v>0.82651678725127242</v>
      </c>
      <c r="T19" s="136">
        <f>IF(SER_hh_tes_in!T19=0,"",SER_hh_tes_in!T19/SER_hh_fec_in!T19)</f>
        <v>0.85088724345160049</v>
      </c>
      <c r="U19" s="136">
        <f>IF(SER_hh_tes_in!U19=0,"",SER_hh_tes_in!U19/SER_hh_fec_in!U19)</f>
        <v>0.86569695194162832</v>
      </c>
      <c r="V19" s="136">
        <f>IF(SER_hh_tes_in!V19=0,"",SER_hh_tes_in!V19/SER_hh_fec_in!V19)</f>
        <v>0.8834389422637775</v>
      </c>
      <c r="W19" s="136">
        <f>IF(SER_hh_tes_in!W19=0,"",SER_hh_tes_in!W19/SER_hh_fec_in!W19)</f>
        <v>0.88025695482123478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0.54971593112604145</v>
      </c>
      <c r="D22" s="137">
        <f>IF(SER_hh_tes_in!D22=0,"",SER_hh_tes_in!D22/SER_hh_fec_in!D22)</f>
        <v>0.55178946482100921</v>
      </c>
      <c r="E22" s="137">
        <f>IF(SER_hh_tes_in!E22=0,"",SER_hh_tes_in!E22/SER_hh_fec_in!E22)</f>
        <v>0.55420625943224533</v>
      </c>
      <c r="F22" s="137">
        <f>IF(SER_hh_tes_in!F22=0,"",SER_hh_tes_in!F22/SER_hh_fec_in!F22)</f>
        <v>0.55666986235024518</v>
      </c>
      <c r="G22" s="137">
        <f>IF(SER_hh_tes_in!G22=0,"",SER_hh_tes_in!G22/SER_hh_fec_in!G22)</f>
        <v>0.55944958838184944</v>
      </c>
      <c r="H22" s="137">
        <f>IF(SER_hh_tes_in!H22=0,"",SER_hh_tes_in!H22/SER_hh_fec_in!H22)</f>
        <v>0.5625124768232701</v>
      </c>
      <c r="I22" s="137">
        <f>IF(SER_hh_tes_in!I22=0,"",SER_hh_tes_in!I22/SER_hh_fec_in!I22)</f>
        <v>0.56592488685078202</v>
      </c>
      <c r="J22" s="137">
        <f>IF(SER_hh_tes_in!J22=0,"",SER_hh_tes_in!J22/SER_hh_fec_in!J22)</f>
        <v>0.56995866858690181</v>
      </c>
      <c r="K22" s="137">
        <f>IF(SER_hh_tes_in!K22=0,"",SER_hh_tes_in!K22/SER_hh_fec_in!K22)</f>
        <v>0.57484496614085512</v>
      </c>
      <c r="L22" s="137">
        <f>IF(SER_hh_tes_in!L22=0,"",SER_hh_tes_in!L22/SER_hh_fec_in!L22)</f>
        <v>0.58064562003828812</v>
      </c>
      <c r="M22" s="137">
        <f>IF(SER_hh_tes_in!M22=0,"",SER_hh_tes_in!M22/SER_hh_fec_in!M22)</f>
        <v>0.59284575428126274</v>
      </c>
      <c r="N22" s="137">
        <f>IF(SER_hh_tes_in!N22=0,"",SER_hh_tes_in!N22/SER_hh_fec_in!N22)</f>
        <v>0.61318634345771494</v>
      </c>
      <c r="O22" s="137">
        <f>IF(SER_hh_tes_in!O22=0,"",SER_hh_tes_in!O22/SER_hh_fec_in!O22)</f>
        <v>0.64312070675349509</v>
      </c>
      <c r="P22" s="137">
        <f>IF(SER_hh_tes_in!P22=0,"",SER_hh_tes_in!P22/SER_hh_fec_in!P22)</f>
        <v>0.67959437537583123</v>
      </c>
      <c r="Q22" s="137">
        <f>IF(SER_hh_tes_in!Q22=0,"",SER_hh_tes_in!Q22/SER_hh_fec_in!Q22)</f>
        <v>0.71271071423590093</v>
      </c>
      <c r="R22" s="137">
        <f>IF(SER_hh_tes_in!R22=0,"",SER_hh_tes_in!R22/SER_hh_fec_in!R22)</f>
        <v>0.73506019171548687</v>
      </c>
      <c r="S22" s="137">
        <f>IF(SER_hh_tes_in!S22=0,"",SER_hh_tes_in!S22/SER_hh_fec_in!S22)</f>
        <v>0.75659696092311224</v>
      </c>
      <c r="T22" s="137">
        <f>IF(SER_hh_tes_in!T22=0,"",SER_hh_tes_in!T22/SER_hh_fec_in!T22)</f>
        <v>0.77610195945075489</v>
      </c>
      <c r="U22" s="137">
        <f>IF(SER_hh_tes_in!U22=0,"",SER_hh_tes_in!U22/SER_hh_fec_in!U22)</f>
        <v>0.79235612489046114</v>
      </c>
      <c r="V22" s="137">
        <f>IF(SER_hh_tes_in!V22=0,"",SER_hh_tes_in!V22/SER_hh_fec_in!V22)</f>
        <v>0.80414039483424826</v>
      </c>
      <c r="W22" s="137">
        <f>IF(SER_hh_tes_in!W22=0,"",SER_hh_tes_in!W22/SER_hh_fec_in!W22)</f>
        <v>0.80968357546962577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0.59961841362423884</v>
      </c>
      <c r="D23" s="137">
        <f>IF(SER_hh_tes_in!D23=0,"",SER_hh_tes_in!D23/SER_hh_fec_in!D23)</f>
        <v>0.60540201166642649</v>
      </c>
      <c r="E23" s="137">
        <f>IF(SER_hh_tes_in!E23=0,"",SER_hh_tes_in!E23/SER_hh_fec_in!E23)</f>
        <v>0.61143567323882186</v>
      </c>
      <c r="F23" s="137">
        <f>IF(SER_hh_tes_in!F23=0,"",SER_hh_tes_in!F23/SER_hh_fec_in!F23)</f>
        <v>0.61751810458055056</v>
      </c>
      <c r="G23" s="137">
        <f>IF(SER_hh_tes_in!G23=0,"",SER_hh_tes_in!G23/SER_hh_fec_in!G23)</f>
        <v>0.6238287870573076</v>
      </c>
      <c r="H23" s="137">
        <f>IF(SER_hh_tes_in!H23=0,"",SER_hh_tes_in!H23/SER_hh_fec_in!H23)</f>
        <v>0.63034342136567123</v>
      </c>
      <c r="I23" s="137">
        <f>IF(SER_hh_tes_in!I23=0,"",SER_hh_tes_in!I23/SER_hh_fec_in!I23)</f>
        <v>0.63710387695673543</v>
      </c>
      <c r="J23" s="137">
        <f>IF(SER_hh_tes_in!J23=0,"",SER_hh_tes_in!J23/SER_hh_fec_in!J23)</f>
        <v>0.6442870783819229</v>
      </c>
      <c r="K23" s="137">
        <f>IF(SER_hh_tes_in!K23=0,"",SER_hh_tes_in!K23/SER_hh_fec_in!K23)</f>
        <v>0.65204055388046545</v>
      </c>
      <c r="L23" s="137">
        <f>IF(SER_hh_tes_in!L23=0,"",SER_hh_tes_in!L23/SER_hh_fec_in!L23)</f>
        <v>0.66039870185844851</v>
      </c>
      <c r="M23" s="137">
        <f>IF(SER_hh_tes_in!M23=0,"",SER_hh_tes_in!M23/SER_hh_fec_in!M23)</f>
        <v>0.67303836755205571</v>
      </c>
      <c r="N23" s="137">
        <f>IF(SER_hh_tes_in!N23=0,"",SER_hh_tes_in!N23/SER_hh_fec_in!N23)</f>
        <v>0.69109131973674198</v>
      </c>
      <c r="O23" s="137">
        <f>IF(SER_hh_tes_in!O23=0,"",SER_hh_tes_in!O23/SER_hh_fec_in!O23)</f>
        <v>0.71539323179731928</v>
      </c>
      <c r="P23" s="137">
        <f>IF(SER_hh_tes_in!P23=0,"",SER_hh_tes_in!P23/SER_hh_fec_in!P23)</f>
        <v>0.74367238716971884</v>
      </c>
      <c r="Q23" s="137">
        <f>IF(SER_hh_tes_in!Q23=0,"",SER_hh_tes_in!Q23/SER_hh_fec_in!Q23)</f>
        <v>0.76880196509640319</v>
      </c>
      <c r="R23" s="137">
        <f>IF(SER_hh_tes_in!R23=0,"",SER_hh_tes_in!R23/SER_hh_fec_in!R23)</f>
        <v>0.78532529816834129</v>
      </c>
      <c r="S23" s="137">
        <f>IF(SER_hh_tes_in!S23=0,"",SER_hh_tes_in!S23/SER_hh_fec_in!S23)</f>
        <v>0.80040177549613523</v>
      </c>
      <c r="T23" s="137">
        <f>IF(SER_hh_tes_in!T23=0,"",SER_hh_tes_in!T23/SER_hh_fec_in!T23)</f>
        <v>0.81364001334483271</v>
      </c>
      <c r="U23" s="137">
        <f>IF(SER_hh_tes_in!U23=0,"",SER_hh_tes_in!U23/SER_hh_fec_in!U23)</f>
        <v>0.82460394197415954</v>
      </c>
      <c r="V23" s="137">
        <f>IF(SER_hh_tes_in!V23=0,"",SER_hh_tes_in!V23/SER_hh_fec_in!V23)</f>
        <v>0.83281504236589476</v>
      </c>
      <c r="W23" s="137">
        <f>IF(SER_hh_tes_in!W23=0,"",SER_hh_tes_in!W23/SER_hh_fec_in!W23)</f>
        <v>0.837052912824928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0.69413961702573979</v>
      </c>
      <c r="D26" s="138">
        <f>IF(SER_hh_tes_in!D26=0,"",SER_hh_tes_in!D26/SER_hh_fec_in!D26)</f>
        <v>0.69643600698078734</v>
      </c>
      <c r="E26" s="138">
        <f>IF(SER_hh_tes_in!E26=0,"",SER_hh_tes_in!E26/SER_hh_fec_in!E26)</f>
        <v>0.69890902179947056</v>
      </c>
      <c r="F26" s="138">
        <f>IF(SER_hh_tes_in!F26=0,"",SER_hh_tes_in!F26/SER_hh_fec_in!F26)</f>
        <v>0.70140579218439647</v>
      </c>
      <c r="G26" s="138">
        <f>IF(SER_hh_tes_in!G26=0,"",SER_hh_tes_in!G26/SER_hh_fec_in!G26)</f>
        <v>0.70406663945363768</v>
      </c>
      <c r="H26" s="138">
        <f>IF(SER_hh_tes_in!H26=0,"",SER_hh_tes_in!H26/SER_hh_fec_in!H26)</f>
        <v>0.70687583547405597</v>
      </c>
      <c r="I26" s="138">
        <f>IF(SER_hh_tes_in!I26=0,"",SER_hh_tes_in!I26/SER_hh_fec_in!I26)</f>
        <v>0.70986992608472332</v>
      </c>
      <c r="J26" s="138">
        <f>IF(SER_hh_tes_in!J26=0,"",SER_hh_tes_in!J26/SER_hh_fec_in!J26)</f>
        <v>0.71319519844670698</v>
      </c>
      <c r="K26" s="138">
        <f>IF(SER_hh_tes_in!K26=0,"",SER_hh_tes_in!K26/SER_hh_fec_in!K26)</f>
        <v>0.71698129228563878</v>
      </c>
      <c r="L26" s="138">
        <f>IF(SER_hh_tes_in!L26=0,"",SER_hh_tes_in!L26/SER_hh_fec_in!L26)</f>
        <v>0.7212735798528449</v>
      </c>
      <c r="M26" s="138">
        <f>IF(SER_hh_tes_in!M26=0,"",SER_hh_tes_in!M26/SER_hh_fec_in!M26)</f>
        <v>0.72904623783295452</v>
      </c>
      <c r="N26" s="138">
        <f>IF(SER_hh_tes_in!N26=0,"",SER_hh_tes_in!N26/SER_hh_fec_in!N26)</f>
        <v>0.74160607477652574</v>
      </c>
      <c r="O26" s="138">
        <f>IF(SER_hh_tes_in!O26=0,"",SER_hh_tes_in!O26/SER_hh_fec_in!O26)</f>
        <v>0.76062892019856365</v>
      </c>
      <c r="P26" s="138">
        <f>IF(SER_hh_tes_in!P26=0,"",SER_hh_tes_in!P26/SER_hh_fec_in!P26)</f>
        <v>0.78537520012349105</v>
      </c>
      <c r="Q26" s="138">
        <f>IF(SER_hh_tes_in!Q26=0,"",SER_hh_tes_in!Q26/SER_hh_fec_in!Q26)</f>
        <v>0.80965725225256568</v>
      </c>
      <c r="R26" s="138">
        <f>IF(SER_hh_tes_in!R26=0,"",SER_hh_tes_in!R26/SER_hh_fec_in!R26)</f>
        <v>0.82706397915620034</v>
      </c>
      <c r="S26" s="138">
        <f>IF(SER_hh_tes_in!S26=0,"",SER_hh_tes_in!S26/SER_hh_fec_in!S26)</f>
        <v>0.84429910216693893</v>
      </c>
      <c r="T26" s="138">
        <f>IF(SER_hh_tes_in!T26=0,"",SER_hh_tes_in!T26/SER_hh_fec_in!T26)</f>
        <v>0.8610012327707196</v>
      </c>
      <c r="U26" s="138">
        <f>IF(SER_hh_tes_in!U26=0,"",SER_hh_tes_in!U26/SER_hh_fec_in!U26)</f>
        <v>0.87669074139208292</v>
      </c>
      <c r="V26" s="138">
        <f>IF(SER_hh_tes_in!V26=0,"",SER_hh_tes_in!V26/SER_hh_fec_in!V26)</f>
        <v>0.89063178023064271</v>
      </c>
      <c r="W26" s="138">
        <f>IF(SER_hh_tes_in!W26=0,"",SER_hh_tes_in!W26/SER_hh_fec_in!W26)</f>
        <v>0.90160607292519612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0.67368748045264382</v>
      </c>
      <c r="D29" s="136">
        <f>IF(SER_hh_tes_in!D29=0,"",SER_hh_tes_in!D29/SER_hh_fec_in!D29)</f>
        <v>0.67356143508578925</v>
      </c>
      <c r="E29" s="136">
        <f>IF(SER_hh_tes_in!E29=0,"",SER_hh_tes_in!E29/SER_hh_fec_in!E29)</f>
        <v>0.65762342615023217</v>
      </c>
      <c r="F29" s="136">
        <f>IF(SER_hh_tes_in!F29=0,"",SER_hh_tes_in!F29/SER_hh_fec_in!F29)</f>
        <v>0.64679274438079382</v>
      </c>
      <c r="G29" s="136">
        <f>IF(SER_hh_tes_in!G29=0,"",SER_hh_tes_in!G29/SER_hh_fec_in!G29)</f>
        <v>0.63908817861469946</v>
      </c>
      <c r="H29" s="136">
        <f>IF(SER_hh_tes_in!H29=0,"",SER_hh_tes_in!H29/SER_hh_fec_in!H29)</f>
        <v>0.64743827071722615</v>
      </c>
      <c r="I29" s="136">
        <f>IF(SER_hh_tes_in!I29=0,"",SER_hh_tes_in!I29/SER_hh_fec_in!I29)</f>
        <v>0.66805427233795445</v>
      </c>
      <c r="J29" s="136">
        <f>IF(SER_hh_tes_in!J29=0,"",SER_hh_tes_in!J29/SER_hh_fec_in!J29)</f>
        <v>0.69323821862012291</v>
      </c>
      <c r="K29" s="136">
        <f>IF(SER_hh_tes_in!K29=0,"",SER_hh_tes_in!K29/SER_hh_fec_in!K29)</f>
        <v>0.69537735798842515</v>
      </c>
      <c r="L29" s="136">
        <f>IF(SER_hh_tes_in!L29=0,"",SER_hh_tes_in!L29/SER_hh_fec_in!L29)</f>
        <v>0.65828563668685369</v>
      </c>
      <c r="M29" s="136">
        <f>IF(SER_hh_tes_in!M29=0,"",SER_hh_tes_in!M29/SER_hh_fec_in!M29)</f>
        <v>0.67361239788491645</v>
      </c>
      <c r="N29" s="136">
        <f>IF(SER_hh_tes_in!N29=0,"",SER_hh_tes_in!N29/SER_hh_fec_in!N29)</f>
        <v>0.69520615452445167</v>
      </c>
      <c r="O29" s="136">
        <f>IF(SER_hh_tes_in!O29=0,"",SER_hh_tes_in!O29/SER_hh_fec_in!O29)</f>
        <v>0.67077738673462706</v>
      </c>
      <c r="P29" s="136">
        <f>IF(SER_hh_tes_in!P29=0,"",SER_hh_tes_in!P29/SER_hh_fec_in!P29)</f>
        <v>0.73770115075199594</v>
      </c>
      <c r="Q29" s="136">
        <f>IF(SER_hh_tes_in!Q29=0,"",SER_hh_tes_in!Q29/SER_hh_fec_in!Q29)</f>
        <v>0.69003573215545877</v>
      </c>
      <c r="R29" s="136">
        <f>IF(SER_hh_tes_in!R29=0,"",SER_hh_tes_in!R29/SER_hh_fec_in!R29)</f>
        <v>0.73806849972417932</v>
      </c>
      <c r="S29" s="136">
        <f>IF(SER_hh_tes_in!S29=0,"",SER_hh_tes_in!S29/SER_hh_fec_in!S29)</f>
        <v>0.70298754415175402</v>
      </c>
      <c r="T29" s="136">
        <f>IF(SER_hh_tes_in!T29=0,"",SER_hh_tes_in!T29/SER_hh_fec_in!T29)</f>
        <v>0.71114343956749482</v>
      </c>
      <c r="U29" s="136">
        <f>IF(SER_hh_tes_in!U29=0,"",SER_hh_tes_in!U29/SER_hh_fec_in!U29)</f>
        <v>0.73724406680046561</v>
      </c>
      <c r="V29" s="136">
        <f>IF(SER_hh_tes_in!V29=0,"",SER_hh_tes_in!V29/SER_hh_fec_in!V29)</f>
        <v>0.80025745196994491</v>
      </c>
      <c r="W29" s="136">
        <f>IF(SER_hh_tes_in!W29=0,"",SER_hh_tes_in!W29/SER_hh_fec_in!W29)</f>
        <v>0.76247041256529724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0.59221306901288906</v>
      </c>
      <c r="D30" s="137">
        <f>IF(SER_hh_tes_in!D30=0,"",SER_hh_tes_in!D30/SER_hh_fec_in!D30)</f>
        <v>0.59287607979397938</v>
      </c>
      <c r="E30" s="137">
        <f>IF(SER_hh_tes_in!E30=0,"",SER_hh_tes_in!E30/SER_hh_fec_in!E30)</f>
        <v>0.59352974010249948</v>
      </c>
      <c r="F30" s="137">
        <f>IF(SER_hh_tes_in!F30=0,"",SER_hh_tes_in!F30/SER_hh_fec_in!F30)</f>
        <v>0.59418212534657822</v>
      </c>
      <c r="G30" s="137">
        <f>IF(SER_hh_tes_in!G30=0,"",SER_hh_tes_in!G30/SER_hh_fec_in!G30)</f>
        <v>0.59482589935540575</v>
      </c>
      <c r="H30" s="137">
        <f>IF(SER_hh_tes_in!H30=0,"",SER_hh_tes_in!H30/SER_hh_fec_in!H30)</f>
        <v>0.59546195998289475</v>
      </c>
      <c r="I30" s="137">
        <f>IF(SER_hh_tes_in!I30=0,"",SER_hh_tes_in!I30/SER_hh_fec_in!I30)</f>
        <v>0.59608849959634325</v>
      </c>
      <c r="J30" s="137">
        <f>IF(SER_hh_tes_in!J30=0,"",SER_hh_tes_in!J30/SER_hh_fec_in!J30)</f>
        <v>0.59669811296260844</v>
      </c>
      <c r="K30" s="137">
        <f>IF(SER_hh_tes_in!K30=0,"",SER_hh_tes_in!K30/SER_hh_fec_in!K30)</f>
        <v>0.59728450368571107</v>
      </c>
      <c r="L30" s="137">
        <f>IF(SER_hh_tes_in!L30=0,"",SER_hh_tes_in!L30/SER_hh_fec_in!L30)</f>
        <v>0.59784598722158722</v>
      </c>
      <c r="M30" s="137">
        <f>IF(SER_hh_tes_in!M30=0,"",SER_hh_tes_in!M30/SER_hh_fec_in!M30)</f>
        <v>0.59814813970281855</v>
      </c>
      <c r="N30" s="137">
        <f>IF(SER_hh_tes_in!N30=0,"",SER_hh_tes_in!N30/SER_hh_fec_in!N30)</f>
        <v>0.59814813970281855</v>
      </c>
      <c r="O30" s="137">
        <f>IF(SER_hh_tes_in!O30=0,"",SER_hh_tes_in!O30/SER_hh_fec_in!O30)</f>
        <v>0.59814813970281855</v>
      </c>
      <c r="P30" s="137">
        <f>IF(SER_hh_tes_in!P30=0,"",SER_hh_tes_in!P30/SER_hh_fec_in!P30)</f>
        <v>0.59814813970281855</v>
      </c>
      <c r="Q30" s="137">
        <f>IF(SER_hh_tes_in!Q30=0,"",SER_hh_tes_in!Q30/SER_hh_fec_in!Q30)</f>
        <v>0.59814813970281855</v>
      </c>
      <c r="R30" s="137">
        <f>IF(SER_hh_tes_in!R30=0,"",SER_hh_tes_in!R30/SER_hh_fec_in!R30)</f>
        <v>0.60005704797360504</v>
      </c>
      <c r="S30" s="137">
        <f>IF(SER_hh_tes_in!S30=0,"",SER_hh_tes_in!S30/SER_hh_fec_in!S30)</f>
        <v>0.60317854550586869</v>
      </c>
      <c r="T30" s="137">
        <f>IF(SER_hh_tes_in!T30=0,"",SER_hh_tes_in!T30/SER_hh_fec_in!T30)</f>
        <v>0.60682029262684012</v>
      </c>
      <c r="U30" s="137">
        <f>IF(SER_hh_tes_in!U30=0,"",SER_hh_tes_in!U30/SER_hh_fec_in!U30)</f>
        <v>0.61059210214498982</v>
      </c>
      <c r="V30" s="137">
        <f>IF(SER_hh_tes_in!V30=0,"",SER_hh_tes_in!V30/SER_hh_fec_in!V30)</f>
        <v>0.61410378686878453</v>
      </c>
      <c r="W30" s="137">
        <f>IF(SER_hh_tes_in!W30=0,"",SER_hh_tes_in!W30/SER_hh_fec_in!W30)</f>
        <v>0.61735534679822235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0.59551154634234549</v>
      </c>
      <c r="D31" s="137">
        <f>IF(SER_hh_tes_in!D31=0,"",SER_hh_tes_in!D31/SER_hh_fec_in!D31)</f>
        <v>0.5963531196575147</v>
      </c>
      <c r="E31" s="137">
        <f>IF(SER_hh_tes_in!E31=0,"",SER_hh_tes_in!E31/SER_hh_fec_in!E31)</f>
        <v>0.59718282422420543</v>
      </c>
      <c r="F31" s="137">
        <f>IF(SER_hh_tes_in!F31=0,"",SER_hh_tes_in!F31/SER_hh_fec_in!F31)</f>
        <v>0.59801091032519449</v>
      </c>
      <c r="G31" s="137">
        <f>IF(SER_hh_tes_in!G31=0,"",SER_hh_tes_in!G31/SER_hh_fec_in!G31)</f>
        <v>0.59882806600694338</v>
      </c>
      <c r="H31" s="137">
        <f>IF(SER_hh_tes_in!H31=0,"",SER_hh_tes_in!H31/SER_hh_fec_in!H31)</f>
        <v>0.59963543093401794</v>
      </c>
      <c r="I31" s="137">
        <f>IF(SER_hh_tes_in!I31=0,"",SER_hh_tes_in!I31/SER_hh_fec_in!I31)</f>
        <v>0.60043071064079345</v>
      </c>
      <c r="J31" s="137">
        <f>IF(SER_hh_tes_in!J31=0,"",SER_hh_tes_in!J31/SER_hh_fec_in!J31)</f>
        <v>0.60120450551148275</v>
      </c>
      <c r="K31" s="137">
        <f>IF(SER_hh_tes_in!K31=0,"",SER_hh_tes_in!K31/SER_hh_fec_in!K31)</f>
        <v>0.60194882340027234</v>
      </c>
      <c r="L31" s="137">
        <f>IF(SER_hh_tes_in!L31=0,"",SER_hh_tes_in!L31/SER_hh_fec_in!L31)</f>
        <v>0.60266152608049595</v>
      </c>
      <c r="M31" s="137">
        <f>IF(SER_hh_tes_in!M31=0,"",SER_hh_tes_in!M31/SER_hh_fec_in!M31)</f>
        <v>0.60304505448239965</v>
      </c>
      <c r="N31" s="137">
        <f>IF(SER_hh_tes_in!N31=0,"",SER_hh_tes_in!N31/SER_hh_fec_in!N31)</f>
        <v>0.60304505448239965</v>
      </c>
      <c r="O31" s="137">
        <f>IF(SER_hh_tes_in!O31=0,"",SER_hh_tes_in!O31/SER_hh_fec_in!O31)</f>
        <v>0.60304505448239965</v>
      </c>
      <c r="P31" s="137">
        <f>IF(SER_hh_tes_in!P31=0,"",SER_hh_tes_in!P31/SER_hh_fec_in!P31)</f>
        <v>0.60304505448239965</v>
      </c>
      <c r="Q31" s="137">
        <f>IF(SER_hh_tes_in!Q31=0,"",SER_hh_tes_in!Q31/SER_hh_fec_in!Q31)</f>
        <v>0.60304505448239965</v>
      </c>
      <c r="R31" s="137">
        <f>IF(SER_hh_tes_in!R31=0,"",SER_hh_tes_in!R31/SER_hh_fec_in!R31)</f>
        <v>0.60546807128336022</v>
      </c>
      <c r="S31" s="137">
        <f>IF(SER_hh_tes_in!S31=0,"",SER_hh_tes_in!S31/SER_hh_fec_in!S31)</f>
        <v>0.60943025274623108</v>
      </c>
      <c r="T31" s="137">
        <f>IF(SER_hh_tes_in!T31=0,"",SER_hh_tes_in!T31/SER_hh_fec_in!T31)</f>
        <v>0.61405279778624366</v>
      </c>
      <c r="U31" s="137">
        <f>IF(SER_hh_tes_in!U31=0,"",SER_hh_tes_in!U31/SER_hh_fec_in!U31)</f>
        <v>0.61884043372054343</v>
      </c>
      <c r="V31" s="137">
        <f>IF(SER_hh_tes_in!V31=0,"",SER_hh_tes_in!V31/SER_hh_fec_in!V31)</f>
        <v>0.62329788786627061</v>
      </c>
      <c r="W31" s="137">
        <f>IF(SER_hh_tes_in!W31=0,"",SER_hh_tes_in!W31/SER_hh_fec_in!W31)</f>
        <v>0.62742516022342365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0.78256569485698479</v>
      </c>
      <c r="D33" s="150">
        <f>IF(SER_hh_tes_in!D33=0,"",SER_hh_tes_in!D33/SER_hh_fec_in!D33)</f>
        <v>0.78373670022449959</v>
      </c>
      <c r="E33" s="150">
        <f>IF(SER_hh_tes_in!E33=0,"",SER_hh_tes_in!E33/SER_hh_fec_in!E33)</f>
        <v>0.78495100653220262</v>
      </c>
      <c r="F33" s="150">
        <f>IF(SER_hh_tes_in!F33=0,"",SER_hh_tes_in!F33/SER_hh_fec_in!F33)</f>
        <v>0.78617121751356756</v>
      </c>
      <c r="G33" s="150">
        <f>IF(SER_hh_tes_in!G33=0,"",SER_hh_tes_in!G33/SER_hh_fec_in!G33)</f>
        <v>0.78743130611392587</v>
      </c>
      <c r="H33" s="150">
        <f>IF(SER_hh_tes_in!H33=0,"",SER_hh_tes_in!H33/SER_hh_fec_in!H33)</f>
        <v>0.78872711447726895</v>
      </c>
      <c r="I33" s="150">
        <f>IF(SER_hh_tes_in!I33=0,"",SER_hh_tes_in!I33/SER_hh_fec_in!I33)</f>
        <v>0.79006701353831921</v>
      </c>
      <c r="J33" s="150">
        <f>IF(SER_hh_tes_in!J33=0,"",SER_hh_tes_in!J33/SER_hh_fec_in!J33)</f>
        <v>0.79148529606195994</v>
      </c>
      <c r="K33" s="150">
        <f>IF(SER_hh_tes_in!K33=0,"",SER_hh_tes_in!K33/SER_hh_fec_in!K33)</f>
        <v>0.79301111991841167</v>
      </c>
      <c r="L33" s="150">
        <f>IF(SER_hh_tes_in!L33=0,"",SER_hh_tes_in!L33/SER_hh_fec_in!L33)</f>
        <v>0.79465228603337046</v>
      </c>
      <c r="M33" s="150">
        <f>IF(SER_hh_tes_in!M33=0,"",SER_hh_tes_in!M33/SER_hh_fec_in!M33)</f>
        <v>0.7968851454932051</v>
      </c>
      <c r="N33" s="150">
        <f>IF(SER_hh_tes_in!N33=0,"",SER_hh_tes_in!N33/SER_hh_fec_in!N33)</f>
        <v>0.79984476940870308</v>
      </c>
      <c r="O33" s="150">
        <f>IF(SER_hh_tes_in!O33=0,"",SER_hh_tes_in!O33/SER_hh_fec_in!O33)</f>
        <v>0.8038595803727574</v>
      </c>
      <c r="P33" s="150">
        <f>IF(SER_hh_tes_in!P33=0,"",SER_hh_tes_in!P33/SER_hh_fec_in!P33)</f>
        <v>0.80910206889535252</v>
      </c>
      <c r="Q33" s="150">
        <f>IF(SER_hh_tes_in!Q33=0,"",SER_hh_tes_in!Q33/SER_hh_fec_in!Q33)</f>
        <v>0.81585893812896704</v>
      </c>
      <c r="R33" s="150">
        <f>IF(SER_hh_tes_in!R33=0,"",SER_hh_tes_in!R33/SER_hh_fec_in!R33)</f>
        <v>0.82505061684714243</v>
      </c>
      <c r="S33" s="150">
        <f>IF(SER_hh_tes_in!S33=0,"",SER_hh_tes_in!S33/SER_hh_fec_in!S33)</f>
        <v>0.83652269160055148</v>
      </c>
      <c r="T33" s="150">
        <f>IF(SER_hh_tes_in!T33=0,"",SER_hh_tes_in!T33/SER_hh_fec_in!T33)</f>
        <v>0.84885703253421896</v>
      </c>
      <c r="U33" s="150">
        <f>IF(SER_hh_tes_in!U33=0,"",SER_hh_tes_in!U33/SER_hh_fec_in!U33)</f>
        <v>0.86063550979320425</v>
      </c>
      <c r="V33" s="150">
        <f>IF(SER_hh_tes_in!V33=0,"",SER_hh_tes_in!V33/SER_hh_fec_in!V33)</f>
        <v>0.87043999352255153</v>
      </c>
      <c r="W33" s="150">
        <f>IF(SER_hh_tes_in!W33=0,"",SER_hh_tes_in!W33/SER_hh_fec_in!W33)</f>
        <v>0.87777234044134111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29.398737239365559</v>
      </c>
      <c r="D3" s="126">
        <f t="shared" si="0"/>
        <v>16.782788904745502</v>
      </c>
      <c r="E3" s="126">
        <f t="shared" si="0"/>
        <v>25.54974829275935</v>
      </c>
      <c r="F3" s="126">
        <f t="shared" si="0"/>
        <v>25.299410476320517</v>
      </c>
      <c r="G3" s="126">
        <f t="shared" si="0"/>
        <v>30.374778545265904</v>
      </c>
      <c r="H3" s="126">
        <f t="shared" si="0"/>
        <v>31.196820585521724</v>
      </c>
      <c r="I3" s="126">
        <f t="shared" si="0"/>
        <v>45.182609823394841</v>
      </c>
      <c r="J3" s="126">
        <f t="shared" si="0"/>
        <v>23.547804148000257</v>
      </c>
      <c r="K3" s="126">
        <f t="shared" si="0"/>
        <v>7.9287267699024193</v>
      </c>
      <c r="L3" s="126">
        <f t="shared" si="0"/>
        <v>8.3491923378358344</v>
      </c>
      <c r="M3" s="126">
        <f t="shared" si="0"/>
        <v>18.167490838986531</v>
      </c>
      <c r="N3" s="126">
        <f t="shared" si="0"/>
        <v>7.6442062163996072</v>
      </c>
      <c r="O3" s="126">
        <f t="shared" si="0"/>
        <v>16.3545912596934</v>
      </c>
      <c r="P3" s="126">
        <f t="shared" si="0"/>
        <v>19.70894180638944</v>
      </c>
      <c r="Q3" s="126">
        <f t="shared" si="0"/>
        <v>6.5725962745435673</v>
      </c>
      <c r="R3" s="126">
        <f t="shared" ref="R3:W3" si="1">SUM(R4,R16,R19,R29)</f>
        <v>19.260262794664357</v>
      </c>
      <c r="S3" s="126">
        <f t="shared" si="1"/>
        <v>14.431800487779329</v>
      </c>
      <c r="T3" s="126">
        <f t="shared" si="1"/>
        <v>18.544218625038795</v>
      </c>
      <c r="U3" s="126">
        <f t="shared" si="1"/>
        <v>16.976690288500187</v>
      </c>
      <c r="V3" s="126">
        <f t="shared" si="1"/>
        <v>11.598683284195715</v>
      </c>
      <c r="W3" s="126">
        <f t="shared" si="1"/>
        <v>10.471836815588237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20.178317227384039</v>
      </c>
      <c r="D4" s="131">
        <f t="shared" si="2"/>
        <v>7.8994741320149355</v>
      </c>
      <c r="E4" s="131">
        <f t="shared" si="2"/>
        <v>17.577360529635477</v>
      </c>
      <c r="F4" s="131">
        <f t="shared" si="2"/>
        <v>15.691473042845416</v>
      </c>
      <c r="G4" s="131">
        <f t="shared" si="2"/>
        <v>16.688793205137209</v>
      </c>
      <c r="H4" s="131">
        <f t="shared" si="2"/>
        <v>18.975983175916273</v>
      </c>
      <c r="I4" s="131">
        <f t="shared" si="2"/>
        <v>27.032402812541985</v>
      </c>
      <c r="J4" s="131">
        <f t="shared" si="2"/>
        <v>17.862143042099092</v>
      </c>
      <c r="K4" s="131">
        <f t="shared" si="2"/>
        <v>6.2292469487281208</v>
      </c>
      <c r="L4" s="131">
        <f t="shared" si="2"/>
        <v>6.4938055531809358</v>
      </c>
      <c r="M4" s="131">
        <f t="shared" si="2"/>
        <v>13.58017638769838</v>
      </c>
      <c r="N4" s="131">
        <f t="shared" si="2"/>
        <v>6.0309539427226637</v>
      </c>
      <c r="O4" s="131">
        <f t="shared" si="2"/>
        <v>12.374736583241255</v>
      </c>
      <c r="P4" s="131">
        <f t="shared" si="2"/>
        <v>14.721007835100231</v>
      </c>
      <c r="Q4" s="131">
        <f t="shared" si="2"/>
        <v>3.776502890860332</v>
      </c>
      <c r="R4" s="131">
        <f t="shared" ref="R4:W4" si="3">SUM(R5:R15)</f>
        <v>11.39860046028714</v>
      </c>
      <c r="S4" s="131">
        <f t="shared" si="3"/>
        <v>7.2256379971235027</v>
      </c>
      <c r="T4" s="131">
        <f t="shared" si="3"/>
        <v>10.609578890411738</v>
      </c>
      <c r="U4" s="131">
        <f t="shared" si="3"/>
        <v>11.22419104801503</v>
      </c>
      <c r="V4" s="131">
        <f t="shared" si="3"/>
        <v>8.9086895340956769</v>
      </c>
      <c r="W4" s="131">
        <f t="shared" si="3"/>
        <v>5.5822368706617516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0.31166770418618855</v>
      </c>
      <c r="D5" s="133">
        <v>1.1799471408256914</v>
      </c>
      <c r="E5" s="133">
        <v>10.715046663739862</v>
      </c>
      <c r="F5" s="133">
        <v>3.8611141915701661</v>
      </c>
      <c r="G5" s="133">
        <v>1.6609940195362116</v>
      </c>
      <c r="H5" s="133">
        <v>0.58757256147458259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9.1768991273610073E-2</v>
      </c>
      <c r="S5" s="133">
        <v>1.865694720743568E-2</v>
      </c>
      <c r="T5" s="133">
        <v>3.5375169294572038E-2</v>
      </c>
      <c r="U5" s="133">
        <v>5.7440735334799854E-2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13.019632237566409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6.24967201511675</v>
      </c>
      <c r="K7" s="133">
        <v>2.0799298346985831</v>
      </c>
      <c r="L7" s="133">
        <v>2.4004510947937931</v>
      </c>
      <c r="M7" s="133">
        <v>5.8213891475590254</v>
      </c>
      <c r="N7" s="133">
        <v>2.9022835148882211</v>
      </c>
      <c r="O7" s="133">
        <v>8.4478371101799379</v>
      </c>
      <c r="P7" s="133">
        <v>8.336252899119259</v>
      </c>
      <c r="Q7" s="133">
        <v>1.5536013383690599</v>
      </c>
      <c r="R7" s="133">
        <v>0.71885277674050807</v>
      </c>
      <c r="S7" s="133">
        <v>0</v>
      </c>
      <c r="T7" s="133">
        <v>0</v>
      </c>
      <c r="U7" s="133">
        <v>0</v>
      </c>
      <c r="V7" s="133">
        <v>0.16960762005132726</v>
      </c>
      <c r="W7" s="133">
        <v>0.51655355069826292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6.8470172856314422</v>
      </c>
      <c r="D9" s="133">
        <v>6.7195269911892446</v>
      </c>
      <c r="E9" s="133">
        <v>6.8623138658956151</v>
      </c>
      <c r="F9" s="133">
        <v>11.83035885127525</v>
      </c>
      <c r="G9" s="133">
        <v>15.027799185600996</v>
      </c>
      <c r="H9" s="133">
        <v>18.388410614441689</v>
      </c>
      <c r="I9" s="133">
        <v>27.032402812541985</v>
      </c>
      <c r="J9" s="133">
        <v>11.612471026982343</v>
      </c>
      <c r="K9" s="133">
        <v>4.1493171140295377</v>
      </c>
      <c r="L9" s="133">
        <v>4.0933544583871422</v>
      </c>
      <c r="M9" s="133">
        <v>7.7587872401393554</v>
      </c>
      <c r="N9" s="133">
        <v>3.1286704278344426</v>
      </c>
      <c r="O9" s="133">
        <v>3.9268994730613169</v>
      </c>
      <c r="P9" s="133">
        <v>6.3847549359809728</v>
      </c>
      <c r="Q9" s="133">
        <v>2.2229015524912721</v>
      </c>
      <c r="R9" s="133">
        <v>10.587978692273023</v>
      </c>
      <c r="S9" s="133">
        <v>7.2069810499160667</v>
      </c>
      <c r="T9" s="133">
        <v>10.574203721117167</v>
      </c>
      <c r="U9" s="133">
        <v>11.166750312680231</v>
      </c>
      <c r="V9" s="133">
        <v>8.7390819140443501</v>
      </c>
      <c r="W9" s="133">
        <v>5.0656833199634885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1.2025591689737342E-2</v>
      </c>
      <c r="D16" s="131">
        <f t="shared" si="4"/>
        <v>1.3132709434356094E-2</v>
      </c>
      <c r="E16" s="131">
        <f t="shared" si="4"/>
        <v>4.8560803132010914E-3</v>
      </c>
      <c r="F16" s="131">
        <f t="shared" si="4"/>
        <v>1.6844782093766338E-2</v>
      </c>
      <c r="G16" s="131">
        <f t="shared" si="4"/>
        <v>1.7954456413322929E-2</v>
      </c>
      <c r="H16" s="131">
        <f t="shared" si="4"/>
        <v>2.3925973777826796E-2</v>
      </c>
      <c r="I16" s="131">
        <f t="shared" si="4"/>
        <v>2.1155828935123064E-2</v>
      </c>
      <c r="J16" s="131">
        <f t="shared" si="4"/>
        <v>6.5626224883724524E-3</v>
      </c>
      <c r="K16" s="131">
        <f t="shared" si="4"/>
        <v>3.7265371840531172E-3</v>
      </c>
      <c r="L16" s="131">
        <f t="shared" si="4"/>
        <v>2.6297294750790598E-3</v>
      </c>
      <c r="M16" s="131">
        <f t="shared" si="4"/>
        <v>7.7870669833467916E-3</v>
      </c>
      <c r="N16" s="131">
        <f t="shared" si="4"/>
        <v>3.702156214729671E-3</v>
      </c>
      <c r="O16" s="131">
        <f t="shared" si="4"/>
        <v>1.1936876053179887E-2</v>
      </c>
      <c r="P16" s="131">
        <f t="shared" si="4"/>
        <v>3.2846139146340901E-2</v>
      </c>
      <c r="Q16" s="131">
        <f t="shared" si="4"/>
        <v>2.3646835855305276E-2</v>
      </c>
      <c r="R16" s="131">
        <f t="shared" ref="R16:W16" si="5">SUM(R17:R18)</f>
        <v>6.7840006742474479E-2</v>
      </c>
      <c r="S16" s="131">
        <f t="shared" si="5"/>
        <v>4.1263947500843411E-2</v>
      </c>
      <c r="T16" s="131">
        <f t="shared" si="5"/>
        <v>3.8897338346948827E-2</v>
      </c>
      <c r="U16" s="131">
        <f t="shared" si="5"/>
        <v>3.2568014688670224E-2</v>
      </c>
      <c r="V16" s="131">
        <f t="shared" si="5"/>
        <v>5.4069701167339008E-2</v>
      </c>
      <c r="W16" s="131">
        <f t="shared" si="5"/>
        <v>2.1964092073803568E-2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1.2025591689737342E-2</v>
      </c>
      <c r="D17" s="133">
        <v>1.3132709434356094E-2</v>
      </c>
      <c r="E17" s="133">
        <v>4.8560803132010914E-3</v>
      </c>
      <c r="F17" s="133">
        <v>1.6844782093766338E-2</v>
      </c>
      <c r="G17" s="133">
        <v>1.7954456413322929E-2</v>
      </c>
      <c r="H17" s="133">
        <v>2.3925973777826796E-2</v>
      </c>
      <c r="I17" s="133">
        <v>2.1155828935123064E-2</v>
      </c>
      <c r="J17" s="133">
        <v>6.5626224883724524E-3</v>
      </c>
      <c r="K17" s="133">
        <v>3.7265371840531172E-3</v>
      </c>
      <c r="L17" s="133">
        <v>2.6297294750790598E-3</v>
      </c>
      <c r="M17" s="133">
        <v>7.7870669833467916E-3</v>
      </c>
      <c r="N17" s="133">
        <v>3.702156214729671E-3</v>
      </c>
      <c r="O17" s="133">
        <v>1.1936876053179887E-2</v>
      </c>
      <c r="P17" s="133">
        <v>3.2846139146340901E-2</v>
      </c>
      <c r="Q17" s="133">
        <v>2.3646835855305276E-2</v>
      </c>
      <c r="R17" s="133">
        <v>6.7840006742474479E-2</v>
      </c>
      <c r="S17" s="133">
        <v>4.1263947500843411E-2</v>
      </c>
      <c r="T17" s="133">
        <v>3.8897338346948827E-2</v>
      </c>
      <c r="U17" s="133">
        <v>3.2568014688670224E-2</v>
      </c>
      <c r="V17" s="133">
        <v>5.4069701167339008E-2</v>
      </c>
      <c r="W17" s="133">
        <v>2.1964092073803568E-2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3.9638985565007179</v>
      </c>
      <c r="D19" s="131">
        <f t="shared" si="6"/>
        <v>3.5466172642877716</v>
      </c>
      <c r="E19" s="131">
        <f t="shared" si="6"/>
        <v>2.7700455691930292</v>
      </c>
      <c r="F19" s="131">
        <f t="shared" si="6"/>
        <v>3.0994338331979439</v>
      </c>
      <c r="G19" s="131">
        <f t="shared" si="6"/>
        <v>3.5248891646459186</v>
      </c>
      <c r="H19" s="131">
        <f t="shared" si="6"/>
        <v>3.5773125372817312</v>
      </c>
      <c r="I19" s="131">
        <f t="shared" si="6"/>
        <v>5.393002963557846</v>
      </c>
      <c r="J19" s="131">
        <f t="shared" si="6"/>
        <v>2.5068503785152694</v>
      </c>
      <c r="K19" s="131">
        <f t="shared" si="6"/>
        <v>0.97613992957259033</v>
      </c>
      <c r="L19" s="131">
        <f t="shared" si="6"/>
        <v>0.804775988853353</v>
      </c>
      <c r="M19" s="131">
        <f t="shared" si="6"/>
        <v>1.9205690288428781</v>
      </c>
      <c r="N19" s="131">
        <f t="shared" si="6"/>
        <v>0.79781222470046953</v>
      </c>
      <c r="O19" s="131">
        <f t="shared" si="6"/>
        <v>1.582215313360027</v>
      </c>
      <c r="P19" s="131">
        <f t="shared" si="6"/>
        <v>2.5322206114995947</v>
      </c>
      <c r="Q19" s="131">
        <f t="shared" si="6"/>
        <v>0.94421252431659408</v>
      </c>
      <c r="R19" s="131">
        <f t="shared" ref="R19:W19" si="7">SUM(R20:R27)</f>
        <v>2.9098800938937339</v>
      </c>
      <c r="S19" s="131">
        <f t="shared" si="7"/>
        <v>2.059972354539592</v>
      </c>
      <c r="T19" s="131">
        <f t="shared" si="7"/>
        <v>1.4457545361561075</v>
      </c>
      <c r="U19" s="131">
        <f t="shared" si="7"/>
        <v>1.2178274801604787</v>
      </c>
      <c r="V19" s="131">
        <f t="shared" si="7"/>
        <v>0.70711379465279489</v>
      </c>
      <c r="W19" s="131">
        <f t="shared" si="7"/>
        <v>1.552364462812529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2.1990958000585117</v>
      </c>
      <c r="D22" s="133">
        <v>1.6349967793581086</v>
      </c>
      <c r="E22" s="133">
        <v>1.1447310626054741</v>
      </c>
      <c r="F22" s="133">
        <v>1.2650517704366306</v>
      </c>
      <c r="G22" s="133">
        <v>1.2886243582354608</v>
      </c>
      <c r="H22" s="133">
        <v>1.4939929343100853</v>
      </c>
      <c r="I22" s="133">
        <v>2.4366675169157999</v>
      </c>
      <c r="J22" s="133">
        <v>1.3224193027207827</v>
      </c>
      <c r="K22" s="133">
        <v>0.49451296606641548</v>
      </c>
      <c r="L22" s="133">
        <v>0.4342686981767252</v>
      </c>
      <c r="M22" s="133">
        <v>0.98672517579758157</v>
      </c>
      <c r="N22" s="133">
        <v>0.41203167244279459</v>
      </c>
      <c r="O22" s="133">
        <v>0.73019151368326829</v>
      </c>
      <c r="P22" s="133">
        <v>0.66889749858414738</v>
      </c>
      <c r="Q22" s="133">
        <v>0.24025127873224592</v>
      </c>
      <c r="R22" s="133">
        <v>0.87556691685712784</v>
      </c>
      <c r="S22" s="133">
        <v>0.74636851226434564</v>
      </c>
      <c r="T22" s="133">
        <v>0.49542072029066286</v>
      </c>
      <c r="U22" s="133">
        <v>0.42044792677591536</v>
      </c>
      <c r="V22" s="133">
        <v>0.21307458260466219</v>
      </c>
      <c r="W22" s="133">
        <v>0.63939285476216545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1.7648027564422064</v>
      </c>
      <c r="D23" s="133">
        <v>1.9116204849296627</v>
      </c>
      <c r="E23" s="133">
        <v>1.6253145065875549</v>
      </c>
      <c r="F23" s="133">
        <v>1.8343820627613134</v>
      </c>
      <c r="G23" s="133">
        <v>2.2362648064104578</v>
      </c>
      <c r="H23" s="133">
        <v>2.0833196029716459</v>
      </c>
      <c r="I23" s="133">
        <v>2.9563354466420457</v>
      </c>
      <c r="J23" s="133">
        <v>1.1844310757944867</v>
      </c>
      <c r="K23" s="133">
        <v>0.48162696350617479</v>
      </c>
      <c r="L23" s="133">
        <v>0.37050729067662774</v>
      </c>
      <c r="M23" s="133">
        <v>0.93384385304529649</v>
      </c>
      <c r="N23" s="133">
        <v>0.38578055225767499</v>
      </c>
      <c r="O23" s="133">
        <v>0.85202379967675879</v>
      </c>
      <c r="P23" s="133">
        <v>1.8633231129154475</v>
      </c>
      <c r="Q23" s="133">
        <v>0.70396124558434814</v>
      </c>
      <c r="R23" s="133">
        <v>2.0343131770366063</v>
      </c>
      <c r="S23" s="133">
        <v>1.3136038422752463</v>
      </c>
      <c r="T23" s="133">
        <v>0.95033381586544463</v>
      </c>
      <c r="U23" s="133">
        <v>0.79737955338456346</v>
      </c>
      <c r="V23" s="133">
        <v>0.49403921204813267</v>
      </c>
      <c r="W23" s="133">
        <v>0.91297160805036348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5.2444958637910677</v>
      </c>
      <c r="D29" s="131">
        <f t="shared" si="8"/>
        <v>5.3235647990084356</v>
      </c>
      <c r="E29" s="131">
        <f t="shared" si="8"/>
        <v>5.197486113617642</v>
      </c>
      <c r="F29" s="131">
        <f t="shared" si="8"/>
        <v>6.4916588181833896</v>
      </c>
      <c r="G29" s="131">
        <f t="shared" si="8"/>
        <v>10.143141719069451</v>
      </c>
      <c r="H29" s="131">
        <f t="shared" si="8"/>
        <v>8.6195988985458918</v>
      </c>
      <c r="I29" s="131">
        <f t="shared" si="8"/>
        <v>12.73604821835989</v>
      </c>
      <c r="J29" s="131">
        <f t="shared" si="8"/>
        <v>3.1722481048975224</v>
      </c>
      <c r="K29" s="131">
        <f t="shared" si="8"/>
        <v>0.71961335441765539</v>
      </c>
      <c r="L29" s="131">
        <f t="shared" si="8"/>
        <v>1.0479810663264666</v>
      </c>
      <c r="M29" s="131">
        <f t="shared" si="8"/>
        <v>2.6589583554619245</v>
      </c>
      <c r="N29" s="131">
        <f t="shared" si="8"/>
        <v>0.81173789276174413</v>
      </c>
      <c r="O29" s="131">
        <f t="shared" si="8"/>
        <v>2.3857024870389365</v>
      </c>
      <c r="P29" s="131">
        <f t="shared" si="8"/>
        <v>2.4228672206432735</v>
      </c>
      <c r="Q29" s="131">
        <f t="shared" si="8"/>
        <v>1.8282340235113361</v>
      </c>
      <c r="R29" s="131">
        <f t="shared" ref="R29:W29" si="9">SUM(R30:R33)</f>
        <v>4.8839422337410117</v>
      </c>
      <c r="S29" s="131">
        <f t="shared" si="9"/>
        <v>5.1049261886153907</v>
      </c>
      <c r="T29" s="131">
        <f t="shared" si="9"/>
        <v>6.4499878601240015</v>
      </c>
      <c r="U29" s="131">
        <f t="shared" si="9"/>
        <v>4.5021037456360071</v>
      </c>
      <c r="V29" s="131">
        <f t="shared" si="9"/>
        <v>1.9288102542799033</v>
      </c>
      <c r="W29" s="131">
        <f t="shared" si="9"/>
        <v>3.3152713900401514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4.1442791967342609</v>
      </c>
      <c r="D30" s="133">
        <v>4.2953676983617557</v>
      </c>
      <c r="E30" s="133">
        <v>4.2415043722517849</v>
      </c>
      <c r="F30" s="133">
        <v>5.2506701464437189</v>
      </c>
      <c r="G30" s="133">
        <v>8.4534412320736063</v>
      </c>
      <c r="H30" s="133">
        <v>6.9981296357829699</v>
      </c>
      <c r="I30" s="133">
        <v>10.34053914905666</v>
      </c>
      <c r="J30" s="133">
        <v>2.1188227465441414</v>
      </c>
      <c r="K30" s="133">
        <v>0.34896503614834912</v>
      </c>
      <c r="L30" s="133">
        <v>0.78244662318784719</v>
      </c>
      <c r="M30" s="133">
        <v>2.2427611304198676</v>
      </c>
      <c r="N30" s="133">
        <v>0.62634879957832379</v>
      </c>
      <c r="O30" s="133">
        <v>1.9458433474507675</v>
      </c>
      <c r="P30" s="133">
        <v>1.4542869306828021</v>
      </c>
      <c r="Q30" s="133">
        <v>1.3394460422058068</v>
      </c>
      <c r="R30" s="133">
        <v>3.1777459088699018</v>
      </c>
      <c r="S30" s="133">
        <v>3.9635558026899314</v>
      </c>
      <c r="T30" s="133">
        <v>4.9865813279939868</v>
      </c>
      <c r="U30" s="133">
        <v>3.3120859322152252</v>
      </c>
      <c r="V30" s="133">
        <v>0.93252687095398989</v>
      </c>
      <c r="W30" s="133">
        <v>2.2461359650167947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1.1002166670568065</v>
      </c>
      <c r="D31" s="133">
        <v>1.0281971006466797</v>
      </c>
      <c r="E31" s="133">
        <v>0.95598174136585679</v>
      </c>
      <c r="F31" s="133">
        <v>1.2409886717396708</v>
      </c>
      <c r="G31" s="133">
        <v>1.6897004869958454</v>
      </c>
      <c r="H31" s="133">
        <v>1.6214692627629212</v>
      </c>
      <c r="I31" s="133">
        <v>2.3955090693032313</v>
      </c>
      <c r="J31" s="133">
        <v>1.0534253583533812</v>
      </c>
      <c r="K31" s="133">
        <v>0.37064831826930628</v>
      </c>
      <c r="L31" s="133">
        <v>0.26553444313861929</v>
      </c>
      <c r="M31" s="133">
        <v>0.41619722504205675</v>
      </c>
      <c r="N31" s="133">
        <v>0.18538909318342031</v>
      </c>
      <c r="O31" s="133">
        <v>0.43985913958816913</v>
      </c>
      <c r="P31" s="133">
        <v>0.9685802899604713</v>
      </c>
      <c r="Q31" s="133">
        <v>0.48878798130552931</v>
      </c>
      <c r="R31" s="133">
        <v>1.7061963248711101</v>
      </c>
      <c r="S31" s="133">
        <v>1.1413703859254589</v>
      </c>
      <c r="T31" s="133">
        <v>1.4634065321300149</v>
      </c>
      <c r="U31" s="133">
        <v>1.1900178134207822</v>
      </c>
      <c r="V31" s="133">
        <v>0.99628338332591349</v>
      </c>
      <c r="W31" s="133">
        <v>1.0691354250233569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251549.45617595088</v>
      </c>
      <c r="D3" s="126">
        <f>IF(SER_hh_fec_in!D3=0,0,11630*1000*SER_hh_fec_in!D3/SER_hh_num_in!D3)</f>
        <v>237650.98462087417</v>
      </c>
      <c r="E3" s="126">
        <f>IF(SER_hh_fec_in!E3=0,0,11630*1000*SER_hh_fec_in!E3/SER_hh_num_in!E3)</f>
        <v>269252.64392108278</v>
      </c>
      <c r="F3" s="126">
        <f>IF(SER_hh_fec_in!F3=0,0,11630*1000*SER_hh_fec_in!F3/SER_hh_num_in!F3)</f>
        <v>247985.63063087722</v>
      </c>
      <c r="G3" s="126">
        <f>IF(SER_hh_fec_in!G3=0,0,11630*1000*SER_hh_fec_in!G3/SER_hh_num_in!G3)</f>
        <v>253467.32033546787</v>
      </c>
      <c r="H3" s="126">
        <f>IF(SER_hh_fec_in!H3=0,0,11630*1000*SER_hh_fec_in!H3/SER_hh_num_in!H3)</f>
        <v>264990.13140643365</v>
      </c>
      <c r="I3" s="126">
        <f>IF(SER_hh_fec_in!I3=0,0,11630*1000*SER_hh_fec_in!I3/SER_hh_num_in!I3)</f>
        <v>251424.23222078773</v>
      </c>
      <c r="J3" s="126">
        <f>IF(SER_hh_fec_in!J3=0,0,11630*1000*SER_hh_fec_in!J3/SER_hh_num_in!J3)</f>
        <v>266292.46288859588</v>
      </c>
      <c r="K3" s="126">
        <f>IF(SER_hh_fec_in!K3=0,0,11630*1000*SER_hh_fec_in!K3/SER_hh_num_in!K3)</f>
        <v>257948.20239854592</v>
      </c>
      <c r="L3" s="126">
        <f>IF(SER_hh_fec_in!L3=0,0,11630*1000*SER_hh_fec_in!L3/SER_hh_num_in!L3)</f>
        <v>258979.68135429858</v>
      </c>
      <c r="M3" s="126">
        <f>IF(SER_hh_fec_in!M3=0,0,11630*1000*SER_hh_fec_in!M3/SER_hh_num_in!M3)</f>
        <v>245058.2907568627</v>
      </c>
      <c r="N3" s="126">
        <f>IF(SER_hh_fec_in!N3=0,0,11630*1000*SER_hh_fec_in!N3/SER_hh_num_in!N3)</f>
        <v>242871.92221337755</v>
      </c>
      <c r="O3" s="126">
        <f>IF(SER_hh_fec_in!O3=0,0,11630*1000*SER_hh_fec_in!O3/SER_hh_num_in!O3)</f>
        <v>239831.51963597318</v>
      </c>
      <c r="P3" s="126">
        <f>IF(SER_hh_fec_in!P3=0,0,11630*1000*SER_hh_fec_in!P3/SER_hh_num_in!P3)</f>
        <v>197120.80974603319</v>
      </c>
      <c r="Q3" s="126">
        <f>IF(SER_hh_fec_in!Q3=0,0,11630*1000*SER_hh_fec_in!Q3/SER_hh_num_in!Q3)</f>
        <v>199189.08060869534</v>
      </c>
      <c r="R3" s="126">
        <f>IF(SER_hh_fec_in!R3=0,0,11630*1000*SER_hh_fec_in!R3/SER_hh_num_in!R3)</f>
        <v>183948.97676077235</v>
      </c>
      <c r="S3" s="126">
        <f>IF(SER_hh_fec_in!S3=0,0,11630*1000*SER_hh_fec_in!S3/SER_hh_num_in!S3)</f>
        <v>173078.73797095628</v>
      </c>
      <c r="T3" s="126">
        <f>IF(SER_hh_fec_in!T3=0,0,11630*1000*SER_hh_fec_in!T3/SER_hh_num_in!T3)</f>
        <v>180345.84936845893</v>
      </c>
      <c r="U3" s="126">
        <f>IF(SER_hh_fec_in!U3=0,0,11630*1000*SER_hh_fec_in!U3/SER_hh_num_in!U3)</f>
        <v>168721.75869005371</v>
      </c>
      <c r="V3" s="126">
        <f>IF(SER_hh_fec_in!V3=0,0,11630*1000*SER_hh_fec_in!V3/SER_hh_num_in!V3)</f>
        <v>141766.94238351836</v>
      </c>
      <c r="W3" s="126">
        <f>IF(SER_hh_fec_in!W3=0,0,11630*1000*SER_hh_fec_in!W3/SER_hh_num_in!W3)</f>
        <v>119583.89461935354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170353.63642964102</v>
      </c>
      <c r="D4" s="131">
        <f>IF(SER_hh_fec_in!D4=0,0,11630*1000*SER_hh_fec_in!D4/SER_hh_num_in!D4)</f>
        <v>157956.93062766202</v>
      </c>
      <c r="E4" s="131">
        <f>IF(SER_hh_fec_in!E4=0,0,11630*1000*SER_hh_fec_in!E4/SER_hh_num_in!E4)</f>
        <v>189929.83374511381</v>
      </c>
      <c r="F4" s="131">
        <f>IF(SER_hh_fec_in!F4=0,0,11630*1000*SER_hh_fec_in!F4/SER_hh_num_in!F4)</f>
        <v>169193.50282521106</v>
      </c>
      <c r="G4" s="131">
        <f>IF(SER_hh_fec_in!G4=0,0,11630*1000*SER_hh_fec_in!G4/SER_hh_num_in!G4)</f>
        <v>174289.61905823636</v>
      </c>
      <c r="H4" s="131">
        <f>IF(SER_hh_fec_in!H4=0,0,11630*1000*SER_hh_fec_in!H4/SER_hh_num_in!H4)</f>
        <v>187717.02067903534</v>
      </c>
      <c r="I4" s="131">
        <f>IF(SER_hh_fec_in!I4=0,0,11630*1000*SER_hh_fec_in!I4/SER_hh_num_in!I4)</f>
        <v>178135.82551405046</v>
      </c>
      <c r="J4" s="131">
        <f>IF(SER_hh_fec_in!J4=0,0,11630*1000*SER_hh_fec_in!J4/SER_hh_num_in!J4)</f>
        <v>193971.23199716059</v>
      </c>
      <c r="K4" s="131">
        <f>IF(SER_hh_fec_in!K4=0,0,11630*1000*SER_hh_fec_in!K4/SER_hh_num_in!K4)</f>
        <v>181392.80041603482</v>
      </c>
      <c r="L4" s="131">
        <f>IF(SER_hh_fec_in!L4=0,0,11630*1000*SER_hh_fec_in!L4/SER_hh_num_in!L4)</f>
        <v>181533.54443651065</v>
      </c>
      <c r="M4" s="131">
        <f>IF(SER_hh_fec_in!M4=0,0,11630*1000*SER_hh_fec_in!M4/SER_hh_num_in!M4)</f>
        <v>166704.60081376755</v>
      </c>
      <c r="N4" s="131">
        <f>IF(SER_hh_fec_in!N4=0,0,11630*1000*SER_hh_fec_in!N4/SER_hh_num_in!N4)</f>
        <v>165101.45995461495</v>
      </c>
      <c r="O4" s="131">
        <f>IF(SER_hh_fec_in!O4=0,0,11630*1000*SER_hh_fec_in!O4/SER_hh_num_in!O4)</f>
        <v>162862.52047988135</v>
      </c>
      <c r="P4" s="131">
        <f>IF(SER_hh_fec_in!P4=0,0,11630*1000*SER_hh_fec_in!P4/SER_hh_num_in!P4)</f>
        <v>125240.5394917907</v>
      </c>
      <c r="Q4" s="131">
        <f>IF(SER_hh_fec_in!Q4=0,0,11630*1000*SER_hh_fec_in!Q4/SER_hh_num_in!Q4)</f>
        <v>126335.89030445679</v>
      </c>
      <c r="R4" s="131">
        <f>IF(SER_hh_fec_in!R4=0,0,11630*1000*SER_hh_fec_in!R4/SER_hh_num_in!R4)</f>
        <v>114547.89144153136</v>
      </c>
      <c r="S4" s="131">
        <f>IF(SER_hh_fec_in!S4=0,0,11630*1000*SER_hh_fec_in!S4/SER_hh_num_in!S4)</f>
        <v>102738.0928536399</v>
      </c>
      <c r="T4" s="131">
        <f>IF(SER_hh_fec_in!T4=0,0,11630*1000*SER_hh_fec_in!T4/SER_hh_num_in!T4)</f>
        <v>111353.58535973007</v>
      </c>
      <c r="U4" s="131">
        <f>IF(SER_hh_fec_in!U4=0,0,11630*1000*SER_hh_fec_in!U4/SER_hh_num_in!U4)</f>
        <v>101789.63836511357</v>
      </c>
      <c r="V4" s="131">
        <f>IF(SER_hh_fec_in!V4=0,0,11630*1000*SER_hh_fec_in!V4/SER_hh_num_in!V4)</f>
        <v>80570.126639879934</v>
      </c>
      <c r="W4" s="131">
        <f>IF(SER_hh_fec_in!W4=0,0,11630*1000*SER_hh_fec_in!W4/SER_hh_num_in!W4)</f>
        <v>55291.502802427429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106959.07480564674</v>
      </c>
      <c r="D5" s="133">
        <f>IF(SER_hh_fec_in!D5=0,0,11630*1000*SER_hh_fec_in!D5/SER_hh_num_in!D5)</f>
        <v>54558.312843900385</v>
      </c>
      <c r="E5" s="133">
        <f>IF(SER_hh_fec_in!E5=0,0,11630*1000*SER_hh_fec_in!E5/SER_hh_num_in!E5)</f>
        <v>296652.26709453552</v>
      </c>
      <c r="F5" s="133">
        <f>IF(SER_hh_fec_in!F5=0,0,11630*1000*SER_hh_fec_in!F5/SER_hh_num_in!F5)</f>
        <v>250771.35896438884</v>
      </c>
      <c r="G5" s="133">
        <f>IF(SER_hh_fec_in!G5=0,0,11630*1000*SER_hh_fec_in!G5/SER_hh_num_in!G5)</f>
        <v>244695.67841080838</v>
      </c>
      <c r="H5" s="133">
        <f>IF(SER_hh_fec_in!H5=0,0,11630*1000*SER_hh_fec_in!H5/SER_hh_num_in!H5)</f>
        <v>242829.79443640725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179610.64321037411</v>
      </c>
      <c r="S5" s="133">
        <f>IF(SER_hh_fec_in!S5=0,0,11630*1000*SER_hh_fec_in!S5/SER_hh_num_in!S5)</f>
        <v>140772.94098523428</v>
      </c>
      <c r="T5" s="133">
        <f>IF(SER_hh_fec_in!T5=0,0,11630*1000*SER_hh_fec_in!T5/SER_hh_num_in!T5)</f>
        <v>149387.53088981868</v>
      </c>
      <c r="U5" s="133">
        <f>IF(SER_hh_fec_in!U5=0,0,11630*1000*SER_hh_fec_in!U5/SER_hh_num_in!U5)</f>
        <v>145616.77769015741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212829.40462571298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238496.12646151971</v>
      </c>
      <c r="K7" s="133">
        <f>IF(SER_hh_fec_in!K7=0,0,11630*1000*SER_hh_fec_in!K7/SER_hh_num_in!K7)</f>
        <v>199707.65465708519</v>
      </c>
      <c r="L7" s="133">
        <f>IF(SER_hh_fec_in!L7=0,0,11630*1000*SER_hh_fec_in!L7/SER_hh_num_in!L7)</f>
        <v>204932.00115915251</v>
      </c>
      <c r="M7" s="133">
        <f>IF(SER_hh_fec_in!M7=0,0,11630*1000*SER_hh_fec_in!M7/SER_hh_num_in!M7)</f>
        <v>180064.75718238691</v>
      </c>
      <c r="N7" s="133">
        <f>IF(SER_hh_fec_in!N7=0,0,11630*1000*SER_hh_fec_in!N7/SER_hh_num_in!N7)</f>
        <v>163227.72247593111</v>
      </c>
      <c r="O7" s="133">
        <f>IF(SER_hh_fec_in!O7=0,0,11630*1000*SER_hh_fec_in!O7/SER_hh_num_in!O7)</f>
        <v>185375.28219532143</v>
      </c>
      <c r="P7" s="133">
        <f>IF(SER_hh_fec_in!P7=0,0,11630*1000*SER_hh_fec_in!P7/SER_hh_num_in!P7)</f>
        <v>152569.23181190022</v>
      </c>
      <c r="Q7" s="133">
        <f>IF(SER_hh_fec_in!Q7=0,0,11630*1000*SER_hh_fec_in!Q7/SER_hh_num_in!Q7)</f>
        <v>150439.85523149651</v>
      </c>
      <c r="R7" s="133">
        <f>IF(SER_hh_fec_in!R7=0,0,11630*1000*SER_hh_fec_in!R7/SER_hh_num_in!R7)</f>
        <v>136372.07524320693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90567.487761073848</v>
      </c>
      <c r="W7" s="133">
        <f>IF(SER_hh_fec_in!W7=0,0,11630*1000*SER_hh_fec_in!W7/SER_hh_num_in!W7)</f>
        <v>71495.379308682066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189748.48041813722</v>
      </c>
      <c r="D9" s="133">
        <f>IF(SER_hh_fec_in!D9=0,0,11630*1000*SER_hh_fec_in!D9/SER_hh_num_in!D9)</f>
        <v>182507.30935108787</v>
      </c>
      <c r="E9" s="133">
        <f>IF(SER_hh_fec_in!E9=0,0,11630*1000*SER_hh_fec_in!E9/SER_hh_num_in!E9)</f>
        <v>190919.12958198172</v>
      </c>
      <c r="F9" s="133">
        <f>IF(SER_hh_fec_in!F9=0,0,11630*1000*SER_hh_fec_in!F9/SER_hh_num_in!F9)</f>
        <v>188830.7412319695</v>
      </c>
      <c r="G9" s="133">
        <f>IF(SER_hh_fec_in!G9=0,0,11630*1000*SER_hh_fec_in!G9/SER_hh_num_in!G9)</f>
        <v>187250.41601343191</v>
      </c>
      <c r="H9" s="133">
        <f>IF(SER_hh_fec_in!H9=0,0,11630*1000*SER_hh_fec_in!H9/SER_hh_num_in!H9)</f>
        <v>202871.36447666629</v>
      </c>
      <c r="I9" s="133">
        <f>IF(SER_hh_fec_in!I9=0,0,11630*1000*SER_hh_fec_in!I9/SER_hh_num_in!I9)</f>
        <v>200502.85818717498</v>
      </c>
      <c r="J9" s="133">
        <f>IF(SER_hh_fec_in!J9=0,0,11630*1000*SER_hh_fec_in!J9/SER_hh_num_in!J9)</f>
        <v>200994.05582871681</v>
      </c>
      <c r="K9" s="133">
        <f>IF(SER_hh_fec_in!K9=0,0,11630*1000*SER_hh_fec_in!K9/SER_hh_num_in!K9)</f>
        <v>175559.26156276866</v>
      </c>
      <c r="L9" s="133">
        <f>IF(SER_hh_fec_in!L9=0,0,11630*1000*SER_hh_fec_in!L9/SER_hh_num_in!L9)</f>
        <v>177786.41416794981</v>
      </c>
      <c r="M9" s="133">
        <f>IF(SER_hh_fec_in!M9=0,0,11630*1000*SER_hh_fec_in!M9/SER_hh_num_in!M9)</f>
        <v>166344.19380287617</v>
      </c>
      <c r="N9" s="133">
        <f>IF(SER_hh_fec_in!N9=0,0,11630*1000*SER_hh_fec_in!N9/SER_hh_num_in!N9)</f>
        <v>168338.24488808008</v>
      </c>
      <c r="O9" s="133">
        <f>IF(SER_hh_fec_in!O9=0,0,11630*1000*SER_hh_fec_in!O9/SER_hh_num_in!O9)</f>
        <v>150728.01386306281</v>
      </c>
      <c r="P9" s="133">
        <f>IF(SER_hh_fec_in!P9=0,0,11630*1000*SER_hh_fec_in!P9/SER_hh_num_in!P9)</f>
        <v>128943.28384898526</v>
      </c>
      <c r="Q9" s="133">
        <f>IF(SER_hh_fec_in!Q9=0,0,11630*1000*SER_hh_fec_in!Q9/SER_hh_num_in!Q9)</f>
        <v>131445.06369476407</v>
      </c>
      <c r="R9" s="133">
        <f>IF(SER_hh_fec_in!R9=0,0,11630*1000*SER_hh_fec_in!R9/SER_hh_num_in!R9)</f>
        <v>122416.74331915556</v>
      </c>
      <c r="S9" s="133">
        <f>IF(SER_hh_fec_in!S9=0,0,11630*1000*SER_hh_fec_in!S9/SER_hh_num_in!S9)</f>
        <v>112892.57764512485</v>
      </c>
      <c r="T9" s="133">
        <f>IF(SER_hh_fec_in!T9=0,0,11630*1000*SER_hh_fec_in!T9/SER_hh_num_in!T9)</f>
        <v>115572.00125667096</v>
      </c>
      <c r="U9" s="133">
        <f>IF(SER_hh_fec_in!U9=0,0,11630*1000*SER_hh_fec_in!U9/SER_hh_num_in!U9)</f>
        <v>103103.52212514877</v>
      </c>
      <c r="V9" s="133">
        <f>IF(SER_hh_fec_in!V9=0,0,11630*1000*SER_hh_fec_in!V9/SER_hh_num_in!V9)</f>
        <v>94340.724087612951</v>
      </c>
      <c r="W9" s="133">
        <f>IF(SER_hh_fec_in!W9=0,0,11630*1000*SER_hh_fec_in!W9/SER_hh_num_in!W9)</f>
        <v>55923.035422680456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54352.240999530746</v>
      </c>
      <c r="H10" s="133">
        <f>IF(SER_hh_fec_in!H10=0,0,11630*1000*SER_hh_fec_in!H10/SER_hh_num_in!H10)</f>
        <v>140241.86904748704</v>
      </c>
      <c r="I10" s="133">
        <f>IF(SER_hh_fec_in!I10=0,0,11630*1000*SER_hh_fec_in!I10/SER_hh_num_in!I10)</f>
        <v>260821.72084483769</v>
      </c>
      <c r="J10" s="133">
        <f>IF(SER_hh_fec_in!J10=0,0,11630*1000*SER_hh_fec_in!J10/SER_hh_num_in!J10)</f>
        <v>311225.9544717067</v>
      </c>
      <c r="K10" s="133">
        <f>IF(SER_hh_fec_in!K10=0,0,11630*1000*SER_hh_fec_in!K10/SER_hh_num_in!K10)</f>
        <v>294052.1375165389</v>
      </c>
      <c r="L10" s="133">
        <f>IF(SER_hh_fec_in!L10=0,0,11630*1000*SER_hh_fec_in!L10/SER_hh_num_in!L10)</f>
        <v>209707.84491884845</v>
      </c>
      <c r="M10" s="133">
        <f>IF(SER_hh_fec_in!M10=0,0,11630*1000*SER_hh_fec_in!M10/SER_hh_num_in!M10)</f>
        <v>220807.75656342311</v>
      </c>
      <c r="N10" s="133">
        <f>IF(SER_hh_fec_in!N10=0,0,11630*1000*SER_hh_fec_in!N10/SER_hh_num_in!N10)</f>
        <v>210767.76825321661</v>
      </c>
      <c r="O10" s="133">
        <f>IF(SER_hh_fec_in!O10=0,0,11630*1000*SER_hh_fec_in!O10/SER_hh_num_in!O10)</f>
        <v>241806.26095911919</v>
      </c>
      <c r="P10" s="133">
        <f>IF(SER_hh_fec_in!P10=0,0,11630*1000*SER_hh_fec_in!P10/SER_hh_num_in!P10)</f>
        <v>248064.9997976867</v>
      </c>
      <c r="Q10" s="133">
        <f>IF(SER_hh_fec_in!Q10=0,0,11630*1000*SER_hh_fec_in!Q10/SER_hh_num_in!Q10)</f>
        <v>140240.93089862389</v>
      </c>
      <c r="R10" s="133">
        <f>IF(SER_hh_fec_in!R10=0,0,11630*1000*SER_hh_fec_in!R10/SER_hh_num_in!R10)</f>
        <v>195717.80017500705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118162.54298744322</v>
      </c>
      <c r="W10" s="133">
        <f>IF(SER_hh_fec_in!W10=0,0,11630*1000*SER_hh_fec_in!W10/SER_hh_num_in!W10)</f>
        <v>114517.77714929517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39401.026751776692</v>
      </c>
      <c r="D13" s="133">
        <f>IF(SER_hh_fec_in!D13=0,0,11630*1000*SER_hh_fec_in!D13/SER_hh_num_in!D13)</f>
        <v>10792.018991520035</v>
      </c>
      <c r="E13" s="133">
        <f>IF(SER_hh_fec_in!E13=0,0,11630*1000*SER_hh_fec_in!E13/SER_hh_num_in!E13)</f>
        <v>51393.02084964302</v>
      </c>
      <c r="F13" s="133">
        <f>IF(SER_hh_fec_in!F13=0,0,11630*1000*SER_hh_fec_in!F13/SER_hh_num_in!F13)</f>
        <v>37890.870821703109</v>
      </c>
      <c r="G13" s="133">
        <f>IF(SER_hh_fec_in!G13=0,0,11630*1000*SER_hh_fec_in!G13/SER_hh_num_in!G13)</f>
        <v>55015.325711593272</v>
      </c>
      <c r="H13" s="133">
        <f>IF(SER_hh_fec_in!H13=0,0,11630*1000*SER_hh_fec_in!H13/SER_hh_num_in!H13)</f>
        <v>59891.679225859742</v>
      </c>
      <c r="I13" s="133">
        <f>IF(SER_hh_fec_in!I13=0,0,11630*1000*SER_hh_fec_in!I13/SER_hh_num_in!I13)</f>
        <v>59214.584321164075</v>
      </c>
      <c r="J13" s="133">
        <f>IF(SER_hh_fec_in!J13=0,0,11630*1000*SER_hh_fec_in!J13/SER_hh_num_in!J13)</f>
        <v>61346.105363270697</v>
      </c>
      <c r="K13" s="133">
        <f>IF(SER_hh_fec_in!K13=0,0,11630*1000*SER_hh_fec_in!K13/SER_hh_num_in!K13)</f>
        <v>51308.266891249426</v>
      </c>
      <c r="L13" s="133">
        <f>IF(SER_hh_fec_in!L13=0,0,11630*1000*SER_hh_fec_in!L13/SER_hh_num_in!L13)</f>
        <v>44523.84998156198</v>
      </c>
      <c r="M13" s="133">
        <f>IF(SER_hh_fec_in!M13=0,0,11630*1000*SER_hh_fec_in!M13/SER_hh_num_in!M13)</f>
        <v>42274.74257155729</v>
      </c>
      <c r="N13" s="133">
        <f>IF(SER_hh_fec_in!N13=0,0,11630*1000*SER_hh_fec_in!N13/SER_hh_num_in!N13)</f>
        <v>37836.836509913432</v>
      </c>
      <c r="O13" s="133">
        <f>IF(SER_hh_fec_in!O13=0,0,11630*1000*SER_hh_fec_in!O13/SER_hh_num_in!O13)</f>
        <v>33422.070294988072</v>
      </c>
      <c r="P13" s="133">
        <f>IF(SER_hh_fec_in!P13=0,0,11630*1000*SER_hh_fec_in!P13/SER_hh_num_in!P13)</f>
        <v>29579.819587305083</v>
      </c>
      <c r="Q13" s="133">
        <f>IF(SER_hh_fec_in!Q13=0,0,11630*1000*SER_hh_fec_in!Q13/SER_hh_num_in!Q13)</f>
        <v>27730.485665414624</v>
      </c>
      <c r="R13" s="133">
        <f>IF(SER_hh_fec_in!R13=0,0,11630*1000*SER_hh_fec_in!R13/SER_hh_num_in!R13)</f>
        <v>27014.075440918299</v>
      </c>
      <c r="S13" s="133">
        <f>IF(SER_hh_fec_in!S13=0,0,11630*1000*SER_hh_fec_in!S13/SER_hh_num_in!S13)</f>
        <v>26840.004122055445</v>
      </c>
      <c r="T13" s="133">
        <f>IF(SER_hh_fec_in!T13=0,0,11630*1000*SER_hh_fec_in!T13/SER_hh_num_in!T13)</f>
        <v>24051.731142261855</v>
      </c>
      <c r="U13" s="133">
        <f>IF(SER_hh_fec_in!U13=0,0,11630*1000*SER_hh_fec_in!U13/SER_hh_num_in!U13)</f>
        <v>22309.729655564755</v>
      </c>
      <c r="V13" s="133">
        <f>IF(SER_hh_fec_in!V13=0,0,11630*1000*SER_hh_fec_in!V13/SER_hh_num_in!V13)</f>
        <v>19510.087285810296</v>
      </c>
      <c r="W13" s="133">
        <f>IF(SER_hh_fec_in!W13=0,0,11630*1000*SER_hh_fec_in!W13/SER_hh_num_in!W13)</f>
        <v>14354.370784397146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151121.95296742208</v>
      </c>
      <c r="D14" s="65">
        <f>IF(SER_hh_fec_in!D14=0,0,11630*1000*SER_hh_fec_in!D14/SER_hh_num_in!D14)</f>
        <v>159475.11531020436</v>
      </c>
      <c r="E14" s="65">
        <f>IF(SER_hh_fec_in!E14=0,0,11630*1000*SER_hh_fec_in!E14/SER_hh_num_in!E14)</f>
        <v>172925.95151491748</v>
      </c>
      <c r="F14" s="65">
        <f>IF(SER_hh_fec_in!F14=0,0,11630*1000*SER_hh_fec_in!F14/SER_hh_num_in!F14)</f>
        <v>156587.56131494418</v>
      </c>
      <c r="G14" s="65">
        <f>IF(SER_hh_fec_in!G14=0,0,11630*1000*SER_hh_fec_in!G14/SER_hh_num_in!G14)</f>
        <v>172185.87476280375</v>
      </c>
      <c r="H14" s="65">
        <f>IF(SER_hh_fec_in!H14=0,0,11630*1000*SER_hh_fec_in!H14/SER_hh_num_in!H14)</f>
        <v>185558.18997350117</v>
      </c>
      <c r="I14" s="65">
        <f>IF(SER_hh_fec_in!I14=0,0,11630*1000*SER_hh_fec_in!I14/SER_hh_num_in!I14)</f>
        <v>170488.34668492767</v>
      </c>
      <c r="J14" s="65">
        <f>IF(SER_hh_fec_in!J14=0,0,11630*1000*SER_hh_fec_in!J14/SER_hh_num_in!J14)</f>
        <v>177444.77308396582</v>
      </c>
      <c r="K14" s="65">
        <f>IF(SER_hh_fec_in!K14=0,0,11630*1000*SER_hh_fec_in!K14/SER_hh_num_in!K14)</f>
        <v>166514.85178795306</v>
      </c>
      <c r="L14" s="65">
        <f>IF(SER_hh_fec_in!L14=0,0,11630*1000*SER_hh_fec_in!L14/SER_hh_num_in!L14)</f>
        <v>159405.24605569502</v>
      </c>
      <c r="M14" s="65">
        <f>IF(SER_hh_fec_in!M14=0,0,11630*1000*SER_hh_fec_in!M14/SER_hh_num_in!M14)</f>
        <v>153028.4149053898</v>
      </c>
      <c r="N14" s="65">
        <f>IF(SER_hh_fec_in!N14=0,0,11630*1000*SER_hh_fec_in!N14/SER_hh_num_in!N14)</f>
        <v>145418.32952933459</v>
      </c>
      <c r="O14" s="65">
        <f>IF(SER_hh_fec_in!O14=0,0,11630*1000*SER_hh_fec_in!O14/SER_hh_num_in!O14)</f>
        <v>140766.19519243645</v>
      </c>
      <c r="P14" s="65">
        <f>IF(SER_hh_fec_in!P14=0,0,11630*1000*SER_hh_fec_in!P14/SER_hh_num_in!P14)</f>
        <v>114968.08073766835</v>
      </c>
      <c r="Q14" s="65">
        <f>IF(SER_hh_fec_in!Q14=0,0,11630*1000*SER_hh_fec_in!Q14/SER_hh_num_in!Q14)</f>
        <v>129900.69690472858</v>
      </c>
      <c r="R14" s="65">
        <f>IF(SER_hh_fec_in!R14=0,0,11630*1000*SER_hh_fec_in!R14/SER_hh_num_in!R14)</f>
        <v>116176.66288903667</v>
      </c>
      <c r="S14" s="65">
        <f>IF(SER_hh_fec_in!S14=0,0,11630*1000*SER_hh_fec_in!S14/SER_hh_num_in!S14)</f>
        <v>102785.7337380942</v>
      </c>
      <c r="T14" s="65">
        <f>IF(SER_hh_fec_in!T14=0,0,11630*1000*SER_hh_fec_in!T14/SER_hh_num_in!T14)</f>
        <v>112912.30720145807</v>
      </c>
      <c r="U14" s="65">
        <f>IF(SER_hh_fec_in!U14=0,0,11630*1000*SER_hh_fec_in!U14/SER_hh_num_in!U14)</f>
        <v>109430.29845670141</v>
      </c>
      <c r="V14" s="65">
        <f>IF(SER_hh_fec_in!V14=0,0,11630*1000*SER_hh_fec_in!V14/SER_hh_num_in!V14)</f>
        <v>76930.667983038118</v>
      </c>
      <c r="W14" s="65">
        <f>IF(SER_hh_fec_in!W14=0,0,11630*1000*SER_hh_fec_in!W14/SER_hh_num_in!W14)</f>
        <v>59811.390448295177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2225.5640936601908</v>
      </c>
      <c r="D15" s="135">
        <f>IF(SER_hh_fec_in!D15=0,0,11630*1000*SER_hh_fec_in!D15/SER_hh_num_in!D15)</f>
        <v>1737.8073179981395</v>
      </c>
      <c r="E15" s="135">
        <f>IF(SER_hh_fec_in!E15=0,0,11630*1000*SER_hh_fec_in!E15/SER_hh_num_in!E15)</f>
        <v>2071.7709208273736</v>
      </c>
      <c r="F15" s="135">
        <f>IF(SER_hh_fec_in!F15=0,0,11630*1000*SER_hh_fec_in!F15/SER_hh_num_in!F15)</f>
        <v>2129.4149357599254</v>
      </c>
      <c r="G15" s="135">
        <f>IF(SER_hh_fec_in!G15=0,0,11630*1000*SER_hh_fec_in!G15/SER_hh_num_in!G15)</f>
        <v>2105.7753839414067</v>
      </c>
      <c r="H15" s="135">
        <f>IF(SER_hh_fec_in!H15=0,0,11630*1000*SER_hh_fec_in!H15/SER_hh_num_in!H15)</f>
        <v>2274.0455174133972</v>
      </c>
      <c r="I15" s="135">
        <f>IF(SER_hh_fec_in!I15=0,0,11630*1000*SER_hh_fec_in!I15/SER_hh_num_in!I15)</f>
        <v>2238.1863149023293</v>
      </c>
      <c r="J15" s="135">
        <f>IF(SER_hh_fec_in!J15=0,0,11630*1000*SER_hh_fec_in!J15/SER_hh_num_in!J15)</f>
        <v>2290.3783320265006</v>
      </c>
      <c r="K15" s="135">
        <f>IF(SER_hh_fec_in!K15=0,0,11630*1000*SER_hh_fec_in!K15/SER_hh_num_in!K15)</f>
        <v>1998.7359673624674</v>
      </c>
      <c r="L15" s="135">
        <f>IF(SER_hh_fec_in!L15=0,0,11630*1000*SER_hh_fec_in!L15/SER_hh_num_in!L15)</f>
        <v>2049.9629240499303</v>
      </c>
      <c r="M15" s="135">
        <f>IF(SER_hh_fec_in!M15=0,0,11630*1000*SER_hh_fec_in!M15/SER_hh_num_in!M15)</f>
        <v>1879.3893166102544</v>
      </c>
      <c r="N15" s="135">
        <f>IF(SER_hh_fec_in!N15=0,0,11630*1000*SER_hh_fec_in!N15/SER_hh_num_in!N15)</f>
        <v>1833.8498369385334</v>
      </c>
      <c r="O15" s="135">
        <f>IF(SER_hh_fec_in!O15=0,0,11630*1000*SER_hh_fec_in!O15/SER_hh_num_in!O15)</f>
        <v>1886.3921583614056</v>
      </c>
      <c r="P15" s="135">
        <f>IF(SER_hh_fec_in!P15=0,0,11630*1000*SER_hh_fec_in!P15/SER_hh_num_in!P15)</f>
        <v>1615.0632715222118</v>
      </c>
      <c r="Q15" s="135">
        <f>IF(SER_hh_fec_in!Q15=0,0,11630*1000*SER_hh_fec_in!Q15/SER_hh_num_in!Q15)</f>
        <v>1640.3004724172176</v>
      </c>
      <c r="R15" s="135">
        <f>IF(SER_hh_fec_in!R15=0,0,11630*1000*SER_hh_fec_in!R15/SER_hh_num_in!R15)</f>
        <v>1528.8802391819243</v>
      </c>
      <c r="S15" s="135">
        <f>IF(SER_hh_fec_in!S15=0,0,11630*1000*SER_hh_fec_in!S15/SER_hh_num_in!S15)</f>
        <v>1423.8779332608228</v>
      </c>
      <c r="T15" s="135">
        <f>IF(SER_hh_fec_in!T15=0,0,11630*1000*SER_hh_fec_in!T15/SER_hh_num_in!T15)</f>
        <v>1461.1538575336676</v>
      </c>
      <c r="U15" s="135">
        <f>IF(SER_hh_fec_in!U15=0,0,11630*1000*SER_hh_fec_in!U15/SER_hh_num_in!U15)</f>
        <v>1304.9443787393111</v>
      </c>
      <c r="V15" s="135">
        <f>IF(SER_hh_fec_in!V15=0,0,11630*1000*SER_hh_fec_in!V15/SER_hh_num_in!V15)</f>
        <v>1197.0983885921528</v>
      </c>
      <c r="W15" s="135">
        <f>IF(SER_hh_fec_in!W15=0,0,11630*1000*SER_hh_fec_in!W15/SER_hh_num_in!W15)</f>
        <v>715.61681903826536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8061.2823438994437</v>
      </c>
      <c r="D16" s="131">
        <f>IF(SER_hh_fec_in!D16=0,0,11630*1000*SER_hh_fec_in!D16/SER_hh_num_in!D16)</f>
        <v>7836.547849014858</v>
      </c>
      <c r="E16" s="131">
        <f>IF(SER_hh_fec_in!E16=0,0,11630*1000*SER_hh_fec_in!E16/SER_hh_num_in!E16)</f>
        <v>7485.8381791268484</v>
      </c>
      <c r="F16" s="131">
        <f>IF(SER_hh_fec_in!F16=0,0,11630*1000*SER_hh_fec_in!F16/SER_hh_num_in!F16)</f>
        <v>7179.9293984947562</v>
      </c>
      <c r="G16" s="131">
        <f>IF(SER_hh_fec_in!G16=0,0,11630*1000*SER_hh_fec_in!G16/SER_hh_num_in!G16)</f>
        <v>6780.4064433627873</v>
      </c>
      <c r="H16" s="131">
        <f>IF(SER_hh_fec_in!H16=0,0,11630*1000*SER_hh_fec_in!H16/SER_hh_num_in!H16)</f>
        <v>6618.5172288906269</v>
      </c>
      <c r="I16" s="131">
        <f>IF(SER_hh_fec_in!I16=0,0,11630*1000*SER_hh_fec_in!I16/SER_hh_num_in!I16)</f>
        <v>6451.2253715376055</v>
      </c>
      <c r="J16" s="131">
        <f>IF(SER_hh_fec_in!J16=0,0,11630*1000*SER_hh_fec_in!J16/SER_hh_num_in!J16)</f>
        <v>6059.8027190226194</v>
      </c>
      <c r="K16" s="131">
        <f>IF(SER_hh_fec_in!K16=0,0,11630*1000*SER_hh_fec_in!K16/SER_hh_num_in!K16)</f>
        <v>5771.5420009286181</v>
      </c>
      <c r="L16" s="131">
        <f>IF(SER_hh_fec_in!L16=0,0,11630*1000*SER_hh_fec_in!L16/SER_hh_num_in!L16)</f>
        <v>5511.9732279111167</v>
      </c>
      <c r="M16" s="131">
        <f>IF(SER_hh_fec_in!M16=0,0,11630*1000*SER_hh_fec_in!M16/SER_hh_num_in!M16)</f>
        <v>5189.1064976363241</v>
      </c>
      <c r="N16" s="131">
        <f>IF(SER_hh_fec_in!N16=0,0,11630*1000*SER_hh_fec_in!N16/SER_hh_num_in!N16)</f>
        <v>4953.1840066824843</v>
      </c>
      <c r="O16" s="131">
        <f>IF(SER_hh_fec_in!O16=0,0,11630*1000*SER_hh_fec_in!O16/SER_hh_num_in!O16)</f>
        <v>4571.5578698119007</v>
      </c>
      <c r="P16" s="131">
        <f>IF(SER_hh_fec_in!P16=0,0,11630*1000*SER_hh_fec_in!P16/SER_hh_num_in!P16)</f>
        <v>4359.8631212413366</v>
      </c>
      <c r="Q16" s="131">
        <f>IF(SER_hh_fec_in!Q16=0,0,11630*1000*SER_hh_fec_in!Q16/SER_hh_num_in!Q16)</f>
        <v>4143.3404569190116</v>
      </c>
      <c r="R16" s="131">
        <f>IF(SER_hh_fec_in!R16=0,0,11630*1000*SER_hh_fec_in!R16/SER_hh_num_in!R16)</f>
        <v>3920.2599514919184</v>
      </c>
      <c r="S16" s="131">
        <f>IF(SER_hh_fec_in!S16=0,0,11630*1000*SER_hh_fec_in!S16/SER_hh_num_in!S16)</f>
        <v>3714.0428170190294</v>
      </c>
      <c r="T16" s="131">
        <f>IF(SER_hh_fec_in!T16=0,0,11630*1000*SER_hh_fec_in!T16/SER_hh_num_in!T16)</f>
        <v>3509.2010360705613</v>
      </c>
      <c r="U16" s="131">
        <f>IF(SER_hh_fec_in!U16=0,0,11630*1000*SER_hh_fec_in!U16/SER_hh_num_in!U16)</f>
        <v>3343.0918958920447</v>
      </c>
      <c r="V16" s="131">
        <f>IF(SER_hh_fec_in!V16=0,0,11630*1000*SER_hh_fec_in!V16/SER_hh_num_in!V16)</f>
        <v>3240.143119797383</v>
      </c>
      <c r="W16" s="131">
        <f>IF(SER_hh_fec_in!W16=0,0,11630*1000*SER_hh_fec_in!W16/SER_hh_num_in!W16)</f>
        <v>2721.9045695972818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16733.084050174868</v>
      </c>
      <c r="D17" s="133">
        <f>IF(SER_hh_fec_in!D17=0,0,11630*1000*SER_hh_fec_in!D17/SER_hh_num_in!D17)</f>
        <v>16795.950585515071</v>
      </c>
      <c r="E17" s="133">
        <f>IF(SER_hh_fec_in!E17=0,0,11630*1000*SER_hh_fec_in!E17/SER_hh_num_in!E17)</f>
        <v>16578.162383262057</v>
      </c>
      <c r="F17" s="133">
        <f>IF(SER_hh_fec_in!F17=0,0,11630*1000*SER_hh_fec_in!F17/SER_hh_num_in!F17)</f>
        <v>16371.722757373525</v>
      </c>
      <c r="G17" s="133">
        <f>IF(SER_hh_fec_in!G17=0,0,11630*1000*SER_hh_fec_in!G17/SER_hh_num_in!G17)</f>
        <v>15974.082399941004</v>
      </c>
      <c r="H17" s="133">
        <f>IF(SER_hh_fec_in!H17=0,0,11630*1000*SER_hh_fec_in!H17/SER_hh_num_in!H17)</f>
        <v>16062.832853161241</v>
      </c>
      <c r="I17" s="133">
        <f>IF(SER_hh_fec_in!I17=0,0,11630*1000*SER_hh_fec_in!I17/SER_hh_num_in!I17)</f>
        <v>15875.644262521109</v>
      </c>
      <c r="J17" s="133">
        <f>IF(SER_hh_fec_in!J17=0,0,11630*1000*SER_hh_fec_in!J17/SER_hh_num_in!J17)</f>
        <v>15610.853994243658</v>
      </c>
      <c r="K17" s="133">
        <f>IF(SER_hh_fec_in!K17=0,0,11630*1000*SER_hh_fec_in!K17/SER_hh_num_in!K17)</f>
        <v>15189.27404686411</v>
      </c>
      <c r="L17" s="133">
        <f>IF(SER_hh_fec_in!L17=0,0,11630*1000*SER_hh_fec_in!L17/SER_hh_num_in!L17)</f>
        <v>14956.207913151873</v>
      </c>
      <c r="M17" s="133">
        <f>IF(SER_hh_fec_in!M17=0,0,11630*1000*SER_hh_fec_in!M17/SER_hh_num_in!M17)</f>
        <v>14500.752372056289</v>
      </c>
      <c r="N17" s="133">
        <f>IF(SER_hh_fec_in!N17=0,0,11630*1000*SER_hh_fec_in!N17/SER_hh_num_in!N17)</f>
        <v>14207.522360326624</v>
      </c>
      <c r="O17" s="133">
        <f>IF(SER_hh_fec_in!O17=0,0,11630*1000*SER_hh_fec_in!O17/SER_hh_num_in!O17)</f>
        <v>13439.239231125344</v>
      </c>
      <c r="P17" s="133">
        <f>IF(SER_hh_fec_in!P17=0,0,11630*1000*SER_hh_fec_in!P17/SER_hh_num_in!P17)</f>
        <v>13169.055324988316</v>
      </c>
      <c r="Q17" s="133">
        <f>IF(SER_hh_fec_in!Q17=0,0,11630*1000*SER_hh_fec_in!Q17/SER_hh_num_in!Q17)</f>
        <v>12433.149995654709</v>
      </c>
      <c r="R17" s="133">
        <f>IF(SER_hh_fec_in!R17=0,0,11630*1000*SER_hh_fec_in!R17/SER_hh_num_in!R17)</f>
        <v>12106.689486686824</v>
      </c>
      <c r="S17" s="133">
        <f>IF(SER_hh_fec_in!S17=0,0,11630*1000*SER_hh_fec_in!S17/SER_hh_num_in!S17)</f>
        <v>11461.579630885035</v>
      </c>
      <c r="T17" s="133">
        <f>IF(SER_hh_fec_in!T17=0,0,11630*1000*SER_hh_fec_in!T17/SER_hh_num_in!T17)</f>
        <v>10777.142052153298</v>
      </c>
      <c r="U17" s="133">
        <f>IF(SER_hh_fec_in!U17=0,0,11630*1000*SER_hh_fec_in!U17/SER_hh_num_in!U17)</f>
        <v>10101.216413554394</v>
      </c>
      <c r="V17" s="133">
        <f>IF(SER_hh_fec_in!V17=0,0,11630*1000*SER_hh_fec_in!V17/SER_hh_num_in!V17)</f>
        <v>8644.7109861415174</v>
      </c>
      <c r="W17" s="133">
        <f>IF(SER_hh_fec_in!W17=0,0,11630*1000*SER_hh_fec_in!W17/SER_hh_num_in!W17)</f>
        <v>6950.4203789634357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8033.7421104087171</v>
      </c>
      <c r="D18" s="133">
        <f>IF(SER_hh_fec_in!D18=0,0,11630*1000*SER_hh_fec_in!D18/SER_hh_num_in!D18)</f>
        <v>7806.0289220133645</v>
      </c>
      <c r="E18" s="133">
        <f>IF(SER_hh_fec_in!E18=0,0,11630*1000*SER_hh_fec_in!E18/SER_hh_num_in!E18)</f>
        <v>7471.8300812068164</v>
      </c>
      <c r="F18" s="133">
        <f>IF(SER_hh_fec_in!F18=0,0,11630*1000*SER_hh_fec_in!F18/SER_hh_num_in!F18)</f>
        <v>7135.9624233802951</v>
      </c>
      <c r="G18" s="133">
        <f>IF(SER_hh_fec_in!G18=0,0,11630*1000*SER_hh_fec_in!G18/SER_hh_num_in!G18)</f>
        <v>6746.7333372376979</v>
      </c>
      <c r="H18" s="133">
        <f>IF(SER_hh_fec_in!H18=0,0,11630*1000*SER_hh_fec_in!H18/SER_hh_num_in!H18)</f>
        <v>6568.7369728083695</v>
      </c>
      <c r="I18" s="133">
        <f>IF(SER_hh_fec_in!I18=0,0,11630*1000*SER_hh_fec_in!I18/SER_hh_num_in!I18)</f>
        <v>6419.7687038282857</v>
      </c>
      <c r="J18" s="133">
        <f>IF(SER_hh_fec_in!J18=0,0,11630*1000*SER_hh_fec_in!J18/SER_hh_num_in!J18)</f>
        <v>6036.2560459715041</v>
      </c>
      <c r="K18" s="133">
        <f>IF(SER_hh_fec_in!K18=0,0,11630*1000*SER_hh_fec_in!K18/SER_hh_num_in!K18)</f>
        <v>5710.3780467546885</v>
      </c>
      <c r="L18" s="133">
        <f>IF(SER_hh_fec_in!L18=0,0,11630*1000*SER_hh_fec_in!L18/SER_hh_num_in!L18)</f>
        <v>5466.9081681385833</v>
      </c>
      <c r="M18" s="133">
        <f>IF(SER_hh_fec_in!M18=0,0,11630*1000*SER_hh_fec_in!M18/SER_hh_num_in!M18)</f>
        <v>5139.0849517242214</v>
      </c>
      <c r="N18" s="133">
        <f>IF(SER_hh_fec_in!N18=0,0,11630*1000*SER_hh_fec_in!N18/SER_hh_num_in!N18)</f>
        <v>4887.29141753774</v>
      </c>
      <c r="O18" s="133">
        <f>IF(SER_hh_fec_in!O18=0,0,11630*1000*SER_hh_fec_in!O18/SER_hh_num_in!O18)</f>
        <v>4476.3331465867941</v>
      </c>
      <c r="P18" s="133">
        <f>IF(SER_hh_fec_in!P18=0,0,11630*1000*SER_hh_fec_in!P18/SER_hh_num_in!P18)</f>
        <v>4235.3355319111306</v>
      </c>
      <c r="Q18" s="133">
        <f>IF(SER_hh_fec_in!Q18=0,0,11630*1000*SER_hh_fec_in!Q18/SER_hh_num_in!Q18)</f>
        <v>3925.2320030227806</v>
      </c>
      <c r="R18" s="133">
        <f>IF(SER_hh_fec_in!R18=0,0,11630*1000*SER_hh_fec_in!R18/SER_hh_num_in!R18)</f>
        <v>3771.8686522623225</v>
      </c>
      <c r="S18" s="133">
        <f>IF(SER_hh_fec_in!S18=0,0,11630*1000*SER_hh_fec_in!S18/SER_hh_num_in!S18)</f>
        <v>3577.9835773523614</v>
      </c>
      <c r="T18" s="133">
        <f>IF(SER_hh_fec_in!T18=0,0,11630*1000*SER_hh_fec_in!T18/SER_hh_num_in!T18)</f>
        <v>3409.7082283417849</v>
      </c>
      <c r="U18" s="133">
        <f>IF(SER_hh_fec_in!U18=0,0,11630*1000*SER_hh_fec_in!U18/SER_hh_num_in!U18)</f>
        <v>3243.7294313526568</v>
      </c>
      <c r="V18" s="133">
        <f>IF(SER_hh_fec_in!V18=0,0,11630*1000*SER_hh_fec_in!V18/SER_hh_num_in!V18)</f>
        <v>3065.2331927435539</v>
      </c>
      <c r="W18" s="133">
        <f>IF(SER_hh_fec_in!W18=0,0,11630*1000*SER_hh_fec_in!W18/SER_hh_num_in!W18)</f>
        <v>2648.5786732294064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36432.176623004292</v>
      </c>
      <c r="D19" s="131">
        <f>IF(SER_hh_fec_in!D19=0,0,11630*1000*SER_hh_fec_in!D19/SER_hh_num_in!D19)</f>
        <v>35541.968240649476</v>
      </c>
      <c r="E19" s="131">
        <f>IF(SER_hh_fec_in!E19=0,0,11630*1000*SER_hh_fec_in!E19/SER_hh_num_in!E19)</f>
        <v>34915.614230441293</v>
      </c>
      <c r="F19" s="131">
        <f>IF(SER_hh_fec_in!F19=0,0,11630*1000*SER_hh_fec_in!F19/SER_hh_num_in!F19)</f>
        <v>34356.98117201998</v>
      </c>
      <c r="G19" s="131">
        <f>IF(SER_hh_fec_in!G19=0,0,11630*1000*SER_hh_fec_in!G19/SER_hh_num_in!G19)</f>
        <v>34061.391363511553</v>
      </c>
      <c r="H19" s="131">
        <f>IF(SER_hh_fec_in!H19=0,0,11630*1000*SER_hh_fec_in!H19/SER_hh_num_in!H19)</f>
        <v>33483.30006234246</v>
      </c>
      <c r="I19" s="131">
        <f>IF(SER_hh_fec_in!I19=0,0,11630*1000*SER_hh_fec_in!I19/SER_hh_num_in!I19)</f>
        <v>32569.091516726356</v>
      </c>
      <c r="J19" s="131">
        <f>IF(SER_hh_fec_in!J19=0,0,11630*1000*SER_hh_fec_in!J19/SER_hh_num_in!J19)</f>
        <v>32715.033278194896</v>
      </c>
      <c r="K19" s="131">
        <f>IF(SER_hh_fec_in!K19=0,0,11630*1000*SER_hh_fec_in!K19/SER_hh_num_in!K19)</f>
        <v>35539.317037935711</v>
      </c>
      <c r="L19" s="131">
        <f>IF(SER_hh_fec_in!L19=0,0,11630*1000*SER_hh_fec_in!L19/SER_hh_num_in!L19)</f>
        <v>35018.90186960499</v>
      </c>
      <c r="M19" s="131">
        <f>IF(SER_hh_fec_in!M19=0,0,11630*1000*SER_hh_fec_in!M19/SER_hh_num_in!M19)</f>
        <v>35051.411840037545</v>
      </c>
      <c r="N19" s="131">
        <f>IF(SER_hh_fec_in!N19=0,0,11630*1000*SER_hh_fec_in!N19/SER_hh_num_in!N19)</f>
        <v>34533.553736332251</v>
      </c>
      <c r="O19" s="131">
        <f>IF(SER_hh_fec_in!O19=0,0,11630*1000*SER_hh_fec_in!O19/SER_hh_num_in!O19)</f>
        <v>32856.170631313194</v>
      </c>
      <c r="P19" s="131">
        <f>IF(SER_hh_fec_in!P19=0,0,11630*1000*SER_hh_fec_in!P19/SER_hh_num_in!P19)</f>
        <v>30834.743872470197</v>
      </c>
      <c r="Q19" s="131">
        <f>IF(SER_hh_fec_in!Q19=0,0,11630*1000*SER_hh_fec_in!Q19/SER_hh_num_in!Q19)</f>
        <v>30158.69332475316</v>
      </c>
      <c r="R19" s="131">
        <f>IF(SER_hh_fec_in!R19=0,0,11630*1000*SER_hh_fec_in!R19/SER_hh_num_in!R19)</f>
        <v>28903.111313310503</v>
      </c>
      <c r="S19" s="131">
        <f>IF(SER_hh_fec_in!S19=0,0,11630*1000*SER_hh_fec_in!S19/SER_hh_num_in!S19)</f>
        <v>28267.903499349832</v>
      </c>
      <c r="T19" s="131">
        <f>IF(SER_hh_fec_in!T19=0,0,11630*1000*SER_hh_fec_in!T19/SER_hh_num_in!T19)</f>
        <v>27391.628496369904</v>
      </c>
      <c r="U19" s="131">
        <f>IF(SER_hh_fec_in!U19=0,0,11630*1000*SER_hh_fec_in!U19/SER_hh_num_in!U19)</f>
        <v>26699.689734048708</v>
      </c>
      <c r="V19" s="131">
        <f>IF(SER_hh_fec_in!V19=0,0,11630*1000*SER_hh_fec_in!V19/SER_hh_num_in!V19)</f>
        <v>25418.641206473752</v>
      </c>
      <c r="W19" s="131">
        <f>IF(SER_hh_fec_in!W19=0,0,11630*1000*SER_hh_fec_in!W19/SER_hh_num_in!W19)</f>
        <v>25160.201104581436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42851.201304287133</v>
      </c>
      <c r="D22" s="133">
        <f>IF(SER_hh_fec_in!D22=0,0,11630*1000*SER_hh_fec_in!D22/SER_hh_num_in!D22)</f>
        <v>42706.829557876044</v>
      </c>
      <c r="E22" s="133">
        <f>IF(SER_hh_fec_in!E22=0,0,11630*1000*SER_hh_fec_in!E22/SER_hh_num_in!E22)</f>
        <v>41121.599083116882</v>
      </c>
      <c r="F22" s="133">
        <f>IF(SER_hh_fec_in!F22=0,0,11630*1000*SER_hh_fec_in!F22/SER_hh_num_in!F22)</f>
        <v>41531.202994101404</v>
      </c>
      <c r="G22" s="133">
        <f>IF(SER_hh_fec_in!G22=0,0,11630*1000*SER_hh_fec_in!G22/SER_hh_num_in!G22)</f>
        <v>40644.502149107837</v>
      </c>
      <c r="H22" s="133">
        <f>IF(SER_hh_fec_in!H22=0,0,11630*1000*SER_hh_fec_in!H22/SER_hh_num_in!H22)</f>
        <v>39323.091015978142</v>
      </c>
      <c r="I22" s="133">
        <f>IF(SER_hh_fec_in!I22=0,0,11630*1000*SER_hh_fec_in!I22/SER_hh_num_in!I22)</f>
        <v>39097.826256095526</v>
      </c>
      <c r="J22" s="133">
        <f>IF(SER_hh_fec_in!J22=0,0,11630*1000*SER_hh_fec_in!J22/SER_hh_num_in!J22)</f>
        <v>39589.235302421926</v>
      </c>
      <c r="K22" s="133">
        <f>IF(SER_hh_fec_in!K22=0,0,11630*1000*SER_hh_fec_in!K22/SER_hh_num_in!K22)</f>
        <v>39883.330552083426</v>
      </c>
      <c r="L22" s="133">
        <f>IF(SER_hh_fec_in!L22=0,0,11630*1000*SER_hh_fec_in!L22/SER_hh_num_in!L22)</f>
        <v>40592.033335801221</v>
      </c>
      <c r="M22" s="133">
        <f>IF(SER_hh_fec_in!M22=0,0,11630*1000*SER_hh_fec_in!M22/SER_hh_num_in!M22)</f>
        <v>40426.301084874642</v>
      </c>
      <c r="N22" s="133">
        <f>IF(SER_hh_fec_in!N22=0,0,11630*1000*SER_hh_fec_in!N22/SER_hh_num_in!N22)</f>
        <v>39242.833651747649</v>
      </c>
      <c r="O22" s="133">
        <f>IF(SER_hh_fec_in!O22=0,0,11630*1000*SER_hh_fec_in!O22/SER_hh_num_in!O22)</f>
        <v>36898.844317296942</v>
      </c>
      <c r="P22" s="133">
        <f>IF(SER_hh_fec_in!P22=0,0,11630*1000*SER_hh_fec_in!P22/SER_hh_num_in!P22)</f>
        <v>35180.07296551414</v>
      </c>
      <c r="Q22" s="133">
        <f>IF(SER_hh_fec_in!Q22=0,0,11630*1000*SER_hh_fec_in!Q22/SER_hh_num_in!Q22)</f>
        <v>32974.307482400545</v>
      </c>
      <c r="R22" s="133">
        <f>IF(SER_hh_fec_in!R22=0,0,11630*1000*SER_hh_fec_in!R22/SER_hh_num_in!R22)</f>
        <v>31542.006531256033</v>
      </c>
      <c r="S22" s="133">
        <f>IF(SER_hh_fec_in!S22=0,0,11630*1000*SER_hh_fec_in!S22/SER_hh_num_in!S22)</f>
        <v>31697.753541467075</v>
      </c>
      <c r="T22" s="133">
        <f>IF(SER_hh_fec_in!T22=0,0,11630*1000*SER_hh_fec_in!T22/SER_hh_num_in!T22)</f>
        <v>29957.205608217213</v>
      </c>
      <c r="U22" s="133">
        <f>IF(SER_hh_fec_in!U22=0,0,11630*1000*SER_hh_fec_in!U22/SER_hh_num_in!U22)</f>
        <v>29515.573126975607</v>
      </c>
      <c r="V22" s="133">
        <f>IF(SER_hh_fec_in!V22=0,0,11630*1000*SER_hh_fec_in!V22/SER_hh_num_in!V22)</f>
        <v>26422.220337931543</v>
      </c>
      <c r="W22" s="133">
        <f>IF(SER_hh_fec_in!W22=0,0,11630*1000*SER_hh_fec_in!W22/SER_hh_num_in!W22)</f>
        <v>27570.269788078382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39271.698653553693</v>
      </c>
      <c r="D23" s="133">
        <f>IF(SER_hh_fec_in!D23=0,0,11630*1000*SER_hh_fec_in!D23/SER_hh_num_in!D23)</f>
        <v>38383.720832007413</v>
      </c>
      <c r="E23" s="133">
        <f>IF(SER_hh_fec_in!E23=0,0,11630*1000*SER_hh_fec_in!E23/SER_hh_num_in!E23)</f>
        <v>37348.329386624864</v>
      </c>
      <c r="F23" s="133">
        <f>IF(SER_hh_fec_in!F23=0,0,11630*1000*SER_hh_fec_in!F23/SER_hh_num_in!F23)</f>
        <v>37239.502167060331</v>
      </c>
      <c r="G23" s="133">
        <f>IF(SER_hh_fec_in!G23=0,0,11630*1000*SER_hh_fec_in!G23/SER_hh_num_in!G23)</f>
        <v>36552.656378475534</v>
      </c>
      <c r="H23" s="133">
        <f>IF(SER_hh_fec_in!H23=0,0,11630*1000*SER_hh_fec_in!H23/SER_hh_num_in!H23)</f>
        <v>35486.079717552668</v>
      </c>
      <c r="I23" s="133">
        <f>IF(SER_hh_fec_in!I23=0,0,11630*1000*SER_hh_fec_in!I23/SER_hh_num_in!I23)</f>
        <v>35482.334452621617</v>
      </c>
      <c r="J23" s="133">
        <f>IF(SER_hh_fec_in!J23=0,0,11630*1000*SER_hh_fec_in!J23/SER_hh_num_in!J23)</f>
        <v>34584.647584405633</v>
      </c>
      <c r="K23" s="133">
        <f>IF(SER_hh_fec_in!K23=0,0,11630*1000*SER_hh_fec_in!K23/SER_hh_num_in!K23)</f>
        <v>35558.362183610581</v>
      </c>
      <c r="L23" s="133">
        <f>IF(SER_hh_fec_in!L23=0,0,11630*1000*SER_hh_fec_in!L23/SER_hh_num_in!L23)</f>
        <v>35497.408495235235</v>
      </c>
      <c r="M23" s="133">
        <f>IF(SER_hh_fec_in!M23=0,0,11630*1000*SER_hh_fec_in!M23/SER_hh_num_in!M23)</f>
        <v>35730.298409392788</v>
      </c>
      <c r="N23" s="133">
        <f>IF(SER_hh_fec_in!N23=0,0,11630*1000*SER_hh_fec_in!N23/SER_hh_num_in!N23)</f>
        <v>34296.743950871009</v>
      </c>
      <c r="O23" s="133">
        <f>IF(SER_hh_fec_in!O23=0,0,11630*1000*SER_hh_fec_in!O23/SER_hh_num_in!O23)</f>
        <v>33227.301468044243</v>
      </c>
      <c r="P23" s="133">
        <f>IF(SER_hh_fec_in!P23=0,0,11630*1000*SER_hh_fec_in!P23/SER_hh_num_in!P23)</f>
        <v>32247.231868094543</v>
      </c>
      <c r="Q23" s="133">
        <f>IF(SER_hh_fec_in!Q23=0,0,11630*1000*SER_hh_fec_in!Q23/SER_hh_num_in!Q23)</f>
        <v>30521.502253289851</v>
      </c>
      <c r="R23" s="133">
        <f>IF(SER_hh_fec_in!R23=0,0,11630*1000*SER_hh_fec_in!R23/SER_hh_num_in!R23)</f>
        <v>30030.724240061867</v>
      </c>
      <c r="S23" s="133">
        <f>IF(SER_hh_fec_in!S23=0,0,11630*1000*SER_hh_fec_in!S23/SER_hh_num_in!S23)</f>
        <v>30280.539974197669</v>
      </c>
      <c r="T23" s="133">
        <f>IF(SER_hh_fec_in!T23=0,0,11630*1000*SER_hh_fec_in!T23/SER_hh_num_in!T23)</f>
        <v>28470.469480335832</v>
      </c>
      <c r="U23" s="133">
        <f>IF(SER_hh_fec_in!U23=0,0,11630*1000*SER_hh_fec_in!U23/SER_hh_num_in!U23)</f>
        <v>28299.323701070902</v>
      </c>
      <c r="V23" s="133">
        <f>IF(SER_hh_fec_in!V23=0,0,11630*1000*SER_hh_fec_in!V23/SER_hh_num_in!V23)</f>
        <v>25773.452514093147</v>
      </c>
      <c r="W23" s="133">
        <f>IF(SER_hh_fec_in!W23=0,0,11630*1000*SER_hh_fec_in!W23/SER_hh_num_in!W23)</f>
        <v>26670.297239420157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33801.51080295923</v>
      </c>
      <c r="D26" s="65">
        <f>IF(SER_hh_fec_in!D26=0,0,11630*1000*SER_hh_fec_in!D26/SER_hh_num_in!D26)</f>
        <v>33237.998309278875</v>
      </c>
      <c r="E26" s="65">
        <f>IF(SER_hh_fec_in!E26=0,0,11630*1000*SER_hh_fec_in!E26/SER_hh_num_in!E26)</f>
        <v>33046.011691829815</v>
      </c>
      <c r="F26" s="65">
        <f>IF(SER_hh_fec_in!F26=0,0,11630*1000*SER_hh_fec_in!F26/SER_hh_num_in!F26)</f>
        <v>32230.162777802208</v>
      </c>
      <c r="G26" s="65">
        <f>IF(SER_hh_fec_in!G26=0,0,11630*1000*SER_hh_fec_in!G26/SER_hh_num_in!G26)</f>
        <v>32675.665191754237</v>
      </c>
      <c r="H26" s="65">
        <f>IF(SER_hh_fec_in!H26=0,0,11630*1000*SER_hh_fec_in!H26/SER_hh_num_in!H26)</f>
        <v>31673.17852900365</v>
      </c>
      <c r="I26" s="65">
        <f>IF(SER_hh_fec_in!I26=0,0,11630*1000*SER_hh_fec_in!I26/SER_hh_num_in!I26)</f>
        <v>31097.064279915972</v>
      </c>
      <c r="J26" s="65">
        <f>IF(SER_hh_fec_in!J26=0,0,11630*1000*SER_hh_fec_in!J26/SER_hh_num_in!J26)</f>
        <v>29516.280240207452</v>
      </c>
      <c r="K26" s="65">
        <f>IF(SER_hh_fec_in!K26=0,0,11630*1000*SER_hh_fec_in!K26/SER_hh_num_in!K26)</f>
        <v>32774.89969463637</v>
      </c>
      <c r="L26" s="65">
        <f>IF(SER_hh_fec_in!L26=0,0,11630*1000*SER_hh_fec_in!L26/SER_hh_num_in!L26)</f>
        <v>27604.425526592921</v>
      </c>
      <c r="M26" s="65">
        <f>IF(SER_hh_fec_in!M26=0,0,11630*1000*SER_hh_fec_in!M26/SER_hh_num_in!M26)</f>
        <v>32489.044697523703</v>
      </c>
      <c r="N26" s="65">
        <f>IF(SER_hh_fec_in!N26=0,0,11630*1000*SER_hh_fec_in!N26/SER_hh_num_in!N26)</f>
        <v>32481.685960385279</v>
      </c>
      <c r="O26" s="65">
        <f>IF(SER_hh_fec_in!O26=0,0,11630*1000*SER_hh_fec_in!O26/SER_hh_num_in!O26)</f>
        <v>31107.619008228969</v>
      </c>
      <c r="P26" s="65">
        <f>IF(SER_hh_fec_in!P26=0,0,11630*1000*SER_hh_fec_in!P26/SER_hh_num_in!P26)</f>
        <v>29403.502687003114</v>
      </c>
      <c r="Q26" s="65">
        <f>IF(SER_hh_fec_in!Q26=0,0,11630*1000*SER_hh_fec_in!Q26/SER_hh_num_in!Q26)</f>
        <v>29636.170145114986</v>
      </c>
      <c r="R26" s="65">
        <f>IF(SER_hh_fec_in!R26=0,0,11630*1000*SER_hh_fec_in!R26/SER_hh_num_in!R26)</f>
        <v>28268.227215692616</v>
      </c>
      <c r="S26" s="65">
        <f>IF(SER_hh_fec_in!S26=0,0,11630*1000*SER_hh_fec_in!S26/SER_hh_num_in!S26)</f>
        <v>27170.809707641321</v>
      </c>
      <c r="T26" s="65">
        <f>IF(SER_hh_fec_in!T26=0,0,11630*1000*SER_hh_fec_in!T26/SER_hh_num_in!T26)</f>
        <v>26996.116243260007</v>
      </c>
      <c r="U26" s="65">
        <f>IF(SER_hh_fec_in!U26=0,0,11630*1000*SER_hh_fec_in!U26/SER_hh_num_in!U26)</f>
        <v>26158.182953887994</v>
      </c>
      <c r="V26" s="65">
        <f>IF(SER_hh_fec_in!V26=0,0,11630*1000*SER_hh_fec_in!V26/SER_hh_num_in!V26)</f>
        <v>25030.490739484729</v>
      </c>
      <c r="W26" s="65">
        <f>IF(SER_hh_fec_in!W26=0,0,11630*1000*SER_hh_fec_in!W26/SER_hh_num_in!W26)</f>
        <v>24193.636015910575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257.62586757198619</v>
      </c>
      <c r="I27" s="146">
        <f>IF(SER_hh_fec_in!I27=0,0,11630*1000*SER_hh_fec_in!I27/SER_hh_num_in!I19)</f>
        <v>21.452453335457715</v>
      </c>
      <c r="J27" s="146">
        <f>IF(SER_hh_fec_in!J27=0,0,11630*1000*SER_hh_fec_in!J27/SER_hh_num_in!J19)</f>
        <v>704.74463125718898</v>
      </c>
      <c r="K27" s="146">
        <f>IF(SER_hh_fec_in!K27=0,0,11630*1000*SER_hh_fec_in!K27/SER_hh_num_in!K19)</f>
        <v>29.062553360338839</v>
      </c>
      <c r="L27" s="146">
        <f>IF(SER_hh_fec_in!L27=0,0,11630*1000*SER_hh_fec_in!L27/SER_hh_num_in!L19)</f>
        <v>2365.1940389683259</v>
      </c>
      <c r="M27" s="146">
        <f>IF(SER_hh_fec_in!M27=0,0,11630*1000*SER_hh_fec_in!M27/SER_hh_num_in!M19)</f>
        <v>267.7125557980699</v>
      </c>
      <c r="N27" s="146">
        <f>IF(SER_hh_fec_in!N27=0,0,11630*1000*SER_hh_fec_in!N27/SER_hh_num_in!N19)</f>
        <v>43.495536612469301</v>
      </c>
      <c r="O27" s="146">
        <f>IF(SER_hh_fec_in!O27=0,0,11630*1000*SER_hh_fec_in!O27/SER_hh_num_in!O19)</f>
        <v>63.520157643789567</v>
      </c>
      <c r="P27" s="146">
        <f>IF(SER_hh_fec_in!P27=0,0,11630*1000*SER_hh_fec_in!P27/SER_hh_num_in!P19)</f>
        <v>50.101453868365311</v>
      </c>
      <c r="Q27" s="146">
        <f>IF(SER_hh_fec_in!Q27=0,0,11630*1000*SER_hh_fec_in!Q27/SER_hh_num_in!Q19)</f>
        <v>1.4422713096927166E-12</v>
      </c>
      <c r="R27" s="146">
        <f>IF(SER_hh_fec_in!R27=0,0,11630*1000*SER_hh_fec_in!R27/SER_hh_num_in!R19)</f>
        <v>37.781184220511619</v>
      </c>
      <c r="S27" s="146">
        <f>IF(SER_hh_fec_in!S27=0,0,11630*1000*SER_hh_fec_in!S27/SER_hh_num_in!S19)</f>
        <v>65.398048051014285</v>
      </c>
      <c r="T27" s="146">
        <f>IF(SER_hh_fec_in!T27=0,0,11630*1000*SER_hh_fec_in!T27/SER_hh_num_in!T19)</f>
        <v>73.073982542163847</v>
      </c>
      <c r="U27" s="146">
        <f>IF(SER_hh_fec_in!U27=0,0,11630*1000*SER_hh_fec_in!U27/SER_hh_num_in!U19)</f>
        <v>108.22241047819236</v>
      </c>
      <c r="V27" s="146">
        <f>IF(SER_hh_fec_in!V27=0,0,11630*1000*SER_hh_fec_in!V27/SER_hh_num_in!V19)</f>
        <v>274.34081305409649</v>
      </c>
      <c r="W27" s="146">
        <f>IF(SER_hh_fec_in!W27=0,0,11630*1000*SER_hh_fec_in!W27/SER_hh_num_in!W19)</f>
        <v>191.97135200581283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4966.9312841924238</v>
      </c>
      <c r="I28" s="147">
        <f>IF(SER_hh_fec_in!I27=0,0,11630*1000*SER_hh_fec_in!I27/SER_hh_num_in!I27)</f>
        <v>4934.034219226286</v>
      </c>
      <c r="J28" s="147">
        <f>IF(SER_hh_fec_in!J27=0,0,11630*1000*SER_hh_fec_in!J27/SER_hh_num_in!J27)</f>
        <v>5084.9372601814694</v>
      </c>
      <c r="K28" s="147">
        <f>IF(SER_hh_fec_in!K27=0,0,11630*1000*SER_hh_fec_in!K27/SER_hh_num_in!K27)</f>
        <v>5369.2922618864804</v>
      </c>
      <c r="L28" s="147">
        <f>IF(SER_hh_fec_in!L27=0,0,11630*1000*SER_hh_fec_in!L27/SER_hh_num_in!L27)</f>
        <v>5492.8088775111755</v>
      </c>
      <c r="M28" s="147">
        <f>IF(SER_hh_fec_in!M27=0,0,11630*1000*SER_hh_fec_in!M27/SER_hh_num_in!M27)</f>
        <v>5414.0150658973971</v>
      </c>
      <c r="N28" s="147">
        <f>IF(SER_hh_fec_in!N27=0,0,11630*1000*SER_hh_fec_in!N27/SER_hh_num_in!N27)</f>
        <v>5435.5076459300617</v>
      </c>
      <c r="O28" s="147">
        <f>IF(SER_hh_fec_in!O27=0,0,11630*1000*SER_hh_fec_in!O27/SER_hh_num_in!O27)</f>
        <v>5411.6682032726367</v>
      </c>
      <c r="P28" s="147">
        <f>IF(SER_hh_fec_in!P27=0,0,11630*1000*SER_hh_fec_in!P27/SER_hh_num_in!P27)</f>
        <v>5375.3967364250975</v>
      </c>
      <c r="Q28" s="147">
        <f>IF(SER_hh_fec_in!Q27=0,0,11630*1000*SER_hh_fec_in!Q27/SER_hh_num_in!Q27)</f>
        <v>5491.1493830555164</v>
      </c>
      <c r="R28" s="147">
        <f>IF(SER_hh_fec_in!R27=0,0,11630*1000*SER_hh_fec_in!R27/SER_hh_num_in!R27)</f>
        <v>5482.2235666755505</v>
      </c>
      <c r="S28" s="147">
        <f>IF(SER_hh_fec_in!S27=0,0,11630*1000*SER_hh_fec_in!S27/SER_hh_num_in!S27)</f>
        <v>5519.25675575484</v>
      </c>
      <c r="T28" s="147">
        <f>IF(SER_hh_fec_in!T27=0,0,11630*1000*SER_hh_fec_in!T27/SER_hh_num_in!T27)</f>
        <v>5560.8579185574818</v>
      </c>
      <c r="U28" s="147">
        <f>IF(SER_hh_fec_in!U27=0,0,11630*1000*SER_hh_fec_in!U27/SER_hh_num_in!U27)</f>
        <v>5601.0466450423792</v>
      </c>
      <c r="V28" s="147">
        <f>IF(SER_hh_fec_in!V27=0,0,11630*1000*SER_hh_fec_in!V27/SER_hh_num_in!V27)</f>
        <v>5246.7573868446752</v>
      </c>
      <c r="W28" s="147">
        <f>IF(SER_hh_fec_in!W27=0,0,11630*1000*SER_hh_fec_in!W27/SER_hh_num_in!W27)</f>
        <v>5215.7631287460235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36702.360779406132</v>
      </c>
      <c r="D29" s="131">
        <f>IF(SER_hh_fec_in!D29=0,0,11630*1000*SER_hh_fec_in!D29/SER_hh_num_in!D29)</f>
        <v>36315.537903547804</v>
      </c>
      <c r="E29" s="131">
        <f>IF(SER_hh_fec_in!E29=0,0,11630*1000*SER_hh_fec_in!E29/SER_hh_num_in!E29)</f>
        <v>36921.357766400863</v>
      </c>
      <c r="F29" s="131">
        <f>IF(SER_hh_fec_in!F29=0,0,11630*1000*SER_hh_fec_in!F29/SER_hh_num_in!F29)</f>
        <v>37255.217235151365</v>
      </c>
      <c r="G29" s="131">
        <f>IF(SER_hh_fec_in!G29=0,0,11630*1000*SER_hh_fec_in!G29/SER_hh_num_in!G29)</f>
        <v>38335.90347035716</v>
      </c>
      <c r="H29" s="131">
        <f>IF(SER_hh_fec_in!H29=0,0,11630*1000*SER_hh_fec_in!H29/SER_hh_num_in!H29)</f>
        <v>37171.293436165251</v>
      </c>
      <c r="I29" s="131">
        <f>IF(SER_hh_fec_in!I29=0,0,11630*1000*SER_hh_fec_in!I29/SER_hh_num_in!I29)</f>
        <v>35650.015584070417</v>
      </c>
      <c r="J29" s="131">
        <f>IF(SER_hh_fec_in!J29=0,0,11630*1000*SER_hh_fec_in!J29/SER_hh_num_in!J29)</f>
        <v>33546.394894217759</v>
      </c>
      <c r="K29" s="131">
        <f>IF(SER_hh_fec_in!K29=0,0,11630*1000*SER_hh_fec_in!K29/SER_hh_num_in!K29)</f>
        <v>35244.542943646818</v>
      </c>
      <c r="L29" s="131">
        <f>IF(SER_hh_fec_in!L29=0,0,11630*1000*SER_hh_fec_in!L29/SER_hh_num_in!L29)</f>
        <v>36915.261820271742</v>
      </c>
      <c r="M29" s="131">
        <f>IF(SER_hh_fec_in!M29=0,0,11630*1000*SER_hh_fec_in!M29/SER_hh_num_in!M29)</f>
        <v>38113.171605421245</v>
      </c>
      <c r="N29" s="131">
        <f>IF(SER_hh_fec_in!N29=0,0,11630*1000*SER_hh_fec_in!N29/SER_hh_num_in!N29)</f>
        <v>38283.72451574789</v>
      </c>
      <c r="O29" s="131">
        <f>IF(SER_hh_fec_in!O29=0,0,11630*1000*SER_hh_fec_in!O29/SER_hh_num_in!O29)</f>
        <v>39541.27065496672</v>
      </c>
      <c r="P29" s="131">
        <f>IF(SER_hh_fec_in!P29=0,0,11630*1000*SER_hh_fec_in!P29/SER_hh_num_in!P29)</f>
        <v>36685.663260530979</v>
      </c>
      <c r="Q29" s="131">
        <f>IF(SER_hh_fec_in!Q29=0,0,11630*1000*SER_hh_fec_in!Q29/SER_hh_num_in!Q29)</f>
        <v>38551.156522566351</v>
      </c>
      <c r="R29" s="131">
        <f>IF(SER_hh_fec_in!R29=0,0,11630*1000*SER_hh_fec_in!R29/SER_hh_num_in!R29)</f>
        <v>36577.714054438584</v>
      </c>
      <c r="S29" s="131">
        <f>IF(SER_hh_fec_in!S29=0,0,11630*1000*SER_hh_fec_in!S29/SER_hh_num_in!S29)</f>
        <v>38358.698800947532</v>
      </c>
      <c r="T29" s="131">
        <f>IF(SER_hh_fec_in!T29=0,0,11630*1000*SER_hh_fec_in!T29/SER_hh_num_in!T29)</f>
        <v>38091.434476288363</v>
      </c>
      <c r="U29" s="131">
        <f>IF(SER_hh_fec_in!U29=0,0,11630*1000*SER_hh_fec_in!U29/SER_hh_num_in!U29)</f>
        <v>36889.338694999373</v>
      </c>
      <c r="V29" s="131">
        <f>IF(SER_hh_fec_in!V29=0,0,11630*1000*SER_hh_fec_in!V29/SER_hh_num_in!V29)</f>
        <v>32538.031417367278</v>
      </c>
      <c r="W29" s="131">
        <f>IF(SER_hh_fec_in!W29=0,0,11630*1000*SER_hh_fec_in!W29/SER_hh_num_in!W29)</f>
        <v>36410.286142747376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42467.076839034744</v>
      </c>
      <c r="D30" s="133">
        <f>IF(SER_hh_fec_in!D30=0,0,11630*1000*SER_hh_fec_in!D30/SER_hh_num_in!D30)</f>
        <v>40951.761753215862</v>
      </c>
      <c r="E30" s="133">
        <f>IF(SER_hh_fec_in!E30=0,0,11630*1000*SER_hh_fec_in!E30/SER_hh_num_in!E30)</f>
        <v>40003.411689669352</v>
      </c>
      <c r="F30" s="133">
        <f>IF(SER_hh_fec_in!F30=0,0,11630*1000*SER_hh_fec_in!F30/SER_hh_num_in!F30)</f>
        <v>39609.128200186868</v>
      </c>
      <c r="G30" s="133">
        <f>IF(SER_hh_fec_in!G30=0,0,11630*1000*SER_hh_fec_in!G30/SER_hh_num_in!G30)</f>
        <v>42191.631979627062</v>
      </c>
      <c r="H30" s="133">
        <f>IF(SER_hh_fec_in!H30=0,0,11630*1000*SER_hh_fec_in!H30/SER_hh_num_in!H30)</f>
        <v>40304.602863686567</v>
      </c>
      <c r="I30" s="133">
        <f>IF(SER_hh_fec_in!I30=0,0,11630*1000*SER_hh_fec_in!I30/SER_hh_num_in!I30)</f>
        <v>39168.298925987205</v>
      </c>
      <c r="J30" s="133">
        <f>IF(SER_hh_fec_in!J30=0,0,11630*1000*SER_hh_fec_in!J30/SER_hh_num_in!J30)</f>
        <v>45234.086534023292</v>
      </c>
      <c r="K30" s="133">
        <f>IF(SER_hh_fec_in!K30=0,0,11630*1000*SER_hh_fec_in!K30/SER_hh_num_in!K30)</f>
        <v>34078.880411788108</v>
      </c>
      <c r="L30" s="133">
        <f>IF(SER_hh_fec_in!L30=0,0,11630*1000*SER_hh_fec_in!L30/SER_hh_num_in!L30)</f>
        <v>43988.762405023946</v>
      </c>
      <c r="M30" s="133">
        <f>IF(SER_hh_fec_in!M30=0,0,11630*1000*SER_hh_fec_in!M30/SER_hh_num_in!M30)</f>
        <v>43346.148041914523</v>
      </c>
      <c r="N30" s="133">
        <f>IF(SER_hh_fec_in!N30=0,0,11630*1000*SER_hh_fec_in!N30/SER_hh_num_in!N30)</f>
        <v>41652.522806824345</v>
      </c>
      <c r="O30" s="133">
        <f>IF(SER_hh_fec_in!O30=0,0,11630*1000*SER_hh_fec_in!O30/SER_hh_num_in!O30)</f>
        <v>48838.773340431559</v>
      </c>
      <c r="P30" s="133">
        <f>IF(SER_hh_fec_in!P30=0,0,11630*1000*SER_hh_fec_in!P30/SER_hh_num_in!P30)</f>
        <v>41392.860904297355</v>
      </c>
      <c r="Q30" s="133">
        <f>IF(SER_hh_fec_in!Q30=0,0,11630*1000*SER_hh_fec_in!Q30/SER_hh_num_in!Q30)</f>
        <v>46283.168743753391</v>
      </c>
      <c r="R30" s="133">
        <f>IF(SER_hh_fec_in!R30=0,0,11630*1000*SER_hh_fec_in!R30/SER_hh_num_in!R30)</f>
        <v>41835.039058754424</v>
      </c>
      <c r="S30" s="133">
        <f>IF(SER_hh_fec_in!S30=0,0,11630*1000*SER_hh_fec_in!S30/SER_hh_num_in!S30)</f>
        <v>43221.872690966993</v>
      </c>
      <c r="T30" s="133">
        <f>IF(SER_hh_fec_in!T30=0,0,11630*1000*SER_hh_fec_in!T30/SER_hh_num_in!T30)</f>
        <v>46786.167805617901</v>
      </c>
      <c r="U30" s="133">
        <f>IF(SER_hh_fec_in!U30=0,0,11630*1000*SER_hh_fec_in!U30/SER_hh_num_in!U30)</f>
        <v>46880.744182382638</v>
      </c>
      <c r="V30" s="133">
        <f>IF(SER_hh_fec_in!V30=0,0,11630*1000*SER_hh_fec_in!V30/SER_hh_num_in!V30)</f>
        <v>39837.183665777753</v>
      </c>
      <c r="W30" s="133">
        <f>IF(SER_hh_fec_in!W30=0,0,11630*1000*SER_hh_fec_in!W30/SER_hh_num_in!W30)</f>
        <v>45919.173855219124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41540.959052761835</v>
      </c>
      <c r="D31" s="133">
        <f>IF(SER_hh_fec_in!D31=0,0,11630*1000*SER_hh_fec_in!D31/SER_hh_num_in!D31)</f>
        <v>40831.373778266672</v>
      </c>
      <c r="E31" s="133">
        <f>IF(SER_hh_fec_in!E31=0,0,11630*1000*SER_hh_fec_in!E31/SER_hh_num_in!E31)</f>
        <v>40281.930738630821</v>
      </c>
      <c r="F31" s="133">
        <f>IF(SER_hh_fec_in!F31=0,0,11630*1000*SER_hh_fec_in!F31/SER_hh_num_in!F31)</f>
        <v>40611.059488657636</v>
      </c>
      <c r="G31" s="133">
        <f>IF(SER_hh_fec_in!G31=0,0,11630*1000*SER_hh_fec_in!G31/SER_hh_num_in!G31)</f>
        <v>40366.870024234799</v>
      </c>
      <c r="H31" s="133">
        <f>IF(SER_hh_fec_in!H31=0,0,11630*1000*SER_hh_fec_in!H31/SER_hh_num_in!H31)</f>
        <v>40431.874205602304</v>
      </c>
      <c r="I31" s="133">
        <f>IF(SER_hh_fec_in!I31=0,0,11630*1000*SER_hh_fec_in!I31/SER_hh_num_in!I31)</f>
        <v>39564.246604290049</v>
      </c>
      <c r="J31" s="133">
        <f>IF(SER_hh_fec_in!J31=0,0,11630*1000*SER_hh_fec_in!J31/SER_hh_num_in!J31)</f>
        <v>39321.796434596276</v>
      </c>
      <c r="K31" s="133">
        <f>IF(SER_hh_fec_in!K31=0,0,11630*1000*SER_hh_fec_in!K31/SER_hh_num_in!K31)</f>
        <v>40273.318213930572</v>
      </c>
      <c r="L31" s="133">
        <f>IF(SER_hh_fec_in!L31=0,0,11630*1000*SER_hh_fec_in!L31/SER_hh_num_in!L31)</f>
        <v>40774.707729078284</v>
      </c>
      <c r="M31" s="133">
        <f>IF(SER_hh_fec_in!M31=0,0,11630*1000*SER_hh_fec_in!M31/SER_hh_num_in!M31)</f>
        <v>42186.055895178652</v>
      </c>
      <c r="N31" s="133">
        <f>IF(SER_hh_fec_in!N31=0,0,11630*1000*SER_hh_fec_in!N31/SER_hh_num_in!N31)</f>
        <v>43609.355445977497</v>
      </c>
      <c r="O31" s="133">
        <f>IF(SER_hh_fec_in!O31=0,0,11630*1000*SER_hh_fec_in!O31/SER_hh_num_in!O31)</f>
        <v>43749.194300544114</v>
      </c>
      <c r="P31" s="133">
        <f>IF(SER_hh_fec_in!P31=0,0,11630*1000*SER_hh_fec_in!P31/SER_hh_num_in!P31)</f>
        <v>43421.408472965988</v>
      </c>
      <c r="Q31" s="133">
        <f>IF(SER_hh_fec_in!Q31=0,0,11630*1000*SER_hh_fec_in!Q31/SER_hh_num_in!Q31)</f>
        <v>44539.58250802246</v>
      </c>
      <c r="R31" s="133">
        <f>IF(SER_hh_fec_in!R31=0,0,11630*1000*SER_hh_fec_in!R31/SER_hh_num_in!R31)</f>
        <v>44482.728750909409</v>
      </c>
      <c r="S31" s="133">
        <f>IF(SER_hh_fec_in!S31=0,0,11630*1000*SER_hh_fec_in!S31/SER_hh_num_in!S31)</f>
        <v>43887.323243768282</v>
      </c>
      <c r="T31" s="133">
        <f>IF(SER_hh_fec_in!T31=0,0,11630*1000*SER_hh_fec_in!T31/SER_hh_num_in!T31)</f>
        <v>44615.354280334417</v>
      </c>
      <c r="U31" s="133">
        <f>IF(SER_hh_fec_in!U31=0,0,11630*1000*SER_hh_fec_in!U31/SER_hh_num_in!U31)</f>
        <v>44646.512276887122</v>
      </c>
      <c r="V31" s="133">
        <f>IF(SER_hh_fec_in!V31=0,0,11630*1000*SER_hh_fec_in!V31/SER_hh_num_in!V31)</f>
        <v>41136.948669558878</v>
      </c>
      <c r="W31" s="133">
        <f>IF(SER_hh_fec_in!W31=0,0,11630*1000*SER_hh_fec_in!W31/SER_hh_num_in!W31)</f>
        <v>44670.809434804374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31179.48699152474</v>
      </c>
      <c r="D33" s="68">
        <f>IF(SER_hh_fec_in!D33=0,0,11630*1000*SER_hh_fec_in!D33/SER_hh_num_in!D33)</f>
        <v>31435.171063373808</v>
      </c>
      <c r="E33" s="68">
        <f>IF(SER_hh_fec_in!E33=0,0,11630*1000*SER_hh_fec_in!E33/SER_hh_num_in!E33)</f>
        <v>31898.465152898967</v>
      </c>
      <c r="F33" s="68">
        <f>IF(SER_hh_fec_in!F33=0,0,11630*1000*SER_hh_fec_in!F33/SER_hh_num_in!F33)</f>
        <v>31757.918853945124</v>
      </c>
      <c r="G33" s="68">
        <f>IF(SER_hh_fec_in!G33=0,0,11630*1000*SER_hh_fec_in!G33/SER_hh_num_in!G33)</f>
        <v>29819.991102330201</v>
      </c>
      <c r="H33" s="68">
        <f>IF(SER_hh_fec_in!H33=0,0,11630*1000*SER_hh_fec_in!H33/SER_hh_num_in!H33)</f>
        <v>30553.123772839343</v>
      </c>
      <c r="I33" s="68">
        <f>IF(SER_hh_fec_in!I33=0,0,11630*1000*SER_hh_fec_in!I33/SER_hh_num_in!I33)</f>
        <v>30799.2929981657</v>
      </c>
      <c r="J33" s="68">
        <f>IF(SER_hh_fec_in!J33=0,0,11630*1000*SER_hh_fec_in!J33/SER_hh_num_in!J33)</f>
        <v>27367.563121365558</v>
      </c>
      <c r="K33" s="68">
        <f>IF(SER_hh_fec_in!K33=0,0,11630*1000*SER_hh_fec_in!K33/SER_hh_num_in!K33)</f>
        <v>33438.6783405073</v>
      </c>
      <c r="L33" s="68">
        <f>IF(SER_hh_fec_in!L33=0,0,11630*1000*SER_hh_fec_in!L33/SER_hh_num_in!L33)</f>
        <v>27786.414446949242</v>
      </c>
      <c r="M33" s="68">
        <f>IF(SER_hh_fec_in!M33=0,0,11630*1000*SER_hh_fec_in!M33/SER_hh_num_in!M33)</f>
        <v>31960.800772283164</v>
      </c>
      <c r="N33" s="68">
        <f>IF(SER_hh_fec_in!N33=0,0,11630*1000*SER_hh_fec_in!N33/SER_hh_num_in!N33)</f>
        <v>34814.376344817487</v>
      </c>
      <c r="O33" s="68">
        <f>IF(SER_hh_fec_in!O33=0,0,11630*1000*SER_hh_fec_in!O33/SER_hh_num_in!O33)</f>
        <v>30003.476418227478</v>
      </c>
      <c r="P33" s="68">
        <f>IF(SER_hh_fec_in!P33=0,0,11630*1000*SER_hh_fec_in!P33/SER_hh_num_in!P33)</f>
        <v>34338.245458466641</v>
      </c>
      <c r="Q33" s="68">
        <f>IF(SER_hh_fec_in!Q33=0,0,11630*1000*SER_hh_fec_in!Q33/SER_hh_num_in!Q33)</f>
        <v>31623.412825970961</v>
      </c>
      <c r="R33" s="68">
        <f>IF(SER_hh_fec_in!R33=0,0,11630*1000*SER_hh_fec_in!R33/SER_hh_num_in!R33)</f>
        <v>33463.976886690965</v>
      </c>
      <c r="S33" s="68">
        <f>IF(SER_hh_fec_in!S33=0,0,11630*1000*SER_hh_fec_in!S33/SER_hh_num_in!S33)</f>
        <v>33141.097477843934</v>
      </c>
      <c r="T33" s="68">
        <f>IF(SER_hh_fec_in!T33=0,0,11630*1000*SER_hh_fec_in!T33/SER_hh_num_in!T33)</f>
        <v>30810.413845017643</v>
      </c>
      <c r="U33" s="68">
        <f>IF(SER_hh_fec_in!U33=0,0,11630*1000*SER_hh_fec_in!U33/SER_hh_num_in!U33)</f>
        <v>30734.20472327204</v>
      </c>
      <c r="V33" s="68">
        <f>IF(SER_hh_fec_in!V33=0,0,11630*1000*SER_hh_fec_in!V33/SER_hh_num_in!V33)</f>
        <v>30225.748008465551</v>
      </c>
      <c r="W33" s="68">
        <f>IF(SER_hh_fec_in!W33=0,0,11630*1000*SER_hh_fec_in!W33/SER_hh_num_in!W33)</f>
        <v>31326.146251397113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187551.92000693729</v>
      </c>
      <c r="D3" s="126">
        <f>IF(SER_hh_tes_in!D3=0,0,11630*1000*SER_hh_tes_in!D3/SER_hh_num_in!D3)</f>
        <v>187746.7381915377</v>
      </c>
      <c r="E3" s="126">
        <f>IF(SER_hh_tes_in!E3=0,0,11630*1000*SER_hh_tes_in!E3/SER_hh_num_in!E3)</f>
        <v>207560.61232428474</v>
      </c>
      <c r="F3" s="126">
        <f>IF(SER_hh_tes_in!F3=0,0,11630*1000*SER_hh_tes_in!F3/SER_hh_num_in!F3)</f>
        <v>192769.72986992318</v>
      </c>
      <c r="G3" s="126">
        <f>IF(SER_hh_tes_in!G3=0,0,11630*1000*SER_hh_tes_in!G3/SER_hh_num_in!G3)</f>
        <v>200060.06568595531</v>
      </c>
      <c r="H3" s="126">
        <f>IF(SER_hh_tes_in!H3=0,0,11630*1000*SER_hh_tes_in!H3/SER_hh_num_in!H3)</f>
        <v>209578.32669958088</v>
      </c>
      <c r="I3" s="126">
        <f>IF(SER_hh_tes_in!I3=0,0,11630*1000*SER_hh_tes_in!I3/SER_hh_num_in!I3)</f>
        <v>197870.15302730395</v>
      </c>
      <c r="J3" s="126">
        <f>IF(SER_hh_tes_in!J3=0,0,11630*1000*SER_hh_tes_in!J3/SER_hh_num_in!J3)</f>
        <v>208001.80404866426</v>
      </c>
      <c r="K3" s="126">
        <f>IF(SER_hh_tes_in!K3=0,0,11630*1000*SER_hh_tes_in!K3/SER_hh_num_in!K3)</f>
        <v>194154.53873422684</v>
      </c>
      <c r="L3" s="126">
        <f>IF(SER_hh_tes_in!L3=0,0,11630*1000*SER_hh_tes_in!L3/SER_hh_num_in!L3)</f>
        <v>195133.27249678288</v>
      </c>
      <c r="M3" s="126">
        <f>IF(SER_hh_tes_in!M3=0,0,11630*1000*SER_hh_tes_in!M3/SER_hh_num_in!M3)</f>
        <v>189157.74924230968</v>
      </c>
      <c r="N3" s="126">
        <f>IF(SER_hh_tes_in!N3=0,0,11630*1000*SER_hh_tes_in!N3/SER_hh_num_in!N3)</f>
        <v>187020.88136105801</v>
      </c>
      <c r="O3" s="126">
        <f>IF(SER_hh_tes_in!O3=0,0,11630*1000*SER_hh_tes_in!O3/SER_hh_num_in!O3)</f>
        <v>188187.11037651717</v>
      </c>
      <c r="P3" s="126">
        <f>IF(SER_hh_tes_in!P3=0,0,11630*1000*SER_hh_tes_in!P3/SER_hh_num_in!P3)</f>
        <v>170422.24227211546</v>
      </c>
      <c r="Q3" s="126">
        <f>IF(SER_hh_tes_in!Q3=0,0,11630*1000*SER_hh_tes_in!Q3/SER_hh_num_in!Q3)</f>
        <v>176644.97925914114</v>
      </c>
      <c r="R3" s="126">
        <f>IF(SER_hh_tes_in!R3=0,0,11630*1000*SER_hh_tes_in!R3/SER_hh_num_in!R3)</f>
        <v>168365.01973177277</v>
      </c>
      <c r="S3" s="126">
        <f>IF(SER_hh_tes_in!S3=0,0,11630*1000*SER_hh_tes_in!S3/SER_hh_num_in!S3)</f>
        <v>159158.16725066182</v>
      </c>
      <c r="T3" s="126">
        <f>IF(SER_hh_tes_in!T3=0,0,11630*1000*SER_hh_tes_in!T3/SER_hh_num_in!T3)</f>
        <v>165636.08716981433</v>
      </c>
      <c r="U3" s="126">
        <f>IF(SER_hh_tes_in!U3=0,0,11630*1000*SER_hh_tes_in!U3/SER_hh_num_in!U3)</f>
        <v>158134.8736315234</v>
      </c>
      <c r="V3" s="126">
        <f>IF(SER_hh_tes_in!V3=0,0,11630*1000*SER_hh_tes_in!V3/SER_hh_num_in!V3)</f>
        <v>138910.22315145607</v>
      </c>
      <c r="W3" s="126">
        <f>IF(SER_hh_tes_in!W3=0,0,11630*1000*SER_hh_tes_in!W3/SER_hh_num_in!W3)</f>
        <v>115259.26855265368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114756.2805494403</v>
      </c>
      <c r="D4" s="131">
        <f>IF(SER_hh_tes_in!D4=0,0,11630*1000*SER_hh_tes_in!D4/SER_hh_num_in!D4)</f>
        <v>115253.44674466325</v>
      </c>
      <c r="E4" s="131">
        <f>IF(SER_hh_tes_in!E4=0,0,11630*1000*SER_hh_tes_in!E4/SER_hh_num_in!E4)</f>
        <v>135622.39505135641</v>
      </c>
      <c r="F4" s="131">
        <f>IF(SER_hh_tes_in!F4=0,0,11630*1000*SER_hh_tes_in!F4/SER_hh_num_in!F4)</f>
        <v>121512.32139154093</v>
      </c>
      <c r="G4" s="131">
        <f>IF(SER_hh_tes_in!G4=0,0,11630*1000*SER_hh_tes_in!G4/SER_hh_num_in!G4)</f>
        <v>128709.85614788452</v>
      </c>
      <c r="H4" s="131">
        <f>IF(SER_hh_tes_in!H4=0,0,11630*1000*SER_hh_tes_in!H4/SER_hh_num_in!H4)</f>
        <v>138811.46085586486</v>
      </c>
      <c r="I4" s="131">
        <f>IF(SER_hh_tes_in!I4=0,0,11630*1000*SER_hh_tes_in!I4/SER_hh_num_in!I4)</f>
        <v>132742.05091639271</v>
      </c>
      <c r="J4" s="131">
        <f>IF(SER_hh_tes_in!J4=0,0,11630*1000*SER_hh_tes_in!J4/SER_hh_num_in!J4)</f>
        <v>138870.90350504636</v>
      </c>
      <c r="K4" s="131">
        <f>IF(SER_hh_tes_in!K4=0,0,11630*1000*SER_hh_tes_in!K4/SER_hh_num_in!K4)</f>
        <v>123253.95225584146</v>
      </c>
      <c r="L4" s="131">
        <f>IF(SER_hh_tes_in!L4=0,0,11630*1000*SER_hh_tes_in!L4/SER_hh_num_in!L4)</f>
        <v>123905.49417094649</v>
      </c>
      <c r="M4" s="131">
        <f>IF(SER_hh_tes_in!M4=0,0,11630*1000*SER_hh_tes_in!M4/SER_hh_num_in!M4)</f>
        <v>117077.08281573746</v>
      </c>
      <c r="N4" s="131">
        <f>IF(SER_hh_tes_in!N4=0,0,11630*1000*SER_hh_tes_in!N4/SER_hh_num_in!N4)</f>
        <v>114240.69429487266</v>
      </c>
      <c r="O4" s="131">
        <f>IF(SER_hh_tes_in!O4=0,0,11630*1000*SER_hh_tes_in!O4/SER_hh_num_in!O4)</f>
        <v>116569.38702544451</v>
      </c>
      <c r="P4" s="131">
        <f>IF(SER_hh_tes_in!P4=0,0,11630*1000*SER_hh_tes_in!P4/SER_hh_num_in!P4)</f>
        <v>98628.630509978422</v>
      </c>
      <c r="Q4" s="131">
        <f>IF(SER_hh_tes_in!Q4=0,0,11630*1000*SER_hh_tes_in!Q4/SER_hh_num_in!Q4)</f>
        <v>105722.8658936482</v>
      </c>
      <c r="R4" s="131">
        <f>IF(SER_hh_tes_in!R4=0,0,11630*1000*SER_hh_tes_in!R4/SER_hh_num_in!R4)</f>
        <v>97686.376082421673</v>
      </c>
      <c r="S4" s="131">
        <f>IF(SER_hh_tes_in!S4=0,0,11630*1000*SER_hh_tes_in!S4/SER_hh_num_in!S4)</f>
        <v>89252.798530291708</v>
      </c>
      <c r="T4" s="131">
        <f>IF(SER_hh_tes_in!T4=0,0,11630*1000*SER_hh_tes_in!T4/SER_hh_num_in!T4)</f>
        <v>96283.44852601162</v>
      </c>
      <c r="U4" s="131">
        <f>IF(SER_hh_tes_in!U4=0,0,11630*1000*SER_hh_tes_in!U4/SER_hh_num_in!U4)</f>
        <v>89527.444375310894</v>
      </c>
      <c r="V4" s="131">
        <f>IF(SER_hh_tes_in!V4=0,0,11630*1000*SER_hh_tes_in!V4/SER_hh_num_in!V4)</f>
        <v>72916.445341205414</v>
      </c>
      <c r="W4" s="131">
        <f>IF(SER_hh_tes_in!W4=0,0,11630*1000*SER_hh_tes_in!W4/SER_hh_num_in!W4)</f>
        <v>50013.315954447557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66202.941278264436</v>
      </c>
      <c r="D5" s="133">
        <f>IF(SER_hh_tes_in!D5=0,0,11630*1000*SER_hh_tes_in!D5/SER_hh_num_in!D5)</f>
        <v>33938.685129638798</v>
      </c>
      <c r="E5" s="133">
        <f>IF(SER_hh_tes_in!E5=0,0,11630*1000*SER_hh_tes_in!E5/SER_hh_num_in!E5)</f>
        <v>185456.01886289171</v>
      </c>
      <c r="F5" s="133">
        <f>IF(SER_hh_tes_in!F5=0,0,11630*1000*SER_hh_tes_in!F5/SER_hh_num_in!F5)</f>
        <v>157550.24866971537</v>
      </c>
      <c r="G5" s="133">
        <f>IF(SER_hh_tes_in!G5=0,0,11630*1000*SER_hh_tes_in!G5/SER_hh_num_in!G5)</f>
        <v>154490.13595241614</v>
      </c>
      <c r="H5" s="133">
        <f>IF(SER_hh_tes_in!H5=0,0,11630*1000*SER_hh_tes_in!H5/SER_hh_num_in!H5)</f>
        <v>154062.0610451042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119255.72244523324</v>
      </c>
      <c r="S5" s="133">
        <f>IF(SER_hh_tes_in!S5=0,0,11630*1000*SER_hh_tes_in!S5/SER_hh_num_in!S5)</f>
        <v>94121.683135756815</v>
      </c>
      <c r="T5" s="133">
        <f>IF(SER_hh_tes_in!T5=0,0,11630*1000*SER_hh_tes_in!T5/SER_hh_num_in!T5)</f>
        <v>100606.09923291541</v>
      </c>
      <c r="U5" s="133">
        <f>IF(SER_hh_tes_in!U5=0,0,11630*1000*SER_hh_tes_in!U5/SER_hh_num_in!U5)</f>
        <v>98742.078718964738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114116.42081733345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137593.42281072921</v>
      </c>
      <c r="K7" s="133">
        <f>IF(SER_hh_tes_in!K7=0,0,11630*1000*SER_hh_tes_in!K7/SER_hh_num_in!K7)</f>
        <v>116598.52061921118</v>
      </c>
      <c r="L7" s="133">
        <f>IF(SER_hh_tes_in!L7=0,0,11630*1000*SER_hh_tes_in!L7/SER_hh_num_in!L7)</f>
        <v>121177.09102059643</v>
      </c>
      <c r="M7" s="133">
        <f>IF(SER_hh_tes_in!M7=0,0,11630*1000*SER_hh_tes_in!M7/SER_hh_num_in!M7)</f>
        <v>108625.6746200395</v>
      </c>
      <c r="N7" s="133">
        <f>IF(SER_hh_tes_in!N7=0,0,11630*1000*SER_hh_tes_in!N7/SER_hh_num_in!N7)</f>
        <v>101342.71836801669</v>
      </c>
      <c r="O7" s="133">
        <f>IF(SER_hh_tes_in!O7=0,0,11630*1000*SER_hh_tes_in!O7/SER_hh_num_in!O7)</f>
        <v>119526.73090546754</v>
      </c>
      <c r="P7" s="133">
        <f>IF(SER_hh_tes_in!P7=0,0,11630*1000*SER_hh_tes_in!P7/SER_hh_num_in!P7)</f>
        <v>102556.75769577261</v>
      </c>
      <c r="Q7" s="133">
        <f>IF(SER_hh_tes_in!Q7=0,0,11630*1000*SER_hh_tes_in!Q7/SER_hh_num_in!Q7)</f>
        <v>104538.77555175332</v>
      </c>
      <c r="R7" s="133">
        <f>IF(SER_hh_tes_in!R7=0,0,11630*1000*SER_hh_tes_in!R7/SER_hh_num_in!R7)</f>
        <v>96276.709176318793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65951.765879495855</v>
      </c>
      <c r="W7" s="133">
        <f>IF(SER_hh_tes_in!W7=0,0,11630*1000*SER_hh_tes_in!W7/SER_hh_num_in!W7)</f>
        <v>52244.994104922742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116512.3404873643</v>
      </c>
      <c r="D9" s="133">
        <f>IF(SER_hh_tes_in!D9=0,0,11630*1000*SER_hh_tes_in!D9/SER_hh_num_in!D9)</f>
        <v>113575.8650294554</v>
      </c>
      <c r="E9" s="133">
        <f>IF(SER_hh_tes_in!E9=0,0,11630*1000*SER_hh_tes_in!E9/SER_hh_num_in!E9)</f>
        <v>120390.57839053673</v>
      </c>
      <c r="F9" s="133">
        <f>IF(SER_hh_tes_in!F9=0,0,11630*1000*SER_hh_tes_in!F9/SER_hh_num_in!F9)</f>
        <v>120617.07284515799</v>
      </c>
      <c r="G9" s="133">
        <f>IF(SER_hh_tes_in!G9=0,0,11630*1000*SER_hh_tes_in!G9/SER_hh_num_in!G9)</f>
        <v>121137.08906695442</v>
      </c>
      <c r="H9" s="133">
        <f>IF(SER_hh_tes_in!H9=0,0,11630*1000*SER_hh_tes_in!H9/SER_hh_num_in!H9)</f>
        <v>132896.43009135855</v>
      </c>
      <c r="I9" s="133">
        <f>IF(SER_hh_tes_in!I9=0,0,11630*1000*SER_hh_tes_in!I9/SER_hh_num_in!I9)</f>
        <v>132981.03162569026</v>
      </c>
      <c r="J9" s="133">
        <f>IF(SER_hh_tes_in!J9=0,0,11630*1000*SER_hh_tes_in!J9/SER_hh_num_in!J9)</f>
        <v>134968.67643687926</v>
      </c>
      <c r="K9" s="133">
        <f>IF(SER_hh_tes_in!K9=0,0,11630*1000*SER_hh_tes_in!K9/SER_hh_num_in!K9)</f>
        <v>119374.64247265599</v>
      </c>
      <c r="L9" s="133">
        <f>IF(SER_hh_tes_in!L9=0,0,11630*1000*SER_hh_tes_in!L9/SER_hh_num_in!L9)</f>
        <v>122432.3793752521</v>
      </c>
      <c r="M9" s="133">
        <f>IF(SER_hh_tes_in!M9=0,0,11630*1000*SER_hh_tes_in!M9/SER_hh_num_in!M9)</f>
        <v>116398.51330601418</v>
      </c>
      <c r="N9" s="133">
        <f>IF(SER_hh_tes_in!N9=0,0,11630*1000*SER_hh_tes_in!N9/SER_hh_num_in!N9)</f>
        <v>120190.80173604554</v>
      </c>
      <c r="O9" s="133">
        <f>IF(SER_hh_tes_in!O9=0,0,11630*1000*SER_hh_tes_in!O9/SER_hh_num_in!O9)</f>
        <v>110300.64448506696</v>
      </c>
      <c r="P9" s="133">
        <f>IF(SER_hh_tes_in!P9=0,0,11630*1000*SER_hh_tes_in!P9/SER_hh_num_in!P9)</f>
        <v>96908.24457030803</v>
      </c>
      <c r="Q9" s="133">
        <f>IF(SER_hh_tes_in!Q9=0,0,11630*1000*SER_hh_tes_in!Q9/SER_hh_num_in!Q9)</f>
        <v>100992.11979550483</v>
      </c>
      <c r="R9" s="133">
        <f>IF(SER_hh_tes_in!R9=0,0,11630*1000*SER_hh_tes_in!R9/SER_hh_num_in!R9)</f>
        <v>95221.924485015174</v>
      </c>
      <c r="S9" s="133">
        <f>IF(SER_hh_tes_in!S9=0,0,11630*1000*SER_hh_tes_in!S9/SER_hh_num_in!S9)</f>
        <v>88643.933878335214</v>
      </c>
      <c r="T9" s="133">
        <f>IF(SER_hh_tes_in!T9=0,0,11630*1000*SER_hh_tes_in!T9/SER_hh_num_in!T9)</f>
        <v>91425.264493451861</v>
      </c>
      <c r="U9" s="133">
        <f>IF(SER_hh_tes_in!U9=0,0,11630*1000*SER_hh_tes_in!U9/SER_hh_num_in!U9)</f>
        <v>82065.05720677496</v>
      </c>
      <c r="V9" s="133">
        <f>IF(SER_hh_tes_in!V9=0,0,11630*1000*SER_hh_tes_in!V9/SER_hh_num_in!V9)</f>
        <v>75490.042558695452</v>
      </c>
      <c r="W9" s="133">
        <f>IF(SER_hh_tes_in!W9=0,0,11630*1000*SER_hh_tes_in!W9/SER_hh_num_in!W9)</f>
        <v>44912.705831371066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25301.201602787627</v>
      </c>
      <c r="H10" s="133">
        <f>IF(SER_hh_tes_in!H10=0,0,11630*1000*SER_hh_tes_in!H10/SER_hh_num_in!H10)</f>
        <v>66543.525627435578</v>
      </c>
      <c r="I10" s="133">
        <f>IF(SER_hh_tes_in!I10=0,0,11630*1000*SER_hh_tes_in!I10/SER_hh_num_in!I10)</f>
        <v>126112.71834940818</v>
      </c>
      <c r="J10" s="133">
        <f>IF(SER_hh_tes_in!J10=0,0,11630*1000*SER_hh_tes_in!J10/SER_hh_num_in!J10)</f>
        <v>153298.94081318373</v>
      </c>
      <c r="K10" s="133">
        <f>IF(SER_hh_tes_in!K10=0,0,11630*1000*SER_hh_tes_in!K10/SER_hh_num_in!K10)</f>
        <v>147492.32541250429</v>
      </c>
      <c r="L10" s="133">
        <f>IF(SER_hh_tes_in!L10=0,0,11630*1000*SER_hh_tes_in!L10/SER_hh_num_in!L10)</f>
        <v>107066.34386599384</v>
      </c>
      <c r="M10" s="133">
        <f>IF(SER_hh_tes_in!M10=0,0,11630*1000*SER_hh_tes_in!M10/SER_hh_num_in!M10)</f>
        <v>114556.35954117989</v>
      </c>
      <c r="N10" s="133">
        <f>IF(SER_hh_tes_in!N10=0,0,11630*1000*SER_hh_tes_in!N10/SER_hh_num_in!N10)</f>
        <v>110864.50443076863</v>
      </c>
      <c r="O10" s="133">
        <f>IF(SER_hh_tes_in!O10=0,0,11630*1000*SER_hh_tes_in!O10/SER_hh_num_in!O10)</f>
        <v>128629.42480865496</v>
      </c>
      <c r="P10" s="133">
        <f>IF(SER_hh_tes_in!P10=0,0,11630*1000*SER_hh_tes_in!P10/SER_hh_num_in!P10)</f>
        <v>133251.45149154001</v>
      </c>
      <c r="Q10" s="133">
        <f>IF(SER_hh_tes_in!Q10=0,0,11630*1000*SER_hh_tes_in!Q10/SER_hh_num_in!Q10)</f>
        <v>76202.336436693105</v>
      </c>
      <c r="R10" s="133">
        <f>IF(SER_hh_tes_in!R10=0,0,11630*1000*SER_hh_tes_in!R10/SER_hh_num_in!R10)</f>
        <v>108136.95908263739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69776.436649906304</v>
      </c>
      <c r="W10" s="133">
        <f>IF(SER_hh_tes_in!W10=0,0,11630*1000*SER_hh_tes_in!W10/SER_hh_num_in!W10)</f>
        <v>68356.85379158672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61322.800956462124</v>
      </c>
      <c r="D13" s="133">
        <f>IF(SER_hh_tes_in!D13=0,0,11630*1000*SER_hh_tes_in!D13/SER_hh_num_in!D13)</f>
        <v>18058.506323633519</v>
      </c>
      <c r="E13" s="133">
        <f>IF(SER_hh_tes_in!E13=0,0,11630*1000*SER_hh_tes_in!E13/SER_hh_num_in!E13)</f>
        <v>92179.270184572277</v>
      </c>
      <c r="F13" s="133">
        <f>IF(SER_hh_tes_in!F13=0,0,11630*1000*SER_hh_tes_in!F13/SER_hh_num_in!F13)</f>
        <v>72627.626325280784</v>
      </c>
      <c r="G13" s="133">
        <f>IF(SER_hh_tes_in!G13=0,0,11630*1000*SER_hh_tes_in!G13/SER_hh_num_in!G13)</f>
        <v>112405.44122239728</v>
      </c>
      <c r="H13" s="133">
        <f>IF(SER_hh_tes_in!H13=0,0,11630*1000*SER_hh_tes_in!H13/SER_hh_num_in!H13)</f>
        <v>130130.26557353212</v>
      </c>
      <c r="I13" s="133">
        <f>IF(SER_hh_tes_in!I13=0,0,11630*1000*SER_hh_tes_in!I13/SER_hh_num_in!I13)</f>
        <v>136526.01663936212</v>
      </c>
      <c r="J13" s="133">
        <f>IF(SER_hh_tes_in!J13=0,0,11630*1000*SER_hh_tes_in!J13/SER_hh_num_in!J13)</f>
        <v>149813.00323621582</v>
      </c>
      <c r="K13" s="133">
        <f>IF(SER_hh_tes_in!K13=0,0,11630*1000*SER_hh_tes_in!K13/SER_hh_num_in!K13)</f>
        <v>132502.12082741389</v>
      </c>
      <c r="L13" s="133">
        <f>IF(SER_hh_tes_in!L13=0,0,11630*1000*SER_hh_tes_in!L13/SER_hh_num_in!L13)</f>
        <v>121405.11275823743</v>
      </c>
      <c r="M13" s="133">
        <f>IF(SER_hh_tes_in!M13=0,0,11630*1000*SER_hh_tes_in!M13/SER_hh_num_in!M13)</f>
        <v>121978.78145429763</v>
      </c>
      <c r="N13" s="133">
        <f>IF(SER_hh_tes_in!N13=0,0,11630*1000*SER_hh_tes_in!N13/SER_hh_num_in!N13)</f>
        <v>115820.33377360241</v>
      </c>
      <c r="O13" s="133">
        <f>IF(SER_hh_tes_in!O13=0,0,11630*1000*SER_hh_tes_in!O13/SER_hh_num_in!O13)</f>
        <v>108687.34405966217</v>
      </c>
      <c r="P13" s="133">
        <f>IF(SER_hh_tes_in!P13=0,0,11630*1000*SER_hh_tes_in!P13/SER_hh_num_in!P13)</f>
        <v>101860.93218007214</v>
      </c>
      <c r="Q13" s="133">
        <f>IF(SER_hh_tes_in!Q13=0,0,11630*1000*SER_hh_tes_in!Q13/SER_hh_num_in!Q13)</f>
        <v>99848.702876024865</v>
      </c>
      <c r="R13" s="133">
        <f>IF(SER_hh_tes_in!R13=0,0,11630*1000*SER_hh_tes_in!R13/SER_hh_num_in!R13)</f>
        <v>98956.246955075389</v>
      </c>
      <c r="S13" s="133">
        <f>IF(SER_hh_tes_in!S13=0,0,11630*1000*SER_hh_tes_in!S13/SER_hh_num_in!S13)</f>
        <v>99379.593627257025</v>
      </c>
      <c r="T13" s="133">
        <f>IF(SER_hh_tes_in!T13=0,0,11630*1000*SER_hh_tes_in!T13/SER_hh_num_in!T13)</f>
        <v>89665.340733836376</v>
      </c>
      <c r="U13" s="133">
        <f>IF(SER_hh_tes_in!U13=0,0,11630*1000*SER_hh_tes_in!U13/SER_hh_num_in!U13)</f>
        <v>83621.285745343455</v>
      </c>
      <c r="V13" s="133">
        <f>IF(SER_hh_tes_in!V13=0,0,11630*1000*SER_hh_tes_in!V13/SER_hh_num_in!V13)</f>
        <v>73602.88222180774</v>
      </c>
      <c r="W13" s="133">
        <f>IF(SER_hh_tes_in!W13=0,0,11630*1000*SER_hh_tes_in!W13/SER_hh_num_in!W13)</f>
        <v>54552.357662947674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113747.31825427129</v>
      </c>
      <c r="D14" s="65">
        <f>IF(SER_hh_tes_in!D14=0,0,11630*1000*SER_hh_tes_in!D14/SER_hh_num_in!D14)</f>
        <v>120549.68318754761</v>
      </c>
      <c r="E14" s="65">
        <f>IF(SER_hh_tes_in!E14=0,0,11630*1000*SER_hh_tes_in!E14/SER_hh_num_in!E14)</f>
        <v>131290.20742135457</v>
      </c>
      <c r="F14" s="65">
        <f>IF(SER_hh_tes_in!F14=0,0,11630*1000*SER_hh_tes_in!F14/SER_hh_num_in!F14)</f>
        <v>119406.10695799769</v>
      </c>
      <c r="G14" s="65">
        <f>IF(SER_hh_tes_in!G14=0,0,11630*1000*SER_hh_tes_in!G14/SER_hh_num_in!G14)</f>
        <v>131886.06401154961</v>
      </c>
      <c r="H14" s="65">
        <f>IF(SER_hh_tes_in!H14=0,0,11630*1000*SER_hh_tes_in!H14/SER_hh_num_in!H14)</f>
        <v>142772.1789736085</v>
      </c>
      <c r="I14" s="65">
        <f>IF(SER_hh_tes_in!I14=0,0,11630*1000*SER_hh_tes_in!I14/SER_hh_num_in!I14)</f>
        <v>131782.79896745554</v>
      </c>
      <c r="J14" s="65">
        <f>IF(SER_hh_tes_in!J14=0,0,11630*1000*SER_hh_tes_in!J14/SER_hh_num_in!J14)</f>
        <v>137816.86532238653</v>
      </c>
      <c r="K14" s="65">
        <f>IF(SER_hh_tes_in!K14=0,0,11630*1000*SER_hh_tes_in!K14/SER_hh_num_in!K14)</f>
        <v>129978.52384302198</v>
      </c>
      <c r="L14" s="65">
        <f>IF(SER_hh_tes_in!L14=0,0,11630*1000*SER_hh_tes_in!L14/SER_hh_num_in!L14)</f>
        <v>125086.78598074871</v>
      </c>
      <c r="M14" s="65">
        <f>IF(SER_hh_tes_in!M14=0,0,11630*1000*SER_hh_tes_in!M14/SER_hh_num_in!M14)</f>
        <v>120922.56720515147</v>
      </c>
      <c r="N14" s="65">
        <f>IF(SER_hh_tes_in!N14=0,0,11630*1000*SER_hh_tes_in!N14/SER_hh_num_in!N14)</f>
        <v>115954.12107528359</v>
      </c>
      <c r="O14" s="65">
        <f>IF(SER_hh_tes_in!O14=0,0,11630*1000*SER_hh_tes_in!O14/SER_hh_num_in!O14)</f>
        <v>113557.8566096545</v>
      </c>
      <c r="P14" s="65">
        <f>IF(SER_hh_tes_in!P14=0,0,11630*1000*SER_hh_tes_in!P14/SER_hh_num_in!P14)</f>
        <v>94029.557792418898</v>
      </c>
      <c r="Q14" s="65">
        <f>IF(SER_hh_tes_in!Q14=0,0,11630*1000*SER_hh_tes_in!Q14/SER_hh_num_in!Q14)</f>
        <v>107783.8228476301</v>
      </c>
      <c r="R14" s="65">
        <f>IF(SER_hh_tes_in!R14=0,0,11630*1000*SER_hh_tes_in!R14/SER_hh_num_in!R14)</f>
        <v>97877.860184573918</v>
      </c>
      <c r="S14" s="65">
        <f>IF(SER_hh_tes_in!S14=0,0,11630*1000*SER_hh_tes_in!S14/SER_hh_num_in!S14)</f>
        <v>88122.407760895861</v>
      </c>
      <c r="T14" s="65">
        <f>IF(SER_hh_tes_in!T14=0,0,11630*1000*SER_hh_tes_in!T14/SER_hh_num_in!T14)</f>
        <v>98500.833025973116</v>
      </c>
      <c r="U14" s="65">
        <f>IF(SER_hh_tes_in!U14=0,0,11630*1000*SER_hh_tes_in!U14/SER_hh_num_in!U14)</f>
        <v>96916.919488771979</v>
      </c>
      <c r="V14" s="65">
        <f>IF(SER_hh_tes_in!V14=0,0,11630*1000*SER_hh_tes_in!V14/SER_hh_num_in!V14)</f>
        <v>68873.77470409438</v>
      </c>
      <c r="W14" s="65">
        <f>IF(SER_hh_tes_in!W14=0,0,11630*1000*SER_hh_tes_in!W14/SER_hh_num_in!W14)</f>
        <v>53836.463826348452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2225.5640936601908</v>
      </c>
      <c r="D15" s="135">
        <f>IF(SER_hh_tes_in!D15=0,0,11630*1000*SER_hh_tes_in!D15/SER_hh_num_in!D15)</f>
        <v>1737.8073179981395</v>
      </c>
      <c r="E15" s="135">
        <f>IF(SER_hh_tes_in!E15=0,0,11630*1000*SER_hh_tes_in!E15/SER_hh_num_in!E15)</f>
        <v>2071.7709208273736</v>
      </c>
      <c r="F15" s="135">
        <f>IF(SER_hh_tes_in!F15=0,0,11630*1000*SER_hh_tes_in!F15/SER_hh_num_in!F15)</f>
        <v>2129.4149357599254</v>
      </c>
      <c r="G15" s="135">
        <f>IF(SER_hh_tes_in!G15=0,0,11630*1000*SER_hh_tes_in!G15/SER_hh_num_in!G15)</f>
        <v>2105.7753839414067</v>
      </c>
      <c r="H15" s="135">
        <f>IF(SER_hh_tes_in!H15=0,0,11630*1000*SER_hh_tes_in!H15/SER_hh_num_in!H15)</f>
        <v>2274.0455174133972</v>
      </c>
      <c r="I15" s="135">
        <f>IF(SER_hh_tes_in!I15=0,0,11630*1000*SER_hh_tes_in!I15/SER_hh_num_in!I15)</f>
        <v>2238.1863149023293</v>
      </c>
      <c r="J15" s="135">
        <f>IF(SER_hh_tes_in!J15=0,0,11630*1000*SER_hh_tes_in!J15/SER_hh_num_in!J15)</f>
        <v>2290.3783320265006</v>
      </c>
      <c r="K15" s="135">
        <f>IF(SER_hh_tes_in!K15=0,0,11630*1000*SER_hh_tes_in!K15/SER_hh_num_in!K15)</f>
        <v>1998.7359673624674</v>
      </c>
      <c r="L15" s="135">
        <f>IF(SER_hh_tes_in!L15=0,0,11630*1000*SER_hh_tes_in!L15/SER_hh_num_in!L15)</f>
        <v>2049.9629240499303</v>
      </c>
      <c r="M15" s="135">
        <f>IF(SER_hh_tes_in!M15=0,0,11630*1000*SER_hh_tes_in!M15/SER_hh_num_in!M15)</f>
        <v>1879.3893166102544</v>
      </c>
      <c r="N15" s="135">
        <f>IF(SER_hh_tes_in!N15=0,0,11630*1000*SER_hh_tes_in!N15/SER_hh_num_in!N15)</f>
        <v>1833.8498369385334</v>
      </c>
      <c r="O15" s="135">
        <f>IF(SER_hh_tes_in!O15=0,0,11630*1000*SER_hh_tes_in!O15/SER_hh_num_in!O15)</f>
        <v>1886.3921583614056</v>
      </c>
      <c r="P15" s="135">
        <f>IF(SER_hh_tes_in!P15=0,0,11630*1000*SER_hh_tes_in!P15/SER_hh_num_in!P15)</f>
        <v>1615.0632715222118</v>
      </c>
      <c r="Q15" s="135">
        <f>IF(SER_hh_tes_in!Q15=0,0,11630*1000*SER_hh_tes_in!Q15/SER_hh_num_in!Q15)</f>
        <v>1640.3004724172176</v>
      </c>
      <c r="R15" s="135">
        <f>IF(SER_hh_tes_in!R15=0,0,11630*1000*SER_hh_tes_in!R15/SER_hh_num_in!R15)</f>
        <v>1528.8802391819243</v>
      </c>
      <c r="S15" s="135">
        <f>IF(SER_hh_tes_in!S15=0,0,11630*1000*SER_hh_tes_in!S15/SER_hh_num_in!S15)</f>
        <v>1423.8779332608228</v>
      </c>
      <c r="T15" s="135">
        <f>IF(SER_hh_tes_in!T15=0,0,11630*1000*SER_hh_tes_in!T15/SER_hh_num_in!T15)</f>
        <v>1461.1538575336676</v>
      </c>
      <c r="U15" s="135">
        <f>IF(SER_hh_tes_in!U15=0,0,11630*1000*SER_hh_tes_in!U15/SER_hh_num_in!U15)</f>
        <v>1304.9443787393111</v>
      </c>
      <c r="V15" s="135">
        <f>IF(SER_hh_tes_in!V15=0,0,11630*1000*SER_hh_tes_in!V15/SER_hh_num_in!V15)</f>
        <v>1197.0983885921528</v>
      </c>
      <c r="W15" s="135">
        <f>IF(SER_hh_tes_in!W15=0,0,11630*1000*SER_hh_tes_in!W15/SER_hh_num_in!W15)</f>
        <v>715.61681903826536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24574.00177636254</v>
      </c>
      <c r="D16" s="131">
        <f>IF(SER_hh_tes_in!D16=0,0,11630*1000*SER_hh_tes_in!D16/SER_hh_num_in!D16)</f>
        <v>24812.597302389913</v>
      </c>
      <c r="E16" s="131">
        <f>IF(SER_hh_tes_in!E16=0,0,11630*1000*SER_hh_tes_in!E16/SER_hh_num_in!E16)</f>
        <v>24654.763600599919</v>
      </c>
      <c r="F16" s="131">
        <f>IF(SER_hh_tes_in!F16=0,0,11630*1000*SER_hh_tes_in!F16/SER_hh_num_in!F16)</f>
        <v>24411.468723429312</v>
      </c>
      <c r="G16" s="131">
        <f>IF(SER_hh_tes_in!G16=0,0,11630*1000*SER_hh_tes_in!G16/SER_hh_num_in!G16)</f>
        <v>23905.36236097783</v>
      </c>
      <c r="H16" s="131">
        <f>IF(SER_hh_tes_in!H16=0,0,11630*1000*SER_hh_tes_in!H16/SER_hh_num_in!H16)</f>
        <v>24085.28326170901</v>
      </c>
      <c r="I16" s="131">
        <f>IF(SER_hh_tes_in!I16=0,0,11630*1000*SER_hh_tes_in!I16/SER_hh_num_in!I16)</f>
        <v>24337.469840974649</v>
      </c>
      <c r="J16" s="131">
        <f>IF(SER_hh_tes_in!J16=0,0,11630*1000*SER_hh_tes_in!J16/SER_hh_num_in!J16)</f>
        <v>23650.760377849474</v>
      </c>
      <c r="K16" s="131">
        <f>IF(SER_hh_tes_in!K16=0,0,11630*1000*SER_hh_tes_in!K16/SER_hh_num_in!K16)</f>
        <v>23116.337289796553</v>
      </c>
      <c r="L16" s="131">
        <f>IF(SER_hh_tes_in!L16=0,0,11630*1000*SER_hh_tes_in!L16/SER_hh_num_in!L16)</f>
        <v>22860.008602790986</v>
      </c>
      <c r="M16" s="131">
        <f>IF(SER_hh_tes_in!M16=0,0,11630*1000*SER_hh_tes_in!M16/SER_hh_num_in!M16)</f>
        <v>22308.021722561829</v>
      </c>
      <c r="N16" s="131">
        <f>IF(SER_hh_tes_in!N16=0,0,11630*1000*SER_hh_tes_in!N16/SER_hh_num_in!N16)</f>
        <v>22156.402018026838</v>
      </c>
      <c r="O16" s="131">
        <f>IF(SER_hh_tes_in!O16=0,0,11630*1000*SER_hh_tes_in!O16/SER_hh_num_in!O16)</f>
        <v>21323.614530785067</v>
      </c>
      <c r="P16" s="131">
        <f>IF(SER_hh_tes_in!P16=0,0,11630*1000*SER_hh_tes_in!P16/SER_hh_num_in!P16)</f>
        <v>21235.393069046029</v>
      </c>
      <c r="Q16" s="131">
        <f>IF(SER_hh_tes_in!Q16=0,0,11630*1000*SER_hh_tes_in!Q16/SER_hh_num_in!Q16)</f>
        <v>20526.708298017937</v>
      </c>
      <c r="R16" s="131">
        <f>IF(SER_hh_tes_in!R16=0,0,11630*1000*SER_hh_tes_in!R16/SER_hh_num_in!R16)</f>
        <v>20233.337616754627</v>
      </c>
      <c r="S16" s="131">
        <f>IF(SER_hh_tes_in!S16=0,0,11630*1000*SER_hh_tes_in!S16/SER_hh_num_in!S16)</f>
        <v>19575.784470823539</v>
      </c>
      <c r="T16" s="131">
        <f>IF(SER_hh_tes_in!T16=0,0,11630*1000*SER_hh_tes_in!T16/SER_hh_num_in!T16)</f>
        <v>18956.977647348627</v>
      </c>
      <c r="U16" s="131">
        <f>IF(SER_hh_tes_in!U16=0,0,11630*1000*SER_hh_tes_in!U16/SER_hh_num_in!U16)</f>
        <v>18297.14315457824</v>
      </c>
      <c r="V16" s="131">
        <f>IF(SER_hh_tes_in!V16=0,0,11630*1000*SER_hh_tes_in!V16/SER_hh_num_in!V16)</f>
        <v>17499.158194840657</v>
      </c>
      <c r="W16" s="131">
        <f>IF(SER_hh_tes_in!W16=0,0,11630*1000*SER_hh_tes_in!W16/SER_hh_num_in!W16)</f>
        <v>15336.744694316303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24575.997448514318</v>
      </c>
      <c r="D17" s="133">
        <f>IF(SER_hh_tes_in!D17=0,0,11630*1000*SER_hh_tes_in!D17/SER_hh_num_in!D17)</f>
        <v>24821.002019032891</v>
      </c>
      <c r="E17" s="133">
        <f>IF(SER_hh_tes_in!E17=0,0,11630*1000*SER_hh_tes_in!E17/SER_hh_num_in!E17)</f>
        <v>24631.501718886189</v>
      </c>
      <c r="F17" s="133">
        <f>IF(SER_hh_tes_in!F17=0,0,11630*1000*SER_hh_tes_in!F17/SER_hh_num_in!F17)</f>
        <v>24439.616824793171</v>
      </c>
      <c r="G17" s="133">
        <f>IF(SER_hh_tes_in!G17=0,0,11630*1000*SER_hh_tes_in!G17/SER_hh_num_in!G17)</f>
        <v>23943.891822761376</v>
      </c>
      <c r="H17" s="133">
        <f>IF(SER_hh_tes_in!H17=0,0,11630*1000*SER_hh_tes_in!H17/SER_hh_num_in!H17)</f>
        <v>24165.687748121167</v>
      </c>
      <c r="I17" s="133">
        <f>IF(SER_hh_tes_in!I17=0,0,11630*1000*SER_hh_tes_in!I17/SER_hh_num_in!I17)</f>
        <v>23963.905129680814</v>
      </c>
      <c r="J17" s="133">
        <f>IF(SER_hh_tes_in!J17=0,0,11630*1000*SER_hh_tes_in!J17/SER_hh_num_in!J17)</f>
        <v>23640.029002999268</v>
      </c>
      <c r="K17" s="133">
        <f>IF(SER_hh_tes_in!K17=0,0,11630*1000*SER_hh_tes_in!K17/SER_hh_num_in!K17)</f>
        <v>23079.606757700501</v>
      </c>
      <c r="L17" s="133">
        <f>IF(SER_hh_tes_in!L17=0,0,11630*1000*SER_hh_tes_in!L17/SER_hh_num_in!L17)</f>
        <v>22810.610988834138</v>
      </c>
      <c r="M17" s="133">
        <f>IF(SER_hh_tes_in!M17=0,0,11630*1000*SER_hh_tes_in!M17/SER_hh_num_in!M17)</f>
        <v>22265.898905423528</v>
      </c>
      <c r="N17" s="133">
        <f>IF(SER_hh_tes_in!N17=0,0,11630*1000*SER_hh_tes_in!N17/SER_hh_num_in!N17)</f>
        <v>22100.478880034691</v>
      </c>
      <c r="O17" s="133">
        <f>IF(SER_hh_tes_in!O17=0,0,11630*1000*SER_hh_tes_in!O17/SER_hh_num_in!O17)</f>
        <v>21330.107448443556</v>
      </c>
      <c r="P17" s="133">
        <f>IF(SER_hh_tes_in!P17=0,0,11630*1000*SER_hh_tes_in!P17/SER_hh_num_in!P17)</f>
        <v>21458.36739860363</v>
      </c>
      <c r="Q17" s="133">
        <f>IF(SER_hh_tes_in!Q17=0,0,11630*1000*SER_hh_tes_in!Q17/SER_hh_num_in!Q17)</f>
        <v>20808.691554771711</v>
      </c>
      <c r="R17" s="133">
        <f>IF(SER_hh_tes_in!R17=0,0,11630*1000*SER_hh_tes_in!R17/SER_hh_num_in!R17)</f>
        <v>20695.895541343791</v>
      </c>
      <c r="S17" s="133">
        <f>IF(SER_hh_tes_in!S17=0,0,11630*1000*SER_hh_tes_in!S17/SER_hh_num_in!S17)</f>
        <v>19995.191500835364</v>
      </c>
      <c r="T17" s="133">
        <f>IF(SER_hh_tes_in!T17=0,0,11630*1000*SER_hh_tes_in!T17/SER_hh_num_in!T17)</f>
        <v>19237.934378105412</v>
      </c>
      <c r="U17" s="133">
        <f>IF(SER_hh_tes_in!U17=0,0,11630*1000*SER_hh_tes_in!U17/SER_hh_num_in!U17)</f>
        <v>18463.384865557382</v>
      </c>
      <c r="V17" s="133">
        <f>IF(SER_hh_tes_in!V17=0,0,11630*1000*SER_hh_tes_in!V17/SER_hh_num_in!V17)</f>
        <v>16159.671889509711</v>
      </c>
      <c r="W17" s="133">
        <f>IF(SER_hh_tes_in!W17=0,0,11630*1000*SER_hh_tes_in!W17/SER_hh_num_in!W17)</f>
        <v>13229.365490237116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24573.995438431983</v>
      </c>
      <c r="D18" s="133">
        <f>IF(SER_hh_tes_in!D18=0,0,11630*1000*SER_hh_tes_in!D18/SER_hh_num_in!D18)</f>
        <v>24812.568672921941</v>
      </c>
      <c r="E18" s="133">
        <f>IF(SER_hh_tes_in!E18=0,0,11630*1000*SER_hh_tes_in!E18/SER_hh_num_in!E18)</f>
        <v>24654.799439040075</v>
      </c>
      <c r="F18" s="133">
        <f>IF(SER_hh_tes_in!F18=0,0,11630*1000*SER_hh_tes_in!F18/SER_hh_num_in!F18)</f>
        <v>24411.334083014335</v>
      </c>
      <c r="G18" s="133">
        <f>IF(SER_hh_tes_in!G18=0,0,11630*1000*SER_hh_tes_in!G18/SER_hh_num_in!G18)</f>
        <v>23905.221241510306</v>
      </c>
      <c r="H18" s="133">
        <f>IF(SER_hh_tes_in!H18=0,0,11630*1000*SER_hh_tes_in!H18/SER_hh_num_in!H18)</f>
        <v>24084.859455889407</v>
      </c>
      <c r="I18" s="133">
        <f>IF(SER_hh_tes_in!I18=0,0,11630*1000*SER_hh_tes_in!I18/SER_hh_num_in!I18)</f>
        <v>24338.716719018485</v>
      </c>
      <c r="J18" s="133">
        <f>IF(SER_hh_tes_in!J18=0,0,11630*1000*SER_hh_tes_in!J18/SER_hh_num_in!J18)</f>
        <v>23650.786834431863</v>
      </c>
      <c r="K18" s="133">
        <f>IF(SER_hh_tes_in!K18=0,0,11630*1000*SER_hh_tes_in!K18/SER_hh_num_in!K18)</f>
        <v>23116.575838161589</v>
      </c>
      <c r="L18" s="133">
        <f>IF(SER_hh_tes_in!L18=0,0,11630*1000*SER_hh_tes_in!L18/SER_hh_num_in!L18)</f>
        <v>22860.244313412313</v>
      </c>
      <c r="M18" s="133">
        <f>IF(SER_hh_tes_in!M18=0,0,11630*1000*SER_hh_tes_in!M18/SER_hh_num_in!M18)</f>
        <v>22308.248003550158</v>
      </c>
      <c r="N18" s="133">
        <f>IF(SER_hh_tes_in!N18=0,0,11630*1000*SER_hh_tes_in!N18/SER_hh_num_in!N18)</f>
        <v>22156.800201042694</v>
      </c>
      <c r="O18" s="133">
        <f>IF(SER_hh_tes_in!O18=0,0,11630*1000*SER_hh_tes_in!O18/SER_hh_num_in!O18)</f>
        <v>21323.544807228052</v>
      </c>
      <c r="P18" s="133">
        <f>IF(SER_hh_tes_in!P18=0,0,11630*1000*SER_hh_tes_in!P18/SER_hh_num_in!P18)</f>
        <v>21232.241082450648</v>
      </c>
      <c r="Q18" s="133">
        <f>IF(SER_hh_tes_in!Q18=0,0,11630*1000*SER_hh_tes_in!Q18/SER_hh_num_in!Q18)</f>
        <v>20519.289197269267</v>
      </c>
      <c r="R18" s="133">
        <f>IF(SER_hh_tes_in!R18=0,0,11630*1000*SER_hh_tes_in!R18/SER_hh_num_in!R18)</f>
        <v>20224.953061423927</v>
      </c>
      <c r="S18" s="133">
        <f>IF(SER_hh_tes_in!S18=0,0,11630*1000*SER_hh_tes_in!S18/SER_hh_num_in!S18)</f>
        <v>19568.419007065804</v>
      </c>
      <c r="T18" s="133">
        <f>IF(SER_hh_tes_in!T18=0,0,11630*1000*SER_hh_tes_in!T18/SER_hh_num_in!T18)</f>
        <v>18953.131554771451</v>
      </c>
      <c r="U18" s="133">
        <f>IF(SER_hh_tes_in!U18=0,0,11630*1000*SER_hh_tes_in!U18/SER_hh_num_in!U18)</f>
        <v>18294.698957809007</v>
      </c>
      <c r="V18" s="133">
        <f>IF(SER_hh_tes_in!V18=0,0,11630*1000*SER_hh_tes_in!V18/SER_hh_num_in!V18)</f>
        <v>17542.508460347362</v>
      </c>
      <c r="W18" s="133">
        <f>IF(SER_hh_tes_in!W18=0,0,11630*1000*SER_hh_tes_in!W18/SER_hh_num_in!W18)</f>
        <v>15373.288360248414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23495.716720992408</v>
      </c>
      <c r="D19" s="131">
        <f>IF(SER_hh_tes_in!D19=0,0,11630*1000*SER_hh_tes_in!D19/SER_hh_num_in!D19)</f>
        <v>23219.948318258466</v>
      </c>
      <c r="E19" s="131">
        <f>IF(SER_hh_tes_in!E19=0,0,11630*1000*SER_hh_tes_in!E19/SER_hh_num_in!E19)</f>
        <v>23003.103879869432</v>
      </c>
      <c r="F19" s="131">
        <f>IF(SER_hh_tes_in!F19=0,0,11630*1000*SER_hh_tes_in!F19/SER_hh_num_in!F19)</f>
        <v>22749.535556926767</v>
      </c>
      <c r="G19" s="131">
        <f>IF(SER_hh_tes_in!G19=0,0,11630*1000*SER_hh_tes_in!G19/SER_hh_num_in!G19)</f>
        <v>22944.824452673445</v>
      </c>
      <c r="H19" s="131">
        <f>IF(SER_hh_tes_in!H19=0,0,11630*1000*SER_hh_tes_in!H19/SER_hh_num_in!H19)</f>
        <v>22615.464639373564</v>
      </c>
      <c r="I19" s="131">
        <f>IF(SER_hh_tes_in!I19=0,0,11630*1000*SER_hh_tes_in!I19/SER_hh_num_in!I19)</f>
        <v>22187.849582893505</v>
      </c>
      <c r="J19" s="131">
        <f>IF(SER_hh_tes_in!J19=0,0,11630*1000*SER_hh_tes_in!J19/SER_hh_num_in!J19)</f>
        <v>22224.497128173745</v>
      </c>
      <c r="K19" s="131">
        <f>IF(SER_hh_tes_in!K19=0,0,11630*1000*SER_hh_tes_in!K19/SER_hh_num_in!K19)</f>
        <v>23275.992032926129</v>
      </c>
      <c r="L19" s="131">
        <f>IF(SER_hh_tes_in!L19=0,0,11630*1000*SER_hh_tes_in!L19/SER_hh_num_in!L19)</f>
        <v>24066.983092225892</v>
      </c>
      <c r="M19" s="131">
        <f>IF(SER_hh_tes_in!M19=0,0,11630*1000*SER_hh_tes_in!M19/SER_hh_num_in!M19)</f>
        <v>24099.139787883287</v>
      </c>
      <c r="N19" s="131">
        <f>IF(SER_hh_tes_in!N19=0,0,11630*1000*SER_hh_tes_in!N19/SER_hh_num_in!N19)</f>
        <v>24008.704146691907</v>
      </c>
      <c r="O19" s="131">
        <f>IF(SER_hh_tes_in!O19=0,0,11630*1000*SER_hh_tes_in!O19/SER_hh_num_in!O19)</f>
        <v>23770.718622182405</v>
      </c>
      <c r="P19" s="131">
        <f>IF(SER_hh_tes_in!P19=0,0,11630*1000*SER_hh_tes_in!P19/SER_hh_num_in!P19)</f>
        <v>23495.162689697103</v>
      </c>
      <c r="Q19" s="131">
        <f>IF(SER_hh_tes_in!Q19=0,0,11630*1000*SER_hh_tes_in!Q19/SER_hh_num_in!Q19)</f>
        <v>23793.729550986289</v>
      </c>
      <c r="R19" s="131">
        <f>IF(SER_hh_tes_in!R19=0,0,11630*1000*SER_hh_tes_in!R19/SER_hh_num_in!R19)</f>
        <v>23448.447497096964</v>
      </c>
      <c r="S19" s="131">
        <f>IF(SER_hh_tes_in!S19=0,0,11630*1000*SER_hh_tes_in!S19/SER_hh_num_in!S19)</f>
        <v>23363.89678261162</v>
      </c>
      <c r="T19" s="131">
        <f>IF(SER_hh_tes_in!T19=0,0,11630*1000*SER_hh_tes_in!T19/SER_hh_num_in!T19)</f>
        <v>23307.187264926499</v>
      </c>
      <c r="U19" s="131">
        <f>IF(SER_hh_tes_in!U19=0,0,11630*1000*SER_hh_tes_in!U19/SER_hh_num_in!U19)</f>
        <v>23113.840020553151</v>
      </c>
      <c r="V19" s="131">
        <f>IF(SER_hh_tes_in!V19=0,0,11630*1000*SER_hh_tes_in!V19/SER_hh_num_in!V19)</f>
        <v>22455.817501229641</v>
      </c>
      <c r="W19" s="131">
        <f>IF(SER_hh_tes_in!W19=0,0,11630*1000*SER_hh_tes_in!W19/SER_hh_num_in!W19)</f>
        <v>22147.442007008722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23555.98802485564</v>
      </c>
      <c r="D22" s="133">
        <f>IF(SER_hh_tes_in!D22=0,0,11630*1000*SER_hh_tes_in!D22/SER_hh_num_in!D22)</f>
        <v>23565.178625942477</v>
      </c>
      <c r="E22" s="133">
        <f>IF(SER_hh_tes_in!E22=0,0,11630*1000*SER_hh_tes_in!E22/SER_hh_num_in!E22)</f>
        <v>22789.847609726654</v>
      </c>
      <c r="F22" s="133">
        <f>IF(SER_hh_tes_in!F22=0,0,11630*1000*SER_hh_tes_in!F22/SER_hh_num_in!F22)</f>
        <v>23119.169053966521</v>
      </c>
      <c r="G22" s="133">
        <f>IF(SER_hh_tes_in!G22=0,0,11630*1000*SER_hh_tes_in!G22/SER_hh_num_in!G22)</f>
        <v>22738.549997303569</v>
      </c>
      <c r="H22" s="133">
        <f>IF(SER_hh_tes_in!H22=0,0,11630*1000*SER_hh_tes_in!H22/SER_hh_num_in!H22)</f>
        <v>22119.729323744745</v>
      </c>
      <c r="I22" s="133">
        <f>IF(SER_hh_tes_in!I22=0,0,11630*1000*SER_hh_tes_in!I22/SER_hh_num_in!I22)</f>
        <v>22126.432900092394</v>
      </c>
      <c r="J22" s="133">
        <f>IF(SER_hh_tes_in!J22=0,0,11630*1000*SER_hh_tes_in!J22/SER_hh_num_in!J22)</f>
        <v>22564.227843341974</v>
      </c>
      <c r="K22" s="133">
        <f>IF(SER_hh_tes_in!K22=0,0,11630*1000*SER_hh_tes_in!K22/SER_hh_num_in!K22)</f>
        <v>22926.73180079693</v>
      </c>
      <c r="L22" s="133">
        <f>IF(SER_hh_tes_in!L22=0,0,11630*1000*SER_hh_tes_in!L22/SER_hh_num_in!L22)</f>
        <v>23569.586364881165</v>
      </c>
      <c r="M22" s="133">
        <f>IF(SER_hh_tes_in!M22=0,0,11630*1000*SER_hh_tes_in!M22/SER_hh_num_in!M22)</f>
        <v>23966.560959463935</v>
      </c>
      <c r="N22" s="133">
        <f>IF(SER_hh_tes_in!N22=0,0,11630*1000*SER_hh_tes_in!N22/SER_hh_num_in!N22)</f>
        <v>24063.169673834509</v>
      </c>
      <c r="O22" s="133">
        <f>IF(SER_hh_tes_in!O22=0,0,11630*1000*SER_hh_tes_in!O22/SER_hh_num_in!O22)</f>
        <v>23730.410835727194</v>
      </c>
      <c r="P22" s="133">
        <f>IF(SER_hh_tes_in!P22=0,0,11630*1000*SER_hh_tes_in!P22/SER_hh_num_in!P22)</f>
        <v>23908.179712674744</v>
      </c>
      <c r="Q22" s="133">
        <f>IF(SER_hh_tes_in!Q22=0,0,11630*1000*SER_hh_tes_in!Q22/SER_hh_num_in!Q22)</f>
        <v>23501.142237215903</v>
      </c>
      <c r="R22" s="133">
        <f>IF(SER_hh_tes_in!R22=0,0,11630*1000*SER_hh_tes_in!R22/SER_hh_num_in!R22)</f>
        <v>23185.273367956197</v>
      </c>
      <c r="S22" s="133">
        <f>IF(SER_hh_tes_in!S22=0,0,11630*1000*SER_hh_tes_in!S22/SER_hh_num_in!S22)</f>
        <v>23982.423997563808</v>
      </c>
      <c r="T22" s="133">
        <f>IF(SER_hh_tes_in!T22=0,0,11630*1000*SER_hh_tes_in!T22/SER_hh_num_in!T22)</f>
        <v>23249.845972206524</v>
      </c>
      <c r="U22" s="133">
        <f>IF(SER_hh_tes_in!U22=0,0,11630*1000*SER_hh_tes_in!U22/SER_hh_num_in!U22)</f>
        <v>23386.845146811425</v>
      </c>
      <c r="V22" s="133">
        <f>IF(SER_hh_tes_in!V22=0,0,11630*1000*SER_hh_tes_in!V22/SER_hh_num_in!V22)</f>
        <v>21247.174694941776</v>
      </c>
      <c r="W22" s="133">
        <f>IF(SER_hh_tes_in!W22=0,0,11630*1000*SER_hh_tes_in!W22/SER_hh_num_in!W22)</f>
        <v>22323.194618673504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23548.033646973025</v>
      </c>
      <c r="D23" s="133">
        <f>IF(SER_hh_tes_in!D23=0,0,11630*1000*SER_hh_tes_in!D23/SER_hh_num_in!D23)</f>
        <v>23237.581806939808</v>
      </c>
      <c r="E23" s="133">
        <f>IF(SER_hh_tes_in!E23=0,0,11630*1000*SER_hh_tes_in!E23/SER_hh_num_in!E23)</f>
        <v>22836.100922856251</v>
      </c>
      <c r="F23" s="133">
        <f>IF(SER_hh_tes_in!F23=0,0,11630*1000*SER_hh_tes_in!F23/SER_hh_num_in!F23)</f>
        <v>22996.066793726404</v>
      </c>
      <c r="G23" s="133">
        <f>IF(SER_hh_tes_in!G23=0,0,11630*1000*SER_hh_tes_in!G23/SER_hh_num_in!G23)</f>
        <v>22802.59929230695</v>
      </c>
      <c r="H23" s="133">
        <f>IF(SER_hh_tes_in!H23=0,0,11630*1000*SER_hh_tes_in!H23/SER_hh_num_in!H23)</f>
        <v>22368.416900017102</v>
      </c>
      <c r="I23" s="133">
        <f>IF(SER_hh_tes_in!I23=0,0,11630*1000*SER_hh_tes_in!I23/SER_hh_num_in!I23)</f>
        <v>22605.932843240778</v>
      </c>
      <c r="J23" s="133">
        <f>IF(SER_hh_tes_in!J23=0,0,11630*1000*SER_hh_tes_in!J23/SER_hh_num_in!J23)</f>
        <v>22282.44154902513</v>
      </c>
      <c r="K23" s="133">
        <f>IF(SER_hh_tes_in!K23=0,0,11630*1000*SER_hh_tes_in!K23/SER_hh_num_in!K23)</f>
        <v>23185.494173283638</v>
      </c>
      <c r="L23" s="133">
        <f>IF(SER_hh_tes_in!L23=0,0,11630*1000*SER_hh_tes_in!L23/SER_hh_num_in!L23)</f>
        <v>23442.442489592409</v>
      </c>
      <c r="M23" s="133">
        <f>IF(SER_hh_tes_in!M23=0,0,11630*1000*SER_hh_tes_in!M23/SER_hh_num_in!M23)</f>
        <v>24047.861713605533</v>
      </c>
      <c r="N23" s="133">
        <f>IF(SER_hh_tes_in!N23=0,0,11630*1000*SER_hh_tes_in!N23/SER_hh_num_in!N23)</f>
        <v>23702.182039680563</v>
      </c>
      <c r="O23" s="133">
        <f>IF(SER_hh_tes_in!O23=0,0,11630*1000*SER_hh_tes_in!O23/SER_hh_num_in!O23)</f>
        <v>23770.586581127984</v>
      </c>
      <c r="P23" s="133">
        <f>IF(SER_hh_tes_in!P23=0,0,11630*1000*SER_hh_tes_in!P23/SER_hh_num_in!P23)</f>
        <v>23981.375902961303</v>
      </c>
      <c r="Q23" s="133">
        <f>IF(SER_hh_tes_in!Q23=0,0,11630*1000*SER_hh_tes_in!Q23/SER_hh_num_in!Q23)</f>
        <v>23464.990910023535</v>
      </c>
      <c r="R23" s="133">
        <f>IF(SER_hh_tes_in!R23=0,0,11630*1000*SER_hh_tes_in!R23/SER_hh_num_in!R23)</f>
        <v>23583.887468037821</v>
      </c>
      <c r="S23" s="133">
        <f>IF(SER_hh_tes_in!S23=0,0,11630*1000*SER_hh_tes_in!S23/SER_hh_num_in!S23)</f>
        <v>24236.597958329508</v>
      </c>
      <c r="T23" s="133">
        <f>IF(SER_hh_tes_in!T23=0,0,11630*1000*SER_hh_tes_in!T23/SER_hh_num_in!T23)</f>
        <v>23164.713167914095</v>
      </c>
      <c r="U23" s="133">
        <f>IF(SER_hh_tes_in!U23=0,0,11630*1000*SER_hh_tes_in!U23/SER_hh_num_in!U23)</f>
        <v>23335.733879105825</v>
      </c>
      <c r="V23" s="133">
        <f>IF(SER_hh_tes_in!V23=0,0,11630*1000*SER_hh_tes_in!V23/SER_hh_num_in!V23)</f>
        <v>21464.518947439858</v>
      </c>
      <c r="W23" s="133">
        <f>IF(SER_hh_tes_in!W23=0,0,11630*1000*SER_hh_tes_in!W23/SER_hh_num_in!W23)</f>
        <v>22324.449990163277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23462.967763657525</v>
      </c>
      <c r="D26" s="65">
        <f>IF(SER_hh_tes_in!D26=0,0,11630*1000*SER_hh_tes_in!D26/SER_hh_num_in!D26)</f>
        <v>23148.138822548339</v>
      </c>
      <c r="E26" s="65">
        <f>IF(SER_hh_tes_in!E26=0,0,11630*1000*SER_hh_tes_in!E26/SER_hh_num_in!E26)</f>
        <v>23096.155705910645</v>
      </c>
      <c r="F26" s="65">
        <f>IF(SER_hh_tes_in!F26=0,0,11630*1000*SER_hh_tes_in!F26/SER_hh_num_in!F26)</f>
        <v>22606.422855396406</v>
      </c>
      <c r="G26" s="65">
        <f>IF(SER_hh_tes_in!G26=0,0,11630*1000*SER_hh_tes_in!G26/SER_hh_num_in!G26)</f>
        <v>23005.845783470606</v>
      </c>
      <c r="H26" s="65">
        <f>IF(SER_hh_tes_in!H26=0,0,11630*1000*SER_hh_tes_in!H26/SER_hh_num_in!H26)</f>
        <v>22389.004534808384</v>
      </c>
      <c r="I26" s="65">
        <f>IF(SER_hh_tes_in!I26=0,0,11630*1000*SER_hh_tes_in!I26/SER_hh_num_in!I26)</f>
        <v>22074.87072183584</v>
      </c>
      <c r="J26" s="65">
        <f>IF(SER_hh_tes_in!J26=0,0,11630*1000*SER_hh_tes_in!J26/SER_hh_num_in!J26)</f>
        <v>21050.869343323371</v>
      </c>
      <c r="K26" s="65">
        <f>IF(SER_hh_tes_in!K26=0,0,11630*1000*SER_hh_tes_in!K26/SER_hh_num_in!K26)</f>
        <v>23498.989937592571</v>
      </c>
      <c r="L26" s="65">
        <f>IF(SER_hh_tes_in!L26=0,0,11630*1000*SER_hh_tes_in!L26/SER_hh_num_in!L26)</f>
        <v>19910.34281934693</v>
      </c>
      <c r="M26" s="65">
        <f>IF(SER_hh_tes_in!M26=0,0,11630*1000*SER_hh_tes_in!M26/SER_hh_num_in!M26)</f>
        <v>23686.015807516356</v>
      </c>
      <c r="N26" s="65">
        <f>IF(SER_hh_tes_in!N26=0,0,11630*1000*SER_hh_tes_in!N26/SER_hh_num_in!N26)</f>
        <v>24088.615627205108</v>
      </c>
      <c r="O26" s="65">
        <f>IF(SER_hh_tes_in!O26=0,0,11630*1000*SER_hh_tes_in!O26/SER_hh_num_in!O26)</f>
        <v>23661.354656177515</v>
      </c>
      <c r="P26" s="65">
        <f>IF(SER_hh_tes_in!P26=0,0,11630*1000*SER_hh_tes_in!P26/SER_hh_num_in!P26)</f>
        <v>23092.781807136682</v>
      </c>
      <c r="Q26" s="65">
        <f>IF(SER_hh_tes_in!Q26=0,0,11630*1000*SER_hh_tes_in!Q26/SER_hh_num_in!Q26)</f>
        <v>23995.140086983323</v>
      </c>
      <c r="R26" s="65">
        <f>IF(SER_hh_tes_in!R26=0,0,11630*1000*SER_hh_tes_in!R26/SER_hh_num_in!R26)</f>
        <v>23379.632484702335</v>
      </c>
      <c r="S26" s="65">
        <f>IF(SER_hh_tes_in!S26=0,0,11630*1000*SER_hh_tes_in!S26/SER_hh_num_in!S26)</f>
        <v>22940.290241310315</v>
      </c>
      <c r="T26" s="65">
        <f>IF(SER_hh_tes_in!T26=0,0,11630*1000*SER_hh_tes_in!T26/SER_hh_num_in!T26)</f>
        <v>23243.689365468515</v>
      </c>
      <c r="U26" s="65">
        <f>IF(SER_hh_tes_in!U26=0,0,11630*1000*SER_hh_tes_in!U26/SER_hh_num_in!U26)</f>
        <v>22932.636807313811</v>
      </c>
      <c r="V26" s="65">
        <f>IF(SER_hh_tes_in!V26=0,0,11630*1000*SER_hh_tes_in!V26/SER_hh_num_in!V26)</f>
        <v>22292.9505273539</v>
      </c>
      <c r="W26" s="65">
        <f>IF(SER_hh_tes_in!W26=0,0,11630*1000*SER_hh_tes_in!W26/SER_hh_num_in!W26)</f>
        <v>21813.129158086722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257.62586757198619</v>
      </c>
      <c r="I27" s="146">
        <f>IF(SER_hh_tes_in!I27=0,0,11630*1000*SER_hh_tes_in!I27/SER_hh_num_in!I19)</f>
        <v>21.452453335457715</v>
      </c>
      <c r="J27" s="146">
        <f>IF(SER_hh_tes_in!J27=0,0,11630*1000*SER_hh_tes_in!J27/SER_hh_num_in!J19)</f>
        <v>704.74463125718898</v>
      </c>
      <c r="K27" s="146">
        <f>IF(SER_hh_tes_in!K27=0,0,11630*1000*SER_hh_tes_in!K27/SER_hh_num_in!K19)</f>
        <v>29.062553360338839</v>
      </c>
      <c r="L27" s="146">
        <f>IF(SER_hh_tes_in!L27=0,0,11630*1000*SER_hh_tes_in!L27/SER_hh_num_in!L19)</f>
        <v>2365.1940389683259</v>
      </c>
      <c r="M27" s="146">
        <f>IF(SER_hh_tes_in!M27=0,0,11630*1000*SER_hh_tes_in!M27/SER_hh_num_in!M19)</f>
        <v>267.7125557980699</v>
      </c>
      <c r="N27" s="146">
        <f>IF(SER_hh_tes_in!N27=0,0,11630*1000*SER_hh_tes_in!N27/SER_hh_num_in!N19)</f>
        <v>43.495536612469301</v>
      </c>
      <c r="O27" s="146">
        <f>IF(SER_hh_tes_in!O27=0,0,11630*1000*SER_hh_tes_in!O27/SER_hh_num_in!O19)</f>
        <v>63.520157643789567</v>
      </c>
      <c r="P27" s="146">
        <f>IF(SER_hh_tes_in!P27=0,0,11630*1000*SER_hh_tes_in!P27/SER_hh_num_in!P19)</f>
        <v>50.101453868365311</v>
      </c>
      <c r="Q27" s="146">
        <f>IF(SER_hh_tes_in!Q27=0,0,11630*1000*SER_hh_tes_in!Q27/SER_hh_num_in!Q19)</f>
        <v>1.4422713096927166E-12</v>
      </c>
      <c r="R27" s="146">
        <f>IF(SER_hh_tes_in!R27=0,0,11630*1000*SER_hh_tes_in!R27/SER_hh_num_in!R19)</f>
        <v>37.781184220511619</v>
      </c>
      <c r="S27" s="146">
        <f>IF(SER_hh_tes_in!S27=0,0,11630*1000*SER_hh_tes_in!S27/SER_hh_num_in!S19)</f>
        <v>65.398048051014285</v>
      </c>
      <c r="T27" s="146">
        <f>IF(SER_hh_tes_in!T27=0,0,11630*1000*SER_hh_tes_in!T27/SER_hh_num_in!T19)</f>
        <v>73.073982542163847</v>
      </c>
      <c r="U27" s="146">
        <f>IF(SER_hh_tes_in!U27=0,0,11630*1000*SER_hh_tes_in!U27/SER_hh_num_in!U19)</f>
        <v>108.22241047819236</v>
      </c>
      <c r="V27" s="146">
        <f>IF(SER_hh_tes_in!V27=0,0,11630*1000*SER_hh_tes_in!V27/SER_hh_num_in!V19)</f>
        <v>274.34081305409649</v>
      </c>
      <c r="W27" s="146">
        <f>IF(SER_hh_tes_in!W27=0,0,11630*1000*SER_hh_tes_in!W27/SER_hh_num_in!W19)</f>
        <v>191.97135200581283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4966.9312841924238</v>
      </c>
      <c r="I28" s="147">
        <f>IF(SER_hh_tes_in!I27=0,0,11630*1000*SER_hh_tes_in!I27/SER_hh_num_in!I27)</f>
        <v>4934.034219226286</v>
      </c>
      <c r="J28" s="147">
        <f>IF(SER_hh_tes_in!J27=0,0,11630*1000*SER_hh_tes_in!J27/SER_hh_num_in!J27)</f>
        <v>5084.9372601814694</v>
      </c>
      <c r="K28" s="147">
        <f>IF(SER_hh_tes_in!K27=0,0,11630*1000*SER_hh_tes_in!K27/SER_hh_num_in!K27)</f>
        <v>5369.2922618864804</v>
      </c>
      <c r="L28" s="147">
        <f>IF(SER_hh_tes_in!L27=0,0,11630*1000*SER_hh_tes_in!L27/SER_hh_num_in!L27)</f>
        <v>5492.8088775111755</v>
      </c>
      <c r="M28" s="147">
        <f>IF(SER_hh_tes_in!M27=0,0,11630*1000*SER_hh_tes_in!M27/SER_hh_num_in!M27)</f>
        <v>5414.0150658973971</v>
      </c>
      <c r="N28" s="147">
        <f>IF(SER_hh_tes_in!N27=0,0,11630*1000*SER_hh_tes_in!N27/SER_hh_num_in!N27)</f>
        <v>5435.5076459300617</v>
      </c>
      <c r="O28" s="147">
        <f>IF(SER_hh_tes_in!O27=0,0,11630*1000*SER_hh_tes_in!O27/SER_hh_num_in!O27)</f>
        <v>5411.6682032726367</v>
      </c>
      <c r="P28" s="147">
        <f>IF(SER_hh_tes_in!P27=0,0,11630*1000*SER_hh_tes_in!P27/SER_hh_num_in!P27)</f>
        <v>5375.3967364250975</v>
      </c>
      <c r="Q28" s="147">
        <f>IF(SER_hh_tes_in!Q27=0,0,11630*1000*SER_hh_tes_in!Q27/SER_hh_num_in!Q27)</f>
        <v>5491.1493830555164</v>
      </c>
      <c r="R28" s="147">
        <f>IF(SER_hh_tes_in!R27=0,0,11630*1000*SER_hh_tes_in!R27/SER_hh_num_in!R27)</f>
        <v>5482.2235666755505</v>
      </c>
      <c r="S28" s="147">
        <f>IF(SER_hh_tes_in!S27=0,0,11630*1000*SER_hh_tes_in!S27/SER_hh_num_in!S27)</f>
        <v>5519.25675575484</v>
      </c>
      <c r="T28" s="147">
        <f>IF(SER_hh_tes_in!T27=0,0,11630*1000*SER_hh_tes_in!T27/SER_hh_num_in!T27)</f>
        <v>5560.8579185574818</v>
      </c>
      <c r="U28" s="147">
        <f>IF(SER_hh_tes_in!U27=0,0,11630*1000*SER_hh_tes_in!U27/SER_hh_num_in!U27)</f>
        <v>5601.0466450423792</v>
      </c>
      <c r="V28" s="147">
        <f>IF(SER_hh_tes_in!V27=0,0,11630*1000*SER_hh_tes_in!V27/SER_hh_num_in!V27)</f>
        <v>5246.7573868446752</v>
      </c>
      <c r="W28" s="147">
        <f>IF(SER_hh_tes_in!W27=0,0,11630*1000*SER_hh_tes_in!W27/SER_hh_num_in!W27)</f>
        <v>5215.7631287460235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24725.920960142052</v>
      </c>
      <c r="D29" s="131">
        <f>IF(SER_hh_tes_in!D29=0,0,11630*1000*SER_hh_tes_in!D29/SER_hh_num_in!D29)</f>
        <v>24460.745826226037</v>
      </c>
      <c r="E29" s="131">
        <f>IF(SER_hh_tes_in!E29=0,0,11630*1000*SER_hh_tes_in!E29/SER_hh_num_in!E29)</f>
        <v>24280.349792459016</v>
      </c>
      <c r="F29" s="131">
        <f>IF(SER_hh_tes_in!F29=0,0,11630*1000*SER_hh_tes_in!F29/SER_hh_num_in!F29)</f>
        <v>24096.404198026201</v>
      </c>
      <c r="G29" s="131">
        <f>IF(SER_hh_tes_in!G29=0,0,11630*1000*SER_hh_tes_in!G29/SER_hh_num_in!G29)</f>
        <v>24500.02272441949</v>
      </c>
      <c r="H29" s="131">
        <f>IF(SER_hh_tes_in!H29=0,0,11630*1000*SER_hh_tes_in!H29/SER_hh_num_in!H29)</f>
        <v>24066.117942633413</v>
      </c>
      <c r="I29" s="131">
        <f>IF(SER_hh_tes_in!I29=0,0,11630*1000*SER_hh_tes_in!I29/SER_hh_num_in!I29)</f>
        <v>23816.145219852904</v>
      </c>
      <c r="J29" s="131">
        <f>IF(SER_hh_tes_in!J29=0,0,11630*1000*SER_hh_tes_in!J29/SER_hh_num_in!J29)</f>
        <v>23255.643037594706</v>
      </c>
      <c r="K29" s="131">
        <f>IF(SER_hh_tes_in!K29=0,0,11630*1000*SER_hh_tes_in!K29/SER_hh_num_in!K29)</f>
        <v>24508.257155662719</v>
      </c>
      <c r="L29" s="131">
        <f>IF(SER_hh_tes_in!L29=0,0,11630*1000*SER_hh_tes_in!L29/SER_hh_num_in!L29)</f>
        <v>24300.786630819483</v>
      </c>
      <c r="M29" s="131">
        <f>IF(SER_hh_tes_in!M29=0,0,11630*1000*SER_hh_tes_in!M29/SER_hh_num_in!M29)</f>
        <v>25673.504916127113</v>
      </c>
      <c r="N29" s="131">
        <f>IF(SER_hh_tes_in!N29=0,0,11630*1000*SER_hh_tes_in!N29/SER_hh_num_in!N29)</f>
        <v>26615.080901466568</v>
      </c>
      <c r="O29" s="131">
        <f>IF(SER_hh_tes_in!O29=0,0,11630*1000*SER_hh_tes_in!O29/SER_hh_num_in!O29)</f>
        <v>26523.390198105171</v>
      </c>
      <c r="P29" s="131">
        <f>IF(SER_hh_tes_in!P29=0,0,11630*1000*SER_hh_tes_in!P29/SER_hh_num_in!P29)</f>
        <v>27063.056003393922</v>
      </c>
      <c r="Q29" s="131">
        <f>IF(SER_hh_tes_in!Q29=0,0,11630*1000*SER_hh_tes_in!Q29/SER_hh_num_in!Q29)</f>
        <v>26601.675516488758</v>
      </c>
      <c r="R29" s="131">
        <f>IF(SER_hh_tes_in!R29=0,0,11630*1000*SER_hh_tes_in!R29/SER_hh_num_in!R29)</f>
        <v>26996.858535499516</v>
      </c>
      <c r="S29" s="131">
        <f>IF(SER_hh_tes_in!S29=0,0,11630*1000*SER_hh_tes_in!S29/SER_hh_num_in!S29)</f>
        <v>26965.687466934938</v>
      </c>
      <c r="T29" s="131">
        <f>IF(SER_hh_tes_in!T29=0,0,11630*1000*SER_hh_tes_in!T29/SER_hh_num_in!T29)</f>
        <v>27088.473731527567</v>
      </c>
      <c r="U29" s="131">
        <f>IF(SER_hh_tes_in!U29=0,0,11630*1000*SER_hh_tes_in!U29/SER_hh_num_in!U29)</f>
        <v>27196.446081081118</v>
      </c>
      <c r="V29" s="131">
        <f>IF(SER_hh_tes_in!V29=0,0,11630*1000*SER_hh_tes_in!V29/SER_hh_num_in!V29)</f>
        <v>26038.802114180347</v>
      </c>
      <c r="W29" s="131">
        <f>IF(SER_hh_tes_in!W29=0,0,11630*1000*SER_hh_tes_in!W29/SER_hh_num_in!W29)</f>
        <v>27761.765896881119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25149.557906850943</v>
      </c>
      <c r="D30" s="133">
        <f>IF(SER_hh_tes_in!D30=0,0,11630*1000*SER_hh_tes_in!D30/SER_hh_num_in!D30)</f>
        <v>24279.319968903641</v>
      </c>
      <c r="E30" s="133">
        <f>IF(SER_hh_tes_in!E30=0,0,11630*1000*SER_hh_tes_in!E30/SER_hh_num_in!E30)</f>
        <v>23743.214543382739</v>
      </c>
      <c r="F30" s="133">
        <f>IF(SER_hh_tes_in!F30=0,0,11630*1000*SER_hh_tes_in!F30/SER_hh_num_in!F30)</f>
        <v>23535.035977112118</v>
      </c>
      <c r="G30" s="133">
        <f>IF(SER_hh_tes_in!G30=0,0,11630*1000*SER_hh_tes_in!G30/SER_hh_num_in!G30)</f>
        <v>25096.675437553964</v>
      </c>
      <c r="H30" s="133">
        <f>IF(SER_hh_tes_in!H30=0,0,11630*1000*SER_hh_tes_in!H30/SER_hh_num_in!H30)</f>
        <v>23999.857817542998</v>
      </c>
      <c r="I30" s="133">
        <f>IF(SER_hh_tes_in!I30=0,0,11630*1000*SER_hh_tes_in!I30/SER_hh_num_in!I30)</f>
        <v>23347.772538532772</v>
      </c>
      <c r="J30" s="133">
        <f>IF(SER_hh_tes_in!J30=0,0,11630*1000*SER_hh_tes_in!J30/SER_hh_num_in!J30)</f>
        <v>26991.094076439033</v>
      </c>
      <c r="K30" s="133">
        <f>IF(SER_hh_tes_in!K30=0,0,11630*1000*SER_hh_tes_in!K30/SER_hh_num_in!K30)</f>
        <v>20354.787172919561</v>
      </c>
      <c r="L30" s="133">
        <f>IF(SER_hh_tes_in!L30=0,0,11630*1000*SER_hh_tes_in!L30/SER_hh_num_in!L30)</f>
        <v>26298.505086687379</v>
      </c>
      <c r="M30" s="133">
        <f>IF(SER_hh_tes_in!M30=0,0,11630*1000*SER_hh_tes_in!M30/SER_hh_num_in!M30)</f>
        <v>25927.417814554141</v>
      </c>
      <c r="N30" s="133">
        <f>IF(SER_hh_tes_in!N30=0,0,11630*1000*SER_hh_tes_in!N30/SER_hh_num_in!N30)</f>
        <v>24914.379030831202</v>
      </c>
      <c r="O30" s="133">
        <f>IF(SER_hh_tes_in!O30=0,0,11630*1000*SER_hh_tes_in!O30/SER_hh_num_in!O30)</f>
        <v>29212.821418946744</v>
      </c>
      <c r="P30" s="133">
        <f>IF(SER_hh_tes_in!P30=0,0,11630*1000*SER_hh_tes_in!P30/SER_hh_num_in!P30)</f>
        <v>24759.062746882992</v>
      </c>
      <c r="Q30" s="133">
        <f>IF(SER_hh_tes_in!Q30=0,0,11630*1000*SER_hh_tes_in!Q30/SER_hh_num_in!Q30)</f>
        <v>27684.191283627726</v>
      </c>
      <c r="R30" s="133">
        <f>IF(SER_hh_tes_in!R30=0,0,11630*1000*SER_hh_tes_in!R30/SER_hh_num_in!R30)</f>
        <v>25103.410039456641</v>
      </c>
      <c r="S30" s="133">
        <f>IF(SER_hh_tes_in!S30=0,0,11630*1000*SER_hh_tes_in!S30/SER_hh_num_in!S30)</f>
        <v>26070.5063037773</v>
      </c>
      <c r="T30" s="133">
        <f>IF(SER_hh_tes_in!T30=0,0,11630*1000*SER_hh_tes_in!T30/SER_hh_num_in!T30)</f>
        <v>28390.796038693497</v>
      </c>
      <c r="U30" s="133">
        <f>IF(SER_hh_tes_in!U30=0,0,11630*1000*SER_hh_tes_in!U30/SER_hh_num_in!U30)</f>
        <v>28625.012140442515</v>
      </c>
      <c r="V30" s="133">
        <f>IF(SER_hh_tes_in!V30=0,0,11630*1000*SER_hh_tes_in!V30/SER_hh_num_in!V30)</f>
        <v>24464.165347341404</v>
      </c>
      <c r="W30" s="133">
        <f>IF(SER_hh_tes_in!W30=0,0,11630*1000*SER_hh_tes_in!W30/SER_hh_num_in!W30)</f>
        <v>28348.447500076669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24738.120762054252</v>
      </c>
      <c r="D31" s="133">
        <f>IF(SER_hh_tes_in!D31=0,0,11630*1000*SER_hh_tes_in!D31/SER_hh_num_in!D31)</f>
        <v>24349.917132571376</v>
      </c>
      <c r="E31" s="133">
        <f>IF(SER_hh_tes_in!E31=0,0,11630*1000*SER_hh_tes_in!E31/SER_hh_num_in!E31)</f>
        <v>24055.677163699387</v>
      </c>
      <c r="F31" s="133">
        <f>IF(SER_hh_tes_in!F31=0,0,11630*1000*SER_hh_tes_in!F31/SER_hh_num_in!F31)</f>
        <v>24285.856654082781</v>
      </c>
      <c r="G31" s="133">
        <f>IF(SER_hh_tes_in!G31=0,0,11630*1000*SER_hh_tes_in!G31/SER_hh_num_in!G31)</f>
        <v>24172.814707366182</v>
      </c>
      <c r="H31" s="133">
        <f>IF(SER_hh_tes_in!H31=0,0,11630*1000*SER_hh_tes_in!H31/SER_hh_num_in!H31)</f>
        <v>24244.384312746341</v>
      </c>
      <c r="I31" s="133">
        <f>IF(SER_hh_tes_in!I31=0,0,11630*1000*SER_hh_tes_in!I31/SER_hh_num_in!I31)</f>
        <v>23755.588704581474</v>
      </c>
      <c r="J31" s="133">
        <f>IF(SER_hh_tes_in!J31=0,0,11630*1000*SER_hh_tes_in!J31/SER_hh_num_in!J31)</f>
        <v>23640.441181284641</v>
      </c>
      <c r="K31" s="133">
        <f>IF(SER_hh_tes_in!K31=0,0,11630*1000*SER_hh_tes_in!K31/SER_hh_num_in!K31)</f>
        <v>24242.476513300266</v>
      </c>
      <c r="L31" s="133">
        <f>IF(SER_hh_tes_in!L31=0,0,11630*1000*SER_hh_tes_in!L31/SER_hh_num_in!L31)</f>
        <v>24573.347585492513</v>
      </c>
      <c r="M31" s="133">
        <f>IF(SER_hh_tes_in!M31=0,0,11630*1000*SER_hh_tes_in!M31/SER_hh_num_in!M31)</f>
        <v>25440.092375705568</v>
      </c>
      <c r="N31" s="133">
        <f>IF(SER_hh_tes_in!N31=0,0,11630*1000*SER_hh_tes_in!N31/SER_hh_num_in!N31)</f>
        <v>26298.406130861833</v>
      </c>
      <c r="O31" s="133">
        <f>IF(SER_hh_tes_in!O31=0,0,11630*1000*SER_hh_tes_in!O31/SER_hh_num_in!O31)</f>
        <v>26382.735260532711</v>
      </c>
      <c r="P31" s="133">
        <f>IF(SER_hh_tes_in!P31=0,0,11630*1000*SER_hh_tes_in!P31/SER_hh_num_in!P31)</f>
        <v>26185.065638282304</v>
      </c>
      <c r="Q31" s="133">
        <f>IF(SER_hh_tes_in!Q31=0,0,11630*1000*SER_hh_tes_in!Q31/SER_hh_num_in!Q31)</f>
        <v>26859.374960173736</v>
      </c>
      <c r="R31" s="133">
        <f>IF(SER_hh_tes_in!R31=0,0,11630*1000*SER_hh_tes_in!R31/SER_hh_num_in!R31)</f>
        <v>26932.871982233995</v>
      </c>
      <c r="S31" s="133">
        <f>IF(SER_hh_tes_in!S31=0,0,11630*1000*SER_hh_tes_in!S31/SER_hh_num_in!S31)</f>
        <v>26746.262496805244</v>
      </c>
      <c r="T31" s="133">
        <f>IF(SER_hh_tes_in!T31=0,0,11630*1000*SER_hh_tes_in!T31/SER_hh_num_in!T31)</f>
        <v>27396.183120063812</v>
      </c>
      <c r="U31" s="133">
        <f>IF(SER_hh_tes_in!U31=0,0,11630*1000*SER_hh_tes_in!U31/SER_hh_num_in!U31)</f>
        <v>27629.067021538398</v>
      </c>
      <c r="V31" s="133">
        <f>IF(SER_hh_tes_in!V31=0,0,11630*1000*SER_hh_tes_in!V31/SER_hh_num_in!V31)</f>
        <v>25640.573218999238</v>
      </c>
      <c r="W31" s="133">
        <f>IF(SER_hh_tes_in!W31=0,0,11630*1000*SER_hh_tes_in!W31/SER_hh_num_in!W31)</f>
        <v>28027.589766942157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24399.996902806877</v>
      </c>
      <c r="D33" s="68">
        <f>IF(SER_hh_tes_in!D33=0,0,11630*1000*SER_hh_tes_in!D33/SER_hh_num_in!D33)</f>
        <v>24636.897240201266</v>
      </c>
      <c r="E33" s="68">
        <f>IF(SER_hh_tes_in!E33=0,0,11630*1000*SER_hh_tes_in!E33/SER_hh_num_in!E33)</f>
        <v>25038.732328600436</v>
      </c>
      <c r="F33" s="68">
        <f>IF(SER_hh_tes_in!F33=0,0,11630*1000*SER_hh_tes_in!F33/SER_hh_num_in!F33)</f>
        <v>24967.161731103122</v>
      </c>
      <c r="G33" s="68">
        <f>IF(SER_hh_tes_in!G33=0,0,11630*1000*SER_hh_tes_in!G33/SER_hh_num_in!G33)</f>
        <v>23481.194542013516</v>
      </c>
      <c r="H33" s="68">
        <f>IF(SER_hh_tes_in!H33=0,0,11630*1000*SER_hh_tes_in!H33/SER_hh_num_in!H33)</f>
        <v>24098.077151618425</v>
      </c>
      <c r="I33" s="68">
        <f>IF(SER_hh_tes_in!I33=0,0,11630*1000*SER_hh_tes_in!I33/SER_hh_num_in!I33)</f>
        <v>24333.505438152439</v>
      </c>
      <c r="J33" s="68">
        <f>IF(SER_hh_tes_in!J33=0,0,11630*1000*SER_hh_tes_in!J33/SER_hh_num_in!J33)</f>
        <v>21661.023799608396</v>
      </c>
      <c r="K33" s="68">
        <f>IF(SER_hh_tes_in!K33=0,0,11630*1000*SER_hh_tes_in!K33/SER_hh_num_in!K33)</f>
        <v>26517.243759397232</v>
      </c>
      <c r="L33" s="68">
        <f>IF(SER_hh_tes_in!L33=0,0,11630*1000*SER_hh_tes_in!L33/SER_hh_num_in!L33)</f>
        <v>22080.537760938889</v>
      </c>
      <c r="M33" s="68">
        <f>IF(SER_hh_tes_in!M33=0,0,11630*1000*SER_hh_tes_in!M33/SER_hh_num_in!M33)</f>
        <v>25469.087373500213</v>
      </c>
      <c r="N33" s="68">
        <f>IF(SER_hh_tes_in!N33=0,0,11630*1000*SER_hh_tes_in!N33/SER_hh_num_in!N33)</f>
        <v>27846.096819628347</v>
      </c>
      <c r="O33" s="68">
        <f>IF(SER_hh_tes_in!O33=0,0,11630*1000*SER_hh_tes_in!O33/SER_hh_num_in!O33)</f>
        <v>24118.581963280263</v>
      </c>
      <c r="P33" s="68">
        <f>IF(SER_hh_tes_in!P33=0,0,11630*1000*SER_hh_tes_in!P33/SER_hh_num_in!P33)</f>
        <v>27783.145442681805</v>
      </c>
      <c r="Q33" s="68">
        <f>IF(SER_hh_tes_in!Q33=0,0,11630*1000*SER_hh_tes_in!Q33/SER_hh_num_in!Q33)</f>
        <v>25800.244008210622</v>
      </c>
      <c r="R33" s="68">
        <f>IF(SER_hh_tes_in!R33=0,0,11630*1000*SER_hh_tes_in!R33/SER_hh_num_in!R33)</f>
        <v>27609.474772522903</v>
      </c>
      <c r="S33" s="68">
        <f>IF(SER_hh_tes_in!S33=0,0,11630*1000*SER_hh_tes_in!S33/SER_hh_num_in!S33)</f>
        <v>27723.280064762261</v>
      </c>
      <c r="T33" s="68">
        <f>IF(SER_hh_tes_in!T33=0,0,11630*1000*SER_hh_tes_in!T33/SER_hh_num_in!T33)</f>
        <v>26153.636467632889</v>
      </c>
      <c r="U33" s="68">
        <f>IF(SER_hh_tes_in!U33=0,0,11630*1000*SER_hh_tes_in!U33/SER_hh_num_in!U33)</f>
        <v>26450.947950101938</v>
      </c>
      <c r="V33" s="68">
        <f>IF(SER_hh_tes_in!V33=0,0,11630*1000*SER_hh_tes_in!V33/SER_hh_num_in!V33)</f>
        <v>26309.699900703028</v>
      </c>
      <c r="W33" s="68">
        <f>IF(SER_hh_tes_in!W33=0,0,11630*1000*SER_hh_tes_in!W33/SER_hh_num_in!W33)</f>
        <v>27497.224712096584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26154.401924322112</v>
      </c>
      <c r="D3" s="126">
        <f>IF(SER_hh_emi_in!D3=0,0,1000000*SER_hh_emi_in!D3/SER_hh_num_in!D3)</f>
        <v>14716.112522294712</v>
      </c>
      <c r="E3" s="126">
        <f>IF(SER_hh_emi_in!E3=0,0,1000000*SER_hh_emi_in!E3/SER_hh_num_in!E3)</f>
        <v>26866.812609567201</v>
      </c>
      <c r="F3" s="126">
        <f>IF(SER_hh_emi_in!F3=0,0,1000000*SER_hh_emi_in!F3/SER_hh_num_in!F3)</f>
        <v>23443.590179526222</v>
      </c>
      <c r="G3" s="126">
        <f>IF(SER_hh_emi_in!G3=0,0,1000000*SER_hh_emi_in!G3/SER_hh_num_in!G3)</f>
        <v>19715.12815097472</v>
      </c>
      <c r="H3" s="126">
        <f>IF(SER_hh_emi_in!H3=0,0,1000000*SER_hh_emi_in!H3/SER_hh_num_in!H3)</f>
        <v>21863.191690909793</v>
      </c>
      <c r="I3" s="126">
        <f>IF(SER_hh_emi_in!I3=0,0,1000000*SER_hh_emi_in!I3/SER_hh_num_in!I3)</f>
        <v>17697.4601610221</v>
      </c>
      <c r="J3" s="126">
        <f>IF(SER_hh_emi_in!J3=0,0,1000000*SER_hh_emi_in!J3/SER_hh_num_in!J3)</f>
        <v>27518.29249198646</v>
      </c>
      <c r="K3" s="126">
        <f>IF(SER_hh_emi_in!K3=0,0,1000000*SER_hh_emi_in!K3/SER_hh_num_in!K3)</f>
        <v>41624.779446727647</v>
      </c>
      <c r="L3" s="126">
        <f>IF(SER_hh_emi_in!L3=0,0,1000000*SER_hh_emi_in!L3/SER_hh_num_in!L3)</f>
        <v>45041.729237385865</v>
      </c>
      <c r="M3" s="126">
        <f>IF(SER_hh_emi_in!M3=0,0,1000000*SER_hh_emi_in!M3/SER_hh_num_in!M3)</f>
        <v>36069.41082296471</v>
      </c>
      <c r="N3" s="126">
        <f>IF(SER_hh_emi_in!N3=0,0,1000000*SER_hh_emi_in!N3/SER_hh_num_in!N3)</f>
        <v>41456.416736761341</v>
      </c>
      <c r="O3" s="126">
        <f>IF(SER_hh_emi_in!O3=0,0,1000000*SER_hh_emi_in!O3/SER_hh_num_in!O3)</f>
        <v>39033.859814243282</v>
      </c>
      <c r="P3" s="126">
        <f>IF(SER_hh_emi_in!P3=0,0,1000000*SER_hh_emi_in!P3/SER_hh_num_in!P3)</f>
        <v>21948.529030163048</v>
      </c>
      <c r="Q3" s="126">
        <f>IF(SER_hh_emi_in!Q3=0,0,1000000*SER_hh_emi_in!Q3/SER_hh_num_in!Q3)</f>
        <v>17656.23584761563</v>
      </c>
      <c r="R3" s="126">
        <f>IF(SER_hh_emi_in!R3=0,0,1000000*SER_hh_emi_in!R3/SER_hh_num_in!R3)</f>
        <v>12185.12034003724</v>
      </c>
      <c r="S3" s="126">
        <f>IF(SER_hh_emi_in!S3=0,0,1000000*SER_hh_emi_in!S3/SER_hh_num_in!S3)</f>
        <v>13752.105993073612</v>
      </c>
      <c r="T3" s="126">
        <f>IF(SER_hh_emi_in!T3=0,0,1000000*SER_hh_emi_in!T3/SER_hh_num_in!T3)</f>
        <v>13821.507031286714</v>
      </c>
      <c r="U3" s="126">
        <f>IF(SER_hh_emi_in!U3=0,0,1000000*SER_hh_emi_in!U3/SER_hh_num_in!U3)</f>
        <v>15174.440779475488</v>
      </c>
      <c r="V3" s="126">
        <f>IF(SER_hh_emi_in!V3=0,0,1000000*SER_hh_emi_in!V3/SER_hh_num_in!V3)</f>
        <v>11567.947149679458</v>
      </c>
      <c r="W3" s="126">
        <f>IF(SER_hh_emi_in!W3=0,0,1000000*SER_hh_emi_in!W3/SER_hh_num_in!W3)</f>
        <v>11201.825007752994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17951.51317638241</v>
      </c>
      <c r="D4" s="131">
        <f>IF(SER_hh_emi_in!D4=0,0,1000000*SER_hh_emi_in!D4/SER_hh_num_in!D4)</f>
        <v>6926.7122915916216</v>
      </c>
      <c r="E4" s="131">
        <f>IF(SER_hh_emi_in!E4=0,0,1000000*SER_hh_emi_in!E4/SER_hh_num_in!E4)</f>
        <v>18483.456122906366</v>
      </c>
      <c r="F4" s="131">
        <f>IF(SER_hh_emi_in!F4=0,0,1000000*SER_hh_emi_in!F4/SER_hh_num_in!F4)</f>
        <v>14540.436176323605</v>
      </c>
      <c r="G4" s="131">
        <f>IF(SER_hh_emi_in!G4=0,0,1000000*SER_hh_emi_in!G4/SER_hh_num_in!G4)</f>
        <v>10832.068988884077</v>
      </c>
      <c r="H4" s="131">
        <f>IF(SER_hh_emi_in!H4=0,0,1000000*SER_hh_emi_in!H4/SER_hh_num_in!H4)</f>
        <v>13298.648705601692</v>
      </c>
      <c r="I4" s="131">
        <f>IF(SER_hh_emi_in!I4=0,0,1000000*SER_hh_emi_in!I4/SER_hh_num_in!I4)</f>
        <v>10588.252287807265</v>
      </c>
      <c r="J4" s="131">
        <f>IF(SER_hh_emi_in!J4=0,0,1000000*SER_hh_emi_in!J4/SER_hh_num_in!J4)</f>
        <v>20873.949591088567</v>
      </c>
      <c r="K4" s="131">
        <f>IF(SER_hh_emi_in!K4=0,0,1000000*SER_hh_emi_in!K4/SER_hh_num_in!K4)</f>
        <v>32702.73246699361</v>
      </c>
      <c r="L4" s="131">
        <f>IF(SER_hh_emi_in!L4=0,0,1000000*SER_hh_emi_in!L4/SER_hh_num_in!L4)</f>
        <v>35032.398298111839</v>
      </c>
      <c r="M4" s="131">
        <f>IF(SER_hh_emi_in!M4=0,0,1000000*SER_hh_emi_in!M4/SER_hh_num_in!M4)</f>
        <v>26961.838897701226</v>
      </c>
      <c r="N4" s="131">
        <f>IF(SER_hh_emi_in!N4=0,0,1000000*SER_hh_emi_in!N4/SER_hh_num_in!N4)</f>
        <v>32707.351540744272</v>
      </c>
      <c r="O4" s="131">
        <f>IF(SER_hh_emi_in!O4=0,0,1000000*SER_hh_emi_in!O4/SER_hh_num_in!O4)</f>
        <v>29535.05381812168</v>
      </c>
      <c r="P4" s="131">
        <f>IF(SER_hh_emi_in!P4=0,0,1000000*SER_hh_emi_in!P4/SER_hh_num_in!P4)</f>
        <v>16393.800894840937</v>
      </c>
      <c r="Q4" s="131">
        <f>IF(SER_hh_emi_in!Q4=0,0,1000000*SER_hh_emi_in!Q4/SER_hh_num_in!Q4)</f>
        <v>10144.975126265876</v>
      </c>
      <c r="R4" s="131">
        <f>IF(SER_hh_emi_in!R4=0,0,1000000*SER_hh_emi_in!R4/SER_hh_num_in!R4)</f>
        <v>7211.3926895680834</v>
      </c>
      <c r="S4" s="131">
        <f>IF(SER_hh_emi_in!S4=0,0,1000000*SER_hh_emi_in!S4/SER_hh_num_in!S4)</f>
        <v>6885.3321308152726</v>
      </c>
      <c r="T4" s="131">
        <f>IF(SER_hh_emi_in!T4=0,0,1000000*SER_hh_emi_in!T4/SER_hh_num_in!T4)</f>
        <v>7907.6057178715537</v>
      </c>
      <c r="U4" s="131">
        <f>IF(SER_hh_emi_in!U4=0,0,1000000*SER_hh_emi_in!U4/SER_hh_num_in!U4)</f>
        <v>10032.628236788671</v>
      </c>
      <c r="V4" s="131">
        <f>IF(SER_hh_emi_in!V4=0,0,1000000*SER_hh_emi_in!V4/SER_hh_num_in!V4)</f>
        <v>8885.0817957710478</v>
      </c>
      <c r="W4" s="131">
        <f>IF(SER_hh_emi_in!W4=0,0,1000000*SER_hh_emi_in!W4/SER_hh_num_in!W4)</f>
        <v>5971.3727093127018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40815.582945834802</v>
      </c>
      <c r="D5" s="133">
        <f>IF(SER_hh_emi_in!D5=0,0,1000000*SER_hh_emi_in!D5/SER_hh_num_in!D5)</f>
        <v>20819.452181232384</v>
      </c>
      <c r="E5" s="133">
        <f>IF(SER_hh_emi_in!E5=0,0,1000000*SER_hh_emi_in!E5/SER_hh_num_in!E5)</f>
        <v>101706.24418872906</v>
      </c>
      <c r="F5" s="133">
        <f>IF(SER_hh_emi_in!F5=0,0,1000000*SER_hh_emi_in!F5/SER_hh_num_in!F5)</f>
        <v>85782.128144808477</v>
      </c>
      <c r="G5" s="133">
        <f>IF(SER_hh_emi_in!G5=0,0,1000000*SER_hh_emi_in!G5/SER_hh_num_in!G5)</f>
        <v>83740.758141542145</v>
      </c>
      <c r="H5" s="133">
        <f>IF(SER_hh_emi_in!H5=0,0,1000000*SER_hh_emi_in!H5/SER_hh_num_in!H5)</f>
        <v>83077.162146940493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61168.200651725005</v>
      </c>
      <c r="S5" s="133">
        <f>IF(SER_hh_emi_in!S5=0,0,1000000*SER_hh_emi_in!S5/SER_hh_num_in!S5)</f>
        <v>47941.632781931396</v>
      </c>
      <c r="T5" s="133">
        <f>IF(SER_hh_emi_in!T5=0,0,1000000*SER_hh_emi_in!T5/SER_hh_num_in!T5)</f>
        <v>50875.417519836657</v>
      </c>
      <c r="U5" s="133">
        <f>IF(SER_hh_emi_in!U5=0,0,1000000*SER_hh_emi_in!U5/SER_hh_num_in!U5)</f>
        <v>49591.249810160014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56812.534766548823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63424.771291548066</v>
      </c>
      <c r="K7" s="133">
        <f>IF(SER_hh_emi_in!K7=0,0,1000000*SER_hh_emi_in!K7/SER_hh_num_in!K7)</f>
        <v>52992.029356810446</v>
      </c>
      <c r="L7" s="133">
        <f>IF(SER_hh_emi_in!L7=0,0,1000000*SER_hh_emi_in!L7/SER_hh_num_in!L7)</f>
        <v>54392.721758505744</v>
      </c>
      <c r="M7" s="133">
        <f>IF(SER_hh_emi_in!M7=0,0,1000000*SER_hh_emi_in!M7/SER_hh_num_in!M7)</f>
        <v>47706.701579618151</v>
      </c>
      <c r="N7" s="133">
        <f>IF(SER_hh_emi_in!N7=0,0,1000000*SER_hh_emi_in!N7/SER_hh_num_in!N7)</f>
        <v>43206.209338019049</v>
      </c>
      <c r="O7" s="133">
        <f>IF(SER_hh_emi_in!O7=0,0,1000000*SER_hh_emi_in!O7/SER_hh_num_in!O7)</f>
        <v>48995.559799482711</v>
      </c>
      <c r="P7" s="133">
        <f>IF(SER_hh_emi_in!P7=0,0,1000000*SER_hh_emi_in!P7/SER_hh_num_in!P7)</f>
        <v>40319.686588270582</v>
      </c>
      <c r="Q7" s="133">
        <f>IF(SER_hh_emi_in!Q7=0,0,1000000*SER_hh_emi_in!Q7/SER_hh_num_in!Q7)</f>
        <v>39748.247940911024</v>
      </c>
      <c r="R7" s="133">
        <f>IF(SER_hh_emi_in!R7=0,0,1000000*SER_hh_emi_in!R7/SER_hh_num_in!R7)</f>
        <v>36005.146262922499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23892.47724877797</v>
      </c>
      <c r="W7" s="133">
        <f>IF(SER_hh_emi_in!W7=0,0,1000000*SER_hh_emi_in!W7/SER_hh_num_in!W7)</f>
        <v>18874.991374956135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38321.603105246992</v>
      </c>
      <c r="D9" s="133">
        <f>IF(SER_hh_emi_in!D9=0,0,1000000*SER_hh_emi_in!D9/SER_hh_num_in!D9)</f>
        <v>36859.176196545712</v>
      </c>
      <c r="E9" s="133">
        <f>IF(SER_hh_emi_in!E9=0,0,1000000*SER_hh_emi_in!E9/SER_hh_num_in!E9)</f>
        <v>38228.984595890535</v>
      </c>
      <c r="F9" s="133">
        <f>IF(SER_hh_emi_in!F9=0,0,1000000*SER_hh_emi_in!F9/SER_hh_num_in!F9)</f>
        <v>37818.430383530642</v>
      </c>
      <c r="G9" s="133">
        <f>IF(SER_hh_emi_in!G9=0,0,1000000*SER_hh_emi_in!G9/SER_hh_num_in!G9)</f>
        <v>37433.409641321799</v>
      </c>
      <c r="H9" s="133">
        <f>IF(SER_hh_emi_in!H9=0,0,1000000*SER_hh_emi_in!H9/SER_hh_num_in!H9)</f>
        <v>40389.450688817473</v>
      </c>
      <c r="I9" s="133">
        <f>IF(SER_hh_emi_in!I9=0,0,1000000*SER_hh_emi_in!I9/SER_hh_num_in!I9)</f>
        <v>40035.21583160734</v>
      </c>
      <c r="J9" s="133">
        <f>IF(SER_hh_emi_in!J9=0,0,1000000*SER_hh_emi_in!J9/SER_hh_num_in!J9)</f>
        <v>40150.969330930377</v>
      </c>
      <c r="K9" s="133">
        <f>IF(SER_hh_emi_in!K9=0,0,1000000*SER_hh_emi_in!K9/SER_hh_num_in!K9)</f>
        <v>35043.129550657104</v>
      </c>
      <c r="L9" s="133">
        <f>IF(SER_hh_emi_in!L9=0,0,1000000*SER_hh_emi_in!L9/SER_hh_num_in!L9)</f>
        <v>35510.186590762445</v>
      </c>
      <c r="M9" s="133">
        <f>IF(SER_hh_emi_in!M9=0,0,1000000*SER_hh_emi_in!M9/SER_hh_num_in!M9)</f>
        <v>33191.831592476141</v>
      </c>
      <c r="N9" s="133">
        <f>IF(SER_hh_emi_in!N9=0,0,1000000*SER_hh_emi_in!N9/SER_hh_num_in!N9)</f>
        <v>33648.728239967648</v>
      </c>
      <c r="O9" s="133">
        <f>IF(SER_hh_emi_in!O9=0,0,1000000*SER_hh_emi_in!O9/SER_hh_num_in!O9)</f>
        <v>30075.364972824533</v>
      </c>
      <c r="P9" s="133">
        <f>IF(SER_hh_emi_in!P9=0,0,1000000*SER_hh_emi_in!P9/SER_hh_num_in!P9)</f>
        <v>25694.32958980275</v>
      </c>
      <c r="Q9" s="133">
        <f>IF(SER_hh_emi_in!Q9=0,0,1000000*SER_hh_emi_in!Q9/SER_hh_num_in!Q9)</f>
        <v>26196.791636970956</v>
      </c>
      <c r="R9" s="133">
        <f>IF(SER_hh_emi_in!R9=0,0,1000000*SER_hh_emi_in!R9/SER_hh_num_in!R9)</f>
        <v>24375.680333335418</v>
      </c>
      <c r="S9" s="133">
        <f>IF(SER_hh_emi_in!S9=0,0,1000000*SER_hh_emi_in!S9/SER_hh_num_in!S9)</f>
        <v>22440.715705680475</v>
      </c>
      <c r="T9" s="133">
        <f>IF(SER_hh_emi_in!T9=0,0,1000000*SER_hh_emi_in!T9/SER_hh_num_in!T9)</f>
        <v>23021.85572051867</v>
      </c>
      <c r="U9" s="133">
        <f>IF(SER_hh_emi_in!U9=0,0,1000000*SER_hh_emi_in!U9/SER_hh_num_in!U9)</f>
        <v>20506.588524572708</v>
      </c>
      <c r="V9" s="133">
        <f>IF(SER_hh_emi_in!V9=0,0,1000000*SER_hh_emi_in!V9/SER_hh_num_in!V9)</f>
        <v>18772.814860242666</v>
      </c>
      <c r="W9" s="133">
        <f>IF(SER_hh_emi_in!W9=0,0,1000000*SER_hh_emi_in!W9/SER_hh_num_in!W9)</f>
        <v>11090.621456623656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10.698492111083812</v>
      </c>
      <c r="D16" s="131">
        <f>IF(SER_hh_emi_in!D16=0,0,1000000*SER_hh_emi_in!D16/SER_hh_num_in!D16)</f>
        <v>11.515513354513963</v>
      </c>
      <c r="E16" s="131">
        <f>IF(SER_hh_emi_in!E16=0,0,1000000*SER_hh_emi_in!E16/SER_hh_num_in!E16)</f>
        <v>5.1064064622803276</v>
      </c>
      <c r="F16" s="131">
        <f>IF(SER_hh_emi_in!F16=0,0,1000000*SER_hh_emi_in!F16/SER_hh_num_in!F16)</f>
        <v>15.609145060486535</v>
      </c>
      <c r="G16" s="131">
        <f>IF(SER_hh_emi_in!G16=0,0,1000000*SER_hh_emi_in!G16/SER_hh_num_in!G16)</f>
        <v>11.653563450421286</v>
      </c>
      <c r="H16" s="131">
        <f>IF(SER_hh_emi_in!H16=0,0,1000000*SER_hh_emi_in!H16/SER_hh_num_in!H16)</f>
        <v>16.767675079654605</v>
      </c>
      <c r="I16" s="131">
        <f>IF(SER_hh_emi_in!I16=0,0,1000000*SER_hh_emi_in!I16/SER_hh_num_in!I16)</f>
        <v>10.545421218959946</v>
      </c>
      <c r="J16" s="131">
        <f>IF(SER_hh_emi_in!J16=0,0,1000000*SER_hh_emi_in!J16/SER_hh_num_in!J16)</f>
        <v>7.6691722087750396</v>
      </c>
      <c r="K16" s="131">
        <f>IF(SER_hh_emi_in!K16=0,0,1000000*SER_hh_emi_in!K16/SER_hh_num_in!K16)</f>
        <v>19.563833246854283</v>
      </c>
      <c r="L16" s="131">
        <f>IF(SER_hh_emi_in!L16=0,0,1000000*SER_hh_emi_in!L16/SER_hh_num_in!L16)</f>
        <v>14.186709108055622</v>
      </c>
      <c r="M16" s="131">
        <f>IF(SER_hh_emi_in!M16=0,0,1000000*SER_hh_emi_in!M16/SER_hh_num_in!M16)</f>
        <v>15.460303275647526</v>
      </c>
      <c r="N16" s="131">
        <f>IF(SER_hh_emi_in!N16=0,0,1000000*SER_hh_emi_in!N16/SER_hh_num_in!N16)</f>
        <v>20.077706764785805</v>
      </c>
      <c r="O16" s="131">
        <f>IF(SER_hh_emi_in!O16=0,0,1000000*SER_hh_emi_in!O16/SER_hh_num_in!O16)</f>
        <v>28.490002536972998</v>
      </c>
      <c r="P16" s="131">
        <f>IF(SER_hh_emi_in!P16=0,0,1000000*SER_hh_emi_in!P16/SER_hh_num_in!P16)</f>
        <v>36.578546208326713</v>
      </c>
      <c r="Q16" s="131">
        <f>IF(SER_hh_emi_in!Q16=0,0,1000000*SER_hh_emi_in!Q16/SER_hh_num_in!Q16)</f>
        <v>63.523468272074531</v>
      </c>
      <c r="R16" s="131">
        <f>IF(SER_hh_emi_in!R16=0,0,1000000*SER_hh_emi_in!R16/SER_hh_num_in!R16)</f>
        <v>42.919385619961098</v>
      </c>
      <c r="S16" s="131">
        <f>IF(SER_hh_emi_in!S16=0,0,1000000*SER_hh_emi_in!S16/SER_hh_num_in!S16)</f>
        <v>39.320539402186647</v>
      </c>
      <c r="T16" s="131">
        <f>IF(SER_hh_emi_in!T16=0,0,1000000*SER_hh_emi_in!T16/SER_hh_num_in!T16)</f>
        <v>28.991236909533939</v>
      </c>
      <c r="U16" s="131">
        <f>IF(SER_hh_emi_in!U16=0,0,1000000*SER_hh_emi_in!U16/SER_hh_num_in!U16)</f>
        <v>29.110586445290838</v>
      </c>
      <c r="V16" s="131">
        <f>IF(SER_hh_emi_in!V16=0,0,1000000*SER_hh_emi_in!V16/SER_hh_num_in!V16)</f>
        <v>53.926418212919707</v>
      </c>
      <c r="W16" s="131">
        <f>IF(SER_hh_emi_in!W16=0,0,1000000*SER_hh_emi_in!W16/SER_hh_num_in!W16)</f>
        <v>23.495201481622921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3379.4136547733169</v>
      </c>
      <c r="D17" s="133">
        <f>IF(SER_hh_emi_in!D17=0,0,1000000*SER_hh_emi_in!D17/SER_hh_num_in!D17)</f>
        <v>3392.1101802506237</v>
      </c>
      <c r="E17" s="133">
        <f>IF(SER_hh_emi_in!E17=0,0,1000000*SER_hh_emi_in!E17/SER_hh_num_in!E17)</f>
        <v>3319.5537595710362</v>
      </c>
      <c r="F17" s="133">
        <f>IF(SER_hh_emi_in!F17=0,0,1000000*SER_hh_emi_in!F17/SER_hh_num_in!F17)</f>
        <v>3278.8774397575203</v>
      </c>
      <c r="G17" s="133">
        <f>IF(SER_hh_emi_in!G17=0,0,1000000*SER_hh_emi_in!G17/SER_hh_num_in!G17)</f>
        <v>3193.3940807817867</v>
      </c>
      <c r="H17" s="133">
        <f>IF(SER_hh_emi_in!H17=0,0,1000000*SER_hh_emi_in!H17/SER_hh_num_in!H17)</f>
        <v>3197.9328236839106</v>
      </c>
      <c r="I17" s="133">
        <f>IF(SER_hh_emi_in!I17=0,0,1000000*SER_hh_emi_in!I17/SER_hh_num_in!I17)</f>
        <v>3169.954035879704</v>
      </c>
      <c r="J17" s="133">
        <f>IF(SER_hh_emi_in!J17=0,0,1000000*SER_hh_emi_in!J17/SER_hh_num_in!J17)</f>
        <v>3118.4550078766902</v>
      </c>
      <c r="K17" s="133">
        <f>IF(SER_hh_emi_in!K17=0,0,1000000*SER_hh_emi_in!K17/SER_hh_num_in!K17)</f>
        <v>3031.9089603505986</v>
      </c>
      <c r="L17" s="133">
        <f>IF(SER_hh_emi_in!L17=0,0,1000000*SER_hh_emi_in!L17/SER_hh_num_in!L17)</f>
        <v>2987.2796308527145</v>
      </c>
      <c r="M17" s="133">
        <f>IF(SER_hh_emi_in!M17=0,0,1000000*SER_hh_emi_in!M17/SER_hh_num_in!M17)</f>
        <v>2893.4375146742827</v>
      </c>
      <c r="N17" s="133">
        <f>IF(SER_hh_emi_in!N17=0,0,1000000*SER_hh_emi_in!N17/SER_hh_num_in!N17)</f>
        <v>2839.9075871542832</v>
      </c>
      <c r="O17" s="133">
        <f>IF(SER_hh_emi_in!O17=0,0,1000000*SER_hh_emi_in!O17/SER_hh_num_in!O17)</f>
        <v>2681.5852904451144</v>
      </c>
      <c r="P17" s="133">
        <f>IF(SER_hh_emi_in!P17=0,0,1000000*SER_hh_emi_in!P17/SER_hh_num_in!P17)</f>
        <v>2624.1773732309025</v>
      </c>
      <c r="Q17" s="133">
        <f>IF(SER_hh_emi_in!Q17=0,0,1000000*SER_hh_emi_in!Q17/SER_hh_num_in!Q17)</f>
        <v>2477.906972480298</v>
      </c>
      <c r="R17" s="133">
        <f>IF(SER_hh_emi_in!R17=0,0,1000000*SER_hh_emi_in!R17/SER_hh_num_in!R17)</f>
        <v>2410.6897865518745</v>
      </c>
      <c r="S17" s="133">
        <f>IF(SER_hh_emi_in!S17=0,0,1000000*SER_hh_emi_in!S17/SER_hh_num_in!S17)</f>
        <v>2278.3256029748068</v>
      </c>
      <c r="T17" s="133">
        <f>IF(SER_hh_emi_in!T17=0,0,1000000*SER_hh_emi_in!T17/SER_hh_num_in!T17)</f>
        <v>2146.7985905443211</v>
      </c>
      <c r="U17" s="133">
        <f>IF(SER_hh_emi_in!U17=0,0,1000000*SER_hh_emi_in!U17/SER_hh_num_in!U17)</f>
        <v>2009.0631660379966</v>
      </c>
      <c r="V17" s="133">
        <f>IF(SER_hh_emi_in!V17=0,0,1000000*SER_hh_emi_in!V17/SER_hh_num_in!V17)</f>
        <v>1720.2068399690056</v>
      </c>
      <c r="W17" s="133">
        <f>IF(SER_hh_emi_in!W17=0,0,1000000*SER_hh_emi_in!W17/SER_hh_num_in!W17)</f>
        <v>1378.4030284633543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3526.457452571774</v>
      </c>
      <c r="D19" s="131">
        <f>IF(SER_hh_emi_in!D19=0,0,1000000*SER_hh_emi_in!D19/SER_hh_num_in!D19)</f>
        <v>3109.8775674890335</v>
      </c>
      <c r="E19" s="131">
        <f>IF(SER_hh_emi_in!E19=0,0,1000000*SER_hh_emi_in!E19/SER_hh_num_in!E19)</f>
        <v>2912.8386853252046</v>
      </c>
      <c r="F19" s="131">
        <f>IF(SER_hh_emi_in!F19=0,0,1000000*SER_hh_emi_in!F19/SER_hh_num_in!F19)</f>
        <v>2872.0770644857485</v>
      </c>
      <c r="G19" s="131">
        <f>IF(SER_hh_emi_in!G19=0,0,1000000*SER_hh_emi_in!G19/SER_hh_num_in!G19)</f>
        <v>2287.8731937226753</v>
      </c>
      <c r="H19" s="131">
        <f>IF(SER_hh_emi_in!H19=0,0,1000000*SER_hh_emi_in!H19/SER_hh_num_in!H19)</f>
        <v>2507.0333538150003</v>
      </c>
      <c r="I19" s="131">
        <f>IF(SER_hh_emi_in!I19=0,0,1000000*SER_hh_emi_in!I19/SER_hh_num_in!I19)</f>
        <v>2112.3714515140841</v>
      </c>
      <c r="J19" s="131">
        <f>IF(SER_hh_emi_in!J19=0,0,1000000*SER_hh_emi_in!J19/SER_hh_num_in!J19)</f>
        <v>2929.5403306421881</v>
      </c>
      <c r="K19" s="131">
        <f>IF(SER_hh_emi_in!K19=0,0,1000000*SER_hh_emi_in!K19/SER_hh_num_in!K19)</f>
        <v>5124.6070720763919</v>
      </c>
      <c r="L19" s="131">
        <f>IF(SER_hh_emi_in!L19=0,0,1000000*SER_hh_emi_in!L19/SER_hh_num_in!L19)</f>
        <v>4341.5579279945105</v>
      </c>
      <c r="M19" s="131">
        <f>IF(SER_hh_emi_in!M19=0,0,1000000*SER_hh_emi_in!M19/SER_hh_num_in!M19)</f>
        <v>3813.0633409506404</v>
      </c>
      <c r="N19" s="131">
        <f>IF(SER_hh_emi_in!N19=0,0,1000000*SER_hh_emi_in!N19/SER_hh_num_in!N19)</f>
        <v>4326.7325774007286</v>
      </c>
      <c r="O19" s="131">
        <f>IF(SER_hh_emi_in!O19=0,0,1000000*SER_hh_emi_in!O19/SER_hh_num_in!O19)</f>
        <v>3776.3078120976602</v>
      </c>
      <c r="P19" s="131">
        <f>IF(SER_hh_emi_in!P19=0,0,1000000*SER_hh_emi_in!P19/SER_hh_num_in!P19)</f>
        <v>2819.9645698003983</v>
      </c>
      <c r="Q19" s="131">
        <f>IF(SER_hh_emi_in!Q19=0,0,1000000*SER_hh_emi_in!Q19/SER_hh_num_in!Q19)</f>
        <v>2536.4769602806659</v>
      </c>
      <c r="R19" s="131">
        <f>IF(SER_hh_emi_in!R19=0,0,1000000*SER_hh_emi_in!R19/SER_hh_num_in!R19)</f>
        <v>1840.9530283769893</v>
      </c>
      <c r="S19" s="131">
        <f>IF(SER_hh_emi_in!S19=0,0,1000000*SER_hh_emi_in!S19/SER_hh_num_in!S19)</f>
        <v>1962.9538383944885</v>
      </c>
      <c r="T19" s="131">
        <f>IF(SER_hh_emi_in!T19=0,0,1000000*SER_hh_emi_in!T19/SER_hh_num_in!T19)</f>
        <v>1077.5599064613862</v>
      </c>
      <c r="U19" s="131">
        <f>IF(SER_hh_emi_in!U19=0,0,1000000*SER_hh_emi_in!U19/SER_hh_num_in!U19)</f>
        <v>1088.5426230477374</v>
      </c>
      <c r="V19" s="131">
        <f>IF(SER_hh_emi_in!V19=0,0,1000000*SER_hh_emi_in!V19/SER_hh_num_in!V19)</f>
        <v>705.23996603119917</v>
      </c>
      <c r="W19" s="131">
        <f>IF(SER_hh_emi_in!W19=0,0,1000000*SER_hh_emi_in!W19/SER_hh_num_in!W19)</f>
        <v>1660.5792629230937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11438.670178914141</v>
      </c>
      <c r="D22" s="133">
        <f>IF(SER_hh_emi_in!D22=0,0,1000000*SER_hh_emi_in!D22/SER_hh_num_in!D22)</f>
        <v>11395.134171120097</v>
      </c>
      <c r="E22" s="133">
        <f>IF(SER_hh_emi_in!E22=0,0,1000000*SER_hh_emi_in!E22/SER_hh_num_in!E22)</f>
        <v>10967.069202451332</v>
      </c>
      <c r="F22" s="133">
        <f>IF(SER_hh_emi_in!F22=0,0,1000000*SER_hh_emi_in!F22/SER_hh_num_in!F22)</f>
        <v>11067.817382138039</v>
      </c>
      <c r="G22" s="133">
        <f>IF(SER_hh_emi_in!G22=0,0,1000000*SER_hh_emi_in!G22/SER_hh_num_in!G22)</f>
        <v>10826.623122703717</v>
      </c>
      <c r="H22" s="133">
        <f>IF(SER_hh_emi_in!H22=0,0,1000000*SER_hh_emi_in!H22/SER_hh_num_in!H22)</f>
        <v>10476.493218285323</v>
      </c>
      <c r="I22" s="133">
        <f>IF(SER_hh_emi_in!I22=0,0,1000000*SER_hh_emi_in!I22/SER_hh_num_in!I22)</f>
        <v>10405.509673870307</v>
      </c>
      <c r="J22" s="133">
        <f>IF(SER_hh_emi_in!J22=0,0,1000000*SER_hh_emi_in!J22/SER_hh_num_in!J22)</f>
        <v>10528.213736286907</v>
      </c>
      <c r="K22" s="133">
        <f>IF(SER_hh_emi_in!K22=0,0,1000000*SER_hh_emi_in!K22/SER_hh_num_in!K22)</f>
        <v>10582.962516346379</v>
      </c>
      <c r="L22" s="133">
        <f>IF(SER_hh_emi_in!L22=0,0,1000000*SER_hh_emi_in!L22/SER_hh_num_in!L22)</f>
        <v>10773.872125181349</v>
      </c>
      <c r="M22" s="133">
        <f>IF(SER_hh_emi_in!M22=0,0,1000000*SER_hh_emi_in!M22/SER_hh_num_in!M22)</f>
        <v>10710.621623033265</v>
      </c>
      <c r="N22" s="133">
        <f>IF(SER_hh_emi_in!N22=0,0,1000000*SER_hh_emi_in!N22/SER_hh_num_in!N22)</f>
        <v>10387.537484782857</v>
      </c>
      <c r="O22" s="133">
        <f>IF(SER_hh_emi_in!O22=0,0,1000000*SER_hh_emi_in!O22/SER_hh_num_in!O22)</f>
        <v>9752.5382665367724</v>
      </c>
      <c r="P22" s="133">
        <f>IF(SER_hh_emi_in!P22=0,0,1000000*SER_hh_emi_in!P22/SER_hh_num_in!P22)</f>
        <v>9297.0876190213839</v>
      </c>
      <c r="Q22" s="133">
        <f>IF(SER_hh_emi_in!Q22=0,0,1000000*SER_hh_emi_in!Q22/SER_hh_num_in!Q22)</f>
        <v>8712.2587792539216</v>
      </c>
      <c r="R22" s="133">
        <f>IF(SER_hh_emi_in!R22=0,0,1000000*SER_hh_emi_in!R22/SER_hh_num_in!R22)</f>
        <v>8327.7647315886334</v>
      </c>
      <c r="S22" s="133">
        <f>IF(SER_hh_emi_in!S22=0,0,1000000*SER_hh_emi_in!S22/SER_hh_num_in!S22)</f>
        <v>8362.7262407544022</v>
      </c>
      <c r="T22" s="133">
        <f>IF(SER_hh_emi_in!T22=0,0,1000000*SER_hh_emi_in!T22/SER_hh_num_in!T22)</f>
        <v>7905.8391740168236</v>
      </c>
      <c r="U22" s="133">
        <f>IF(SER_hh_emi_in!U22=0,0,1000000*SER_hh_emi_in!U22/SER_hh_num_in!U22)</f>
        <v>7781.0656822345827</v>
      </c>
      <c r="V22" s="133">
        <f>IF(SER_hh_emi_in!V22=0,0,1000000*SER_hh_emi_in!V22/SER_hh_num_in!V22)</f>
        <v>6970.4075258401845</v>
      </c>
      <c r="W22" s="133">
        <f>IF(SER_hh_emi_in!W22=0,0,1000000*SER_hh_emi_in!W22/SER_hh_num_in!W22)</f>
        <v>7278.6326820983732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7931.3122600717052</v>
      </c>
      <c r="D23" s="133">
        <f>IF(SER_hh_emi_in!D23=0,0,1000000*SER_hh_emi_in!D23/SER_hh_num_in!D23)</f>
        <v>7751.9762592322177</v>
      </c>
      <c r="E23" s="133">
        <f>IF(SER_hh_emi_in!E23=0,0,1000000*SER_hh_emi_in!E23/SER_hh_num_in!E23)</f>
        <v>7478.4999907011806</v>
      </c>
      <c r="F23" s="133">
        <f>IF(SER_hh_emi_in!F23=0,0,1000000*SER_hh_emi_in!F23/SER_hh_num_in!F23)</f>
        <v>7458.2110467502343</v>
      </c>
      <c r="G23" s="133">
        <f>IF(SER_hh_emi_in!G23=0,0,1000000*SER_hh_emi_in!G23/SER_hh_num_in!G23)</f>
        <v>7307.2764740656075</v>
      </c>
      <c r="H23" s="133">
        <f>IF(SER_hh_emi_in!H23=0,0,1000000*SER_hh_emi_in!H23/SER_hh_num_in!H23)</f>
        <v>7064.8870065464043</v>
      </c>
      <c r="I23" s="133">
        <f>IF(SER_hh_emi_in!I23=0,0,1000000*SER_hh_emi_in!I23/SER_hh_num_in!I23)</f>
        <v>7084.9010875140111</v>
      </c>
      <c r="J23" s="133">
        <f>IF(SER_hh_emi_in!J23=0,0,1000000*SER_hh_emi_in!J23/SER_hh_num_in!J23)</f>
        <v>6908.6974674805779</v>
      </c>
      <c r="K23" s="133">
        <f>IF(SER_hh_emi_in!K23=0,0,1000000*SER_hh_emi_in!K23/SER_hh_num_in!K23)</f>
        <v>7097.7530978275126</v>
      </c>
      <c r="L23" s="133">
        <f>IF(SER_hh_emi_in!L23=0,0,1000000*SER_hh_emi_in!L23/SER_hh_num_in!L23)</f>
        <v>7090.0783114031528</v>
      </c>
      <c r="M23" s="133">
        <f>IF(SER_hh_emi_in!M23=0,0,1000000*SER_hh_emi_in!M23/SER_hh_num_in!M23)</f>
        <v>7129.5187432804632</v>
      </c>
      <c r="N23" s="133">
        <f>IF(SER_hh_emi_in!N23=0,0,1000000*SER_hh_emi_in!N23/SER_hh_num_in!N23)</f>
        <v>6855.4939341673607</v>
      </c>
      <c r="O23" s="133">
        <f>IF(SER_hh_emi_in!O23=0,0,1000000*SER_hh_emi_in!O23/SER_hh_num_in!O23)</f>
        <v>6629.9766918005662</v>
      </c>
      <c r="P23" s="133">
        <f>IF(SER_hh_emi_in!P23=0,0,1000000*SER_hh_emi_in!P23/SER_hh_num_in!P23)</f>
        <v>6425.856231085374</v>
      </c>
      <c r="Q23" s="133">
        <f>IF(SER_hh_emi_in!Q23=0,0,1000000*SER_hh_emi_in!Q23/SER_hh_num_in!Q23)</f>
        <v>6082.886739919647</v>
      </c>
      <c r="R23" s="133">
        <f>IF(SER_hh_emi_in!R23=0,0,1000000*SER_hh_emi_in!R23/SER_hh_num_in!R23)</f>
        <v>5979.7321379954592</v>
      </c>
      <c r="S23" s="133">
        <f>IF(SER_hh_emi_in!S23=0,0,1000000*SER_hh_emi_in!S23/SER_hh_num_in!S23)</f>
        <v>6019.1467246988432</v>
      </c>
      <c r="T23" s="133">
        <f>IF(SER_hh_emi_in!T23=0,0,1000000*SER_hh_emi_in!T23/SER_hh_num_in!T23)</f>
        <v>5671.2961058454339</v>
      </c>
      <c r="U23" s="133">
        <f>IF(SER_hh_emi_in!U23=0,0,1000000*SER_hh_emi_in!U23/SER_hh_num_in!U23)</f>
        <v>5628.5427956296553</v>
      </c>
      <c r="V23" s="133">
        <f>IF(SER_hh_emi_in!V23=0,0,1000000*SER_hh_emi_in!V23/SER_hh_num_in!V23)</f>
        <v>5128.6467963399418</v>
      </c>
      <c r="W23" s="133">
        <f>IF(SER_hh_emi_in!W23=0,0,1000000*SER_hh_emi_in!W23/SER_hh_num_in!W23)</f>
        <v>5289.2366907909563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4665.7328032568448</v>
      </c>
      <c r="D29" s="131">
        <f>IF(SER_hh_emi_in!D29=0,0,1000000*SER_hh_emi_in!D29/SER_hh_num_in!D29)</f>
        <v>4668.0071498595398</v>
      </c>
      <c r="E29" s="131">
        <f>IF(SER_hh_emi_in!E29=0,0,1000000*SER_hh_emi_in!E29/SER_hh_num_in!E29)</f>
        <v>5465.4113948733502</v>
      </c>
      <c r="F29" s="131">
        <f>IF(SER_hh_emi_in!F29=0,0,1000000*SER_hh_emi_in!F29/SER_hh_num_in!F29)</f>
        <v>6015.4677936563794</v>
      </c>
      <c r="G29" s="131">
        <f>IF(SER_hh_emi_in!G29=0,0,1000000*SER_hh_emi_in!G29/SER_hh_num_in!G29)</f>
        <v>6583.5324049175433</v>
      </c>
      <c r="H29" s="131">
        <f>IF(SER_hh_emi_in!H29=0,0,1000000*SER_hh_emi_in!H29/SER_hh_num_in!H29)</f>
        <v>6040.7419564134452</v>
      </c>
      <c r="I29" s="131">
        <f>IF(SER_hh_emi_in!I29=0,0,1000000*SER_hh_emi_in!I29/SER_hh_num_in!I29)</f>
        <v>4988.5499495112017</v>
      </c>
      <c r="J29" s="131">
        <f>IF(SER_hh_emi_in!J29=0,0,1000000*SER_hh_emi_in!J29/SER_hh_num_in!J29)</f>
        <v>3707.1333980469285</v>
      </c>
      <c r="K29" s="131">
        <f>IF(SER_hh_emi_in!K29=0,0,1000000*SER_hh_emi_in!K29/SER_hh_num_in!K29)</f>
        <v>3777.8760744107994</v>
      </c>
      <c r="L29" s="131">
        <f>IF(SER_hh_emi_in!L29=0,0,1000000*SER_hh_emi_in!L29/SER_hh_num_in!L29)</f>
        <v>5653.5863021714649</v>
      </c>
      <c r="M29" s="131">
        <f>IF(SER_hh_emi_in!M29=0,0,1000000*SER_hh_emi_in!M29/SER_hh_num_in!M29)</f>
        <v>5279.0482810371914</v>
      </c>
      <c r="N29" s="131">
        <f>IF(SER_hh_emi_in!N29=0,0,1000000*SER_hh_emi_in!N29/SER_hh_num_in!N29)</f>
        <v>4402.2549118515535</v>
      </c>
      <c r="O29" s="131">
        <f>IF(SER_hh_emi_in!O29=0,0,1000000*SER_hh_emi_in!O29/SER_hh_num_in!O29)</f>
        <v>5694.0081814869636</v>
      </c>
      <c r="P29" s="131">
        <f>IF(SER_hh_emi_in!P29=0,0,1000000*SER_hh_emi_in!P29/SER_hh_num_in!P29)</f>
        <v>2698.1850193133891</v>
      </c>
      <c r="Q29" s="131">
        <f>IF(SER_hh_emi_in!Q29=0,0,1000000*SER_hh_emi_in!Q29/SER_hh_num_in!Q29)</f>
        <v>4911.2602927970147</v>
      </c>
      <c r="R29" s="131">
        <f>IF(SER_hh_emi_in!R29=0,0,1000000*SER_hh_emi_in!R29/SER_hh_num_in!R29)</f>
        <v>3089.8552364722086</v>
      </c>
      <c r="S29" s="131">
        <f>IF(SER_hh_emi_in!S29=0,0,1000000*SER_hh_emi_in!S29/SER_hh_num_in!S29)</f>
        <v>4864.4994844616649</v>
      </c>
      <c r="T29" s="131">
        <f>IF(SER_hh_emi_in!T29=0,0,1000000*SER_hh_emi_in!T29/SER_hh_num_in!T29)</f>
        <v>4807.3501700442412</v>
      </c>
      <c r="U29" s="131">
        <f>IF(SER_hh_emi_in!U29=0,0,1000000*SER_hh_emi_in!U29/SER_hh_num_in!U29)</f>
        <v>4024.1593331937875</v>
      </c>
      <c r="V29" s="131">
        <f>IF(SER_hh_emi_in!V29=0,0,1000000*SER_hh_emi_in!V29/SER_hh_num_in!V29)</f>
        <v>1923.6989696642897</v>
      </c>
      <c r="W29" s="131">
        <f>IF(SER_hh_emi_in!W29=0,0,1000000*SER_hh_emi_in!W29/SER_hh_num_in!W29)</f>
        <v>3546.3778340355743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9646.8211747551341</v>
      </c>
      <c r="D30" s="133">
        <f>IF(SER_hh_emi_in!D30=0,0,1000000*SER_hh_emi_in!D30/SER_hh_num_in!D30)</f>
        <v>9302.6021998605174</v>
      </c>
      <c r="E30" s="133">
        <f>IF(SER_hh_emi_in!E30=0,0,1000000*SER_hh_emi_in!E30/SER_hh_num_in!E30)</f>
        <v>9087.1749994252914</v>
      </c>
      <c r="F30" s="133">
        <f>IF(SER_hh_emi_in!F30=0,0,1000000*SER_hh_emi_in!F30/SER_hh_num_in!F30)</f>
        <v>8997.6095619544521</v>
      </c>
      <c r="G30" s="133">
        <f>IF(SER_hh_emi_in!G30=0,0,1000000*SER_hh_emi_in!G30/SER_hh_num_in!G30)</f>
        <v>9584.2511204920866</v>
      </c>
      <c r="H30" s="133">
        <f>IF(SER_hh_emi_in!H30=0,0,1000000*SER_hh_emi_in!H30/SER_hh_num_in!H30)</f>
        <v>9155.5935865150423</v>
      </c>
      <c r="I30" s="133">
        <f>IF(SER_hh_emi_in!I30=0,0,1000000*SER_hh_emi_in!I30/SER_hh_num_in!I30)</f>
        <v>8897.4707840272549</v>
      </c>
      <c r="J30" s="133">
        <f>IF(SER_hh_emi_in!J30=0,0,1000000*SER_hh_emi_in!J30/SER_hh_num_in!J30)</f>
        <v>10275.375097068731</v>
      </c>
      <c r="K30" s="133">
        <f>IF(SER_hh_emi_in!K30=0,0,1000000*SER_hh_emi_in!K30/SER_hh_num_in!K30)</f>
        <v>7741.3584743417878</v>
      </c>
      <c r="L30" s="133">
        <f>IF(SER_hh_emi_in!L30=0,0,1000000*SER_hh_emi_in!L30/SER_hh_num_in!L30)</f>
        <v>9992.4872679252403</v>
      </c>
      <c r="M30" s="133">
        <f>IF(SER_hh_emi_in!M30=0,0,1000000*SER_hh_emi_in!M30/SER_hh_num_in!M30)</f>
        <v>9846.5109892013043</v>
      </c>
      <c r="N30" s="133">
        <f>IF(SER_hh_emi_in!N30=0,0,1000000*SER_hh_emi_in!N30/SER_hh_num_in!N30)</f>
        <v>9461.7870807982199</v>
      </c>
      <c r="O30" s="133">
        <f>IF(SER_hh_emi_in!O30=0,0,1000000*SER_hh_emi_in!O30/SER_hh_num_in!O30)</f>
        <v>11094.215752012433</v>
      </c>
      <c r="P30" s="133">
        <f>IF(SER_hh_emi_in!P30=0,0,1000000*SER_hh_emi_in!P30/SER_hh_num_in!P30)</f>
        <v>9402.802283020188</v>
      </c>
      <c r="Q30" s="133">
        <f>IF(SER_hh_emi_in!Q30=0,0,1000000*SER_hh_emi_in!Q30/SER_hh_num_in!Q30)</f>
        <v>10513.684611831022</v>
      </c>
      <c r="R30" s="133">
        <f>IF(SER_hh_emi_in!R30=0,0,1000000*SER_hh_emi_in!R30/SER_hh_num_in!R30)</f>
        <v>9503.2474725866559</v>
      </c>
      <c r="S30" s="133">
        <f>IF(SER_hh_emi_in!S30=0,0,1000000*SER_hh_emi_in!S30/SER_hh_num_in!S30)</f>
        <v>9818.2806004800641</v>
      </c>
      <c r="T30" s="133">
        <f>IF(SER_hh_emi_in!T30=0,0,1000000*SER_hh_emi_in!T30/SER_hh_num_in!T30)</f>
        <v>10627.945878724164</v>
      </c>
      <c r="U30" s="133">
        <f>IF(SER_hh_emi_in!U30=0,0,1000000*SER_hh_emi_in!U30/SER_hh_num_in!U30)</f>
        <v>10649.429848470039</v>
      </c>
      <c r="V30" s="133">
        <f>IF(SER_hh_emi_in!V30=0,0,1000000*SER_hh_emi_in!V30/SER_hh_num_in!V30)</f>
        <v>9049.4146415180749</v>
      </c>
      <c r="W30" s="133">
        <f>IF(SER_hh_emi_in!W30=0,0,1000000*SER_hh_emi_in!W30/SER_hh_num_in!W30)</f>
        <v>10430.999532951579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8389.6120902957809</v>
      </c>
      <c r="D31" s="133">
        <f>IF(SER_hh_emi_in!D31=0,0,1000000*SER_hh_emi_in!D31/SER_hh_num_in!D31)</f>
        <v>8246.3042482587371</v>
      </c>
      <c r="E31" s="133">
        <f>IF(SER_hh_emi_in!E31=0,0,1000000*SER_hh_emi_in!E31/SER_hh_num_in!E31)</f>
        <v>8065.9141547080535</v>
      </c>
      <c r="F31" s="133">
        <f>IF(SER_hh_emi_in!F31=0,0,1000000*SER_hh_emi_in!F31/SER_hh_num_in!F31)</f>
        <v>8133.4560043192678</v>
      </c>
      <c r="G31" s="133">
        <f>IF(SER_hh_emi_in!G31=0,0,1000000*SER_hh_emi_in!G31/SER_hh_num_in!G31)</f>
        <v>8069.7795696581115</v>
      </c>
      <c r="H31" s="133">
        <f>IF(SER_hh_emi_in!H31=0,0,1000000*SER_hh_emi_in!H31/SER_hh_num_in!H31)</f>
        <v>8049.5401295113325</v>
      </c>
      <c r="I31" s="133">
        <f>IF(SER_hh_emi_in!I31=0,0,1000000*SER_hh_emi_in!I31/SER_hh_num_in!I31)</f>
        <v>7899.952979917206</v>
      </c>
      <c r="J31" s="133">
        <f>IF(SER_hh_emi_in!J31=0,0,1000000*SER_hh_emi_in!J31/SER_hh_num_in!J31)</f>
        <v>7854.9996723683798</v>
      </c>
      <c r="K31" s="133">
        <f>IF(SER_hh_emi_in!K31=0,0,1000000*SER_hh_emi_in!K31/SER_hh_num_in!K31)</f>
        <v>8038.8986319643209</v>
      </c>
      <c r="L31" s="133">
        <f>IF(SER_hh_emi_in!L31=0,0,1000000*SER_hh_emi_in!L31/SER_hh_num_in!L31)</f>
        <v>8144.1401831501435</v>
      </c>
      <c r="M31" s="133">
        <f>IF(SER_hh_emi_in!M31=0,0,1000000*SER_hh_emi_in!M31/SER_hh_num_in!M31)</f>
        <v>8417.6816203328417</v>
      </c>
      <c r="N31" s="133">
        <f>IF(SER_hh_emi_in!N31=0,0,1000000*SER_hh_emi_in!N31/SER_hh_num_in!N31)</f>
        <v>8716.9695222701921</v>
      </c>
      <c r="O31" s="133">
        <f>IF(SER_hh_emi_in!O31=0,0,1000000*SER_hh_emi_in!O31/SER_hh_num_in!O31)</f>
        <v>8729.4521577871092</v>
      </c>
      <c r="P31" s="133">
        <f>IF(SER_hh_emi_in!P31=0,0,1000000*SER_hh_emi_in!P31/SER_hh_num_in!P31)</f>
        <v>8652.5171940284963</v>
      </c>
      <c r="Q31" s="133">
        <f>IF(SER_hh_emi_in!Q31=0,0,1000000*SER_hh_emi_in!Q31/SER_hh_num_in!Q31)</f>
        <v>8876.6677862458091</v>
      </c>
      <c r="R31" s="133">
        <f>IF(SER_hh_emi_in!R31=0,0,1000000*SER_hh_emi_in!R31/SER_hh_num_in!R31)</f>
        <v>8857.4221710811307</v>
      </c>
      <c r="S31" s="133">
        <f>IF(SER_hh_emi_in!S31=0,0,1000000*SER_hh_emi_in!S31/SER_hh_num_in!S31)</f>
        <v>8723.8945601242285</v>
      </c>
      <c r="T31" s="133">
        <f>IF(SER_hh_emi_in!T31=0,0,1000000*SER_hh_emi_in!T31/SER_hh_num_in!T31)</f>
        <v>8887.3450143046393</v>
      </c>
      <c r="U31" s="133">
        <f>IF(SER_hh_emi_in!U31=0,0,1000000*SER_hh_emi_in!U31/SER_hh_num_in!U31)</f>
        <v>8879.8872962661844</v>
      </c>
      <c r="V31" s="133">
        <f>IF(SER_hh_emi_in!V31=0,0,1000000*SER_hh_emi_in!V31/SER_hh_num_in!V31)</f>
        <v>8185.8214335068133</v>
      </c>
      <c r="W31" s="133">
        <f>IF(SER_hh_emi_in!W31=0,0,1000000*SER_hh_emi_in!W31/SER_hh_num_in!W31)</f>
        <v>8859.0870266219426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279.49939575105657</v>
      </c>
      <c r="D3" s="126">
        <f>IF(SER_hh_fech_in!D3=0,0,SER_hh_fech_in!D3/SER_summary!D$27)</f>
        <v>264.0566495787491</v>
      </c>
      <c r="E3" s="126">
        <f>IF(SER_hh_fech_in!E3=0,0,SER_hh_fech_in!E3/SER_summary!E$27)</f>
        <v>299.16960435675861</v>
      </c>
      <c r="F3" s="126">
        <f>IF(SER_hh_fech_in!F3=0,0,SER_hh_fech_in!F3/SER_summary!F$27)</f>
        <v>275.53958958986357</v>
      </c>
      <c r="G3" s="126">
        <f>IF(SER_hh_fech_in!G3=0,0,SER_hh_fech_in!G3/SER_summary!G$27)</f>
        <v>281.6303559282976</v>
      </c>
      <c r="H3" s="126">
        <f>IF(SER_hh_fech_in!H3=0,0,SER_hh_fech_in!H3/SER_summary!H$27)</f>
        <v>294.43347934048182</v>
      </c>
      <c r="I3" s="126">
        <f>IF(SER_hh_fech_in!I3=0,0,SER_hh_fech_in!I3/SER_summary!I$27)</f>
        <v>279.36025802309746</v>
      </c>
      <c r="J3" s="126">
        <f>IF(SER_hh_fech_in!J3=0,0,SER_hh_fech_in!J3/SER_summary!J$27)</f>
        <v>295.88051432066203</v>
      </c>
      <c r="K3" s="126">
        <f>IF(SER_hh_fech_in!K3=0,0,SER_hh_fech_in!K3/SER_summary!K$27)</f>
        <v>286.60911377616213</v>
      </c>
      <c r="L3" s="126">
        <f>IF(SER_hh_fech_in!L3=0,0,SER_hh_fech_in!L3/SER_summary!L$27)</f>
        <v>287.75520150477621</v>
      </c>
      <c r="M3" s="126">
        <f>IF(SER_hh_fech_in!M3=0,0,SER_hh_fech_in!M3/SER_summary!M$27)</f>
        <v>272.28698972984739</v>
      </c>
      <c r="N3" s="126">
        <f>IF(SER_hh_fech_in!N3=0,0,SER_hh_fech_in!N3/SER_summary!N$27)</f>
        <v>269.85769134819725</v>
      </c>
      <c r="O3" s="126">
        <f>IF(SER_hh_fech_in!O3=0,0,SER_hh_fech_in!O3/SER_summary!O$27)</f>
        <v>266.47946626219243</v>
      </c>
      <c r="P3" s="126">
        <f>IF(SER_hh_fech_in!P3=0,0,SER_hh_fech_in!P3/SER_summary!P$27)</f>
        <v>219.02312194003687</v>
      </c>
      <c r="Q3" s="126">
        <f>IF(SER_hh_fech_in!Q3=0,0,SER_hh_fech_in!Q3/SER_summary!Q$27)</f>
        <v>221.32120067632815</v>
      </c>
      <c r="R3" s="126">
        <f>IF(SER_hh_fech_in!R3=0,0,SER_hh_fech_in!R3/SER_summary!R$27)</f>
        <v>204.38775195641375</v>
      </c>
      <c r="S3" s="126">
        <f>IF(SER_hh_fech_in!S3=0,0,SER_hh_fech_in!S3/SER_summary!S$27)</f>
        <v>192.3097088566181</v>
      </c>
      <c r="T3" s="126">
        <f>IF(SER_hh_fech_in!T3=0,0,SER_hh_fech_in!T3/SER_summary!T$27)</f>
        <v>200.38427707606547</v>
      </c>
      <c r="U3" s="126">
        <f>IF(SER_hh_fech_in!U3=0,0,SER_hh_fech_in!U3/SER_summary!U$27)</f>
        <v>187.46862076672636</v>
      </c>
      <c r="V3" s="126">
        <f>IF(SER_hh_fech_in!V3=0,0,SER_hh_fech_in!V3/SER_summary!V$27)</f>
        <v>157.51882487057597</v>
      </c>
      <c r="W3" s="126">
        <f>IF(SER_hh_fech_in!W3=0,0,SER_hh_fech_in!W3/SER_summary!W$27)</f>
        <v>132.87099402150392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189.28181825515671</v>
      </c>
      <c r="D4" s="131">
        <f>IF(SER_hh_fech_in!D4=0,0,SER_hh_fech_in!D4/SER_summary!D$27)</f>
        <v>175.50770069740227</v>
      </c>
      <c r="E4" s="131">
        <f>IF(SER_hh_fech_in!E4=0,0,SER_hh_fech_in!E4/SER_summary!E$27)</f>
        <v>211.03314860568199</v>
      </c>
      <c r="F4" s="131">
        <f>IF(SER_hh_fech_in!F4=0,0,SER_hh_fech_in!F4/SER_summary!F$27)</f>
        <v>187.99278091690118</v>
      </c>
      <c r="G4" s="131">
        <f>IF(SER_hh_fech_in!G4=0,0,SER_hh_fech_in!G4/SER_summary!G$27)</f>
        <v>193.65513228692927</v>
      </c>
      <c r="H4" s="131">
        <f>IF(SER_hh_fech_in!H4=0,0,SER_hh_fech_in!H4/SER_summary!H$27)</f>
        <v>208.57446742115039</v>
      </c>
      <c r="I4" s="131">
        <f>IF(SER_hh_fech_in!I4=0,0,SER_hh_fech_in!I4/SER_summary!I$27)</f>
        <v>197.92869501561162</v>
      </c>
      <c r="J4" s="131">
        <f>IF(SER_hh_fech_in!J4=0,0,SER_hh_fech_in!J4/SER_summary!J$27)</f>
        <v>215.52359110795615</v>
      </c>
      <c r="K4" s="131">
        <f>IF(SER_hh_fech_in!K4=0,0,SER_hh_fech_in!K4/SER_summary!K$27)</f>
        <v>201.54755601781648</v>
      </c>
      <c r="L4" s="131">
        <f>IF(SER_hh_fech_in!L4=0,0,SER_hh_fech_in!L4/SER_summary!L$27)</f>
        <v>201.70393826278962</v>
      </c>
      <c r="M4" s="131">
        <f>IF(SER_hh_fech_in!M4=0,0,SER_hh_fech_in!M4/SER_summary!M$27)</f>
        <v>185.22733423751947</v>
      </c>
      <c r="N4" s="131">
        <f>IF(SER_hh_fech_in!N4=0,0,SER_hh_fech_in!N4/SER_summary!N$27)</f>
        <v>183.44606661623882</v>
      </c>
      <c r="O4" s="131">
        <f>IF(SER_hh_fech_in!O4=0,0,SER_hh_fech_in!O4/SER_summary!O$27)</f>
        <v>180.95835608875709</v>
      </c>
      <c r="P4" s="131">
        <f>IF(SER_hh_fech_in!P4=0,0,SER_hh_fech_in!P4/SER_summary!P$27)</f>
        <v>139.15615499087855</v>
      </c>
      <c r="Q4" s="131">
        <f>IF(SER_hh_fech_in!Q4=0,0,SER_hh_fech_in!Q4/SER_summary!Q$27)</f>
        <v>140.37321144939642</v>
      </c>
      <c r="R4" s="131">
        <f>IF(SER_hh_fech_in!R4=0,0,SER_hh_fech_in!R4/SER_summary!R$27)</f>
        <v>127.27543493503487</v>
      </c>
      <c r="S4" s="131">
        <f>IF(SER_hh_fech_in!S4=0,0,SER_hh_fech_in!S4/SER_summary!S$27)</f>
        <v>114.15343650404434</v>
      </c>
      <c r="T4" s="131">
        <f>IF(SER_hh_fech_in!T4=0,0,SER_hh_fech_in!T4/SER_summary!T$27)</f>
        <v>123.72620595525564</v>
      </c>
      <c r="U4" s="131">
        <f>IF(SER_hh_fech_in!U4=0,0,SER_hh_fech_in!U4/SER_summary!U$27)</f>
        <v>113.09959818345953</v>
      </c>
      <c r="V4" s="131">
        <f>IF(SER_hh_fech_in!V4=0,0,SER_hh_fech_in!V4/SER_summary!V$27)</f>
        <v>89.522362933199943</v>
      </c>
      <c r="W4" s="131">
        <f>IF(SER_hh_fech_in!W4=0,0,SER_hh_fech_in!W4/SER_summary!W$27)</f>
        <v>61.435003113808257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118.84341645071862</v>
      </c>
      <c r="D5" s="133">
        <f>IF(SER_hh_fech_in!D5=0,0,SER_hh_fech_in!D5/SER_summary!D$27)</f>
        <v>60.620347604333766</v>
      </c>
      <c r="E5" s="133">
        <f>IF(SER_hh_fech_in!E5=0,0,SER_hh_fech_in!E5/SER_summary!E$27)</f>
        <v>329.61363010503942</v>
      </c>
      <c r="F5" s="133">
        <f>IF(SER_hh_fech_in!F5=0,0,SER_hh_fech_in!F5/SER_summary!F$27)</f>
        <v>278.63484329376536</v>
      </c>
      <c r="G5" s="133">
        <f>IF(SER_hh_fech_in!G5=0,0,SER_hh_fech_in!G5/SER_summary!G$27)</f>
        <v>271.88408712312037</v>
      </c>
      <c r="H5" s="133">
        <f>IF(SER_hh_fech_in!H5=0,0,SER_hh_fech_in!H5/SER_summary!H$27)</f>
        <v>269.81088270711916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199.56738134486014</v>
      </c>
      <c r="S5" s="133">
        <f>IF(SER_hh_fech_in!S5=0,0,SER_hh_fech_in!S5/SER_summary!S$27)</f>
        <v>156.41437887248253</v>
      </c>
      <c r="T5" s="133">
        <f>IF(SER_hh_fech_in!T5=0,0,SER_hh_fech_in!T5/SER_summary!T$27)</f>
        <v>165.98614543313187</v>
      </c>
      <c r="U5" s="133">
        <f>IF(SER_hh_fech_in!U5=0,0,SER_hh_fech_in!U5/SER_summary!U$27)</f>
        <v>161.79641965573049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236.47711625079222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264.99569606835519</v>
      </c>
      <c r="K7" s="133">
        <f>IF(SER_hh_fech_in!K7=0,0,SER_hh_fech_in!K7/SER_summary!K$27)</f>
        <v>221.89739406342798</v>
      </c>
      <c r="L7" s="133">
        <f>IF(SER_hh_fech_in!L7=0,0,SER_hh_fech_in!L7/SER_summary!L$27)</f>
        <v>227.70222351016946</v>
      </c>
      <c r="M7" s="133">
        <f>IF(SER_hh_fech_in!M7=0,0,SER_hh_fech_in!M7/SER_summary!M$27)</f>
        <v>200.07195242487433</v>
      </c>
      <c r="N7" s="133">
        <f>IF(SER_hh_fech_in!N7=0,0,SER_hh_fech_in!N7/SER_summary!N$27)</f>
        <v>181.36413608436789</v>
      </c>
      <c r="O7" s="133">
        <f>IF(SER_hh_fech_in!O7=0,0,SER_hh_fech_in!O7/SER_summary!O$27)</f>
        <v>205.97253577257939</v>
      </c>
      <c r="P7" s="133">
        <f>IF(SER_hh_fech_in!P7=0,0,SER_hh_fech_in!P7/SER_summary!P$27)</f>
        <v>169.52136867988912</v>
      </c>
      <c r="Q7" s="133">
        <f>IF(SER_hh_fech_in!Q7=0,0,SER_hh_fech_in!Q7/SER_summary!Q$27)</f>
        <v>167.15539470166277</v>
      </c>
      <c r="R7" s="133">
        <f>IF(SER_hh_fech_in!R7=0,0,SER_hh_fech_in!R7/SER_summary!R$27)</f>
        <v>151.52452804800771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100.63054195674873</v>
      </c>
      <c r="W7" s="133">
        <f>IF(SER_hh_fech_in!W7=0,0,SER_hh_fech_in!W7/SER_summary!W$27)</f>
        <v>79.439310342980079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210.83164490904139</v>
      </c>
      <c r="D9" s="133">
        <f>IF(SER_hh_fech_in!D9=0,0,SER_hh_fech_in!D9/SER_summary!D$27)</f>
        <v>202.78589927898653</v>
      </c>
      <c r="E9" s="133">
        <f>IF(SER_hh_fech_in!E9=0,0,SER_hh_fech_in!E9/SER_summary!E$27)</f>
        <v>212.13236620220189</v>
      </c>
      <c r="F9" s="133">
        <f>IF(SER_hh_fech_in!F9=0,0,SER_hh_fech_in!F9/SER_summary!F$27)</f>
        <v>209.81193470218832</v>
      </c>
      <c r="G9" s="133">
        <f>IF(SER_hh_fech_in!G9=0,0,SER_hh_fech_in!G9/SER_summary!G$27)</f>
        <v>208.05601779270211</v>
      </c>
      <c r="H9" s="133">
        <f>IF(SER_hh_fech_in!H9=0,0,SER_hh_fech_in!H9/SER_summary!H$27)</f>
        <v>225.41262719629589</v>
      </c>
      <c r="I9" s="133">
        <f>IF(SER_hh_fech_in!I9=0,0,SER_hh_fech_in!I9/SER_summary!I$27)</f>
        <v>222.78095354130554</v>
      </c>
      <c r="J9" s="133">
        <f>IF(SER_hh_fech_in!J9=0,0,SER_hh_fech_in!J9/SER_summary!J$27)</f>
        <v>223.32672869857419</v>
      </c>
      <c r="K9" s="133">
        <f>IF(SER_hh_fech_in!K9=0,0,SER_hh_fech_in!K9/SER_summary!K$27)</f>
        <v>195.06584618085407</v>
      </c>
      <c r="L9" s="133">
        <f>IF(SER_hh_fech_in!L9=0,0,SER_hh_fech_in!L9/SER_summary!L$27)</f>
        <v>197.54046018661091</v>
      </c>
      <c r="M9" s="133">
        <f>IF(SER_hh_fech_in!M9=0,0,SER_hh_fech_in!M9/SER_summary!M$27)</f>
        <v>184.82688200319572</v>
      </c>
      <c r="N9" s="133">
        <f>IF(SER_hh_fech_in!N9=0,0,SER_hh_fech_in!N9/SER_summary!N$27)</f>
        <v>187.04249432008896</v>
      </c>
      <c r="O9" s="133">
        <f>IF(SER_hh_fech_in!O9=0,0,SER_hh_fech_in!O9/SER_summary!O$27)</f>
        <v>167.47557095895868</v>
      </c>
      <c r="P9" s="133">
        <f>IF(SER_hh_fech_in!P9=0,0,SER_hh_fech_in!P9/SER_summary!P$27)</f>
        <v>143.2703153877614</v>
      </c>
      <c r="Q9" s="133">
        <f>IF(SER_hh_fech_in!Q9=0,0,SER_hh_fech_in!Q9/SER_summary!Q$27)</f>
        <v>146.05007077196009</v>
      </c>
      <c r="R9" s="133">
        <f>IF(SER_hh_fech_in!R9=0,0,SER_hh_fech_in!R9/SER_summary!R$27)</f>
        <v>136.01860368795064</v>
      </c>
      <c r="S9" s="133">
        <f>IF(SER_hh_fech_in!S9=0,0,SER_hh_fech_in!S9/SER_summary!S$27)</f>
        <v>125.43619738347206</v>
      </c>
      <c r="T9" s="133">
        <f>IF(SER_hh_fech_in!T9=0,0,SER_hh_fech_in!T9/SER_summary!T$27)</f>
        <v>128.41333472963441</v>
      </c>
      <c r="U9" s="133">
        <f>IF(SER_hh_fech_in!U9=0,0,SER_hh_fech_in!U9/SER_summary!U$27)</f>
        <v>114.55946902794309</v>
      </c>
      <c r="V9" s="133">
        <f>IF(SER_hh_fech_in!V9=0,0,SER_hh_fech_in!V9/SER_summary!V$27)</f>
        <v>104.8230267640144</v>
      </c>
      <c r="W9" s="133">
        <f>IF(SER_hh_fech_in!W9=0,0,SER_hh_fech_in!W9/SER_summary!W$27)</f>
        <v>62.136706025200503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60.391378888367491</v>
      </c>
      <c r="H10" s="133">
        <f>IF(SER_hh_fech_in!H10=0,0,SER_hh_fech_in!H10/SER_summary!H$27)</f>
        <v>155.82429894165227</v>
      </c>
      <c r="I10" s="133">
        <f>IF(SER_hh_fech_in!I10=0,0,SER_hh_fech_in!I10/SER_summary!I$27)</f>
        <v>289.80191204981963</v>
      </c>
      <c r="J10" s="133">
        <f>IF(SER_hh_fech_in!J10=0,0,SER_hh_fech_in!J10/SER_summary!J$27)</f>
        <v>345.80661607967403</v>
      </c>
      <c r="K10" s="133">
        <f>IF(SER_hh_fech_in!K10=0,0,SER_hh_fech_in!K10/SER_summary!K$27)</f>
        <v>326.72459724059877</v>
      </c>
      <c r="L10" s="133">
        <f>IF(SER_hh_fech_in!L10=0,0,SER_hh_fech_in!L10/SER_summary!L$27)</f>
        <v>233.00871657649827</v>
      </c>
      <c r="M10" s="133">
        <f>IF(SER_hh_fech_in!M10=0,0,SER_hh_fech_in!M10/SER_summary!M$27)</f>
        <v>245.34195173713675</v>
      </c>
      <c r="N10" s="133">
        <f>IF(SER_hh_fech_in!N10=0,0,SER_hh_fech_in!N10/SER_summary!N$27)</f>
        <v>234.18640917024064</v>
      </c>
      <c r="O10" s="133">
        <f>IF(SER_hh_fech_in!O10=0,0,SER_hh_fech_in!O10/SER_summary!O$27)</f>
        <v>268.67362328791023</v>
      </c>
      <c r="P10" s="133">
        <f>IF(SER_hh_fech_in!P10=0,0,SER_hh_fech_in!P10/SER_summary!P$27)</f>
        <v>275.62777755298521</v>
      </c>
      <c r="Q10" s="133">
        <f>IF(SER_hh_fech_in!Q10=0,0,SER_hh_fech_in!Q10/SER_summary!Q$27)</f>
        <v>155.82325655402656</v>
      </c>
      <c r="R10" s="133">
        <f>IF(SER_hh_fech_in!R10=0,0,SER_hh_fech_in!R10/SER_summary!R$27)</f>
        <v>217.46422241667455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131.29171443049248</v>
      </c>
      <c r="W10" s="133">
        <f>IF(SER_hh_fech_in!W10=0,0,SER_hh_fech_in!W10/SER_summary!W$27)</f>
        <v>127.24197461032797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43.778918613085217</v>
      </c>
      <c r="D13" s="133">
        <f>IF(SER_hh_fech_in!D13=0,0,SER_hh_fech_in!D13/SER_summary!D$27)</f>
        <v>11.991132212800041</v>
      </c>
      <c r="E13" s="133">
        <f>IF(SER_hh_fech_in!E13=0,0,SER_hh_fech_in!E13/SER_summary!E$27)</f>
        <v>57.10335649960335</v>
      </c>
      <c r="F13" s="133">
        <f>IF(SER_hh_fech_in!F13=0,0,SER_hh_fech_in!F13/SER_summary!F$27)</f>
        <v>42.100967579670119</v>
      </c>
      <c r="G13" s="133">
        <f>IF(SER_hh_fech_in!G13=0,0,SER_hh_fech_in!G13/SER_summary!G$27)</f>
        <v>61.12813967954807</v>
      </c>
      <c r="H13" s="133">
        <f>IF(SER_hh_fech_in!H13=0,0,SER_hh_fech_in!H13/SER_summary!H$27)</f>
        <v>66.546310250955273</v>
      </c>
      <c r="I13" s="133">
        <f>IF(SER_hh_fech_in!I13=0,0,SER_hh_fech_in!I13/SER_summary!I$27)</f>
        <v>65.793982579071198</v>
      </c>
      <c r="J13" s="133">
        <f>IF(SER_hh_fech_in!J13=0,0,SER_hh_fech_in!J13/SER_summary!J$27)</f>
        <v>68.162339292522987</v>
      </c>
      <c r="K13" s="133">
        <f>IF(SER_hh_fech_in!K13=0,0,SER_hh_fech_in!K13/SER_summary!K$27)</f>
        <v>57.009185434721587</v>
      </c>
      <c r="L13" s="133">
        <f>IF(SER_hh_fech_in!L13=0,0,SER_hh_fech_in!L13/SER_summary!L$27)</f>
        <v>49.470944423957754</v>
      </c>
      <c r="M13" s="133">
        <f>IF(SER_hh_fech_in!M13=0,0,SER_hh_fech_in!M13/SER_summary!M$27)</f>
        <v>46.971936190619203</v>
      </c>
      <c r="N13" s="133">
        <f>IF(SER_hh_fech_in!N13=0,0,SER_hh_fech_in!N13/SER_summary!N$27)</f>
        <v>42.040929455459363</v>
      </c>
      <c r="O13" s="133">
        <f>IF(SER_hh_fech_in!O13=0,0,SER_hh_fech_in!O13/SER_summary!O$27)</f>
        <v>37.135633661097863</v>
      </c>
      <c r="P13" s="133">
        <f>IF(SER_hh_fech_in!P13=0,0,SER_hh_fech_in!P13/SER_summary!P$27)</f>
        <v>32.866466208116762</v>
      </c>
      <c r="Q13" s="133">
        <f>IF(SER_hh_fech_in!Q13=0,0,SER_hh_fech_in!Q13/SER_summary!Q$27)</f>
        <v>30.811650739349581</v>
      </c>
      <c r="R13" s="133">
        <f>IF(SER_hh_fech_in!R13=0,0,SER_hh_fech_in!R13/SER_summary!R$27)</f>
        <v>30.015639378798113</v>
      </c>
      <c r="S13" s="133">
        <f>IF(SER_hh_fech_in!S13=0,0,SER_hh_fech_in!S13/SER_summary!S$27)</f>
        <v>29.822226802283829</v>
      </c>
      <c r="T13" s="133">
        <f>IF(SER_hh_fech_in!T13=0,0,SER_hh_fech_in!T13/SER_summary!T$27)</f>
        <v>26.724145713624285</v>
      </c>
      <c r="U13" s="133">
        <f>IF(SER_hh_fech_in!U13=0,0,SER_hh_fech_in!U13/SER_summary!U$27)</f>
        <v>24.788588506183064</v>
      </c>
      <c r="V13" s="133">
        <f>IF(SER_hh_fech_in!V13=0,0,SER_hh_fech_in!V13/SER_summary!V$27)</f>
        <v>21.677874762011442</v>
      </c>
      <c r="W13" s="133">
        <f>IF(SER_hh_fech_in!W13=0,0,SER_hh_fech_in!W13/SER_summary!W$27)</f>
        <v>15.949300871552385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167.91328107491344</v>
      </c>
      <c r="D14" s="65">
        <f>IF(SER_hh_fech_in!D14=0,0,SER_hh_fech_in!D14/SER_summary!D$27)</f>
        <v>177.19457256689375</v>
      </c>
      <c r="E14" s="65">
        <f>IF(SER_hh_fech_in!E14=0,0,SER_hh_fech_in!E14/SER_summary!E$27)</f>
        <v>192.13994612768607</v>
      </c>
      <c r="F14" s="65">
        <f>IF(SER_hh_fech_in!F14=0,0,SER_hh_fech_in!F14/SER_summary!F$27)</f>
        <v>173.98617923882688</v>
      </c>
      <c r="G14" s="65">
        <f>IF(SER_hh_fech_in!G14=0,0,SER_hh_fech_in!G14/SER_summary!G$27)</f>
        <v>191.31763862533748</v>
      </c>
      <c r="H14" s="65">
        <f>IF(SER_hh_fech_in!H14=0,0,SER_hh_fech_in!H14/SER_summary!H$27)</f>
        <v>206.17576663722352</v>
      </c>
      <c r="I14" s="65">
        <f>IF(SER_hh_fech_in!I14=0,0,SER_hh_fech_in!I14/SER_summary!I$27)</f>
        <v>189.4314963165863</v>
      </c>
      <c r="J14" s="65">
        <f>IF(SER_hh_fech_in!J14=0,0,SER_hh_fech_in!J14/SER_summary!J$27)</f>
        <v>197.16085898218418</v>
      </c>
      <c r="K14" s="65">
        <f>IF(SER_hh_fech_in!K14=0,0,SER_hh_fech_in!K14/SER_summary!K$27)</f>
        <v>185.01650198661451</v>
      </c>
      <c r="L14" s="65">
        <f>IF(SER_hh_fech_in!L14=0,0,SER_hh_fech_in!L14/SER_summary!L$27)</f>
        <v>177.11694006188335</v>
      </c>
      <c r="M14" s="65">
        <f>IF(SER_hh_fech_in!M14=0,0,SER_hh_fech_in!M14/SER_summary!M$27)</f>
        <v>170.03157211709976</v>
      </c>
      <c r="N14" s="65">
        <f>IF(SER_hh_fech_in!N14=0,0,SER_hh_fech_in!N14/SER_summary!N$27)</f>
        <v>161.57592169926062</v>
      </c>
      <c r="O14" s="65">
        <f>IF(SER_hh_fech_in!O14=0,0,SER_hh_fech_in!O14/SER_summary!O$27)</f>
        <v>156.40688354715164</v>
      </c>
      <c r="P14" s="65">
        <f>IF(SER_hh_fech_in!P14=0,0,SER_hh_fech_in!P14/SER_summary!P$27)</f>
        <v>127.74231193074262</v>
      </c>
      <c r="Q14" s="65">
        <f>IF(SER_hh_fech_in!Q14=0,0,SER_hh_fech_in!Q14/SER_summary!Q$27)</f>
        <v>144.33410767192063</v>
      </c>
      <c r="R14" s="65">
        <f>IF(SER_hh_fech_in!R14=0,0,SER_hh_fech_in!R14/SER_summary!R$27)</f>
        <v>129.08518098781855</v>
      </c>
      <c r="S14" s="65">
        <f>IF(SER_hh_fech_in!S14=0,0,SER_hh_fech_in!S14/SER_summary!S$27)</f>
        <v>114.20637082010467</v>
      </c>
      <c r="T14" s="65">
        <f>IF(SER_hh_fech_in!T14=0,0,SER_hh_fech_in!T14/SER_summary!T$27)</f>
        <v>125.45811911273118</v>
      </c>
      <c r="U14" s="65">
        <f>IF(SER_hh_fech_in!U14=0,0,SER_hh_fech_in!U14/SER_summary!U$27)</f>
        <v>121.58922050744603</v>
      </c>
      <c r="V14" s="65">
        <f>IF(SER_hh_fech_in!V14=0,0,SER_hh_fech_in!V14/SER_summary!V$27)</f>
        <v>85.478519981153482</v>
      </c>
      <c r="W14" s="65">
        <f>IF(SER_hh_fech_in!W14=0,0,SER_hh_fech_in!W14/SER_summary!W$27)</f>
        <v>66.457100498105746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2.4728489929557678</v>
      </c>
      <c r="D15" s="135">
        <f>IF(SER_hh_fech_in!D15=0,0,SER_hh_fech_in!D15/SER_summary!D$27)</f>
        <v>1.930897019997933</v>
      </c>
      <c r="E15" s="135">
        <f>IF(SER_hh_fech_in!E15=0,0,SER_hh_fech_in!E15/SER_summary!E$27)</f>
        <v>2.3019676898081927</v>
      </c>
      <c r="F15" s="135">
        <f>IF(SER_hh_fech_in!F15=0,0,SER_hh_fech_in!F15/SER_summary!F$27)</f>
        <v>2.3660165952888059</v>
      </c>
      <c r="G15" s="135">
        <f>IF(SER_hh_fech_in!G15=0,0,SER_hh_fech_in!G15/SER_summary!G$27)</f>
        <v>2.339750426601563</v>
      </c>
      <c r="H15" s="135">
        <f>IF(SER_hh_fech_in!H15=0,0,SER_hh_fech_in!H15/SER_summary!H$27)</f>
        <v>2.5267172415704415</v>
      </c>
      <c r="I15" s="135">
        <f>IF(SER_hh_fech_in!I15=0,0,SER_hh_fech_in!I15/SER_summary!I$27)</f>
        <v>2.4868736832248102</v>
      </c>
      <c r="J15" s="135">
        <f>IF(SER_hh_fech_in!J15=0,0,SER_hh_fech_in!J15/SER_summary!J$27)</f>
        <v>2.544864813362778</v>
      </c>
      <c r="K15" s="135">
        <f>IF(SER_hh_fech_in!K15=0,0,SER_hh_fech_in!K15/SER_summary!K$27)</f>
        <v>2.2208177415138528</v>
      </c>
      <c r="L15" s="135">
        <f>IF(SER_hh_fech_in!L15=0,0,SER_hh_fech_in!L15/SER_summary!L$27)</f>
        <v>2.2777365822777003</v>
      </c>
      <c r="M15" s="135">
        <f>IF(SER_hh_fech_in!M15=0,0,SER_hh_fech_in!M15/SER_summary!M$27)</f>
        <v>2.0882103517891712</v>
      </c>
      <c r="N15" s="135">
        <f>IF(SER_hh_fech_in!N15=0,0,SER_hh_fech_in!N15/SER_summary!N$27)</f>
        <v>2.0376109299317036</v>
      </c>
      <c r="O15" s="135">
        <f>IF(SER_hh_fech_in!O15=0,0,SER_hh_fech_in!O15/SER_summary!O$27)</f>
        <v>2.0959912870682285</v>
      </c>
      <c r="P15" s="135">
        <f>IF(SER_hh_fech_in!P15=0,0,SER_hh_fech_in!P15/SER_summary!P$27)</f>
        <v>1.7945147461357909</v>
      </c>
      <c r="Q15" s="135">
        <f>IF(SER_hh_fech_in!Q15=0,0,SER_hh_fech_in!Q15/SER_summary!Q$27)</f>
        <v>1.8225560804635752</v>
      </c>
      <c r="R15" s="135">
        <f>IF(SER_hh_fech_in!R15=0,0,SER_hh_fech_in!R15/SER_summary!R$27)</f>
        <v>1.6987558213132494</v>
      </c>
      <c r="S15" s="135">
        <f>IF(SER_hh_fech_in!S15=0,0,SER_hh_fech_in!S15/SER_summary!S$27)</f>
        <v>1.5820865925120253</v>
      </c>
      <c r="T15" s="135">
        <f>IF(SER_hh_fech_in!T15=0,0,SER_hh_fech_in!T15/SER_summary!T$27)</f>
        <v>1.6235042861485196</v>
      </c>
      <c r="U15" s="135">
        <f>IF(SER_hh_fech_in!U15=0,0,SER_hh_fech_in!U15/SER_summary!U$27)</f>
        <v>1.4499381985992348</v>
      </c>
      <c r="V15" s="135">
        <f>IF(SER_hh_fech_in!V15=0,0,SER_hh_fech_in!V15/SER_summary!V$27)</f>
        <v>1.3301093206579477</v>
      </c>
      <c r="W15" s="135">
        <f>IF(SER_hh_fech_in!W15=0,0,SER_hh_fech_in!W15/SER_summary!W$27)</f>
        <v>0.79512979893140601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8.9569803821104941</v>
      </c>
      <c r="D16" s="131">
        <f>IF(SER_hh_fech_in!D16=0,0,SER_hh_fech_in!D16/SER_summary!D$27)</f>
        <v>8.7072753877942883</v>
      </c>
      <c r="E16" s="131">
        <f>IF(SER_hh_fech_in!E16=0,0,SER_hh_fech_in!E16/SER_summary!E$27)</f>
        <v>8.3175979768076083</v>
      </c>
      <c r="F16" s="131">
        <f>IF(SER_hh_fech_in!F16=0,0,SER_hh_fech_in!F16/SER_summary!F$27)</f>
        <v>7.9776993316608404</v>
      </c>
      <c r="G16" s="131">
        <f>IF(SER_hh_fech_in!G16=0,0,SER_hh_fech_in!G16/SER_summary!G$27)</f>
        <v>7.5337849370697629</v>
      </c>
      <c r="H16" s="131">
        <f>IF(SER_hh_fech_in!H16=0,0,SER_hh_fech_in!H16/SER_summary!H$27)</f>
        <v>7.3539080321006969</v>
      </c>
      <c r="I16" s="131">
        <f>IF(SER_hh_fech_in!I16=0,0,SER_hh_fech_in!I16/SER_summary!I$27)</f>
        <v>7.1680281905973393</v>
      </c>
      <c r="J16" s="131">
        <f>IF(SER_hh_fech_in!J16=0,0,SER_hh_fech_in!J16/SER_summary!J$27)</f>
        <v>6.7331141322473531</v>
      </c>
      <c r="K16" s="131">
        <f>IF(SER_hh_fech_in!K16=0,0,SER_hh_fech_in!K16/SER_summary!K$27)</f>
        <v>6.4128244454762422</v>
      </c>
      <c r="L16" s="131">
        <f>IF(SER_hh_fech_in!L16=0,0,SER_hh_fech_in!L16/SER_summary!L$27)</f>
        <v>6.1244146976790184</v>
      </c>
      <c r="M16" s="131">
        <f>IF(SER_hh_fech_in!M16=0,0,SER_hh_fech_in!M16/SER_summary!M$27)</f>
        <v>5.765673886262582</v>
      </c>
      <c r="N16" s="131">
        <f>IF(SER_hh_fech_in!N16=0,0,SER_hh_fech_in!N16/SER_summary!N$27)</f>
        <v>5.5035377852027594</v>
      </c>
      <c r="O16" s="131">
        <f>IF(SER_hh_fech_in!O16=0,0,SER_hh_fech_in!O16/SER_summary!O$27)</f>
        <v>5.0795087442354454</v>
      </c>
      <c r="P16" s="131">
        <f>IF(SER_hh_fech_in!P16=0,0,SER_hh_fech_in!P16/SER_summary!P$27)</f>
        <v>4.844292356934818</v>
      </c>
      <c r="Q16" s="131">
        <f>IF(SER_hh_fech_in!Q16=0,0,SER_hh_fech_in!Q16/SER_summary!Q$27)</f>
        <v>4.6037116187989016</v>
      </c>
      <c r="R16" s="131">
        <f>IF(SER_hh_fech_in!R16=0,0,SER_hh_fech_in!R16/SER_summary!R$27)</f>
        <v>4.3558443905465767</v>
      </c>
      <c r="S16" s="131">
        <f>IF(SER_hh_fech_in!S16=0,0,SER_hh_fech_in!S16/SER_summary!S$27)</f>
        <v>4.1267142411322553</v>
      </c>
      <c r="T16" s="131">
        <f>IF(SER_hh_fech_in!T16=0,0,SER_hh_fech_in!T16/SER_summary!T$27)</f>
        <v>3.8991122623006236</v>
      </c>
      <c r="U16" s="131">
        <f>IF(SER_hh_fech_in!U16=0,0,SER_hh_fech_in!U16/SER_summary!U$27)</f>
        <v>3.714546550991161</v>
      </c>
      <c r="V16" s="131">
        <f>IF(SER_hh_fech_in!V16=0,0,SER_hh_fech_in!V16/SER_summary!V$27)</f>
        <v>3.6001590219970927</v>
      </c>
      <c r="W16" s="131">
        <f>IF(SER_hh_fech_in!W16=0,0,SER_hh_fech_in!W16/SER_summary!W$27)</f>
        <v>3.0243384106636464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18.592315611305413</v>
      </c>
      <c r="D17" s="133">
        <f>IF(SER_hh_fech_in!D17=0,0,SER_hh_fech_in!D17/SER_summary!D$27)</f>
        <v>18.662167317238971</v>
      </c>
      <c r="E17" s="133">
        <f>IF(SER_hh_fech_in!E17=0,0,SER_hh_fech_in!E17/SER_summary!E$27)</f>
        <v>18.420180425846727</v>
      </c>
      <c r="F17" s="133">
        <f>IF(SER_hh_fech_in!F17=0,0,SER_hh_fech_in!F17/SER_summary!F$27)</f>
        <v>18.190803063748362</v>
      </c>
      <c r="G17" s="133">
        <f>IF(SER_hh_fech_in!G17=0,0,SER_hh_fech_in!G17/SER_summary!G$27)</f>
        <v>17.748980444378891</v>
      </c>
      <c r="H17" s="133">
        <f>IF(SER_hh_fech_in!H17=0,0,SER_hh_fech_in!H17/SER_summary!H$27)</f>
        <v>17.847592059068045</v>
      </c>
      <c r="I17" s="133">
        <f>IF(SER_hh_fech_in!I17=0,0,SER_hh_fech_in!I17/SER_summary!I$27)</f>
        <v>17.639604736134565</v>
      </c>
      <c r="J17" s="133">
        <f>IF(SER_hh_fech_in!J17=0,0,SER_hh_fech_in!J17/SER_summary!J$27)</f>
        <v>17.345393326937394</v>
      </c>
      <c r="K17" s="133">
        <f>IF(SER_hh_fech_in!K17=0,0,SER_hh_fech_in!K17/SER_summary!K$27)</f>
        <v>16.876971163182343</v>
      </c>
      <c r="L17" s="133">
        <f>IF(SER_hh_fech_in!L17=0,0,SER_hh_fech_in!L17/SER_summary!L$27)</f>
        <v>16.61800879239097</v>
      </c>
      <c r="M17" s="133">
        <f>IF(SER_hh_fech_in!M17=0,0,SER_hh_fech_in!M17/SER_summary!M$27)</f>
        <v>16.111947080062542</v>
      </c>
      <c r="N17" s="133">
        <f>IF(SER_hh_fech_in!N17=0,0,SER_hh_fech_in!N17/SER_summary!N$27)</f>
        <v>15.78613595591847</v>
      </c>
      <c r="O17" s="133">
        <f>IF(SER_hh_fech_in!O17=0,0,SER_hh_fech_in!O17/SER_summary!O$27)</f>
        <v>14.932488034583718</v>
      </c>
      <c r="P17" s="133">
        <f>IF(SER_hh_fech_in!P17=0,0,SER_hh_fech_in!P17/SER_summary!P$27)</f>
        <v>14.632283694431463</v>
      </c>
      <c r="Q17" s="133">
        <f>IF(SER_hh_fech_in!Q17=0,0,SER_hh_fech_in!Q17/SER_summary!Q$27)</f>
        <v>13.81461110628301</v>
      </c>
      <c r="R17" s="133">
        <f>IF(SER_hh_fech_in!R17=0,0,SER_hh_fech_in!R17/SER_summary!R$27)</f>
        <v>13.451877207429806</v>
      </c>
      <c r="S17" s="133">
        <f>IF(SER_hh_fech_in!S17=0,0,SER_hh_fech_in!S17/SER_summary!S$27)</f>
        <v>12.735088478761149</v>
      </c>
      <c r="T17" s="133">
        <f>IF(SER_hh_fech_in!T17=0,0,SER_hh_fech_in!T17/SER_summary!T$27)</f>
        <v>11.97460228017033</v>
      </c>
      <c r="U17" s="133">
        <f>IF(SER_hh_fech_in!U17=0,0,SER_hh_fech_in!U17/SER_summary!U$27)</f>
        <v>11.223573792838216</v>
      </c>
      <c r="V17" s="133">
        <f>IF(SER_hh_fech_in!V17=0,0,SER_hh_fech_in!V17/SER_summary!V$27)</f>
        <v>9.6052344290461313</v>
      </c>
      <c r="W17" s="133">
        <f>IF(SER_hh_fech_in!W17=0,0,SER_hh_fech_in!W17/SER_summary!W$27)</f>
        <v>7.7226893099593727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8.9263801226763526</v>
      </c>
      <c r="D18" s="133">
        <f>IF(SER_hh_fech_in!D18=0,0,SER_hh_fech_in!D18/SER_summary!D$27)</f>
        <v>8.6733654689037394</v>
      </c>
      <c r="E18" s="133">
        <f>IF(SER_hh_fech_in!E18=0,0,SER_hh_fech_in!E18/SER_summary!E$27)</f>
        <v>8.3020334235631275</v>
      </c>
      <c r="F18" s="133">
        <f>IF(SER_hh_fech_in!F18=0,0,SER_hh_fech_in!F18/SER_summary!F$27)</f>
        <v>7.9288471370892166</v>
      </c>
      <c r="G18" s="133">
        <f>IF(SER_hh_fech_in!G18=0,0,SER_hh_fech_in!G18/SER_summary!G$27)</f>
        <v>7.4963703747085519</v>
      </c>
      <c r="H18" s="133">
        <f>IF(SER_hh_fech_in!H18=0,0,SER_hh_fech_in!H18/SER_summary!H$27)</f>
        <v>7.2985966364537438</v>
      </c>
      <c r="I18" s="133">
        <f>IF(SER_hh_fech_in!I18=0,0,SER_hh_fech_in!I18/SER_summary!I$27)</f>
        <v>7.1330763375869841</v>
      </c>
      <c r="J18" s="133">
        <f>IF(SER_hh_fech_in!J18=0,0,SER_hh_fech_in!J18/SER_summary!J$27)</f>
        <v>6.7069511621905589</v>
      </c>
      <c r="K18" s="133">
        <f>IF(SER_hh_fech_in!K18=0,0,SER_hh_fech_in!K18/SER_summary!K$27)</f>
        <v>6.3448644963940986</v>
      </c>
      <c r="L18" s="133">
        <f>IF(SER_hh_fech_in!L18=0,0,SER_hh_fech_in!L18/SER_summary!L$27)</f>
        <v>6.0743424090428704</v>
      </c>
      <c r="M18" s="133">
        <f>IF(SER_hh_fech_in!M18=0,0,SER_hh_fech_in!M18/SER_summary!M$27)</f>
        <v>5.7100943908046897</v>
      </c>
      <c r="N18" s="133">
        <f>IF(SER_hh_fech_in!N18=0,0,SER_hh_fech_in!N18/SER_summary!N$27)</f>
        <v>5.4303237972641547</v>
      </c>
      <c r="O18" s="133">
        <f>IF(SER_hh_fech_in!O18=0,0,SER_hh_fech_in!O18/SER_summary!O$27)</f>
        <v>4.9737034962075493</v>
      </c>
      <c r="P18" s="133">
        <f>IF(SER_hh_fech_in!P18=0,0,SER_hh_fech_in!P18/SER_summary!P$27)</f>
        <v>4.7059283687901452</v>
      </c>
      <c r="Q18" s="133">
        <f>IF(SER_hh_fech_in!Q18=0,0,SER_hh_fech_in!Q18/SER_summary!Q$27)</f>
        <v>4.3613688922475342</v>
      </c>
      <c r="R18" s="133">
        <f>IF(SER_hh_fech_in!R18=0,0,SER_hh_fech_in!R18/SER_summary!R$27)</f>
        <v>4.1909651691803589</v>
      </c>
      <c r="S18" s="133">
        <f>IF(SER_hh_fech_in!S18=0,0,SER_hh_fech_in!S18/SER_summary!S$27)</f>
        <v>3.9755373081692906</v>
      </c>
      <c r="T18" s="133">
        <f>IF(SER_hh_fech_in!T18=0,0,SER_hh_fech_in!T18/SER_summary!T$27)</f>
        <v>3.7885646981575389</v>
      </c>
      <c r="U18" s="133">
        <f>IF(SER_hh_fech_in!U18=0,0,SER_hh_fech_in!U18/SER_summary!U$27)</f>
        <v>3.6041438126140637</v>
      </c>
      <c r="V18" s="133">
        <f>IF(SER_hh_fech_in!V18=0,0,SER_hh_fech_in!V18/SER_summary!V$27)</f>
        <v>3.4058146586039491</v>
      </c>
      <c r="W18" s="133">
        <f>IF(SER_hh_fech_in!W18=0,0,SER_hh_fech_in!W18/SER_summary!W$27)</f>
        <v>2.9428651924771181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40.480196247782551</v>
      </c>
      <c r="D19" s="131">
        <f>IF(SER_hh_fech_in!D19=0,0,SER_hh_fech_in!D19/SER_summary!D$27)</f>
        <v>39.49107582294387</v>
      </c>
      <c r="E19" s="131">
        <f>IF(SER_hh_fech_in!E19=0,0,SER_hh_fech_in!E19/SER_summary!E$27)</f>
        <v>38.795126922712541</v>
      </c>
      <c r="F19" s="131">
        <f>IF(SER_hh_fech_in!F19=0,0,SER_hh_fech_in!F19/SER_summary!F$27)</f>
        <v>38.174423524466647</v>
      </c>
      <c r="G19" s="131">
        <f>IF(SER_hh_fech_in!G19=0,0,SER_hh_fech_in!G19/SER_summary!G$27)</f>
        <v>37.845990403901723</v>
      </c>
      <c r="H19" s="131">
        <f>IF(SER_hh_fech_in!H19=0,0,SER_hh_fech_in!H19/SER_summary!H$27)</f>
        <v>37.203666735936068</v>
      </c>
      <c r="I19" s="131">
        <f>IF(SER_hh_fech_in!I19=0,0,SER_hh_fech_in!I19/SER_summary!I$27)</f>
        <v>36.187879463029283</v>
      </c>
      <c r="J19" s="131">
        <f>IF(SER_hh_fech_in!J19=0,0,SER_hh_fech_in!J19/SER_summary!J$27)</f>
        <v>36.350036975772099</v>
      </c>
      <c r="K19" s="131">
        <f>IF(SER_hh_fech_in!K19=0,0,SER_hh_fech_in!K19/SER_summary!K$27)</f>
        <v>39.488130042150793</v>
      </c>
      <c r="L19" s="131">
        <f>IF(SER_hh_fech_in!L19=0,0,SER_hh_fech_in!L19/SER_summary!L$27)</f>
        <v>38.909890966227763</v>
      </c>
      <c r="M19" s="131">
        <f>IF(SER_hh_fech_in!M19=0,0,SER_hh_fech_in!M19/SER_summary!M$27)</f>
        <v>38.946013155597264</v>
      </c>
      <c r="N19" s="131">
        <f>IF(SER_hh_fech_in!N19=0,0,SER_hh_fech_in!N19/SER_summary!N$27)</f>
        <v>38.370615262591386</v>
      </c>
      <c r="O19" s="131">
        <f>IF(SER_hh_fech_in!O19=0,0,SER_hh_fech_in!O19/SER_summary!O$27)</f>
        <v>36.506856257014668</v>
      </c>
      <c r="P19" s="131">
        <f>IF(SER_hh_fech_in!P19=0,0,SER_hh_fech_in!P19/SER_summary!P$27)</f>
        <v>34.260826524966888</v>
      </c>
      <c r="Q19" s="131">
        <f>IF(SER_hh_fech_in!Q19=0,0,SER_hh_fech_in!Q19/SER_summary!Q$27)</f>
        <v>33.509659249725736</v>
      </c>
      <c r="R19" s="131">
        <f>IF(SER_hh_fech_in!R19=0,0,SER_hh_fech_in!R19/SER_summary!R$27)</f>
        <v>32.114568125900561</v>
      </c>
      <c r="S19" s="131">
        <f>IF(SER_hh_fech_in!S19=0,0,SER_hh_fech_in!S19/SER_summary!S$27)</f>
        <v>31.408781665944257</v>
      </c>
      <c r="T19" s="131">
        <f>IF(SER_hh_fech_in!T19=0,0,SER_hh_fech_in!T19/SER_summary!T$27)</f>
        <v>30.435142773744339</v>
      </c>
      <c r="U19" s="131">
        <f>IF(SER_hh_fech_in!U19=0,0,SER_hh_fech_in!U19/SER_summary!U$27)</f>
        <v>29.666321926720791</v>
      </c>
      <c r="V19" s="131">
        <f>IF(SER_hh_fech_in!V19=0,0,SER_hh_fech_in!V19/SER_summary!V$27)</f>
        <v>28.242934673859729</v>
      </c>
      <c r="W19" s="131">
        <f>IF(SER_hh_fech_in!W19=0,0,SER_hh_fech_in!W19/SER_summary!W$27)</f>
        <v>27.955779005090484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47.612445893652378</v>
      </c>
      <c r="D22" s="133">
        <f>IF(SER_hh_fech_in!D22=0,0,SER_hh_fech_in!D22/SER_summary!D$27)</f>
        <v>47.452032842084499</v>
      </c>
      <c r="E22" s="133">
        <f>IF(SER_hh_fech_in!E22=0,0,SER_hh_fech_in!E22/SER_summary!E$27)</f>
        <v>45.690665647907643</v>
      </c>
      <c r="F22" s="133">
        <f>IF(SER_hh_fech_in!F22=0,0,SER_hh_fech_in!F22/SER_summary!F$27)</f>
        <v>46.145781104557116</v>
      </c>
      <c r="G22" s="133">
        <f>IF(SER_hh_fech_in!G22=0,0,SER_hh_fech_in!G22/SER_summary!G$27)</f>
        <v>45.160557943453149</v>
      </c>
      <c r="H22" s="133">
        <f>IF(SER_hh_fech_in!H22=0,0,SER_hh_fech_in!H22/SER_summary!H$27)</f>
        <v>43.692323351086827</v>
      </c>
      <c r="I22" s="133">
        <f>IF(SER_hh_fech_in!I22=0,0,SER_hh_fech_in!I22/SER_summary!I$27)</f>
        <v>43.442029173439472</v>
      </c>
      <c r="J22" s="133">
        <f>IF(SER_hh_fech_in!J22=0,0,SER_hh_fech_in!J22/SER_summary!J$27)</f>
        <v>43.988039224913237</v>
      </c>
      <c r="K22" s="133">
        <f>IF(SER_hh_fech_in!K22=0,0,SER_hh_fech_in!K22/SER_summary!K$27)</f>
        <v>44.314811724537137</v>
      </c>
      <c r="L22" s="133">
        <f>IF(SER_hh_fech_in!L22=0,0,SER_hh_fech_in!L22/SER_summary!L$27)</f>
        <v>45.102259262001354</v>
      </c>
      <c r="M22" s="133">
        <f>IF(SER_hh_fech_in!M22=0,0,SER_hh_fech_in!M22/SER_summary!M$27)</f>
        <v>44.918112316527377</v>
      </c>
      <c r="N22" s="133">
        <f>IF(SER_hh_fech_in!N22=0,0,SER_hh_fech_in!N22/SER_summary!N$27)</f>
        <v>43.603148501941824</v>
      </c>
      <c r="O22" s="133">
        <f>IF(SER_hh_fech_in!O22=0,0,SER_hh_fech_in!O22/SER_summary!O$27)</f>
        <v>40.998715908107719</v>
      </c>
      <c r="P22" s="133">
        <f>IF(SER_hh_fech_in!P22=0,0,SER_hh_fech_in!P22/SER_summary!P$27)</f>
        <v>39.08896996168238</v>
      </c>
      <c r="Q22" s="133">
        <f>IF(SER_hh_fech_in!Q22=0,0,SER_hh_fech_in!Q22/SER_summary!Q$27)</f>
        <v>36.638119424889496</v>
      </c>
      <c r="R22" s="133">
        <f>IF(SER_hh_fech_in!R22=0,0,SER_hh_fech_in!R22/SER_summary!R$27)</f>
        <v>35.046673923617817</v>
      </c>
      <c r="S22" s="133">
        <f>IF(SER_hh_fech_in!S22=0,0,SER_hh_fech_in!S22/SER_summary!S$27)</f>
        <v>35.21972615718564</v>
      </c>
      <c r="T22" s="133">
        <f>IF(SER_hh_fech_in!T22=0,0,SER_hh_fech_in!T22/SER_summary!T$27)</f>
        <v>33.285784009130239</v>
      </c>
      <c r="U22" s="133">
        <f>IF(SER_hh_fech_in!U22=0,0,SER_hh_fech_in!U22/SER_summary!U$27)</f>
        <v>32.795081252195125</v>
      </c>
      <c r="V22" s="133">
        <f>IF(SER_hh_fech_in!V22=0,0,SER_hh_fech_in!V22/SER_summary!V$27)</f>
        <v>29.358022597701719</v>
      </c>
      <c r="W22" s="133">
        <f>IF(SER_hh_fech_in!W22=0,0,SER_hh_fech_in!W22/SER_summary!W$27)</f>
        <v>30.63363309786487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43.635220726170772</v>
      </c>
      <c r="D23" s="133">
        <f>IF(SER_hh_fech_in!D23=0,0,SER_hh_fech_in!D23/SER_summary!D$27)</f>
        <v>42.648578702230466</v>
      </c>
      <c r="E23" s="133">
        <f>IF(SER_hh_fech_in!E23=0,0,SER_hh_fech_in!E23/SER_summary!E$27)</f>
        <v>41.498143762916513</v>
      </c>
      <c r="F23" s="133">
        <f>IF(SER_hh_fech_in!F23=0,0,SER_hh_fech_in!F23/SER_summary!F$27)</f>
        <v>41.377224630067033</v>
      </c>
      <c r="G23" s="133">
        <f>IF(SER_hh_fech_in!G23=0,0,SER_hh_fech_in!G23/SER_summary!G$27)</f>
        <v>40.614062642750589</v>
      </c>
      <c r="H23" s="133">
        <f>IF(SER_hh_fech_in!H23=0,0,SER_hh_fech_in!H23/SER_summary!H$27)</f>
        <v>39.428977463947412</v>
      </c>
      <c r="I23" s="133">
        <f>IF(SER_hh_fech_in!I23=0,0,SER_hh_fech_in!I23/SER_summary!I$27)</f>
        <v>39.424816058468465</v>
      </c>
      <c r="J23" s="133">
        <f>IF(SER_hh_fech_in!J23=0,0,SER_hh_fech_in!J23/SER_summary!J$27)</f>
        <v>38.427386204895136</v>
      </c>
      <c r="K23" s="133">
        <f>IF(SER_hh_fech_in!K23=0,0,SER_hh_fech_in!K23/SER_summary!K$27)</f>
        <v>39.509291315122866</v>
      </c>
      <c r="L23" s="133">
        <f>IF(SER_hh_fech_in!L23=0,0,SER_hh_fech_in!L23/SER_summary!L$27)</f>
        <v>39.441564994705814</v>
      </c>
      <c r="M23" s="133">
        <f>IF(SER_hh_fech_in!M23=0,0,SER_hh_fech_in!M23/SER_summary!M$27)</f>
        <v>39.700331565991981</v>
      </c>
      <c r="N23" s="133">
        <f>IF(SER_hh_fech_in!N23=0,0,SER_hh_fech_in!N23/SER_summary!N$27)</f>
        <v>38.107493278745558</v>
      </c>
      <c r="O23" s="133">
        <f>IF(SER_hh_fech_in!O23=0,0,SER_hh_fech_in!O23/SER_summary!O$27)</f>
        <v>36.919223853382498</v>
      </c>
      <c r="P23" s="133">
        <f>IF(SER_hh_fech_in!P23=0,0,SER_hh_fech_in!P23/SER_summary!P$27)</f>
        <v>35.830257631216156</v>
      </c>
      <c r="Q23" s="133">
        <f>IF(SER_hh_fech_in!Q23=0,0,SER_hh_fech_in!Q23/SER_summary!Q$27)</f>
        <v>33.912780281433164</v>
      </c>
      <c r="R23" s="133">
        <f>IF(SER_hh_fech_in!R23=0,0,SER_hh_fech_in!R23/SER_summary!R$27)</f>
        <v>33.36747137784652</v>
      </c>
      <c r="S23" s="133">
        <f>IF(SER_hh_fech_in!S23=0,0,SER_hh_fech_in!S23/SER_summary!S$27)</f>
        <v>33.645044415775189</v>
      </c>
      <c r="T23" s="133">
        <f>IF(SER_hh_fech_in!T23=0,0,SER_hh_fech_in!T23/SER_summary!T$27)</f>
        <v>31.633854978150925</v>
      </c>
      <c r="U23" s="133">
        <f>IF(SER_hh_fech_in!U23=0,0,SER_hh_fech_in!U23/SER_summary!U$27)</f>
        <v>31.443693001189896</v>
      </c>
      <c r="V23" s="133">
        <f>IF(SER_hh_fech_in!V23=0,0,SER_hh_fech_in!V23/SER_summary!V$27)</f>
        <v>28.6371694601035</v>
      </c>
      <c r="W23" s="133">
        <f>IF(SER_hh_fech_in!W23=0,0,SER_hh_fech_in!W23/SER_summary!W$27)</f>
        <v>29.633663599355732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37.557234225510264</v>
      </c>
      <c r="D26" s="65">
        <f>IF(SER_hh_fech_in!D26=0,0,SER_hh_fech_in!D26/SER_summary!D$27)</f>
        <v>36.931109232532087</v>
      </c>
      <c r="E26" s="65">
        <f>IF(SER_hh_fech_in!E26=0,0,SER_hh_fech_in!E26/SER_summary!E$27)</f>
        <v>36.717790768699793</v>
      </c>
      <c r="F26" s="65">
        <f>IF(SER_hh_fech_in!F26=0,0,SER_hh_fech_in!F26/SER_summary!F$27)</f>
        <v>35.811291975335784</v>
      </c>
      <c r="G26" s="65">
        <f>IF(SER_hh_fech_in!G26=0,0,SER_hh_fech_in!G26/SER_summary!G$27)</f>
        <v>36.306294657504701</v>
      </c>
      <c r="H26" s="65">
        <f>IF(SER_hh_fech_in!H26=0,0,SER_hh_fech_in!H26/SER_summary!H$27)</f>
        <v>35.192420587781832</v>
      </c>
      <c r="I26" s="65">
        <f>IF(SER_hh_fech_in!I26=0,0,SER_hh_fech_in!I26/SER_summary!I$27)</f>
        <v>34.552293644351082</v>
      </c>
      <c r="J26" s="65">
        <f>IF(SER_hh_fech_in!J26=0,0,SER_hh_fech_in!J26/SER_summary!J$27)</f>
        <v>32.795866933563829</v>
      </c>
      <c r="K26" s="65">
        <f>IF(SER_hh_fech_in!K26=0,0,SER_hh_fech_in!K26/SER_summary!K$27)</f>
        <v>36.41655521626263</v>
      </c>
      <c r="L26" s="65">
        <f>IF(SER_hh_fech_in!L26=0,0,SER_hh_fech_in!L26/SER_summary!L$27)</f>
        <v>30.671583918436578</v>
      </c>
      <c r="M26" s="65">
        <f>IF(SER_hh_fech_in!M26=0,0,SER_hh_fech_in!M26/SER_summary!M$27)</f>
        <v>36.098938552804107</v>
      </c>
      <c r="N26" s="65">
        <f>IF(SER_hh_fech_in!N26=0,0,SER_hh_fech_in!N26/SER_summary!N$27)</f>
        <v>36.090762178205864</v>
      </c>
      <c r="O26" s="65">
        <f>IF(SER_hh_fech_in!O26=0,0,SER_hh_fech_in!O26/SER_summary!O$27)</f>
        <v>34.564021120254417</v>
      </c>
      <c r="P26" s="65">
        <f>IF(SER_hh_fech_in!P26=0,0,SER_hh_fech_in!P26/SER_summary!P$27)</f>
        <v>32.670558541114573</v>
      </c>
      <c r="Q26" s="65">
        <f>IF(SER_hh_fech_in!Q26=0,0,SER_hh_fech_in!Q26/SER_summary!Q$27)</f>
        <v>32.929077939016651</v>
      </c>
      <c r="R26" s="65">
        <f>IF(SER_hh_fech_in!R26=0,0,SER_hh_fech_in!R26/SER_summary!R$27)</f>
        <v>31.409141350769577</v>
      </c>
      <c r="S26" s="65">
        <f>IF(SER_hh_fech_in!S26=0,0,SER_hh_fech_in!S26/SER_summary!S$27)</f>
        <v>30.189788564045912</v>
      </c>
      <c r="T26" s="65">
        <f>IF(SER_hh_fech_in!T26=0,0,SER_hh_fech_in!T26/SER_summary!T$27)</f>
        <v>29.99568471473334</v>
      </c>
      <c r="U26" s="65">
        <f>IF(SER_hh_fech_in!U26=0,0,SER_hh_fech_in!U26/SER_summary!U$27)</f>
        <v>29.064647726542219</v>
      </c>
      <c r="V26" s="65">
        <f>IF(SER_hh_fech_in!V26=0,0,SER_hh_fech_in!V26/SER_summary!V$27)</f>
        <v>27.811656377205257</v>
      </c>
      <c r="W26" s="65">
        <f>IF(SER_hh_fech_in!W26=0,0,SER_hh_fech_in!W26/SER_summary!W$27)</f>
        <v>26.881817795456193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0.28625096396887356</v>
      </c>
      <c r="I27" s="146">
        <f>IF(SER_hh_fech_in!I27=0,0,SER_hh_fech_in!I27/SER_summary!I$27)</f>
        <v>2.3836059261619684E-2</v>
      </c>
      <c r="J27" s="146">
        <f>IF(SER_hh_fech_in!J27=0,0,SER_hh_fech_in!J27/SER_summary!J$27)</f>
        <v>0.78304959028576537</v>
      </c>
      <c r="K27" s="146">
        <f>IF(SER_hh_fech_in!K27=0,0,SER_hh_fech_in!K27/SER_summary!K$27)</f>
        <v>3.2291725955932042E-2</v>
      </c>
      <c r="L27" s="146">
        <f>IF(SER_hh_fech_in!L27=0,0,SER_hh_fech_in!L27/SER_summary!L$27)</f>
        <v>2.6279933766314731</v>
      </c>
      <c r="M27" s="146">
        <f>IF(SER_hh_fech_in!M27=0,0,SER_hh_fech_in!M27/SER_summary!M$27)</f>
        <v>0.29745839533118873</v>
      </c>
      <c r="N27" s="146">
        <f>IF(SER_hh_fech_in!N27=0,0,SER_hh_fech_in!N27/SER_summary!N$27)</f>
        <v>4.8328374013854772E-2</v>
      </c>
      <c r="O27" s="146">
        <f>IF(SER_hh_fech_in!O27=0,0,SER_hh_fech_in!O27/SER_summary!O$27)</f>
        <v>7.0577952937543972E-2</v>
      </c>
      <c r="P27" s="146">
        <f>IF(SER_hh_fech_in!P27=0,0,SER_hh_fech_in!P27/SER_summary!P$27)</f>
        <v>5.5668282075961459E-2</v>
      </c>
      <c r="Q27" s="146">
        <f>IF(SER_hh_fech_in!Q27=0,0,SER_hh_fech_in!Q27/SER_summary!Q$27)</f>
        <v>1.6025236774363517E-15</v>
      </c>
      <c r="R27" s="146">
        <f>IF(SER_hh_fech_in!R27=0,0,SER_hh_fech_in!R27/SER_summary!R$27)</f>
        <v>4.1979093578346248E-2</v>
      </c>
      <c r="S27" s="146">
        <f>IF(SER_hh_fech_in!S27=0,0,SER_hh_fech_in!S27/SER_summary!S$27)</f>
        <v>7.2664497834460315E-2</v>
      </c>
      <c r="T27" s="146">
        <f>IF(SER_hh_fech_in!T27=0,0,SER_hh_fech_in!T27/SER_summary!T$27)</f>
        <v>8.1193313935737602E-2</v>
      </c>
      <c r="U27" s="146">
        <f>IF(SER_hh_fech_in!U27=0,0,SER_hh_fech_in!U27/SER_summary!U$27)</f>
        <v>0.12024712275354708</v>
      </c>
      <c r="V27" s="146">
        <f>IF(SER_hh_fech_in!V27=0,0,SER_hh_fech_in!V27/SER_summary!V$27)</f>
        <v>0.30482312561566283</v>
      </c>
      <c r="W27" s="146">
        <f>IF(SER_hh_fech_in!W27=0,0,SER_hh_fech_in!W27/SER_summary!W$27)</f>
        <v>0.21330150222868091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5.5188125379915824</v>
      </c>
      <c r="I28" s="147">
        <f>IF(SER_hh_fech_in!I28=0,0,SER_hh_fech_in!I28/SER_summary!I$27)</f>
        <v>5.4822602435847623</v>
      </c>
      <c r="J28" s="147">
        <f>IF(SER_hh_fech_in!J28=0,0,SER_hh_fech_in!J28/SER_summary!J$27)</f>
        <v>5.6499302890905199</v>
      </c>
      <c r="K28" s="147">
        <f>IF(SER_hh_fech_in!K28=0,0,SER_hh_fech_in!K28/SER_summary!K$27)</f>
        <v>5.9658802909849786</v>
      </c>
      <c r="L28" s="147">
        <f>IF(SER_hh_fech_in!L28=0,0,SER_hh_fech_in!L28/SER_summary!L$27)</f>
        <v>6.1031209750124171</v>
      </c>
      <c r="M28" s="147">
        <f>IF(SER_hh_fech_in!M28=0,0,SER_hh_fech_in!M28/SER_summary!M$27)</f>
        <v>6.0155722954415518</v>
      </c>
      <c r="N28" s="147">
        <f>IF(SER_hh_fech_in!N28=0,0,SER_hh_fech_in!N28/SER_summary!N$27)</f>
        <v>6.03945293992229</v>
      </c>
      <c r="O28" s="147">
        <f>IF(SER_hh_fech_in!O28=0,0,SER_hh_fech_in!O28/SER_summary!O$27)</f>
        <v>6.0129646703029307</v>
      </c>
      <c r="P28" s="147">
        <f>IF(SER_hh_fech_in!P28=0,0,SER_hh_fech_in!P28/SER_summary!P$27)</f>
        <v>5.9726630404723302</v>
      </c>
      <c r="Q28" s="147">
        <f>IF(SER_hh_fech_in!Q28=0,0,SER_hh_fech_in!Q28/SER_summary!Q$27)</f>
        <v>6.1012770922839072</v>
      </c>
      <c r="R28" s="147">
        <f>IF(SER_hh_fech_in!R28=0,0,SER_hh_fech_in!R28/SER_summary!R$27)</f>
        <v>6.0913595185283906</v>
      </c>
      <c r="S28" s="147">
        <f>IF(SER_hh_fech_in!S28=0,0,SER_hh_fech_in!S28/SER_summary!S$27)</f>
        <v>6.1325075063942664</v>
      </c>
      <c r="T28" s="147">
        <f>IF(SER_hh_fech_in!T28=0,0,SER_hh_fech_in!T28/SER_summary!T$27)</f>
        <v>6.1787310206194244</v>
      </c>
      <c r="U28" s="147">
        <f>IF(SER_hh_fech_in!U28=0,0,SER_hh_fech_in!U28/SER_summary!U$27)</f>
        <v>6.2233851611582001</v>
      </c>
      <c r="V28" s="147">
        <f>IF(SER_hh_fech_in!V28=0,0,SER_hh_fech_in!V28/SER_summary!V$27)</f>
        <v>5.8297304298274177</v>
      </c>
      <c r="W28" s="147">
        <f>IF(SER_hh_fech_in!W28=0,0,SER_hh_fech_in!W28/SER_summary!W$27)</f>
        <v>5.7952923652733599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40.780400866006815</v>
      </c>
      <c r="D29" s="131">
        <f>IF(SER_hh_fech_in!D29=0,0,SER_hh_fech_in!D29/SER_summary!D$27)</f>
        <v>40.350597670608678</v>
      </c>
      <c r="E29" s="131">
        <f>IF(SER_hh_fech_in!E29=0,0,SER_hh_fech_in!E29/SER_summary!E$27)</f>
        <v>41.023730851556508</v>
      </c>
      <c r="F29" s="131">
        <f>IF(SER_hh_fech_in!F29=0,0,SER_hh_fech_in!F29/SER_summary!F$27)</f>
        <v>41.394685816834851</v>
      </c>
      <c r="G29" s="131">
        <f>IF(SER_hh_fech_in!G29=0,0,SER_hh_fech_in!G29/SER_summary!G$27)</f>
        <v>42.595448300396839</v>
      </c>
      <c r="H29" s="131">
        <f>IF(SER_hh_fech_in!H29=0,0,SER_hh_fech_in!H29/SER_summary!H$27)</f>
        <v>41.301437151294721</v>
      </c>
      <c r="I29" s="131">
        <f>IF(SER_hh_fech_in!I29=0,0,SER_hh_fech_in!I29/SER_summary!I$27)</f>
        <v>39.611128426744905</v>
      </c>
      <c r="J29" s="131">
        <f>IF(SER_hh_fech_in!J29=0,0,SER_hh_fech_in!J29/SER_summary!J$27)</f>
        <v>37.273772104686387</v>
      </c>
      <c r="K29" s="131">
        <f>IF(SER_hh_fech_in!K29=0,0,SER_hh_fech_in!K29/SER_summary!K$27)</f>
        <v>39.160603270718688</v>
      </c>
      <c r="L29" s="131">
        <f>IF(SER_hh_fech_in!L29=0,0,SER_hh_fech_in!L29/SER_summary!L$27)</f>
        <v>41.016957578079712</v>
      </c>
      <c r="M29" s="131">
        <f>IF(SER_hh_fech_in!M29=0,0,SER_hh_fech_in!M29/SER_summary!M$27)</f>
        <v>42.347968450468045</v>
      </c>
      <c r="N29" s="131">
        <f>IF(SER_hh_fech_in!N29=0,0,SER_hh_fech_in!N29/SER_summary!N$27)</f>
        <v>42.537471684164316</v>
      </c>
      <c r="O29" s="131">
        <f>IF(SER_hh_fech_in!O29=0,0,SER_hh_fech_in!O29/SER_summary!O$27)</f>
        <v>43.934745172185252</v>
      </c>
      <c r="P29" s="131">
        <f>IF(SER_hh_fech_in!P29=0,0,SER_hh_fech_in!P29/SER_summary!P$27)</f>
        <v>40.761848067256643</v>
      </c>
      <c r="Q29" s="131">
        <f>IF(SER_hh_fech_in!Q29=0,0,SER_hh_fech_in!Q29/SER_summary!Q$27)</f>
        <v>42.834618358407056</v>
      </c>
      <c r="R29" s="131">
        <f>IF(SER_hh_fech_in!R29=0,0,SER_hh_fech_in!R29/SER_summary!R$27)</f>
        <v>40.641904504931766</v>
      </c>
      <c r="S29" s="131">
        <f>IF(SER_hh_fech_in!S29=0,0,SER_hh_fech_in!S29/SER_summary!S$27)</f>
        <v>42.620776445497256</v>
      </c>
      <c r="T29" s="131">
        <f>IF(SER_hh_fech_in!T29=0,0,SER_hh_fech_in!T29/SER_summary!T$27)</f>
        <v>42.32381608476485</v>
      </c>
      <c r="U29" s="131">
        <f>IF(SER_hh_fech_in!U29=0,0,SER_hh_fech_in!U29/SER_summary!U$27)</f>
        <v>40.988154105554862</v>
      </c>
      <c r="V29" s="131">
        <f>IF(SER_hh_fech_in!V29=0,0,SER_hh_fech_in!V29/SER_summary!V$27)</f>
        <v>36.153368241519203</v>
      </c>
      <c r="W29" s="131">
        <f>IF(SER_hh_fech_in!W29=0,0,SER_hh_fech_in!W29/SER_summary!W$27)</f>
        <v>40.455873491941531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47.185640932260831</v>
      </c>
      <c r="D30" s="133">
        <f>IF(SER_hh_fech_in!D30=0,0,SER_hh_fech_in!D30/SER_summary!D$27)</f>
        <v>45.501957503573188</v>
      </c>
      <c r="E30" s="133">
        <f>IF(SER_hh_fech_in!E30=0,0,SER_hh_fech_in!E30/SER_summary!E$27)</f>
        <v>44.448235210743718</v>
      </c>
      <c r="F30" s="133">
        <f>IF(SER_hh_fech_in!F30=0,0,SER_hh_fech_in!F30/SER_summary!F$27)</f>
        <v>44.010142444652075</v>
      </c>
      <c r="G30" s="133">
        <f>IF(SER_hh_fech_in!G30=0,0,SER_hh_fech_in!G30/SER_summary!G$27)</f>
        <v>46.879591088474506</v>
      </c>
      <c r="H30" s="133">
        <f>IF(SER_hh_fech_in!H30=0,0,SER_hh_fech_in!H30/SER_summary!H$27)</f>
        <v>44.782892070762848</v>
      </c>
      <c r="I30" s="133">
        <f>IF(SER_hh_fech_in!I30=0,0,SER_hh_fech_in!I30/SER_summary!I$27)</f>
        <v>43.520332139985783</v>
      </c>
      <c r="J30" s="133">
        <f>IF(SER_hh_fech_in!J30=0,0,SER_hh_fech_in!J30/SER_summary!J$27)</f>
        <v>50.260096148914755</v>
      </c>
      <c r="K30" s="133">
        <f>IF(SER_hh_fech_in!K30=0,0,SER_hh_fech_in!K30/SER_summary!K$27)</f>
        <v>37.865422679764563</v>
      </c>
      <c r="L30" s="133">
        <f>IF(SER_hh_fech_in!L30=0,0,SER_hh_fech_in!L30/SER_summary!L$27)</f>
        <v>48.87640267224883</v>
      </c>
      <c r="M30" s="133">
        <f>IF(SER_hh_fech_in!M30=0,0,SER_hh_fech_in!M30/SER_summary!M$27)</f>
        <v>48.162386713238355</v>
      </c>
      <c r="N30" s="133">
        <f>IF(SER_hh_fech_in!N30=0,0,SER_hh_fech_in!N30/SER_summary!N$27)</f>
        <v>46.280580896471491</v>
      </c>
      <c r="O30" s="133">
        <f>IF(SER_hh_fech_in!O30=0,0,SER_hh_fech_in!O30/SER_summary!O$27)</f>
        <v>54.265303711590626</v>
      </c>
      <c r="P30" s="133">
        <f>IF(SER_hh_fech_in!P30=0,0,SER_hh_fech_in!P30/SER_summary!P$27)</f>
        <v>45.992067671441504</v>
      </c>
      <c r="Q30" s="133">
        <f>IF(SER_hh_fech_in!Q30=0,0,SER_hh_fech_in!Q30/SER_summary!Q$27)</f>
        <v>51.425743048614876</v>
      </c>
      <c r="R30" s="133">
        <f>IF(SER_hh_fech_in!R30=0,0,SER_hh_fech_in!R30/SER_summary!R$27)</f>
        <v>46.483376731949363</v>
      </c>
      <c r="S30" s="133">
        <f>IF(SER_hh_fech_in!S30=0,0,SER_hh_fech_in!S30/SER_summary!S$27)</f>
        <v>48.024302989963324</v>
      </c>
      <c r="T30" s="133">
        <f>IF(SER_hh_fech_in!T30=0,0,SER_hh_fech_in!T30/SER_summary!T$27)</f>
        <v>51.984630895130998</v>
      </c>
      <c r="U30" s="133">
        <f>IF(SER_hh_fech_in!U30=0,0,SER_hh_fech_in!U30/SER_summary!U$27)</f>
        <v>52.089715758202935</v>
      </c>
      <c r="V30" s="133">
        <f>IF(SER_hh_fech_in!V30=0,0,SER_hh_fech_in!V30/SER_summary!V$27)</f>
        <v>44.263537406419729</v>
      </c>
      <c r="W30" s="133">
        <f>IF(SER_hh_fech_in!W30=0,0,SER_hh_fech_in!W30/SER_summary!W$27)</f>
        <v>51.021304283576804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46.156621169735381</v>
      </c>
      <c r="D31" s="133">
        <f>IF(SER_hh_fech_in!D31=0,0,SER_hh_fech_in!D31/SER_summary!D$27)</f>
        <v>45.368193086962975</v>
      </c>
      <c r="E31" s="133">
        <f>IF(SER_hh_fech_in!E31=0,0,SER_hh_fech_in!E31/SER_summary!E$27)</f>
        <v>44.757700820700904</v>
      </c>
      <c r="F31" s="133">
        <f>IF(SER_hh_fech_in!F31=0,0,SER_hh_fech_in!F31/SER_summary!F$27)</f>
        <v>45.123399431841818</v>
      </c>
      <c r="G31" s="133">
        <f>IF(SER_hh_fech_in!G31=0,0,SER_hh_fech_in!G31/SER_summary!G$27)</f>
        <v>44.852077804705324</v>
      </c>
      <c r="H31" s="133">
        <f>IF(SER_hh_fech_in!H31=0,0,SER_hh_fech_in!H31/SER_summary!H$27)</f>
        <v>44.924304672891452</v>
      </c>
      <c r="I31" s="133">
        <f>IF(SER_hh_fech_in!I31=0,0,SER_hh_fech_in!I31/SER_summary!I$27)</f>
        <v>43.960274004766724</v>
      </c>
      <c r="J31" s="133">
        <f>IF(SER_hh_fech_in!J31=0,0,SER_hh_fech_in!J31/SER_summary!J$27)</f>
        <v>43.690884927329186</v>
      </c>
      <c r="K31" s="133">
        <f>IF(SER_hh_fech_in!K31=0,0,SER_hh_fech_in!K31/SER_summary!K$27)</f>
        <v>44.748131348811746</v>
      </c>
      <c r="L31" s="133">
        <f>IF(SER_hh_fech_in!L31=0,0,SER_hh_fech_in!L31/SER_summary!L$27)</f>
        <v>45.305230810086982</v>
      </c>
      <c r="M31" s="133">
        <f>IF(SER_hh_fech_in!M31=0,0,SER_hh_fech_in!M31/SER_summary!M$27)</f>
        <v>46.873395439087382</v>
      </c>
      <c r="N31" s="133">
        <f>IF(SER_hh_fech_in!N31=0,0,SER_hh_fech_in!N31/SER_summary!N$27)</f>
        <v>48.454839384419436</v>
      </c>
      <c r="O31" s="133">
        <f>IF(SER_hh_fech_in!O31=0,0,SER_hh_fech_in!O31/SER_summary!O$27)</f>
        <v>48.610215889493468</v>
      </c>
      <c r="P31" s="133">
        <f>IF(SER_hh_fech_in!P31=0,0,SER_hh_fech_in!P31/SER_summary!P$27)</f>
        <v>48.24600941440665</v>
      </c>
      <c r="Q31" s="133">
        <f>IF(SER_hh_fech_in!Q31=0,0,SER_hh_fech_in!Q31/SER_summary!Q$27)</f>
        <v>49.488425008913843</v>
      </c>
      <c r="R31" s="133">
        <f>IF(SER_hh_fech_in!R31=0,0,SER_hh_fech_in!R31/SER_summary!R$27)</f>
        <v>49.425254167677124</v>
      </c>
      <c r="S31" s="133">
        <f>IF(SER_hh_fech_in!S31=0,0,SER_hh_fech_in!S31/SER_summary!S$27)</f>
        <v>48.763692493075865</v>
      </c>
      <c r="T31" s="133">
        <f>IF(SER_hh_fech_in!T31=0,0,SER_hh_fech_in!T31/SER_summary!T$27)</f>
        <v>49.572615867038245</v>
      </c>
      <c r="U31" s="133">
        <f>IF(SER_hh_fech_in!U31=0,0,SER_hh_fech_in!U31/SER_summary!U$27)</f>
        <v>49.607235863207919</v>
      </c>
      <c r="V31" s="133">
        <f>IF(SER_hh_fech_in!V31=0,0,SER_hh_fech_in!V31/SER_summary!V$27)</f>
        <v>45.707720743954319</v>
      </c>
      <c r="W31" s="133">
        <f>IF(SER_hh_fech_in!W31=0,0,SER_hh_fech_in!W31/SER_summary!W$27)</f>
        <v>49.634232705338192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34.643874435027492</v>
      </c>
      <c r="D33" s="68">
        <f>IF(SER_hh_fech_in!D33=0,0,SER_hh_fech_in!D33/SER_summary!D$27)</f>
        <v>34.927967848193127</v>
      </c>
      <c r="E33" s="68">
        <f>IF(SER_hh_fech_in!E33=0,0,SER_hh_fech_in!E33/SER_summary!E$27)</f>
        <v>35.442739058776624</v>
      </c>
      <c r="F33" s="68">
        <f>IF(SER_hh_fech_in!F33=0,0,SER_hh_fech_in!F33/SER_summary!F$27)</f>
        <v>35.286576504383468</v>
      </c>
      <c r="G33" s="68">
        <f>IF(SER_hh_fech_in!G33=0,0,SER_hh_fech_in!G33/SER_summary!G$27)</f>
        <v>33.133323447033554</v>
      </c>
      <c r="H33" s="68">
        <f>IF(SER_hh_fech_in!H33=0,0,SER_hh_fech_in!H33/SER_summary!H$27)</f>
        <v>33.947915303154822</v>
      </c>
      <c r="I33" s="68">
        <f>IF(SER_hh_fech_in!I33=0,0,SER_hh_fech_in!I33/SER_summary!I$27)</f>
        <v>34.221436664628555</v>
      </c>
      <c r="J33" s="68">
        <f>IF(SER_hh_fech_in!J33=0,0,SER_hh_fech_in!J33/SER_summary!J$27)</f>
        <v>30.408403468183945</v>
      </c>
      <c r="K33" s="68">
        <f>IF(SER_hh_fech_in!K33=0,0,SER_hh_fech_in!K33/SER_summary!K$27)</f>
        <v>37.154087045008112</v>
      </c>
      <c r="L33" s="68">
        <f>IF(SER_hh_fech_in!L33=0,0,SER_hh_fech_in!L33/SER_summary!L$27)</f>
        <v>30.873793829943601</v>
      </c>
      <c r="M33" s="68">
        <f>IF(SER_hh_fech_in!M33=0,0,SER_hh_fech_in!M33/SER_summary!M$27)</f>
        <v>35.512000858092399</v>
      </c>
      <c r="N33" s="68">
        <f>IF(SER_hh_fech_in!N33=0,0,SER_hh_fech_in!N33/SER_summary!N$27)</f>
        <v>38.682640383130533</v>
      </c>
      <c r="O33" s="68">
        <f>IF(SER_hh_fech_in!O33=0,0,SER_hh_fech_in!O33/SER_summary!O$27)</f>
        <v>33.337196020252755</v>
      </c>
      <c r="P33" s="68">
        <f>IF(SER_hh_fech_in!P33=0,0,SER_hh_fech_in!P33/SER_summary!P$27)</f>
        <v>38.153606064962936</v>
      </c>
      <c r="Q33" s="68">
        <f>IF(SER_hh_fech_in!Q33=0,0,SER_hh_fech_in!Q33/SER_summary!Q$27)</f>
        <v>35.137125362189956</v>
      </c>
      <c r="R33" s="68">
        <f>IF(SER_hh_fech_in!R33=0,0,SER_hh_fech_in!R33/SER_summary!R$27)</f>
        <v>37.182196540767741</v>
      </c>
      <c r="S33" s="68">
        <f>IF(SER_hh_fech_in!S33=0,0,SER_hh_fech_in!S33/SER_summary!S$27)</f>
        <v>36.823441642048813</v>
      </c>
      <c r="T33" s="68">
        <f>IF(SER_hh_fech_in!T33=0,0,SER_hh_fech_in!T33/SER_summary!T$27)</f>
        <v>34.233793161130713</v>
      </c>
      <c r="U33" s="68">
        <f>IF(SER_hh_fech_in!U33=0,0,SER_hh_fech_in!U33/SER_summary!U$27)</f>
        <v>34.149116359191162</v>
      </c>
      <c r="V33" s="68">
        <f>IF(SER_hh_fech_in!V33=0,0,SER_hh_fech_in!V33/SER_summary!V$27)</f>
        <v>33.584164453850619</v>
      </c>
      <c r="W33" s="68">
        <f>IF(SER_hh_fech_in!W33=0,0,SER_hh_fech_in!W33/SER_summary!W$27)</f>
        <v>34.806829168219011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208.39102222993034</v>
      </c>
      <c r="D3" s="126">
        <f>IF(SER_hh_tesh_in!D3=0,0,SER_hh_tesh_in!D3/SER_summary!D$27)</f>
        <v>208.60748687948637</v>
      </c>
      <c r="E3" s="126">
        <f>IF(SER_hh_tesh_in!E3=0,0,SER_hh_tesh_in!E3/SER_summary!E$27)</f>
        <v>230.62290258253856</v>
      </c>
      <c r="F3" s="126">
        <f>IF(SER_hh_tesh_in!F3=0,0,SER_hh_tesh_in!F3/SER_summary!F$27)</f>
        <v>214.18858874435909</v>
      </c>
      <c r="G3" s="126">
        <f>IF(SER_hh_tesh_in!G3=0,0,SER_hh_tesh_in!G3/SER_summary!G$27)</f>
        <v>222.28896187328365</v>
      </c>
      <c r="H3" s="126">
        <f>IF(SER_hh_tesh_in!H3=0,0,SER_hh_tesh_in!H3/SER_summary!H$27)</f>
        <v>232.86480744397875</v>
      </c>
      <c r="I3" s="126">
        <f>IF(SER_hh_tesh_in!I3=0,0,SER_hh_tesh_in!I3/SER_summary!I$27)</f>
        <v>219.85572558589328</v>
      </c>
      <c r="J3" s="126">
        <f>IF(SER_hh_tesh_in!J3=0,0,SER_hh_tesh_in!J3/SER_summary!J$27)</f>
        <v>231.1131156096269</v>
      </c>
      <c r="K3" s="126">
        <f>IF(SER_hh_tesh_in!K3=0,0,SER_hh_tesh_in!K3/SER_summary!K$27)</f>
        <v>215.72726526025204</v>
      </c>
      <c r="L3" s="126">
        <f>IF(SER_hh_tesh_in!L3=0,0,SER_hh_tesh_in!L3/SER_summary!L$27)</f>
        <v>216.81474721864765</v>
      </c>
      <c r="M3" s="126">
        <f>IF(SER_hh_tesh_in!M3=0,0,SER_hh_tesh_in!M3/SER_summary!M$27)</f>
        <v>210.17527693589963</v>
      </c>
      <c r="N3" s="126">
        <f>IF(SER_hh_tesh_in!N3=0,0,SER_hh_tesh_in!N3/SER_summary!N$27)</f>
        <v>207.80097929006442</v>
      </c>
      <c r="O3" s="126">
        <f>IF(SER_hh_tesh_in!O3=0,0,SER_hh_tesh_in!O3/SER_summary!O$27)</f>
        <v>209.09678930724132</v>
      </c>
      <c r="P3" s="126">
        <f>IF(SER_hh_tesh_in!P3=0,0,SER_hh_tesh_in!P3/SER_summary!P$27)</f>
        <v>189.35804696901718</v>
      </c>
      <c r="Q3" s="126">
        <f>IF(SER_hh_tesh_in!Q3=0,0,SER_hh_tesh_in!Q3/SER_summary!Q$27)</f>
        <v>196.27219917682348</v>
      </c>
      <c r="R3" s="126">
        <f>IF(SER_hh_tesh_in!R3=0,0,SER_hh_tesh_in!R3/SER_summary!R$27)</f>
        <v>187.07224414641422</v>
      </c>
      <c r="S3" s="126">
        <f>IF(SER_hh_tesh_in!S3=0,0,SER_hh_tesh_in!S3/SER_summary!S$27)</f>
        <v>176.84240805629091</v>
      </c>
      <c r="T3" s="126">
        <f>IF(SER_hh_tesh_in!T3=0,0,SER_hh_tesh_in!T3/SER_summary!T$27)</f>
        <v>184.04009685534925</v>
      </c>
      <c r="U3" s="126">
        <f>IF(SER_hh_tesh_in!U3=0,0,SER_hh_tesh_in!U3/SER_summary!U$27)</f>
        <v>175.70541514613714</v>
      </c>
      <c r="V3" s="126">
        <f>IF(SER_hh_tesh_in!V3=0,0,SER_hh_tesh_in!V3/SER_summary!V$27)</f>
        <v>154.34469239050676</v>
      </c>
      <c r="W3" s="126">
        <f>IF(SER_hh_tesh_in!W3=0,0,SER_hh_tesh_in!W3/SER_summary!W$27)</f>
        <v>128.06585394739298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127.50697838826702</v>
      </c>
      <c r="D4" s="131">
        <f>IF(SER_hh_tesh_in!D4=0,0,SER_hh_tesh_in!D4/SER_summary!D$27)</f>
        <v>128.05938527184807</v>
      </c>
      <c r="E4" s="131">
        <f>IF(SER_hh_tesh_in!E4=0,0,SER_hh_tesh_in!E4/SER_summary!E$27)</f>
        <v>150.69155005706264</v>
      </c>
      <c r="F4" s="131">
        <f>IF(SER_hh_tesh_in!F4=0,0,SER_hh_tesh_in!F4/SER_summary!F$27)</f>
        <v>135.01369043504548</v>
      </c>
      <c r="G4" s="131">
        <f>IF(SER_hh_tesh_in!G4=0,0,SER_hh_tesh_in!G4/SER_summary!G$27)</f>
        <v>143.01095127542723</v>
      </c>
      <c r="H4" s="131">
        <f>IF(SER_hh_tesh_in!H4=0,0,SER_hh_tesh_in!H4/SER_summary!H$27)</f>
        <v>154.23495650651651</v>
      </c>
      <c r="I4" s="131">
        <f>IF(SER_hh_tesh_in!I4=0,0,SER_hh_tesh_in!I4/SER_summary!I$27)</f>
        <v>147.49116768488079</v>
      </c>
      <c r="J4" s="131">
        <f>IF(SER_hh_tesh_in!J4=0,0,SER_hh_tesh_in!J4/SER_summary!J$27)</f>
        <v>154.30100389449592</v>
      </c>
      <c r="K4" s="131">
        <f>IF(SER_hh_tesh_in!K4=0,0,SER_hh_tesh_in!K4/SER_summary!K$27)</f>
        <v>136.94883583982386</v>
      </c>
      <c r="L4" s="131">
        <f>IF(SER_hh_tesh_in!L4=0,0,SER_hh_tesh_in!L4/SER_summary!L$27)</f>
        <v>137.67277130105165</v>
      </c>
      <c r="M4" s="131">
        <f>IF(SER_hh_tesh_in!M4=0,0,SER_hh_tesh_in!M4/SER_summary!M$27)</f>
        <v>130.0856475730416</v>
      </c>
      <c r="N4" s="131">
        <f>IF(SER_hh_tesh_in!N4=0,0,SER_hh_tesh_in!N4/SER_summary!N$27)</f>
        <v>126.93410477208072</v>
      </c>
      <c r="O4" s="131">
        <f>IF(SER_hh_tesh_in!O4=0,0,SER_hh_tesh_in!O4/SER_summary!O$27)</f>
        <v>129.5215411393828</v>
      </c>
      <c r="P4" s="131">
        <f>IF(SER_hh_tesh_in!P4=0,0,SER_hh_tesh_in!P4/SER_summary!P$27)</f>
        <v>109.58736723330935</v>
      </c>
      <c r="Q4" s="131">
        <f>IF(SER_hh_tesh_in!Q4=0,0,SER_hh_tesh_in!Q4/SER_summary!Q$27)</f>
        <v>117.46985099294244</v>
      </c>
      <c r="R4" s="131">
        <f>IF(SER_hh_tesh_in!R4=0,0,SER_hh_tesh_in!R4/SER_summary!R$27)</f>
        <v>108.54041786935743</v>
      </c>
      <c r="S4" s="131">
        <f>IF(SER_hh_tesh_in!S4=0,0,SER_hh_tesh_in!S4/SER_summary!S$27)</f>
        <v>99.169776144768562</v>
      </c>
      <c r="T4" s="131">
        <f>IF(SER_hh_tesh_in!T4=0,0,SER_hh_tesh_in!T4/SER_summary!T$27)</f>
        <v>106.98160947334624</v>
      </c>
      <c r="U4" s="131">
        <f>IF(SER_hh_tesh_in!U4=0,0,SER_hh_tesh_in!U4/SER_summary!U$27)</f>
        <v>99.4749381947899</v>
      </c>
      <c r="V4" s="131">
        <f>IF(SER_hh_tesh_in!V4=0,0,SER_hh_tesh_in!V4/SER_summary!V$27)</f>
        <v>81.018272601339362</v>
      </c>
      <c r="W4" s="131">
        <f>IF(SER_hh_tesh_in!W4=0,0,SER_hh_tesh_in!W4/SER_summary!W$27)</f>
        <v>55.570351060497288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73.558823642516046</v>
      </c>
      <c r="D5" s="133">
        <f>IF(SER_hh_tesh_in!D5=0,0,SER_hh_tesh_in!D5/SER_summary!D$27)</f>
        <v>37.70965014404311</v>
      </c>
      <c r="E5" s="133">
        <f>IF(SER_hh_tesh_in!E5=0,0,SER_hh_tesh_in!E5/SER_summary!E$27)</f>
        <v>206.06224318099075</v>
      </c>
      <c r="F5" s="133">
        <f>IF(SER_hh_tesh_in!F5=0,0,SER_hh_tesh_in!F5/SER_summary!F$27)</f>
        <v>175.05583185523929</v>
      </c>
      <c r="G5" s="133">
        <f>IF(SER_hh_tesh_in!G5=0,0,SER_hh_tesh_in!G5/SER_summary!G$27)</f>
        <v>171.6557066137957</v>
      </c>
      <c r="H5" s="133">
        <f>IF(SER_hh_tesh_in!H5=0,0,SER_hh_tesh_in!H5/SER_summary!H$27)</f>
        <v>171.18006782789357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132.50635827248141</v>
      </c>
      <c r="S5" s="133">
        <f>IF(SER_hh_tesh_in!S5=0,0,SER_hh_tesh_in!S5/SER_summary!S$27)</f>
        <v>104.57964792861868</v>
      </c>
      <c r="T5" s="133">
        <f>IF(SER_hh_tesh_in!T5=0,0,SER_hh_tesh_in!T5/SER_summary!T$27)</f>
        <v>111.78455470323935</v>
      </c>
      <c r="U5" s="133">
        <f>IF(SER_hh_tesh_in!U5=0,0,SER_hh_tesh_in!U5/SER_summary!U$27)</f>
        <v>109.71342079884973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126.79602313037051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152.88158090081021</v>
      </c>
      <c r="K7" s="133">
        <f>IF(SER_hh_tesh_in!K7=0,0,SER_hh_tesh_in!K7/SER_summary!K$27)</f>
        <v>129.55391179912354</v>
      </c>
      <c r="L7" s="133">
        <f>IF(SER_hh_tesh_in!L7=0,0,SER_hh_tesh_in!L7/SER_summary!L$27)</f>
        <v>134.64121224510714</v>
      </c>
      <c r="M7" s="133">
        <f>IF(SER_hh_tesh_in!M7=0,0,SER_hh_tesh_in!M7/SER_summary!M$27)</f>
        <v>120.69519402226609</v>
      </c>
      <c r="N7" s="133">
        <f>IF(SER_hh_tesh_in!N7=0,0,SER_hh_tesh_in!N7/SER_summary!N$27)</f>
        <v>112.60302040890743</v>
      </c>
      <c r="O7" s="133">
        <f>IF(SER_hh_tesh_in!O7=0,0,SER_hh_tesh_in!O7/SER_summary!O$27)</f>
        <v>132.80747878385284</v>
      </c>
      <c r="P7" s="133">
        <f>IF(SER_hh_tesh_in!P7=0,0,SER_hh_tesh_in!P7/SER_summary!P$27)</f>
        <v>113.9519529953029</v>
      </c>
      <c r="Q7" s="133">
        <f>IF(SER_hh_tesh_in!Q7=0,0,SER_hh_tesh_in!Q7/SER_summary!Q$27)</f>
        <v>116.15419505750369</v>
      </c>
      <c r="R7" s="133">
        <f>IF(SER_hh_tesh_in!R7=0,0,SER_hh_tesh_in!R7/SER_summary!R$27)</f>
        <v>106.97412130702089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73.27973986610651</v>
      </c>
      <c r="W7" s="133">
        <f>IF(SER_hh_tesh_in!W7=0,0,SER_hh_tesh_in!W7/SER_summary!W$27)</f>
        <v>58.049993449914155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129.45815609707145</v>
      </c>
      <c r="D9" s="133">
        <f>IF(SER_hh_tesh_in!D9=0,0,SER_hh_tesh_in!D9/SER_summary!D$27)</f>
        <v>126.19540558828379</v>
      </c>
      <c r="E9" s="133">
        <f>IF(SER_hh_tesh_in!E9=0,0,SER_hh_tesh_in!E9/SER_summary!E$27)</f>
        <v>133.76730932281856</v>
      </c>
      <c r="F9" s="133">
        <f>IF(SER_hh_tesh_in!F9=0,0,SER_hh_tesh_in!F9/SER_summary!F$27)</f>
        <v>134.01896982795333</v>
      </c>
      <c r="G9" s="133">
        <f>IF(SER_hh_tesh_in!G9=0,0,SER_hh_tesh_in!G9/SER_summary!G$27)</f>
        <v>134.59676562994935</v>
      </c>
      <c r="H9" s="133">
        <f>IF(SER_hh_tesh_in!H9=0,0,SER_hh_tesh_in!H9/SER_summary!H$27)</f>
        <v>147.6627001015095</v>
      </c>
      <c r="I9" s="133">
        <f>IF(SER_hh_tesh_in!I9=0,0,SER_hh_tesh_in!I9/SER_summary!I$27)</f>
        <v>147.7567018063225</v>
      </c>
      <c r="J9" s="133">
        <f>IF(SER_hh_tesh_in!J9=0,0,SER_hh_tesh_in!J9/SER_summary!J$27)</f>
        <v>149.96519604097693</v>
      </c>
      <c r="K9" s="133">
        <f>IF(SER_hh_tesh_in!K9=0,0,SER_hh_tesh_in!K9/SER_summary!K$27)</f>
        <v>132.63849163628444</v>
      </c>
      <c r="L9" s="133">
        <f>IF(SER_hh_tesh_in!L9=0,0,SER_hh_tesh_in!L9/SER_summary!L$27)</f>
        <v>136.03597708361346</v>
      </c>
      <c r="M9" s="133">
        <f>IF(SER_hh_tesh_in!M9=0,0,SER_hh_tesh_in!M9/SER_summary!M$27)</f>
        <v>129.33168145112685</v>
      </c>
      <c r="N9" s="133">
        <f>IF(SER_hh_tesh_in!N9=0,0,SER_hh_tesh_in!N9/SER_summary!N$27)</f>
        <v>133.5453352622728</v>
      </c>
      <c r="O9" s="133">
        <f>IF(SER_hh_tesh_in!O9=0,0,SER_hh_tesh_in!O9/SER_summary!O$27)</f>
        <v>122.55627165007442</v>
      </c>
      <c r="P9" s="133">
        <f>IF(SER_hh_tesh_in!P9=0,0,SER_hh_tesh_in!P9/SER_summary!P$27)</f>
        <v>107.67582730034225</v>
      </c>
      <c r="Q9" s="133">
        <f>IF(SER_hh_tesh_in!Q9=0,0,SER_hh_tesh_in!Q9/SER_summary!Q$27)</f>
        <v>112.2134664394498</v>
      </c>
      <c r="R9" s="133">
        <f>IF(SER_hh_tesh_in!R9=0,0,SER_hh_tesh_in!R9/SER_summary!R$27)</f>
        <v>105.80213831668354</v>
      </c>
      <c r="S9" s="133">
        <f>IF(SER_hh_tesh_in!S9=0,0,SER_hh_tesh_in!S9/SER_summary!S$27)</f>
        <v>98.493259864816906</v>
      </c>
      <c r="T9" s="133">
        <f>IF(SER_hh_tesh_in!T9=0,0,SER_hh_tesh_in!T9/SER_summary!T$27)</f>
        <v>101.58362721494652</v>
      </c>
      <c r="U9" s="133">
        <f>IF(SER_hh_tesh_in!U9=0,0,SER_hh_tesh_in!U9/SER_summary!U$27)</f>
        <v>91.183396896416639</v>
      </c>
      <c r="V9" s="133">
        <f>IF(SER_hh_tesh_in!V9=0,0,SER_hh_tesh_in!V9/SER_summary!V$27)</f>
        <v>83.877825065217181</v>
      </c>
      <c r="W9" s="133">
        <f>IF(SER_hh_tesh_in!W9=0,0,SER_hh_tesh_in!W9/SER_summary!W$27)</f>
        <v>49.903006479301183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28.112446225319584</v>
      </c>
      <c r="H10" s="133">
        <f>IF(SER_hh_tesh_in!H10=0,0,SER_hh_tesh_in!H10/SER_summary!H$27)</f>
        <v>73.937250697150645</v>
      </c>
      <c r="I10" s="133">
        <f>IF(SER_hh_tesh_in!I10=0,0,SER_hh_tesh_in!I10/SER_summary!I$27)</f>
        <v>140.12524261045354</v>
      </c>
      <c r="J10" s="133">
        <f>IF(SER_hh_tesh_in!J10=0,0,SER_hh_tesh_in!J10/SER_summary!J$27)</f>
        <v>170.332156459093</v>
      </c>
      <c r="K10" s="133">
        <f>IF(SER_hh_tesh_in!K10=0,0,SER_hh_tesh_in!K10/SER_summary!K$27)</f>
        <v>163.88036156944921</v>
      </c>
      <c r="L10" s="133">
        <f>IF(SER_hh_tesh_in!L10=0,0,SER_hh_tesh_in!L10/SER_summary!L$27)</f>
        <v>118.96260429554872</v>
      </c>
      <c r="M10" s="133">
        <f>IF(SER_hh_tesh_in!M10=0,0,SER_hh_tesh_in!M10/SER_summary!M$27)</f>
        <v>127.2848439346443</v>
      </c>
      <c r="N10" s="133">
        <f>IF(SER_hh_tesh_in!N10=0,0,SER_hh_tesh_in!N10/SER_summary!N$27)</f>
        <v>123.18278270085402</v>
      </c>
      <c r="O10" s="133">
        <f>IF(SER_hh_tesh_in!O10=0,0,SER_hh_tesh_in!O10/SER_summary!O$27)</f>
        <v>142.92158312072775</v>
      </c>
      <c r="P10" s="133">
        <f>IF(SER_hh_tesh_in!P10=0,0,SER_hh_tesh_in!P10/SER_summary!P$27)</f>
        <v>148.05716832393335</v>
      </c>
      <c r="Q10" s="133">
        <f>IF(SER_hh_tesh_in!Q10=0,0,SER_hh_tesh_in!Q10/SER_summary!Q$27)</f>
        <v>84.669262707436786</v>
      </c>
      <c r="R10" s="133">
        <f>IF(SER_hh_tesh_in!R10=0,0,SER_hh_tesh_in!R10/SER_summary!R$27)</f>
        <v>120.15217675848601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77.529374055451456</v>
      </c>
      <c r="W10" s="133">
        <f>IF(SER_hh_tesh_in!W10=0,0,SER_hh_tesh_in!W10/SER_summary!W$27)</f>
        <v>75.952059768429692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68.136445507180142</v>
      </c>
      <c r="D13" s="133">
        <f>IF(SER_hh_tesh_in!D13=0,0,SER_hh_tesh_in!D13/SER_summary!D$27)</f>
        <v>20.065007026259469</v>
      </c>
      <c r="E13" s="133">
        <f>IF(SER_hh_tesh_in!E13=0,0,SER_hh_tesh_in!E13/SER_summary!E$27)</f>
        <v>102.42141131619141</v>
      </c>
      <c r="F13" s="133">
        <f>IF(SER_hh_tesh_in!F13=0,0,SER_hh_tesh_in!F13/SER_summary!F$27)</f>
        <v>80.697362583645315</v>
      </c>
      <c r="G13" s="133">
        <f>IF(SER_hh_tesh_in!G13=0,0,SER_hh_tesh_in!G13/SER_summary!G$27)</f>
        <v>124.89493469155251</v>
      </c>
      <c r="H13" s="133">
        <f>IF(SER_hh_tesh_in!H13=0,0,SER_hh_tesh_in!H13/SER_summary!H$27)</f>
        <v>144.58918397059125</v>
      </c>
      <c r="I13" s="133">
        <f>IF(SER_hh_tesh_in!I13=0,0,SER_hh_tesh_in!I13/SER_summary!I$27)</f>
        <v>151.69557404373569</v>
      </c>
      <c r="J13" s="133">
        <f>IF(SER_hh_tesh_in!J13=0,0,SER_hh_tesh_in!J13/SER_summary!J$27)</f>
        <v>166.45889248468421</v>
      </c>
      <c r="K13" s="133">
        <f>IF(SER_hh_tesh_in!K13=0,0,SER_hh_tesh_in!K13/SER_summary!K$27)</f>
        <v>147.22457869712656</v>
      </c>
      <c r="L13" s="133">
        <f>IF(SER_hh_tesh_in!L13=0,0,SER_hh_tesh_in!L13/SER_summary!L$27)</f>
        <v>134.89456973137493</v>
      </c>
      <c r="M13" s="133">
        <f>IF(SER_hh_tesh_in!M13=0,0,SER_hh_tesh_in!M13/SER_summary!M$27)</f>
        <v>135.53197939366402</v>
      </c>
      <c r="N13" s="133">
        <f>IF(SER_hh_tesh_in!N13=0,0,SER_hh_tesh_in!N13/SER_summary!N$27)</f>
        <v>128.68925974844711</v>
      </c>
      <c r="O13" s="133">
        <f>IF(SER_hh_tesh_in!O13=0,0,SER_hh_tesh_in!O13/SER_summary!O$27)</f>
        <v>120.76371562184687</v>
      </c>
      <c r="P13" s="133">
        <f>IF(SER_hh_tesh_in!P13=0,0,SER_hh_tesh_in!P13/SER_summary!P$27)</f>
        <v>113.17881353341349</v>
      </c>
      <c r="Q13" s="133">
        <f>IF(SER_hh_tesh_in!Q13=0,0,SER_hh_tesh_in!Q13/SER_summary!Q$27)</f>
        <v>110.94300319558319</v>
      </c>
      <c r="R13" s="133">
        <f>IF(SER_hh_tesh_in!R13=0,0,SER_hh_tesh_in!R13/SER_summary!R$27)</f>
        <v>109.95138550563934</v>
      </c>
      <c r="S13" s="133">
        <f>IF(SER_hh_tesh_in!S13=0,0,SER_hh_tesh_in!S13/SER_summary!S$27)</f>
        <v>110.42177069695225</v>
      </c>
      <c r="T13" s="133">
        <f>IF(SER_hh_tesh_in!T13=0,0,SER_hh_tesh_in!T13/SER_summary!T$27)</f>
        <v>99.628156370929304</v>
      </c>
      <c r="U13" s="133">
        <f>IF(SER_hh_tesh_in!U13=0,0,SER_hh_tesh_in!U13/SER_summary!U$27)</f>
        <v>92.91253971704829</v>
      </c>
      <c r="V13" s="133">
        <f>IF(SER_hh_tesh_in!V13=0,0,SER_hh_tesh_in!V13/SER_summary!V$27)</f>
        <v>81.780980246453055</v>
      </c>
      <c r="W13" s="133">
        <f>IF(SER_hh_tesh_in!W13=0,0,SER_hh_tesh_in!W13/SER_summary!W$27)</f>
        <v>60.613730736608524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126.38590917141256</v>
      </c>
      <c r="D14" s="65">
        <f>IF(SER_hh_tesh_in!D14=0,0,SER_hh_tesh_in!D14/SER_summary!D$27)</f>
        <v>133.94409243060846</v>
      </c>
      <c r="E14" s="65">
        <f>IF(SER_hh_tesh_in!E14=0,0,SER_hh_tesh_in!E14/SER_summary!E$27)</f>
        <v>145.8780082459495</v>
      </c>
      <c r="F14" s="65">
        <f>IF(SER_hh_tesh_in!F14=0,0,SER_hh_tesh_in!F14/SER_summary!F$27)</f>
        <v>132.673452175553</v>
      </c>
      <c r="G14" s="65">
        <f>IF(SER_hh_tesh_in!G14=0,0,SER_hh_tesh_in!G14/SER_summary!G$27)</f>
        <v>146.54007112394399</v>
      </c>
      <c r="H14" s="65">
        <f>IF(SER_hh_tesh_in!H14=0,0,SER_hh_tesh_in!H14/SER_summary!H$27)</f>
        <v>158.63575441512057</v>
      </c>
      <c r="I14" s="65">
        <f>IF(SER_hh_tesh_in!I14=0,0,SER_hh_tesh_in!I14/SER_summary!I$27)</f>
        <v>146.42533218606172</v>
      </c>
      <c r="J14" s="65">
        <f>IF(SER_hh_tesh_in!J14=0,0,SER_hh_tesh_in!J14/SER_summary!J$27)</f>
        <v>153.12985035820722</v>
      </c>
      <c r="K14" s="65">
        <f>IF(SER_hh_tesh_in!K14=0,0,SER_hh_tesh_in!K14/SER_summary!K$27)</f>
        <v>144.42058204780218</v>
      </c>
      <c r="L14" s="65">
        <f>IF(SER_hh_tesh_in!L14=0,0,SER_hh_tesh_in!L14/SER_summary!L$27)</f>
        <v>138.98531775638745</v>
      </c>
      <c r="M14" s="65">
        <f>IF(SER_hh_tesh_in!M14=0,0,SER_hh_tesh_in!M14/SER_summary!M$27)</f>
        <v>134.35840800572385</v>
      </c>
      <c r="N14" s="65">
        <f>IF(SER_hh_tesh_in!N14=0,0,SER_hh_tesh_in!N14/SER_summary!N$27)</f>
        <v>128.83791230587065</v>
      </c>
      <c r="O14" s="65">
        <f>IF(SER_hh_tesh_in!O14=0,0,SER_hh_tesh_in!O14/SER_summary!O$27)</f>
        <v>126.17539623294945</v>
      </c>
      <c r="P14" s="65">
        <f>IF(SER_hh_tesh_in!P14=0,0,SER_hh_tesh_in!P14/SER_summary!P$27)</f>
        <v>104.477286436021</v>
      </c>
      <c r="Q14" s="65">
        <f>IF(SER_hh_tesh_in!Q14=0,0,SER_hh_tesh_in!Q14/SER_summary!Q$27)</f>
        <v>119.75980316403344</v>
      </c>
      <c r="R14" s="65">
        <f>IF(SER_hh_tesh_in!R14=0,0,SER_hh_tesh_in!R14/SER_summary!R$27)</f>
        <v>108.75317798285992</v>
      </c>
      <c r="S14" s="65">
        <f>IF(SER_hh_tesh_in!S14=0,0,SER_hh_tesh_in!S14/SER_summary!S$27)</f>
        <v>97.913786400995406</v>
      </c>
      <c r="T14" s="65">
        <f>IF(SER_hh_tesh_in!T14=0,0,SER_hh_tesh_in!T14/SER_summary!T$27)</f>
        <v>109.44537002885902</v>
      </c>
      <c r="U14" s="65">
        <f>IF(SER_hh_tesh_in!U14=0,0,SER_hh_tesh_in!U14/SER_summary!U$27)</f>
        <v>107.68546609863554</v>
      </c>
      <c r="V14" s="65">
        <f>IF(SER_hh_tesh_in!V14=0,0,SER_hh_tesh_in!V14/SER_summary!V$27)</f>
        <v>76.526416337882651</v>
      </c>
      <c r="W14" s="65">
        <f>IF(SER_hh_tesh_in!W14=0,0,SER_hh_tesh_in!W14/SER_summary!W$27)</f>
        <v>59.818293140387169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2.4728489929557678</v>
      </c>
      <c r="D15" s="135">
        <f>IF(SER_hh_tesh_in!D15=0,0,SER_hh_tesh_in!D15/SER_summary!D$27)</f>
        <v>1.930897019997933</v>
      </c>
      <c r="E15" s="135">
        <f>IF(SER_hh_tesh_in!E15=0,0,SER_hh_tesh_in!E15/SER_summary!E$27)</f>
        <v>2.3019676898081927</v>
      </c>
      <c r="F15" s="135">
        <f>IF(SER_hh_tesh_in!F15=0,0,SER_hh_tesh_in!F15/SER_summary!F$27)</f>
        <v>2.3660165952888059</v>
      </c>
      <c r="G15" s="135">
        <f>IF(SER_hh_tesh_in!G15=0,0,SER_hh_tesh_in!G15/SER_summary!G$27)</f>
        <v>2.339750426601563</v>
      </c>
      <c r="H15" s="135">
        <f>IF(SER_hh_tesh_in!H15=0,0,SER_hh_tesh_in!H15/SER_summary!H$27)</f>
        <v>2.5267172415704415</v>
      </c>
      <c r="I15" s="135">
        <f>IF(SER_hh_tesh_in!I15=0,0,SER_hh_tesh_in!I15/SER_summary!I$27)</f>
        <v>2.4868736832248102</v>
      </c>
      <c r="J15" s="135">
        <f>IF(SER_hh_tesh_in!J15=0,0,SER_hh_tesh_in!J15/SER_summary!J$27)</f>
        <v>2.544864813362778</v>
      </c>
      <c r="K15" s="135">
        <f>IF(SER_hh_tesh_in!K15=0,0,SER_hh_tesh_in!K15/SER_summary!K$27)</f>
        <v>2.2208177415138528</v>
      </c>
      <c r="L15" s="135">
        <f>IF(SER_hh_tesh_in!L15=0,0,SER_hh_tesh_in!L15/SER_summary!L$27)</f>
        <v>2.2777365822777003</v>
      </c>
      <c r="M15" s="135">
        <f>IF(SER_hh_tesh_in!M15=0,0,SER_hh_tesh_in!M15/SER_summary!M$27)</f>
        <v>2.0882103517891712</v>
      </c>
      <c r="N15" s="135">
        <f>IF(SER_hh_tesh_in!N15=0,0,SER_hh_tesh_in!N15/SER_summary!N$27)</f>
        <v>2.0376109299317036</v>
      </c>
      <c r="O15" s="135">
        <f>IF(SER_hh_tesh_in!O15=0,0,SER_hh_tesh_in!O15/SER_summary!O$27)</f>
        <v>2.0959912870682285</v>
      </c>
      <c r="P15" s="135">
        <f>IF(SER_hh_tesh_in!P15=0,0,SER_hh_tesh_in!P15/SER_summary!P$27)</f>
        <v>1.7945147461357909</v>
      </c>
      <c r="Q15" s="135">
        <f>IF(SER_hh_tesh_in!Q15=0,0,SER_hh_tesh_in!Q15/SER_summary!Q$27)</f>
        <v>1.8225560804635752</v>
      </c>
      <c r="R15" s="135">
        <f>IF(SER_hh_tesh_in!R15=0,0,SER_hh_tesh_in!R15/SER_summary!R$27)</f>
        <v>1.6987558213132494</v>
      </c>
      <c r="S15" s="135">
        <f>IF(SER_hh_tesh_in!S15=0,0,SER_hh_tesh_in!S15/SER_summary!S$27)</f>
        <v>1.5820865925120253</v>
      </c>
      <c r="T15" s="135">
        <f>IF(SER_hh_tesh_in!T15=0,0,SER_hh_tesh_in!T15/SER_summary!T$27)</f>
        <v>1.6235042861485196</v>
      </c>
      <c r="U15" s="135">
        <f>IF(SER_hh_tesh_in!U15=0,0,SER_hh_tesh_in!U15/SER_summary!U$27)</f>
        <v>1.4499381985992348</v>
      </c>
      <c r="V15" s="135">
        <f>IF(SER_hh_tesh_in!V15=0,0,SER_hh_tesh_in!V15/SER_summary!V$27)</f>
        <v>1.3301093206579477</v>
      </c>
      <c r="W15" s="135">
        <f>IF(SER_hh_tesh_in!W15=0,0,SER_hh_tesh_in!W15/SER_summary!W$27)</f>
        <v>0.79512979893140601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27.304446418180603</v>
      </c>
      <c r="D16" s="131">
        <f>IF(SER_hh_tesh_in!D16=0,0,SER_hh_tesh_in!D16/SER_summary!D$27)</f>
        <v>27.569552558211019</v>
      </c>
      <c r="E16" s="131">
        <f>IF(SER_hh_tesh_in!E16=0,0,SER_hh_tesh_in!E16/SER_summary!E$27)</f>
        <v>27.394181778444352</v>
      </c>
      <c r="F16" s="131">
        <f>IF(SER_hh_tesh_in!F16=0,0,SER_hh_tesh_in!F16/SER_summary!F$27)</f>
        <v>27.123854137143681</v>
      </c>
      <c r="G16" s="131">
        <f>IF(SER_hh_tesh_in!G16=0,0,SER_hh_tesh_in!G16/SER_summary!G$27)</f>
        <v>26.561513734419808</v>
      </c>
      <c r="H16" s="131">
        <f>IF(SER_hh_tesh_in!H16=0,0,SER_hh_tesh_in!H16/SER_summary!H$27)</f>
        <v>26.761425846343343</v>
      </c>
      <c r="I16" s="131">
        <f>IF(SER_hh_tesh_in!I16=0,0,SER_hh_tesh_in!I16/SER_summary!I$27)</f>
        <v>27.0416331566385</v>
      </c>
      <c r="J16" s="131">
        <f>IF(SER_hh_tesh_in!J16=0,0,SER_hh_tesh_in!J16/SER_summary!J$27)</f>
        <v>26.278622642054966</v>
      </c>
      <c r="K16" s="131">
        <f>IF(SER_hh_tesh_in!K16=0,0,SER_hh_tesh_in!K16/SER_summary!K$27)</f>
        <v>25.68481921088506</v>
      </c>
      <c r="L16" s="131">
        <f>IF(SER_hh_tesh_in!L16=0,0,SER_hh_tesh_in!L16/SER_summary!L$27)</f>
        <v>25.400009558656652</v>
      </c>
      <c r="M16" s="131">
        <f>IF(SER_hh_tesh_in!M16=0,0,SER_hh_tesh_in!M16/SER_summary!M$27)</f>
        <v>24.786690802846472</v>
      </c>
      <c r="N16" s="131">
        <f>IF(SER_hh_tesh_in!N16=0,0,SER_hh_tesh_in!N16/SER_summary!N$27)</f>
        <v>24.618224464474263</v>
      </c>
      <c r="O16" s="131">
        <f>IF(SER_hh_tesh_in!O16=0,0,SER_hh_tesh_in!O16/SER_summary!O$27)</f>
        <v>23.692905034205634</v>
      </c>
      <c r="P16" s="131">
        <f>IF(SER_hh_tesh_in!P16=0,0,SER_hh_tesh_in!P16/SER_summary!P$27)</f>
        <v>23.594881187828921</v>
      </c>
      <c r="Q16" s="131">
        <f>IF(SER_hh_tesh_in!Q16=0,0,SER_hh_tesh_in!Q16/SER_summary!Q$27)</f>
        <v>22.807453664464376</v>
      </c>
      <c r="R16" s="131">
        <f>IF(SER_hh_tesh_in!R16=0,0,SER_hh_tesh_in!R16/SER_summary!R$27)</f>
        <v>22.481486240838478</v>
      </c>
      <c r="S16" s="131">
        <f>IF(SER_hh_tesh_in!S16=0,0,SER_hh_tesh_in!S16/SER_summary!S$27)</f>
        <v>21.750871634248377</v>
      </c>
      <c r="T16" s="131">
        <f>IF(SER_hh_tesh_in!T16=0,0,SER_hh_tesh_in!T16/SER_summary!T$27)</f>
        <v>21.063308497054031</v>
      </c>
      <c r="U16" s="131">
        <f>IF(SER_hh_tesh_in!U16=0,0,SER_hh_tesh_in!U16/SER_summary!U$27)</f>
        <v>20.33015906064249</v>
      </c>
      <c r="V16" s="131">
        <f>IF(SER_hh_tesh_in!V16=0,0,SER_hh_tesh_in!V16/SER_summary!V$27)</f>
        <v>19.44350910537851</v>
      </c>
      <c r="W16" s="131">
        <f>IF(SER_hh_tesh_in!W16=0,0,SER_hh_tesh_in!W16/SER_summary!W$27)</f>
        <v>17.040827438129227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27.306663831682577</v>
      </c>
      <c r="D17" s="133">
        <f>IF(SER_hh_tesh_in!D17=0,0,SER_hh_tesh_in!D17/SER_summary!D$27)</f>
        <v>27.578891132258772</v>
      </c>
      <c r="E17" s="133">
        <f>IF(SER_hh_tesh_in!E17=0,0,SER_hh_tesh_in!E17/SER_summary!E$27)</f>
        <v>27.368335243206875</v>
      </c>
      <c r="F17" s="133">
        <f>IF(SER_hh_tesh_in!F17=0,0,SER_hh_tesh_in!F17/SER_summary!F$27)</f>
        <v>27.155129805325746</v>
      </c>
      <c r="G17" s="133">
        <f>IF(SER_hh_tesh_in!G17=0,0,SER_hh_tesh_in!G17/SER_summary!G$27)</f>
        <v>26.604324247512636</v>
      </c>
      <c r="H17" s="133">
        <f>IF(SER_hh_tesh_in!H17=0,0,SER_hh_tesh_in!H17/SER_summary!H$27)</f>
        <v>26.850764164579076</v>
      </c>
      <c r="I17" s="133">
        <f>IF(SER_hh_tesh_in!I17=0,0,SER_hh_tesh_in!I17/SER_summary!I$27)</f>
        <v>26.626561255200905</v>
      </c>
      <c r="J17" s="133">
        <f>IF(SER_hh_tesh_in!J17=0,0,SER_hh_tesh_in!J17/SER_summary!J$27)</f>
        <v>26.266698892221402</v>
      </c>
      <c r="K17" s="133">
        <f>IF(SER_hh_tesh_in!K17=0,0,SER_hh_tesh_in!K17/SER_summary!K$27)</f>
        <v>25.644007508556111</v>
      </c>
      <c r="L17" s="133">
        <f>IF(SER_hh_tesh_in!L17=0,0,SER_hh_tesh_in!L17/SER_summary!L$27)</f>
        <v>25.34512332092682</v>
      </c>
      <c r="M17" s="133">
        <f>IF(SER_hh_tesh_in!M17=0,0,SER_hh_tesh_in!M17/SER_summary!M$27)</f>
        <v>24.739887672692806</v>
      </c>
      <c r="N17" s="133">
        <f>IF(SER_hh_tesh_in!N17=0,0,SER_hh_tesh_in!N17/SER_summary!N$27)</f>
        <v>24.556087644482986</v>
      </c>
      <c r="O17" s="133">
        <f>IF(SER_hh_tesh_in!O17=0,0,SER_hh_tesh_in!O17/SER_summary!O$27)</f>
        <v>23.700119387159511</v>
      </c>
      <c r="P17" s="133">
        <f>IF(SER_hh_tesh_in!P17=0,0,SER_hh_tesh_in!P17/SER_summary!P$27)</f>
        <v>23.842630442892922</v>
      </c>
      <c r="Q17" s="133">
        <f>IF(SER_hh_tesh_in!Q17=0,0,SER_hh_tesh_in!Q17/SER_summary!Q$27)</f>
        <v>23.12076839419079</v>
      </c>
      <c r="R17" s="133">
        <f>IF(SER_hh_tesh_in!R17=0,0,SER_hh_tesh_in!R17/SER_summary!R$27)</f>
        <v>22.995439490381994</v>
      </c>
      <c r="S17" s="133">
        <f>IF(SER_hh_tesh_in!S17=0,0,SER_hh_tesh_in!S17/SER_summary!S$27)</f>
        <v>22.216879445372626</v>
      </c>
      <c r="T17" s="133">
        <f>IF(SER_hh_tesh_in!T17=0,0,SER_hh_tesh_in!T17/SER_summary!T$27)</f>
        <v>21.375482642339346</v>
      </c>
      <c r="U17" s="133">
        <f>IF(SER_hh_tesh_in!U17=0,0,SER_hh_tesh_in!U17/SER_summary!U$27)</f>
        <v>20.514872072841538</v>
      </c>
      <c r="V17" s="133">
        <f>IF(SER_hh_tesh_in!V17=0,0,SER_hh_tesh_in!V17/SER_summary!V$27)</f>
        <v>17.955190988344125</v>
      </c>
      <c r="W17" s="133">
        <f>IF(SER_hh_tesh_in!W17=0,0,SER_hh_tesh_in!W17/SER_summary!W$27)</f>
        <v>14.699294989152351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27.304439376035539</v>
      </c>
      <c r="D18" s="133">
        <f>IF(SER_hh_tesh_in!D18=0,0,SER_hh_tesh_in!D18/SER_summary!D$27)</f>
        <v>27.569520747691051</v>
      </c>
      <c r="E18" s="133">
        <f>IF(SER_hh_tesh_in!E18=0,0,SER_hh_tesh_in!E18/SER_summary!E$27)</f>
        <v>27.394221598933413</v>
      </c>
      <c r="F18" s="133">
        <f>IF(SER_hh_tesh_in!F18=0,0,SER_hh_tesh_in!F18/SER_summary!F$27)</f>
        <v>27.123704536682595</v>
      </c>
      <c r="G18" s="133">
        <f>IF(SER_hh_tesh_in!G18=0,0,SER_hh_tesh_in!G18/SER_summary!G$27)</f>
        <v>26.561356935011446</v>
      </c>
      <c r="H18" s="133">
        <f>IF(SER_hh_tesh_in!H18=0,0,SER_hh_tesh_in!H18/SER_summary!H$27)</f>
        <v>26.760954950988232</v>
      </c>
      <c r="I18" s="133">
        <f>IF(SER_hh_tesh_in!I18=0,0,SER_hh_tesh_in!I18/SER_summary!I$27)</f>
        <v>27.043018576687206</v>
      </c>
      <c r="J18" s="133">
        <f>IF(SER_hh_tesh_in!J18=0,0,SER_hh_tesh_in!J18/SER_summary!J$27)</f>
        <v>26.278652038257619</v>
      </c>
      <c r="K18" s="133">
        <f>IF(SER_hh_tesh_in!K18=0,0,SER_hh_tesh_in!K18/SER_summary!K$27)</f>
        <v>25.685084264623988</v>
      </c>
      <c r="L18" s="133">
        <f>IF(SER_hh_tesh_in!L18=0,0,SER_hh_tesh_in!L18/SER_summary!L$27)</f>
        <v>25.400271459347014</v>
      </c>
      <c r="M18" s="133">
        <f>IF(SER_hh_tesh_in!M18=0,0,SER_hh_tesh_in!M18/SER_summary!M$27)</f>
        <v>24.78694222616684</v>
      </c>
      <c r="N18" s="133">
        <f>IF(SER_hh_tesh_in!N18=0,0,SER_hh_tesh_in!N18/SER_summary!N$27)</f>
        <v>24.618666890047432</v>
      </c>
      <c r="O18" s="133">
        <f>IF(SER_hh_tesh_in!O18=0,0,SER_hh_tesh_in!O18/SER_summary!O$27)</f>
        <v>23.692827563586729</v>
      </c>
      <c r="P18" s="133">
        <f>IF(SER_hh_tesh_in!P18=0,0,SER_hh_tesh_in!P18/SER_summary!P$27)</f>
        <v>23.591378980500721</v>
      </c>
      <c r="Q18" s="133">
        <f>IF(SER_hh_tesh_in!Q18=0,0,SER_hh_tesh_in!Q18/SER_summary!Q$27)</f>
        <v>22.799210219188073</v>
      </c>
      <c r="R18" s="133">
        <f>IF(SER_hh_tesh_in!R18=0,0,SER_hh_tesh_in!R18/SER_summary!R$27)</f>
        <v>22.472170068248811</v>
      </c>
      <c r="S18" s="133">
        <f>IF(SER_hh_tesh_in!S18=0,0,SER_hh_tesh_in!S18/SER_summary!S$27)</f>
        <v>21.742687785628672</v>
      </c>
      <c r="T18" s="133">
        <f>IF(SER_hh_tesh_in!T18=0,0,SER_hh_tesh_in!T18/SER_summary!T$27)</f>
        <v>21.05903506085717</v>
      </c>
      <c r="U18" s="133">
        <f>IF(SER_hh_tesh_in!U18=0,0,SER_hh_tesh_in!U18/SER_summary!U$27)</f>
        <v>20.327443286454454</v>
      </c>
      <c r="V18" s="133">
        <f>IF(SER_hh_tesh_in!V18=0,0,SER_hh_tesh_in!V18/SER_summary!V$27)</f>
        <v>19.491676067052627</v>
      </c>
      <c r="W18" s="133">
        <f>IF(SER_hh_tesh_in!W18=0,0,SER_hh_tesh_in!W18/SER_summary!W$27)</f>
        <v>17.081431511387127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26.106351912213789</v>
      </c>
      <c r="D19" s="131">
        <f>IF(SER_hh_tesh_in!D19=0,0,SER_hh_tesh_in!D19/SER_summary!D$27)</f>
        <v>25.799942575842742</v>
      </c>
      <c r="E19" s="131">
        <f>IF(SER_hh_tesh_in!E19=0,0,SER_hh_tesh_in!E19/SER_summary!E$27)</f>
        <v>25.559004310966031</v>
      </c>
      <c r="F19" s="131">
        <f>IF(SER_hh_tesh_in!F19=0,0,SER_hh_tesh_in!F19/SER_summary!F$27)</f>
        <v>25.277261729918628</v>
      </c>
      <c r="G19" s="131">
        <f>IF(SER_hh_tesh_in!G19=0,0,SER_hh_tesh_in!G19/SER_summary!G$27)</f>
        <v>25.49424939185938</v>
      </c>
      <c r="H19" s="131">
        <f>IF(SER_hh_tesh_in!H19=0,0,SER_hh_tesh_in!H19/SER_summary!H$27)</f>
        <v>25.128294043748404</v>
      </c>
      <c r="I19" s="131">
        <f>IF(SER_hh_tesh_in!I19=0,0,SER_hh_tesh_in!I19/SER_summary!I$27)</f>
        <v>24.653166203215005</v>
      </c>
      <c r="J19" s="131">
        <f>IF(SER_hh_tesh_in!J19=0,0,SER_hh_tesh_in!J19/SER_summary!J$27)</f>
        <v>24.693885697970821</v>
      </c>
      <c r="K19" s="131">
        <f>IF(SER_hh_tesh_in!K19=0,0,SER_hh_tesh_in!K19/SER_summary!K$27)</f>
        <v>25.862213369917921</v>
      </c>
      <c r="L19" s="131">
        <f>IF(SER_hh_tesh_in!L19=0,0,SER_hh_tesh_in!L19/SER_summary!L$27)</f>
        <v>26.741092324695437</v>
      </c>
      <c r="M19" s="131">
        <f>IF(SER_hh_tesh_in!M19=0,0,SER_hh_tesh_in!M19/SER_summary!M$27)</f>
        <v>26.776821986536984</v>
      </c>
      <c r="N19" s="131">
        <f>IF(SER_hh_tesh_in!N19=0,0,SER_hh_tesh_in!N19/SER_summary!N$27)</f>
        <v>26.676337940768782</v>
      </c>
      <c r="O19" s="131">
        <f>IF(SER_hh_tesh_in!O19=0,0,SER_hh_tesh_in!O19/SER_summary!O$27)</f>
        <v>26.411909580202675</v>
      </c>
      <c r="P19" s="131">
        <f>IF(SER_hh_tesh_in!P19=0,0,SER_hh_tesh_in!P19/SER_summary!P$27)</f>
        <v>26.105736321885669</v>
      </c>
      <c r="Q19" s="131">
        <f>IF(SER_hh_tesh_in!Q19=0,0,SER_hh_tesh_in!Q19/SER_summary!Q$27)</f>
        <v>26.437477278873654</v>
      </c>
      <c r="R19" s="131">
        <f>IF(SER_hh_tesh_in!R19=0,0,SER_hh_tesh_in!R19/SER_summary!R$27)</f>
        <v>26.053830552329963</v>
      </c>
      <c r="S19" s="131">
        <f>IF(SER_hh_tesh_in!S19=0,0,SER_hh_tesh_in!S19/SER_summary!S$27)</f>
        <v>25.959885314012912</v>
      </c>
      <c r="T19" s="131">
        <f>IF(SER_hh_tesh_in!T19=0,0,SER_hh_tesh_in!T19/SER_summary!T$27)</f>
        <v>25.89687473880722</v>
      </c>
      <c r="U19" s="131">
        <f>IF(SER_hh_tesh_in!U19=0,0,SER_hh_tesh_in!U19/SER_summary!U$27)</f>
        <v>25.682044467281283</v>
      </c>
      <c r="V19" s="131">
        <f>IF(SER_hh_tesh_in!V19=0,0,SER_hh_tesh_in!V19/SER_summary!V$27)</f>
        <v>24.950908334699605</v>
      </c>
      <c r="W19" s="131">
        <f>IF(SER_hh_tesh_in!W19=0,0,SER_hh_tesh_in!W19/SER_summary!W$27)</f>
        <v>24.608268896676357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26.173320027617383</v>
      </c>
      <c r="D22" s="133">
        <f>IF(SER_hh_tesh_in!D22=0,0,SER_hh_tesh_in!D22/SER_summary!D$27)</f>
        <v>26.183531806602755</v>
      </c>
      <c r="E22" s="133">
        <f>IF(SER_hh_tesh_in!E22=0,0,SER_hh_tesh_in!E22/SER_summary!E$27)</f>
        <v>25.322052899696278</v>
      </c>
      <c r="F22" s="133">
        <f>IF(SER_hh_tesh_in!F22=0,0,SER_hh_tesh_in!F22/SER_summary!F$27)</f>
        <v>25.687965615518358</v>
      </c>
      <c r="G22" s="133">
        <f>IF(SER_hh_tesh_in!G22=0,0,SER_hh_tesh_in!G22/SER_summary!G$27)</f>
        <v>25.265055552559517</v>
      </c>
      <c r="H22" s="133">
        <f>IF(SER_hh_tesh_in!H22=0,0,SER_hh_tesh_in!H22/SER_summary!H$27)</f>
        <v>24.57747702638305</v>
      </c>
      <c r="I22" s="133">
        <f>IF(SER_hh_tesh_in!I22=0,0,SER_hh_tesh_in!I22/SER_summary!I$27)</f>
        <v>24.584925444547103</v>
      </c>
      <c r="J22" s="133">
        <f>IF(SER_hh_tesh_in!J22=0,0,SER_hh_tesh_in!J22/SER_summary!J$27)</f>
        <v>25.071364270379966</v>
      </c>
      <c r="K22" s="133">
        <f>IF(SER_hh_tesh_in!K22=0,0,SER_hh_tesh_in!K22/SER_summary!K$27)</f>
        <v>25.474146445329922</v>
      </c>
      <c r="L22" s="133">
        <f>IF(SER_hh_tesh_in!L22=0,0,SER_hh_tesh_in!L22/SER_summary!L$27)</f>
        <v>26.188429294312407</v>
      </c>
      <c r="M22" s="133">
        <f>IF(SER_hh_tesh_in!M22=0,0,SER_hh_tesh_in!M22/SER_summary!M$27)</f>
        <v>26.629512177182146</v>
      </c>
      <c r="N22" s="133">
        <f>IF(SER_hh_tesh_in!N22=0,0,SER_hh_tesh_in!N22/SER_summary!N$27)</f>
        <v>26.736855193149452</v>
      </c>
      <c r="O22" s="133">
        <f>IF(SER_hh_tesh_in!O22=0,0,SER_hh_tesh_in!O22/SER_summary!O$27)</f>
        <v>26.367123150807998</v>
      </c>
      <c r="P22" s="133">
        <f>IF(SER_hh_tesh_in!P22=0,0,SER_hh_tesh_in!P22/SER_summary!P$27)</f>
        <v>26.56464412519416</v>
      </c>
      <c r="Q22" s="133">
        <f>IF(SER_hh_tesh_in!Q22=0,0,SER_hh_tesh_in!Q22/SER_summary!Q$27)</f>
        <v>26.112380263573225</v>
      </c>
      <c r="R22" s="133">
        <f>IF(SER_hh_tesh_in!R22=0,0,SER_hh_tesh_in!R22/SER_summary!R$27)</f>
        <v>25.761414853284666</v>
      </c>
      <c r="S22" s="133">
        <f>IF(SER_hh_tesh_in!S22=0,0,SER_hh_tesh_in!S22/SER_summary!S$27)</f>
        <v>26.647137775070899</v>
      </c>
      <c r="T22" s="133">
        <f>IF(SER_hh_tesh_in!T22=0,0,SER_hh_tesh_in!T22/SER_summary!T$27)</f>
        <v>25.83316219134058</v>
      </c>
      <c r="U22" s="133">
        <f>IF(SER_hh_tesh_in!U22=0,0,SER_hh_tesh_in!U22/SER_summary!U$27)</f>
        <v>25.985383496457143</v>
      </c>
      <c r="V22" s="133">
        <f>IF(SER_hh_tesh_in!V22=0,0,SER_hh_tesh_in!V22/SER_summary!V$27)</f>
        <v>23.607971883268643</v>
      </c>
      <c r="W22" s="133">
        <f>IF(SER_hh_tesh_in!W22=0,0,SER_hh_tesh_in!W22/SER_summary!W$27)</f>
        <v>24.803549576303894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26.164481829970029</v>
      </c>
      <c r="D23" s="133">
        <f>IF(SER_hh_tesh_in!D23=0,0,SER_hh_tesh_in!D23/SER_summary!D$27)</f>
        <v>25.819535341044233</v>
      </c>
      <c r="E23" s="133">
        <f>IF(SER_hh_tesh_in!E23=0,0,SER_hh_tesh_in!E23/SER_summary!E$27)</f>
        <v>25.373445469840274</v>
      </c>
      <c r="F23" s="133">
        <f>IF(SER_hh_tesh_in!F23=0,0,SER_hh_tesh_in!F23/SER_summary!F$27)</f>
        <v>25.55118532636267</v>
      </c>
      <c r="G23" s="133">
        <f>IF(SER_hh_tesh_in!G23=0,0,SER_hh_tesh_in!G23/SER_summary!G$27)</f>
        <v>25.336221435896608</v>
      </c>
      <c r="H23" s="133">
        <f>IF(SER_hh_tesh_in!H23=0,0,SER_hh_tesh_in!H23/SER_summary!H$27)</f>
        <v>24.853796555574558</v>
      </c>
      <c r="I23" s="133">
        <f>IF(SER_hh_tesh_in!I23=0,0,SER_hh_tesh_in!I23/SER_summary!I$27)</f>
        <v>25.11770315915642</v>
      </c>
      <c r="J23" s="133">
        <f>IF(SER_hh_tesh_in!J23=0,0,SER_hh_tesh_in!J23/SER_summary!J$27)</f>
        <v>24.758268387805693</v>
      </c>
      <c r="K23" s="133">
        <f>IF(SER_hh_tesh_in!K23=0,0,SER_hh_tesh_in!K23/SER_summary!K$27)</f>
        <v>25.761660192537374</v>
      </c>
      <c r="L23" s="133">
        <f>IF(SER_hh_tesh_in!L23=0,0,SER_hh_tesh_in!L23/SER_summary!L$27)</f>
        <v>26.047158321769345</v>
      </c>
      <c r="M23" s="133">
        <f>IF(SER_hh_tesh_in!M23=0,0,SER_hh_tesh_in!M23/SER_summary!M$27)</f>
        <v>26.719846348450588</v>
      </c>
      <c r="N23" s="133">
        <f>IF(SER_hh_tesh_in!N23=0,0,SER_hh_tesh_in!N23/SER_summary!N$27)</f>
        <v>26.33575782186729</v>
      </c>
      <c r="O23" s="133">
        <f>IF(SER_hh_tesh_in!O23=0,0,SER_hh_tesh_in!O23/SER_summary!O$27)</f>
        <v>26.411762867919986</v>
      </c>
      <c r="P23" s="133">
        <f>IF(SER_hh_tesh_in!P23=0,0,SER_hh_tesh_in!P23/SER_summary!P$27)</f>
        <v>26.645973225512559</v>
      </c>
      <c r="Q23" s="133">
        <f>IF(SER_hh_tesh_in!Q23=0,0,SER_hh_tesh_in!Q23/SER_summary!Q$27)</f>
        <v>26.07221212224837</v>
      </c>
      <c r="R23" s="133">
        <f>IF(SER_hh_tesh_in!R23=0,0,SER_hh_tesh_in!R23/SER_summary!R$27)</f>
        <v>26.204319408930917</v>
      </c>
      <c r="S23" s="133">
        <f>IF(SER_hh_tesh_in!S23=0,0,SER_hh_tesh_in!S23/SER_summary!S$27)</f>
        <v>26.929553287032785</v>
      </c>
      <c r="T23" s="133">
        <f>IF(SER_hh_tesh_in!T23=0,0,SER_hh_tesh_in!T23/SER_summary!T$27)</f>
        <v>25.738570186571216</v>
      </c>
      <c r="U23" s="133">
        <f>IF(SER_hh_tesh_in!U23=0,0,SER_hh_tesh_in!U23/SER_summary!U$27)</f>
        <v>25.928593199006475</v>
      </c>
      <c r="V23" s="133">
        <f>IF(SER_hh_tesh_in!V23=0,0,SER_hh_tesh_in!V23/SER_summary!V$27)</f>
        <v>23.8494654971554</v>
      </c>
      <c r="W23" s="133">
        <f>IF(SER_hh_tesh_in!W23=0,0,SER_hh_tesh_in!W23/SER_summary!W$27)</f>
        <v>24.804944433514752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26.069964181841698</v>
      </c>
      <c r="D26" s="65">
        <f>IF(SER_hh_tesh_in!D26=0,0,SER_hh_tesh_in!D26/SER_summary!D$27)</f>
        <v>25.720154247275936</v>
      </c>
      <c r="E26" s="65">
        <f>IF(SER_hh_tesh_in!E26=0,0,SER_hh_tesh_in!E26/SER_summary!E$27)</f>
        <v>25.662395228789602</v>
      </c>
      <c r="F26" s="65">
        <f>IF(SER_hh_tesh_in!F26=0,0,SER_hh_tesh_in!F26/SER_summary!F$27)</f>
        <v>25.118247617107116</v>
      </c>
      <c r="G26" s="65">
        <f>IF(SER_hh_tesh_in!G26=0,0,SER_hh_tesh_in!G26/SER_summary!G$27)</f>
        <v>25.562050870522892</v>
      </c>
      <c r="H26" s="65">
        <f>IF(SER_hh_tesh_in!H26=0,0,SER_hh_tesh_in!H26/SER_summary!H$27)</f>
        <v>24.876671705342648</v>
      </c>
      <c r="I26" s="65">
        <f>IF(SER_hh_tesh_in!I26=0,0,SER_hh_tesh_in!I26/SER_summary!I$27)</f>
        <v>24.527634135373155</v>
      </c>
      <c r="J26" s="65">
        <f>IF(SER_hh_tesh_in!J26=0,0,SER_hh_tesh_in!J26/SER_summary!J$27)</f>
        <v>23.389854825914853</v>
      </c>
      <c r="K26" s="65">
        <f>IF(SER_hh_tesh_in!K26=0,0,SER_hh_tesh_in!K26/SER_summary!K$27)</f>
        <v>26.109988819547301</v>
      </c>
      <c r="L26" s="65">
        <f>IF(SER_hh_tesh_in!L26=0,0,SER_hh_tesh_in!L26/SER_summary!L$27)</f>
        <v>22.122603132607701</v>
      </c>
      <c r="M26" s="65">
        <f>IF(SER_hh_tesh_in!M26=0,0,SER_hh_tesh_in!M26/SER_summary!M$27)</f>
        <v>26.317795341684835</v>
      </c>
      <c r="N26" s="65">
        <f>IF(SER_hh_tesh_in!N26=0,0,SER_hh_tesh_in!N26/SER_summary!N$27)</f>
        <v>26.765128474672338</v>
      </c>
      <c r="O26" s="65">
        <f>IF(SER_hh_tesh_in!O26=0,0,SER_hh_tesh_in!O26/SER_summary!O$27)</f>
        <v>26.290394062419463</v>
      </c>
      <c r="P26" s="65">
        <f>IF(SER_hh_tesh_in!P26=0,0,SER_hh_tesh_in!P26/SER_summary!P$27)</f>
        <v>25.658646452374089</v>
      </c>
      <c r="Q26" s="65">
        <f>IF(SER_hh_tesh_in!Q26=0,0,SER_hh_tesh_in!Q26/SER_summary!Q$27)</f>
        <v>26.661266763314803</v>
      </c>
      <c r="R26" s="65">
        <f>IF(SER_hh_tesh_in!R26=0,0,SER_hh_tesh_in!R26/SER_summary!R$27)</f>
        <v>25.977369427447041</v>
      </c>
      <c r="S26" s="65">
        <f>IF(SER_hh_tesh_in!S26=0,0,SER_hh_tesh_in!S26/SER_summary!S$27)</f>
        <v>25.489211379233684</v>
      </c>
      <c r="T26" s="65">
        <f>IF(SER_hh_tesh_in!T26=0,0,SER_hh_tesh_in!T26/SER_summary!T$27)</f>
        <v>25.826321517187239</v>
      </c>
      <c r="U26" s="65">
        <f>IF(SER_hh_tesh_in!U26=0,0,SER_hh_tesh_in!U26/SER_summary!U$27)</f>
        <v>25.480707563682014</v>
      </c>
      <c r="V26" s="65">
        <f>IF(SER_hh_tesh_in!V26=0,0,SER_hh_tesh_in!V26/SER_summary!V$27)</f>
        <v>24.769945030393224</v>
      </c>
      <c r="W26" s="65">
        <f>IF(SER_hh_tesh_in!W26=0,0,SER_hh_tesh_in!W26/SER_summary!W$27)</f>
        <v>24.236810175651915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0.28625096396887356</v>
      </c>
      <c r="I27" s="146">
        <f>IF(SER_hh_tesh_in!I27=0,0,SER_hh_tesh_in!I27/SER_summary!I$27)</f>
        <v>2.3836059261619684E-2</v>
      </c>
      <c r="J27" s="146">
        <f>IF(SER_hh_tesh_in!J27=0,0,SER_hh_tesh_in!J27/SER_summary!J$27)</f>
        <v>0.78304959028576537</v>
      </c>
      <c r="K27" s="146">
        <f>IF(SER_hh_tesh_in!K27=0,0,SER_hh_tesh_in!K27/SER_summary!K$27)</f>
        <v>3.2291725955932042E-2</v>
      </c>
      <c r="L27" s="146">
        <f>IF(SER_hh_tesh_in!L27=0,0,SER_hh_tesh_in!L27/SER_summary!L$27)</f>
        <v>2.6279933766314731</v>
      </c>
      <c r="M27" s="146">
        <f>IF(SER_hh_tesh_in!M27=0,0,SER_hh_tesh_in!M27/SER_summary!M$27)</f>
        <v>0.29745839533118873</v>
      </c>
      <c r="N27" s="146">
        <f>IF(SER_hh_tesh_in!N27=0,0,SER_hh_tesh_in!N27/SER_summary!N$27)</f>
        <v>4.8328374013854772E-2</v>
      </c>
      <c r="O27" s="146">
        <f>IF(SER_hh_tesh_in!O27=0,0,SER_hh_tesh_in!O27/SER_summary!O$27)</f>
        <v>7.0577952937543972E-2</v>
      </c>
      <c r="P27" s="146">
        <f>IF(SER_hh_tesh_in!P27=0,0,SER_hh_tesh_in!P27/SER_summary!P$27)</f>
        <v>5.5668282075961459E-2</v>
      </c>
      <c r="Q27" s="146">
        <f>IF(SER_hh_tesh_in!Q27=0,0,SER_hh_tesh_in!Q27/SER_summary!Q$27)</f>
        <v>1.6025236774363517E-15</v>
      </c>
      <c r="R27" s="146">
        <f>IF(SER_hh_tesh_in!R27=0,0,SER_hh_tesh_in!R27/SER_summary!R$27)</f>
        <v>4.1979093578346248E-2</v>
      </c>
      <c r="S27" s="146">
        <f>IF(SER_hh_tesh_in!S27=0,0,SER_hh_tesh_in!S27/SER_summary!S$27)</f>
        <v>7.2664497834460315E-2</v>
      </c>
      <c r="T27" s="146">
        <f>IF(SER_hh_tesh_in!T27=0,0,SER_hh_tesh_in!T27/SER_summary!T$27)</f>
        <v>8.1193313935737602E-2</v>
      </c>
      <c r="U27" s="146">
        <f>IF(SER_hh_tesh_in!U27=0,0,SER_hh_tesh_in!U27/SER_summary!U$27)</f>
        <v>0.12024712275354708</v>
      </c>
      <c r="V27" s="146">
        <f>IF(SER_hh_tesh_in!V27=0,0,SER_hh_tesh_in!V27/SER_summary!V$27)</f>
        <v>0.30482312561566283</v>
      </c>
      <c r="W27" s="146">
        <f>IF(SER_hh_tesh_in!W27=0,0,SER_hh_tesh_in!W27/SER_summary!W$27)</f>
        <v>0.21330150222868091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5.5188125379915824</v>
      </c>
      <c r="I28" s="147">
        <f>IF(SER_hh_tesh_in!I28=0,0,SER_hh_tesh_in!I28/SER_summary!I$27)</f>
        <v>5.4822602435847623</v>
      </c>
      <c r="J28" s="147">
        <f>IF(SER_hh_tesh_in!J28=0,0,SER_hh_tesh_in!J28/SER_summary!J$27)</f>
        <v>5.6499302890905199</v>
      </c>
      <c r="K28" s="147">
        <f>IF(SER_hh_tesh_in!K28=0,0,SER_hh_tesh_in!K28/SER_summary!K$27)</f>
        <v>5.9658802909849786</v>
      </c>
      <c r="L28" s="147">
        <f>IF(SER_hh_tesh_in!L28=0,0,SER_hh_tesh_in!L28/SER_summary!L$27)</f>
        <v>6.1031209750124171</v>
      </c>
      <c r="M28" s="147">
        <f>IF(SER_hh_tesh_in!M28=0,0,SER_hh_tesh_in!M28/SER_summary!M$27)</f>
        <v>6.0155722954415518</v>
      </c>
      <c r="N28" s="147">
        <f>IF(SER_hh_tesh_in!N28=0,0,SER_hh_tesh_in!N28/SER_summary!N$27)</f>
        <v>6.03945293992229</v>
      </c>
      <c r="O28" s="147">
        <f>IF(SER_hh_tesh_in!O28=0,0,SER_hh_tesh_in!O28/SER_summary!O$27)</f>
        <v>6.0129646703029307</v>
      </c>
      <c r="P28" s="147">
        <f>IF(SER_hh_tesh_in!P28=0,0,SER_hh_tesh_in!P28/SER_summary!P$27)</f>
        <v>5.9726630404723302</v>
      </c>
      <c r="Q28" s="147">
        <f>IF(SER_hh_tesh_in!Q28=0,0,SER_hh_tesh_in!Q28/SER_summary!Q$27)</f>
        <v>6.1012770922839072</v>
      </c>
      <c r="R28" s="147">
        <f>IF(SER_hh_tesh_in!R28=0,0,SER_hh_tesh_in!R28/SER_summary!R$27)</f>
        <v>6.0913595185283906</v>
      </c>
      <c r="S28" s="147">
        <f>IF(SER_hh_tesh_in!S28=0,0,SER_hh_tesh_in!S28/SER_summary!S$27)</f>
        <v>6.1325075063942664</v>
      </c>
      <c r="T28" s="147">
        <f>IF(SER_hh_tesh_in!T28=0,0,SER_hh_tesh_in!T28/SER_summary!T$27)</f>
        <v>6.1787310206194244</v>
      </c>
      <c r="U28" s="147">
        <f>IF(SER_hh_tesh_in!U28=0,0,SER_hh_tesh_in!U28/SER_summary!U$27)</f>
        <v>6.2233851611582001</v>
      </c>
      <c r="V28" s="147">
        <f>IF(SER_hh_tesh_in!V28=0,0,SER_hh_tesh_in!V28/SER_summary!V$27)</f>
        <v>5.8297304298274177</v>
      </c>
      <c r="W28" s="147">
        <f>IF(SER_hh_tesh_in!W28=0,0,SER_hh_tesh_in!W28/SER_summary!W$27)</f>
        <v>5.7952923652733599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27.473245511268949</v>
      </c>
      <c r="D29" s="131">
        <f>IF(SER_hh_tesh_in!D29=0,0,SER_hh_tesh_in!D29/SER_summary!D$27)</f>
        <v>27.178606473584487</v>
      </c>
      <c r="E29" s="131">
        <f>IF(SER_hh_tesh_in!E29=0,0,SER_hh_tesh_in!E29/SER_summary!E$27)</f>
        <v>26.978166436065571</v>
      </c>
      <c r="F29" s="131">
        <f>IF(SER_hh_tesh_in!F29=0,0,SER_hh_tesh_in!F29/SER_summary!F$27)</f>
        <v>26.773782442251335</v>
      </c>
      <c r="G29" s="131">
        <f>IF(SER_hh_tesh_in!G29=0,0,SER_hh_tesh_in!G29/SER_summary!G$27)</f>
        <v>27.222247471577209</v>
      </c>
      <c r="H29" s="131">
        <f>IF(SER_hh_tesh_in!H29=0,0,SER_hh_tesh_in!H29/SER_summary!H$27)</f>
        <v>26.740131047370458</v>
      </c>
      <c r="I29" s="131">
        <f>IF(SER_hh_tesh_in!I29=0,0,SER_hh_tesh_in!I29/SER_summary!I$27)</f>
        <v>26.462383577614339</v>
      </c>
      <c r="J29" s="131">
        <f>IF(SER_hh_tesh_in!J29=0,0,SER_hh_tesh_in!J29/SER_summary!J$27)</f>
        <v>25.839603375105224</v>
      </c>
      <c r="K29" s="131">
        <f>IF(SER_hh_tesh_in!K29=0,0,SER_hh_tesh_in!K29/SER_summary!K$27)</f>
        <v>27.231396839625244</v>
      </c>
      <c r="L29" s="131">
        <f>IF(SER_hh_tesh_in!L29=0,0,SER_hh_tesh_in!L29/SER_summary!L$27)</f>
        <v>27.000874034243868</v>
      </c>
      <c r="M29" s="131">
        <f>IF(SER_hh_tesh_in!M29=0,0,SER_hh_tesh_in!M29/SER_summary!M$27)</f>
        <v>28.526116573474567</v>
      </c>
      <c r="N29" s="131">
        <f>IF(SER_hh_tesh_in!N29=0,0,SER_hh_tesh_in!N29/SER_summary!N$27)</f>
        <v>29.572312112740629</v>
      </c>
      <c r="O29" s="131">
        <f>IF(SER_hh_tesh_in!O29=0,0,SER_hh_tesh_in!O29/SER_summary!O$27)</f>
        <v>29.470433553450196</v>
      </c>
      <c r="P29" s="131">
        <f>IF(SER_hh_tesh_in!P29=0,0,SER_hh_tesh_in!P29/SER_summary!P$27)</f>
        <v>30.070062225993247</v>
      </c>
      <c r="Q29" s="131">
        <f>IF(SER_hh_tesh_in!Q29=0,0,SER_hh_tesh_in!Q29/SER_summary!Q$27)</f>
        <v>29.557417240543064</v>
      </c>
      <c r="R29" s="131">
        <f>IF(SER_hh_tesh_in!R29=0,0,SER_hh_tesh_in!R29/SER_summary!R$27)</f>
        <v>29.996509483888353</v>
      </c>
      <c r="S29" s="131">
        <f>IF(SER_hh_tesh_in!S29=0,0,SER_hh_tesh_in!S29/SER_summary!S$27)</f>
        <v>29.961874963261042</v>
      </c>
      <c r="T29" s="131">
        <f>IF(SER_hh_tesh_in!T29=0,0,SER_hh_tesh_in!T29/SER_summary!T$27)</f>
        <v>30.098304146141743</v>
      </c>
      <c r="U29" s="131">
        <f>IF(SER_hh_tesh_in!U29=0,0,SER_hh_tesh_in!U29/SER_summary!U$27)</f>
        <v>30.218273423423469</v>
      </c>
      <c r="V29" s="131">
        <f>IF(SER_hh_tesh_in!V29=0,0,SER_hh_tesh_in!V29/SER_summary!V$27)</f>
        <v>28.932002349089277</v>
      </c>
      <c r="W29" s="131">
        <f>IF(SER_hh_tesh_in!W29=0,0,SER_hh_tesh_in!W29/SER_summary!W$27)</f>
        <v>30.846406552090134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27.943953229834385</v>
      </c>
      <c r="D30" s="133">
        <f>IF(SER_hh_tesh_in!D30=0,0,SER_hh_tesh_in!D30/SER_summary!D$27)</f>
        <v>26.977022187670716</v>
      </c>
      <c r="E30" s="133">
        <f>IF(SER_hh_tesh_in!E30=0,0,SER_hh_tesh_in!E30/SER_summary!E$27)</f>
        <v>26.381349492647484</v>
      </c>
      <c r="F30" s="133">
        <f>IF(SER_hh_tesh_in!F30=0,0,SER_hh_tesh_in!F30/SER_summary!F$27)</f>
        <v>26.150039974569019</v>
      </c>
      <c r="G30" s="133">
        <f>IF(SER_hh_tesh_in!G30=0,0,SER_hh_tesh_in!G30/SER_summary!G$27)</f>
        <v>27.885194930615512</v>
      </c>
      <c r="H30" s="133">
        <f>IF(SER_hh_tesh_in!H30=0,0,SER_hh_tesh_in!H30/SER_summary!H$27)</f>
        <v>26.666508686158885</v>
      </c>
      <c r="I30" s="133">
        <f>IF(SER_hh_tesh_in!I30=0,0,SER_hh_tesh_in!I30/SER_summary!I$27)</f>
        <v>25.941969487258635</v>
      </c>
      <c r="J30" s="133">
        <f>IF(SER_hh_tesh_in!J30=0,0,SER_hh_tesh_in!J30/SER_summary!J$27)</f>
        <v>29.990104529376694</v>
      </c>
      <c r="K30" s="133">
        <f>IF(SER_hh_tesh_in!K30=0,0,SER_hh_tesh_in!K30/SER_summary!K$27)</f>
        <v>22.616430192132846</v>
      </c>
      <c r="L30" s="133">
        <f>IF(SER_hh_tesh_in!L30=0,0,SER_hh_tesh_in!L30/SER_summary!L$27)</f>
        <v>29.220561207430421</v>
      </c>
      <c r="M30" s="133">
        <f>IF(SER_hh_tesh_in!M30=0,0,SER_hh_tesh_in!M30/SER_summary!M$27)</f>
        <v>28.808242016171263</v>
      </c>
      <c r="N30" s="133">
        <f>IF(SER_hh_tesh_in!N30=0,0,SER_hh_tesh_in!N30/SER_summary!N$27)</f>
        <v>27.68264336759022</v>
      </c>
      <c r="O30" s="133">
        <f>IF(SER_hh_tesh_in!O30=0,0,SER_hh_tesh_in!O30/SER_summary!O$27)</f>
        <v>32.458690465496389</v>
      </c>
      <c r="P30" s="133">
        <f>IF(SER_hh_tesh_in!P30=0,0,SER_hh_tesh_in!P30/SER_summary!P$27)</f>
        <v>27.510069718758878</v>
      </c>
      <c r="Q30" s="133">
        <f>IF(SER_hh_tesh_in!Q30=0,0,SER_hh_tesh_in!Q30/SER_summary!Q$27)</f>
        <v>30.76021253736414</v>
      </c>
      <c r="R30" s="133">
        <f>IF(SER_hh_tesh_in!R30=0,0,SER_hh_tesh_in!R30/SER_summary!R$27)</f>
        <v>27.892677821618495</v>
      </c>
      <c r="S30" s="133">
        <f>IF(SER_hh_tesh_in!S30=0,0,SER_hh_tesh_in!S30/SER_summary!S$27)</f>
        <v>28.967229226419221</v>
      </c>
      <c r="T30" s="133">
        <f>IF(SER_hh_tesh_in!T30=0,0,SER_hh_tesh_in!T30/SER_summary!T$27)</f>
        <v>31.545328931881663</v>
      </c>
      <c r="U30" s="133">
        <f>IF(SER_hh_tesh_in!U30=0,0,SER_hh_tesh_in!U30/SER_summary!U$27)</f>
        <v>31.805569044936131</v>
      </c>
      <c r="V30" s="133">
        <f>IF(SER_hh_tesh_in!V30=0,0,SER_hh_tesh_in!V30/SER_summary!V$27)</f>
        <v>27.182405941490451</v>
      </c>
      <c r="W30" s="133">
        <f>IF(SER_hh_tesh_in!W30=0,0,SER_hh_tesh_in!W30/SER_summary!W$27)</f>
        <v>31.498275000085187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27.48680084672695</v>
      </c>
      <c r="D31" s="133">
        <f>IF(SER_hh_tesh_in!D31=0,0,SER_hh_tesh_in!D31/SER_summary!D$27)</f>
        <v>27.055463480634867</v>
      </c>
      <c r="E31" s="133">
        <f>IF(SER_hh_tesh_in!E31=0,0,SER_hh_tesh_in!E31/SER_summary!E$27)</f>
        <v>26.728530181888203</v>
      </c>
      <c r="F31" s="133">
        <f>IF(SER_hh_tesh_in!F31=0,0,SER_hh_tesh_in!F31/SER_summary!F$27)</f>
        <v>26.984285171203091</v>
      </c>
      <c r="G31" s="133">
        <f>IF(SER_hh_tesh_in!G31=0,0,SER_hh_tesh_in!G31/SER_summary!G$27)</f>
        <v>26.858683008184645</v>
      </c>
      <c r="H31" s="133">
        <f>IF(SER_hh_tesh_in!H31=0,0,SER_hh_tesh_in!H31/SER_summary!H$27)</f>
        <v>26.938204791940379</v>
      </c>
      <c r="I31" s="133">
        <f>IF(SER_hh_tesh_in!I31=0,0,SER_hh_tesh_in!I31/SER_summary!I$27)</f>
        <v>26.395098560646083</v>
      </c>
      <c r="J31" s="133">
        <f>IF(SER_hh_tesh_in!J31=0,0,SER_hh_tesh_in!J31/SER_summary!J$27)</f>
        <v>26.267156868094037</v>
      </c>
      <c r="K31" s="133">
        <f>IF(SER_hh_tesh_in!K31=0,0,SER_hh_tesh_in!K31/SER_summary!K$27)</f>
        <v>26.936085014778072</v>
      </c>
      <c r="L31" s="133">
        <f>IF(SER_hh_tesh_in!L31=0,0,SER_hh_tesh_in!L31/SER_summary!L$27)</f>
        <v>27.303719539436127</v>
      </c>
      <c r="M31" s="133">
        <f>IF(SER_hh_tesh_in!M31=0,0,SER_hh_tesh_in!M31/SER_summary!M$27)</f>
        <v>28.266769306339516</v>
      </c>
      <c r="N31" s="133">
        <f>IF(SER_hh_tesh_in!N31=0,0,SER_hh_tesh_in!N31/SER_summary!N$27)</f>
        <v>29.220451256513144</v>
      </c>
      <c r="O31" s="133">
        <f>IF(SER_hh_tesh_in!O31=0,0,SER_hh_tesh_in!O31/SER_summary!O$27)</f>
        <v>29.314150289480793</v>
      </c>
      <c r="P31" s="133">
        <f>IF(SER_hh_tesh_in!P31=0,0,SER_hh_tesh_in!P31/SER_summary!P$27)</f>
        <v>29.094517375869227</v>
      </c>
      <c r="Q31" s="133">
        <f>IF(SER_hh_tesh_in!Q31=0,0,SER_hh_tesh_in!Q31/SER_summary!Q$27)</f>
        <v>29.843749955748596</v>
      </c>
      <c r="R31" s="133">
        <f>IF(SER_hh_tesh_in!R31=0,0,SER_hh_tesh_in!R31/SER_summary!R$27)</f>
        <v>29.925413313593332</v>
      </c>
      <c r="S31" s="133">
        <f>IF(SER_hh_tesh_in!S31=0,0,SER_hh_tesh_in!S31/SER_summary!S$27)</f>
        <v>29.718069440894716</v>
      </c>
      <c r="T31" s="133">
        <f>IF(SER_hh_tesh_in!T31=0,0,SER_hh_tesh_in!T31/SER_summary!T$27)</f>
        <v>30.440203466737568</v>
      </c>
      <c r="U31" s="133">
        <f>IF(SER_hh_tesh_in!U31=0,0,SER_hh_tesh_in!U31/SER_summary!U$27)</f>
        <v>30.698963357264891</v>
      </c>
      <c r="V31" s="133">
        <f>IF(SER_hh_tesh_in!V31=0,0,SER_hh_tesh_in!V31/SER_summary!V$27)</f>
        <v>28.489525798888046</v>
      </c>
      <c r="W31" s="133">
        <f>IF(SER_hh_tesh_in!W31=0,0,SER_hh_tesh_in!W31/SER_summary!W$27)</f>
        <v>31.141766407713508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27.111107669785422</v>
      </c>
      <c r="D33" s="68">
        <f>IF(SER_hh_tesh_in!D33=0,0,SER_hh_tesh_in!D33/SER_summary!D$27)</f>
        <v>27.374330266890301</v>
      </c>
      <c r="E33" s="68">
        <f>IF(SER_hh_tesh_in!E33=0,0,SER_hh_tesh_in!E33/SER_summary!E$27)</f>
        <v>27.820813698444926</v>
      </c>
      <c r="F33" s="68">
        <f>IF(SER_hh_tesh_in!F33=0,0,SER_hh_tesh_in!F33/SER_summary!F$27)</f>
        <v>27.741290812336803</v>
      </c>
      <c r="G33" s="68">
        <f>IF(SER_hh_tesh_in!G33=0,0,SER_hh_tesh_in!G33/SER_summary!G$27)</f>
        <v>26.090216157792792</v>
      </c>
      <c r="H33" s="68">
        <f>IF(SER_hh_tesh_in!H33=0,0,SER_hh_tesh_in!H33/SER_summary!H$27)</f>
        <v>26.775641279576028</v>
      </c>
      <c r="I33" s="68">
        <f>IF(SER_hh_tesh_in!I33=0,0,SER_hh_tesh_in!I33/SER_summary!I$27)</f>
        <v>27.03722826461382</v>
      </c>
      <c r="J33" s="68">
        <f>IF(SER_hh_tesh_in!J33=0,0,SER_hh_tesh_in!J33/SER_summary!J$27)</f>
        <v>24.0678042217871</v>
      </c>
      <c r="K33" s="68">
        <f>IF(SER_hh_tesh_in!K33=0,0,SER_hh_tesh_in!K33/SER_summary!K$27)</f>
        <v>29.463604177108035</v>
      </c>
      <c r="L33" s="68">
        <f>IF(SER_hh_tesh_in!L33=0,0,SER_hh_tesh_in!L33/SER_summary!L$27)</f>
        <v>24.533930845487653</v>
      </c>
      <c r="M33" s="68">
        <f>IF(SER_hh_tesh_in!M33=0,0,SER_hh_tesh_in!M33/SER_summary!M$27)</f>
        <v>28.29898597055579</v>
      </c>
      <c r="N33" s="68">
        <f>IF(SER_hh_tesh_in!N33=0,0,SER_hh_tesh_in!N33/SER_summary!N$27)</f>
        <v>30.940107577364827</v>
      </c>
      <c r="O33" s="68">
        <f>IF(SER_hh_tesh_in!O33=0,0,SER_hh_tesh_in!O33/SER_summary!O$27)</f>
        <v>26.798424403644741</v>
      </c>
      <c r="P33" s="68">
        <f>IF(SER_hh_tesh_in!P33=0,0,SER_hh_tesh_in!P33/SER_summary!P$27)</f>
        <v>30.870161602979785</v>
      </c>
      <c r="Q33" s="68">
        <f>IF(SER_hh_tesh_in!Q33=0,0,SER_hh_tesh_in!Q33/SER_summary!Q$27)</f>
        <v>28.666937786900693</v>
      </c>
      <c r="R33" s="68">
        <f>IF(SER_hh_tesh_in!R33=0,0,SER_hh_tesh_in!R33/SER_summary!R$27)</f>
        <v>30.677194191692116</v>
      </c>
      <c r="S33" s="68">
        <f>IF(SER_hh_tesh_in!S33=0,0,SER_hh_tesh_in!S33/SER_summary!S$27)</f>
        <v>30.80364451640251</v>
      </c>
      <c r="T33" s="68">
        <f>IF(SER_hh_tesh_in!T33=0,0,SER_hh_tesh_in!T33/SER_summary!T$27)</f>
        <v>29.059596075147653</v>
      </c>
      <c r="U33" s="68">
        <f>IF(SER_hh_tesh_in!U33=0,0,SER_hh_tesh_in!U33/SER_summary!U$27)</f>
        <v>29.389942166779935</v>
      </c>
      <c r="V33" s="68">
        <f>IF(SER_hh_tesh_in!V33=0,0,SER_hh_tesh_in!V33/SER_summary!V$27)</f>
        <v>29.232999889670033</v>
      </c>
      <c r="W33" s="68">
        <f>IF(SER_hh_tesh_in!W33=0,0,SER_hh_tesh_in!W33/SER_summary!W$27)</f>
        <v>30.552471902329536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29.060446582580127</v>
      </c>
      <c r="D3" s="126">
        <f>IF(SER_hh_emih_in!D3=0,0,SER_hh_emih_in!D3/SER_summary!D$27)</f>
        <v>16.351236135883017</v>
      </c>
      <c r="E3" s="126">
        <f>IF(SER_hh_emih_in!E3=0,0,SER_hh_emih_in!E3/SER_summary!E$27)</f>
        <v>29.852014010630221</v>
      </c>
      <c r="F3" s="126">
        <f>IF(SER_hh_emih_in!F3=0,0,SER_hh_emih_in!F3/SER_summary!F$27)</f>
        <v>26.048433532806914</v>
      </c>
      <c r="G3" s="126">
        <f>IF(SER_hh_emih_in!G3=0,0,SER_hh_emih_in!G3/SER_summary!G$27)</f>
        <v>21.905697945527464</v>
      </c>
      <c r="H3" s="126">
        <f>IF(SER_hh_emih_in!H3=0,0,SER_hh_emih_in!H3/SER_summary!H$27)</f>
        <v>24.29243521212199</v>
      </c>
      <c r="I3" s="126">
        <f>IF(SER_hh_emih_in!I3=0,0,SER_hh_emih_in!I3/SER_summary!I$27)</f>
        <v>19.663844623357889</v>
      </c>
      <c r="J3" s="126">
        <f>IF(SER_hh_emih_in!J3=0,0,SER_hh_emih_in!J3/SER_summary!J$27)</f>
        <v>30.575880546651614</v>
      </c>
      <c r="K3" s="126">
        <f>IF(SER_hh_emih_in!K3=0,0,SER_hh_emih_in!K3/SER_summary!K$27)</f>
        <v>46.249754940808494</v>
      </c>
      <c r="L3" s="126">
        <f>IF(SER_hh_emih_in!L3=0,0,SER_hh_emih_in!L3/SER_summary!L$27)</f>
        <v>50.046365819317629</v>
      </c>
      <c r="M3" s="126">
        <f>IF(SER_hh_emih_in!M3=0,0,SER_hh_emih_in!M3/SER_summary!M$27)</f>
        <v>40.077123136627449</v>
      </c>
      <c r="N3" s="126">
        <f>IF(SER_hh_emih_in!N3=0,0,SER_hh_emih_in!N3/SER_summary!N$27)</f>
        <v>46.062685263068154</v>
      </c>
      <c r="O3" s="126">
        <f>IF(SER_hh_emih_in!O3=0,0,SER_hh_emih_in!O3/SER_summary!O$27)</f>
        <v>43.37095534915921</v>
      </c>
      <c r="P3" s="126">
        <f>IF(SER_hh_emih_in!P3=0,0,SER_hh_emih_in!P3/SER_summary!P$27)</f>
        <v>24.387254477958944</v>
      </c>
      <c r="Q3" s="126">
        <f>IF(SER_hh_emih_in!Q3=0,0,SER_hh_emih_in!Q3/SER_summary!Q$27)</f>
        <v>19.618039830684033</v>
      </c>
      <c r="R3" s="126">
        <f>IF(SER_hh_emih_in!R3=0,0,SER_hh_emih_in!R3/SER_summary!R$27)</f>
        <v>13.539022600041379</v>
      </c>
      <c r="S3" s="126">
        <f>IF(SER_hh_emih_in!S3=0,0,SER_hh_emih_in!S3/SER_summary!S$27)</f>
        <v>15.280117770081791</v>
      </c>
      <c r="T3" s="126">
        <f>IF(SER_hh_emih_in!T3=0,0,SER_hh_emih_in!T3/SER_summary!T$27)</f>
        <v>15.357230034763015</v>
      </c>
      <c r="U3" s="126">
        <f>IF(SER_hh_emih_in!U3=0,0,SER_hh_emih_in!U3/SER_summary!U$27)</f>
        <v>16.860489754972768</v>
      </c>
      <c r="V3" s="126">
        <f>IF(SER_hh_emih_in!V3=0,0,SER_hh_emih_in!V3/SER_summary!V$27)</f>
        <v>12.853274610754955</v>
      </c>
      <c r="W3" s="126">
        <f>IF(SER_hh_emih_in!W3=0,0,SER_hh_emih_in!W3/SER_summary!W$27)</f>
        <v>12.44647223083666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19.946125751536012</v>
      </c>
      <c r="D4" s="131">
        <f>IF(SER_hh_emih_in!D4=0,0,SER_hh_emih_in!D4/SER_summary!D$27)</f>
        <v>7.6963469906573581</v>
      </c>
      <c r="E4" s="131">
        <f>IF(SER_hh_emih_in!E4=0,0,SER_hh_emih_in!E4/SER_summary!E$27)</f>
        <v>20.537173469895958</v>
      </c>
      <c r="F4" s="131">
        <f>IF(SER_hh_emih_in!F4=0,0,SER_hh_emih_in!F4/SER_summary!F$27)</f>
        <v>16.156040195915118</v>
      </c>
      <c r="G4" s="131">
        <f>IF(SER_hh_emih_in!G4=0,0,SER_hh_emih_in!G4/SER_summary!G$27)</f>
        <v>12.035632209871196</v>
      </c>
      <c r="H4" s="131">
        <f>IF(SER_hh_emih_in!H4=0,0,SER_hh_emih_in!H4/SER_summary!H$27)</f>
        <v>14.776276339557436</v>
      </c>
      <c r="I4" s="131">
        <f>IF(SER_hh_emih_in!I4=0,0,SER_hh_emih_in!I4/SER_summary!I$27)</f>
        <v>11.764724764230294</v>
      </c>
      <c r="J4" s="131">
        <f>IF(SER_hh_emih_in!J4=0,0,SER_hh_emih_in!J4/SER_summary!J$27)</f>
        <v>23.193277323431737</v>
      </c>
      <c r="K4" s="131">
        <f>IF(SER_hh_emih_in!K4=0,0,SER_hh_emih_in!K4/SER_summary!K$27)</f>
        <v>36.336369407770675</v>
      </c>
      <c r="L4" s="131">
        <f>IF(SER_hh_emih_in!L4=0,0,SER_hh_emih_in!L4/SER_summary!L$27)</f>
        <v>38.924886997902043</v>
      </c>
      <c r="M4" s="131">
        <f>IF(SER_hh_emih_in!M4=0,0,SER_hh_emih_in!M4/SER_summary!M$27)</f>
        <v>29.95759877522358</v>
      </c>
      <c r="N4" s="131">
        <f>IF(SER_hh_emih_in!N4=0,0,SER_hh_emih_in!N4/SER_summary!N$27)</f>
        <v>36.341501711938072</v>
      </c>
      <c r="O4" s="131">
        <f>IF(SER_hh_emih_in!O4=0,0,SER_hh_emih_in!O4/SER_summary!O$27)</f>
        <v>32.816726464579645</v>
      </c>
      <c r="P4" s="131">
        <f>IF(SER_hh_emih_in!P4=0,0,SER_hh_emih_in!P4/SER_summary!P$27)</f>
        <v>18.215334327601042</v>
      </c>
      <c r="Q4" s="131">
        <f>IF(SER_hh_emih_in!Q4=0,0,SER_hh_emih_in!Q4/SER_summary!Q$27)</f>
        <v>11.272194584739863</v>
      </c>
      <c r="R4" s="131">
        <f>IF(SER_hh_emih_in!R4=0,0,SER_hh_emih_in!R4/SER_summary!R$27)</f>
        <v>8.0126585439645375</v>
      </c>
      <c r="S4" s="131">
        <f>IF(SER_hh_emih_in!S4=0,0,SER_hh_emih_in!S4/SER_summary!S$27)</f>
        <v>7.6503690342391915</v>
      </c>
      <c r="T4" s="131">
        <f>IF(SER_hh_emih_in!T4=0,0,SER_hh_emih_in!T4/SER_summary!T$27)</f>
        <v>8.7862285754128369</v>
      </c>
      <c r="U4" s="131">
        <f>IF(SER_hh_emih_in!U4=0,0,SER_hh_emih_in!U4/SER_summary!U$27)</f>
        <v>11.14736470754297</v>
      </c>
      <c r="V4" s="131">
        <f>IF(SER_hh_emih_in!V4=0,0,SER_hh_emih_in!V4/SER_summary!V$27)</f>
        <v>9.8723131064122764</v>
      </c>
      <c r="W4" s="131">
        <f>IF(SER_hh_emih_in!W4=0,0,SER_hh_emih_in!W4/SER_summary!W$27)</f>
        <v>6.6348585659030022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45.350647717594228</v>
      </c>
      <c r="D5" s="133">
        <f>IF(SER_hh_emih_in!D5=0,0,SER_hh_emih_in!D5/SER_summary!D$27)</f>
        <v>23.132724645813763</v>
      </c>
      <c r="E5" s="133">
        <f>IF(SER_hh_emih_in!E5=0,0,SER_hh_emih_in!E5/SER_summary!E$27)</f>
        <v>113.00693798747672</v>
      </c>
      <c r="F5" s="133">
        <f>IF(SER_hh_emih_in!F5=0,0,SER_hh_emih_in!F5/SER_summary!F$27)</f>
        <v>95.313475716453866</v>
      </c>
      <c r="G5" s="133">
        <f>IF(SER_hh_emih_in!G5=0,0,SER_hh_emih_in!G5/SER_summary!G$27)</f>
        <v>93.045286823935697</v>
      </c>
      <c r="H5" s="133">
        <f>IF(SER_hh_emih_in!H5=0,0,SER_hh_emih_in!H5/SER_summary!H$27)</f>
        <v>92.30795794104499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67.964667390805573</v>
      </c>
      <c r="S5" s="133">
        <f>IF(SER_hh_emih_in!S5=0,0,SER_hh_emih_in!S5/SER_summary!S$27)</f>
        <v>53.268480868812659</v>
      </c>
      <c r="T5" s="133">
        <f>IF(SER_hh_emih_in!T5=0,0,SER_hh_emih_in!T5/SER_summary!T$27)</f>
        <v>56.528241688707396</v>
      </c>
      <c r="U5" s="133">
        <f>IF(SER_hh_emih_in!U5=0,0,SER_hh_emih_in!U5/SER_summary!U$27)</f>
        <v>55.101388677955576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63.125038629498697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70.471968101720051</v>
      </c>
      <c r="K7" s="133">
        <f>IF(SER_hh_emih_in!K7=0,0,SER_hh_emih_in!K7/SER_summary!K$27)</f>
        <v>58.880032618678271</v>
      </c>
      <c r="L7" s="133">
        <f>IF(SER_hh_emih_in!L7=0,0,SER_hh_emih_in!L7/SER_summary!L$27)</f>
        <v>60.436357509450829</v>
      </c>
      <c r="M7" s="133">
        <f>IF(SER_hh_emih_in!M7=0,0,SER_hh_emih_in!M7/SER_summary!M$27)</f>
        <v>53.007446199575718</v>
      </c>
      <c r="N7" s="133">
        <f>IF(SER_hh_emih_in!N7=0,0,SER_hh_emih_in!N7/SER_summary!N$27)</f>
        <v>48.006899264465602</v>
      </c>
      <c r="O7" s="133">
        <f>IF(SER_hh_emih_in!O7=0,0,SER_hh_emih_in!O7/SER_summary!O$27)</f>
        <v>54.439510888314132</v>
      </c>
      <c r="P7" s="133">
        <f>IF(SER_hh_emih_in!P7=0,0,SER_hh_emih_in!P7/SER_summary!P$27)</f>
        <v>44.799651764745093</v>
      </c>
      <c r="Q7" s="133">
        <f>IF(SER_hh_emih_in!Q7=0,0,SER_hh_emih_in!Q7/SER_summary!Q$27)</f>
        <v>44.164719934345584</v>
      </c>
      <c r="R7" s="133">
        <f>IF(SER_hh_emih_in!R7=0,0,SER_hh_emih_in!R7/SER_summary!R$27)</f>
        <v>40.00571806991389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26.547196943086636</v>
      </c>
      <c r="W7" s="133">
        <f>IF(SER_hh_emih_in!W7=0,0,SER_hh_emih_in!W7/SER_summary!W$27)</f>
        <v>20.972212638840151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42.579559005829999</v>
      </c>
      <c r="D9" s="133">
        <f>IF(SER_hh_emih_in!D9=0,0,SER_hh_emih_in!D9/SER_summary!D$27)</f>
        <v>40.954640218384128</v>
      </c>
      <c r="E9" s="133">
        <f>IF(SER_hh_emih_in!E9=0,0,SER_hh_emih_in!E9/SER_summary!E$27)</f>
        <v>42.476649550989478</v>
      </c>
      <c r="F9" s="133">
        <f>IF(SER_hh_emih_in!F9=0,0,SER_hh_emih_in!F9/SER_summary!F$27)</f>
        <v>42.020478203922934</v>
      </c>
      <c r="G9" s="133">
        <f>IF(SER_hh_emih_in!G9=0,0,SER_hh_emih_in!G9/SER_summary!G$27)</f>
        <v>41.592677379246439</v>
      </c>
      <c r="H9" s="133">
        <f>IF(SER_hh_emih_in!H9=0,0,SER_hh_emih_in!H9/SER_summary!H$27)</f>
        <v>44.877167432019412</v>
      </c>
      <c r="I9" s="133">
        <f>IF(SER_hh_emih_in!I9=0,0,SER_hh_emih_in!I9/SER_summary!I$27)</f>
        <v>44.483573146230377</v>
      </c>
      <c r="J9" s="133">
        <f>IF(SER_hh_emih_in!J9=0,0,SER_hh_emih_in!J9/SER_summary!J$27)</f>
        <v>44.612188145478186</v>
      </c>
      <c r="K9" s="133">
        <f>IF(SER_hh_emih_in!K9=0,0,SER_hh_emih_in!K9/SER_summary!K$27)</f>
        <v>38.936810611841224</v>
      </c>
      <c r="L9" s="133">
        <f>IF(SER_hh_emih_in!L9=0,0,SER_hh_emih_in!L9/SER_summary!L$27)</f>
        <v>39.455762878624938</v>
      </c>
      <c r="M9" s="133">
        <f>IF(SER_hh_emih_in!M9=0,0,SER_hh_emih_in!M9/SER_summary!M$27)</f>
        <v>36.879812880529037</v>
      </c>
      <c r="N9" s="133">
        <f>IF(SER_hh_emih_in!N9=0,0,SER_hh_emih_in!N9/SER_summary!N$27)</f>
        <v>37.387475822186268</v>
      </c>
      <c r="O9" s="133">
        <f>IF(SER_hh_emih_in!O9=0,0,SER_hh_emih_in!O9/SER_summary!O$27)</f>
        <v>33.417072192027263</v>
      </c>
      <c r="P9" s="133">
        <f>IF(SER_hh_emih_in!P9=0,0,SER_hh_emih_in!P9/SER_summary!P$27)</f>
        <v>28.549255099780833</v>
      </c>
      <c r="Q9" s="133">
        <f>IF(SER_hh_emih_in!Q9=0,0,SER_hh_emih_in!Q9/SER_summary!Q$27)</f>
        <v>29.107546263301064</v>
      </c>
      <c r="R9" s="133">
        <f>IF(SER_hh_emih_in!R9=0,0,SER_hh_emih_in!R9/SER_summary!R$27)</f>
        <v>27.084089259261578</v>
      </c>
      <c r="S9" s="133">
        <f>IF(SER_hh_emih_in!S9=0,0,SER_hh_emih_in!S9/SER_summary!S$27)</f>
        <v>24.934128561867194</v>
      </c>
      <c r="T9" s="133">
        <f>IF(SER_hh_emih_in!T9=0,0,SER_hh_emih_in!T9/SER_summary!T$27)</f>
        <v>25.579839689465189</v>
      </c>
      <c r="U9" s="133">
        <f>IF(SER_hh_emih_in!U9=0,0,SER_hh_emih_in!U9/SER_summary!U$27)</f>
        <v>22.785098360636344</v>
      </c>
      <c r="V9" s="133">
        <f>IF(SER_hh_emih_in!V9=0,0,SER_hh_emih_in!V9/SER_summary!V$27)</f>
        <v>20.858683178047411</v>
      </c>
      <c r="W9" s="133">
        <f>IF(SER_hh_emih_in!W9=0,0,SER_hh_emih_in!W9/SER_summary!W$27)</f>
        <v>12.322912729581839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1.1887213456759792E-2</v>
      </c>
      <c r="D16" s="131">
        <f>IF(SER_hh_emih_in!D16=0,0,SER_hh_emih_in!D16/SER_summary!D$27)</f>
        <v>1.2795014838348849E-2</v>
      </c>
      <c r="E16" s="131">
        <f>IF(SER_hh_emih_in!E16=0,0,SER_hh_emih_in!E16/SER_summary!E$27)</f>
        <v>5.6737849580892523E-3</v>
      </c>
      <c r="F16" s="131">
        <f>IF(SER_hh_emih_in!F16=0,0,SER_hh_emih_in!F16/SER_summary!F$27)</f>
        <v>1.7343494511651705E-2</v>
      </c>
      <c r="G16" s="131">
        <f>IF(SER_hh_emih_in!G16=0,0,SER_hh_emih_in!G16/SER_summary!G$27)</f>
        <v>1.2948403833801428E-2</v>
      </c>
      <c r="H16" s="131">
        <f>IF(SER_hh_emih_in!H16=0,0,SER_hh_emih_in!H16/SER_summary!H$27)</f>
        <v>1.8630750088505118E-2</v>
      </c>
      <c r="I16" s="131">
        <f>IF(SER_hh_emih_in!I16=0,0,SER_hh_emih_in!I16/SER_summary!I$27)</f>
        <v>1.1717134687733274E-2</v>
      </c>
      <c r="J16" s="131">
        <f>IF(SER_hh_emih_in!J16=0,0,SER_hh_emih_in!J16/SER_summary!J$27)</f>
        <v>8.5213024541944855E-3</v>
      </c>
      <c r="K16" s="131">
        <f>IF(SER_hh_emih_in!K16=0,0,SER_hh_emih_in!K16/SER_summary!K$27)</f>
        <v>2.1737592496504761E-2</v>
      </c>
      <c r="L16" s="131">
        <f>IF(SER_hh_emih_in!L16=0,0,SER_hh_emih_in!L16/SER_summary!L$27)</f>
        <v>1.5763010120061802E-2</v>
      </c>
      <c r="M16" s="131">
        <f>IF(SER_hh_emih_in!M16=0,0,SER_hh_emih_in!M16/SER_summary!M$27)</f>
        <v>1.717811475071947E-2</v>
      </c>
      <c r="N16" s="131">
        <f>IF(SER_hh_emih_in!N16=0,0,SER_hh_emih_in!N16/SER_summary!N$27)</f>
        <v>2.2308563071984224E-2</v>
      </c>
      <c r="O16" s="131">
        <f>IF(SER_hh_emih_in!O16=0,0,SER_hh_emih_in!O16/SER_summary!O$27)</f>
        <v>3.1655558374414444E-2</v>
      </c>
      <c r="P16" s="131">
        <f>IF(SER_hh_emih_in!P16=0,0,SER_hh_emih_in!P16/SER_summary!P$27)</f>
        <v>4.0642829120363017E-2</v>
      </c>
      <c r="Q16" s="131">
        <f>IF(SER_hh_emih_in!Q16=0,0,SER_hh_emih_in!Q16/SER_summary!Q$27)</f>
        <v>7.058163141341614E-2</v>
      </c>
      <c r="R16" s="131">
        <f>IF(SER_hh_emih_in!R16=0,0,SER_hh_emih_in!R16/SER_summary!R$27)</f>
        <v>4.7688206244401225E-2</v>
      </c>
      <c r="S16" s="131">
        <f>IF(SER_hh_emih_in!S16=0,0,SER_hh_emih_in!S16/SER_summary!S$27)</f>
        <v>4.368948822465183E-2</v>
      </c>
      <c r="T16" s="131">
        <f>IF(SER_hh_emih_in!T16=0,0,SER_hh_emih_in!T16/SER_summary!T$27)</f>
        <v>3.2212485455037708E-2</v>
      </c>
      <c r="U16" s="131">
        <f>IF(SER_hh_emih_in!U16=0,0,SER_hh_emih_in!U16/SER_summary!U$27)</f>
        <v>3.2345096050323159E-2</v>
      </c>
      <c r="V16" s="131">
        <f>IF(SER_hh_emih_in!V16=0,0,SER_hh_emih_in!V16/SER_summary!V$27)</f>
        <v>5.9918242458799682E-2</v>
      </c>
      <c r="W16" s="131">
        <f>IF(SER_hh_emih_in!W16=0,0,SER_hh_emih_in!W16/SER_summary!W$27)</f>
        <v>2.6105779424025467E-2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3.7549040608592414</v>
      </c>
      <c r="D17" s="133">
        <f>IF(SER_hh_emih_in!D17=0,0,SER_hh_emih_in!D17/SER_summary!D$27)</f>
        <v>3.7690113113895825</v>
      </c>
      <c r="E17" s="133">
        <f>IF(SER_hh_emih_in!E17=0,0,SER_hh_emih_in!E17/SER_summary!E$27)</f>
        <v>3.6883930661900397</v>
      </c>
      <c r="F17" s="133">
        <f>IF(SER_hh_emih_in!F17=0,0,SER_hh_emih_in!F17/SER_summary!F$27)</f>
        <v>3.6431971552861335</v>
      </c>
      <c r="G17" s="133">
        <f>IF(SER_hh_emih_in!G17=0,0,SER_hh_emih_in!G17/SER_summary!G$27)</f>
        <v>3.5482156453130957</v>
      </c>
      <c r="H17" s="133">
        <f>IF(SER_hh_emih_in!H17=0,0,SER_hh_emih_in!H17/SER_summary!H$27)</f>
        <v>3.5532586929821228</v>
      </c>
      <c r="I17" s="133">
        <f>IF(SER_hh_emih_in!I17=0,0,SER_hh_emih_in!I17/SER_summary!I$27)</f>
        <v>3.5221711509774489</v>
      </c>
      <c r="J17" s="133">
        <f>IF(SER_hh_emih_in!J17=0,0,SER_hh_emih_in!J17/SER_summary!J$27)</f>
        <v>3.464950008751877</v>
      </c>
      <c r="K17" s="133">
        <f>IF(SER_hh_emih_in!K17=0,0,SER_hh_emih_in!K17/SER_summary!K$27)</f>
        <v>3.3687877337228875</v>
      </c>
      <c r="L17" s="133">
        <f>IF(SER_hh_emih_in!L17=0,0,SER_hh_emih_in!L17/SER_summary!L$27)</f>
        <v>3.3191995898363493</v>
      </c>
      <c r="M17" s="133">
        <f>IF(SER_hh_emih_in!M17=0,0,SER_hh_emih_in!M17/SER_summary!M$27)</f>
        <v>3.2149305718603136</v>
      </c>
      <c r="N17" s="133">
        <f>IF(SER_hh_emih_in!N17=0,0,SER_hh_emih_in!N17/SER_summary!N$27)</f>
        <v>3.1554528746158699</v>
      </c>
      <c r="O17" s="133">
        <f>IF(SER_hh_emih_in!O17=0,0,SER_hh_emih_in!O17/SER_summary!O$27)</f>
        <v>2.9795392116056831</v>
      </c>
      <c r="P17" s="133">
        <f>IF(SER_hh_emih_in!P17=0,0,SER_hh_emih_in!P17/SER_summary!P$27)</f>
        <v>2.9157526369232252</v>
      </c>
      <c r="Q17" s="133">
        <f>IF(SER_hh_emih_in!Q17=0,0,SER_hh_emih_in!Q17/SER_summary!Q$27)</f>
        <v>2.7532299694225535</v>
      </c>
      <c r="R17" s="133">
        <f>IF(SER_hh_emih_in!R17=0,0,SER_hh_emih_in!R17/SER_summary!R$27)</f>
        <v>2.6785442072798609</v>
      </c>
      <c r="S17" s="133">
        <f>IF(SER_hh_emih_in!S17=0,0,SER_hh_emih_in!S17/SER_summary!S$27)</f>
        <v>2.5314728921942296</v>
      </c>
      <c r="T17" s="133">
        <f>IF(SER_hh_emih_in!T17=0,0,SER_hh_emih_in!T17/SER_summary!T$27)</f>
        <v>2.385331767271468</v>
      </c>
      <c r="U17" s="133">
        <f>IF(SER_hh_emih_in!U17=0,0,SER_hh_emih_in!U17/SER_summary!U$27)</f>
        <v>2.2322924067088854</v>
      </c>
      <c r="V17" s="133">
        <f>IF(SER_hh_emih_in!V17=0,0,SER_hh_emih_in!V17/SER_summary!V$27)</f>
        <v>1.9113409332988953</v>
      </c>
      <c r="W17" s="133">
        <f>IF(SER_hh_emih_in!W17=0,0,SER_hh_emih_in!W17/SER_summary!W$27)</f>
        <v>1.5315589205148381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3.9182860584130825</v>
      </c>
      <c r="D19" s="131">
        <f>IF(SER_hh_emih_in!D19=0,0,SER_hh_emih_in!D19/SER_summary!D$27)</f>
        <v>3.4554195194322599</v>
      </c>
      <c r="E19" s="131">
        <f>IF(SER_hh_emih_in!E19=0,0,SER_hh_emih_in!E19/SER_summary!E$27)</f>
        <v>3.2364874281391156</v>
      </c>
      <c r="F19" s="131">
        <f>IF(SER_hh_emih_in!F19=0,0,SER_hh_emih_in!F19/SER_summary!F$27)</f>
        <v>3.1911967383174984</v>
      </c>
      <c r="G19" s="131">
        <f>IF(SER_hh_emih_in!G19=0,0,SER_hh_emih_in!G19/SER_summary!G$27)</f>
        <v>2.5420813263585278</v>
      </c>
      <c r="H19" s="131">
        <f>IF(SER_hh_emih_in!H19=0,0,SER_hh_emih_in!H19/SER_summary!H$27)</f>
        <v>2.7855926153500001</v>
      </c>
      <c r="I19" s="131">
        <f>IF(SER_hh_emih_in!I19=0,0,SER_hh_emih_in!I19/SER_summary!I$27)</f>
        <v>2.3470793905712046</v>
      </c>
      <c r="J19" s="131">
        <f>IF(SER_hh_emih_in!J19=0,0,SER_hh_emih_in!J19/SER_summary!J$27)</f>
        <v>3.2550448118246527</v>
      </c>
      <c r="K19" s="131">
        <f>IF(SER_hh_emih_in!K19=0,0,SER_hh_emih_in!K19/SER_summary!K$27)</f>
        <v>5.6940078578626574</v>
      </c>
      <c r="L19" s="131">
        <f>IF(SER_hh_emih_in!L19=0,0,SER_hh_emih_in!L19/SER_summary!L$27)</f>
        <v>4.8239532533272342</v>
      </c>
      <c r="M19" s="131">
        <f>IF(SER_hh_emih_in!M19=0,0,SER_hh_emih_in!M19/SER_summary!M$27)</f>
        <v>4.2367370455007114</v>
      </c>
      <c r="N19" s="131">
        <f>IF(SER_hh_emih_in!N19=0,0,SER_hh_emih_in!N19/SER_summary!N$27)</f>
        <v>4.8074806415563645</v>
      </c>
      <c r="O19" s="131">
        <f>IF(SER_hh_emih_in!O19=0,0,SER_hh_emih_in!O19/SER_summary!O$27)</f>
        <v>4.1958975689974007</v>
      </c>
      <c r="P19" s="131">
        <f>IF(SER_hh_emih_in!P19=0,0,SER_hh_emih_in!P19/SER_summary!P$27)</f>
        <v>3.1332939664448869</v>
      </c>
      <c r="Q19" s="131">
        <f>IF(SER_hh_emih_in!Q19=0,0,SER_hh_emih_in!Q19/SER_summary!Q$27)</f>
        <v>2.8183077336451845</v>
      </c>
      <c r="R19" s="131">
        <f>IF(SER_hh_emih_in!R19=0,0,SER_hh_emih_in!R19/SER_summary!R$27)</f>
        <v>2.0455033648633218</v>
      </c>
      <c r="S19" s="131">
        <f>IF(SER_hh_emih_in!S19=0,0,SER_hh_emih_in!S19/SER_summary!S$27)</f>
        <v>2.1810598204383207</v>
      </c>
      <c r="T19" s="131">
        <f>IF(SER_hh_emih_in!T19=0,0,SER_hh_emih_in!T19/SER_summary!T$27)</f>
        <v>1.1972887849570957</v>
      </c>
      <c r="U19" s="131">
        <f>IF(SER_hh_emih_in!U19=0,0,SER_hh_emih_in!U19/SER_summary!U$27)</f>
        <v>1.2094918033863751</v>
      </c>
      <c r="V19" s="131">
        <f>IF(SER_hh_emih_in!V19=0,0,SER_hh_emih_in!V19/SER_summary!V$27)</f>
        <v>0.78359996225688811</v>
      </c>
      <c r="W19" s="131">
        <f>IF(SER_hh_emih_in!W19=0,0,SER_hh_emih_in!W19/SER_summary!W$27)</f>
        <v>1.8450880699145484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12.709633532126825</v>
      </c>
      <c r="D22" s="133">
        <f>IF(SER_hh_emih_in!D22=0,0,SER_hh_emih_in!D22/SER_summary!D$27)</f>
        <v>12.661260190133442</v>
      </c>
      <c r="E22" s="133">
        <f>IF(SER_hh_emih_in!E22=0,0,SER_hh_emih_in!E22/SER_summary!E$27)</f>
        <v>12.185632447168144</v>
      </c>
      <c r="F22" s="133">
        <f>IF(SER_hh_emih_in!F22=0,0,SER_hh_emih_in!F22/SER_summary!F$27)</f>
        <v>12.297574869042265</v>
      </c>
      <c r="G22" s="133">
        <f>IF(SER_hh_emih_in!G22=0,0,SER_hh_emih_in!G22/SER_summary!G$27)</f>
        <v>12.029581247448572</v>
      </c>
      <c r="H22" s="133">
        <f>IF(SER_hh_emih_in!H22=0,0,SER_hh_emih_in!H22/SER_summary!H$27)</f>
        <v>11.640548020317025</v>
      </c>
      <c r="I22" s="133">
        <f>IF(SER_hh_emih_in!I22=0,0,SER_hh_emih_in!I22/SER_summary!I$27)</f>
        <v>11.561677415411452</v>
      </c>
      <c r="J22" s="133">
        <f>IF(SER_hh_emih_in!J22=0,0,SER_hh_emih_in!J22/SER_summary!J$27)</f>
        <v>11.698015262541006</v>
      </c>
      <c r="K22" s="133">
        <f>IF(SER_hh_emih_in!K22=0,0,SER_hh_emih_in!K22/SER_summary!K$27)</f>
        <v>11.758847240384865</v>
      </c>
      <c r="L22" s="133">
        <f>IF(SER_hh_emih_in!L22=0,0,SER_hh_emih_in!L22/SER_summary!L$27)</f>
        <v>11.970969027979278</v>
      </c>
      <c r="M22" s="133">
        <f>IF(SER_hh_emih_in!M22=0,0,SER_hh_emih_in!M22/SER_summary!M$27)</f>
        <v>11.900690692259182</v>
      </c>
      <c r="N22" s="133">
        <f>IF(SER_hh_emih_in!N22=0,0,SER_hh_emih_in!N22/SER_summary!N$27)</f>
        <v>11.541708316425396</v>
      </c>
      <c r="O22" s="133">
        <f>IF(SER_hh_emih_in!O22=0,0,SER_hh_emih_in!O22/SER_summary!O$27)</f>
        <v>10.836153629485304</v>
      </c>
      <c r="P22" s="133">
        <f>IF(SER_hh_emih_in!P22=0,0,SER_hh_emih_in!P22/SER_summary!P$27)</f>
        <v>10.330097354468204</v>
      </c>
      <c r="Q22" s="133">
        <f>IF(SER_hh_emih_in!Q22=0,0,SER_hh_emih_in!Q22/SER_summary!Q$27)</f>
        <v>9.6802875325043569</v>
      </c>
      <c r="R22" s="133">
        <f>IF(SER_hh_emih_in!R22=0,0,SER_hh_emih_in!R22/SER_summary!R$27)</f>
        <v>9.2530719239873722</v>
      </c>
      <c r="S22" s="133">
        <f>IF(SER_hh_emih_in!S22=0,0,SER_hh_emih_in!S22/SER_summary!S$27)</f>
        <v>9.2919180452826691</v>
      </c>
      <c r="T22" s="133">
        <f>IF(SER_hh_emih_in!T22=0,0,SER_hh_emih_in!T22/SER_summary!T$27)</f>
        <v>8.7842657489075826</v>
      </c>
      <c r="U22" s="133">
        <f>IF(SER_hh_emih_in!U22=0,0,SER_hh_emih_in!U22/SER_summary!U$27)</f>
        <v>8.6456285358162042</v>
      </c>
      <c r="V22" s="133">
        <f>IF(SER_hh_emih_in!V22=0,0,SER_hh_emih_in!V22/SER_summary!V$27)</f>
        <v>7.7448972509335396</v>
      </c>
      <c r="W22" s="133">
        <f>IF(SER_hh_emih_in!W22=0,0,SER_hh_emih_in!W22/SER_summary!W$27)</f>
        <v>8.0873696467759704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8.8125691778574513</v>
      </c>
      <c r="D23" s="133">
        <f>IF(SER_hh_emih_in!D23=0,0,SER_hh_emih_in!D23/SER_summary!D$27)</f>
        <v>8.6133069547024643</v>
      </c>
      <c r="E23" s="133">
        <f>IF(SER_hh_emih_in!E23=0,0,SER_hh_emih_in!E23/SER_summary!E$27)</f>
        <v>8.3094444341124216</v>
      </c>
      <c r="F23" s="133">
        <f>IF(SER_hh_emih_in!F23=0,0,SER_hh_emih_in!F23/SER_summary!F$27)</f>
        <v>8.2869011630558163</v>
      </c>
      <c r="G23" s="133">
        <f>IF(SER_hh_emih_in!G23=0,0,SER_hh_emih_in!G23/SER_summary!G$27)</f>
        <v>8.1191960822951188</v>
      </c>
      <c r="H23" s="133">
        <f>IF(SER_hh_emih_in!H23=0,0,SER_hh_emih_in!H23/SER_summary!H$27)</f>
        <v>7.8498744517182271</v>
      </c>
      <c r="I23" s="133">
        <f>IF(SER_hh_emih_in!I23=0,0,SER_hh_emih_in!I23/SER_summary!I$27)</f>
        <v>7.8721123194600127</v>
      </c>
      <c r="J23" s="133">
        <f>IF(SER_hh_emih_in!J23=0,0,SER_hh_emih_in!J23/SER_summary!J$27)</f>
        <v>7.6763305194228622</v>
      </c>
      <c r="K23" s="133">
        <f>IF(SER_hh_emih_in!K23=0,0,SER_hh_emih_in!K23/SER_summary!K$27)</f>
        <v>7.8863923309194588</v>
      </c>
      <c r="L23" s="133">
        <f>IF(SER_hh_emih_in!L23=0,0,SER_hh_emih_in!L23/SER_summary!L$27)</f>
        <v>7.8778647904479477</v>
      </c>
      <c r="M23" s="133">
        <f>IF(SER_hh_emih_in!M23=0,0,SER_hh_emih_in!M23/SER_summary!M$27)</f>
        <v>7.921687492533847</v>
      </c>
      <c r="N23" s="133">
        <f>IF(SER_hh_emih_in!N23=0,0,SER_hh_emih_in!N23/SER_summary!N$27)</f>
        <v>7.6172154824081773</v>
      </c>
      <c r="O23" s="133">
        <f>IF(SER_hh_emih_in!O23=0,0,SER_hh_emih_in!O23/SER_summary!O$27)</f>
        <v>7.3666407686672963</v>
      </c>
      <c r="P23" s="133">
        <f>IF(SER_hh_emih_in!P23=0,0,SER_hh_emih_in!P23/SER_summary!P$27)</f>
        <v>7.1398402567615271</v>
      </c>
      <c r="Q23" s="133">
        <f>IF(SER_hh_emih_in!Q23=0,0,SER_hh_emih_in!Q23/SER_summary!Q$27)</f>
        <v>6.7587630443551632</v>
      </c>
      <c r="R23" s="133">
        <f>IF(SER_hh_emih_in!R23=0,0,SER_hh_emih_in!R23/SER_summary!R$27)</f>
        <v>6.6441468199949556</v>
      </c>
      <c r="S23" s="133">
        <f>IF(SER_hh_emih_in!S23=0,0,SER_hh_emih_in!S23/SER_summary!S$27)</f>
        <v>6.6879408052209373</v>
      </c>
      <c r="T23" s="133">
        <f>IF(SER_hh_emih_in!T23=0,0,SER_hh_emih_in!T23/SER_summary!T$27)</f>
        <v>6.3014401176060373</v>
      </c>
      <c r="U23" s="133">
        <f>IF(SER_hh_emih_in!U23=0,0,SER_hh_emih_in!U23/SER_summary!U$27)</f>
        <v>6.2539364395885064</v>
      </c>
      <c r="V23" s="133">
        <f>IF(SER_hh_emih_in!V23=0,0,SER_hh_emih_in!V23/SER_summary!V$27)</f>
        <v>5.6984964403777143</v>
      </c>
      <c r="W23" s="133">
        <f>IF(SER_hh_emih_in!W23=0,0,SER_hh_emih_in!W23/SER_summary!W$27)</f>
        <v>5.8769296564343962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5.1841475591742725</v>
      </c>
      <c r="D29" s="131">
        <f>IF(SER_hh_emih_in!D29=0,0,SER_hh_emih_in!D29/SER_summary!D$27)</f>
        <v>5.1866746109550448</v>
      </c>
      <c r="E29" s="131">
        <f>IF(SER_hh_emih_in!E29=0,0,SER_hh_emih_in!E29/SER_summary!E$27)</f>
        <v>6.0726793276370552</v>
      </c>
      <c r="F29" s="131">
        <f>IF(SER_hh_emih_in!F29=0,0,SER_hh_emih_in!F29/SER_summary!F$27)</f>
        <v>6.6838531040626439</v>
      </c>
      <c r="G29" s="131">
        <f>IF(SER_hh_emih_in!G29=0,0,SER_hh_emih_in!G29/SER_summary!G$27)</f>
        <v>7.3150360054639361</v>
      </c>
      <c r="H29" s="131">
        <f>IF(SER_hh_emih_in!H29=0,0,SER_hh_emih_in!H29/SER_summary!H$27)</f>
        <v>6.71193550712605</v>
      </c>
      <c r="I29" s="131">
        <f>IF(SER_hh_emih_in!I29=0,0,SER_hh_emih_in!I29/SER_summary!I$27)</f>
        <v>5.5428332772346689</v>
      </c>
      <c r="J29" s="131">
        <f>IF(SER_hh_emih_in!J29=0,0,SER_hh_emih_in!J29/SER_summary!J$27)</f>
        <v>4.1190371089410309</v>
      </c>
      <c r="K29" s="131">
        <f>IF(SER_hh_emih_in!K29=0,0,SER_hh_emih_in!K29/SER_summary!K$27)</f>
        <v>4.1976400826786664</v>
      </c>
      <c r="L29" s="131">
        <f>IF(SER_hh_emih_in!L29=0,0,SER_hh_emih_in!L29/SER_summary!L$27)</f>
        <v>6.2817625579682943</v>
      </c>
      <c r="M29" s="131">
        <f>IF(SER_hh_emih_in!M29=0,0,SER_hh_emih_in!M29/SER_summary!M$27)</f>
        <v>5.8656092011524343</v>
      </c>
      <c r="N29" s="131">
        <f>IF(SER_hh_emih_in!N29=0,0,SER_hh_emih_in!N29/SER_summary!N$27)</f>
        <v>4.8913943465017251</v>
      </c>
      <c r="O29" s="131">
        <f>IF(SER_hh_emih_in!O29=0,0,SER_hh_emih_in!O29/SER_summary!O$27)</f>
        <v>6.3266757572077381</v>
      </c>
      <c r="P29" s="131">
        <f>IF(SER_hh_emih_in!P29=0,0,SER_hh_emih_in!P29/SER_summary!P$27)</f>
        <v>2.9979833547926544</v>
      </c>
      <c r="Q29" s="131">
        <f>IF(SER_hh_emih_in!Q29=0,0,SER_hh_emih_in!Q29/SER_summary!Q$27)</f>
        <v>5.4569558808855723</v>
      </c>
      <c r="R29" s="131">
        <f>IF(SER_hh_emih_in!R29=0,0,SER_hh_emih_in!R29/SER_summary!R$27)</f>
        <v>3.4331724849691212</v>
      </c>
      <c r="S29" s="131">
        <f>IF(SER_hh_emih_in!S29=0,0,SER_hh_emih_in!S29/SER_summary!S$27)</f>
        <v>5.4049994271796278</v>
      </c>
      <c r="T29" s="131">
        <f>IF(SER_hh_emih_in!T29=0,0,SER_hh_emih_in!T29/SER_summary!T$27)</f>
        <v>5.3415001889380456</v>
      </c>
      <c r="U29" s="131">
        <f>IF(SER_hh_emih_in!U29=0,0,SER_hh_emih_in!U29/SER_summary!U$27)</f>
        <v>4.4712881479930981</v>
      </c>
      <c r="V29" s="131">
        <f>IF(SER_hh_emih_in!V29=0,0,SER_hh_emih_in!V29/SER_summary!V$27)</f>
        <v>2.1374432996269888</v>
      </c>
      <c r="W29" s="131">
        <f>IF(SER_hh_emih_in!W29=0,0,SER_hh_emih_in!W29/SER_summary!W$27)</f>
        <v>3.9404198155950825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10.718690194172373</v>
      </c>
      <c r="D30" s="133">
        <f>IF(SER_hh_emih_in!D30=0,0,SER_hh_emih_in!D30/SER_summary!D$27)</f>
        <v>10.336224666511688</v>
      </c>
      <c r="E30" s="133">
        <f>IF(SER_hh_emih_in!E30=0,0,SER_hh_emih_in!E30/SER_summary!E$27)</f>
        <v>10.096861110472545</v>
      </c>
      <c r="F30" s="133">
        <f>IF(SER_hh_emih_in!F30=0,0,SER_hh_emih_in!F30/SER_summary!F$27)</f>
        <v>9.9973439577271694</v>
      </c>
      <c r="G30" s="133">
        <f>IF(SER_hh_emih_in!G30=0,0,SER_hh_emih_in!G30/SER_summary!G$27)</f>
        <v>10.649167911657873</v>
      </c>
      <c r="H30" s="133">
        <f>IF(SER_hh_emih_in!H30=0,0,SER_hh_emih_in!H30/SER_summary!H$27)</f>
        <v>10.172881762794491</v>
      </c>
      <c r="I30" s="133">
        <f>IF(SER_hh_emih_in!I30=0,0,SER_hh_emih_in!I30/SER_summary!I$27)</f>
        <v>9.8860786489191721</v>
      </c>
      <c r="J30" s="133">
        <f>IF(SER_hh_emih_in!J30=0,0,SER_hh_emih_in!J30/SER_summary!J$27)</f>
        <v>11.417083441187476</v>
      </c>
      <c r="K30" s="133">
        <f>IF(SER_hh_emih_in!K30=0,0,SER_hh_emih_in!K30/SER_summary!K$27)</f>
        <v>8.60150941593532</v>
      </c>
      <c r="L30" s="133">
        <f>IF(SER_hh_emih_in!L30=0,0,SER_hh_emih_in!L30/SER_summary!L$27)</f>
        <v>11.102763631028045</v>
      </c>
      <c r="M30" s="133">
        <f>IF(SER_hh_emih_in!M30=0,0,SER_hh_emih_in!M30/SER_summary!M$27)</f>
        <v>10.940567765779226</v>
      </c>
      <c r="N30" s="133">
        <f>IF(SER_hh_emih_in!N30=0,0,SER_hh_emih_in!N30/SER_summary!N$27)</f>
        <v>10.513096756442465</v>
      </c>
      <c r="O30" s="133">
        <f>IF(SER_hh_emih_in!O30=0,0,SER_hh_emih_in!O30/SER_summary!O$27)</f>
        <v>12.326906391124927</v>
      </c>
      <c r="P30" s="133">
        <f>IF(SER_hh_emih_in!P30=0,0,SER_hh_emih_in!P30/SER_summary!P$27)</f>
        <v>10.447558092244654</v>
      </c>
      <c r="Q30" s="133">
        <f>IF(SER_hh_emih_in!Q30=0,0,SER_hh_emih_in!Q30/SER_summary!Q$27)</f>
        <v>11.681871790923358</v>
      </c>
      <c r="R30" s="133">
        <f>IF(SER_hh_emih_in!R30=0,0,SER_hh_emih_in!R30/SER_summary!R$27)</f>
        <v>10.559163858429619</v>
      </c>
      <c r="S30" s="133">
        <f>IF(SER_hh_emih_in!S30=0,0,SER_hh_emih_in!S30/SER_summary!S$27)</f>
        <v>10.909200667200071</v>
      </c>
      <c r="T30" s="133">
        <f>IF(SER_hh_emih_in!T30=0,0,SER_hh_emih_in!T30/SER_summary!T$27)</f>
        <v>11.808828754137959</v>
      </c>
      <c r="U30" s="133">
        <f>IF(SER_hh_emih_in!U30=0,0,SER_hh_emih_in!U30/SER_summary!U$27)</f>
        <v>11.832699831633379</v>
      </c>
      <c r="V30" s="133">
        <f>IF(SER_hh_emih_in!V30=0,0,SER_hh_emih_in!V30/SER_summary!V$27)</f>
        <v>10.054905157242306</v>
      </c>
      <c r="W30" s="133">
        <f>IF(SER_hh_emih_in!W30=0,0,SER_hh_emih_in!W30/SER_summary!W$27)</f>
        <v>11.58999948105731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9.3217912114397574</v>
      </c>
      <c r="D31" s="133">
        <f>IF(SER_hh_emih_in!D31=0,0,SER_hh_emih_in!D31/SER_summary!D$27)</f>
        <v>9.1625602758430418</v>
      </c>
      <c r="E31" s="133">
        <f>IF(SER_hh_emih_in!E31=0,0,SER_hh_emih_in!E31/SER_summary!E$27)</f>
        <v>8.9621268385645028</v>
      </c>
      <c r="F31" s="133">
        <f>IF(SER_hh_emih_in!F31=0,0,SER_hh_emih_in!F31/SER_summary!F$27)</f>
        <v>9.0371733381325203</v>
      </c>
      <c r="G31" s="133">
        <f>IF(SER_hh_emih_in!G31=0,0,SER_hh_emih_in!G31/SER_summary!G$27)</f>
        <v>8.9664217440645668</v>
      </c>
      <c r="H31" s="133">
        <f>IF(SER_hh_emih_in!H31=0,0,SER_hh_emih_in!H31/SER_summary!H$27)</f>
        <v>8.9439334772348147</v>
      </c>
      <c r="I31" s="133">
        <f>IF(SER_hh_emih_in!I31=0,0,SER_hh_emih_in!I31/SER_summary!I$27)</f>
        <v>8.7777255332413393</v>
      </c>
      <c r="J31" s="133">
        <f>IF(SER_hh_emih_in!J31=0,0,SER_hh_emih_in!J31/SER_summary!J$27)</f>
        <v>8.7277774137426416</v>
      </c>
      <c r="K31" s="133">
        <f>IF(SER_hh_emih_in!K31=0,0,SER_hh_emih_in!K31/SER_summary!K$27)</f>
        <v>8.9321095910714678</v>
      </c>
      <c r="L31" s="133">
        <f>IF(SER_hh_emih_in!L31=0,0,SER_hh_emih_in!L31/SER_summary!L$27)</f>
        <v>9.0490446479446032</v>
      </c>
      <c r="M31" s="133">
        <f>IF(SER_hh_emih_in!M31=0,0,SER_hh_emih_in!M31/SER_summary!M$27)</f>
        <v>9.3529795781476004</v>
      </c>
      <c r="N31" s="133">
        <f>IF(SER_hh_emih_in!N31=0,0,SER_hh_emih_in!N31/SER_summary!N$27)</f>
        <v>9.6855216914113225</v>
      </c>
      <c r="O31" s="133">
        <f>IF(SER_hh_emih_in!O31=0,0,SER_hh_emih_in!O31/SER_summary!O$27)</f>
        <v>9.6993912864301226</v>
      </c>
      <c r="P31" s="133">
        <f>IF(SER_hh_emih_in!P31=0,0,SER_hh_emih_in!P31/SER_summary!P$27)</f>
        <v>9.6139079933649967</v>
      </c>
      <c r="Q31" s="133">
        <f>IF(SER_hh_emih_in!Q31=0,0,SER_hh_emih_in!Q31/SER_summary!Q$27)</f>
        <v>9.8629642069397878</v>
      </c>
      <c r="R31" s="133">
        <f>IF(SER_hh_emih_in!R31=0,0,SER_hh_emih_in!R31/SER_summary!R$27)</f>
        <v>9.8415801900901467</v>
      </c>
      <c r="S31" s="133">
        <f>IF(SER_hh_emih_in!S31=0,0,SER_hh_emih_in!S31/SER_summary!S$27)</f>
        <v>9.6932161779158097</v>
      </c>
      <c r="T31" s="133">
        <f>IF(SER_hh_emih_in!T31=0,0,SER_hh_emih_in!T31/SER_summary!T$27)</f>
        <v>9.8748277936718214</v>
      </c>
      <c r="U31" s="133">
        <f>IF(SER_hh_emih_in!U31=0,0,SER_hh_emih_in!U31/SER_summary!U$27)</f>
        <v>9.8665414402957623</v>
      </c>
      <c r="V31" s="133">
        <f>IF(SER_hh_emih_in!V31=0,0,SER_hh_emih_in!V31/SER_summary!V$27)</f>
        <v>9.0953571483409039</v>
      </c>
      <c r="W31" s="133">
        <f>IF(SER_hh_emih_in!W31=0,0,SER_hh_emih_in!W31/SER_summary!W$27)</f>
        <v>9.8434300295799364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204.27138178938227</v>
      </c>
      <c r="C3" s="180">
        <f t="shared" ref="C3:W3" si="1">SUM(C4:C9)</f>
        <v>210.6975248753227</v>
      </c>
      <c r="D3" s="180">
        <f t="shared" si="1"/>
        <v>223.17182427941685</v>
      </c>
      <c r="E3" s="180">
        <f t="shared" si="1"/>
        <v>233.00203329493846</v>
      </c>
      <c r="F3" s="180">
        <f t="shared" si="1"/>
        <v>243.10077296197375</v>
      </c>
      <c r="G3" s="180">
        <f t="shared" si="1"/>
        <v>253.31492883651941</v>
      </c>
      <c r="H3" s="180">
        <f t="shared" si="1"/>
        <v>262.55602306739962</v>
      </c>
      <c r="I3" s="180">
        <f t="shared" si="1"/>
        <v>274.77956305139139</v>
      </c>
      <c r="J3" s="180">
        <f t="shared" si="1"/>
        <v>282.92235806911913</v>
      </c>
      <c r="K3" s="180">
        <f t="shared" si="1"/>
        <v>284.54525660828841</v>
      </c>
      <c r="L3" s="180">
        <f t="shared" si="1"/>
        <v>288.6484181049068</v>
      </c>
      <c r="M3" s="180">
        <f t="shared" si="1"/>
        <v>306.28150503822116</v>
      </c>
      <c r="N3" s="180">
        <f t="shared" si="1"/>
        <v>325.47424548950153</v>
      </c>
      <c r="O3" s="180">
        <f t="shared" si="1"/>
        <v>346.62177287369354</v>
      </c>
      <c r="P3" s="180">
        <f t="shared" si="1"/>
        <v>370.72672507943605</v>
      </c>
      <c r="Q3" s="180">
        <f t="shared" si="1"/>
        <v>393.6917433677865</v>
      </c>
      <c r="R3" s="180">
        <f t="shared" si="1"/>
        <v>420.00284384770623</v>
      </c>
      <c r="S3" s="180">
        <f t="shared" si="1"/>
        <v>446.92348839392974</v>
      </c>
      <c r="T3" s="180">
        <f t="shared" si="1"/>
        <v>481.16984591817101</v>
      </c>
      <c r="U3" s="180">
        <f t="shared" si="1"/>
        <v>506.22662762623281</v>
      </c>
      <c r="V3" s="180">
        <f t="shared" si="1"/>
        <v>529.83260728707285</v>
      </c>
      <c r="W3" s="180">
        <f t="shared" si="1"/>
        <v>643.67660235988774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10.200849098985898</v>
      </c>
      <c r="C4" s="181">
        <f t="shared" ref="C4:R9" si="3">C12*C44/11630</f>
        <v>10.50269807655418</v>
      </c>
      <c r="D4" s="181">
        <f t="shared" si="3"/>
        <v>10.864037738787962</v>
      </c>
      <c r="E4" s="181">
        <f t="shared" si="3"/>
        <v>11.216357099235124</v>
      </c>
      <c r="F4" s="181">
        <f t="shared" si="3"/>
        <v>11.680568374979595</v>
      </c>
      <c r="G4" s="181">
        <f t="shared" si="3"/>
        <v>12.320586742064785</v>
      </c>
      <c r="H4" s="181">
        <f t="shared" si="3"/>
        <v>12.932738085485806</v>
      </c>
      <c r="I4" s="181">
        <f t="shared" si="3"/>
        <v>13.863702720009053</v>
      </c>
      <c r="J4" s="181">
        <f t="shared" si="3"/>
        <v>14.429197369138427</v>
      </c>
      <c r="K4" s="181">
        <f t="shared" si="3"/>
        <v>14.417952412720318</v>
      </c>
      <c r="L4" s="181">
        <f t="shared" si="3"/>
        <v>14.490052236576389</v>
      </c>
      <c r="M4" s="181">
        <f t="shared" si="3"/>
        <v>14.671039340798131</v>
      </c>
      <c r="N4" s="181">
        <f t="shared" si="3"/>
        <v>14.651620775689667</v>
      </c>
      <c r="O4" s="181">
        <f t="shared" si="3"/>
        <v>14.735366029575648</v>
      </c>
      <c r="P4" s="181">
        <f t="shared" si="3"/>
        <v>14.963565650707631</v>
      </c>
      <c r="Q4" s="181">
        <f t="shared" si="3"/>
        <v>15.044649875823209</v>
      </c>
      <c r="R4" s="181">
        <f t="shared" si="3"/>
        <v>15.266868214102058</v>
      </c>
      <c r="S4" s="181">
        <f t="shared" ref="D4:W9" si="4">S12*S44/11630</f>
        <v>15.331841266533266</v>
      </c>
      <c r="T4" s="181">
        <f t="shared" si="4"/>
        <v>15.464109693499541</v>
      </c>
      <c r="U4" s="181">
        <f t="shared" si="4"/>
        <v>15.584645953821266</v>
      </c>
      <c r="V4" s="181">
        <f t="shared" si="4"/>
        <v>15.664645023019657</v>
      </c>
      <c r="W4" s="181">
        <f t="shared" si="4"/>
        <v>15.742776081466191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43.32399105984841</v>
      </c>
      <c r="C5" s="181">
        <f t="shared" si="3"/>
        <v>44.056773484697437</v>
      </c>
      <c r="D5" s="181">
        <f t="shared" si="4"/>
        <v>49.502002787867944</v>
      </c>
      <c r="E5" s="181">
        <f t="shared" si="4"/>
        <v>51.165688016898599</v>
      </c>
      <c r="F5" s="181">
        <f t="shared" si="4"/>
        <v>53.352917980555311</v>
      </c>
      <c r="G5" s="181">
        <f t="shared" si="4"/>
        <v>55.357090975260306</v>
      </c>
      <c r="H5" s="181">
        <f t="shared" si="4"/>
        <v>57.905257156746941</v>
      </c>
      <c r="I5" s="181">
        <f t="shared" si="4"/>
        <v>60.00264852484235</v>
      </c>
      <c r="J5" s="181">
        <f t="shared" si="4"/>
        <v>62.497286145424383</v>
      </c>
      <c r="K5" s="181">
        <f t="shared" si="4"/>
        <v>63.704101160682434</v>
      </c>
      <c r="L5" s="181">
        <f t="shared" si="4"/>
        <v>65.411122620710728</v>
      </c>
      <c r="M5" s="181">
        <f t="shared" si="4"/>
        <v>65.056035556038353</v>
      </c>
      <c r="N5" s="181">
        <f t="shared" si="4"/>
        <v>65.33073984931967</v>
      </c>
      <c r="O5" s="181">
        <f t="shared" si="4"/>
        <v>65.455375322817872</v>
      </c>
      <c r="P5" s="181">
        <f t="shared" si="4"/>
        <v>64.935828617880588</v>
      </c>
      <c r="Q5" s="181">
        <f t="shared" si="4"/>
        <v>64.246172813606947</v>
      </c>
      <c r="R5" s="181">
        <f t="shared" si="4"/>
        <v>63.350562582006589</v>
      </c>
      <c r="S5" s="181">
        <f t="shared" si="4"/>
        <v>62.285594897606408</v>
      </c>
      <c r="T5" s="181">
        <f t="shared" si="4"/>
        <v>60.187131485799192</v>
      </c>
      <c r="U5" s="181">
        <f t="shared" si="4"/>
        <v>58.24243360434339</v>
      </c>
      <c r="V5" s="181">
        <f t="shared" si="4"/>
        <v>55.937069687838679</v>
      </c>
      <c r="W5" s="181">
        <f t="shared" si="4"/>
        <v>54.018664075530324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58.938752901654965</v>
      </c>
      <c r="C6" s="181">
        <f t="shared" si="3"/>
        <v>60.759056164203564</v>
      </c>
      <c r="D6" s="181">
        <f t="shared" si="4"/>
        <v>62.550429239376697</v>
      </c>
      <c r="E6" s="181">
        <f t="shared" si="4"/>
        <v>63.792821909368698</v>
      </c>
      <c r="F6" s="181">
        <f t="shared" si="4"/>
        <v>65.286174912388603</v>
      </c>
      <c r="G6" s="181">
        <f t="shared" si="4"/>
        <v>67.327065958051818</v>
      </c>
      <c r="H6" s="181">
        <f t="shared" si="4"/>
        <v>68.611493077833657</v>
      </c>
      <c r="I6" s="181">
        <f t="shared" si="4"/>
        <v>71.871999076617897</v>
      </c>
      <c r="J6" s="181">
        <f t="shared" si="4"/>
        <v>72.989326280653785</v>
      </c>
      <c r="K6" s="181">
        <f t="shared" si="4"/>
        <v>71.72631498757994</v>
      </c>
      <c r="L6" s="181">
        <f t="shared" si="4"/>
        <v>70.702594462158729</v>
      </c>
      <c r="M6" s="181">
        <f t="shared" si="4"/>
        <v>70.059988875020196</v>
      </c>
      <c r="N6" s="181">
        <f t="shared" si="4"/>
        <v>68.597219486890566</v>
      </c>
      <c r="O6" s="181">
        <f t="shared" si="4"/>
        <v>66.350853534408245</v>
      </c>
      <c r="P6" s="181">
        <f t="shared" si="4"/>
        <v>65.304010764755859</v>
      </c>
      <c r="Q6" s="181">
        <f t="shared" si="4"/>
        <v>64.820664607071706</v>
      </c>
      <c r="R6" s="181">
        <f t="shared" si="4"/>
        <v>65.096740254133763</v>
      </c>
      <c r="S6" s="181">
        <f t="shared" si="4"/>
        <v>65.069373648861315</v>
      </c>
      <c r="T6" s="181">
        <f t="shared" si="4"/>
        <v>62.331030133684592</v>
      </c>
      <c r="U6" s="181">
        <f t="shared" si="4"/>
        <v>59.225387462209689</v>
      </c>
      <c r="V6" s="181">
        <f t="shared" si="4"/>
        <v>52.814320010743522</v>
      </c>
      <c r="W6" s="181">
        <f t="shared" si="4"/>
        <v>55.848705580641727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49.736449551595442</v>
      </c>
      <c r="C7" s="181">
        <f t="shared" si="3"/>
        <v>50.249271637234159</v>
      </c>
      <c r="D7" s="181">
        <f t="shared" si="4"/>
        <v>50.910778163259387</v>
      </c>
      <c r="E7" s="181">
        <f t="shared" si="4"/>
        <v>51.80150005032727</v>
      </c>
      <c r="F7" s="181">
        <f t="shared" si="4"/>
        <v>52.656246705896457</v>
      </c>
      <c r="G7" s="181">
        <f t="shared" si="4"/>
        <v>53.966367215849353</v>
      </c>
      <c r="H7" s="181">
        <f t="shared" si="4"/>
        <v>55.905827466194864</v>
      </c>
      <c r="I7" s="181">
        <f t="shared" si="4"/>
        <v>58.878037418530248</v>
      </c>
      <c r="J7" s="181">
        <f t="shared" si="4"/>
        <v>61.195814598343375</v>
      </c>
      <c r="K7" s="181">
        <f t="shared" si="4"/>
        <v>62.501021146349224</v>
      </c>
      <c r="L7" s="181">
        <f t="shared" si="4"/>
        <v>62.899368961655739</v>
      </c>
      <c r="M7" s="181">
        <f t="shared" si="4"/>
        <v>62.577597691881785</v>
      </c>
      <c r="N7" s="181">
        <f t="shared" si="4"/>
        <v>62.234213644788497</v>
      </c>
      <c r="O7" s="181">
        <f t="shared" si="4"/>
        <v>61.969258541362422</v>
      </c>
      <c r="P7" s="181">
        <f t="shared" si="4"/>
        <v>61.913387166234976</v>
      </c>
      <c r="Q7" s="181">
        <f t="shared" si="4"/>
        <v>62.302634882028812</v>
      </c>
      <c r="R7" s="181">
        <f t="shared" si="4"/>
        <v>64.294367752744577</v>
      </c>
      <c r="S7" s="181">
        <f t="shared" si="4"/>
        <v>64.717319429669772</v>
      </c>
      <c r="T7" s="181">
        <f t="shared" si="4"/>
        <v>65.951651621152095</v>
      </c>
      <c r="U7" s="181">
        <f t="shared" si="4"/>
        <v>67.198701137539175</v>
      </c>
      <c r="V7" s="181">
        <f t="shared" si="4"/>
        <v>68.275212249201033</v>
      </c>
      <c r="W7" s="181">
        <f t="shared" si="4"/>
        <v>69.092316297621608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19.77345057403884</v>
      </c>
      <c r="C8" s="55">
        <f t="shared" si="3"/>
        <v>21.005715113327849</v>
      </c>
      <c r="D8" s="55">
        <f t="shared" si="4"/>
        <v>22.282675984657615</v>
      </c>
      <c r="E8" s="55">
        <f t="shared" si="4"/>
        <v>23.517887090786491</v>
      </c>
      <c r="F8" s="55">
        <f t="shared" si="4"/>
        <v>24.698150212363345</v>
      </c>
      <c r="G8" s="55">
        <f t="shared" si="4"/>
        <v>26.428257483390116</v>
      </c>
      <c r="H8" s="55">
        <f t="shared" si="4"/>
        <v>28.003178722710519</v>
      </c>
      <c r="I8" s="55">
        <f t="shared" si="4"/>
        <v>30.172301210533991</v>
      </c>
      <c r="J8" s="55">
        <f t="shared" si="4"/>
        <v>31.39506969586483</v>
      </c>
      <c r="K8" s="55">
        <f t="shared" si="4"/>
        <v>31.347190614764525</v>
      </c>
      <c r="L8" s="55">
        <f t="shared" si="4"/>
        <v>31.521216150780063</v>
      </c>
      <c r="M8" s="55">
        <f t="shared" si="4"/>
        <v>31.844858907072709</v>
      </c>
      <c r="N8" s="55">
        <f t="shared" si="4"/>
        <v>31.776937102784153</v>
      </c>
      <c r="O8" s="55">
        <f t="shared" si="4"/>
        <v>31.657868734902141</v>
      </c>
      <c r="P8" s="55">
        <f t="shared" si="4"/>
        <v>31.723096442876294</v>
      </c>
      <c r="Q8" s="55">
        <f t="shared" si="4"/>
        <v>31.471834741278581</v>
      </c>
      <c r="R8" s="55">
        <f t="shared" si="4"/>
        <v>32.668674740349175</v>
      </c>
      <c r="S8" s="55">
        <f t="shared" si="4"/>
        <v>33.949162353427688</v>
      </c>
      <c r="T8" s="55">
        <f t="shared" si="4"/>
        <v>34.399330285608272</v>
      </c>
      <c r="U8" s="55">
        <f t="shared" si="4"/>
        <v>34.798861817549231</v>
      </c>
      <c r="V8" s="55">
        <f t="shared" si="4"/>
        <v>32.902871530077284</v>
      </c>
      <c r="W8" s="55">
        <f t="shared" si="4"/>
        <v>36.51873288756768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22.297888603258741</v>
      </c>
      <c r="C9" s="63">
        <f t="shared" si="3"/>
        <v>24.124010399305483</v>
      </c>
      <c r="D9" s="63">
        <f t="shared" si="4"/>
        <v>27.061900365467238</v>
      </c>
      <c r="E9" s="63">
        <f t="shared" si="4"/>
        <v>31.507779128322262</v>
      </c>
      <c r="F9" s="63">
        <f t="shared" si="4"/>
        <v>35.426714775790458</v>
      </c>
      <c r="G9" s="63">
        <f t="shared" si="4"/>
        <v>37.915560461903013</v>
      </c>
      <c r="H9" s="63">
        <f t="shared" si="4"/>
        <v>39.197528558427855</v>
      </c>
      <c r="I9" s="63">
        <f t="shared" si="4"/>
        <v>39.990874100857887</v>
      </c>
      <c r="J9" s="63">
        <f t="shared" si="4"/>
        <v>40.415663979694351</v>
      </c>
      <c r="K9" s="63">
        <f t="shared" si="4"/>
        <v>40.848676286192003</v>
      </c>
      <c r="L9" s="63">
        <f t="shared" si="4"/>
        <v>43.62406367302512</v>
      </c>
      <c r="M9" s="63">
        <f t="shared" si="4"/>
        <v>62.07198466741</v>
      </c>
      <c r="N9" s="63">
        <f t="shared" si="4"/>
        <v>82.883514630028969</v>
      </c>
      <c r="O9" s="63">
        <f t="shared" si="4"/>
        <v>106.4530507106272</v>
      </c>
      <c r="P9" s="63">
        <f t="shared" si="4"/>
        <v>131.88683643698073</v>
      </c>
      <c r="Q9" s="63">
        <f t="shared" si="4"/>
        <v>155.80578644797723</v>
      </c>
      <c r="R9" s="63">
        <f t="shared" si="4"/>
        <v>179.32563030437004</v>
      </c>
      <c r="S9" s="63">
        <f t="shared" si="4"/>
        <v>205.5701967978313</v>
      </c>
      <c r="T9" s="63">
        <f t="shared" si="4"/>
        <v>242.83659269842732</v>
      </c>
      <c r="U9" s="63">
        <f t="shared" si="4"/>
        <v>271.17659765077008</v>
      </c>
      <c r="V9" s="63">
        <f t="shared" si="4"/>
        <v>304.2384887861927</v>
      </c>
      <c r="W9" s="63">
        <f t="shared" si="4"/>
        <v>412.45540743706027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913.41788895124341</v>
      </c>
      <c r="C11" s="180">
        <f t="shared" ref="C11:W11" si="6">SUM(C12:C17)</f>
        <v>947.8956414763735</v>
      </c>
      <c r="D11" s="180">
        <f t="shared" si="6"/>
        <v>1002.2894262401629</v>
      </c>
      <c r="E11" s="180">
        <f t="shared" si="6"/>
        <v>1052.6032277655545</v>
      </c>
      <c r="F11" s="180">
        <f t="shared" si="6"/>
        <v>1101.067083576615</v>
      </c>
      <c r="G11" s="180">
        <f t="shared" si="6"/>
        <v>1150.535837139229</v>
      </c>
      <c r="H11" s="180">
        <f t="shared" si="6"/>
        <v>1190.6892533111168</v>
      </c>
      <c r="I11" s="180">
        <f t="shared" si="6"/>
        <v>1245.209315454116</v>
      </c>
      <c r="J11" s="180">
        <f t="shared" si="6"/>
        <v>1274.6977723412508</v>
      </c>
      <c r="K11" s="180">
        <f t="shared" si="6"/>
        <v>1271.872379223699</v>
      </c>
      <c r="L11" s="180">
        <f t="shared" si="6"/>
        <v>1286.5983805699393</v>
      </c>
      <c r="M11" s="180">
        <f t="shared" si="6"/>
        <v>1394.2385946942313</v>
      </c>
      <c r="N11" s="180">
        <f t="shared" si="6"/>
        <v>1504.9714348427751</v>
      </c>
      <c r="O11" s="180">
        <f t="shared" si="6"/>
        <v>1626.317322287719</v>
      </c>
      <c r="P11" s="180">
        <f t="shared" si="6"/>
        <v>1761.954170100827</v>
      </c>
      <c r="Q11" s="180">
        <f t="shared" si="6"/>
        <v>1884.894563014969</v>
      </c>
      <c r="R11" s="180">
        <f t="shared" si="6"/>
        <v>2005.5808590742249</v>
      </c>
      <c r="S11" s="180">
        <f t="shared" si="6"/>
        <v>2113.1196687980191</v>
      </c>
      <c r="T11" s="180">
        <f t="shared" si="6"/>
        <v>2314.8487974149748</v>
      </c>
      <c r="U11" s="180">
        <f t="shared" si="6"/>
        <v>2455.5079962134837</v>
      </c>
      <c r="V11" s="180">
        <f t="shared" si="6"/>
        <v>2686.0756808754604</v>
      </c>
      <c r="W11" s="180">
        <f t="shared" si="6"/>
        <v>3112.9769551819563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13.54290810744361</v>
      </c>
      <c r="C12" s="181">
        <f t="shared" ref="C12:W12" si="7">C20*C52</f>
        <v>13.943650528575926</v>
      </c>
      <c r="D12" s="181">
        <f t="shared" si="7"/>
        <v>14.423374303893157</v>
      </c>
      <c r="E12" s="181">
        <f t="shared" si="7"/>
        <v>14.891122495902342</v>
      </c>
      <c r="F12" s="181">
        <f t="shared" si="7"/>
        <v>15.507421255823369</v>
      </c>
      <c r="G12" s="181">
        <f t="shared" si="7"/>
        <v>16.35712600573213</v>
      </c>
      <c r="H12" s="181">
        <f t="shared" si="7"/>
        <v>17.169833782442918</v>
      </c>
      <c r="I12" s="181">
        <f t="shared" si="7"/>
        <v>18.405806236724345</v>
      </c>
      <c r="J12" s="181">
        <f t="shared" si="7"/>
        <v>19.156571393045649</v>
      </c>
      <c r="K12" s="181">
        <f t="shared" si="7"/>
        <v>19.141642301362705</v>
      </c>
      <c r="L12" s="181">
        <f t="shared" si="7"/>
        <v>19.237363871162486</v>
      </c>
      <c r="M12" s="181">
        <f t="shared" si="7"/>
        <v>19.477646978708016</v>
      </c>
      <c r="N12" s="181">
        <f t="shared" si="7"/>
        <v>19.451866395122234</v>
      </c>
      <c r="O12" s="181">
        <f t="shared" si="7"/>
        <v>19.563048735612416</v>
      </c>
      <c r="P12" s="181">
        <f t="shared" si="7"/>
        <v>19.866012387868693</v>
      </c>
      <c r="Q12" s="181">
        <f t="shared" si="7"/>
        <v>19.973661878518719</v>
      </c>
      <c r="R12" s="181">
        <f t="shared" si="7"/>
        <v>20.268684626713124</v>
      </c>
      <c r="S12" s="181">
        <f t="shared" si="7"/>
        <v>20.354944512532182</v>
      </c>
      <c r="T12" s="181">
        <f t="shared" si="7"/>
        <v>20.530547458378962</v>
      </c>
      <c r="U12" s="181">
        <f t="shared" si="7"/>
        <v>20.690574479787831</v>
      </c>
      <c r="V12" s="181">
        <f t="shared" si="7"/>
        <v>20.796783289693909</v>
      </c>
      <c r="W12" s="181">
        <f t="shared" si="7"/>
        <v>20.900512080759334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121.83115736096711</v>
      </c>
      <c r="C13" s="181">
        <f t="shared" ref="C13:W13" si="8">C21*C53/1000</f>
        <v>123.69618308971687</v>
      </c>
      <c r="D13" s="181">
        <f t="shared" si="8"/>
        <v>138.90216037603111</v>
      </c>
      <c r="E13" s="181">
        <f t="shared" si="8"/>
        <v>143.52924521197431</v>
      </c>
      <c r="F13" s="181">
        <f t="shared" si="8"/>
        <v>149.66247590416296</v>
      </c>
      <c r="G13" s="181">
        <f t="shared" si="8"/>
        <v>155.35266611669158</v>
      </c>
      <c r="H13" s="181">
        <f t="shared" si="8"/>
        <v>162.74173633345728</v>
      </c>
      <c r="I13" s="181">
        <f t="shared" si="8"/>
        <v>169.2483916843189</v>
      </c>
      <c r="J13" s="181">
        <f t="shared" si="8"/>
        <v>176.55845723881282</v>
      </c>
      <c r="K13" s="181">
        <f t="shared" si="8"/>
        <v>180.44555336358525</v>
      </c>
      <c r="L13" s="181">
        <f t="shared" si="8"/>
        <v>185.75208931510687</v>
      </c>
      <c r="M13" s="181">
        <f t="shared" si="8"/>
        <v>186.92783092347895</v>
      </c>
      <c r="N13" s="181">
        <f t="shared" si="8"/>
        <v>188.63534569293282</v>
      </c>
      <c r="O13" s="181">
        <f t="shared" si="8"/>
        <v>189.77212149989404</v>
      </c>
      <c r="P13" s="181">
        <f t="shared" si="8"/>
        <v>189.25293673514784</v>
      </c>
      <c r="Q13" s="181">
        <f t="shared" si="8"/>
        <v>189.08919505390983</v>
      </c>
      <c r="R13" s="181">
        <f t="shared" si="8"/>
        <v>185.40786312276441</v>
      </c>
      <c r="S13" s="181">
        <f t="shared" si="8"/>
        <v>179.78209191540145</v>
      </c>
      <c r="T13" s="181">
        <f t="shared" si="8"/>
        <v>176.36089132260662</v>
      </c>
      <c r="U13" s="181">
        <f t="shared" si="8"/>
        <v>172.30202296374856</v>
      </c>
      <c r="V13" s="181">
        <f t="shared" si="8"/>
        <v>166.94689879683887</v>
      </c>
      <c r="W13" s="181">
        <f t="shared" si="8"/>
        <v>162.17604969870268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293.60912195565533</v>
      </c>
      <c r="C14" s="181">
        <f t="shared" ref="C14:W14" si="9">C22*C54</f>
        <v>299.35127060869678</v>
      </c>
      <c r="D14" s="181">
        <f t="shared" si="9"/>
        <v>304.90872411702389</v>
      </c>
      <c r="E14" s="181">
        <f t="shared" si="9"/>
        <v>307.94640515682005</v>
      </c>
      <c r="F14" s="181">
        <f t="shared" si="9"/>
        <v>312.71406402173221</v>
      </c>
      <c r="G14" s="181">
        <f t="shared" si="9"/>
        <v>319.9048281847987</v>
      </c>
      <c r="H14" s="181">
        <f t="shared" si="9"/>
        <v>324.73028411801255</v>
      </c>
      <c r="I14" s="181">
        <f t="shared" si="9"/>
        <v>338.3545428923349</v>
      </c>
      <c r="J14" s="181">
        <f t="shared" si="9"/>
        <v>341.96892223549247</v>
      </c>
      <c r="K14" s="181">
        <f t="shared" si="9"/>
        <v>335.18293128738981</v>
      </c>
      <c r="L14" s="181">
        <f t="shared" si="9"/>
        <v>329.01058106626374</v>
      </c>
      <c r="M14" s="181">
        <f t="shared" si="9"/>
        <v>325.08147145211353</v>
      </c>
      <c r="N14" s="181">
        <f t="shared" si="9"/>
        <v>317.38203016625243</v>
      </c>
      <c r="O14" s="181">
        <f t="shared" si="9"/>
        <v>306.490989085482</v>
      </c>
      <c r="P14" s="181">
        <f t="shared" si="9"/>
        <v>300.34897924600301</v>
      </c>
      <c r="Q14" s="181">
        <f t="shared" si="9"/>
        <v>295.12579657593727</v>
      </c>
      <c r="R14" s="181">
        <f t="shared" si="9"/>
        <v>290.94373027869204</v>
      </c>
      <c r="S14" s="181">
        <f t="shared" si="9"/>
        <v>282.02836485672617</v>
      </c>
      <c r="T14" s="181">
        <f t="shared" si="9"/>
        <v>273.71723964446568</v>
      </c>
      <c r="U14" s="181">
        <f t="shared" si="9"/>
        <v>261.21199717229803</v>
      </c>
      <c r="V14" s="181">
        <f t="shared" si="9"/>
        <v>248.46399191892036</v>
      </c>
      <c r="W14" s="181">
        <f t="shared" si="9"/>
        <v>238.46885335170151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66.031382224321362</v>
      </c>
      <c r="C15" s="181">
        <f t="shared" ref="C15:W15" si="10">C23*C55/1000</f>
        <v>66.71221793847414</v>
      </c>
      <c r="D15" s="181">
        <f t="shared" si="10"/>
        <v>67.59045091766059</v>
      </c>
      <c r="E15" s="181">
        <f t="shared" si="10"/>
        <v>68.772996071381968</v>
      </c>
      <c r="F15" s="181">
        <f t="shared" si="10"/>
        <v>69.907779587851124</v>
      </c>
      <c r="G15" s="181">
        <f t="shared" si="10"/>
        <v>71.64712907766301</v>
      </c>
      <c r="H15" s="181">
        <f t="shared" si="10"/>
        <v>74.222006099525828</v>
      </c>
      <c r="I15" s="181">
        <f t="shared" si="10"/>
        <v>78.167988033961947</v>
      </c>
      <c r="J15" s="181">
        <f t="shared" si="10"/>
        <v>81.245128285243567</v>
      </c>
      <c r="K15" s="181">
        <f t="shared" si="10"/>
        <v>82.97795387352069</v>
      </c>
      <c r="L15" s="181">
        <f t="shared" si="10"/>
        <v>83.506810619184506</v>
      </c>
      <c r="M15" s="181">
        <f t="shared" si="10"/>
        <v>83.079618853491482</v>
      </c>
      <c r="N15" s="181">
        <f t="shared" si="10"/>
        <v>82.623733411973745</v>
      </c>
      <c r="O15" s="181">
        <f t="shared" si="10"/>
        <v>82.27197224155762</v>
      </c>
      <c r="P15" s="181">
        <f t="shared" si="10"/>
        <v>82.197795975264015</v>
      </c>
      <c r="Q15" s="181">
        <f t="shared" si="10"/>
        <v>82.714571196118158</v>
      </c>
      <c r="R15" s="181">
        <f t="shared" si="10"/>
        <v>85.358846685436006</v>
      </c>
      <c r="S15" s="181">
        <f t="shared" si="10"/>
        <v>85.920368146924588</v>
      </c>
      <c r="T15" s="181">
        <f t="shared" si="10"/>
        <v>87.559099127168821</v>
      </c>
      <c r="U15" s="181">
        <f t="shared" si="10"/>
        <v>89.214713953148475</v>
      </c>
      <c r="V15" s="181">
        <f t="shared" si="10"/>
        <v>90.643917632215533</v>
      </c>
      <c r="W15" s="181">
        <f t="shared" si="10"/>
        <v>91.728725860883486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266.41309375866155</v>
      </c>
      <c r="C16" s="55">
        <f t="shared" ref="C16:W16" si="11">C24*C56</f>
        <v>281.67022460643358</v>
      </c>
      <c r="D16" s="55">
        <f t="shared" si="11"/>
        <v>297.49617490035604</v>
      </c>
      <c r="E16" s="55">
        <f t="shared" si="11"/>
        <v>312.73337847853185</v>
      </c>
      <c r="F16" s="55">
        <f t="shared" si="11"/>
        <v>327.21343657012358</v>
      </c>
      <c r="G16" s="55">
        <f t="shared" si="11"/>
        <v>348.92900307629048</v>
      </c>
      <c r="H16" s="55">
        <f t="shared" si="11"/>
        <v>368.53134846308791</v>
      </c>
      <c r="I16" s="55">
        <f t="shared" si="11"/>
        <v>395.87592556912659</v>
      </c>
      <c r="J16" s="55">
        <f t="shared" si="11"/>
        <v>410.74371752614553</v>
      </c>
      <c r="K16" s="55">
        <f t="shared" si="11"/>
        <v>409.01011450473436</v>
      </c>
      <c r="L16" s="55">
        <f t="shared" si="11"/>
        <v>410.22730932989873</v>
      </c>
      <c r="M16" s="55">
        <f t="shared" si="11"/>
        <v>414.2286111503247</v>
      </c>
      <c r="N16" s="55">
        <f t="shared" si="11"/>
        <v>413.16531766189928</v>
      </c>
      <c r="O16" s="55">
        <f t="shared" si="11"/>
        <v>411.46569788084616</v>
      </c>
      <c r="P16" s="55">
        <f t="shared" si="11"/>
        <v>412.18699733600789</v>
      </c>
      <c r="Q16" s="55">
        <f t="shared" si="11"/>
        <v>408.81986524275175</v>
      </c>
      <c r="R16" s="55">
        <f t="shared" si="11"/>
        <v>420.1954899747343</v>
      </c>
      <c r="S16" s="55">
        <f t="shared" si="11"/>
        <v>427.09901894640279</v>
      </c>
      <c r="T16" s="55">
        <f t="shared" si="11"/>
        <v>435.94018306024259</v>
      </c>
      <c r="U16" s="55">
        <f t="shared" si="11"/>
        <v>442.82291820140711</v>
      </c>
      <c r="V16" s="55">
        <f t="shared" si="11"/>
        <v>446.60687954302807</v>
      </c>
      <c r="W16" s="55">
        <f t="shared" si="11"/>
        <v>449.89803134625953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151.99022554419443</v>
      </c>
      <c r="C17" s="63">
        <f t="shared" ref="C17:W17" si="12">C25*C57/1000</f>
        <v>162.52209470447625</v>
      </c>
      <c r="D17" s="63">
        <f t="shared" si="12"/>
        <v>178.96854162519807</v>
      </c>
      <c r="E17" s="63">
        <f t="shared" si="12"/>
        <v>204.73008035094409</v>
      </c>
      <c r="F17" s="63">
        <f t="shared" si="12"/>
        <v>226.06190623692191</v>
      </c>
      <c r="G17" s="63">
        <f t="shared" si="12"/>
        <v>238.34508467805301</v>
      </c>
      <c r="H17" s="63">
        <f t="shared" si="12"/>
        <v>243.2940445145903</v>
      </c>
      <c r="I17" s="63">
        <f t="shared" si="12"/>
        <v>245.15666103764931</v>
      </c>
      <c r="J17" s="63">
        <f t="shared" si="12"/>
        <v>245.02497566251083</v>
      </c>
      <c r="K17" s="63">
        <f t="shared" si="12"/>
        <v>245.1141838931062</v>
      </c>
      <c r="L17" s="63">
        <f t="shared" si="12"/>
        <v>258.86422636832282</v>
      </c>
      <c r="M17" s="63">
        <f t="shared" si="12"/>
        <v>365.44341533611464</v>
      </c>
      <c r="N17" s="63">
        <f t="shared" si="12"/>
        <v>483.71314151459467</v>
      </c>
      <c r="O17" s="63">
        <f t="shared" si="12"/>
        <v>616.75349284432684</v>
      </c>
      <c r="P17" s="63">
        <f t="shared" si="12"/>
        <v>758.10144842053558</v>
      </c>
      <c r="Q17" s="63">
        <f t="shared" si="12"/>
        <v>889.17147306773313</v>
      </c>
      <c r="R17" s="63">
        <f t="shared" si="12"/>
        <v>1003.406244385885</v>
      </c>
      <c r="S17" s="63">
        <f t="shared" si="12"/>
        <v>1117.9348804200322</v>
      </c>
      <c r="T17" s="63">
        <f t="shared" si="12"/>
        <v>1320.740836802112</v>
      </c>
      <c r="U17" s="63">
        <f t="shared" si="12"/>
        <v>1469.2657694430939</v>
      </c>
      <c r="V17" s="63">
        <f t="shared" si="12"/>
        <v>1712.6172096947639</v>
      </c>
      <c r="W17" s="63">
        <f t="shared" si="12"/>
        <v>2149.8047828436497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18.398943392327865</v>
      </c>
      <c r="C20" s="182">
        <v>19.106185357569018</v>
      </c>
      <c r="D20" s="182">
        <v>19.956481634956642</v>
      </c>
      <c r="E20" s="182">
        <v>20.812906935225847</v>
      </c>
      <c r="F20" s="182">
        <v>21.932821395298745</v>
      </c>
      <c r="G20" s="182">
        <v>23.466661452929031</v>
      </c>
      <c r="H20" s="182">
        <v>24.985748202195389</v>
      </c>
      <c r="I20" s="182">
        <v>27.255232561696527</v>
      </c>
      <c r="J20" s="182">
        <v>28.756732808710069</v>
      </c>
      <c r="K20" s="182">
        <v>28.991512996379871</v>
      </c>
      <c r="L20" s="182">
        <v>29.450548665721055</v>
      </c>
      <c r="M20" s="182">
        <v>30.201442120523275</v>
      </c>
      <c r="N20" s="182">
        <v>30.515100892922781</v>
      </c>
      <c r="O20" s="182">
        <v>31.124149306037083</v>
      </c>
      <c r="P20" s="182">
        <v>32.151412800615844</v>
      </c>
      <c r="Q20" s="182">
        <v>32.865321293424579</v>
      </c>
      <c r="R20" s="182">
        <v>33.973701890584614</v>
      </c>
      <c r="S20" s="182">
        <v>34.711012003142699</v>
      </c>
      <c r="T20" s="182">
        <v>35.664854253456703</v>
      </c>
      <c r="U20" s="182">
        <v>36.476130343679955</v>
      </c>
      <c r="V20" s="182">
        <v>37.229863997328295</v>
      </c>
      <c r="W20" s="182">
        <v>37.970447511972559</v>
      </c>
      <c r="DA20" s="191" t="s">
        <v>921</v>
      </c>
    </row>
    <row r="21" spans="1:105" ht="12" customHeight="1" x14ac:dyDescent="0.25">
      <c r="A21" s="132" t="s">
        <v>163</v>
      </c>
      <c r="B21" s="182">
        <v>625.91312542108756</v>
      </c>
      <c r="C21" s="182">
        <v>641.71780765135077</v>
      </c>
      <c r="D21" s="182">
        <v>733.5814173262338</v>
      </c>
      <c r="E21" s="182">
        <v>768.79396036988362</v>
      </c>
      <c r="F21" s="182">
        <v>815.87118200241605</v>
      </c>
      <c r="G21" s="182">
        <v>864.1147293650987</v>
      </c>
      <c r="H21" s="182">
        <v>926.42450617577731</v>
      </c>
      <c r="I21" s="182">
        <v>988.26821531995779</v>
      </c>
      <c r="J21" s="182">
        <v>1049.5759874470982</v>
      </c>
      <c r="K21" s="182">
        <v>1103.6551356579803</v>
      </c>
      <c r="L21" s="182">
        <v>1161.4769871342689</v>
      </c>
      <c r="M21" s="182">
        <v>1197.4306591350346</v>
      </c>
      <c r="N21" s="182">
        <v>1242.8405698002887</v>
      </c>
      <c r="O21" s="182">
        <v>1290.8296865345396</v>
      </c>
      <c r="P21" s="182">
        <v>1330.4480006531674</v>
      </c>
      <c r="Q21" s="182">
        <v>1373.789639423276</v>
      </c>
      <c r="R21" s="182">
        <v>1416.7676077662566</v>
      </c>
      <c r="S21" s="182">
        <v>1427.8154494228761</v>
      </c>
      <c r="T21" s="182">
        <v>1457.5371587875886</v>
      </c>
      <c r="U21" s="182">
        <v>1485.4490266330356</v>
      </c>
      <c r="V21" s="182">
        <v>1511.1212562953924</v>
      </c>
      <c r="W21" s="182">
        <v>1534.0676453062354</v>
      </c>
      <c r="DA21" s="191" t="s">
        <v>922</v>
      </c>
    </row>
    <row r="22" spans="1:105" ht="12" customHeight="1" x14ac:dyDescent="0.25">
      <c r="A22" s="132" t="s">
        <v>167</v>
      </c>
      <c r="B22" s="182">
        <v>6.8310868433726775</v>
      </c>
      <c r="C22" s="182">
        <v>7.0347359702844203</v>
      </c>
      <c r="D22" s="182">
        <v>7.2793897066577635</v>
      </c>
      <c r="E22" s="182">
        <v>7.4925656391266715</v>
      </c>
      <c r="F22" s="182">
        <v>7.7774148540278762</v>
      </c>
      <c r="G22" s="182">
        <v>8.1594433030855011</v>
      </c>
      <c r="H22" s="182">
        <v>8.5246678994312131</v>
      </c>
      <c r="I22" s="182">
        <v>9.1208079250589744</v>
      </c>
      <c r="J22" s="182">
        <v>9.4584207131845037</v>
      </c>
      <c r="K22" s="182">
        <v>9.5081858965793042</v>
      </c>
      <c r="L22" s="182">
        <v>9.6304853436126194</v>
      </c>
      <c r="M22" s="182">
        <v>9.9167548046263718</v>
      </c>
      <c r="N22" s="182">
        <v>10.115673919356464</v>
      </c>
      <c r="O22" s="182">
        <v>10.343977261028366</v>
      </c>
      <c r="P22" s="182">
        <v>10.712911334107833</v>
      </c>
      <c r="Q22" s="182">
        <v>11.063390340091876</v>
      </c>
      <c r="R22" s="182">
        <v>11.605629310471272</v>
      </c>
      <c r="S22" s="182">
        <v>12.031595256996596</v>
      </c>
      <c r="T22" s="182">
        <v>12.529520723046268</v>
      </c>
      <c r="U22" s="182">
        <v>12.965846673360264</v>
      </c>
      <c r="V22" s="182">
        <v>13.352956283501364</v>
      </c>
      <c r="W22" s="182">
        <v>13.689826087659709</v>
      </c>
      <c r="DA22" s="191" t="s">
        <v>923</v>
      </c>
    </row>
    <row r="23" spans="1:105" ht="12" customHeight="1" x14ac:dyDescent="0.25">
      <c r="A23" s="132" t="s">
        <v>180</v>
      </c>
      <c r="B23" s="182">
        <v>95.048099053350086</v>
      </c>
      <c r="C23" s="182">
        <v>97.037066576050066</v>
      </c>
      <c r="D23" s="182">
        <v>99.679455567662373</v>
      </c>
      <c r="E23" s="182">
        <v>103.05681332288168</v>
      </c>
      <c r="F23" s="182">
        <v>106.56130820712301</v>
      </c>
      <c r="G23" s="182">
        <v>111.30907802438603</v>
      </c>
      <c r="H23" s="182">
        <v>117.72453682470585</v>
      </c>
      <c r="I23" s="182">
        <v>126.90228592866299</v>
      </c>
      <c r="J23" s="182">
        <v>135.12983135745742</v>
      </c>
      <c r="K23" s="182">
        <v>141.50107750867389</v>
      </c>
      <c r="L23" s="182">
        <v>146.17631873549513</v>
      </c>
      <c r="M23" s="182">
        <v>148.25899758934236</v>
      </c>
      <c r="N23" s="182">
        <v>150.48832405793627</v>
      </c>
      <c r="O23" s="182">
        <v>153.24945227808527</v>
      </c>
      <c r="P23" s="182">
        <v>156.94631841472844</v>
      </c>
      <c r="Q23" s="182">
        <v>162.34975484641447</v>
      </c>
      <c r="R23" s="182">
        <v>173.2044531611684</v>
      </c>
      <c r="S23" s="182">
        <v>180.32690684839594</v>
      </c>
      <c r="T23" s="182">
        <v>189.55379885474241</v>
      </c>
      <c r="U23" s="182">
        <v>198.12698247673913</v>
      </c>
      <c r="V23" s="182">
        <v>205.53805877136861</v>
      </c>
      <c r="W23" s="182">
        <v>211.23178813653999</v>
      </c>
      <c r="DA23" s="191" t="s">
        <v>924</v>
      </c>
    </row>
    <row r="24" spans="1:105" ht="12" customHeight="1" x14ac:dyDescent="0.25">
      <c r="A24" s="60" t="s">
        <v>166</v>
      </c>
      <c r="B24" s="36">
        <v>5.4206277484097365</v>
      </c>
      <c r="C24" s="36">
        <v>5.7598546430318214</v>
      </c>
      <c r="D24" s="36">
        <v>6.1170209380246288</v>
      </c>
      <c r="E24" s="36">
        <v>6.4672322760153582</v>
      </c>
      <c r="F24" s="36">
        <v>6.8072911553293407</v>
      </c>
      <c r="G24" s="36">
        <v>7.3171657984634253</v>
      </c>
      <c r="H24" s="36">
        <v>7.7898385609797023</v>
      </c>
      <c r="I24" s="36">
        <v>8.4515692235794457</v>
      </c>
      <c r="J24" s="36">
        <v>8.8402843106859041</v>
      </c>
      <c r="K24" s="36">
        <v>8.85410832840018</v>
      </c>
      <c r="L24" s="36">
        <v>8.9513530184477563</v>
      </c>
      <c r="M24" s="36">
        <v>9.1380961584124627</v>
      </c>
      <c r="N24" s="36">
        <v>9.2261246240448589</v>
      </c>
      <c r="O24" s="36">
        <v>9.3283626220859173</v>
      </c>
      <c r="P24" s="36">
        <v>9.5306722297883049</v>
      </c>
      <c r="Q24" s="36">
        <v>9.6664792339811534</v>
      </c>
      <c r="R24" s="36">
        <v>10.111428308474775</v>
      </c>
      <c r="S24" s="36">
        <v>10.451858160565545</v>
      </c>
      <c r="T24" s="36">
        <v>10.859100588474648</v>
      </c>
      <c r="U24" s="36">
        <v>11.222163737628176</v>
      </c>
      <c r="V24" s="36">
        <v>11.561218524033485</v>
      </c>
      <c r="W24" s="36">
        <v>11.881688904165092</v>
      </c>
      <c r="DA24" s="89" t="s">
        <v>925</v>
      </c>
    </row>
    <row r="25" spans="1:105" ht="12" customHeight="1" x14ac:dyDescent="0.25">
      <c r="A25" s="62" t="s">
        <v>164</v>
      </c>
      <c r="B25" s="38">
        <v>443.36940602470787</v>
      </c>
      <c r="C25" s="38">
        <v>486.02172227675902</v>
      </c>
      <c r="D25" s="38">
        <v>553.46330770082136</v>
      </c>
      <c r="E25" s="38">
        <v>661.98958905656025</v>
      </c>
      <c r="F25" s="38">
        <v>762.92647837820982</v>
      </c>
      <c r="G25" s="38">
        <v>837.83945448927273</v>
      </c>
      <c r="H25" s="38">
        <v>893.48319572670096</v>
      </c>
      <c r="I25" s="38">
        <v>950.76470361896395</v>
      </c>
      <c r="J25" s="38">
        <v>1019.0408240414831</v>
      </c>
      <c r="K25" s="38">
        <v>1086.1863609760642</v>
      </c>
      <c r="L25" s="38">
        <v>1217.5175044491725</v>
      </c>
      <c r="M25" s="38">
        <v>1879.1754819960845</v>
      </c>
      <c r="N25" s="38">
        <v>2634.0794141714928</v>
      </c>
      <c r="O25" s="38">
        <v>3513.765512955928</v>
      </c>
      <c r="P25" s="38">
        <v>4449.9371597535937</v>
      </c>
      <c r="Q25" s="38">
        <v>5315.1722380236943</v>
      </c>
      <c r="R25" s="38">
        <v>6155.2805999622587</v>
      </c>
      <c r="S25" s="38">
        <v>7021.0727605784177</v>
      </c>
      <c r="T25" s="38">
        <v>8504.7916624046011</v>
      </c>
      <c r="U25" s="38">
        <v>9669.5799703484554</v>
      </c>
      <c r="V25" s="38">
        <v>11568.446874986565</v>
      </c>
      <c r="W25" s="38">
        <v>14981.933847727143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1.505265356141841</v>
      </c>
      <c r="D28" s="183">
        <v>1.6708922341635564</v>
      </c>
      <c r="E28" s="183">
        <v>1.7002323013609875</v>
      </c>
      <c r="F28" s="183">
        <v>1.9875890436632844</v>
      </c>
      <c r="G28" s="183">
        <v>2.4260573324746986</v>
      </c>
      <c r="H28" s="183">
        <v>2.436540919972586</v>
      </c>
      <c r="I28" s="183">
        <v>3.2128892666668705</v>
      </c>
      <c r="J28" s="183">
        <v>2.4715899226420035</v>
      </c>
      <c r="K28" s="183">
        <v>1.2323094262956609</v>
      </c>
      <c r="L28" s="183">
        <v>1.4847806153110952</v>
      </c>
      <c r="M28" s="183">
        <v>1.8056522061669504</v>
      </c>
      <c r="N28" s="183">
        <v>1.3982520018874851</v>
      </c>
      <c r="O28" s="183">
        <v>1.7243200066698172</v>
      </c>
      <c r="P28" s="183">
        <v>2.1740812079615495</v>
      </c>
      <c r="Q28" s="183">
        <v>1.8931646267659019</v>
      </c>
      <c r="R28" s="183">
        <v>2.3209926916956114</v>
      </c>
      <c r="S28" s="183">
        <v>1.9842216608404115</v>
      </c>
      <c r="T28" s="183">
        <v>2.2360234327763919</v>
      </c>
      <c r="U28" s="183">
        <v>2.3165414463650933</v>
      </c>
      <c r="V28" s="183">
        <v>2.4246258878118994</v>
      </c>
      <c r="W28" s="183">
        <v>2.440815816005248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94.32199720160304</v>
      </c>
      <c r="D29" s="183">
        <v>173.76069316569715</v>
      </c>
      <c r="E29" s="183">
        <v>120.63487678939248</v>
      </c>
      <c r="F29" s="183">
        <v>136.17654961272228</v>
      </c>
      <c r="G29" s="183">
        <v>141.17814535845673</v>
      </c>
      <c r="H29" s="183">
        <v>159.2447335654191</v>
      </c>
      <c r="I29" s="183">
        <v>162.95121962666701</v>
      </c>
      <c r="J29" s="183">
        <v>155.62976932874346</v>
      </c>
      <c r="K29" s="183">
        <v>227.83984137657922</v>
      </c>
      <c r="L29" s="183">
        <v>178.45672826568114</v>
      </c>
      <c r="M29" s="183">
        <v>172.13022161348795</v>
      </c>
      <c r="N29" s="183">
        <v>186.58805602371081</v>
      </c>
      <c r="O29" s="183">
        <v>207.23385029966994</v>
      </c>
      <c r="P29" s="183">
        <v>202.56953374529462</v>
      </c>
      <c r="Q29" s="183">
        <v>198.97140809885218</v>
      </c>
      <c r="R29" s="183">
        <v>270.81780971955982</v>
      </c>
      <c r="S29" s="183">
        <v>189.50456992230056</v>
      </c>
      <c r="T29" s="183">
        <v>201.85193097820047</v>
      </c>
      <c r="U29" s="183">
        <v>214.49992386915778</v>
      </c>
      <c r="V29" s="183">
        <v>232.90607996202675</v>
      </c>
      <c r="W29" s="183">
        <v>225.51592275613757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1.2704332991561404</v>
      </c>
      <c r="D30" s="183">
        <v>1.3391512034431754</v>
      </c>
      <c r="E30" s="183">
        <v>1.3361066400945898</v>
      </c>
      <c r="F30" s="183">
        <v>1.4369518118168179</v>
      </c>
      <c r="G30" s="183">
        <v>1.5640607728741323</v>
      </c>
      <c r="H30" s="183">
        <v>1.5779641720463573</v>
      </c>
      <c r="I30" s="183">
        <v>1.8665733247839018</v>
      </c>
      <c r="J30" s="183">
        <v>1.6767639915687047</v>
      </c>
      <c r="K30" s="183">
        <v>1.3858718234893903</v>
      </c>
      <c r="L30" s="183">
        <v>1.5592512588501322</v>
      </c>
      <c r="M30" s="183">
        <v>1.8503302338878846</v>
      </c>
      <c r="N30" s="183">
        <v>1.7768832867764495</v>
      </c>
      <c r="O30" s="183">
        <v>2.0948766664558036</v>
      </c>
      <c r="P30" s="183">
        <v>2.0456980646481711</v>
      </c>
      <c r="Q30" s="183">
        <v>1.7363508294734338</v>
      </c>
      <c r="R30" s="183">
        <v>2.1014902292295279</v>
      </c>
      <c r="S30" s="183">
        <v>2.2762961804132082</v>
      </c>
      <c r="T30" s="183">
        <v>2.2748087528261216</v>
      </c>
      <c r="U30" s="183">
        <v>2.5312026167698001</v>
      </c>
      <c r="V30" s="183">
        <v>2.4328076747892702</v>
      </c>
      <c r="W30" s="183">
        <v>2.0732206336317791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10.627233640061036</v>
      </c>
      <c r="D31" s="183">
        <v>11.462613146222353</v>
      </c>
      <c r="E31" s="183">
        <v>12.383372744872418</v>
      </c>
      <c r="F31" s="183">
        <v>12.700214241494166</v>
      </c>
      <c r="G31" s="183">
        <v>14.137189510046781</v>
      </c>
      <c r="H31" s="183">
        <v>16.002658968374206</v>
      </c>
      <c r="I31" s="183">
        <v>18.966895831840958</v>
      </c>
      <c r="J31" s="183">
        <v>18.222892556243167</v>
      </c>
      <c r="K31" s="183">
        <v>16.577137121633598</v>
      </c>
      <c r="L31" s="183">
        <v>15.096110974706448</v>
      </c>
      <c r="M31" s="183">
        <v>12.709912493908263</v>
      </c>
      <c r="N31" s="183">
        <v>13.691939614816249</v>
      </c>
      <c r="O31" s="183">
        <v>15.144500965021422</v>
      </c>
      <c r="P31" s="183">
        <v>16.397080378137332</v>
      </c>
      <c r="Q31" s="183">
        <v>19.540625941732827</v>
      </c>
      <c r="R31" s="183">
        <v>26.857357283128152</v>
      </c>
      <c r="S31" s="183">
        <v>26.089349519068492</v>
      </c>
      <c r="T31" s="183">
        <v>27.449784562589628</v>
      </c>
      <c r="U31" s="183">
        <v>25.150320743630317</v>
      </c>
      <c r="V31" s="183">
        <v>22.50718726933593</v>
      </c>
      <c r="W31" s="183">
        <v>18.403641859079642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0.49361967807157558</v>
      </c>
      <c r="D32" s="41">
        <v>0.52893312626251454</v>
      </c>
      <c r="E32" s="41">
        <v>0.54130734432763283</v>
      </c>
      <c r="F32" s="41">
        <v>0.5526592013201217</v>
      </c>
      <c r="G32" s="41">
        <v>0.74639919319416315</v>
      </c>
      <c r="H32" s="41">
        <v>0.73581376932767384</v>
      </c>
      <c r="I32" s="41">
        <v>0.9544833153291421</v>
      </c>
      <c r="J32" s="41">
        <v>0.71441162797865765</v>
      </c>
      <c r="K32" s="41">
        <v>0.37617167109034355</v>
      </c>
      <c r="L32" s="41">
        <v>0.50036785971815156</v>
      </c>
      <c r="M32" s="41">
        <v>0.63523035496700686</v>
      </c>
      <c r="N32" s="41">
        <v>0.58698460894930804</v>
      </c>
      <c r="O32" s="41">
        <v>0.65734241267283267</v>
      </c>
      <c r="P32" s="41">
        <v>0.8198807415003504</v>
      </c>
      <c r="Q32" s="41">
        <v>0.82287432927167714</v>
      </c>
      <c r="R32" s="41">
        <v>0.93856875256519601</v>
      </c>
      <c r="S32" s="41">
        <v>0.86936297835328524</v>
      </c>
      <c r="T32" s="41">
        <v>0.94854977223673664</v>
      </c>
      <c r="U32" s="41">
        <v>0.91572235047364892</v>
      </c>
      <c r="V32" s="41">
        <v>1.0854539795994729</v>
      </c>
      <c r="W32" s="41">
        <v>1.0562841494592803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131.3261974569927</v>
      </c>
      <c r="D33" s="42">
        <v>156.11546662900389</v>
      </c>
      <c r="E33" s="42">
        <v>197.2001625606805</v>
      </c>
      <c r="F33" s="42">
        <v>189.61077052659118</v>
      </c>
      <c r="G33" s="42">
        <v>163.58685731600451</v>
      </c>
      <c r="H33" s="42">
        <v>186.96993869442088</v>
      </c>
      <c r="I33" s="42">
        <v>213.39697452126688</v>
      </c>
      <c r="J33" s="42">
        <v>265.47628298319967</v>
      </c>
      <c r="K33" s="42">
        <v>256.75630746117224</v>
      </c>
      <c r="L33" s="42">
        <v>294.91800078911285</v>
      </c>
      <c r="M33" s="42">
        <v>848.62791624133274</v>
      </c>
      <c r="N33" s="42">
        <v>968.30090669667516</v>
      </c>
      <c r="O33" s="42">
        <v>1145.162381767635</v>
      </c>
      <c r="P33" s="42">
        <v>1192.9279542588379</v>
      </c>
      <c r="Q33" s="42">
        <v>1160.1530790592133</v>
      </c>
      <c r="R33" s="42">
        <v>1688.7362781798975</v>
      </c>
      <c r="S33" s="42">
        <v>1834.0930673128341</v>
      </c>
      <c r="T33" s="42">
        <v>2628.8812835938188</v>
      </c>
      <c r="U33" s="42">
        <v>2357.7162622026917</v>
      </c>
      <c r="V33" s="42">
        <v>3059.0199836973225</v>
      </c>
      <c r="W33" s="42">
        <v>5102.223250920475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0.79802339090068841</v>
      </c>
      <c r="D36" s="183">
        <v>0.82059595677593222</v>
      </c>
      <c r="E36" s="183">
        <v>0.84380700109178264</v>
      </c>
      <c r="F36" s="183">
        <v>0.86767458359038585</v>
      </c>
      <c r="G36" s="183">
        <v>0.8922172748444126</v>
      </c>
      <c r="H36" s="183">
        <v>0.91745417070622892</v>
      </c>
      <c r="I36" s="183">
        <v>0.943404907165732</v>
      </c>
      <c r="J36" s="183">
        <v>0.97008967562846138</v>
      </c>
      <c r="K36" s="183">
        <v>0.99752923862585874</v>
      </c>
      <c r="L36" s="183">
        <v>1.0257449459699117</v>
      </c>
      <c r="M36" s="183">
        <v>1.0547587513647301</v>
      </c>
      <c r="N36" s="183">
        <v>1.0845932294879788</v>
      </c>
      <c r="O36" s="183">
        <v>1.1152715935555193</v>
      </c>
      <c r="P36" s="183">
        <v>1.1468177133827879</v>
      </c>
      <c r="Q36" s="183">
        <v>1.1792561339571677</v>
      </c>
      <c r="R36" s="183">
        <v>1.2126120945355794</v>
      </c>
      <c r="S36" s="183">
        <v>1.246911548282327</v>
      </c>
      <c r="T36" s="183">
        <v>1.2821811824623879</v>
      </c>
      <c r="U36" s="183">
        <v>1.505265356141841</v>
      </c>
      <c r="V36" s="183">
        <v>1.6708922341635599</v>
      </c>
      <c r="W36" s="183">
        <v>1.7002323013609839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78.517314971339829</v>
      </c>
      <c r="D37" s="183">
        <v>81.897083490814111</v>
      </c>
      <c r="E37" s="183">
        <v>85.422333745742662</v>
      </c>
      <c r="F37" s="183">
        <v>89.099327980189855</v>
      </c>
      <c r="G37" s="183">
        <v>92.934597995774084</v>
      </c>
      <c r="H37" s="183">
        <v>96.934956754740483</v>
      </c>
      <c r="I37" s="183">
        <v>101.10751048248653</v>
      </c>
      <c r="J37" s="183">
        <v>94.321997201603153</v>
      </c>
      <c r="K37" s="183">
        <v>173.76069316569715</v>
      </c>
      <c r="L37" s="183">
        <v>120.63487678939259</v>
      </c>
      <c r="M37" s="183">
        <v>136.17654961272228</v>
      </c>
      <c r="N37" s="183">
        <v>141.17814535845673</v>
      </c>
      <c r="O37" s="183">
        <v>159.24473356541898</v>
      </c>
      <c r="P37" s="183">
        <v>162.9512196266669</v>
      </c>
      <c r="Q37" s="183">
        <v>155.62976932874358</v>
      </c>
      <c r="R37" s="183">
        <v>227.83984137657922</v>
      </c>
      <c r="S37" s="183">
        <v>178.45672826568102</v>
      </c>
      <c r="T37" s="183">
        <v>172.13022161348795</v>
      </c>
      <c r="U37" s="183">
        <v>186.58805602371081</v>
      </c>
      <c r="V37" s="183">
        <v>207.23385029966994</v>
      </c>
      <c r="W37" s="183">
        <v>202.56953374529462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1.0667841722443976</v>
      </c>
      <c r="D38" s="183">
        <v>1.0944974670698322</v>
      </c>
      <c r="E38" s="183">
        <v>1.1229307076256818</v>
      </c>
      <c r="F38" s="183">
        <v>1.1521025969156131</v>
      </c>
      <c r="G38" s="183">
        <v>1.1820323238165074</v>
      </c>
      <c r="H38" s="183">
        <v>1.2127395757006454</v>
      </c>
      <c r="I38" s="183">
        <v>1.2704332991561404</v>
      </c>
      <c r="J38" s="183">
        <v>1.3391512034431745</v>
      </c>
      <c r="K38" s="183">
        <v>1.3361066400945898</v>
      </c>
      <c r="L38" s="183">
        <v>1.436951811816817</v>
      </c>
      <c r="M38" s="183">
        <v>1.5640607728741323</v>
      </c>
      <c r="N38" s="183">
        <v>1.5779641720463573</v>
      </c>
      <c r="O38" s="183">
        <v>1.8665733247839018</v>
      </c>
      <c r="P38" s="183">
        <v>1.6767639915687038</v>
      </c>
      <c r="Q38" s="183">
        <v>1.3858718234893903</v>
      </c>
      <c r="R38" s="183">
        <v>1.5592512588501322</v>
      </c>
      <c r="S38" s="183">
        <v>1.8503302338878846</v>
      </c>
      <c r="T38" s="183">
        <v>1.7768832867764495</v>
      </c>
      <c r="U38" s="183">
        <v>2.0948766664558036</v>
      </c>
      <c r="V38" s="183">
        <v>2.0456980646481711</v>
      </c>
      <c r="W38" s="183">
        <v>1.7363508294734338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8.6382661173610558</v>
      </c>
      <c r="D39" s="183">
        <v>8.8202241546100453</v>
      </c>
      <c r="E39" s="183">
        <v>9.0060149896531101</v>
      </c>
      <c r="F39" s="183">
        <v>9.1957193572528411</v>
      </c>
      <c r="G39" s="183">
        <v>9.3894196927837612</v>
      </c>
      <c r="H39" s="183">
        <v>9.5872001680543804</v>
      </c>
      <c r="I39" s="183">
        <v>9.7891467278838036</v>
      </c>
      <c r="J39" s="183">
        <v>9.9953471274487242</v>
      </c>
      <c r="K39" s="183">
        <v>10.20589097041713</v>
      </c>
      <c r="L39" s="183">
        <v>10.420869747885206</v>
      </c>
      <c r="M39" s="183">
        <v>10.627233640061036</v>
      </c>
      <c r="N39" s="183">
        <v>11.462613146222338</v>
      </c>
      <c r="O39" s="183">
        <v>12.383372744872418</v>
      </c>
      <c r="P39" s="183">
        <v>12.700214241494166</v>
      </c>
      <c r="Q39" s="183">
        <v>14.137189510046795</v>
      </c>
      <c r="R39" s="183">
        <v>16.00265896837422</v>
      </c>
      <c r="S39" s="183">
        <v>18.966895831840958</v>
      </c>
      <c r="T39" s="183">
        <v>18.222892556243153</v>
      </c>
      <c r="U39" s="183">
        <v>16.577137121633598</v>
      </c>
      <c r="V39" s="183">
        <v>15.096110974706448</v>
      </c>
      <c r="W39" s="183">
        <v>12.709912493908263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0.1543927834494907</v>
      </c>
      <c r="D40" s="41">
        <v>0.17176683126970715</v>
      </c>
      <c r="E40" s="41">
        <v>0.19109600633690338</v>
      </c>
      <c r="F40" s="41">
        <v>0.21260032200613921</v>
      </c>
      <c r="G40" s="41">
        <v>0.23652455006007855</v>
      </c>
      <c r="H40" s="41">
        <v>0.26314100681139596</v>
      </c>
      <c r="I40" s="41">
        <v>0.29275265272939954</v>
      </c>
      <c r="J40" s="41">
        <v>0.32569654087219924</v>
      </c>
      <c r="K40" s="41">
        <v>0.36234765337606767</v>
      </c>
      <c r="L40" s="41">
        <v>0.40312316967057527</v>
      </c>
      <c r="M40" s="41">
        <v>0.44848721500230049</v>
      </c>
      <c r="N40" s="41">
        <v>0.49895614331691185</v>
      </c>
      <c r="O40" s="41">
        <v>0.55510441463177429</v>
      </c>
      <c r="P40" s="41">
        <v>0.6175711337979628</v>
      </c>
      <c r="Q40" s="41">
        <v>0.68706732507882862</v>
      </c>
      <c r="R40" s="41">
        <v>0.4936196780715747</v>
      </c>
      <c r="S40" s="41">
        <v>0.52893312626251543</v>
      </c>
      <c r="T40" s="41">
        <v>0.54130734432763283</v>
      </c>
      <c r="U40" s="41">
        <v>0.5526592013201217</v>
      </c>
      <c r="V40" s="41">
        <v>0.74639919319416315</v>
      </c>
      <c r="W40" s="41">
        <v>0.73581376932767384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88.673881204941551</v>
      </c>
      <c r="D41" s="42">
        <v>88.673881204941608</v>
      </c>
      <c r="E41" s="42">
        <v>88.673881204941608</v>
      </c>
      <c r="F41" s="42">
        <v>88.673881204941608</v>
      </c>
      <c r="G41" s="42">
        <v>88.673881204941608</v>
      </c>
      <c r="H41" s="42">
        <v>131.32619745699265</v>
      </c>
      <c r="I41" s="42">
        <v>156.11546662900378</v>
      </c>
      <c r="J41" s="42">
        <v>197.20016256068038</v>
      </c>
      <c r="K41" s="42">
        <v>189.61077052659107</v>
      </c>
      <c r="L41" s="42">
        <v>163.58685731600463</v>
      </c>
      <c r="M41" s="42">
        <v>186.96993869442099</v>
      </c>
      <c r="N41" s="42">
        <v>213.39697452126666</v>
      </c>
      <c r="O41" s="42">
        <v>265.47628298319978</v>
      </c>
      <c r="P41" s="42">
        <v>256.75630746117167</v>
      </c>
      <c r="Q41" s="42">
        <v>294.91800078911274</v>
      </c>
      <c r="R41" s="42">
        <v>848.62791624133297</v>
      </c>
      <c r="S41" s="42">
        <v>968.30090669667516</v>
      </c>
      <c r="T41" s="42">
        <v>1145.1623817676355</v>
      </c>
      <c r="U41" s="42">
        <v>1192.9279542588374</v>
      </c>
      <c r="V41" s="42">
        <v>1160.1530790592133</v>
      </c>
      <c r="W41" s="42">
        <v>1688.7362781798965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8759.9999999999964</v>
      </c>
      <c r="E44" s="185">
        <v>8759.9999999999982</v>
      </c>
      <c r="F44" s="185">
        <v>8759.9999999999982</v>
      </c>
      <c r="G44" s="185">
        <v>8760</v>
      </c>
      <c r="H44" s="185">
        <v>8759.9999999999964</v>
      </c>
      <c r="I44" s="185">
        <v>8760.0000000000018</v>
      </c>
      <c r="J44" s="185">
        <v>8760.0000000000018</v>
      </c>
      <c r="K44" s="185">
        <v>8760</v>
      </c>
      <c r="L44" s="185">
        <v>8760.0000000000018</v>
      </c>
      <c r="M44" s="185">
        <v>8760.0000000000018</v>
      </c>
      <c r="N44" s="185">
        <v>8760.0000000000018</v>
      </c>
      <c r="O44" s="185">
        <v>8760.0000000000018</v>
      </c>
      <c r="P44" s="185">
        <v>8760</v>
      </c>
      <c r="Q44" s="185">
        <v>8759.9999999999982</v>
      </c>
      <c r="R44" s="185">
        <v>8759.9999999999982</v>
      </c>
      <c r="S44" s="185">
        <v>8759.9999999999982</v>
      </c>
      <c r="T44" s="185">
        <v>8759.9999999999982</v>
      </c>
      <c r="U44" s="185">
        <v>8759.9999999999964</v>
      </c>
      <c r="V44" s="185">
        <v>8759.9999999999982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4135.7073751928883</v>
      </c>
      <c r="C45" s="185">
        <v>4142.2480696546772</v>
      </c>
      <c r="D45" s="185">
        <v>4144.7036594993679</v>
      </c>
      <c r="E45" s="185">
        <v>4145.893408397068</v>
      </c>
      <c r="F45" s="185">
        <v>4145.9586470505446</v>
      </c>
      <c r="G45" s="185">
        <v>4144.1385213092599</v>
      </c>
      <c r="H45" s="185">
        <v>4138.0788721160898</v>
      </c>
      <c r="I45" s="185">
        <v>4123.1162990636058</v>
      </c>
      <c r="J45" s="185">
        <v>4116.729661316409</v>
      </c>
      <c r="K45" s="185">
        <v>4105.8296128024704</v>
      </c>
      <c r="L45" s="185">
        <v>4095.4121102152089</v>
      </c>
      <c r="M45" s="185">
        <v>4047.5604396567869</v>
      </c>
      <c r="N45" s="185">
        <v>4027.8586266881866</v>
      </c>
      <c r="O45" s="185">
        <v>4011.3690514061987</v>
      </c>
      <c r="P45" s="185">
        <v>3990.4463299442982</v>
      </c>
      <c r="Q45" s="185">
        <v>3951.4843225665272</v>
      </c>
      <c r="R45" s="185">
        <v>3973.763735904231</v>
      </c>
      <c r="S45" s="185">
        <v>4029.219267289584</v>
      </c>
      <c r="T45" s="185">
        <v>3968.9997818134125</v>
      </c>
      <c r="U45" s="185">
        <v>3931.2336046166247</v>
      </c>
      <c r="V45" s="185">
        <v>3896.7367777297222</v>
      </c>
      <c r="W45" s="185">
        <v>3873.796805173034</v>
      </c>
      <c r="DA45" s="194" t="s">
        <v>940</v>
      </c>
    </row>
    <row r="46" spans="1:105" ht="12" customHeight="1" x14ac:dyDescent="0.25">
      <c r="A46" s="132" t="s">
        <v>5</v>
      </c>
      <c r="B46" s="185">
        <v>2334.5926437182493</v>
      </c>
      <c r="C46" s="185">
        <v>2360.5305624821303</v>
      </c>
      <c r="D46" s="185">
        <v>2385.8336430372242</v>
      </c>
      <c r="E46" s="185">
        <v>2409.2196121859065</v>
      </c>
      <c r="F46" s="185">
        <v>2428.0270751695807</v>
      </c>
      <c r="G46" s="185">
        <v>2447.6460125191384</v>
      </c>
      <c r="H46" s="185">
        <v>2457.2751711855003</v>
      </c>
      <c r="I46" s="185">
        <v>2470.4008467444814</v>
      </c>
      <c r="J46" s="185">
        <v>2482.289498983896</v>
      </c>
      <c r="K46" s="185">
        <v>2488.7217260783532</v>
      </c>
      <c r="L46" s="185">
        <v>2499.2241007267121</v>
      </c>
      <c r="M46" s="185">
        <v>2506.4414375167162</v>
      </c>
      <c r="N46" s="185">
        <v>2513.6447145877723</v>
      </c>
      <c r="O46" s="185">
        <v>2517.7263087168531</v>
      </c>
      <c r="P46" s="185">
        <v>2528.6772976579632</v>
      </c>
      <c r="Q46" s="185">
        <v>2554.3830397973056</v>
      </c>
      <c r="R46" s="185">
        <v>2602.135775293666</v>
      </c>
      <c r="S46" s="185">
        <v>2683.2649117428268</v>
      </c>
      <c r="T46" s="185">
        <v>2648.3895621494107</v>
      </c>
      <c r="U46" s="185">
        <v>2636.905133155753</v>
      </c>
      <c r="V46" s="185">
        <v>2472.1108961550653</v>
      </c>
      <c r="W46" s="185">
        <v>2723.7118674988124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8759.9999999999982</v>
      </c>
      <c r="E47" s="185">
        <v>8760.0000000000018</v>
      </c>
      <c r="F47" s="185">
        <v>8760</v>
      </c>
      <c r="G47" s="185">
        <v>8760</v>
      </c>
      <c r="H47" s="185">
        <v>8760</v>
      </c>
      <c r="I47" s="185">
        <v>8760.0000000000018</v>
      </c>
      <c r="J47" s="185">
        <v>8759.9999999999982</v>
      </c>
      <c r="K47" s="185">
        <v>8760.0000000000018</v>
      </c>
      <c r="L47" s="185">
        <v>8760</v>
      </c>
      <c r="M47" s="185">
        <v>8759.9999999999964</v>
      </c>
      <c r="N47" s="185">
        <v>8760.0000000000018</v>
      </c>
      <c r="O47" s="185">
        <v>8760.0000000000018</v>
      </c>
      <c r="P47" s="185">
        <v>8760</v>
      </c>
      <c r="Q47" s="185">
        <v>8760</v>
      </c>
      <c r="R47" s="185">
        <v>8760</v>
      </c>
      <c r="S47" s="185">
        <v>8760</v>
      </c>
      <c r="T47" s="185">
        <v>8760</v>
      </c>
      <c r="U47" s="185">
        <v>8759.9999999999982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863.19041955345017</v>
      </c>
      <c r="C48" s="44">
        <v>867.31377840646269</v>
      </c>
      <c r="D48" s="44">
        <v>871.09530664845511</v>
      </c>
      <c r="E48" s="44">
        <v>874.58853351856931</v>
      </c>
      <c r="F48" s="44">
        <v>877.83524411666008</v>
      </c>
      <c r="G48" s="44">
        <v>880.86869197463977</v>
      </c>
      <c r="H48" s="44">
        <v>883.71578131227318</v>
      </c>
      <c r="I48" s="44">
        <v>886.39859211958219</v>
      </c>
      <c r="J48" s="44">
        <v>888.93547237193297</v>
      </c>
      <c r="K48" s="44">
        <v>891.3418370867488</v>
      </c>
      <c r="L48" s="44">
        <v>893.63076395960877</v>
      </c>
      <c r="M48" s="44">
        <v>894.08529280671178</v>
      </c>
      <c r="N48" s="44">
        <v>894.47434890409193</v>
      </c>
      <c r="O48" s="44">
        <v>894.80366232990627</v>
      </c>
      <c r="P48" s="44">
        <v>895.07823879727562</v>
      </c>
      <c r="Q48" s="44">
        <v>895.30247710378171</v>
      </c>
      <c r="R48" s="44">
        <v>904.19030259726469</v>
      </c>
      <c r="S48" s="44">
        <v>924.44314001084513</v>
      </c>
      <c r="T48" s="44">
        <v>917.70437038684122</v>
      </c>
      <c r="U48" s="44">
        <v>913.93364323123137</v>
      </c>
      <c r="V48" s="44">
        <v>856.81706534915054</v>
      </c>
      <c r="W48" s="44">
        <v>944.02027546445549</v>
      </c>
      <c r="DA48" s="95" t="s">
        <v>943</v>
      </c>
    </row>
    <row r="49" spans="1:105" ht="12" customHeight="1" x14ac:dyDescent="0.25">
      <c r="A49" s="62" t="s">
        <v>3</v>
      </c>
      <c r="B49" s="186">
        <v>1706.1915891459414</v>
      </c>
      <c r="C49" s="186">
        <v>1726.3021465117472</v>
      </c>
      <c r="D49" s="186">
        <v>1758.5766660014581</v>
      </c>
      <c r="E49" s="186">
        <v>1789.8467613271669</v>
      </c>
      <c r="F49" s="186">
        <v>1822.5657728048939</v>
      </c>
      <c r="G49" s="186">
        <v>1850.0820722506628</v>
      </c>
      <c r="H49" s="186">
        <v>1873.729618182979</v>
      </c>
      <c r="I49" s="186">
        <v>1897.1292226954895</v>
      </c>
      <c r="J49" s="186">
        <v>1918.3112693428225</v>
      </c>
      <c r="K49" s="186">
        <v>1938.1583622088149</v>
      </c>
      <c r="L49" s="186">
        <v>1959.8994717617197</v>
      </c>
      <c r="M49" s="186">
        <v>1975.4007088019828</v>
      </c>
      <c r="N49" s="186">
        <v>1992.7828963442641</v>
      </c>
      <c r="O49" s="186">
        <v>2007.3643589029289</v>
      </c>
      <c r="P49" s="186">
        <v>2023.2699870944305</v>
      </c>
      <c r="Q49" s="186">
        <v>2037.876102950441</v>
      </c>
      <c r="R49" s="186">
        <v>2078.4772788774576</v>
      </c>
      <c r="S49" s="186">
        <v>2138.5694557276092</v>
      </c>
      <c r="T49" s="186">
        <v>2138.337434860327</v>
      </c>
      <c r="U49" s="186">
        <v>2146.5033054393261</v>
      </c>
      <c r="V49" s="186">
        <v>2066.0154554992728</v>
      </c>
      <c r="W49" s="186">
        <v>2231.298593609034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0.73606988285484032</v>
      </c>
      <c r="C52" s="181">
        <v>0.72979772087535377</v>
      </c>
      <c r="D52" s="181">
        <v>0.72274134127072509</v>
      </c>
      <c r="E52" s="181">
        <v>0.71547537988069876</v>
      </c>
      <c r="F52" s="181">
        <v>0.70704178802766127</v>
      </c>
      <c r="G52" s="181">
        <v>0.69703677442751399</v>
      </c>
      <c r="H52" s="181">
        <v>0.68718509621954327</v>
      </c>
      <c r="I52" s="181">
        <v>0.67531275673615676</v>
      </c>
      <c r="J52" s="181">
        <v>0.6661595223795157</v>
      </c>
      <c r="K52" s="181">
        <v>0.6602498566995415</v>
      </c>
      <c r="L52" s="181">
        <v>0.65320901452521329</v>
      </c>
      <c r="M52" s="181">
        <v>0.64492440132426843</v>
      </c>
      <c r="N52" s="181">
        <v>0.63745050240465073</v>
      </c>
      <c r="O52" s="181">
        <v>0.62854886548876099</v>
      </c>
      <c r="P52" s="181">
        <v>0.61788925143246487</v>
      </c>
      <c r="Q52" s="181">
        <v>0.60774278456589692</v>
      </c>
      <c r="R52" s="181">
        <v>0.59659923702133666</v>
      </c>
      <c r="S52" s="181">
        <v>0.58641172751429049</v>
      </c>
      <c r="T52" s="181">
        <v>0.57565207788250261</v>
      </c>
      <c r="U52" s="181">
        <v>0.56723600570675081</v>
      </c>
      <c r="V52" s="181">
        <v>0.55860486869321724</v>
      </c>
      <c r="W52" s="181">
        <v>0.55044155258294336</v>
      </c>
      <c r="DA52" s="190" t="s">
        <v>945</v>
      </c>
    </row>
    <row r="53" spans="1:105" ht="12" customHeight="1" x14ac:dyDescent="0.25">
      <c r="A53" s="132" t="s">
        <v>100</v>
      </c>
      <c r="B53" s="181">
        <v>194.64547460800463</v>
      </c>
      <c r="C53" s="181">
        <v>192.75790949675775</v>
      </c>
      <c r="D53" s="181">
        <v>189.34798114475601</v>
      </c>
      <c r="E53" s="181">
        <v>186.69403326597316</v>
      </c>
      <c r="F53" s="181">
        <v>183.43885555173313</v>
      </c>
      <c r="G53" s="181">
        <v>179.78245346059046</v>
      </c>
      <c r="H53" s="181">
        <v>175.66648469311875</v>
      </c>
      <c r="I53" s="181">
        <v>171.25754836658763</v>
      </c>
      <c r="J53" s="181">
        <v>168.21884203759177</v>
      </c>
      <c r="K53" s="181">
        <v>163.49813228206173</v>
      </c>
      <c r="L53" s="181">
        <v>159.92748145050726</v>
      </c>
      <c r="M53" s="181">
        <v>156.10743678344306</v>
      </c>
      <c r="N53" s="181">
        <v>151.77758940009861</v>
      </c>
      <c r="O53" s="181">
        <v>147.01561598677733</v>
      </c>
      <c r="P53" s="181">
        <v>142.24752612821877</v>
      </c>
      <c r="Q53" s="181">
        <v>137.6405743846565</v>
      </c>
      <c r="R53" s="181">
        <v>130.86681408187141</v>
      </c>
      <c r="S53" s="181">
        <v>125.91409624266882</v>
      </c>
      <c r="T53" s="181">
        <v>120.9992419468108</v>
      </c>
      <c r="U53" s="181">
        <v>115.99322485961945</v>
      </c>
      <c r="V53" s="181">
        <v>110.47882365583258</v>
      </c>
      <c r="W53" s="181">
        <v>105.71636146222782</v>
      </c>
      <c r="DA53" s="190" t="s">
        <v>946</v>
      </c>
    </row>
    <row r="54" spans="1:105" ht="12" customHeight="1" x14ac:dyDescent="0.25">
      <c r="A54" s="132" t="s">
        <v>140</v>
      </c>
      <c r="B54" s="181">
        <v>42.98131888639454</v>
      </c>
      <c r="C54" s="181">
        <v>42.553305749241041</v>
      </c>
      <c r="D54" s="181">
        <v>41.886577914375565</v>
      </c>
      <c r="E54" s="181">
        <v>41.100261244119586</v>
      </c>
      <c r="F54" s="181">
        <v>40.207970114874286</v>
      </c>
      <c r="G54" s="181">
        <v>39.206697847122292</v>
      </c>
      <c r="H54" s="181">
        <v>38.093012883197403</v>
      </c>
      <c r="I54" s="181">
        <v>37.096992467380254</v>
      </c>
      <c r="J54" s="181">
        <v>36.154970539511645</v>
      </c>
      <c r="K54" s="181">
        <v>35.252038078891189</v>
      </c>
      <c r="L54" s="181">
        <v>34.163447565441622</v>
      </c>
      <c r="M54" s="181">
        <v>32.781033499028965</v>
      </c>
      <c r="N54" s="181">
        <v>31.375272937469653</v>
      </c>
      <c r="O54" s="181">
        <v>29.629897799583098</v>
      </c>
      <c r="P54" s="181">
        <v>28.03616774926066</v>
      </c>
      <c r="Q54" s="181">
        <v>26.675891160275771</v>
      </c>
      <c r="R54" s="181">
        <v>25.069190346807453</v>
      </c>
      <c r="S54" s="181">
        <v>23.440645968598506</v>
      </c>
      <c r="T54" s="181">
        <v>21.845786897578758</v>
      </c>
      <c r="U54" s="181">
        <v>20.146158114686514</v>
      </c>
      <c r="V54" s="181">
        <v>18.607414466406762</v>
      </c>
      <c r="W54" s="181">
        <v>17.419421680357374</v>
      </c>
      <c r="DA54" s="190" t="s">
        <v>947</v>
      </c>
    </row>
    <row r="55" spans="1:105" ht="12" customHeight="1" x14ac:dyDescent="0.25">
      <c r="A55" s="132" t="s">
        <v>181</v>
      </c>
      <c r="B55" s="181">
        <v>694.71544283340415</v>
      </c>
      <c r="C55" s="181">
        <v>687.49211298746673</v>
      </c>
      <c r="D55" s="181">
        <v>678.07805061475506</v>
      </c>
      <c r="E55" s="181">
        <v>667.3309008295555</v>
      </c>
      <c r="F55" s="181">
        <v>656.03342117357931</v>
      </c>
      <c r="G55" s="181">
        <v>643.67732038860549</v>
      </c>
      <c r="H55" s="181">
        <v>630.47184640907824</v>
      </c>
      <c r="I55" s="181">
        <v>615.96989732638383</v>
      </c>
      <c r="J55" s="181">
        <v>601.23754665486661</v>
      </c>
      <c r="K55" s="181">
        <v>586.41216967718299</v>
      </c>
      <c r="L55" s="181">
        <v>571.27454940419864</v>
      </c>
      <c r="M55" s="181">
        <v>560.368140917902</v>
      </c>
      <c r="N55" s="181">
        <v>549.03750127594333</v>
      </c>
      <c r="O55" s="181">
        <v>536.8500247052599</v>
      </c>
      <c r="P55" s="181">
        <v>523.73191550793501</v>
      </c>
      <c r="Q55" s="181">
        <v>509.4838071937188</v>
      </c>
      <c r="R55" s="181">
        <v>492.82131681688793</v>
      </c>
      <c r="S55" s="181">
        <v>476.47003793593262</v>
      </c>
      <c r="T55" s="181">
        <v>461.92215432340942</v>
      </c>
      <c r="U55" s="181">
        <v>450.29058050496792</v>
      </c>
      <c r="V55" s="181">
        <v>441.00794847461219</v>
      </c>
      <c r="W55" s="181">
        <v>434.25625787720048</v>
      </c>
      <c r="DA55" s="190" t="s">
        <v>948</v>
      </c>
    </row>
    <row r="56" spans="1:105" ht="12" customHeight="1" x14ac:dyDescent="0.25">
      <c r="A56" s="60" t="s">
        <v>99</v>
      </c>
      <c r="B56" s="55">
        <v>49.148014976091993</v>
      </c>
      <c r="C56" s="55">
        <v>48.902314739347396</v>
      </c>
      <c r="D56" s="55">
        <v>48.634159979911161</v>
      </c>
      <c r="E56" s="55">
        <v>48.356602195710153</v>
      </c>
      <c r="F56" s="55">
        <v>48.068083045625627</v>
      </c>
      <c r="G56" s="55">
        <v>47.686360086245983</v>
      </c>
      <c r="H56" s="55">
        <v>47.309240824207649</v>
      </c>
      <c r="I56" s="55">
        <v>46.840523350936181</v>
      </c>
      <c r="J56" s="55">
        <v>46.462727112707142</v>
      </c>
      <c r="K56" s="55">
        <v>46.194387885768847</v>
      </c>
      <c r="L56" s="55">
        <v>45.828525417829603</v>
      </c>
      <c r="M56" s="55">
        <v>45.329859083282784</v>
      </c>
      <c r="N56" s="55">
        <v>44.782108902487593</v>
      </c>
      <c r="O56" s="55">
        <v>44.109101945357075</v>
      </c>
      <c r="P56" s="55">
        <v>43.24847055884571</v>
      </c>
      <c r="Q56" s="55">
        <v>42.292530232269343</v>
      </c>
      <c r="R56" s="55">
        <v>41.556492036100614</v>
      </c>
      <c r="S56" s="55">
        <v>40.863453405618422</v>
      </c>
      <c r="T56" s="55">
        <v>40.145146415065859</v>
      </c>
      <c r="U56" s="55">
        <v>39.459673602570206</v>
      </c>
      <c r="V56" s="55">
        <v>38.629741200256767</v>
      </c>
      <c r="W56" s="55">
        <v>37.864821657512771</v>
      </c>
      <c r="DA56" s="101" t="s">
        <v>949</v>
      </c>
    </row>
    <row r="57" spans="1:105" ht="12" customHeight="1" x14ac:dyDescent="0.25">
      <c r="A57" s="62" t="s">
        <v>98</v>
      </c>
      <c r="B57" s="63">
        <v>342.80720202810835</v>
      </c>
      <c r="C57" s="63">
        <v>334.3926562441381</v>
      </c>
      <c r="D57" s="63">
        <v>323.36116800346377</v>
      </c>
      <c r="E57" s="63">
        <v>309.2648037603081</v>
      </c>
      <c r="F57" s="63">
        <v>296.30890084909987</v>
      </c>
      <c r="G57" s="63">
        <v>284.4758424790852</v>
      </c>
      <c r="H57" s="63">
        <v>272.29839987836681</v>
      </c>
      <c r="I57" s="63">
        <v>257.85208485810625</v>
      </c>
      <c r="J57" s="63">
        <v>240.44667287297642</v>
      </c>
      <c r="K57" s="63">
        <v>225.66494360400802</v>
      </c>
      <c r="L57" s="63">
        <v>212.6164309115521</v>
      </c>
      <c r="M57" s="63">
        <v>194.47008479907151</v>
      </c>
      <c r="N57" s="63">
        <v>183.6365065199596</v>
      </c>
      <c r="O57" s="63">
        <v>175.52494341760666</v>
      </c>
      <c r="P57" s="63">
        <v>170.36228180411291</v>
      </c>
      <c r="Q57" s="63">
        <v>167.28930564220963</v>
      </c>
      <c r="R57" s="63">
        <v>163.01551620441762</v>
      </c>
      <c r="S57" s="63">
        <v>159.22565091433881</v>
      </c>
      <c r="T57" s="63">
        <v>155.29373196058896</v>
      </c>
      <c r="U57" s="63">
        <v>151.94721735055333</v>
      </c>
      <c r="V57" s="63">
        <v>148.04210350810405</v>
      </c>
      <c r="W57" s="63">
        <v>143.49314345489447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0.656457946737527</v>
      </c>
      <c r="D60" s="181">
        <v>0.64859942666198567</v>
      </c>
      <c r="E60" s="181">
        <v>0.64041196699022696</v>
      </c>
      <c r="F60" s="181">
        <v>0.63140209643514589</v>
      </c>
      <c r="G60" s="181">
        <v>0.62094122621080383</v>
      </c>
      <c r="H60" s="181">
        <v>0.6107092839975562</v>
      </c>
      <c r="I60" s="181">
        <v>0.60082506229236343</v>
      </c>
      <c r="J60" s="181">
        <v>0.59266261639957662</v>
      </c>
      <c r="K60" s="181">
        <v>0.58371876639697839</v>
      </c>
      <c r="L60" s="181">
        <v>0.57297456826007154</v>
      </c>
      <c r="M60" s="181">
        <v>0.5630426804400247</v>
      </c>
      <c r="N60" s="181">
        <v>0.55251544553179588</v>
      </c>
      <c r="O60" s="181">
        <v>0.54056101425749115</v>
      </c>
      <c r="P60" s="181">
        <v>0.52762593595909879</v>
      </c>
      <c r="Q60" s="181">
        <v>0.51536163376053667</v>
      </c>
      <c r="R60" s="181">
        <v>0.51167330031529457</v>
      </c>
      <c r="S60" s="181">
        <v>0.5060291110159032</v>
      </c>
      <c r="T60" s="181">
        <v>0.50061098743972565</v>
      </c>
      <c r="U60" s="181">
        <v>0.49563992399034201</v>
      </c>
      <c r="V60" s="181">
        <v>0.49077614859272023</v>
      </c>
      <c r="W60" s="181">
        <v>0.48859807270184002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181.80346340250043</v>
      </c>
      <c r="D61" s="181">
        <v>179.25155225810278</v>
      </c>
      <c r="E61" s="181">
        <v>176.18582698196556</v>
      </c>
      <c r="F61" s="181">
        <v>172.3939381700545</v>
      </c>
      <c r="G61" s="181">
        <v>168.43604997461281</v>
      </c>
      <c r="H61" s="181">
        <v>164.88470477180334</v>
      </c>
      <c r="I61" s="181">
        <v>160.70315260698769</v>
      </c>
      <c r="J61" s="181">
        <v>157.15586694164094</v>
      </c>
      <c r="K61" s="181">
        <v>153.76577636508517</v>
      </c>
      <c r="L61" s="181">
        <v>148.83547255212198</v>
      </c>
      <c r="M61" s="181">
        <v>143.21571802698136</v>
      </c>
      <c r="N61" s="181">
        <v>136.59504503940613</v>
      </c>
      <c r="O61" s="181">
        <v>132.18784792034273</v>
      </c>
      <c r="P61" s="181">
        <v>126.71002137313791</v>
      </c>
      <c r="Q61" s="181">
        <v>122.09990305480696</v>
      </c>
      <c r="R61" s="181">
        <v>115.7702227836815</v>
      </c>
      <c r="S61" s="181">
        <v>110.47184921582063</v>
      </c>
      <c r="T61" s="181">
        <v>105.17884365454553</v>
      </c>
      <c r="U61" s="181">
        <v>99.898103323275777</v>
      </c>
      <c r="V61" s="181">
        <v>94.624719646835288</v>
      </c>
      <c r="W61" s="181">
        <v>92.661930904424295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40.611293310326893</v>
      </c>
      <c r="D62" s="181">
        <v>39.278908927955634</v>
      </c>
      <c r="E62" s="181">
        <v>38.397177539622298</v>
      </c>
      <c r="F62" s="181">
        <v>37.778962054508966</v>
      </c>
      <c r="G62" s="181">
        <v>37.080446880894307</v>
      </c>
      <c r="H62" s="181">
        <v>36.091188489215611</v>
      </c>
      <c r="I62" s="181">
        <v>34.940067583527224</v>
      </c>
      <c r="J62" s="181">
        <v>33.52575424247523</v>
      </c>
      <c r="K62" s="181">
        <v>32.121825531737819</v>
      </c>
      <c r="L62" s="181">
        <v>30.857244769609007</v>
      </c>
      <c r="M62" s="181">
        <v>29.220169352848348</v>
      </c>
      <c r="N62" s="181">
        <v>27.717724311562723</v>
      </c>
      <c r="O62" s="181">
        <v>25.933343908355763</v>
      </c>
      <c r="P62" s="181">
        <v>24.477105653955334</v>
      </c>
      <c r="Q62" s="181">
        <v>22.629960251366914</v>
      </c>
      <c r="R62" s="181">
        <v>20.905227558693539</v>
      </c>
      <c r="S62" s="181">
        <v>19.835554687236442</v>
      </c>
      <c r="T62" s="181">
        <v>17.997133083636374</v>
      </c>
      <c r="U62" s="181">
        <v>16.522547143219896</v>
      </c>
      <c r="V62" s="181">
        <v>15.342257753416794</v>
      </c>
      <c r="W62" s="181">
        <v>14.131834890563088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628.759356527112</v>
      </c>
      <c r="D63" s="181">
        <v>611.18514768642444</v>
      </c>
      <c r="E63" s="181">
        <v>600.7380217560559</v>
      </c>
      <c r="F63" s="181">
        <v>592.36731120133277</v>
      </c>
      <c r="G63" s="181">
        <v>584.43896106514751</v>
      </c>
      <c r="H63" s="181">
        <v>577.10740761249076</v>
      </c>
      <c r="I63" s="181">
        <v>566.60053567743</v>
      </c>
      <c r="J63" s="181">
        <v>549.91611382615247</v>
      </c>
      <c r="K63" s="181">
        <v>532.24001156301142</v>
      </c>
      <c r="L63" s="181">
        <v>514.59583864288288</v>
      </c>
      <c r="M63" s="181">
        <v>492.1183228045756</v>
      </c>
      <c r="N63" s="181">
        <v>478.3758657568718</v>
      </c>
      <c r="O63" s="181">
        <v>467.98515787188006</v>
      </c>
      <c r="P63" s="181">
        <v>454.28913708035202</v>
      </c>
      <c r="Q63" s="181">
        <v>449.27422471853811</v>
      </c>
      <c r="R63" s="181">
        <v>442.31933902617499</v>
      </c>
      <c r="S63" s="181">
        <v>433.44027384364847</v>
      </c>
      <c r="T63" s="181">
        <v>424.76811469536034</v>
      </c>
      <c r="U63" s="181">
        <v>416.64003358419978</v>
      </c>
      <c r="V63" s="181">
        <v>408.65166563362999</v>
      </c>
      <c r="W63" s="181">
        <v>398.8117734719948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46.281035169014352</v>
      </c>
      <c r="D64" s="55">
        <v>45.880940112488908</v>
      </c>
      <c r="E64" s="55">
        <v>45.499462029442157</v>
      </c>
      <c r="F64" s="55">
        <v>45.107259305417074</v>
      </c>
      <c r="G64" s="55">
        <v>44.668160066003928</v>
      </c>
      <c r="H64" s="55">
        <v>44.216627748235631</v>
      </c>
      <c r="I64" s="55">
        <v>43.722910810947774</v>
      </c>
      <c r="J64" s="55">
        <v>43.217564239295335</v>
      </c>
      <c r="K64" s="55">
        <v>42.733321269710665</v>
      </c>
      <c r="L64" s="55">
        <v>42.028875350205773</v>
      </c>
      <c r="M64" s="55">
        <v>40.99860464208691</v>
      </c>
      <c r="N64" s="55">
        <v>39.965972119301654</v>
      </c>
      <c r="O64" s="55">
        <v>38.918316860982564</v>
      </c>
      <c r="P64" s="55">
        <v>37.900261849061806</v>
      </c>
      <c r="Q64" s="55">
        <v>36.944721700346633</v>
      </c>
      <c r="R64" s="55">
        <v>36.460679432808597</v>
      </c>
      <c r="S64" s="55">
        <v>35.855538868556721</v>
      </c>
      <c r="T64" s="55">
        <v>35.285820578932913</v>
      </c>
      <c r="U64" s="55">
        <v>34.739434967576827</v>
      </c>
      <c r="V64" s="55">
        <v>34.201578946767206</v>
      </c>
      <c r="W64" s="55">
        <v>33.9173463427991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311.6660275077607</v>
      </c>
      <c r="D65" s="63">
        <v>300.06310739782737</v>
      </c>
      <c r="E65" s="63">
        <v>284.78467312269095</v>
      </c>
      <c r="F65" s="63">
        <v>272.82137428771233</v>
      </c>
      <c r="G65" s="63">
        <v>260.90863441139248</v>
      </c>
      <c r="H65" s="63">
        <v>245.38101914148498</v>
      </c>
      <c r="I65" s="63">
        <v>228.24648129097861</v>
      </c>
      <c r="J65" s="63">
        <v>211.04671886261121</v>
      </c>
      <c r="K65" s="63">
        <v>201.82203014914577</v>
      </c>
      <c r="L65" s="63">
        <v>191.34561428666072</v>
      </c>
      <c r="M65" s="63">
        <v>179.65242499764034</v>
      </c>
      <c r="N65" s="63">
        <v>172.44312545439561</v>
      </c>
      <c r="O65" s="63">
        <v>165.10169457133154</v>
      </c>
      <c r="P65" s="63">
        <v>161.92682392260198</v>
      </c>
      <c r="Q65" s="63">
        <v>161.6177158486982</v>
      </c>
      <c r="R65" s="63">
        <v>157.92450120100489</v>
      </c>
      <c r="S65" s="63">
        <v>153.48483442974143</v>
      </c>
      <c r="T65" s="63">
        <v>149.06500670716696</v>
      </c>
      <c r="U65" s="63">
        <v>144.92497376396662</v>
      </c>
      <c r="V65" s="63">
        <v>140.84665455611005</v>
      </c>
      <c r="W65" s="63">
        <v>137.95562697369292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480.59407326409138</v>
      </c>
      <c r="C68" s="188">
        <f>1000000*C20/SER_summary!C$8</f>
        <v>486.72496491181136</v>
      </c>
      <c r="D68" s="188">
        <f>1000000*D20/SER_summary!D$8</f>
        <v>495.96219774601826</v>
      </c>
      <c r="E68" s="188">
        <f>1000000*E20/SER_summary!E$8</f>
        <v>507.28693139401815</v>
      </c>
      <c r="F68" s="188">
        <f>1000000*F20/SER_summary!F$8</f>
        <v>522.92137832954313</v>
      </c>
      <c r="G68" s="188">
        <f>1000000*G20/SER_summary!G$8</f>
        <v>541.75851829954797</v>
      </c>
      <c r="H68" s="188">
        <f>1000000*H20/SER_summary!H$8</f>
        <v>560.60261811855401</v>
      </c>
      <c r="I68" s="188">
        <f>1000000*I20/SER_summary!I$8</f>
        <v>580.58785289644015</v>
      </c>
      <c r="J68" s="188">
        <f>1000000*J20/SER_summary!J$8</f>
        <v>603.97933798899066</v>
      </c>
      <c r="K68" s="188">
        <f>1000000*K20/SER_summary!K$8</f>
        <v>625.54787885776329</v>
      </c>
      <c r="L68" s="188">
        <f>1000000*L20/SER_summary!L$8</f>
        <v>643.46218179516677</v>
      </c>
      <c r="M68" s="188">
        <f>1000000*M20/SER_summary!M$8</f>
        <v>655.27962319267442</v>
      </c>
      <c r="N68" s="188">
        <f>1000000*N20/SER_summary!N$8</f>
        <v>663.53537846084248</v>
      </c>
      <c r="O68" s="188">
        <f>1000000*O20/SER_summary!O$8</f>
        <v>673.3369264315761</v>
      </c>
      <c r="P68" s="188">
        <f>1000000*P20/SER_summary!P$8</f>
        <v>684.99340777996088</v>
      </c>
      <c r="Q68" s="188">
        <f>1000000*Q20/SER_summary!Q$8</f>
        <v>697.46251249571958</v>
      </c>
      <c r="R68" s="188">
        <f>1000000*R20/SER_summary!R$8</f>
        <v>701.02760303020386</v>
      </c>
      <c r="S68" s="188">
        <f>1000000*S20/SER_summary!S$8</f>
        <v>704.56126203290114</v>
      </c>
      <c r="T68" s="188">
        <f>1000000*T20/SER_summary!T$8</f>
        <v>708.22972227704179</v>
      </c>
      <c r="U68" s="188">
        <f>1000000*U20/SER_summary!U$8</f>
        <v>712.13380624042406</v>
      </c>
      <c r="V68" s="188">
        <f>1000000*V20/SER_summary!V$8</f>
        <v>716.46118068400301</v>
      </c>
      <c r="W68" s="188">
        <f>1000000*W20/SER_summary!W$8</f>
        <v>721.39702025308327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0.16569221851141877</v>
      </c>
      <c r="C69" s="188">
        <f>1000*C21/SER_summary!C$3</f>
        <v>0.16742868240945305</v>
      </c>
      <c r="D69" s="188">
        <f>1000*D21/SER_summary!D$3</f>
        <v>0.18811217301379279</v>
      </c>
      <c r="E69" s="188">
        <f>1000*E21/SER_summary!E$3</f>
        <v>0.19393464148672038</v>
      </c>
      <c r="F69" s="188">
        <f>1000*F21/SER_summary!F$3</f>
        <v>0.20250716196811847</v>
      </c>
      <c r="G69" s="188">
        <f>1000*G21/SER_summary!G$3</f>
        <v>0.21016139647449958</v>
      </c>
      <c r="H69" s="188">
        <f>1000*H21/SER_summary!H$3</f>
        <v>0.22014975352049146</v>
      </c>
      <c r="I69" s="188">
        <f>1000*I21/SER_summary!I$3</f>
        <v>0.22770537928230472</v>
      </c>
      <c r="J69" s="188">
        <f>1000*J21/SER_summary!J$3</f>
        <v>0.23544892730933509</v>
      </c>
      <c r="K69" s="188">
        <f>1000*K21/SER_summary!K$3</f>
        <v>0.24410009631209198</v>
      </c>
      <c r="L69" s="188">
        <f>1000*L21/SER_summary!L$3</f>
        <v>0.25530176258076159</v>
      </c>
      <c r="M69" s="188">
        <f>1000*M21/SER_summary!M$3</f>
        <v>0.26196933570028064</v>
      </c>
      <c r="N69" s="188">
        <f>1000*N21/SER_summary!N$3</f>
        <v>0.2708134335029142</v>
      </c>
      <c r="O69" s="188">
        <f>1000*O21/SER_summary!O$3</f>
        <v>0.28001986354108072</v>
      </c>
      <c r="P69" s="188">
        <f>1000*P21/SER_summary!P$3</f>
        <v>0.28686728266731393</v>
      </c>
      <c r="Q69" s="188">
        <f>1000*Q21/SER_summary!Q$3</f>
        <v>0.29369371252202797</v>
      </c>
      <c r="R69" s="188">
        <f>1000*R21/SER_summary!R$3</f>
        <v>0.29976340995154688</v>
      </c>
      <c r="S69" s="188">
        <f>1000*S21/SER_summary!S$3</f>
        <v>0.29843251458398629</v>
      </c>
      <c r="T69" s="188">
        <f>1000*T21/SER_summary!T$3</f>
        <v>0.3017430384092199</v>
      </c>
      <c r="U69" s="188">
        <f>1000*U21/SER_summary!U$3</f>
        <v>0.30289076934102649</v>
      </c>
      <c r="V69" s="188">
        <f>1000*V21/SER_summary!V$3</f>
        <v>0.30438906629859408</v>
      </c>
      <c r="W69" s="188">
        <f>1000*W21/SER_summary!W$3</f>
        <v>0.3064259615051354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178.43306438163086</v>
      </c>
      <c r="C70" s="188">
        <f>1000000*C22/SER_summary!C$8</f>
        <v>179.20801846215278</v>
      </c>
      <c r="D70" s="188">
        <f>1000000*D22/SER_summary!D$8</f>
        <v>180.90874850603751</v>
      </c>
      <c r="E70" s="188">
        <f>1000000*E22/SER_summary!E$8</f>
        <v>182.62132450646953</v>
      </c>
      <c r="F70" s="188">
        <f>1000000*F22/SER_summary!F$8</f>
        <v>185.42878829901323</v>
      </c>
      <c r="G70" s="188">
        <f>1000000*G22/SER_summary!G$8</f>
        <v>188.37140182448175</v>
      </c>
      <c r="H70" s="188">
        <f>1000000*H22/SER_summary!H$8</f>
        <v>191.26708171150253</v>
      </c>
      <c r="I70" s="188">
        <f>1000000*I22/SER_summary!I$8</f>
        <v>194.29040929677564</v>
      </c>
      <c r="J70" s="188">
        <f>1000000*J22/SER_summary!J$8</f>
        <v>198.65576241819198</v>
      </c>
      <c r="K70" s="188">
        <f>1000000*K22/SER_summary!K$8</f>
        <v>205.15747212410685</v>
      </c>
      <c r="L70" s="188">
        <f>1000000*L22/SER_summary!L$8</f>
        <v>210.41554034476019</v>
      </c>
      <c r="M70" s="188">
        <f>1000000*M22/SER_summary!M$8</f>
        <v>215.16347880798227</v>
      </c>
      <c r="N70" s="188">
        <f>1000000*N22/SER_summary!N$8</f>
        <v>219.96019433196011</v>
      </c>
      <c r="O70" s="188">
        <f>1000000*O22/SER_summary!O$8</f>
        <v>223.78063373021959</v>
      </c>
      <c r="P70" s="188">
        <f>1000000*P22/SER_summary!P$8</f>
        <v>228.24109433394887</v>
      </c>
      <c r="Q70" s="188">
        <f>1000000*Q22/SER_summary!Q$8</f>
        <v>234.78547355218362</v>
      </c>
      <c r="R70" s="188">
        <f>1000000*R22/SER_summary!R$8</f>
        <v>239.47541905733584</v>
      </c>
      <c r="S70" s="188">
        <f>1000000*S22/SER_summary!S$8</f>
        <v>244.21632932428162</v>
      </c>
      <c r="T70" s="188">
        <f>1000000*T22/SER_summary!T$8</f>
        <v>248.81018492000243</v>
      </c>
      <c r="U70" s="188">
        <f>1000000*U22/SER_summary!U$8</f>
        <v>253.13589066691156</v>
      </c>
      <c r="V70" s="188">
        <f>1000000*V22/SER_summary!V$8</f>
        <v>256.96776182652201</v>
      </c>
      <c r="W70" s="188">
        <f>1000000*W22/SER_summary!W$8</f>
        <v>260.09173961688691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2.5161208093930902E-2</v>
      </c>
      <c r="C71" s="188">
        <f>1000*C23/SER_summary!C$3</f>
        <v>2.531765210189308E-2</v>
      </c>
      <c r="D71" s="188">
        <f>1000*D23/SER_summary!D$3</f>
        <v>2.5560787867294057E-2</v>
      </c>
      <c r="E71" s="188">
        <f>1000*E23/SER_summary!E$3</f>
        <v>2.5996934386582703E-2</v>
      </c>
      <c r="F71" s="188">
        <f>1000*F23/SER_summary!F$3</f>
        <v>2.6449553038105159E-2</v>
      </c>
      <c r="G71" s="188">
        <f>1000*G23/SER_summary!G$3</f>
        <v>2.7071487712148738E-2</v>
      </c>
      <c r="H71" s="188">
        <f>1000*H23/SER_summary!H$3</f>
        <v>2.7975326205755168E-2</v>
      </c>
      <c r="I71" s="188">
        <f>1000*I23/SER_summary!I$3</f>
        <v>2.9239363060788438E-2</v>
      </c>
      <c r="J71" s="188">
        <f>1000*J23/SER_summary!J$3</f>
        <v>3.0313359128948569E-2</v>
      </c>
      <c r="K71" s="188">
        <f>1000*K23/SER_summary!K$3</f>
        <v>3.1296394618360271E-2</v>
      </c>
      <c r="L71" s="188">
        <f>1000*L23/SER_summary!L$3</f>
        <v>3.2130702746695876E-2</v>
      </c>
      <c r="M71" s="188">
        <f>1000*M23/SER_summary!M$3</f>
        <v>3.2435540892301148E-2</v>
      </c>
      <c r="N71" s="188">
        <f>1000*N23/SER_summary!N$3</f>
        <v>3.27912209582744E-2</v>
      </c>
      <c r="O71" s="188">
        <f>1000*O23/SER_summary!O$3</f>
        <v>3.3244425009981017E-2</v>
      </c>
      <c r="P71" s="188">
        <f>1000*P23/SER_summary!P$3</f>
        <v>3.3840303316002421E-2</v>
      </c>
      <c r="Q71" s="188">
        <f>1000*Q23/SER_summary!Q$3</f>
        <v>3.4707717149403843E-2</v>
      </c>
      <c r="R71" s="188">
        <f>1000*R23/SER_summary!R$3</f>
        <v>3.6647052920870303E-2</v>
      </c>
      <c r="S71" s="188">
        <f>1000*S23/SER_summary!S$3</f>
        <v>3.7690733966824132E-2</v>
      </c>
      <c r="T71" s="188">
        <f>1000*T23/SER_summary!T$3</f>
        <v>3.9241908080077645E-2</v>
      </c>
      <c r="U71" s="188">
        <f>1000*U23/SER_summary!U$3</f>
        <v>4.0399120450210255E-2</v>
      </c>
      <c r="V71" s="188">
        <f>1000*V23/SER_summary!V$3</f>
        <v>4.1402063227950911E-2</v>
      </c>
      <c r="W71" s="188">
        <f>1000*W23/SER_summary!W$3</f>
        <v>4.2192991931113526E-2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141.59082473958259</v>
      </c>
      <c r="C72" s="188">
        <f>1000000*C24/SER_summary!C$8</f>
        <v>146.73075742543185</v>
      </c>
      <c r="D72" s="188">
        <f>1000000*D24/SER_summary!D$8</f>
        <v>152.02134341992172</v>
      </c>
      <c r="E72" s="188">
        <f>1000000*E24/SER_summary!E$8</f>
        <v>157.63018717772317</v>
      </c>
      <c r="F72" s="188">
        <f>1000000*F24/SER_summary!F$8</f>
        <v>162.29914106711033</v>
      </c>
      <c r="G72" s="188">
        <f>1000000*G24/SER_summary!G$8</f>
        <v>168.92632593175645</v>
      </c>
      <c r="H72" s="188">
        <f>1000000*H24/SER_summary!H$8</f>
        <v>174.77979273089693</v>
      </c>
      <c r="I72" s="188">
        <f>1000000*I24/SER_summary!I$8</f>
        <v>180.03436287018022</v>
      </c>
      <c r="J72" s="188">
        <f>1000000*J24/SER_summary!J$8</f>
        <v>185.67300746993445</v>
      </c>
      <c r="K72" s="188">
        <f>1000000*K24/SER_summary!K$8</f>
        <v>191.04448549129515</v>
      </c>
      <c r="L72" s="188">
        <f>1000000*L24/SER_summary!L$8</f>
        <v>195.57724403190244</v>
      </c>
      <c r="M72" s="188">
        <f>1000000*M24/SER_summary!M$8</f>
        <v>198.26894965766607</v>
      </c>
      <c r="N72" s="188">
        <f>1000000*N24/SER_summary!N$8</f>
        <v>200.61739646950724</v>
      </c>
      <c r="O72" s="188">
        <f>1000000*O24/SER_summary!O$8</f>
        <v>201.80892190284516</v>
      </c>
      <c r="P72" s="188">
        <f>1000000*P24/SER_summary!P$8</f>
        <v>203.05321229900918</v>
      </c>
      <c r="Q72" s="188">
        <f>1000000*Q24/SER_summary!Q$8</f>
        <v>205.14045285992924</v>
      </c>
      <c r="R72" s="188">
        <f>1000000*R24/SER_summary!R$8</f>
        <v>208.64344936947478</v>
      </c>
      <c r="S72" s="188">
        <f>1000000*S24/SER_summary!S$8</f>
        <v>212.15095588484166</v>
      </c>
      <c r="T72" s="188">
        <f>1000000*T24/SER_summary!T$8</f>
        <v>215.63912021898872</v>
      </c>
      <c r="U72" s="188">
        <f>1000000*U24/SER_summary!U$8</f>
        <v>219.0934756903317</v>
      </c>
      <c r="V72" s="188">
        <f>1000000*V24/SER_summary!V$8</f>
        <v>222.48709462030851</v>
      </c>
      <c r="W72" s="188">
        <f>1000000*W24/SER_summary!W$8</f>
        <v>225.73910850895672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0.11736910047205221</v>
      </c>
      <c r="C73" s="52">
        <f>1000*C25/SER_summary!C$3</f>
        <v>0.12680648037646772</v>
      </c>
      <c r="D73" s="52">
        <f>1000*D25/SER_summary!D$3</f>
        <v>0.14192451312967538</v>
      </c>
      <c r="E73" s="52">
        <f>1000*E25/SER_summary!E$3</f>
        <v>0.16699235457034242</v>
      </c>
      <c r="F73" s="52">
        <f>1000*F25/SER_summary!F$3</f>
        <v>0.18936577162526236</v>
      </c>
      <c r="G73" s="52">
        <f>1000*G25/SER_summary!G$3</f>
        <v>0.20377098525594275</v>
      </c>
      <c r="H73" s="52">
        <f>1000*H25/SER_summary!H$3</f>
        <v>0.21232178553425798</v>
      </c>
      <c r="I73" s="52">
        <f>1000*I25/SER_summary!I$3</f>
        <v>0.21906425208230834</v>
      </c>
      <c r="J73" s="52">
        <f>1000*J25/SER_summary!J$3</f>
        <v>0.22859904549510418</v>
      </c>
      <c r="K73" s="52">
        <f>1000*K25/SER_summary!K$3</f>
        <v>0.24023645318251258</v>
      </c>
      <c r="L73" s="52">
        <f>1000*L25/SER_summary!L$3</f>
        <v>0.26761990835972621</v>
      </c>
      <c r="M73" s="52">
        <f>1000*M25/SER_summary!M$3</f>
        <v>0.41111888102011068</v>
      </c>
      <c r="N73" s="52">
        <f>1000*N25/SER_summary!N$3</f>
        <v>0.57396266874821578</v>
      </c>
      <c r="O73" s="52">
        <f>1000*O25/SER_summary!O$3</f>
        <v>0.76224164172640996</v>
      </c>
      <c r="P73" s="52">
        <f>1000*P25/SER_summary!P$3</f>
        <v>0.95948235514061109</v>
      </c>
      <c r="Q73" s="52">
        <f>1000*Q25/SER_summary!Q$3</f>
        <v>1.1362967243911699</v>
      </c>
      <c r="R73" s="52">
        <f>1000*R25/SER_summary!R$3</f>
        <v>1.3023504290604204</v>
      </c>
      <c r="S73" s="52">
        <f>1000*S25/SER_summary!S$3</f>
        <v>1.4674980578641841</v>
      </c>
      <c r="T73" s="52">
        <f>1000*T25/SER_summary!T$3</f>
        <v>1.7606835350846475</v>
      </c>
      <c r="U73" s="52">
        <f>1000*U25/SER_summary!U$3</f>
        <v>1.971677562751508</v>
      </c>
      <c r="V73" s="52">
        <f>1000*V25/SER_summary!V$3</f>
        <v>2.3302621997620205</v>
      </c>
      <c r="W73" s="52">
        <f>1000*W25/SER_summary!W$3</f>
        <v>2.992601726881269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10.200849098985898</v>
      </c>
      <c r="C3" s="199">
        <f>'SER_se-appl'!C4</f>
        <v>10.50269807655418</v>
      </c>
      <c r="D3" s="199">
        <f>'SER_se-appl'!D4</f>
        <v>10.864037738787962</v>
      </c>
      <c r="E3" s="199">
        <f>'SER_se-appl'!E4</f>
        <v>11.216357099235124</v>
      </c>
      <c r="F3" s="199">
        <f>'SER_se-appl'!F4</f>
        <v>11.680568374979595</v>
      </c>
      <c r="G3" s="199">
        <f>'SER_se-appl'!G4</f>
        <v>12.320586742064785</v>
      </c>
      <c r="H3" s="199">
        <f>'SER_se-appl'!H4</f>
        <v>12.932738085485806</v>
      </c>
      <c r="I3" s="199">
        <f>'SER_se-appl'!I4</f>
        <v>13.863702720009053</v>
      </c>
      <c r="J3" s="199">
        <f>'SER_se-appl'!J4</f>
        <v>14.429197369138427</v>
      </c>
      <c r="K3" s="199">
        <f>'SER_se-appl'!K4</f>
        <v>14.417952412720318</v>
      </c>
      <c r="L3" s="199">
        <f>'SER_se-appl'!L4</f>
        <v>14.490052236576389</v>
      </c>
      <c r="M3" s="199">
        <f>'SER_se-appl'!M4</f>
        <v>14.671039340798131</v>
      </c>
      <c r="N3" s="199">
        <f>'SER_se-appl'!N4</f>
        <v>14.651620775689667</v>
      </c>
      <c r="O3" s="199">
        <f>'SER_se-appl'!O4</f>
        <v>14.735366029575648</v>
      </c>
      <c r="P3" s="199">
        <f>'SER_se-appl'!P4</f>
        <v>14.963565650707631</v>
      </c>
      <c r="Q3" s="199">
        <f>'SER_se-appl'!Q4</f>
        <v>15.044649875823209</v>
      </c>
      <c r="R3" s="199">
        <f>'SER_se-appl'!R4</f>
        <v>15.266868214102058</v>
      </c>
      <c r="S3" s="199">
        <f>'SER_se-appl'!S4</f>
        <v>15.331841266533266</v>
      </c>
      <c r="T3" s="199">
        <f>'SER_se-appl'!T4</f>
        <v>15.464109693499541</v>
      </c>
      <c r="U3" s="199">
        <f>'SER_se-appl'!U4</f>
        <v>15.584645953821266</v>
      </c>
      <c r="V3" s="199">
        <f>'SER_se-appl'!V4</f>
        <v>15.664645023019657</v>
      </c>
      <c r="W3" s="199">
        <f>'SER_se-appl'!W4</f>
        <v>15.742776081466191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13.54290810744361</v>
      </c>
      <c r="C5" s="59">
        <f>'SER_se-appl'!C12</f>
        <v>13.943650528575926</v>
      </c>
      <c r="D5" s="59">
        <f>'SER_se-appl'!D12</f>
        <v>14.423374303893157</v>
      </c>
      <c r="E5" s="59">
        <f>'SER_se-appl'!E12</f>
        <v>14.891122495902342</v>
      </c>
      <c r="F5" s="59">
        <f>'SER_se-appl'!F12</f>
        <v>15.507421255823369</v>
      </c>
      <c r="G5" s="59">
        <f>'SER_se-appl'!G12</f>
        <v>16.35712600573213</v>
      </c>
      <c r="H5" s="59">
        <f>'SER_se-appl'!H12</f>
        <v>17.169833782442918</v>
      </c>
      <c r="I5" s="59">
        <f>'SER_se-appl'!I12</f>
        <v>18.405806236724345</v>
      </c>
      <c r="J5" s="59">
        <f>'SER_se-appl'!J12</f>
        <v>19.156571393045649</v>
      </c>
      <c r="K5" s="59">
        <f>'SER_se-appl'!K12</f>
        <v>19.141642301362705</v>
      </c>
      <c r="L5" s="59">
        <f>'SER_se-appl'!L12</f>
        <v>19.237363871162486</v>
      </c>
      <c r="M5" s="59">
        <f>'SER_se-appl'!M12</f>
        <v>19.477646978708016</v>
      </c>
      <c r="N5" s="59">
        <f>'SER_se-appl'!N12</f>
        <v>19.451866395122234</v>
      </c>
      <c r="O5" s="59">
        <f>'SER_se-appl'!O12</f>
        <v>19.563048735612416</v>
      </c>
      <c r="P5" s="59">
        <f>'SER_se-appl'!P12</f>
        <v>19.866012387868693</v>
      </c>
      <c r="Q5" s="59">
        <f>'SER_se-appl'!Q12</f>
        <v>19.973661878518719</v>
      </c>
      <c r="R5" s="59">
        <f>'SER_se-appl'!R12</f>
        <v>20.268684626713124</v>
      </c>
      <c r="S5" s="59">
        <f>'SER_se-appl'!S12</f>
        <v>20.354944512532182</v>
      </c>
      <c r="T5" s="59">
        <f>'SER_se-appl'!T12</f>
        <v>20.530547458378962</v>
      </c>
      <c r="U5" s="59">
        <f>'SER_se-appl'!U12</f>
        <v>20.690574479787831</v>
      </c>
      <c r="V5" s="59">
        <f>'SER_se-appl'!V12</f>
        <v>20.796783289693909</v>
      </c>
      <c r="W5" s="59">
        <f>'SER_se-appl'!W12</f>
        <v>20.900512080759334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480.59407326409138</v>
      </c>
      <c r="C6" s="202">
        <f>'SER_se-appl'!C68</f>
        <v>486.72496491181136</v>
      </c>
      <c r="D6" s="202">
        <f>'SER_se-appl'!D68</f>
        <v>495.96219774601826</v>
      </c>
      <c r="E6" s="202">
        <f>'SER_se-appl'!E68</f>
        <v>507.28693139401815</v>
      </c>
      <c r="F6" s="202">
        <f>'SER_se-appl'!F68</f>
        <v>522.92137832954313</v>
      </c>
      <c r="G6" s="202">
        <f>'SER_se-appl'!G68</f>
        <v>541.75851829954797</v>
      </c>
      <c r="H6" s="202">
        <f>'SER_se-appl'!H68</f>
        <v>560.60261811855401</v>
      </c>
      <c r="I6" s="202">
        <f>'SER_se-appl'!I68</f>
        <v>580.58785289644015</v>
      </c>
      <c r="J6" s="202">
        <f>'SER_se-appl'!J68</f>
        <v>603.97933798899066</v>
      </c>
      <c r="K6" s="202">
        <f>'SER_se-appl'!K68</f>
        <v>625.54787885776329</v>
      </c>
      <c r="L6" s="202">
        <f>'SER_se-appl'!L68</f>
        <v>643.46218179516677</v>
      </c>
      <c r="M6" s="202">
        <f>'SER_se-appl'!M68</f>
        <v>655.27962319267442</v>
      </c>
      <c r="N6" s="202">
        <f>'SER_se-appl'!N68</f>
        <v>663.53537846084248</v>
      </c>
      <c r="O6" s="202">
        <f>'SER_se-appl'!O68</f>
        <v>673.3369264315761</v>
      </c>
      <c r="P6" s="202">
        <f>'SER_se-appl'!P68</f>
        <v>684.99340777996088</v>
      </c>
      <c r="Q6" s="202">
        <f>'SER_se-appl'!Q68</f>
        <v>697.46251249571958</v>
      </c>
      <c r="R6" s="202">
        <f>'SER_se-appl'!R68</f>
        <v>701.02760303020386</v>
      </c>
      <c r="S6" s="202">
        <f>'SER_se-appl'!S68</f>
        <v>704.56126203290114</v>
      </c>
      <c r="T6" s="202">
        <f>'SER_se-appl'!T68</f>
        <v>708.22972227704179</v>
      </c>
      <c r="U6" s="202">
        <f>'SER_se-appl'!U68</f>
        <v>712.13380624042406</v>
      </c>
      <c r="V6" s="202">
        <f>'SER_se-appl'!V68</f>
        <v>716.46118068400301</v>
      </c>
      <c r="W6" s="202">
        <f>'SER_se-appl'!W68</f>
        <v>721.39702025308327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18.398943392327865</v>
      </c>
      <c r="C8" s="34">
        <f>'SER_se-appl'!C20</f>
        <v>19.106185357569018</v>
      </c>
      <c r="D8" s="34">
        <f>'SER_se-appl'!D20</f>
        <v>19.956481634956642</v>
      </c>
      <c r="E8" s="34">
        <f>'SER_se-appl'!E20</f>
        <v>20.812906935225847</v>
      </c>
      <c r="F8" s="34">
        <f>'SER_se-appl'!F20</f>
        <v>21.932821395298745</v>
      </c>
      <c r="G8" s="34">
        <f>'SER_se-appl'!G20</f>
        <v>23.466661452929031</v>
      </c>
      <c r="H8" s="34">
        <f>'SER_se-appl'!H20</f>
        <v>24.985748202195389</v>
      </c>
      <c r="I8" s="34">
        <f>'SER_se-appl'!I20</f>
        <v>27.255232561696527</v>
      </c>
      <c r="J8" s="34">
        <f>'SER_se-appl'!J20</f>
        <v>28.756732808710069</v>
      </c>
      <c r="K8" s="34">
        <f>'SER_se-appl'!K20</f>
        <v>28.991512996379871</v>
      </c>
      <c r="L8" s="34">
        <f>'SER_se-appl'!L20</f>
        <v>29.450548665721055</v>
      </c>
      <c r="M8" s="34">
        <f>'SER_se-appl'!M20</f>
        <v>30.201442120523275</v>
      </c>
      <c r="N8" s="34">
        <f>'SER_se-appl'!N20</f>
        <v>30.515100892922781</v>
      </c>
      <c r="O8" s="34">
        <f>'SER_se-appl'!O20</f>
        <v>31.124149306037083</v>
      </c>
      <c r="P8" s="34">
        <f>'SER_se-appl'!P20</f>
        <v>32.151412800615844</v>
      </c>
      <c r="Q8" s="34">
        <f>'SER_se-appl'!Q20</f>
        <v>32.865321293424579</v>
      </c>
      <c r="R8" s="34">
        <f>'SER_se-appl'!R20</f>
        <v>33.973701890584614</v>
      </c>
      <c r="S8" s="34">
        <f>'SER_se-appl'!S20</f>
        <v>34.711012003142699</v>
      </c>
      <c r="T8" s="34">
        <f>'SER_se-appl'!T20</f>
        <v>35.664854253456703</v>
      </c>
      <c r="U8" s="34">
        <f>'SER_se-appl'!U20</f>
        <v>36.476130343679955</v>
      </c>
      <c r="V8" s="34">
        <f>'SER_se-appl'!V20</f>
        <v>37.229863997328295</v>
      </c>
      <c r="W8" s="34">
        <f>'SER_se-appl'!W20</f>
        <v>37.970447511972559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1.505265356141841</v>
      </c>
      <c r="D9" s="36">
        <f>'SER_se-appl'!D28</f>
        <v>1.6708922341635564</v>
      </c>
      <c r="E9" s="36">
        <f>'SER_se-appl'!E28</f>
        <v>1.7002323013609875</v>
      </c>
      <c r="F9" s="36">
        <f>'SER_se-appl'!F28</f>
        <v>1.9875890436632844</v>
      </c>
      <c r="G9" s="36">
        <f>'SER_se-appl'!G28</f>
        <v>2.4260573324746986</v>
      </c>
      <c r="H9" s="36">
        <f>'SER_se-appl'!H28</f>
        <v>2.436540919972586</v>
      </c>
      <c r="I9" s="36">
        <f>'SER_se-appl'!I28</f>
        <v>3.2128892666668705</v>
      </c>
      <c r="J9" s="36">
        <f>'SER_se-appl'!J28</f>
        <v>2.4715899226420035</v>
      </c>
      <c r="K9" s="36">
        <f>'SER_se-appl'!K28</f>
        <v>1.2323094262956609</v>
      </c>
      <c r="L9" s="36">
        <f>'SER_se-appl'!L28</f>
        <v>1.4847806153110952</v>
      </c>
      <c r="M9" s="36">
        <f>'SER_se-appl'!M28</f>
        <v>1.8056522061669504</v>
      </c>
      <c r="N9" s="36">
        <f>'SER_se-appl'!N28</f>
        <v>1.3982520018874851</v>
      </c>
      <c r="O9" s="36">
        <f>'SER_se-appl'!O28</f>
        <v>1.7243200066698172</v>
      </c>
      <c r="P9" s="36">
        <f>'SER_se-appl'!P28</f>
        <v>2.1740812079615495</v>
      </c>
      <c r="Q9" s="36">
        <f>'SER_se-appl'!Q28</f>
        <v>1.8931646267659019</v>
      </c>
      <c r="R9" s="36">
        <f>'SER_se-appl'!R28</f>
        <v>2.3209926916956114</v>
      </c>
      <c r="S9" s="36">
        <f>'SER_se-appl'!S28</f>
        <v>1.9842216608404115</v>
      </c>
      <c r="T9" s="36">
        <f>'SER_se-appl'!T28</f>
        <v>2.2360234327763919</v>
      </c>
      <c r="U9" s="36">
        <f>'SER_se-appl'!U28</f>
        <v>2.3165414463650933</v>
      </c>
      <c r="V9" s="36">
        <f>'SER_se-appl'!V28</f>
        <v>2.4246258878118994</v>
      </c>
      <c r="W9" s="36">
        <f>'SER_se-appl'!W28</f>
        <v>2.440815816005248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0.79802339090068841</v>
      </c>
      <c r="D10" s="38">
        <f>'SER_se-appl'!D36</f>
        <v>0.82059595677593222</v>
      </c>
      <c r="E10" s="38">
        <f>'SER_se-appl'!E36</f>
        <v>0.84380700109178264</v>
      </c>
      <c r="F10" s="38">
        <f>'SER_se-appl'!F36</f>
        <v>0.86767458359038585</v>
      </c>
      <c r="G10" s="38">
        <f>'SER_se-appl'!G36</f>
        <v>0.8922172748444126</v>
      </c>
      <c r="H10" s="38">
        <f>'SER_se-appl'!H36</f>
        <v>0.91745417070622892</v>
      </c>
      <c r="I10" s="38">
        <f>'SER_se-appl'!I36</f>
        <v>0.943404907165732</v>
      </c>
      <c r="J10" s="38">
        <f>'SER_se-appl'!J36</f>
        <v>0.97008967562846138</v>
      </c>
      <c r="K10" s="38">
        <f>'SER_se-appl'!K36</f>
        <v>0.99752923862585874</v>
      </c>
      <c r="L10" s="38">
        <f>'SER_se-appl'!L36</f>
        <v>1.0257449459699117</v>
      </c>
      <c r="M10" s="38">
        <f>'SER_se-appl'!M36</f>
        <v>1.0547587513647301</v>
      </c>
      <c r="N10" s="38">
        <f>'SER_se-appl'!N36</f>
        <v>1.0845932294879788</v>
      </c>
      <c r="O10" s="38">
        <f>'SER_se-appl'!O36</f>
        <v>1.1152715935555193</v>
      </c>
      <c r="P10" s="38">
        <f>'SER_se-appl'!P36</f>
        <v>1.1468177133827879</v>
      </c>
      <c r="Q10" s="38">
        <f>'SER_se-appl'!Q36</f>
        <v>1.1792561339571677</v>
      </c>
      <c r="R10" s="38">
        <f>'SER_se-appl'!R36</f>
        <v>1.2126120945355794</v>
      </c>
      <c r="S10" s="38">
        <f>'SER_se-appl'!S36</f>
        <v>1.246911548282327</v>
      </c>
      <c r="T10" s="38">
        <f>'SER_se-appl'!T36</f>
        <v>1.2821811824623879</v>
      </c>
      <c r="U10" s="38">
        <f>'SER_se-appl'!U36</f>
        <v>1.505265356141841</v>
      </c>
      <c r="V10" s="38">
        <f>'SER_se-appl'!V36</f>
        <v>1.6708922341635599</v>
      </c>
      <c r="W10" s="38">
        <f>'SER_se-appl'!W36</f>
        <v>1.7002323013609839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8759.9999999999964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8760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8760.0000000000018</v>
      </c>
      <c r="K12" s="205">
        <f>'SER_se-appl'!K44</f>
        <v>8760</v>
      </c>
      <c r="L12" s="205">
        <f>'SER_se-appl'!L44</f>
        <v>8760.0000000000018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8760.0000000000018</v>
      </c>
      <c r="P12" s="205">
        <f>'SER_se-appl'!P44</f>
        <v>8760</v>
      </c>
      <c r="Q12" s="205">
        <f>'SER_se-appl'!Q44</f>
        <v>8759.9999999999982</v>
      </c>
      <c r="R12" s="205">
        <f>'SER_se-appl'!R44</f>
        <v>8759.9999999999982</v>
      </c>
      <c r="S12" s="205">
        <f>'SER_se-appl'!S44</f>
        <v>8759.9999999999982</v>
      </c>
      <c r="T12" s="205">
        <f>'SER_se-appl'!T44</f>
        <v>8759.9999999999982</v>
      </c>
      <c r="U12" s="205">
        <f>'SER_se-appl'!U44</f>
        <v>8759.9999999999964</v>
      </c>
      <c r="V12" s="205">
        <f>'SER_se-appl'!V44</f>
        <v>8759.9999999999982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0.73606988285484032</v>
      </c>
      <c r="C14" s="59">
        <f>'SER_se-appl'!C52</f>
        <v>0.72979772087535377</v>
      </c>
      <c r="D14" s="59">
        <f>'SER_se-appl'!D52</f>
        <v>0.72274134127072509</v>
      </c>
      <c r="E14" s="59">
        <f>'SER_se-appl'!E52</f>
        <v>0.71547537988069876</v>
      </c>
      <c r="F14" s="59">
        <f>'SER_se-appl'!F52</f>
        <v>0.70704178802766127</v>
      </c>
      <c r="G14" s="59">
        <f>'SER_se-appl'!G52</f>
        <v>0.69703677442751399</v>
      </c>
      <c r="H14" s="59">
        <f>'SER_se-appl'!H52</f>
        <v>0.68718509621954327</v>
      </c>
      <c r="I14" s="59">
        <f>'SER_se-appl'!I52</f>
        <v>0.67531275673615676</v>
      </c>
      <c r="J14" s="59">
        <f>'SER_se-appl'!J52</f>
        <v>0.6661595223795157</v>
      </c>
      <c r="K14" s="59">
        <f>'SER_se-appl'!K52</f>
        <v>0.6602498566995415</v>
      </c>
      <c r="L14" s="59">
        <f>'SER_se-appl'!L52</f>
        <v>0.65320901452521329</v>
      </c>
      <c r="M14" s="59">
        <f>'SER_se-appl'!M52</f>
        <v>0.64492440132426843</v>
      </c>
      <c r="N14" s="59">
        <f>'SER_se-appl'!N52</f>
        <v>0.63745050240465073</v>
      </c>
      <c r="O14" s="59">
        <f>'SER_se-appl'!O52</f>
        <v>0.62854886548876099</v>
      </c>
      <c r="P14" s="59">
        <f>'SER_se-appl'!P52</f>
        <v>0.61788925143246487</v>
      </c>
      <c r="Q14" s="59">
        <f>'SER_se-appl'!Q52</f>
        <v>0.60774278456589692</v>
      </c>
      <c r="R14" s="59">
        <f>'SER_se-appl'!R52</f>
        <v>0.59659923702133666</v>
      </c>
      <c r="S14" s="59">
        <f>'SER_se-appl'!S52</f>
        <v>0.58641172751429049</v>
      </c>
      <c r="T14" s="59">
        <f>'SER_se-appl'!T52</f>
        <v>0.57565207788250261</v>
      </c>
      <c r="U14" s="59">
        <f>'SER_se-appl'!U52</f>
        <v>0.56723600570675081</v>
      </c>
      <c r="V14" s="59">
        <f>'SER_se-appl'!V52</f>
        <v>0.55860486869321724</v>
      </c>
      <c r="W14" s="59">
        <f>'SER_se-appl'!W52</f>
        <v>0.55044155258294336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0.656457946737527</v>
      </c>
      <c r="D15" s="63">
        <f>'SER_se-appl'!D60</f>
        <v>0.64859942666198567</v>
      </c>
      <c r="E15" s="63">
        <f>'SER_se-appl'!E60</f>
        <v>0.64041196699022696</v>
      </c>
      <c r="F15" s="63">
        <f>'SER_se-appl'!F60</f>
        <v>0.63140209643514589</v>
      </c>
      <c r="G15" s="63">
        <f>'SER_se-appl'!G60</f>
        <v>0.62094122621080383</v>
      </c>
      <c r="H15" s="63">
        <f>'SER_se-appl'!H60</f>
        <v>0.6107092839975562</v>
      </c>
      <c r="I15" s="63">
        <f>'SER_se-appl'!I60</f>
        <v>0.60082506229236343</v>
      </c>
      <c r="J15" s="63">
        <f>'SER_se-appl'!J60</f>
        <v>0.59266261639957662</v>
      </c>
      <c r="K15" s="63">
        <f>'SER_se-appl'!K60</f>
        <v>0.58371876639697839</v>
      </c>
      <c r="L15" s="63">
        <f>'SER_se-appl'!L60</f>
        <v>0.57297456826007154</v>
      </c>
      <c r="M15" s="63">
        <f>'SER_se-appl'!M60</f>
        <v>0.5630426804400247</v>
      </c>
      <c r="N15" s="63">
        <f>'SER_se-appl'!N60</f>
        <v>0.55251544553179588</v>
      </c>
      <c r="O15" s="63">
        <f>'SER_se-appl'!O60</f>
        <v>0.54056101425749115</v>
      </c>
      <c r="P15" s="63">
        <f>'SER_se-appl'!P60</f>
        <v>0.52762593595909879</v>
      </c>
      <c r="Q15" s="63">
        <f>'SER_se-appl'!Q60</f>
        <v>0.51536163376053667</v>
      </c>
      <c r="R15" s="63">
        <f>'SER_se-appl'!R60</f>
        <v>0.51167330031529457</v>
      </c>
      <c r="S15" s="63">
        <f>'SER_se-appl'!S60</f>
        <v>0.5060291110159032</v>
      </c>
      <c r="T15" s="63">
        <f>'SER_se-appl'!T60</f>
        <v>0.50061098743972565</v>
      </c>
      <c r="U15" s="63">
        <f>'SER_se-appl'!U60</f>
        <v>0.49563992399034201</v>
      </c>
      <c r="V15" s="63">
        <f>'SER_se-appl'!V60</f>
        <v>0.49077614859272023</v>
      </c>
      <c r="W15" s="63">
        <f>'SER_se-appl'!W60</f>
        <v>0.48859807270184002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43.32399105984841</v>
      </c>
      <c r="C3" s="199">
        <f>'SER_se-appl'!C5</f>
        <v>44.056773484697437</v>
      </c>
      <c r="D3" s="199">
        <f>'SER_se-appl'!D5</f>
        <v>49.502002787867944</v>
      </c>
      <c r="E3" s="199">
        <f>'SER_se-appl'!E5</f>
        <v>51.165688016898599</v>
      </c>
      <c r="F3" s="199">
        <f>'SER_se-appl'!F5</f>
        <v>53.352917980555311</v>
      </c>
      <c r="G3" s="199">
        <f>'SER_se-appl'!G5</f>
        <v>55.357090975260306</v>
      </c>
      <c r="H3" s="199">
        <f>'SER_se-appl'!H5</f>
        <v>57.905257156746941</v>
      </c>
      <c r="I3" s="199">
        <f>'SER_se-appl'!I5</f>
        <v>60.00264852484235</v>
      </c>
      <c r="J3" s="199">
        <f>'SER_se-appl'!J5</f>
        <v>62.497286145424383</v>
      </c>
      <c r="K3" s="199">
        <f>'SER_se-appl'!K5</f>
        <v>63.704101160682434</v>
      </c>
      <c r="L3" s="199">
        <f>'SER_se-appl'!L5</f>
        <v>65.411122620710728</v>
      </c>
      <c r="M3" s="199">
        <f>'SER_se-appl'!M5</f>
        <v>65.056035556038353</v>
      </c>
      <c r="N3" s="199">
        <f>'SER_se-appl'!N5</f>
        <v>65.33073984931967</v>
      </c>
      <c r="O3" s="199">
        <f>'SER_se-appl'!O5</f>
        <v>65.455375322817872</v>
      </c>
      <c r="P3" s="199">
        <f>'SER_se-appl'!P5</f>
        <v>64.935828617880588</v>
      </c>
      <c r="Q3" s="199">
        <f>'SER_se-appl'!Q5</f>
        <v>64.246172813606947</v>
      </c>
      <c r="R3" s="199">
        <f>'SER_se-appl'!R5</f>
        <v>63.350562582006589</v>
      </c>
      <c r="S3" s="199">
        <f>'SER_se-appl'!S5</f>
        <v>62.285594897606408</v>
      </c>
      <c r="T3" s="199">
        <f>'SER_se-appl'!T5</f>
        <v>60.187131485799192</v>
      </c>
      <c r="U3" s="199">
        <f>'SER_se-appl'!U5</f>
        <v>58.24243360434339</v>
      </c>
      <c r="V3" s="199">
        <f>'SER_se-appl'!V5</f>
        <v>55.937069687838679</v>
      </c>
      <c r="W3" s="199">
        <f>'SER_se-appl'!W5</f>
        <v>54.018664075530324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121.83115736096711</v>
      </c>
      <c r="C5" s="59">
        <f>'SER_se-appl'!C13</f>
        <v>123.69618308971687</v>
      </c>
      <c r="D5" s="59">
        <f>'SER_se-appl'!D13</f>
        <v>138.90216037603111</v>
      </c>
      <c r="E5" s="59">
        <f>'SER_se-appl'!E13</f>
        <v>143.52924521197431</v>
      </c>
      <c r="F5" s="59">
        <f>'SER_se-appl'!F13</f>
        <v>149.66247590416296</v>
      </c>
      <c r="G5" s="59">
        <f>'SER_se-appl'!G13</f>
        <v>155.35266611669158</v>
      </c>
      <c r="H5" s="59">
        <f>'SER_se-appl'!H13</f>
        <v>162.74173633345728</v>
      </c>
      <c r="I5" s="59">
        <f>'SER_se-appl'!I13</f>
        <v>169.2483916843189</v>
      </c>
      <c r="J5" s="59">
        <f>'SER_se-appl'!J13</f>
        <v>176.55845723881282</v>
      </c>
      <c r="K5" s="59">
        <f>'SER_se-appl'!K13</f>
        <v>180.44555336358525</v>
      </c>
      <c r="L5" s="59">
        <f>'SER_se-appl'!L13</f>
        <v>185.75208931510687</v>
      </c>
      <c r="M5" s="59">
        <f>'SER_se-appl'!M13</f>
        <v>186.92783092347895</v>
      </c>
      <c r="N5" s="59">
        <f>'SER_se-appl'!N13</f>
        <v>188.63534569293282</v>
      </c>
      <c r="O5" s="59">
        <f>'SER_se-appl'!O13</f>
        <v>189.77212149989404</v>
      </c>
      <c r="P5" s="59">
        <f>'SER_se-appl'!P13</f>
        <v>189.25293673514784</v>
      </c>
      <c r="Q5" s="59">
        <f>'SER_se-appl'!Q13</f>
        <v>189.08919505390983</v>
      </c>
      <c r="R5" s="59">
        <f>'SER_se-appl'!R13</f>
        <v>185.40786312276441</v>
      </c>
      <c r="S5" s="59">
        <f>'SER_se-appl'!S13</f>
        <v>179.78209191540145</v>
      </c>
      <c r="T5" s="59">
        <f>'SER_se-appl'!T13</f>
        <v>176.36089132260662</v>
      </c>
      <c r="U5" s="59">
        <f>'SER_se-appl'!U13</f>
        <v>172.30202296374856</v>
      </c>
      <c r="V5" s="59">
        <f>'SER_se-appl'!V13</f>
        <v>166.94689879683887</v>
      </c>
      <c r="W5" s="59">
        <f>'SER_se-appl'!W13</f>
        <v>162.17604969870268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0.16569221851141877</v>
      </c>
      <c r="C6" s="202">
        <f>'SER_se-appl'!C69</f>
        <v>0.16742868240945305</v>
      </c>
      <c r="D6" s="202">
        <f>'SER_se-appl'!D69</f>
        <v>0.18811217301379279</v>
      </c>
      <c r="E6" s="202">
        <f>'SER_se-appl'!E69</f>
        <v>0.19393464148672038</v>
      </c>
      <c r="F6" s="202">
        <f>'SER_se-appl'!F69</f>
        <v>0.20250716196811847</v>
      </c>
      <c r="G6" s="202">
        <f>'SER_se-appl'!G69</f>
        <v>0.21016139647449958</v>
      </c>
      <c r="H6" s="202">
        <f>'SER_se-appl'!H69</f>
        <v>0.22014975352049146</v>
      </c>
      <c r="I6" s="202">
        <f>'SER_se-appl'!I69</f>
        <v>0.22770537928230472</v>
      </c>
      <c r="J6" s="202">
        <f>'SER_se-appl'!J69</f>
        <v>0.23544892730933509</v>
      </c>
      <c r="K6" s="202">
        <f>'SER_se-appl'!K69</f>
        <v>0.24410009631209198</v>
      </c>
      <c r="L6" s="202">
        <f>'SER_se-appl'!L69</f>
        <v>0.25530176258076159</v>
      </c>
      <c r="M6" s="202">
        <f>'SER_se-appl'!M69</f>
        <v>0.26196933570028064</v>
      </c>
      <c r="N6" s="202">
        <f>'SER_se-appl'!N69</f>
        <v>0.2708134335029142</v>
      </c>
      <c r="O6" s="202">
        <f>'SER_se-appl'!O69</f>
        <v>0.28001986354108072</v>
      </c>
      <c r="P6" s="202">
        <f>'SER_se-appl'!P69</f>
        <v>0.28686728266731393</v>
      </c>
      <c r="Q6" s="202">
        <f>'SER_se-appl'!Q69</f>
        <v>0.29369371252202797</v>
      </c>
      <c r="R6" s="202">
        <f>'SER_se-appl'!R69</f>
        <v>0.29976340995154688</v>
      </c>
      <c r="S6" s="202">
        <f>'SER_se-appl'!S69</f>
        <v>0.29843251458398629</v>
      </c>
      <c r="T6" s="202">
        <f>'SER_se-appl'!T69</f>
        <v>0.3017430384092199</v>
      </c>
      <c r="U6" s="202">
        <f>'SER_se-appl'!U69</f>
        <v>0.30289076934102649</v>
      </c>
      <c r="V6" s="202">
        <f>'SER_se-appl'!V69</f>
        <v>0.30438906629859408</v>
      </c>
      <c r="W6" s="202">
        <f>'SER_se-appl'!W69</f>
        <v>0.3064259615051354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625.91312542108756</v>
      </c>
      <c r="C8" s="34">
        <f>'SER_se-appl'!C21</f>
        <v>641.71780765135077</v>
      </c>
      <c r="D8" s="34">
        <f>'SER_se-appl'!D21</f>
        <v>733.5814173262338</v>
      </c>
      <c r="E8" s="34">
        <f>'SER_se-appl'!E21</f>
        <v>768.79396036988362</v>
      </c>
      <c r="F8" s="34">
        <f>'SER_se-appl'!F21</f>
        <v>815.87118200241605</v>
      </c>
      <c r="G8" s="34">
        <f>'SER_se-appl'!G21</f>
        <v>864.1147293650987</v>
      </c>
      <c r="H8" s="34">
        <f>'SER_se-appl'!H21</f>
        <v>926.42450617577731</v>
      </c>
      <c r="I8" s="34">
        <f>'SER_se-appl'!I21</f>
        <v>988.26821531995779</v>
      </c>
      <c r="J8" s="34">
        <f>'SER_se-appl'!J21</f>
        <v>1049.5759874470982</v>
      </c>
      <c r="K8" s="34">
        <f>'SER_se-appl'!K21</f>
        <v>1103.6551356579803</v>
      </c>
      <c r="L8" s="34">
        <f>'SER_se-appl'!L21</f>
        <v>1161.4769871342689</v>
      </c>
      <c r="M8" s="34">
        <f>'SER_se-appl'!M21</f>
        <v>1197.4306591350346</v>
      </c>
      <c r="N8" s="34">
        <f>'SER_se-appl'!N21</f>
        <v>1242.8405698002887</v>
      </c>
      <c r="O8" s="34">
        <f>'SER_se-appl'!O21</f>
        <v>1290.8296865345396</v>
      </c>
      <c r="P8" s="34">
        <f>'SER_se-appl'!P21</f>
        <v>1330.4480006531674</v>
      </c>
      <c r="Q8" s="34">
        <f>'SER_se-appl'!Q21</f>
        <v>1373.789639423276</v>
      </c>
      <c r="R8" s="34">
        <f>'SER_se-appl'!R21</f>
        <v>1416.7676077662566</v>
      </c>
      <c r="S8" s="34">
        <f>'SER_se-appl'!S21</f>
        <v>1427.8154494228761</v>
      </c>
      <c r="T8" s="34">
        <f>'SER_se-appl'!T21</f>
        <v>1457.5371587875886</v>
      </c>
      <c r="U8" s="34">
        <f>'SER_se-appl'!U21</f>
        <v>1485.4490266330356</v>
      </c>
      <c r="V8" s="34">
        <f>'SER_se-appl'!V21</f>
        <v>1511.1212562953924</v>
      </c>
      <c r="W8" s="34">
        <f>'SER_se-appl'!W21</f>
        <v>1534.0676453062354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94.32199720160304</v>
      </c>
      <c r="D9" s="36">
        <f>'SER_se-appl'!D29</f>
        <v>173.76069316569715</v>
      </c>
      <c r="E9" s="36">
        <f>'SER_se-appl'!E29</f>
        <v>120.63487678939248</v>
      </c>
      <c r="F9" s="36">
        <f>'SER_se-appl'!F29</f>
        <v>136.17654961272228</v>
      </c>
      <c r="G9" s="36">
        <f>'SER_se-appl'!G29</f>
        <v>141.17814535845673</v>
      </c>
      <c r="H9" s="36">
        <f>'SER_se-appl'!H29</f>
        <v>159.2447335654191</v>
      </c>
      <c r="I9" s="36">
        <f>'SER_se-appl'!I29</f>
        <v>162.95121962666701</v>
      </c>
      <c r="J9" s="36">
        <f>'SER_se-appl'!J29</f>
        <v>155.62976932874346</v>
      </c>
      <c r="K9" s="36">
        <f>'SER_se-appl'!K29</f>
        <v>227.83984137657922</v>
      </c>
      <c r="L9" s="36">
        <f>'SER_se-appl'!L29</f>
        <v>178.45672826568114</v>
      </c>
      <c r="M9" s="36">
        <f>'SER_se-appl'!M29</f>
        <v>172.13022161348795</v>
      </c>
      <c r="N9" s="36">
        <f>'SER_se-appl'!N29</f>
        <v>186.58805602371081</v>
      </c>
      <c r="O9" s="36">
        <f>'SER_se-appl'!O29</f>
        <v>207.23385029966994</v>
      </c>
      <c r="P9" s="36">
        <f>'SER_se-appl'!P29</f>
        <v>202.56953374529462</v>
      </c>
      <c r="Q9" s="36">
        <f>'SER_se-appl'!Q29</f>
        <v>198.97140809885218</v>
      </c>
      <c r="R9" s="36">
        <f>'SER_se-appl'!R29</f>
        <v>270.81780971955982</v>
      </c>
      <c r="S9" s="36">
        <f>'SER_se-appl'!S29</f>
        <v>189.50456992230056</v>
      </c>
      <c r="T9" s="36">
        <f>'SER_se-appl'!T29</f>
        <v>201.85193097820047</v>
      </c>
      <c r="U9" s="36">
        <f>'SER_se-appl'!U29</f>
        <v>214.49992386915778</v>
      </c>
      <c r="V9" s="36">
        <f>'SER_se-appl'!V29</f>
        <v>232.90607996202675</v>
      </c>
      <c r="W9" s="36">
        <f>'SER_se-appl'!W29</f>
        <v>225.51592275613757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78.517314971339829</v>
      </c>
      <c r="D10" s="38">
        <f>'SER_se-appl'!D37</f>
        <v>81.897083490814111</v>
      </c>
      <c r="E10" s="38">
        <f>'SER_se-appl'!E37</f>
        <v>85.422333745742662</v>
      </c>
      <c r="F10" s="38">
        <f>'SER_se-appl'!F37</f>
        <v>89.099327980189855</v>
      </c>
      <c r="G10" s="38">
        <f>'SER_se-appl'!G37</f>
        <v>92.934597995774084</v>
      </c>
      <c r="H10" s="38">
        <f>'SER_se-appl'!H37</f>
        <v>96.934956754740483</v>
      </c>
      <c r="I10" s="38">
        <f>'SER_se-appl'!I37</f>
        <v>101.10751048248653</v>
      </c>
      <c r="J10" s="38">
        <f>'SER_se-appl'!J37</f>
        <v>94.321997201603153</v>
      </c>
      <c r="K10" s="38">
        <f>'SER_se-appl'!K37</f>
        <v>173.76069316569715</v>
      </c>
      <c r="L10" s="38">
        <f>'SER_se-appl'!L37</f>
        <v>120.63487678939259</v>
      </c>
      <c r="M10" s="38">
        <f>'SER_se-appl'!M37</f>
        <v>136.17654961272228</v>
      </c>
      <c r="N10" s="38">
        <f>'SER_se-appl'!N37</f>
        <v>141.17814535845673</v>
      </c>
      <c r="O10" s="38">
        <f>'SER_se-appl'!O37</f>
        <v>159.24473356541898</v>
      </c>
      <c r="P10" s="38">
        <f>'SER_se-appl'!P37</f>
        <v>162.9512196266669</v>
      </c>
      <c r="Q10" s="38">
        <f>'SER_se-appl'!Q37</f>
        <v>155.62976932874358</v>
      </c>
      <c r="R10" s="38">
        <f>'SER_se-appl'!R37</f>
        <v>227.83984137657922</v>
      </c>
      <c r="S10" s="38">
        <f>'SER_se-appl'!S37</f>
        <v>178.45672826568102</v>
      </c>
      <c r="T10" s="38">
        <f>'SER_se-appl'!T37</f>
        <v>172.13022161348795</v>
      </c>
      <c r="U10" s="38">
        <f>'SER_se-appl'!U37</f>
        <v>186.58805602371081</v>
      </c>
      <c r="V10" s="38">
        <f>'SER_se-appl'!V37</f>
        <v>207.23385029966994</v>
      </c>
      <c r="W10" s="38">
        <f>'SER_se-appl'!W37</f>
        <v>202.56953374529462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4135.7073751928883</v>
      </c>
      <c r="C12" s="205">
        <f>'SER_se-appl'!C45</f>
        <v>4142.2480696546772</v>
      </c>
      <c r="D12" s="205">
        <f>'SER_se-appl'!D45</f>
        <v>4144.7036594993679</v>
      </c>
      <c r="E12" s="205">
        <f>'SER_se-appl'!E45</f>
        <v>4145.893408397068</v>
      </c>
      <c r="F12" s="205">
        <f>'SER_se-appl'!F45</f>
        <v>4145.9586470505446</v>
      </c>
      <c r="G12" s="205">
        <f>'SER_se-appl'!G45</f>
        <v>4144.1385213092599</v>
      </c>
      <c r="H12" s="205">
        <f>'SER_se-appl'!H45</f>
        <v>4138.0788721160898</v>
      </c>
      <c r="I12" s="205">
        <f>'SER_se-appl'!I45</f>
        <v>4123.1162990636058</v>
      </c>
      <c r="J12" s="205">
        <f>'SER_se-appl'!J45</f>
        <v>4116.729661316409</v>
      </c>
      <c r="K12" s="205">
        <f>'SER_se-appl'!K45</f>
        <v>4105.8296128024704</v>
      </c>
      <c r="L12" s="205">
        <f>'SER_se-appl'!L45</f>
        <v>4095.4121102152089</v>
      </c>
      <c r="M12" s="205">
        <f>'SER_se-appl'!M45</f>
        <v>4047.5604396567869</v>
      </c>
      <c r="N12" s="205">
        <f>'SER_se-appl'!N45</f>
        <v>4027.8586266881866</v>
      </c>
      <c r="O12" s="205">
        <f>'SER_se-appl'!O45</f>
        <v>4011.3690514061987</v>
      </c>
      <c r="P12" s="205">
        <f>'SER_se-appl'!P45</f>
        <v>3990.4463299442982</v>
      </c>
      <c r="Q12" s="205">
        <f>'SER_se-appl'!Q45</f>
        <v>3951.4843225665272</v>
      </c>
      <c r="R12" s="205">
        <f>'SER_se-appl'!R45</f>
        <v>3973.763735904231</v>
      </c>
      <c r="S12" s="205">
        <f>'SER_se-appl'!S45</f>
        <v>4029.219267289584</v>
      </c>
      <c r="T12" s="205">
        <f>'SER_se-appl'!T45</f>
        <v>3968.9997818134125</v>
      </c>
      <c r="U12" s="205">
        <f>'SER_se-appl'!U45</f>
        <v>3931.2336046166247</v>
      </c>
      <c r="V12" s="205">
        <f>'SER_se-appl'!V45</f>
        <v>3896.7367777297222</v>
      </c>
      <c r="W12" s="205">
        <f>'SER_se-appl'!W45</f>
        <v>3873.796805173034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194.64547460800463</v>
      </c>
      <c r="C14" s="59">
        <f>'SER_se-appl'!C53</f>
        <v>192.75790949675775</v>
      </c>
      <c r="D14" s="59">
        <f>'SER_se-appl'!D53</f>
        <v>189.34798114475601</v>
      </c>
      <c r="E14" s="59">
        <f>'SER_se-appl'!E53</f>
        <v>186.69403326597316</v>
      </c>
      <c r="F14" s="59">
        <f>'SER_se-appl'!F53</f>
        <v>183.43885555173313</v>
      </c>
      <c r="G14" s="59">
        <f>'SER_se-appl'!G53</f>
        <v>179.78245346059046</v>
      </c>
      <c r="H14" s="59">
        <f>'SER_se-appl'!H53</f>
        <v>175.66648469311875</v>
      </c>
      <c r="I14" s="59">
        <f>'SER_se-appl'!I53</f>
        <v>171.25754836658763</v>
      </c>
      <c r="J14" s="59">
        <f>'SER_se-appl'!J53</f>
        <v>168.21884203759177</v>
      </c>
      <c r="K14" s="59">
        <f>'SER_se-appl'!K53</f>
        <v>163.49813228206173</v>
      </c>
      <c r="L14" s="59">
        <f>'SER_se-appl'!L53</f>
        <v>159.92748145050726</v>
      </c>
      <c r="M14" s="59">
        <f>'SER_se-appl'!M53</f>
        <v>156.10743678344306</v>
      </c>
      <c r="N14" s="59">
        <f>'SER_se-appl'!N53</f>
        <v>151.77758940009861</v>
      </c>
      <c r="O14" s="59">
        <f>'SER_se-appl'!O53</f>
        <v>147.01561598677733</v>
      </c>
      <c r="P14" s="59">
        <f>'SER_se-appl'!P53</f>
        <v>142.24752612821877</v>
      </c>
      <c r="Q14" s="59">
        <f>'SER_se-appl'!Q53</f>
        <v>137.6405743846565</v>
      </c>
      <c r="R14" s="59">
        <f>'SER_se-appl'!R53</f>
        <v>130.86681408187141</v>
      </c>
      <c r="S14" s="59">
        <f>'SER_se-appl'!S53</f>
        <v>125.91409624266882</v>
      </c>
      <c r="T14" s="59">
        <f>'SER_se-appl'!T53</f>
        <v>120.9992419468108</v>
      </c>
      <c r="U14" s="59">
        <f>'SER_se-appl'!U53</f>
        <v>115.99322485961945</v>
      </c>
      <c r="V14" s="59">
        <f>'SER_se-appl'!V53</f>
        <v>110.47882365583258</v>
      </c>
      <c r="W14" s="59">
        <f>'SER_se-appl'!W53</f>
        <v>105.71636146222782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181.80346340250043</v>
      </c>
      <c r="D15" s="63">
        <f>'SER_se-appl'!D61</f>
        <v>179.25155225810278</v>
      </c>
      <c r="E15" s="63">
        <f>'SER_se-appl'!E61</f>
        <v>176.18582698196556</v>
      </c>
      <c r="F15" s="63">
        <f>'SER_se-appl'!F61</f>
        <v>172.3939381700545</v>
      </c>
      <c r="G15" s="63">
        <f>'SER_se-appl'!G61</f>
        <v>168.43604997461281</v>
      </c>
      <c r="H15" s="63">
        <f>'SER_se-appl'!H61</f>
        <v>164.88470477180334</v>
      </c>
      <c r="I15" s="63">
        <f>'SER_se-appl'!I61</f>
        <v>160.70315260698769</v>
      </c>
      <c r="J15" s="63">
        <f>'SER_se-appl'!J61</f>
        <v>157.15586694164094</v>
      </c>
      <c r="K15" s="63">
        <f>'SER_se-appl'!K61</f>
        <v>153.76577636508517</v>
      </c>
      <c r="L15" s="63">
        <f>'SER_se-appl'!L61</f>
        <v>148.83547255212198</v>
      </c>
      <c r="M15" s="63">
        <f>'SER_se-appl'!M61</f>
        <v>143.21571802698136</v>
      </c>
      <c r="N15" s="63">
        <f>'SER_se-appl'!N61</f>
        <v>136.59504503940613</v>
      </c>
      <c r="O15" s="63">
        <f>'SER_se-appl'!O61</f>
        <v>132.18784792034273</v>
      </c>
      <c r="P15" s="63">
        <f>'SER_se-appl'!P61</f>
        <v>126.71002137313791</v>
      </c>
      <c r="Q15" s="63">
        <f>'SER_se-appl'!Q61</f>
        <v>122.09990305480696</v>
      </c>
      <c r="R15" s="63">
        <f>'SER_se-appl'!R61</f>
        <v>115.7702227836815</v>
      </c>
      <c r="S15" s="63">
        <f>'SER_se-appl'!S61</f>
        <v>110.47184921582063</v>
      </c>
      <c r="T15" s="63">
        <f>'SER_se-appl'!T61</f>
        <v>105.17884365454553</v>
      </c>
      <c r="U15" s="63">
        <f>'SER_se-appl'!U61</f>
        <v>99.898103323275777</v>
      </c>
      <c r="V15" s="63">
        <f>'SER_se-appl'!V61</f>
        <v>94.624719646835288</v>
      </c>
      <c r="W15" s="63">
        <f>'SER_se-appl'!W61</f>
        <v>92.661930904424295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58.938752901654965</v>
      </c>
      <c r="C3" s="199">
        <f>'SER_se-appl'!C6</f>
        <v>60.759056164203564</v>
      </c>
      <c r="D3" s="199">
        <f>'SER_se-appl'!D6</f>
        <v>62.550429239376697</v>
      </c>
      <c r="E3" s="199">
        <f>'SER_se-appl'!E6</f>
        <v>63.792821909368698</v>
      </c>
      <c r="F3" s="199">
        <f>'SER_se-appl'!F6</f>
        <v>65.286174912388603</v>
      </c>
      <c r="G3" s="199">
        <f>'SER_se-appl'!G6</f>
        <v>67.327065958051818</v>
      </c>
      <c r="H3" s="199">
        <f>'SER_se-appl'!H6</f>
        <v>68.611493077833657</v>
      </c>
      <c r="I3" s="199">
        <f>'SER_se-appl'!I6</f>
        <v>71.871999076617897</v>
      </c>
      <c r="J3" s="199">
        <f>'SER_se-appl'!J6</f>
        <v>72.989326280653785</v>
      </c>
      <c r="K3" s="199">
        <f>'SER_se-appl'!K6</f>
        <v>71.72631498757994</v>
      </c>
      <c r="L3" s="199">
        <f>'SER_se-appl'!L6</f>
        <v>70.702594462158729</v>
      </c>
      <c r="M3" s="199">
        <f>'SER_se-appl'!M6</f>
        <v>70.059988875020196</v>
      </c>
      <c r="N3" s="199">
        <f>'SER_se-appl'!N6</f>
        <v>68.597219486890566</v>
      </c>
      <c r="O3" s="199">
        <f>'SER_se-appl'!O6</f>
        <v>66.350853534408245</v>
      </c>
      <c r="P3" s="199">
        <f>'SER_se-appl'!P6</f>
        <v>65.304010764755859</v>
      </c>
      <c r="Q3" s="199">
        <f>'SER_se-appl'!Q6</f>
        <v>64.820664607071706</v>
      </c>
      <c r="R3" s="199">
        <f>'SER_se-appl'!R6</f>
        <v>65.096740254133763</v>
      </c>
      <c r="S3" s="199">
        <f>'SER_se-appl'!S6</f>
        <v>65.069373648861315</v>
      </c>
      <c r="T3" s="199">
        <f>'SER_se-appl'!T6</f>
        <v>62.331030133684592</v>
      </c>
      <c r="U3" s="199">
        <f>'SER_se-appl'!U6</f>
        <v>59.225387462209689</v>
      </c>
      <c r="V3" s="199">
        <f>'SER_se-appl'!V6</f>
        <v>52.814320010743522</v>
      </c>
      <c r="W3" s="199">
        <f>'SER_se-appl'!W6</f>
        <v>55.848705580641727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293.60912195565533</v>
      </c>
      <c r="C5" s="59">
        <f>'SER_se-appl'!C14</f>
        <v>299.35127060869678</v>
      </c>
      <c r="D5" s="59">
        <f>'SER_se-appl'!D14</f>
        <v>304.90872411702389</v>
      </c>
      <c r="E5" s="59">
        <f>'SER_se-appl'!E14</f>
        <v>307.94640515682005</v>
      </c>
      <c r="F5" s="59">
        <f>'SER_se-appl'!F14</f>
        <v>312.71406402173221</v>
      </c>
      <c r="G5" s="59">
        <f>'SER_se-appl'!G14</f>
        <v>319.9048281847987</v>
      </c>
      <c r="H5" s="59">
        <f>'SER_se-appl'!H14</f>
        <v>324.73028411801255</v>
      </c>
      <c r="I5" s="59">
        <f>'SER_se-appl'!I14</f>
        <v>338.3545428923349</v>
      </c>
      <c r="J5" s="59">
        <f>'SER_se-appl'!J14</f>
        <v>341.96892223549247</v>
      </c>
      <c r="K5" s="59">
        <f>'SER_se-appl'!K14</f>
        <v>335.18293128738981</v>
      </c>
      <c r="L5" s="59">
        <f>'SER_se-appl'!L14</f>
        <v>329.01058106626374</v>
      </c>
      <c r="M5" s="59">
        <f>'SER_se-appl'!M14</f>
        <v>325.08147145211353</v>
      </c>
      <c r="N5" s="59">
        <f>'SER_se-appl'!N14</f>
        <v>317.38203016625243</v>
      </c>
      <c r="O5" s="59">
        <f>'SER_se-appl'!O14</f>
        <v>306.490989085482</v>
      </c>
      <c r="P5" s="59">
        <f>'SER_se-appl'!P14</f>
        <v>300.34897924600301</v>
      </c>
      <c r="Q5" s="59">
        <f>'SER_se-appl'!Q14</f>
        <v>295.12579657593727</v>
      </c>
      <c r="R5" s="59">
        <f>'SER_se-appl'!R14</f>
        <v>290.94373027869204</v>
      </c>
      <c r="S5" s="59">
        <f>'SER_se-appl'!S14</f>
        <v>282.02836485672617</v>
      </c>
      <c r="T5" s="59">
        <f>'SER_se-appl'!T14</f>
        <v>273.71723964446568</v>
      </c>
      <c r="U5" s="59">
        <f>'SER_se-appl'!U14</f>
        <v>261.21199717229803</v>
      </c>
      <c r="V5" s="59">
        <f>'SER_se-appl'!V14</f>
        <v>248.46399191892036</v>
      </c>
      <c r="W5" s="59">
        <f>'SER_se-appl'!W14</f>
        <v>238.46885335170151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178.43306438163086</v>
      </c>
      <c r="C6" s="202">
        <f>'SER_se-appl'!C70</f>
        <v>179.20801846215278</v>
      </c>
      <c r="D6" s="202">
        <f>'SER_se-appl'!D70</f>
        <v>180.90874850603751</v>
      </c>
      <c r="E6" s="202">
        <f>'SER_se-appl'!E70</f>
        <v>182.62132450646953</v>
      </c>
      <c r="F6" s="202">
        <f>'SER_se-appl'!F70</f>
        <v>185.42878829901323</v>
      </c>
      <c r="G6" s="202">
        <f>'SER_se-appl'!G70</f>
        <v>188.37140182448175</v>
      </c>
      <c r="H6" s="202">
        <f>'SER_se-appl'!H70</f>
        <v>191.26708171150253</v>
      </c>
      <c r="I6" s="202">
        <f>'SER_se-appl'!I70</f>
        <v>194.29040929677564</v>
      </c>
      <c r="J6" s="202">
        <f>'SER_se-appl'!J70</f>
        <v>198.65576241819198</v>
      </c>
      <c r="K6" s="202">
        <f>'SER_se-appl'!K70</f>
        <v>205.15747212410685</v>
      </c>
      <c r="L6" s="202">
        <f>'SER_se-appl'!L70</f>
        <v>210.41554034476019</v>
      </c>
      <c r="M6" s="202">
        <f>'SER_se-appl'!M70</f>
        <v>215.16347880798227</v>
      </c>
      <c r="N6" s="202">
        <f>'SER_se-appl'!N70</f>
        <v>219.96019433196011</v>
      </c>
      <c r="O6" s="202">
        <f>'SER_se-appl'!O70</f>
        <v>223.78063373021959</v>
      </c>
      <c r="P6" s="202">
        <f>'SER_se-appl'!P70</f>
        <v>228.24109433394887</v>
      </c>
      <c r="Q6" s="202">
        <f>'SER_se-appl'!Q70</f>
        <v>234.78547355218362</v>
      </c>
      <c r="R6" s="202">
        <f>'SER_se-appl'!R70</f>
        <v>239.47541905733584</v>
      </c>
      <c r="S6" s="202">
        <f>'SER_se-appl'!S70</f>
        <v>244.21632932428162</v>
      </c>
      <c r="T6" s="202">
        <f>'SER_se-appl'!T70</f>
        <v>248.81018492000243</v>
      </c>
      <c r="U6" s="202">
        <f>'SER_se-appl'!U70</f>
        <v>253.13589066691156</v>
      </c>
      <c r="V6" s="202">
        <f>'SER_se-appl'!V70</f>
        <v>256.96776182652201</v>
      </c>
      <c r="W6" s="202">
        <f>'SER_se-appl'!W70</f>
        <v>260.09173961688691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6.8310868433726775</v>
      </c>
      <c r="C8" s="34">
        <f>'SER_se-appl'!C22</f>
        <v>7.0347359702844203</v>
      </c>
      <c r="D8" s="34">
        <f>'SER_se-appl'!D22</f>
        <v>7.2793897066577635</v>
      </c>
      <c r="E8" s="34">
        <f>'SER_se-appl'!E22</f>
        <v>7.4925656391266715</v>
      </c>
      <c r="F8" s="34">
        <f>'SER_se-appl'!F22</f>
        <v>7.7774148540278762</v>
      </c>
      <c r="G8" s="34">
        <f>'SER_se-appl'!G22</f>
        <v>8.1594433030855011</v>
      </c>
      <c r="H8" s="34">
        <f>'SER_se-appl'!H22</f>
        <v>8.5246678994312131</v>
      </c>
      <c r="I8" s="34">
        <f>'SER_se-appl'!I22</f>
        <v>9.1208079250589744</v>
      </c>
      <c r="J8" s="34">
        <f>'SER_se-appl'!J22</f>
        <v>9.4584207131845037</v>
      </c>
      <c r="K8" s="34">
        <f>'SER_se-appl'!K22</f>
        <v>9.5081858965793042</v>
      </c>
      <c r="L8" s="34">
        <f>'SER_se-appl'!L22</f>
        <v>9.6304853436126194</v>
      </c>
      <c r="M8" s="34">
        <f>'SER_se-appl'!M22</f>
        <v>9.9167548046263718</v>
      </c>
      <c r="N8" s="34">
        <f>'SER_se-appl'!N22</f>
        <v>10.115673919356464</v>
      </c>
      <c r="O8" s="34">
        <f>'SER_se-appl'!O22</f>
        <v>10.343977261028366</v>
      </c>
      <c r="P8" s="34">
        <f>'SER_se-appl'!P22</f>
        <v>10.712911334107833</v>
      </c>
      <c r="Q8" s="34">
        <f>'SER_se-appl'!Q22</f>
        <v>11.063390340091876</v>
      </c>
      <c r="R8" s="34">
        <f>'SER_se-appl'!R22</f>
        <v>11.605629310471272</v>
      </c>
      <c r="S8" s="34">
        <f>'SER_se-appl'!S22</f>
        <v>12.031595256996596</v>
      </c>
      <c r="T8" s="34">
        <f>'SER_se-appl'!T22</f>
        <v>12.529520723046268</v>
      </c>
      <c r="U8" s="34">
        <f>'SER_se-appl'!U22</f>
        <v>12.965846673360264</v>
      </c>
      <c r="V8" s="34">
        <f>'SER_se-appl'!V22</f>
        <v>13.352956283501364</v>
      </c>
      <c r="W8" s="34">
        <f>'SER_se-appl'!W22</f>
        <v>13.689826087659709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1.2704332991561404</v>
      </c>
      <c r="D9" s="36">
        <f>'SER_se-appl'!D30</f>
        <v>1.3391512034431754</v>
      </c>
      <c r="E9" s="36">
        <f>'SER_se-appl'!E30</f>
        <v>1.3361066400945898</v>
      </c>
      <c r="F9" s="36">
        <f>'SER_se-appl'!F30</f>
        <v>1.4369518118168179</v>
      </c>
      <c r="G9" s="36">
        <f>'SER_se-appl'!G30</f>
        <v>1.5640607728741323</v>
      </c>
      <c r="H9" s="36">
        <f>'SER_se-appl'!H30</f>
        <v>1.5779641720463573</v>
      </c>
      <c r="I9" s="36">
        <f>'SER_se-appl'!I30</f>
        <v>1.8665733247839018</v>
      </c>
      <c r="J9" s="36">
        <f>'SER_se-appl'!J30</f>
        <v>1.6767639915687047</v>
      </c>
      <c r="K9" s="36">
        <f>'SER_se-appl'!K30</f>
        <v>1.3858718234893903</v>
      </c>
      <c r="L9" s="36">
        <f>'SER_se-appl'!L30</f>
        <v>1.5592512588501322</v>
      </c>
      <c r="M9" s="36">
        <f>'SER_se-appl'!M30</f>
        <v>1.8503302338878846</v>
      </c>
      <c r="N9" s="36">
        <f>'SER_se-appl'!N30</f>
        <v>1.7768832867764495</v>
      </c>
      <c r="O9" s="36">
        <f>'SER_se-appl'!O30</f>
        <v>2.0948766664558036</v>
      </c>
      <c r="P9" s="36">
        <f>'SER_se-appl'!P30</f>
        <v>2.0456980646481711</v>
      </c>
      <c r="Q9" s="36">
        <f>'SER_se-appl'!Q30</f>
        <v>1.7363508294734338</v>
      </c>
      <c r="R9" s="36">
        <f>'SER_se-appl'!R30</f>
        <v>2.1014902292295279</v>
      </c>
      <c r="S9" s="36">
        <f>'SER_se-appl'!S30</f>
        <v>2.2762961804132082</v>
      </c>
      <c r="T9" s="36">
        <f>'SER_se-appl'!T30</f>
        <v>2.2748087528261216</v>
      </c>
      <c r="U9" s="36">
        <f>'SER_se-appl'!U30</f>
        <v>2.5312026167698001</v>
      </c>
      <c r="V9" s="36">
        <f>'SER_se-appl'!V30</f>
        <v>2.4328076747892702</v>
      </c>
      <c r="W9" s="36">
        <f>'SER_se-appl'!W30</f>
        <v>2.0732206336317791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1.0667841722443976</v>
      </c>
      <c r="D10" s="38">
        <f>'SER_se-appl'!D38</f>
        <v>1.0944974670698322</v>
      </c>
      <c r="E10" s="38">
        <f>'SER_se-appl'!E38</f>
        <v>1.1229307076256818</v>
      </c>
      <c r="F10" s="38">
        <f>'SER_se-appl'!F38</f>
        <v>1.1521025969156131</v>
      </c>
      <c r="G10" s="38">
        <f>'SER_se-appl'!G38</f>
        <v>1.1820323238165074</v>
      </c>
      <c r="H10" s="38">
        <f>'SER_se-appl'!H38</f>
        <v>1.2127395757006454</v>
      </c>
      <c r="I10" s="38">
        <f>'SER_se-appl'!I38</f>
        <v>1.2704332991561404</v>
      </c>
      <c r="J10" s="38">
        <f>'SER_se-appl'!J38</f>
        <v>1.3391512034431745</v>
      </c>
      <c r="K10" s="38">
        <f>'SER_se-appl'!K38</f>
        <v>1.3361066400945898</v>
      </c>
      <c r="L10" s="38">
        <f>'SER_se-appl'!L38</f>
        <v>1.436951811816817</v>
      </c>
      <c r="M10" s="38">
        <f>'SER_se-appl'!M38</f>
        <v>1.5640607728741323</v>
      </c>
      <c r="N10" s="38">
        <f>'SER_se-appl'!N38</f>
        <v>1.5779641720463573</v>
      </c>
      <c r="O10" s="38">
        <f>'SER_se-appl'!O38</f>
        <v>1.8665733247839018</v>
      </c>
      <c r="P10" s="38">
        <f>'SER_se-appl'!P38</f>
        <v>1.6767639915687038</v>
      </c>
      <c r="Q10" s="38">
        <f>'SER_se-appl'!Q38</f>
        <v>1.3858718234893903</v>
      </c>
      <c r="R10" s="38">
        <f>'SER_se-appl'!R38</f>
        <v>1.5592512588501322</v>
      </c>
      <c r="S10" s="38">
        <f>'SER_se-appl'!S38</f>
        <v>1.8503302338878846</v>
      </c>
      <c r="T10" s="38">
        <f>'SER_se-appl'!T38</f>
        <v>1.7768832867764495</v>
      </c>
      <c r="U10" s="38">
        <f>'SER_se-appl'!U38</f>
        <v>2.0948766664558036</v>
      </c>
      <c r="V10" s="38">
        <f>'SER_se-appl'!V38</f>
        <v>2.0456980646481711</v>
      </c>
      <c r="W10" s="38">
        <f>'SER_se-appl'!W38</f>
        <v>1.7363508294734338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2334.5926437182493</v>
      </c>
      <c r="C12" s="205">
        <f>'SER_se-appl'!C46</f>
        <v>2360.5305624821303</v>
      </c>
      <c r="D12" s="205">
        <f>'SER_se-appl'!D46</f>
        <v>2385.8336430372242</v>
      </c>
      <c r="E12" s="205">
        <f>'SER_se-appl'!E46</f>
        <v>2409.2196121859065</v>
      </c>
      <c r="F12" s="205">
        <f>'SER_se-appl'!F46</f>
        <v>2428.0270751695807</v>
      </c>
      <c r="G12" s="205">
        <f>'SER_se-appl'!G46</f>
        <v>2447.6460125191384</v>
      </c>
      <c r="H12" s="205">
        <f>'SER_se-appl'!H46</f>
        <v>2457.2751711855003</v>
      </c>
      <c r="I12" s="205">
        <f>'SER_se-appl'!I46</f>
        <v>2470.4008467444814</v>
      </c>
      <c r="J12" s="205">
        <f>'SER_se-appl'!J46</f>
        <v>2482.289498983896</v>
      </c>
      <c r="K12" s="205">
        <f>'SER_se-appl'!K46</f>
        <v>2488.7217260783532</v>
      </c>
      <c r="L12" s="205">
        <f>'SER_se-appl'!L46</f>
        <v>2499.2241007267121</v>
      </c>
      <c r="M12" s="205">
        <f>'SER_se-appl'!M46</f>
        <v>2506.4414375167162</v>
      </c>
      <c r="N12" s="205">
        <f>'SER_se-appl'!N46</f>
        <v>2513.6447145877723</v>
      </c>
      <c r="O12" s="205">
        <f>'SER_se-appl'!O46</f>
        <v>2517.7263087168531</v>
      </c>
      <c r="P12" s="205">
        <f>'SER_se-appl'!P46</f>
        <v>2528.6772976579632</v>
      </c>
      <c r="Q12" s="205">
        <f>'SER_se-appl'!Q46</f>
        <v>2554.3830397973056</v>
      </c>
      <c r="R12" s="205">
        <f>'SER_se-appl'!R46</f>
        <v>2602.135775293666</v>
      </c>
      <c r="S12" s="205">
        <f>'SER_se-appl'!S46</f>
        <v>2683.2649117428268</v>
      </c>
      <c r="T12" s="205">
        <f>'SER_se-appl'!T46</f>
        <v>2648.3895621494107</v>
      </c>
      <c r="U12" s="205">
        <f>'SER_se-appl'!U46</f>
        <v>2636.905133155753</v>
      </c>
      <c r="V12" s="205">
        <f>'SER_se-appl'!V46</f>
        <v>2472.1108961550653</v>
      </c>
      <c r="W12" s="205">
        <f>'SER_se-appl'!W46</f>
        <v>2723.7118674988124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42.98131888639454</v>
      </c>
      <c r="C14" s="59">
        <f>'SER_se-appl'!C54</f>
        <v>42.553305749241041</v>
      </c>
      <c r="D14" s="59">
        <f>'SER_se-appl'!D54</f>
        <v>41.886577914375565</v>
      </c>
      <c r="E14" s="59">
        <f>'SER_se-appl'!E54</f>
        <v>41.100261244119586</v>
      </c>
      <c r="F14" s="59">
        <f>'SER_se-appl'!F54</f>
        <v>40.207970114874286</v>
      </c>
      <c r="G14" s="59">
        <f>'SER_se-appl'!G54</f>
        <v>39.206697847122292</v>
      </c>
      <c r="H14" s="59">
        <f>'SER_se-appl'!H54</f>
        <v>38.093012883197403</v>
      </c>
      <c r="I14" s="59">
        <f>'SER_se-appl'!I54</f>
        <v>37.096992467380254</v>
      </c>
      <c r="J14" s="59">
        <f>'SER_se-appl'!J54</f>
        <v>36.154970539511645</v>
      </c>
      <c r="K14" s="59">
        <f>'SER_se-appl'!K54</f>
        <v>35.252038078891189</v>
      </c>
      <c r="L14" s="59">
        <f>'SER_se-appl'!L54</f>
        <v>34.163447565441622</v>
      </c>
      <c r="M14" s="59">
        <f>'SER_se-appl'!M54</f>
        <v>32.781033499028965</v>
      </c>
      <c r="N14" s="59">
        <f>'SER_se-appl'!N54</f>
        <v>31.375272937469653</v>
      </c>
      <c r="O14" s="59">
        <f>'SER_se-appl'!O54</f>
        <v>29.629897799583098</v>
      </c>
      <c r="P14" s="59">
        <f>'SER_se-appl'!P54</f>
        <v>28.03616774926066</v>
      </c>
      <c r="Q14" s="59">
        <f>'SER_se-appl'!Q54</f>
        <v>26.675891160275771</v>
      </c>
      <c r="R14" s="59">
        <f>'SER_se-appl'!R54</f>
        <v>25.069190346807453</v>
      </c>
      <c r="S14" s="59">
        <f>'SER_se-appl'!S54</f>
        <v>23.440645968598506</v>
      </c>
      <c r="T14" s="59">
        <f>'SER_se-appl'!T54</f>
        <v>21.845786897578758</v>
      </c>
      <c r="U14" s="59">
        <f>'SER_se-appl'!U54</f>
        <v>20.146158114686514</v>
      </c>
      <c r="V14" s="59">
        <f>'SER_se-appl'!V54</f>
        <v>18.607414466406762</v>
      </c>
      <c r="W14" s="59">
        <f>'SER_se-appl'!W54</f>
        <v>17.419421680357374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40.611293310326893</v>
      </c>
      <c r="D15" s="63">
        <f>'SER_se-appl'!D62</f>
        <v>39.278908927955634</v>
      </c>
      <c r="E15" s="63">
        <f>'SER_se-appl'!E62</f>
        <v>38.397177539622298</v>
      </c>
      <c r="F15" s="63">
        <f>'SER_se-appl'!F62</f>
        <v>37.778962054508966</v>
      </c>
      <c r="G15" s="63">
        <f>'SER_se-appl'!G62</f>
        <v>37.080446880894307</v>
      </c>
      <c r="H15" s="63">
        <f>'SER_se-appl'!H62</f>
        <v>36.091188489215611</v>
      </c>
      <c r="I15" s="63">
        <f>'SER_se-appl'!I62</f>
        <v>34.940067583527224</v>
      </c>
      <c r="J15" s="63">
        <f>'SER_se-appl'!J62</f>
        <v>33.52575424247523</v>
      </c>
      <c r="K15" s="63">
        <f>'SER_se-appl'!K62</f>
        <v>32.121825531737819</v>
      </c>
      <c r="L15" s="63">
        <f>'SER_se-appl'!L62</f>
        <v>30.857244769609007</v>
      </c>
      <c r="M15" s="63">
        <f>'SER_se-appl'!M62</f>
        <v>29.220169352848348</v>
      </c>
      <c r="N15" s="63">
        <f>'SER_se-appl'!N62</f>
        <v>27.717724311562723</v>
      </c>
      <c r="O15" s="63">
        <f>'SER_se-appl'!O62</f>
        <v>25.933343908355763</v>
      </c>
      <c r="P15" s="63">
        <f>'SER_se-appl'!P62</f>
        <v>24.477105653955334</v>
      </c>
      <c r="Q15" s="63">
        <f>'SER_se-appl'!Q62</f>
        <v>22.629960251366914</v>
      </c>
      <c r="R15" s="63">
        <f>'SER_se-appl'!R62</f>
        <v>20.905227558693539</v>
      </c>
      <c r="S15" s="63">
        <f>'SER_se-appl'!S62</f>
        <v>19.835554687236442</v>
      </c>
      <c r="T15" s="63">
        <f>'SER_se-appl'!T62</f>
        <v>17.997133083636374</v>
      </c>
      <c r="U15" s="63">
        <f>'SER_se-appl'!U62</f>
        <v>16.522547143219896</v>
      </c>
      <c r="V15" s="63">
        <f>'SER_se-appl'!V62</f>
        <v>15.342257753416794</v>
      </c>
      <c r="W15" s="63">
        <f>'SER_se-appl'!W62</f>
        <v>14.131834890563088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49.736449551595442</v>
      </c>
      <c r="C3" s="199">
        <f>'SER_se-appl'!C7</f>
        <v>50.249271637234159</v>
      </c>
      <c r="D3" s="199">
        <f>'SER_se-appl'!D7</f>
        <v>50.910778163259387</v>
      </c>
      <c r="E3" s="199">
        <f>'SER_se-appl'!E7</f>
        <v>51.80150005032727</v>
      </c>
      <c r="F3" s="199">
        <f>'SER_se-appl'!F7</f>
        <v>52.656246705896457</v>
      </c>
      <c r="G3" s="199">
        <f>'SER_se-appl'!G7</f>
        <v>53.966367215849353</v>
      </c>
      <c r="H3" s="199">
        <f>'SER_se-appl'!H7</f>
        <v>55.905827466194864</v>
      </c>
      <c r="I3" s="199">
        <f>'SER_se-appl'!I7</f>
        <v>58.878037418530248</v>
      </c>
      <c r="J3" s="199">
        <f>'SER_se-appl'!J7</f>
        <v>61.195814598343375</v>
      </c>
      <c r="K3" s="199">
        <f>'SER_se-appl'!K7</f>
        <v>62.501021146349224</v>
      </c>
      <c r="L3" s="199">
        <f>'SER_se-appl'!L7</f>
        <v>62.899368961655739</v>
      </c>
      <c r="M3" s="199">
        <f>'SER_se-appl'!M7</f>
        <v>62.577597691881785</v>
      </c>
      <c r="N3" s="199">
        <f>'SER_se-appl'!N7</f>
        <v>62.234213644788497</v>
      </c>
      <c r="O3" s="199">
        <f>'SER_se-appl'!O7</f>
        <v>61.969258541362422</v>
      </c>
      <c r="P3" s="199">
        <f>'SER_se-appl'!P7</f>
        <v>61.913387166234976</v>
      </c>
      <c r="Q3" s="199">
        <f>'SER_se-appl'!Q7</f>
        <v>62.302634882028812</v>
      </c>
      <c r="R3" s="199">
        <f>'SER_se-appl'!R7</f>
        <v>64.294367752744577</v>
      </c>
      <c r="S3" s="199">
        <f>'SER_se-appl'!S7</f>
        <v>64.717319429669772</v>
      </c>
      <c r="T3" s="199">
        <f>'SER_se-appl'!T7</f>
        <v>65.951651621152095</v>
      </c>
      <c r="U3" s="199">
        <f>'SER_se-appl'!U7</f>
        <v>67.198701137539175</v>
      </c>
      <c r="V3" s="199">
        <f>'SER_se-appl'!V7</f>
        <v>68.275212249201033</v>
      </c>
      <c r="W3" s="199">
        <f>'SER_se-appl'!W7</f>
        <v>69.092316297621608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66.031382224321362</v>
      </c>
      <c r="C5" s="59">
        <f>'SER_se-appl'!C15</f>
        <v>66.71221793847414</v>
      </c>
      <c r="D5" s="59">
        <f>'SER_se-appl'!D15</f>
        <v>67.59045091766059</v>
      </c>
      <c r="E5" s="59">
        <f>'SER_se-appl'!E15</f>
        <v>68.772996071381968</v>
      </c>
      <c r="F5" s="59">
        <f>'SER_se-appl'!F15</f>
        <v>69.907779587851124</v>
      </c>
      <c r="G5" s="59">
        <f>'SER_se-appl'!G15</f>
        <v>71.64712907766301</v>
      </c>
      <c r="H5" s="59">
        <f>'SER_se-appl'!H15</f>
        <v>74.222006099525828</v>
      </c>
      <c r="I5" s="59">
        <f>'SER_se-appl'!I15</f>
        <v>78.167988033961947</v>
      </c>
      <c r="J5" s="59">
        <f>'SER_se-appl'!J15</f>
        <v>81.245128285243567</v>
      </c>
      <c r="K5" s="59">
        <f>'SER_se-appl'!K15</f>
        <v>82.97795387352069</v>
      </c>
      <c r="L5" s="59">
        <f>'SER_se-appl'!L15</f>
        <v>83.506810619184506</v>
      </c>
      <c r="M5" s="59">
        <f>'SER_se-appl'!M15</f>
        <v>83.079618853491482</v>
      </c>
      <c r="N5" s="59">
        <f>'SER_se-appl'!N15</f>
        <v>82.623733411973745</v>
      </c>
      <c r="O5" s="59">
        <f>'SER_se-appl'!O15</f>
        <v>82.27197224155762</v>
      </c>
      <c r="P5" s="59">
        <f>'SER_se-appl'!P15</f>
        <v>82.197795975264015</v>
      </c>
      <c r="Q5" s="59">
        <f>'SER_se-appl'!Q15</f>
        <v>82.714571196118158</v>
      </c>
      <c r="R5" s="59">
        <f>'SER_se-appl'!R15</f>
        <v>85.358846685436006</v>
      </c>
      <c r="S5" s="59">
        <f>'SER_se-appl'!S15</f>
        <v>85.920368146924588</v>
      </c>
      <c r="T5" s="59">
        <f>'SER_se-appl'!T15</f>
        <v>87.559099127168821</v>
      </c>
      <c r="U5" s="59">
        <f>'SER_se-appl'!U15</f>
        <v>89.214713953148475</v>
      </c>
      <c r="V5" s="59">
        <f>'SER_se-appl'!V15</f>
        <v>90.643917632215533</v>
      </c>
      <c r="W5" s="59">
        <f>'SER_se-appl'!W15</f>
        <v>91.728725860883486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2.5161208093930902E-2</v>
      </c>
      <c r="C6" s="202">
        <f>'SER_se-appl'!C71</f>
        <v>2.531765210189308E-2</v>
      </c>
      <c r="D6" s="202">
        <f>'SER_se-appl'!D71</f>
        <v>2.5560787867294057E-2</v>
      </c>
      <c r="E6" s="202">
        <f>'SER_se-appl'!E71</f>
        <v>2.5996934386582703E-2</v>
      </c>
      <c r="F6" s="202">
        <f>'SER_se-appl'!F71</f>
        <v>2.6449553038105159E-2</v>
      </c>
      <c r="G6" s="202">
        <f>'SER_se-appl'!G71</f>
        <v>2.7071487712148738E-2</v>
      </c>
      <c r="H6" s="202">
        <f>'SER_se-appl'!H71</f>
        <v>2.7975326205755168E-2</v>
      </c>
      <c r="I6" s="202">
        <f>'SER_se-appl'!I71</f>
        <v>2.9239363060788438E-2</v>
      </c>
      <c r="J6" s="202">
        <f>'SER_se-appl'!J71</f>
        <v>3.0313359128948569E-2</v>
      </c>
      <c r="K6" s="202">
        <f>'SER_se-appl'!K71</f>
        <v>3.1296394618360271E-2</v>
      </c>
      <c r="L6" s="202">
        <f>'SER_se-appl'!L71</f>
        <v>3.2130702746695876E-2</v>
      </c>
      <c r="M6" s="202">
        <f>'SER_se-appl'!M71</f>
        <v>3.2435540892301148E-2</v>
      </c>
      <c r="N6" s="202">
        <f>'SER_se-appl'!N71</f>
        <v>3.27912209582744E-2</v>
      </c>
      <c r="O6" s="202">
        <f>'SER_se-appl'!O71</f>
        <v>3.3244425009981017E-2</v>
      </c>
      <c r="P6" s="202">
        <f>'SER_se-appl'!P71</f>
        <v>3.3840303316002421E-2</v>
      </c>
      <c r="Q6" s="202">
        <f>'SER_se-appl'!Q71</f>
        <v>3.4707717149403843E-2</v>
      </c>
      <c r="R6" s="202">
        <f>'SER_se-appl'!R71</f>
        <v>3.6647052920870303E-2</v>
      </c>
      <c r="S6" s="202">
        <f>'SER_se-appl'!S71</f>
        <v>3.7690733966824132E-2</v>
      </c>
      <c r="T6" s="202">
        <f>'SER_se-appl'!T71</f>
        <v>3.9241908080077645E-2</v>
      </c>
      <c r="U6" s="202">
        <f>'SER_se-appl'!U71</f>
        <v>4.0399120450210255E-2</v>
      </c>
      <c r="V6" s="202">
        <f>'SER_se-appl'!V71</f>
        <v>4.1402063227950911E-2</v>
      </c>
      <c r="W6" s="202">
        <f>'SER_se-appl'!W71</f>
        <v>4.2192991931113526E-2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95.048099053350086</v>
      </c>
      <c r="C8" s="34">
        <f>'SER_se-appl'!C23</f>
        <v>97.037066576050066</v>
      </c>
      <c r="D8" s="34">
        <f>'SER_se-appl'!D23</f>
        <v>99.679455567662373</v>
      </c>
      <c r="E8" s="34">
        <f>'SER_se-appl'!E23</f>
        <v>103.05681332288168</v>
      </c>
      <c r="F8" s="34">
        <f>'SER_se-appl'!F23</f>
        <v>106.56130820712301</v>
      </c>
      <c r="G8" s="34">
        <f>'SER_se-appl'!G23</f>
        <v>111.30907802438603</v>
      </c>
      <c r="H8" s="34">
        <f>'SER_se-appl'!H23</f>
        <v>117.72453682470585</v>
      </c>
      <c r="I8" s="34">
        <f>'SER_se-appl'!I23</f>
        <v>126.90228592866299</v>
      </c>
      <c r="J8" s="34">
        <f>'SER_se-appl'!J23</f>
        <v>135.12983135745742</v>
      </c>
      <c r="K8" s="34">
        <f>'SER_se-appl'!K23</f>
        <v>141.50107750867389</v>
      </c>
      <c r="L8" s="34">
        <f>'SER_se-appl'!L23</f>
        <v>146.17631873549513</v>
      </c>
      <c r="M8" s="34">
        <f>'SER_se-appl'!M23</f>
        <v>148.25899758934236</v>
      </c>
      <c r="N8" s="34">
        <f>'SER_se-appl'!N23</f>
        <v>150.48832405793627</v>
      </c>
      <c r="O8" s="34">
        <f>'SER_se-appl'!O23</f>
        <v>153.24945227808527</v>
      </c>
      <c r="P8" s="34">
        <f>'SER_se-appl'!P23</f>
        <v>156.94631841472844</v>
      </c>
      <c r="Q8" s="34">
        <f>'SER_se-appl'!Q23</f>
        <v>162.34975484641447</v>
      </c>
      <c r="R8" s="34">
        <f>'SER_se-appl'!R23</f>
        <v>173.2044531611684</v>
      </c>
      <c r="S8" s="34">
        <f>'SER_se-appl'!S23</f>
        <v>180.32690684839594</v>
      </c>
      <c r="T8" s="34">
        <f>'SER_se-appl'!T23</f>
        <v>189.55379885474241</v>
      </c>
      <c r="U8" s="34">
        <f>'SER_se-appl'!U23</f>
        <v>198.12698247673913</v>
      </c>
      <c r="V8" s="34">
        <f>'SER_se-appl'!V23</f>
        <v>205.53805877136861</v>
      </c>
      <c r="W8" s="34">
        <f>'SER_se-appl'!W23</f>
        <v>211.23178813653999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10.627233640061036</v>
      </c>
      <c r="D9" s="36">
        <f>'SER_se-appl'!D31</f>
        <v>11.462613146222353</v>
      </c>
      <c r="E9" s="36">
        <f>'SER_se-appl'!E31</f>
        <v>12.383372744872418</v>
      </c>
      <c r="F9" s="36">
        <f>'SER_se-appl'!F31</f>
        <v>12.700214241494166</v>
      </c>
      <c r="G9" s="36">
        <f>'SER_se-appl'!G31</f>
        <v>14.137189510046781</v>
      </c>
      <c r="H9" s="36">
        <f>'SER_se-appl'!H31</f>
        <v>16.002658968374206</v>
      </c>
      <c r="I9" s="36">
        <f>'SER_se-appl'!I31</f>
        <v>18.966895831840958</v>
      </c>
      <c r="J9" s="36">
        <f>'SER_se-appl'!J31</f>
        <v>18.222892556243167</v>
      </c>
      <c r="K9" s="36">
        <f>'SER_se-appl'!K31</f>
        <v>16.577137121633598</v>
      </c>
      <c r="L9" s="36">
        <f>'SER_se-appl'!L31</f>
        <v>15.096110974706448</v>
      </c>
      <c r="M9" s="36">
        <f>'SER_se-appl'!M31</f>
        <v>12.709912493908263</v>
      </c>
      <c r="N9" s="36">
        <f>'SER_se-appl'!N31</f>
        <v>13.691939614816249</v>
      </c>
      <c r="O9" s="36">
        <f>'SER_se-appl'!O31</f>
        <v>15.144500965021422</v>
      </c>
      <c r="P9" s="36">
        <f>'SER_se-appl'!P31</f>
        <v>16.397080378137332</v>
      </c>
      <c r="Q9" s="36">
        <f>'SER_se-appl'!Q31</f>
        <v>19.540625941732827</v>
      </c>
      <c r="R9" s="36">
        <f>'SER_se-appl'!R31</f>
        <v>26.857357283128152</v>
      </c>
      <c r="S9" s="36">
        <f>'SER_se-appl'!S31</f>
        <v>26.089349519068492</v>
      </c>
      <c r="T9" s="36">
        <f>'SER_se-appl'!T31</f>
        <v>27.449784562589628</v>
      </c>
      <c r="U9" s="36">
        <f>'SER_se-appl'!U31</f>
        <v>25.150320743630317</v>
      </c>
      <c r="V9" s="36">
        <f>'SER_se-appl'!V31</f>
        <v>22.50718726933593</v>
      </c>
      <c r="W9" s="36">
        <f>'SER_se-appl'!W31</f>
        <v>18.403641859079642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8.6382661173610558</v>
      </c>
      <c r="D10" s="38">
        <f>'SER_se-appl'!D39</f>
        <v>8.8202241546100453</v>
      </c>
      <c r="E10" s="38">
        <f>'SER_se-appl'!E39</f>
        <v>9.0060149896531101</v>
      </c>
      <c r="F10" s="38">
        <f>'SER_se-appl'!F39</f>
        <v>9.1957193572528411</v>
      </c>
      <c r="G10" s="38">
        <f>'SER_se-appl'!G39</f>
        <v>9.3894196927837612</v>
      </c>
      <c r="H10" s="38">
        <f>'SER_se-appl'!H39</f>
        <v>9.5872001680543804</v>
      </c>
      <c r="I10" s="38">
        <f>'SER_se-appl'!I39</f>
        <v>9.7891467278838036</v>
      </c>
      <c r="J10" s="38">
        <f>'SER_se-appl'!J39</f>
        <v>9.9953471274487242</v>
      </c>
      <c r="K10" s="38">
        <f>'SER_se-appl'!K39</f>
        <v>10.20589097041713</v>
      </c>
      <c r="L10" s="38">
        <f>'SER_se-appl'!L39</f>
        <v>10.420869747885206</v>
      </c>
      <c r="M10" s="38">
        <f>'SER_se-appl'!M39</f>
        <v>10.627233640061036</v>
      </c>
      <c r="N10" s="38">
        <f>'SER_se-appl'!N39</f>
        <v>11.462613146222338</v>
      </c>
      <c r="O10" s="38">
        <f>'SER_se-appl'!O39</f>
        <v>12.383372744872418</v>
      </c>
      <c r="P10" s="38">
        <f>'SER_se-appl'!P39</f>
        <v>12.700214241494166</v>
      </c>
      <c r="Q10" s="38">
        <f>'SER_se-appl'!Q39</f>
        <v>14.137189510046795</v>
      </c>
      <c r="R10" s="38">
        <f>'SER_se-appl'!R39</f>
        <v>16.00265896837422</v>
      </c>
      <c r="S10" s="38">
        <f>'SER_se-appl'!S39</f>
        <v>18.966895831840958</v>
      </c>
      <c r="T10" s="38">
        <f>'SER_se-appl'!T39</f>
        <v>18.222892556243153</v>
      </c>
      <c r="U10" s="38">
        <f>'SER_se-appl'!U39</f>
        <v>16.577137121633598</v>
      </c>
      <c r="V10" s="38">
        <f>'SER_se-appl'!V39</f>
        <v>15.096110974706448</v>
      </c>
      <c r="W10" s="38">
        <f>'SER_se-appl'!W39</f>
        <v>12.709912493908263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8759.9999999999982</v>
      </c>
      <c r="E12" s="205">
        <f>'SER_se-appl'!E47</f>
        <v>8760.0000000000018</v>
      </c>
      <c r="F12" s="205">
        <f>'SER_se-appl'!F47</f>
        <v>8760</v>
      </c>
      <c r="G12" s="205">
        <f>'SER_se-appl'!G47</f>
        <v>8760</v>
      </c>
      <c r="H12" s="205">
        <f>'SER_se-appl'!H47</f>
        <v>8760</v>
      </c>
      <c r="I12" s="205">
        <f>'SER_se-appl'!I47</f>
        <v>8760.0000000000018</v>
      </c>
      <c r="J12" s="205">
        <f>'SER_se-appl'!J47</f>
        <v>8759.9999999999982</v>
      </c>
      <c r="K12" s="205">
        <f>'SER_se-appl'!K47</f>
        <v>8760.0000000000018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8760.0000000000018</v>
      </c>
      <c r="O12" s="205">
        <f>'SER_se-appl'!O47</f>
        <v>8760.0000000000018</v>
      </c>
      <c r="P12" s="205">
        <f>'SER_se-appl'!P47</f>
        <v>8760</v>
      </c>
      <c r="Q12" s="205">
        <f>'SER_se-appl'!Q47</f>
        <v>8760</v>
      </c>
      <c r="R12" s="205">
        <f>'SER_se-appl'!R47</f>
        <v>8760</v>
      </c>
      <c r="S12" s="205">
        <f>'SER_se-appl'!S47</f>
        <v>8760</v>
      </c>
      <c r="T12" s="205">
        <f>'SER_se-appl'!T47</f>
        <v>8760</v>
      </c>
      <c r="U12" s="205">
        <f>'SER_se-appl'!U47</f>
        <v>8759.9999999999982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694.71544283340415</v>
      </c>
      <c r="C14" s="59">
        <f>'SER_se-appl'!C55</f>
        <v>687.49211298746673</v>
      </c>
      <c r="D14" s="59">
        <f>'SER_se-appl'!D55</f>
        <v>678.07805061475506</v>
      </c>
      <c r="E14" s="59">
        <f>'SER_se-appl'!E55</f>
        <v>667.3309008295555</v>
      </c>
      <c r="F14" s="59">
        <f>'SER_se-appl'!F55</f>
        <v>656.03342117357931</v>
      </c>
      <c r="G14" s="59">
        <f>'SER_se-appl'!G55</f>
        <v>643.67732038860549</v>
      </c>
      <c r="H14" s="59">
        <f>'SER_se-appl'!H55</f>
        <v>630.47184640907824</v>
      </c>
      <c r="I14" s="59">
        <f>'SER_se-appl'!I55</f>
        <v>615.96989732638383</v>
      </c>
      <c r="J14" s="59">
        <f>'SER_se-appl'!J55</f>
        <v>601.23754665486661</v>
      </c>
      <c r="K14" s="59">
        <f>'SER_se-appl'!K55</f>
        <v>586.41216967718299</v>
      </c>
      <c r="L14" s="59">
        <f>'SER_se-appl'!L55</f>
        <v>571.27454940419864</v>
      </c>
      <c r="M14" s="59">
        <f>'SER_se-appl'!M55</f>
        <v>560.368140917902</v>
      </c>
      <c r="N14" s="59">
        <f>'SER_se-appl'!N55</f>
        <v>549.03750127594333</v>
      </c>
      <c r="O14" s="59">
        <f>'SER_se-appl'!O55</f>
        <v>536.8500247052599</v>
      </c>
      <c r="P14" s="59">
        <f>'SER_se-appl'!P55</f>
        <v>523.73191550793501</v>
      </c>
      <c r="Q14" s="59">
        <f>'SER_se-appl'!Q55</f>
        <v>509.4838071937188</v>
      </c>
      <c r="R14" s="59">
        <f>'SER_se-appl'!R55</f>
        <v>492.82131681688793</v>
      </c>
      <c r="S14" s="59">
        <f>'SER_se-appl'!S55</f>
        <v>476.47003793593262</v>
      </c>
      <c r="T14" s="59">
        <f>'SER_se-appl'!T55</f>
        <v>461.92215432340942</v>
      </c>
      <c r="U14" s="59">
        <f>'SER_se-appl'!U55</f>
        <v>450.29058050496792</v>
      </c>
      <c r="V14" s="59">
        <f>'SER_se-appl'!V55</f>
        <v>441.00794847461219</v>
      </c>
      <c r="W14" s="59">
        <f>'SER_se-appl'!W55</f>
        <v>434.25625787720048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628.759356527112</v>
      </c>
      <c r="D15" s="63">
        <f>'SER_se-appl'!D63</f>
        <v>611.18514768642444</v>
      </c>
      <c r="E15" s="63">
        <f>'SER_se-appl'!E63</f>
        <v>600.7380217560559</v>
      </c>
      <c r="F15" s="63">
        <f>'SER_se-appl'!F63</f>
        <v>592.36731120133277</v>
      </c>
      <c r="G15" s="63">
        <f>'SER_se-appl'!G63</f>
        <v>584.43896106514751</v>
      </c>
      <c r="H15" s="63">
        <f>'SER_se-appl'!H63</f>
        <v>577.10740761249076</v>
      </c>
      <c r="I15" s="63">
        <f>'SER_se-appl'!I63</f>
        <v>566.60053567743</v>
      </c>
      <c r="J15" s="63">
        <f>'SER_se-appl'!J63</f>
        <v>549.91611382615247</v>
      </c>
      <c r="K15" s="63">
        <f>'SER_se-appl'!K63</f>
        <v>532.24001156301142</v>
      </c>
      <c r="L15" s="63">
        <f>'SER_se-appl'!L63</f>
        <v>514.59583864288288</v>
      </c>
      <c r="M15" s="63">
        <f>'SER_se-appl'!M63</f>
        <v>492.1183228045756</v>
      </c>
      <c r="N15" s="63">
        <f>'SER_se-appl'!N63</f>
        <v>478.3758657568718</v>
      </c>
      <c r="O15" s="63">
        <f>'SER_se-appl'!O63</f>
        <v>467.98515787188006</v>
      </c>
      <c r="P15" s="63">
        <f>'SER_se-appl'!P63</f>
        <v>454.28913708035202</v>
      </c>
      <c r="Q15" s="63">
        <f>'SER_se-appl'!Q63</f>
        <v>449.27422471853811</v>
      </c>
      <c r="R15" s="63">
        <f>'SER_se-appl'!R63</f>
        <v>442.31933902617499</v>
      </c>
      <c r="S15" s="63">
        <f>'SER_se-appl'!S63</f>
        <v>433.44027384364847</v>
      </c>
      <c r="T15" s="63">
        <f>'SER_se-appl'!T63</f>
        <v>424.76811469536034</v>
      </c>
      <c r="U15" s="63">
        <f>'SER_se-appl'!U63</f>
        <v>416.64003358419978</v>
      </c>
      <c r="V15" s="63">
        <f>'SER_se-appl'!V63</f>
        <v>408.65166563362999</v>
      </c>
      <c r="W15" s="63">
        <f>'SER_se-appl'!W63</f>
        <v>398.8117734719948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19.77345057403884</v>
      </c>
      <c r="C3" s="199">
        <f>'SER_se-appl'!C8</f>
        <v>21.005715113327849</v>
      </c>
      <c r="D3" s="199">
        <f>'SER_se-appl'!D8</f>
        <v>22.282675984657615</v>
      </c>
      <c r="E3" s="199">
        <f>'SER_se-appl'!E8</f>
        <v>23.517887090786491</v>
      </c>
      <c r="F3" s="199">
        <f>'SER_se-appl'!F8</f>
        <v>24.698150212363345</v>
      </c>
      <c r="G3" s="199">
        <f>'SER_se-appl'!G8</f>
        <v>26.428257483390116</v>
      </c>
      <c r="H3" s="199">
        <f>'SER_se-appl'!H8</f>
        <v>28.003178722710519</v>
      </c>
      <c r="I3" s="199">
        <f>'SER_se-appl'!I8</f>
        <v>30.172301210533991</v>
      </c>
      <c r="J3" s="199">
        <f>'SER_se-appl'!J8</f>
        <v>31.39506969586483</v>
      </c>
      <c r="K3" s="199">
        <f>'SER_se-appl'!K8</f>
        <v>31.347190614764525</v>
      </c>
      <c r="L3" s="199">
        <f>'SER_se-appl'!L8</f>
        <v>31.521216150780063</v>
      </c>
      <c r="M3" s="199">
        <f>'SER_se-appl'!M8</f>
        <v>31.844858907072709</v>
      </c>
      <c r="N3" s="199">
        <f>'SER_se-appl'!N8</f>
        <v>31.776937102784153</v>
      </c>
      <c r="O3" s="199">
        <f>'SER_se-appl'!O8</f>
        <v>31.657868734902141</v>
      </c>
      <c r="P3" s="199">
        <f>'SER_se-appl'!P8</f>
        <v>31.723096442876294</v>
      </c>
      <c r="Q3" s="199">
        <f>'SER_se-appl'!Q8</f>
        <v>31.471834741278581</v>
      </c>
      <c r="R3" s="199">
        <f>'SER_se-appl'!R8</f>
        <v>32.668674740349175</v>
      </c>
      <c r="S3" s="199">
        <f>'SER_se-appl'!S8</f>
        <v>33.949162353427688</v>
      </c>
      <c r="T3" s="199">
        <f>'SER_se-appl'!T8</f>
        <v>34.399330285608272</v>
      </c>
      <c r="U3" s="199">
        <f>'SER_se-appl'!U8</f>
        <v>34.798861817549231</v>
      </c>
      <c r="V3" s="199">
        <f>'SER_se-appl'!V8</f>
        <v>32.902871530077284</v>
      </c>
      <c r="W3" s="199">
        <f>'SER_se-appl'!W8</f>
        <v>36.51873288756768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266.41309375866155</v>
      </c>
      <c r="C5" s="59">
        <f>'SER_se-appl'!C16</f>
        <v>281.67022460643358</v>
      </c>
      <c r="D5" s="59">
        <f>'SER_se-appl'!D16</f>
        <v>297.49617490035604</v>
      </c>
      <c r="E5" s="59">
        <f>'SER_se-appl'!E16</f>
        <v>312.73337847853185</v>
      </c>
      <c r="F5" s="59">
        <f>'SER_se-appl'!F16</f>
        <v>327.21343657012358</v>
      </c>
      <c r="G5" s="59">
        <f>'SER_se-appl'!G16</f>
        <v>348.92900307629048</v>
      </c>
      <c r="H5" s="59">
        <f>'SER_se-appl'!H16</f>
        <v>368.53134846308791</v>
      </c>
      <c r="I5" s="59">
        <f>'SER_se-appl'!I16</f>
        <v>395.87592556912659</v>
      </c>
      <c r="J5" s="59">
        <f>'SER_se-appl'!J16</f>
        <v>410.74371752614553</v>
      </c>
      <c r="K5" s="59">
        <f>'SER_se-appl'!K16</f>
        <v>409.01011450473436</v>
      </c>
      <c r="L5" s="59">
        <f>'SER_se-appl'!L16</f>
        <v>410.22730932989873</v>
      </c>
      <c r="M5" s="59">
        <f>'SER_se-appl'!M16</f>
        <v>414.2286111503247</v>
      </c>
      <c r="N5" s="59">
        <f>'SER_se-appl'!N16</f>
        <v>413.16531766189928</v>
      </c>
      <c r="O5" s="59">
        <f>'SER_se-appl'!O16</f>
        <v>411.46569788084616</v>
      </c>
      <c r="P5" s="59">
        <f>'SER_se-appl'!P16</f>
        <v>412.18699733600789</v>
      </c>
      <c r="Q5" s="59">
        <f>'SER_se-appl'!Q16</f>
        <v>408.81986524275175</v>
      </c>
      <c r="R5" s="59">
        <f>'SER_se-appl'!R16</f>
        <v>420.1954899747343</v>
      </c>
      <c r="S5" s="59">
        <f>'SER_se-appl'!S16</f>
        <v>427.09901894640279</v>
      </c>
      <c r="T5" s="59">
        <f>'SER_se-appl'!T16</f>
        <v>435.94018306024259</v>
      </c>
      <c r="U5" s="59">
        <f>'SER_se-appl'!U16</f>
        <v>442.82291820140711</v>
      </c>
      <c r="V5" s="59">
        <f>'SER_se-appl'!V16</f>
        <v>446.60687954302807</v>
      </c>
      <c r="W5" s="59">
        <f>'SER_se-appl'!W16</f>
        <v>449.89803134625953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141.59082473958259</v>
      </c>
      <c r="C6" s="202">
        <f>'SER_se-appl'!C72</f>
        <v>146.73075742543185</v>
      </c>
      <c r="D6" s="202">
        <f>'SER_se-appl'!D72</f>
        <v>152.02134341992172</v>
      </c>
      <c r="E6" s="202">
        <f>'SER_se-appl'!E72</f>
        <v>157.63018717772317</v>
      </c>
      <c r="F6" s="202">
        <f>'SER_se-appl'!F72</f>
        <v>162.29914106711033</v>
      </c>
      <c r="G6" s="202">
        <f>'SER_se-appl'!G72</f>
        <v>168.92632593175645</v>
      </c>
      <c r="H6" s="202">
        <f>'SER_se-appl'!H72</f>
        <v>174.77979273089693</v>
      </c>
      <c r="I6" s="202">
        <f>'SER_se-appl'!I72</f>
        <v>180.03436287018022</v>
      </c>
      <c r="J6" s="202">
        <f>'SER_se-appl'!J72</f>
        <v>185.67300746993445</v>
      </c>
      <c r="K6" s="202">
        <f>'SER_se-appl'!K72</f>
        <v>191.04448549129515</v>
      </c>
      <c r="L6" s="202">
        <f>'SER_se-appl'!L72</f>
        <v>195.57724403190244</v>
      </c>
      <c r="M6" s="202">
        <f>'SER_se-appl'!M72</f>
        <v>198.26894965766607</v>
      </c>
      <c r="N6" s="202">
        <f>'SER_se-appl'!N72</f>
        <v>200.61739646950724</v>
      </c>
      <c r="O6" s="202">
        <f>'SER_se-appl'!O72</f>
        <v>201.80892190284516</v>
      </c>
      <c r="P6" s="202">
        <f>'SER_se-appl'!P72</f>
        <v>203.05321229900918</v>
      </c>
      <c r="Q6" s="202">
        <f>'SER_se-appl'!Q72</f>
        <v>205.14045285992924</v>
      </c>
      <c r="R6" s="202">
        <f>'SER_se-appl'!R72</f>
        <v>208.64344936947478</v>
      </c>
      <c r="S6" s="202">
        <f>'SER_se-appl'!S72</f>
        <v>212.15095588484166</v>
      </c>
      <c r="T6" s="202">
        <f>'SER_se-appl'!T72</f>
        <v>215.63912021898872</v>
      </c>
      <c r="U6" s="202">
        <f>'SER_se-appl'!U72</f>
        <v>219.0934756903317</v>
      </c>
      <c r="V6" s="202">
        <f>'SER_se-appl'!V72</f>
        <v>222.48709462030851</v>
      </c>
      <c r="W6" s="202">
        <f>'SER_se-appl'!W72</f>
        <v>225.73910850895672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5.4206277484097365</v>
      </c>
      <c r="C8" s="34">
        <f>'SER_se-appl'!C24</f>
        <v>5.7598546430318214</v>
      </c>
      <c r="D8" s="34">
        <f>'SER_se-appl'!D24</f>
        <v>6.1170209380246288</v>
      </c>
      <c r="E8" s="34">
        <f>'SER_se-appl'!E24</f>
        <v>6.4672322760153582</v>
      </c>
      <c r="F8" s="34">
        <f>'SER_se-appl'!F24</f>
        <v>6.8072911553293407</v>
      </c>
      <c r="G8" s="34">
        <f>'SER_se-appl'!G24</f>
        <v>7.3171657984634253</v>
      </c>
      <c r="H8" s="34">
        <f>'SER_se-appl'!H24</f>
        <v>7.7898385609797023</v>
      </c>
      <c r="I8" s="34">
        <f>'SER_se-appl'!I24</f>
        <v>8.4515692235794457</v>
      </c>
      <c r="J8" s="34">
        <f>'SER_se-appl'!J24</f>
        <v>8.8402843106859041</v>
      </c>
      <c r="K8" s="34">
        <f>'SER_se-appl'!K24</f>
        <v>8.85410832840018</v>
      </c>
      <c r="L8" s="34">
        <f>'SER_se-appl'!L24</f>
        <v>8.9513530184477563</v>
      </c>
      <c r="M8" s="34">
        <f>'SER_se-appl'!M24</f>
        <v>9.1380961584124627</v>
      </c>
      <c r="N8" s="34">
        <f>'SER_se-appl'!N24</f>
        <v>9.2261246240448589</v>
      </c>
      <c r="O8" s="34">
        <f>'SER_se-appl'!O24</f>
        <v>9.3283626220859173</v>
      </c>
      <c r="P8" s="34">
        <f>'SER_se-appl'!P24</f>
        <v>9.5306722297883049</v>
      </c>
      <c r="Q8" s="34">
        <f>'SER_se-appl'!Q24</f>
        <v>9.6664792339811534</v>
      </c>
      <c r="R8" s="34">
        <f>'SER_se-appl'!R24</f>
        <v>10.111428308474775</v>
      </c>
      <c r="S8" s="34">
        <f>'SER_se-appl'!S24</f>
        <v>10.451858160565545</v>
      </c>
      <c r="T8" s="34">
        <f>'SER_se-appl'!T24</f>
        <v>10.859100588474648</v>
      </c>
      <c r="U8" s="34">
        <f>'SER_se-appl'!U24</f>
        <v>11.222163737628176</v>
      </c>
      <c r="V8" s="34">
        <f>'SER_se-appl'!V24</f>
        <v>11.561218524033485</v>
      </c>
      <c r="W8" s="34">
        <f>'SER_se-appl'!W24</f>
        <v>11.881688904165092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0.49361967807157558</v>
      </c>
      <c r="D9" s="36">
        <f>'SER_se-appl'!D32</f>
        <v>0.52893312626251454</v>
      </c>
      <c r="E9" s="36">
        <f>'SER_se-appl'!E32</f>
        <v>0.54130734432763283</v>
      </c>
      <c r="F9" s="36">
        <f>'SER_se-appl'!F32</f>
        <v>0.5526592013201217</v>
      </c>
      <c r="G9" s="36">
        <f>'SER_se-appl'!G32</f>
        <v>0.74639919319416315</v>
      </c>
      <c r="H9" s="36">
        <f>'SER_se-appl'!H32</f>
        <v>0.73581376932767384</v>
      </c>
      <c r="I9" s="36">
        <f>'SER_se-appl'!I32</f>
        <v>0.9544833153291421</v>
      </c>
      <c r="J9" s="36">
        <f>'SER_se-appl'!J32</f>
        <v>0.71441162797865765</v>
      </c>
      <c r="K9" s="36">
        <f>'SER_se-appl'!K32</f>
        <v>0.37617167109034355</v>
      </c>
      <c r="L9" s="36">
        <f>'SER_se-appl'!L32</f>
        <v>0.50036785971815156</v>
      </c>
      <c r="M9" s="36">
        <f>'SER_se-appl'!M32</f>
        <v>0.63523035496700686</v>
      </c>
      <c r="N9" s="36">
        <f>'SER_se-appl'!N32</f>
        <v>0.58698460894930804</v>
      </c>
      <c r="O9" s="36">
        <f>'SER_se-appl'!O32</f>
        <v>0.65734241267283267</v>
      </c>
      <c r="P9" s="36">
        <f>'SER_se-appl'!P32</f>
        <v>0.8198807415003504</v>
      </c>
      <c r="Q9" s="36">
        <f>'SER_se-appl'!Q32</f>
        <v>0.82287432927167714</v>
      </c>
      <c r="R9" s="36">
        <f>'SER_se-appl'!R32</f>
        <v>0.93856875256519601</v>
      </c>
      <c r="S9" s="36">
        <f>'SER_se-appl'!S32</f>
        <v>0.86936297835328524</v>
      </c>
      <c r="T9" s="36">
        <f>'SER_se-appl'!T32</f>
        <v>0.94854977223673664</v>
      </c>
      <c r="U9" s="36">
        <f>'SER_se-appl'!U32</f>
        <v>0.91572235047364892</v>
      </c>
      <c r="V9" s="36">
        <f>'SER_se-appl'!V32</f>
        <v>1.0854539795994729</v>
      </c>
      <c r="W9" s="36">
        <f>'SER_se-appl'!W32</f>
        <v>1.0562841494592803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0.1543927834494907</v>
      </c>
      <c r="D10" s="38">
        <f>'SER_se-appl'!D40</f>
        <v>0.17176683126970715</v>
      </c>
      <c r="E10" s="38">
        <f>'SER_se-appl'!E40</f>
        <v>0.19109600633690338</v>
      </c>
      <c r="F10" s="38">
        <f>'SER_se-appl'!F40</f>
        <v>0.21260032200613921</v>
      </c>
      <c r="G10" s="38">
        <f>'SER_se-appl'!G40</f>
        <v>0.23652455006007855</v>
      </c>
      <c r="H10" s="38">
        <f>'SER_se-appl'!H40</f>
        <v>0.26314100681139596</v>
      </c>
      <c r="I10" s="38">
        <f>'SER_se-appl'!I40</f>
        <v>0.29275265272939954</v>
      </c>
      <c r="J10" s="38">
        <f>'SER_se-appl'!J40</f>
        <v>0.32569654087219924</v>
      </c>
      <c r="K10" s="38">
        <f>'SER_se-appl'!K40</f>
        <v>0.36234765337606767</v>
      </c>
      <c r="L10" s="38">
        <f>'SER_se-appl'!L40</f>
        <v>0.40312316967057527</v>
      </c>
      <c r="M10" s="38">
        <f>'SER_se-appl'!M40</f>
        <v>0.44848721500230049</v>
      </c>
      <c r="N10" s="38">
        <f>'SER_se-appl'!N40</f>
        <v>0.49895614331691185</v>
      </c>
      <c r="O10" s="38">
        <f>'SER_se-appl'!O40</f>
        <v>0.55510441463177429</v>
      </c>
      <c r="P10" s="38">
        <f>'SER_se-appl'!P40</f>
        <v>0.6175711337979628</v>
      </c>
      <c r="Q10" s="38">
        <f>'SER_se-appl'!Q40</f>
        <v>0.68706732507882862</v>
      </c>
      <c r="R10" s="38">
        <f>'SER_se-appl'!R40</f>
        <v>0.4936196780715747</v>
      </c>
      <c r="S10" s="38">
        <f>'SER_se-appl'!S40</f>
        <v>0.52893312626251543</v>
      </c>
      <c r="T10" s="38">
        <f>'SER_se-appl'!T40</f>
        <v>0.54130734432763283</v>
      </c>
      <c r="U10" s="38">
        <f>'SER_se-appl'!U40</f>
        <v>0.5526592013201217</v>
      </c>
      <c r="V10" s="38">
        <f>'SER_se-appl'!V40</f>
        <v>0.74639919319416315</v>
      </c>
      <c r="W10" s="38">
        <f>'SER_se-appl'!W40</f>
        <v>0.73581376932767384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863.19041955345017</v>
      </c>
      <c r="C12" s="205">
        <f>'SER_se-appl'!C48</f>
        <v>867.31377840646269</v>
      </c>
      <c r="D12" s="205">
        <f>'SER_se-appl'!D48</f>
        <v>871.09530664845511</v>
      </c>
      <c r="E12" s="205">
        <f>'SER_se-appl'!E48</f>
        <v>874.58853351856931</v>
      </c>
      <c r="F12" s="205">
        <f>'SER_se-appl'!F48</f>
        <v>877.83524411666008</v>
      </c>
      <c r="G12" s="205">
        <f>'SER_se-appl'!G48</f>
        <v>880.86869197463977</v>
      </c>
      <c r="H12" s="205">
        <f>'SER_se-appl'!H48</f>
        <v>883.71578131227318</v>
      </c>
      <c r="I12" s="205">
        <f>'SER_se-appl'!I48</f>
        <v>886.39859211958219</v>
      </c>
      <c r="J12" s="205">
        <f>'SER_se-appl'!J48</f>
        <v>888.93547237193297</v>
      </c>
      <c r="K12" s="205">
        <f>'SER_se-appl'!K48</f>
        <v>891.3418370867488</v>
      </c>
      <c r="L12" s="205">
        <f>'SER_se-appl'!L48</f>
        <v>893.63076395960877</v>
      </c>
      <c r="M12" s="205">
        <f>'SER_se-appl'!M48</f>
        <v>894.08529280671178</v>
      </c>
      <c r="N12" s="205">
        <f>'SER_se-appl'!N48</f>
        <v>894.47434890409193</v>
      </c>
      <c r="O12" s="205">
        <f>'SER_se-appl'!O48</f>
        <v>894.80366232990627</v>
      </c>
      <c r="P12" s="205">
        <f>'SER_se-appl'!P48</f>
        <v>895.07823879727562</v>
      </c>
      <c r="Q12" s="205">
        <f>'SER_se-appl'!Q48</f>
        <v>895.30247710378171</v>
      </c>
      <c r="R12" s="205">
        <f>'SER_se-appl'!R48</f>
        <v>904.19030259726469</v>
      </c>
      <c r="S12" s="205">
        <f>'SER_se-appl'!S48</f>
        <v>924.44314001084513</v>
      </c>
      <c r="T12" s="205">
        <f>'SER_se-appl'!T48</f>
        <v>917.70437038684122</v>
      </c>
      <c r="U12" s="205">
        <f>'SER_se-appl'!U48</f>
        <v>913.93364323123137</v>
      </c>
      <c r="V12" s="205">
        <f>'SER_se-appl'!V48</f>
        <v>856.81706534915054</v>
      </c>
      <c r="W12" s="205">
        <f>'SER_se-appl'!W48</f>
        <v>944.02027546445549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49.148014976091993</v>
      </c>
      <c r="C14" s="59">
        <f>'SER_se-appl'!C56</f>
        <v>48.902314739347396</v>
      </c>
      <c r="D14" s="59">
        <f>'SER_se-appl'!D56</f>
        <v>48.634159979911161</v>
      </c>
      <c r="E14" s="59">
        <f>'SER_se-appl'!E56</f>
        <v>48.356602195710153</v>
      </c>
      <c r="F14" s="59">
        <f>'SER_se-appl'!F56</f>
        <v>48.068083045625627</v>
      </c>
      <c r="G14" s="59">
        <f>'SER_se-appl'!G56</f>
        <v>47.686360086245983</v>
      </c>
      <c r="H14" s="59">
        <f>'SER_se-appl'!H56</f>
        <v>47.309240824207649</v>
      </c>
      <c r="I14" s="59">
        <f>'SER_se-appl'!I56</f>
        <v>46.840523350936181</v>
      </c>
      <c r="J14" s="59">
        <f>'SER_se-appl'!J56</f>
        <v>46.462727112707142</v>
      </c>
      <c r="K14" s="59">
        <f>'SER_se-appl'!K56</f>
        <v>46.194387885768847</v>
      </c>
      <c r="L14" s="59">
        <f>'SER_se-appl'!L56</f>
        <v>45.828525417829603</v>
      </c>
      <c r="M14" s="59">
        <f>'SER_se-appl'!M56</f>
        <v>45.329859083282784</v>
      </c>
      <c r="N14" s="59">
        <f>'SER_se-appl'!N56</f>
        <v>44.782108902487593</v>
      </c>
      <c r="O14" s="59">
        <f>'SER_se-appl'!O56</f>
        <v>44.109101945357075</v>
      </c>
      <c r="P14" s="59">
        <f>'SER_se-appl'!P56</f>
        <v>43.24847055884571</v>
      </c>
      <c r="Q14" s="59">
        <f>'SER_se-appl'!Q56</f>
        <v>42.292530232269343</v>
      </c>
      <c r="R14" s="59">
        <f>'SER_se-appl'!R56</f>
        <v>41.556492036100614</v>
      </c>
      <c r="S14" s="59">
        <f>'SER_se-appl'!S56</f>
        <v>40.863453405618422</v>
      </c>
      <c r="T14" s="59">
        <f>'SER_se-appl'!T56</f>
        <v>40.145146415065859</v>
      </c>
      <c r="U14" s="59">
        <f>'SER_se-appl'!U56</f>
        <v>39.459673602570206</v>
      </c>
      <c r="V14" s="59">
        <f>'SER_se-appl'!V56</f>
        <v>38.629741200256767</v>
      </c>
      <c r="W14" s="59">
        <f>'SER_se-appl'!W56</f>
        <v>37.864821657512771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46.281035169014352</v>
      </c>
      <c r="D15" s="63">
        <f>'SER_se-appl'!D64</f>
        <v>45.880940112488908</v>
      </c>
      <c r="E15" s="63">
        <f>'SER_se-appl'!E64</f>
        <v>45.499462029442157</v>
      </c>
      <c r="F15" s="63">
        <f>'SER_se-appl'!F64</f>
        <v>45.107259305417074</v>
      </c>
      <c r="G15" s="63">
        <f>'SER_se-appl'!G64</f>
        <v>44.668160066003928</v>
      </c>
      <c r="H15" s="63">
        <f>'SER_se-appl'!H64</f>
        <v>44.216627748235631</v>
      </c>
      <c r="I15" s="63">
        <f>'SER_se-appl'!I64</f>
        <v>43.722910810947774</v>
      </c>
      <c r="J15" s="63">
        <f>'SER_se-appl'!J64</f>
        <v>43.217564239295335</v>
      </c>
      <c r="K15" s="63">
        <f>'SER_se-appl'!K64</f>
        <v>42.733321269710665</v>
      </c>
      <c r="L15" s="63">
        <f>'SER_se-appl'!L64</f>
        <v>42.028875350205773</v>
      </c>
      <c r="M15" s="63">
        <f>'SER_se-appl'!M64</f>
        <v>40.99860464208691</v>
      </c>
      <c r="N15" s="63">
        <f>'SER_se-appl'!N64</f>
        <v>39.965972119301654</v>
      </c>
      <c r="O15" s="63">
        <f>'SER_se-appl'!O64</f>
        <v>38.918316860982564</v>
      </c>
      <c r="P15" s="63">
        <f>'SER_se-appl'!P64</f>
        <v>37.900261849061806</v>
      </c>
      <c r="Q15" s="63">
        <f>'SER_se-appl'!Q64</f>
        <v>36.944721700346633</v>
      </c>
      <c r="R15" s="63">
        <f>'SER_se-appl'!R64</f>
        <v>36.460679432808597</v>
      </c>
      <c r="S15" s="63">
        <f>'SER_se-appl'!S64</f>
        <v>35.855538868556721</v>
      </c>
      <c r="T15" s="63">
        <f>'SER_se-appl'!T64</f>
        <v>35.285820578932913</v>
      </c>
      <c r="U15" s="63">
        <f>'SER_se-appl'!U64</f>
        <v>34.739434967576827</v>
      </c>
      <c r="V15" s="63">
        <f>'SER_se-appl'!V64</f>
        <v>34.201578946767206</v>
      </c>
      <c r="W15" s="63">
        <f>'SER_se-appl'!W64</f>
        <v>33.9173463427991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22.297888603258741</v>
      </c>
      <c r="C3" s="199">
        <f>'SER_se-appl'!C9</f>
        <v>24.124010399305483</v>
      </c>
      <c r="D3" s="199">
        <f>'SER_se-appl'!D9</f>
        <v>27.061900365467238</v>
      </c>
      <c r="E3" s="199">
        <f>'SER_se-appl'!E9</f>
        <v>31.507779128322262</v>
      </c>
      <c r="F3" s="199">
        <f>'SER_se-appl'!F9</f>
        <v>35.426714775790458</v>
      </c>
      <c r="G3" s="199">
        <f>'SER_se-appl'!G9</f>
        <v>37.915560461903013</v>
      </c>
      <c r="H3" s="199">
        <f>'SER_se-appl'!H9</f>
        <v>39.197528558427855</v>
      </c>
      <c r="I3" s="199">
        <f>'SER_se-appl'!I9</f>
        <v>39.990874100857887</v>
      </c>
      <c r="J3" s="199">
        <f>'SER_se-appl'!J9</f>
        <v>40.415663979694351</v>
      </c>
      <c r="K3" s="199">
        <f>'SER_se-appl'!K9</f>
        <v>40.848676286192003</v>
      </c>
      <c r="L3" s="199">
        <f>'SER_se-appl'!L9</f>
        <v>43.62406367302512</v>
      </c>
      <c r="M3" s="199">
        <f>'SER_se-appl'!M9</f>
        <v>62.07198466741</v>
      </c>
      <c r="N3" s="199">
        <f>'SER_se-appl'!N9</f>
        <v>82.883514630028969</v>
      </c>
      <c r="O3" s="199">
        <f>'SER_se-appl'!O9</f>
        <v>106.4530507106272</v>
      </c>
      <c r="P3" s="199">
        <f>'SER_se-appl'!P9</f>
        <v>131.88683643698073</v>
      </c>
      <c r="Q3" s="199">
        <f>'SER_se-appl'!Q9</f>
        <v>155.80578644797723</v>
      </c>
      <c r="R3" s="199">
        <f>'SER_se-appl'!R9</f>
        <v>179.32563030437004</v>
      </c>
      <c r="S3" s="199">
        <f>'SER_se-appl'!S9</f>
        <v>205.5701967978313</v>
      </c>
      <c r="T3" s="199">
        <f>'SER_se-appl'!T9</f>
        <v>242.83659269842732</v>
      </c>
      <c r="U3" s="199">
        <f>'SER_se-appl'!U9</f>
        <v>271.17659765077008</v>
      </c>
      <c r="V3" s="199">
        <f>'SER_se-appl'!V9</f>
        <v>304.2384887861927</v>
      </c>
      <c r="W3" s="199">
        <f>'SER_se-appl'!W9</f>
        <v>412.45540743706027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151.99022554419443</v>
      </c>
      <c r="C5" s="59">
        <f>'SER_se-appl'!C17</f>
        <v>162.52209470447625</v>
      </c>
      <c r="D5" s="59">
        <f>'SER_se-appl'!D17</f>
        <v>178.96854162519807</v>
      </c>
      <c r="E5" s="59">
        <f>'SER_se-appl'!E17</f>
        <v>204.73008035094409</v>
      </c>
      <c r="F5" s="59">
        <f>'SER_se-appl'!F17</f>
        <v>226.06190623692191</v>
      </c>
      <c r="G5" s="59">
        <f>'SER_se-appl'!G17</f>
        <v>238.34508467805301</v>
      </c>
      <c r="H5" s="59">
        <f>'SER_se-appl'!H17</f>
        <v>243.2940445145903</v>
      </c>
      <c r="I5" s="59">
        <f>'SER_se-appl'!I17</f>
        <v>245.15666103764931</v>
      </c>
      <c r="J5" s="59">
        <f>'SER_se-appl'!J17</f>
        <v>245.02497566251083</v>
      </c>
      <c r="K5" s="59">
        <f>'SER_se-appl'!K17</f>
        <v>245.1141838931062</v>
      </c>
      <c r="L5" s="59">
        <f>'SER_se-appl'!L17</f>
        <v>258.86422636832282</v>
      </c>
      <c r="M5" s="59">
        <f>'SER_se-appl'!M17</f>
        <v>365.44341533611464</v>
      </c>
      <c r="N5" s="59">
        <f>'SER_se-appl'!N17</f>
        <v>483.71314151459467</v>
      </c>
      <c r="O5" s="59">
        <f>'SER_se-appl'!O17</f>
        <v>616.75349284432684</v>
      </c>
      <c r="P5" s="59">
        <f>'SER_se-appl'!P17</f>
        <v>758.10144842053558</v>
      </c>
      <c r="Q5" s="59">
        <f>'SER_se-appl'!Q17</f>
        <v>889.17147306773313</v>
      </c>
      <c r="R5" s="59">
        <f>'SER_se-appl'!R17</f>
        <v>1003.406244385885</v>
      </c>
      <c r="S5" s="59">
        <f>'SER_se-appl'!S17</f>
        <v>1117.9348804200322</v>
      </c>
      <c r="T5" s="59">
        <f>'SER_se-appl'!T17</f>
        <v>1320.740836802112</v>
      </c>
      <c r="U5" s="59">
        <f>'SER_se-appl'!U17</f>
        <v>1469.2657694430939</v>
      </c>
      <c r="V5" s="59">
        <f>'SER_se-appl'!V17</f>
        <v>1712.6172096947639</v>
      </c>
      <c r="W5" s="59">
        <f>'SER_se-appl'!W17</f>
        <v>2149.8047828436497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0.11736910047205221</v>
      </c>
      <c r="C6" s="202">
        <f>'SER_se-appl'!C73</f>
        <v>0.12680648037646772</v>
      </c>
      <c r="D6" s="202">
        <f>'SER_se-appl'!D73</f>
        <v>0.14192451312967538</v>
      </c>
      <c r="E6" s="202">
        <f>'SER_se-appl'!E73</f>
        <v>0.16699235457034242</v>
      </c>
      <c r="F6" s="202">
        <f>'SER_se-appl'!F73</f>
        <v>0.18936577162526236</v>
      </c>
      <c r="G6" s="202">
        <f>'SER_se-appl'!G73</f>
        <v>0.20377098525594275</v>
      </c>
      <c r="H6" s="202">
        <f>'SER_se-appl'!H73</f>
        <v>0.21232178553425798</v>
      </c>
      <c r="I6" s="202">
        <f>'SER_se-appl'!I73</f>
        <v>0.21906425208230834</v>
      </c>
      <c r="J6" s="202">
        <f>'SER_se-appl'!J73</f>
        <v>0.22859904549510418</v>
      </c>
      <c r="K6" s="202">
        <f>'SER_se-appl'!K73</f>
        <v>0.24023645318251258</v>
      </c>
      <c r="L6" s="202">
        <f>'SER_se-appl'!L73</f>
        <v>0.26761990835972621</v>
      </c>
      <c r="M6" s="202">
        <f>'SER_se-appl'!M73</f>
        <v>0.41111888102011068</v>
      </c>
      <c r="N6" s="202">
        <f>'SER_se-appl'!N73</f>
        <v>0.57396266874821578</v>
      </c>
      <c r="O6" s="202">
        <f>'SER_se-appl'!O73</f>
        <v>0.76224164172640996</v>
      </c>
      <c r="P6" s="202">
        <f>'SER_se-appl'!P73</f>
        <v>0.95948235514061109</v>
      </c>
      <c r="Q6" s="202">
        <f>'SER_se-appl'!Q73</f>
        <v>1.1362967243911699</v>
      </c>
      <c r="R6" s="202">
        <f>'SER_se-appl'!R73</f>
        <v>1.3023504290604204</v>
      </c>
      <c r="S6" s="202">
        <f>'SER_se-appl'!S73</f>
        <v>1.4674980578641841</v>
      </c>
      <c r="T6" s="202">
        <f>'SER_se-appl'!T73</f>
        <v>1.7606835350846475</v>
      </c>
      <c r="U6" s="202">
        <f>'SER_se-appl'!U73</f>
        <v>1.971677562751508</v>
      </c>
      <c r="V6" s="202">
        <f>'SER_se-appl'!V73</f>
        <v>2.3302621997620205</v>
      </c>
      <c r="W6" s="202">
        <f>'SER_se-appl'!W73</f>
        <v>2.992601726881269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443.36940602470787</v>
      </c>
      <c r="C8" s="34">
        <f>'SER_se-appl'!C25</f>
        <v>486.02172227675902</v>
      </c>
      <c r="D8" s="34">
        <f>'SER_se-appl'!D25</f>
        <v>553.46330770082136</v>
      </c>
      <c r="E8" s="34">
        <f>'SER_se-appl'!E25</f>
        <v>661.98958905656025</v>
      </c>
      <c r="F8" s="34">
        <f>'SER_se-appl'!F25</f>
        <v>762.92647837820982</v>
      </c>
      <c r="G8" s="34">
        <f>'SER_se-appl'!G25</f>
        <v>837.83945448927273</v>
      </c>
      <c r="H8" s="34">
        <f>'SER_se-appl'!H25</f>
        <v>893.48319572670096</v>
      </c>
      <c r="I8" s="34">
        <f>'SER_se-appl'!I25</f>
        <v>950.76470361896395</v>
      </c>
      <c r="J8" s="34">
        <f>'SER_se-appl'!J25</f>
        <v>1019.0408240414831</v>
      </c>
      <c r="K8" s="34">
        <f>'SER_se-appl'!K25</f>
        <v>1086.1863609760642</v>
      </c>
      <c r="L8" s="34">
        <f>'SER_se-appl'!L25</f>
        <v>1217.5175044491725</v>
      </c>
      <c r="M8" s="34">
        <f>'SER_se-appl'!M25</f>
        <v>1879.1754819960845</v>
      </c>
      <c r="N8" s="34">
        <f>'SER_se-appl'!N25</f>
        <v>2634.0794141714928</v>
      </c>
      <c r="O8" s="34">
        <f>'SER_se-appl'!O25</f>
        <v>3513.765512955928</v>
      </c>
      <c r="P8" s="34">
        <f>'SER_se-appl'!P25</f>
        <v>4449.9371597535937</v>
      </c>
      <c r="Q8" s="34">
        <f>'SER_se-appl'!Q25</f>
        <v>5315.1722380236943</v>
      </c>
      <c r="R8" s="34">
        <f>'SER_se-appl'!R25</f>
        <v>6155.2805999622587</v>
      </c>
      <c r="S8" s="34">
        <f>'SER_se-appl'!S25</f>
        <v>7021.0727605784177</v>
      </c>
      <c r="T8" s="34">
        <f>'SER_se-appl'!T25</f>
        <v>8504.7916624046011</v>
      </c>
      <c r="U8" s="34">
        <f>'SER_se-appl'!U25</f>
        <v>9669.5799703484554</v>
      </c>
      <c r="V8" s="34">
        <f>'SER_se-appl'!V25</f>
        <v>11568.446874986565</v>
      </c>
      <c r="W8" s="34">
        <f>'SER_se-appl'!W25</f>
        <v>14981.933847727143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131.3261974569927</v>
      </c>
      <c r="D9" s="36">
        <f>'SER_se-appl'!D33</f>
        <v>156.11546662900389</v>
      </c>
      <c r="E9" s="36">
        <f>'SER_se-appl'!E33</f>
        <v>197.2001625606805</v>
      </c>
      <c r="F9" s="36">
        <f>'SER_se-appl'!F33</f>
        <v>189.61077052659118</v>
      </c>
      <c r="G9" s="36">
        <f>'SER_se-appl'!G33</f>
        <v>163.58685731600451</v>
      </c>
      <c r="H9" s="36">
        <f>'SER_se-appl'!H33</f>
        <v>186.96993869442088</v>
      </c>
      <c r="I9" s="36">
        <f>'SER_se-appl'!I33</f>
        <v>213.39697452126688</v>
      </c>
      <c r="J9" s="36">
        <f>'SER_se-appl'!J33</f>
        <v>265.47628298319967</v>
      </c>
      <c r="K9" s="36">
        <f>'SER_se-appl'!K33</f>
        <v>256.75630746117224</v>
      </c>
      <c r="L9" s="36">
        <f>'SER_se-appl'!L33</f>
        <v>294.91800078911285</v>
      </c>
      <c r="M9" s="36">
        <f>'SER_se-appl'!M33</f>
        <v>848.62791624133274</v>
      </c>
      <c r="N9" s="36">
        <f>'SER_se-appl'!N33</f>
        <v>968.30090669667516</v>
      </c>
      <c r="O9" s="36">
        <f>'SER_se-appl'!O33</f>
        <v>1145.162381767635</v>
      </c>
      <c r="P9" s="36">
        <f>'SER_se-appl'!P33</f>
        <v>1192.9279542588379</v>
      </c>
      <c r="Q9" s="36">
        <f>'SER_se-appl'!Q33</f>
        <v>1160.1530790592133</v>
      </c>
      <c r="R9" s="36">
        <f>'SER_se-appl'!R33</f>
        <v>1688.7362781798975</v>
      </c>
      <c r="S9" s="36">
        <f>'SER_se-appl'!S33</f>
        <v>1834.0930673128341</v>
      </c>
      <c r="T9" s="36">
        <f>'SER_se-appl'!T33</f>
        <v>2628.8812835938188</v>
      </c>
      <c r="U9" s="36">
        <f>'SER_se-appl'!U33</f>
        <v>2357.7162622026917</v>
      </c>
      <c r="V9" s="36">
        <f>'SER_se-appl'!V33</f>
        <v>3059.0199836973225</v>
      </c>
      <c r="W9" s="36">
        <f>'SER_se-appl'!W33</f>
        <v>5102.223250920475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88.673881204941551</v>
      </c>
      <c r="D10" s="38">
        <f>'SER_se-appl'!D41</f>
        <v>88.673881204941608</v>
      </c>
      <c r="E10" s="38">
        <f>'SER_se-appl'!E41</f>
        <v>88.673881204941608</v>
      </c>
      <c r="F10" s="38">
        <f>'SER_se-appl'!F41</f>
        <v>88.673881204941608</v>
      </c>
      <c r="G10" s="38">
        <f>'SER_se-appl'!G41</f>
        <v>88.673881204941608</v>
      </c>
      <c r="H10" s="38">
        <f>'SER_se-appl'!H41</f>
        <v>131.32619745699265</v>
      </c>
      <c r="I10" s="38">
        <f>'SER_se-appl'!I41</f>
        <v>156.11546662900378</v>
      </c>
      <c r="J10" s="38">
        <f>'SER_se-appl'!J41</f>
        <v>197.20016256068038</v>
      </c>
      <c r="K10" s="38">
        <f>'SER_se-appl'!K41</f>
        <v>189.61077052659107</v>
      </c>
      <c r="L10" s="38">
        <f>'SER_se-appl'!L41</f>
        <v>163.58685731600463</v>
      </c>
      <c r="M10" s="38">
        <f>'SER_se-appl'!M41</f>
        <v>186.96993869442099</v>
      </c>
      <c r="N10" s="38">
        <f>'SER_se-appl'!N41</f>
        <v>213.39697452126666</v>
      </c>
      <c r="O10" s="38">
        <f>'SER_se-appl'!O41</f>
        <v>265.47628298319978</v>
      </c>
      <c r="P10" s="38">
        <f>'SER_se-appl'!P41</f>
        <v>256.75630746117167</v>
      </c>
      <c r="Q10" s="38">
        <f>'SER_se-appl'!Q41</f>
        <v>294.91800078911274</v>
      </c>
      <c r="R10" s="38">
        <f>'SER_se-appl'!R41</f>
        <v>848.62791624133297</v>
      </c>
      <c r="S10" s="38">
        <f>'SER_se-appl'!S41</f>
        <v>968.30090669667516</v>
      </c>
      <c r="T10" s="38">
        <f>'SER_se-appl'!T41</f>
        <v>1145.1623817676355</v>
      </c>
      <c r="U10" s="38">
        <f>'SER_se-appl'!U41</f>
        <v>1192.9279542588374</v>
      </c>
      <c r="V10" s="38">
        <f>'SER_se-appl'!V41</f>
        <v>1160.1530790592133</v>
      </c>
      <c r="W10" s="38">
        <f>'SER_se-appl'!W41</f>
        <v>1688.7362781798965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1706.1915891459414</v>
      </c>
      <c r="C12" s="205">
        <f>'SER_se-appl'!C49</f>
        <v>1726.3021465117472</v>
      </c>
      <c r="D12" s="205">
        <f>'SER_se-appl'!D49</f>
        <v>1758.5766660014581</v>
      </c>
      <c r="E12" s="205">
        <f>'SER_se-appl'!E49</f>
        <v>1789.8467613271669</v>
      </c>
      <c r="F12" s="205">
        <f>'SER_se-appl'!F49</f>
        <v>1822.5657728048939</v>
      </c>
      <c r="G12" s="205">
        <f>'SER_se-appl'!G49</f>
        <v>1850.0820722506628</v>
      </c>
      <c r="H12" s="205">
        <f>'SER_se-appl'!H49</f>
        <v>1873.729618182979</v>
      </c>
      <c r="I12" s="205">
        <f>'SER_se-appl'!I49</f>
        <v>1897.1292226954895</v>
      </c>
      <c r="J12" s="205">
        <f>'SER_se-appl'!J49</f>
        <v>1918.3112693428225</v>
      </c>
      <c r="K12" s="205">
        <f>'SER_se-appl'!K49</f>
        <v>1938.1583622088149</v>
      </c>
      <c r="L12" s="205">
        <f>'SER_se-appl'!L49</f>
        <v>1959.8994717617197</v>
      </c>
      <c r="M12" s="205">
        <f>'SER_se-appl'!M49</f>
        <v>1975.4007088019828</v>
      </c>
      <c r="N12" s="205">
        <f>'SER_se-appl'!N49</f>
        <v>1992.7828963442641</v>
      </c>
      <c r="O12" s="205">
        <f>'SER_se-appl'!O49</f>
        <v>2007.3643589029289</v>
      </c>
      <c r="P12" s="205">
        <f>'SER_se-appl'!P49</f>
        <v>2023.2699870944305</v>
      </c>
      <c r="Q12" s="205">
        <f>'SER_se-appl'!Q49</f>
        <v>2037.876102950441</v>
      </c>
      <c r="R12" s="205">
        <f>'SER_se-appl'!R49</f>
        <v>2078.4772788774576</v>
      </c>
      <c r="S12" s="205">
        <f>'SER_se-appl'!S49</f>
        <v>2138.5694557276092</v>
      </c>
      <c r="T12" s="205">
        <f>'SER_se-appl'!T49</f>
        <v>2138.337434860327</v>
      </c>
      <c r="U12" s="205">
        <f>'SER_se-appl'!U49</f>
        <v>2146.5033054393261</v>
      </c>
      <c r="V12" s="205">
        <f>'SER_se-appl'!V49</f>
        <v>2066.0154554992728</v>
      </c>
      <c r="W12" s="205">
        <f>'SER_se-appl'!W49</f>
        <v>2231.298593609034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342.80720202810835</v>
      </c>
      <c r="C14" s="59">
        <f>'SER_se-appl'!C57</f>
        <v>334.3926562441381</v>
      </c>
      <c r="D14" s="59">
        <f>'SER_se-appl'!D57</f>
        <v>323.36116800346377</v>
      </c>
      <c r="E14" s="59">
        <f>'SER_se-appl'!E57</f>
        <v>309.2648037603081</v>
      </c>
      <c r="F14" s="59">
        <f>'SER_se-appl'!F57</f>
        <v>296.30890084909987</v>
      </c>
      <c r="G14" s="59">
        <f>'SER_se-appl'!G57</f>
        <v>284.4758424790852</v>
      </c>
      <c r="H14" s="59">
        <f>'SER_se-appl'!H57</f>
        <v>272.29839987836681</v>
      </c>
      <c r="I14" s="59">
        <f>'SER_se-appl'!I57</f>
        <v>257.85208485810625</v>
      </c>
      <c r="J14" s="59">
        <f>'SER_se-appl'!J57</f>
        <v>240.44667287297642</v>
      </c>
      <c r="K14" s="59">
        <f>'SER_se-appl'!K57</f>
        <v>225.66494360400802</v>
      </c>
      <c r="L14" s="59">
        <f>'SER_se-appl'!L57</f>
        <v>212.6164309115521</v>
      </c>
      <c r="M14" s="59">
        <f>'SER_se-appl'!M57</f>
        <v>194.47008479907151</v>
      </c>
      <c r="N14" s="59">
        <f>'SER_se-appl'!N57</f>
        <v>183.6365065199596</v>
      </c>
      <c r="O14" s="59">
        <f>'SER_se-appl'!O57</f>
        <v>175.52494341760666</v>
      </c>
      <c r="P14" s="59">
        <f>'SER_se-appl'!P57</f>
        <v>170.36228180411291</v>
      </c>
      <c r="Q14" s="59">
        <f>'SER_se-appl'!Q57</f>
        <v>167.28930564220963</v>
      </c>
      <c r="R14" s="59">
        <f>'SER_se-appl'!R57</f>
        <v>163.01551620441762</v>
      </c>
      <c r="S14" s="59">
        <f>'SER_se-appl'!S57</f>
        <v>159.22565091433881</v>
      </c>
      <c r="T14" s="59">
        <f>'SER_se-appl'!T57</f>
        <v>155.29373196058896</v>
      </c>
      <c r="U14" s="59">
        <f>'SER_se-appl'!U57</f>
        <v>151.94721735055333</v>
      </c>
      <c r="V14" s="59">
        <f>'SER_se-appl'!V57</f>
        <v>148.04210350810405</v>
      </c>
      <c r="W14" s="59">
        <f>'SER_se-appl'!W57</f>
        <v>143.49314345489447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311.6660275077607</v>
      </c>
      <c r="D15" s="63">
        <f>'SER_se-appl'!D65</f>
        <v>300.06310739782737</v>
      </c>
      <c r="E15" s="63">
        <f>'SER_se-appl'!E65</f>
        <v>284.78467312269095</v>
      </c>
      <c r="F15" s="63">
        <f>'SER_se-appl'!F65</f>
        <v>272.82137428771233</v>
      </c>
      <c r="G15" s="63">
        <f>'SER_se-appl'!G65</f>
        <v>260.90863441139248</v>
      </c>
      <c r="H15" s="63">
        <f>'SER_se-appl'!H65</f>
        <v>245.38101914148498</v>
      </c>
      <c r="I15" s="63">
        <f>'SER_se-appl'!I65</f>
        <v>228.24648129097861</v>
      </c>
      <c r="J15" s="63">
        <f>'SER_se-appl'!J65</f>
        <v>211.04671886261121</v>
      </c>
      <c r="K15" s="63">
        <f>'SER_se-appl'!K65</f>
        <v>201.82203014914577</v>
      </c>
      <c r="L15" s="63">
        <f>'SER_se-appl'!L65</f>
        <v>191.34561428666072</v>
      </c>
      <c r="M15" s="63">
        <f>'SER_se-appl'!M65</f>
        <v>179.65242499764034</v>
      </c>
      <c r="N15" s="63">
        <f>'SER_se-appl'!N65</f>
        <v>172.44312545439561</v>
      </c>
      <c r="O15" s="63">
        <f>'SER_se-appl'!O65</f>
        <v>165.10169457133154</v>
      </c>
      <c r="P15" s="63">
        <f>'SER_se-appl'!P65</f>
        <v>161.92682392260198</v>
      </c>
      <c r="Q15" s="63">
        <f>'SER_se-appl'!Q65</f>
        <v>161.6177158486982</v>
      </c>
      <c r="R15" s="63">
        <f>'SER_se-appl'!R65</f>
        <v>157.92450120100489</v>
      </c>
      <c r="S15" s="63">
        <f>'SER_se-appl'!S65</f>
        <v>153.48483442974143</v>
      </c>
      <c r="T15" s="63">
        <f>'SER_se-appl'!T65</f>
        <v>149.06500670716696</v>
      </c>
      <c r="U15" s="63">
        <f>'SER_se-appl'!U65</f>
        <v>144.92497376396662</v>
      </c>
      <c r="V15" s="63">
        <f>'SER_se-appl'!V65</f>
        <v>140.84665455611005</v>
      </c>
      <c r="W15" s="63">
        <f>'SER_se-appl'!W65</f>
        <v>137.95562697369292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3920.3438974077872</v>
      </c>
      <c r="C3" s="220">
        <v>3240.20338622085</v>
      </c>
      <c r="D3" s="220">
        <v>3006.8673793112239</v>
      </c>
      <c r="E3" s="220">
        <v>2599.949316374431</v>
      </c>
      <c r="F3" s="220">
        <v>2930.7612568065101</v>
      </c>
      <c r="G3" s="220">
        <v>2045.079586383177</v>
      </c>
      <c r="H3" s="220">
        <v>1903.729450026264</v>
      </c>
      <c r="I3" s="220">
        <v>2300.616586282913</v>
      </c>
      <c r="J3" s="220">
        <v>1821.9689166609439</v>
      </c>
      <c r="K3" s="220">
        <v>1113.2166523463709</v>
      </c>
      <c r="L3" s="220">
        <v>1914.8273300261219</v>
      </c>
      <c r="M3" s="220">
        <v>2477.1584516714638</v>
      </c>
      <c r="N3" s="220">
        <v>1979.2548203380529</v>
      </c>
      <c r="O3" s="220">
        <v>2173.6066838908828</v>
      </c>
      <c r="P3" s="220">
        <v>2676.2008805905921</v>
      </c>
      <c r="Q3" s="220">
        <v>2351.1</v>
      </c>
      <c r="R3" s="220">
        <v>2527.7445030739232</v>
      </c>
      <c r="S3" s="220">
        <v>3374.0873630443361</v>
      </c>
      <c r="T3" s="220">
        <v>2773.1532629814469</v>
      </c>
      <c r="U3" s="220">
        <v>2973.988998534981</v>
      </c>
      <c r="V3" s="220">
        <v>3234.5911832253491</v>
      </c>
      <c r="W3" s="220">
        <v>4020.5492247337929</v>
      </c>
      <c r="DA3" s="211" t="s">
        <v>972</v>
      </c>
    </row>
    <row r="5" spans="1:105" x14ac:dyDescent="0.25">
      <c r="A5" s="219" t="s">
        <v>120</v>
      </c>
      <c r="B5" s="220">
        <v>2794.855492647288</v>
      </c>
      <c r="C5" s="220">
        <v>2943.8038434027299</v>
      </c>
      <c r="D5" s="220">
        <v>2784.9760495190658</v>
      </c>
      <c r="E5" s="220">
        <v>2739.034178017022</v>
      </c>
      <c r="F5" s="220">
        <v>2715.1592185374702</v>
      </c>
      <c r="G5" s="220">
        <v>2479.3671975111388</v>
      </c>
      <c r="H5" s="220">
        <v>2475.296899435848</v>
      </c>
      <c r="I5" s="220">
        <v>2497.6143343425301</v>
      </c>
      <c r="J5" s="220">
        <v>2571.4221712945482</v>
      </c>
      <c r="K5" s="220">
        <v>2007.062514440049</v>
      </c>
      <c r="L5" s="220">
        <v>2036.3952954753199</v>
      </c>
      <c r="M5" s="220">
        <v>2115.354878785105</v>
      </c>
      <c r="N5" s="220">
        <v>2022.1855330695601</v>
      </c>
      <c r="O5" s="220">
        <v>1870.7448311351779</v>
      </c>
      <c r="P5" s="220">
        <v>1761.4264816745031</v>
      </c>
      <c r="Q5" s="220">
        <v>1659.7848490618239</v>
      </c>
      <c r="R5" s="220">
        <v>1672.896132988644</v>
      </c>
      <c r="S5" s="220">
        <v>1888.0402115676891</v>
      </c>
      <c r="T5" s="220">
        <v>1774.4556640758381</v>
      </c>
      <c r="U5" s="220">
        <v>1778.115222160756</v>
      </c>
      <c r="V5" s="220">
        <v>1685.7115651688091</v>
      </c>
      <c r="W5" s="220">
        <v>1756.6064382535289</v>
      </c>
      <c r="DA5" s="211" t="s">
        <v>973</v>
      </c>
    </row>
    <row r="6" spans="1:105" x14ac:dyDescent="0.25">
      <c r="A6" s="221" t="s">
        <v>119</v>
      </c>
      <c r="B6" s="222">
        <v>3493.5693658091091</v>
      </c>
      <c r="C6" s="222">
        <v>3318.8908975186541</v>
      </c>
      <c r="D6" s="222">
        <v>3318.8908975186541</v>
      </c>
      <c r="E6" s="222">
        <v>3144.2124292281978</v>
      </c>
      <c r="F6" s="222">
        <v>2969.5339609377429</v>
      </c>
      <c r="G6" s="222">
        <v>2969.5339609377429</v>
      </c>
      <c r="H6" s="222">
        <v>2794.855492647288</v>
      </c>
      <c r="I6" s="222">
        <v>2794.855492647288</v>
      </c>
      <c r="J6" s="222">
        <v>2794.855492647288</v>
      </c>
      <c r="K6" s="222">
        <v>2794.855492647288</v>
      </c>
      <c r="L6" s="222">
        <v>2620.1770243568321</v>
      </c>
      <c r="M6" s="222">
        <v>2620.1770243568321</v>
      </c>
      <c r="N6" s="222">
        <v>2445.4985560663772</v>
      </c>
      <c r="O6" s="222">
        <v>2270.8200877759209</v>
      </c>
      <c r="P6" s="222">
        <v>2270.8200877759209</v>
      </c>
      <c r="Q6" s="222">
        <v>2096.141619485466</v>
      </c>
      <c r="R6" s="222">
        <v>1921.4631511950111</v>
      </c>
      <c r="S6" s="222">
        <v>2096.141619485466</v>
      </c>
      <c r="T6" s="222">
        <v>1921.4631511950111</v>
      </c>
      <c r="U6" s="222">
        <v>1921.4631511950111</v>
      </c>
      <c r="V6" s="222">
        <v>1921.4631511950111</v>
      </c>
      <c r="W6" s="222">
        <v>1921.4631511950111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174.6784682904555</v>
      </c>
      <c r="J7" s="226">
        <v>174.6784682904555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174.6784682904555</v>
      </c>
      <c r="T7" s="226">
        <v>0</v>
      </c>
      <c r="U7" s="226">
        <v>174.6784682904555</v>
      </c>
      <c r="V7" s="226">
        <v>0</v>
      </c>
      <c r="W7" s="226">
        <v>174.6784682904555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174.67846829045493</v>
      </c>
      <c r="D8" s="228">
        <f t="shared" ref="D8" si="1">IF(C6=0,0,C6+D7-D6)</f>
        <v>0</v>
      </c>
      <c r="E8" s="228">
        <f t="shared" ref="E8" si="2">IF(D6=0,0,D6+E7-E6)</f>
        <v>174.67846829045629</v>
      </c>
      <c r="F8" s="228">
        <f t="shared" ref="F8" si="3">IF(E6=0,0,E6+F7-F6)</f>
        <v>174.67846829045493</v>
      </c>
      <c r="G8" s="228">
        <f t="shared" ref="G8" si="4">IF(F6=0,0,F6+G7-G6)</f>
        <v>0</v>
      </c>
      <c r="H8" s="228">
        <f t="shared" ref="H8" si="5">IF(G6=0,0,G6+H7-H6)</f>
        <v>174.67846829045493</v>
      </c>
      <c r="I8" s="228">
        <f t="shared" ref="I8" si="6">IF(H6=0,0,H6+I7-I6)</f>
        <v>174.67846829045538</v>
      </c>
      <c r="J8" s="228">
        <f t="shared" ref="J8" si="7">IF(I6=0,0,I6+J7-J6)</f>
        <v>174.67846829045538</v>
      </c>
      <c r="K8" s="228">
        <f t="shared" ref="K8" si="8">IF(J6=0,0,J6+K7-K6)</f>
        <v>0</v>
      </c>
      <c r="L8" s="228">
        <f t="shared" ref="L8" si="9">IF(K6=0,0,K6+L7-L6)</f>
        <v>174.67846829045584</v>
      </c>
      <c r="M8" s="228">
        <f t="shared" ref="M8" si="10">IF(L6=0,0,L6+M7-M6)</f>
        <v>0</v>
      </c>
      <c r="N8" s="228">
        <f t="shared" ref="N8" si="11">IF(M6=0,0,M6+N7-N6)</f>
        <v>174.67846829045493</v>
      </c>
      <c r="O8" s="228">
        <f t="shared" ref="O8" si="12">IF(N6=0,0,N6+O7-O6)</f>
        <v>174.67846829045629</v>
      </c>
      <c r="P8" s="228">
        <f t="shared" ref="P8" si="13">IF(O6=0,0,O6+P7-P6)</f>
        <v>0</v>
      </c>
      <c r="Q8" s="228">
        <f t="shared" ref="Q8" si="14">IF(P6=0,0,P6+Q7-Q6)</f>
        <v>174.67846829045493</v>
      </c>
      <c r="R8" s="228">
        <f t="shared" ref="R8" si="15">IF(Q6=0,0,Q6+R7-R6)</f>
        <v>174.67846829045493</v>
      </c>
      <c r="S8" s="228">
        <f t="shared" ref="S8" si="16">IF(R6=0,0,R6+S7-S6)</f>
        <v>4.5474735088646412E-13</v>
      </c>
      <c r="T8" s="228">
        <f t="shared" ref="T8" si="17">IF(S6=0,0,S6+T7-T6)</f>
        <v>174.67846829045493</v>
      </c>
      <c r="U8" s="228">
        <f t="shared" ref="U8" si="18">IF(T6=0,0,T6+U7-U6)</f>
        <v>174.67846829045538</v>
      </c>
      <c r="V8" s="228">
        <f t="shared" ref="V8" si="19">IF(U6=0,0,U6+V7-V6)</f>
        <v>0</v>
      </c>
      <c r="W8" s="228">
        <f t="shared" ref="W8" si="20">IF(V6=0,0,V6+W7-W6)</f>
        <v>174.67846829045538</v>
      </c>
      <c r="DA8" s="214" t="s">
        <v>976</v>
      </c>
    </row>
    <row r="9" spans="1:105" x14ac:dyDescent="0.25">
      <c r="A9" s="223" t="s">
        <v>116</v>
      </c>
      <c r="B9" s="224">
        <f>B6-B5</f>
        <v>698.71387316182108</v>
      </c>
      <c r="C9" s="224">
        <f t="shared" ref="C9:W9" si="21">C6-C5</f>
        <v>375.08705411592427</v>
      </c>
      <c r="D9" s="224">
        <f t="shared" si="21"/>
        <v>533.91484799958835</v>
      </c>
      <c r="E9" s="224">
        <f t="shared" si="21"/>
        <v>405.17825121117585</v>
      </c>
      <c r="F9" s="224">
        <f t="shared" si="21"/>
        <v>254.37474240027268</v>
      </c>
      <c r="G9" s="224">
        <f t="shared" si="21"/>
        <v>490.16676342660412</v>
      </c>
      <c r="H9" s="224">
        <f t="shared" si="21"/>
        <v>319.55859321143998</v>
      </c>
      <c r="I9" s="224">
        <f t="shared" si="21"/>
        <v>297.24115830475785</v>
      </c>
      <c r="J9" s="224">
        <f t="shared" si="21"/>
        <v>223.43332135273977</v>
      </c>
      <c r="K9" s="224">
        <f t="shared" si="21"/>
        <v>787.792978207239</v>
      </c>
      <c r="L9" s="224">
        <f t="shared" si="21"/>
        <v>583.78172888151221</v>
      </c>
      <c r="M9" s="224">
        <f t="shared" si="21"/>
        <v>504.82214557172711</v>
      </c>
      <c r="N9" s="224">
        <f t="shared" si="21"/>
        <v>423.31302299681715</v>
      </c>
      <c r="O9" s="224">
        <f t="shared" si="21"/>
        <v>400.07525664074296</v>
      </c>
      <c r="P9" s="224">
        <f t="shared" si="21"/>
        <v>509.39360610141784</v>
      </c>
      <c r="Q9" s="224">
        <f t="shared" si="21"/>
        <v>436.35677042364205</v>
      </c>
      <c r="R9" s="224">
        <f t="shared" si="21"/>
        <v>248.56701820636704</v>
      </c>
      <c r="S9" s="224">
        <f t="shared" si="21"/>
        <v>208.1014079177769</v>
      </c>
      <c r="T9" s="224">
        <f t="shared" si="21"/>
        <v>147.00748711917299</v>
      </c>
      <c r="U9" s="224">
        <f t="shared" si="21"/>
        <v>143.347929034255</v>
      </c>
      <c r="V9" s="224">
        <f t="shared" si="21"/>
        <v>235.75158602620195</v>
      </c>
      <c r="W9" s="224">
        <f t="shared" si="21"/>
        <v>164.8567129414821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353.43430782459154</v>
      </c>
      <c r="C12" s="230">
        <f t="shared" ref="C12:W12" si="22">SUM(C13,C14,C18,C19,C26,C27)</f>
        <v>360.16861564918315</v>
      </c>
      <c r="D12" s="230">
        <f t="shared" si="22"/>
        <v>355.94935511607912</v>
      </c>
      <c r="E12" s="230">
        <f t="shared" si="22"/>
        <v>370.95528804815137</v>
      </c>
      <c r="F12" s="230">
        <f t="shared" si="22"/>
        <v>366.1219260533104</v>
      </c>
      <c r="G12" s="230">
        <f t="shared" si="22"/>
        <v>382.8801375752364</v>
      </c>
      <c r="H12" s="230">
        <f t="shared" si="22"/>
        <v>363.69587274290626</v>
      </c>
      <c r="I12" s="230">
        <f t="shared" si="22"/>
        <v>342.76887360275151</v>
      </c>
      <c r="J12" s="230">
        <f t="shared" si="22"/>
        <v>358.26913155631985</v>
      </c>
      <c r="K12" s="230">
        <f t="shared" si="22"/>
        <v>313.82476354256232</v>
      </c>
      <c r="L12" s="230">
        <f t="shared" si="22"/>
        <v>294.43396388650046</v>
      </c>
      <c r="M12" s="230">
        <f t="shared" si="22"/>
        <v>280.91969045571796</v>
      </c>
      <c r="N12" s="230">
        <f t="shared" si="22"/>
        <v>273.08202923473777</v>
      </c>
      <c r="O12" s="230">
        <f t="shared" si="22"/>
        <v>248.7159071367154</v>
      </c>
      <c r="P12" s="230">
        <f t="shared" si="22"/>
        <v>229.26620808254509</v>
      </c>
      <c r="Q12" s="230">
        <f t="shared" si="22"/>
        <v>220.6155631986243</v>
      </c>
      <c r="R12" s="230">
        <f t="shared" si="22"/>
        <v>226.48572656921752</v>
      </c>
      <c r="S12" s="230">
        <f t="shared" si="22"/>
        <v>235.82020636285469</v>
      </c>
      <c r="T12" s="230">
        <f t="shared" si="22"/>
        <v>250.69484092863286</v>
      </c>
      <c r="U12" s="230">
        <f t="shared" si="22"/>
        <v>252.51367153912295</v>
      </c>
      <c r="V12" s="230">
        <f t="shared" si="22"/>
        <v>250.5405846947549</v>
      </c>
      <c r="W12" s="230">
        <f t="shared" si="22"/>
        <v>250.3869303525365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304.42312983662941</v>
      </c>
      <c r="C14" s="55">
        <f t="shared" ref="C14:W14" si="23">SUM(C15:C17)</f>
        <v>308.14797936371457</v>
      </c>
      <c r="D14" s="55">
        <f t="shared" si="23"/>
        <v>303.92871883061048</v>
      </c>
      <c r="E14" s="55">
        <f t="shared" si="23"/>
        <v>318.93465176268273</v>
      </c>
      <c r="F14" s="55">
        <f t="shared" si="23"/>
        <v>313.8433361994841</v>
      </c>
      <c r="G14" s="55">
        <f t="shared" si="23"/>
        <v>327.56362854686154</v>
      </c>
      <c r="H14" s="55">
        <f t="shared" si="23"/>
        <v>310.96156491831471</v>
      </c>
      <c r="I14" s="55">
        <f t="shared" si="23"/>
        <v>294.54875322441961</v>
      </c>
      <c r="J14" s="55">
        <f t="shared" si="23"/>
        <v>309.99742046431641</v>
      </c>
      <c r="K14" s="55">
        <f t="shared" si="23"/>
        <v>265.84539982803096</v>
      </c>
      <c r="L14" s="55">
        <f t="shared" si="23"/>
        <v>246.4546001719691</v>
      </c>
      <c r="M14" s="55">
        <f t="shared" si="23"/>
        <v>232.94032674118657</v>
      </c>
      <c r="N14" s="55">
        <f t="shared" si="23"/>
        <v>225.10266552020639</v>
      </c>
      <c r="O14" s="55">
        <f t="shared" si="23"/>
        <v>200.73654342218401</v>
      </c>
      <c r="P14" s="55">
        <f t="shared" si="23"/>
        <v>181.2868443680137</v>
      </c>
      <c r="Q14" s="55">
        <f t="shared" si="23"/>
        <v>172.63619948409291</v>
      </c>
      <c r="R14" s="55">
        <f t="shared" si="23"/>
        <v>178.50636285468613</v>
      </c>
      <c r="S14" s="55">
        <f t="shared" si="23"/>
        <v>187.8408426483233</v>
      </c>
      <c r="T14" s="55">
        <f t="shared" si="23"/>
        <v>202.71547721410147</v>
      </c>
      <c r="U14" s="55">
        <f t="shared" si="23"/>
        <v>205.2797936371453</v>
      </c>
      <c r="V14" s="55">
        <f t="shared" si="23"/>
        <v>201.87558039552877</v>
      </c>
      <c r="W14" s="55">
        <f t="shared" si="23"/>
        <v>202.7589853826311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DA15" s="10" t="s">
        <v>980</v>
      </c>
    </row>
    <row r="16" spans="1:105" x14ac:dyDescent="0.25">
      <c r="A16" s="61" t="s">
        <v>172</v>
      </c>
      <c r="B16" s="55">
        <v>304.42312983662941</v>
      </c>
      <c r="C16" s="55">
        <v>308.14797936371457</v>
      </c>
      <c r="D16" s="55">
        <v>303.92871883061048</v>
      </c>
      <c r="E16" s="55">
        <v>318.93465176268273</v>
      </c>
      <c r="F16" s="55">
        <v>313.8433361994841</v>
      </c>
      <c r="G16" s="55">
        <v>327.56362854686154</v>
      </c>
      <c r="H16" s="55">
        <v>310.96156491831471</v>
      </c>
      <c r="I16" s="55">
        <v>294.54875322441961</v>
      </c>
      <c r="J16" s="55">
        <v>309.99742046431641</v>
      </c>
      <c r="K16" s="55">
        <v>265.84539982803096</v>
      </c>
      <c r="L16" s="55">
        <v>246.4546001719691</v>
      </c>
      <c r="M16" s="55">
        <v>232.94032674118657</v>
      </c>
      <c r="N16" s="55">
        <v>225.10266552020639</v>
      </c>
      <c r="O16" s="55">
        <v>200.73654342218401</v>
      </c>
      <c r="P16" s="55">
        <v>181.2868443680137</v>
      </c>
      <c r="Q16" s="55">
        <v>172.63619948409291</v>
      </c>
      <c r="R16" s="55">
        <v>178.50636285468613</v>
      </c>
      <c r="S16" s="55">
        <v>187.8408426483233</v>
      </c>
      <c r="T16" s="55">
        <v>202.71547721410147</v>
      </c>
      <c r="U16" s="55">
        <v>205.2797936371453</v>
      </c>
      <c r="V16" s="55">
        <v>201.87558039552877</v>
      </c>
      <c r="W16" s="55">
        <v>202.7589853826311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0</v>
      </c>
      <c r="M19" s="55">
        <f t="shared" si="24"/>
        <v>0</v>
      </c>
      <c r="N19" s="55">
        <f t="shared" si="24"/>
        <v>0</v>
      </c>
      <c r="O19" s="55">
        <f t="shared" si="24"/>
        <v>0</v>
      </c>
      <c r="P19" s="55">
        <f t="shared" si="24"/>
        <v>0</v>
      </c>
      <c r="Q19" s="55">
        <f t="shared" si="24"/>
        <v>0</v>
      </c>
      <c r="R19" s="55">
        <f t="shared" si="24"/>
        <v>0</v>
      </c>
      <c r="S19" s="55">
        <f t="shared" si="24"/>
        <v>0</v>
      </c>
      <c r="T19" s="55">
        <f t="shared" si="24"/>
        <v>0</v>
      </c>
      <c r="U19" s="55">
        <f t="shared" si="24"/>
        <v>0</v>
      </c>
      <c r="V19" s="55">
        <f t="shared" si="24"/>
        <v>0</v>
      </c>
      <c r="W19" s="55">
        <f t="shared" si="24"/>
        <v>0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49.011177987962157</v>
      </c>
      <c r="C27" s="63">
        <v>52.020636285468612</v>
      </c>
      <c r="D27" s="63">
        <v>52.020636285468612</v>
      </c>
      <c r="E27" s="63">
        <v>52.020636285468612</v>
      </c>
      <c r="F27" s="63">
        <v>52.278589853826311</v>
      </c>
      <c r="G27" s="63">
        <v>55.316509028374888</v>
      </c>
      <c r="H27" s="63">
        <v>52.734307824591568</v>
      </c>
      <c r="I27" s="63">
        <v>48.220120378331892</v>
      </c>
      <c r="J27" s="63">
        <v>48.271711092003443</v>
      </c>
      <c r="K27" s="63">
        <v>47.979363714531381</v>
      </c>
      <c r="L27" s="63">
        <v>47.979363714531381</v>
      </c>
      <c r="M27" s="63">
        <v>47.979363714531381</v>
      </c>
      <c r="N27" s="63">
        <v>47.979363714531381</v>
      </c>
      <c r="O27" s="63">
        <v>47.979363714531381</v>
      </c>
      <c r="P27" s="63">
        <v>47.979363714531381</v>
      </c>
      <c r="Q27" s="63">
        <v>47.979363714531381</v>
      </c>
      <c r="R27" s="63">
        <v>47.979363714531381</v>
      </c>
      <c r="S27" s="63">
        <v>47.979363714531381</v>
      </c>
      <c r="T27" s="63">
        <v>47.979363714531381</v>
      </c>
      <c r="U27" s="63">
        <v>47.233877901977642</v>
      </c>
      <c r="V27" s="63">
        <v>48.66500429922614</v>
      </c>
      <c r="W27" s="63">
        <v>47.627944969905407</v>
      </c>
      <c r="DA27" s="11" t="s">
        <v>991</v>
      </c>
    </row>
    <row r="29" spans="1:105" x14ac:dyDescent="0.25">
      <c r="A29" s="219" t="s">
        <v>84</v>
      </c>
      <c r="B29" s="220">
        <v>944.44804116000012</v>
      </c>
      <c r="C29" s="220">
        <v>956.00408436000009</v>
      </c>
      <c r="D29" s="220">
        <v>942.91417115999991</v>
      </c>
      <c r="E29" s="220">
        <v>989.46885960000009</v>
      </c>
      <c r="F29" s="220">
        <v>973.67346648000012</v>
      </c>
      <c r="G29" s="220">
        <v>1016.2395594</v>
      </c>
      <c r="H29" s="220">
        <v>964.73300508</v>
      </c>
      <c r="I29" s="220">
        <v>913.81358952000005</v>
      </c>
      <c r="J29" s="220">
        <v>961.74182519999988</v>
      </c>
      <c r="K29" s="220">
        <v>824.76376632000006</v>
      </c>
      <c r="L29" s="220">
        <v>764.60538492000023</v>
      </c>
      <c r="M29" s="220">
        <v>722.67844895999997</v>
      </c>
      <c r="N29" s="220">
        <v>698.36274144000015</v>
      </c>
      <c r="O29" s="220">
        <v>622.76882616</v>
      </c>
      <c r="P29" s="220">
        <v>562.42771415999982</v>
      </c>
      <c r="Q29" s="220">
        <v>535.58979084000021</v>
      </c>
      <c r="R29" s="220">
        <v>553.80149603999996</v>
      </c>
      <c r="S29" s="220">
        <v>582.76096164</v>
      </c>
      <c r="T29" s="220">
        <v>628.90830756000003</v>
      </c>
      <c r="U29" s="220">
        <v>636.86389104</v>
      </c>
      <c r="V29" s="220">
        <v>626.3025958799999</v>
      </c>
      <c r="W29" s="220">
        <v>629.04328811999994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90.153904114965428</v>
      </c>
      <c r="C31" s="59">
        <f t="shared" si="25"/>
        <v>111.15617531319818</v>
      </c>
      <c r="D31" s="59">
        <f t="shared" si="25"/>
        <v>118.37880099574448</v>
      </c>
      <c r="E31" s="59">
        <f t="shared" si="25"/>
        <v>142.67789210808152</v>
      </c>
      <c r="F31" s="59">
        <f t="shared" si="25"/>
        <v>124.923831718812</v>
      </c>
      <c r="G31" s="59">
        <f t="shared" si="25"/>
        <v>187.22016498750477</v>
      </c>
      <c r="H31" s="59">
        <f t="shared" si="25"/>
        <v>191.04388637675837</v>
      </c>
      <c r="I31" s="59">
        <f t="shared" si="25"/>
        <v>148.99000365661115</v>
      </c>
      <c r="J31" s="59">
        <f t="shared" si="25"/>
        <v>196.63844332366912</v>
      </c>
      <c r="K31" s="59">
        <f t="shared" si="25"/>
        <v>281.90807501945051</v>
      </c>
      <c r="L31" s="59">
        <f t="shared" si="25"/>
        <v>153.76528174082614</v>
      </c>
      <c r="M31" s="59">
        <f t="shared" si="25"/>
        <v>113.40400541037948</v>
      </c>
      <c r="N31" s="59">
        <f t="shared" si="25"/>
        <v>137.97214306548759</v>
      </c>
      <c r="O31" s="59">
        <f t="shared" si="25"/>
        <v>114.42544273534318</v>
      </c>
      <c r="P31" s="59">
        <f t="shared" si="25"/>
        <v>85.668534729706067</v>
      </c>
      <c r="Q31" s="59">
        <f t="shared" si="25"/>
        <v>93.835040278433198</v>
      </c>
      <c r="R31" s="59">
        <f t="shared" si="25"/>
        <v>89.599928431767623</v>
      </c>
      <c r="S31" s="59">
        <f t="shared" si="25"/>
        <v>69.891553178421944</v>
      </c>
      <c r="T31" s="59">
        <f t="shared" si="25"/>
        <v>90.400644016013786</v>
      </c>
      <c r="U31" s="59">
        <f t="shared" si="25"/>
        <v>84.907399342604805</v>
      </c>
      <c r="V31" s="59">
        <f t="shared" si="25"/>
        <v>77.456646142505761</v>
      </c>
      <c r="W31" s="59">
        <f t="shared" si="25"/>
        <v>62.27679761068341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</v>
      </c>
      <c r="E32" s="55">
        <f t="shared" si="26"/>
        <v>135.43288032890186</v>
      </c>
      <c r="F32" s="55">
        <f t="shared" si="26"/>
        <v>134.84363036747555</v>
      </c>
      <c r="G32" s="55">
        <f t="shared" si="26"/>
        <v>154.42655608236757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156.36023356757096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132.91816907674809</v>
      </c>
      <c r="R32" s="55">
        <f t="shared" si="26"/>
        <v>135.38540863538176</v>
      </c>
      <c r="S32" s="55">
        <f t="shared" si="26"/>
        <v>124.90211009173741</v>
      </c>
      <c r="T32" s="55">
        <f t="shared" si="26"/>
        <v>141.27985612939972</v>
      </c>
      <c r="U32" s="55">
        <f t="shared" si="26"/>
        <v>142.01198459584057</v>
      </c>
      <c r="V32" s="55">
        <f t="shared" si="26"/>
        <v>148.62601044661247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48.199994655571579</v>
      </c>
      <c r="C33" s="55">
        <f>IF(AGR_ued!C$5=0,"",AGR_ued!C$5/C$5*1000)</f>
        <v>46.768901143857349</v>
      </c>
      <c r="D33" s="55">
        <f>IF(AGR_ued!D$5=0,"",AGR_ued!D$5/D$5*1000)</f>
        <v>48.89972359284252</v>
      </c>
      <c r="E33" s="55">
        <f>IF(AGR_ued!E$5=0,"",AGR_ued!E$5/E$5*1000)</f>
        <v>51.660890984469496</v>
      </c>
      <c r="F33" s="55">
        <f>IF(AGR_ued!F$5=0,"",AGR_ued!F$5/F$5*1000)</f>
        <v>51.502473435559139</v>
      </c>
      <c r="G33" s="55">
        <f>IF(AGR_ued!G$5=0,"",AGR_ued!G$5/G$5*1000)</f>
        <v>59.032494468022186</v>
      </c>
      <c r="H33" s="55">
        <f>IF(AGR_ued!H$5=0,"",AGR_ued!H$5/H$5*1000)</f>
        <v>56.181778445049105</v>
      </c>
      <c r="I33" s="55">
        <f>IF(AGR_ued!I$5=0,"",AGR_ued!I$5/I$5*1000)</f>
        <v>52.361334562189789</v>
      </c>
      <c r="J33" s="55">
        <f>IF(AGR_ued!J$5=0,"",AGR_ued!J$5/J$5*1000)</f>
        <v>53.001102493850084</v>
      </c>
      <c r="K33" s="55">
        <f>IF(AGR_ued!K$5=0,"",AGR_ued!K$5/K$5*1000)</f>
        <v>60.031480305472591</v>
      </c>
      <c r="L33" s="55">
        <f>IF(AGR_ued!L$5=0,"",AGR_ued!L$5/L$5*1000)</f>
        <v>55.807698978902252</v>
      </c>
      <c r="M33" s="55">
        <f>IF(AGR_ued!M$5=0,"",AGR_ued!M$5/M$5*1000)</f>
        <v>51.477043461477251</v>
      </c>
      <c r="N33" s="55">
        <f>IF(AGR_ued!N$5=0,"",AGR_ued!N$5/N$5*1000)</f>
        <v>52.487966916642158</v>
      </c>
      <c r="O33" s="55">
        <f>IF(AGR_ued!O$5=0,"",AGR_ued!O$5/O$5*1000)</f>
        <v>52.179588188702986</v>
      </c>
      <c r="P33" s="55">
        <f>IF(AGR_ued!P$5=0,"",AGR_ued!P$5/P$5*1000)</f>
        <v>51.575360837316225</v>
      </c>
      <c r="Q33" s="55">
        <f>IF(AGR_ued!Q$5=0,"",AGR_ued!Q$5/Q$5*1000)</f>
        <v>52.927418955118675</v>
      </c>
      <c r="R33" s="55">
        <f>IF(AGR_ued!R$5=0,"",AGR_ued!R$5/R$5*1000)</f>
        <v>53.72818884211248</v>
      </c>
      <c r="S33" s="55">
        <f>IF(AGR_ued!S$5=0,"",AGR_ued!S$5/S$5*1000)</f>
        <v>49.322522836842744</v>
      </c>
      <c r="T33" s="55">
        <f>IF(AGR_ued!T$5=0,"",AGR_ued!T$5/T$5*1000)</f>
        <v>55.400270911437694</v>
      </c>
      <c r="U33" s="55">
        <f>IF(AGR_ued!U$5=0,"",AGR_ued!U$5/U$5*1000)</f>
        <v>55.549792698476821</v>
      </c>
      <c r="V33" s="55">
        <f>IF(AGR_ued!V$5=0,"",AGR_ued!V$5/V$5*1000)</f>
        <v>58.376725570834118</v>
      </c>
      <c r="W33" s="55">
        <f>IF(AGR_ued!W$5=0,"",AGR_ued!W$5/W$5*1000)</f>
        <v>55.857067465076661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2.672202500581033</v>
      </c>
      <c r="C34" s="218">
        <f t="shared" si="27"/>
        <v>2.6543236773611101</v>
      </c>
      <c r="D34" s="218">
        <f t="shared" si="27"/>
        <v>2.6490121631278272</v>
      </c>
      <c r="E34" s="218">
        <f t="shared" si="27"/>
        <v>2.6673534290514369</v>
      </c>
      <c r="F34" s="218">
        <f t="shared" si="27"/>
        <v>2.6594240803218794</v>
      </c>
      <c r="G34" s="218">
        <f t="shared" si="27"/>
        <v>2.6541976448185634</v>
      </c>
      <c r="H34" s="218">
        <f t="shared" si="27"/>
        <v>2.6525816688658499</v>
      </c>
      <c r="I34" s="218">
        <f t="shared" si="27"/>
        <v>2.6659759969309671</v>
      </c>
      <c r="J34" s="218">
        <f t="shared" si="27"/>
        <v>2.684411634968932</v>
      </c>
      <c r="K34" s="218">
        <f t="shared" si="27"/>
        <v>2.6281028845836825</v>
      </c>
      <c r="L34" s="218">
        <f t="shared" si="27"/>
        <v>2.5968654391201391</v>
      </c>
      <c r="M34" s="218">
        <f t="shared" si="27"/>
        <v>2.5725446578260325</v>
      </c>
      <c r="N34" s="218">
        <f t="shared" si="27"/>
        <v>2.5573368683286608</v>
      </c>
      <c r="O34" s="218">
        <f t="shared" si="27"/>
        <v>2.5039364523543455</v>
      </c>
      <c r="P34" s="218">
        <f t="shared" si="27"/>
        <v>2.4531644626734663</v>
      </c>
      <c r="Q34" s="218">
        <f t="shared" si="27"/>
        <v>2.4277062917714409</v>
      </c>
      <c r="R34" s="218">
        <f t="shared" si="27"/>
        <v>2.4451938072607402</v>
      </c>
      <c r="S34" s="218">
        <f t="shared" si="27"/>
        <v>2.4712087680192694</v>
      </c>
      <c r="T34" s="218">
        <f t="shared" si="27"/>
        <v>2.5086607495805469</v>
      </c>
      <c r="U34" s="218">
        <f t="shared" si="27"/>
        <v>2.522096673650116</v>
      </c>
      <c r="V34" s="218">
        <f t="shared" si="27"/>
        <v>2.4998049583186419</v>
      </c>
      <c r="W34" s="218">
        <f t="shared" si="27"/>
        <v>2.5122848354517862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353.43430782459154</v>
      </c>
      <c r="C5" s="80">
        <f t="shared" ref="C5:W5" si="1">SUM(C6:C9,C16:C17,C25:C27)</f>
        <v>360.1686156491831</v>
      </c>
      <c r="D5" s="80">
        <f t="shared" si="1"/>
        <v>355.94935511607895</v>
      </c>
      <c r="E5" s="80">
        <f t="shared" si="1"/>
        <v>370.95528804815126</v>
      </c>
      <c r="F5" s="80">
        <f t="shared" si="1"/>
        <v>366.12192605331035</v>
      </c>
      <c r="G5" s="80">
        <f t="shared" si="1"/>
        <v>382.88013757523629</v>
      </c>
      <c r="H5" s="80">
        <f t="shared" si="1"/>
        <v>363.69587274290615</v>
      </c>
      <c r="I5" s="80">
        <f t="shared" si="1"/>
        <v>342.76887360275151</v>
      </c>
      <c r="J5" s="80">
        <f t="shared" si="1"/>
        <v>358.26913155631985</v>
      </c>
      <c r="K5" s="80">
        <f t="shared" si="1"/>
        <v>313.82476354256232</v>
      </c>
      <c r="L5" s="80">
        <f t="shared" si="1"/>
        <v>294.43396388650041</v>
      </c>
      <c r="M5" s="80">
        <f t="shared" si="1"/>
        <v>280.91969045571796</v>
      </c>
      <c r="N5" s="80">
        <f t="shared" si="1"/>
        <v>273.08202923473777</v>
      </c>
      <c r="O5" s="80">
        <f t="shared" si="1"/>
        <v>248.71590713671534</v>
      </c>
      <c r="P5" s="80">
        <f t="shared" si="1"/>
        <v>229.26620808254498</v>
      </c>
      <c r="Q5" s="80">
        <f t="shared" si="1"/>
        <v>220.6155631986243</v>
      </c>
      <c r="R5" s="80">
        <f t="shared" si="1"/>
        <v>226.48572656921752</v>
      </c>
      <c r="S5" s="80">
        <f t="shared" si="1"/>
        <v>235.82020636285466</v>
      </c>
      <c r="T5" s="80">
        <f t="shared" si="1"/>
        <v>250.69484092863283</v>
      </c>
      <c r="U5" s="80">
        <f t="shared" si="1"/>
        <v>252.51367153912295</v>
      </c>
      <c r="V5" s="80">
        <f t="shared" si="1"/>
        <v>250.54058469475498</v>
      </c>
      <c r="W5" s="80">
        <f t="shared" si="1"/>
        <v>250.38693035253641</v>
      </c>
      <c r="DA5" s="103"/>
    </row>
    <row r="6" spans="1:105" x14ac:dyDescent="0.25">
      <c r="A6" s="239" t="s">
        <v>125</v>
      </c>
      <c r="B6" s="240">
        <v>8.513947200347344</v>
      </c>
      <c r="C6" s="240">
        <v>8.9466350149717186</v>
      </c>
      <c r="D6" s="240">
        <v>8.9198401480913798</v>
      </c>
      <c r="E6" s="240">
        <v>9.0123194758138823</v>
      </c>
      <c r="F6" s="240">
        <v>9.0168484821663935</v>
      </c>
      <c r="G6" s="240">
        <v>9.5127911891394863</v>
      </c>
      <c r="H6" s="240">
        <v>9.0604661401032747</v>
      </c>
      <c r="I6" s="240">
        <v>8.3474669115411491</v>
      </c>
      <c r="J6" s="240">
        <v>8.44242084711329</v>
      </c>
      <c r="K6" s="240">
        <v>8.1296397589912726</v>
      </c>
      <c r="L6" s="240">
        <v>7.9849584459522571</v>
      </c>
      <c r="M6" s="240">
        <v>7.8733276369922969</v>
      </c>
      <c r="N6" s="240">
        <v>7.8041575128177074</v>
      </c>
      <c r="O6" s="240">
        <v>7.566302355754388</v>
      </c>
      <c r="P6" s="240">
        <v>7.3490628391207187</v>
      </c>
      <c r="Q6" s="240">
        <v>7.2438790492913867</v>
      </c>
      <c r="R6" s="240">
        <v>7.3158505802116789</v>
      </c>
      <c r="S6" s="240">
        <v>7.4251686508221297</v>
      </c>
      <c r="T6" s="240">
        <v>7.586986898550605</v>
      </c>
      <c r="U6" s="240">
        <v>7.5274124877969264</v>
      </c>
      <c r="V6" s="240">
        <v>7.6561428794034354</v>
      </c>
      <c r="W6" s="240">
        <v>7.5472184889484977</v>
      </c>
      <c r="DA6" s="268" t="s">
        <v>993</v>
      </c>
    </row>
    <row r="7" spans="1:105" x14ac:dyDescent="0.25">
      <c r="A7" s="241" t="s">
        <v>124</v>
      </c>
      <c r="B7" s="242">
        <v>5.5340656802257708</v>
      </c>
      <c r="C7" s="242">
        <v>5.8153127597316159</v>
      </c>
      <c r="D7" s="242">
        <v>5.7978960962593939</v>
      </c>
      <c r="E7" s="242">
        <v>5.8580076592790196</v>
      </c>
      <c r="F7" s="242">
        <v>5.8609515134081542</v>
      </c>
      <c r="G7" s="242">
        <v>6.1833142729406649</v>
      </c>
      <c r="H7" s="242">
        <v>5.8893029910671277</v>
      </c>
      <c r="I7" s="242">
        <v>5.4258534925017479</v>
      </c>
      <c r="J7" s="242">
        <v>5.4875735506236367</v>
      </c>
      <c r="K7" s="242">
        <v>5.2842658433443264</v>
      </c>
      <c r="L7" s="242">
        <v>5.1902229898689667</v>
      </c>
      <c r="M7" s="242">
        <v>5.1176629640449924</v>
      </c>
      <c r="N7" s="242">
        <v>5.0727023833315084</v>
      </c>
      <c r="O7" s="242">
        <v>4.9180965312403506</v>
      </c>
      <c r="P7" s="242">
        <v>4.7768908454284658</v>
      </c>
      <c r="Q7" s="242">
        <v>4.7085213820394003</v>
      </c>
      <c r="R7" s="242">
        <v>4.7553028771375896</v>
      </c>
      <c r="S7" s="242">
        <v>4.8263596230343833</v>
      </c>
      <c r="T7" s="242">
        <v>4.9315414840578926</v>
      </c>
      <c r="U7" s="242">
        <v>4.8928181170680007</v>
      </c>
      <c r="V7" s="242">
        <v>4.9764928716122334</v>
      </c>
      <c r="W7" s="242">
        <v>4.9056920178165244</v>
      </c>
      <c r="DA7" s="269" t="s">
        <v>994</v>
      </c>
    </row>
    <row r="8" spans="1:105" x14ac:dyDescent="0.25">
      <c r="A8" s="241" t="s">
        <v>123</v>
      </c>
      <c r="B8" s="242">
        <v>7.6625524803126073</v>
      </c>
      <c r="C8" s="242">
        <v>8.0519715134745464</v>
      </c>
      <c r="D8" s="242">
        <v>8.0278561332822385</v>
      </c>
      <c r="E8" s="242">
        <v>8.1110875282324919</v>
      </c>
      <c r="F8" s="242">
        <v>8.1151636339497522</v>
      </c>
      <c r="G8" s="242">
        <v>8.5615120702255396</v>
      </c>
      <c r="H8" s="242">
        <v>8.1544195260929477</v>
      </c>
      <c r="I8" s="242">
        <v>7.5127202203870356</v>
      </c>
      <c r="J8" s="242">
        <v>7.5981787624019601</v>
      </c>
      <c r="K8" s="242">
        <v>7.3166757830921449</v>
      </c>
      <c r="L8" s="242">
        <v>7.1864626013570296</v>
      </c>
      <c r="M8" s="242">
        <v>7.0859948732930684</v>
      </c>
      <c r="N8" s="242">
        <v>7.0237417615359377</v>
      </c>
      <c r="O8" s="242">
        <v>6.8096721201789476</v>
      </c>
      <c r="P8" s="242">
        <v>6.6141565552086439</v>
      </c>
      <c r="Q8" s="242">
        <v>6.519491144362247</v>
      </c>
      <c r="R8" s="242">
        <v>6.5842655221905098</v>
      </c>
      <c r="S8" s="242">
        <v>6.6826517857399148</v>
      </c>
      <c r="T8" s="242">
        <v>6.8282882086955432</v>
      </c>
      <c r="U8" s="242">
        <v>6.774671239017235</v>
      </c>
      <c r="V8" s="242">
        <v>6.8905285914630934</v>
      </c>
      <c r="W8" s="242">
        <v>6.7924966400536482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69.928348163640436</v>
      </c>
      <c r="C9" s="244">
        <f t="shared" ref="C9:W9" si="3">SUM(C10:C15)</f>
        <v>71.088770846458829</v>
      </c>
      <c r="D9" s="244">
        <f t="shared" si="3"/>
        <v>70.210440825216722</v>
      </c>
      <c r="E9" s="244">
        <f t="shared" si="3"/>
        <v>73.344240110991109</v>
      </c>
      <c r="F9" s="244">
        <f t="shared" si="3"/>
        <v>72.310987023271863</v>
      </c>
      <c r="G9" s="244">
        <f t="shared" si="3"/>
        <v>75.570297781443216</v>
      </c>
      <c r="H9" s="244">
        <f t="shared" si="3"/>
        <v>71.76945095295487</v>
      </c>
      <c r="I9" s="244">
        <f t="shared" si="3"/>
        <v>67.758327737554509</v>
      </c>
      <c r="J9" s="244">
        <f t="shared" si="3"/>
        <v>71.016763614508406</v>
      </c>
      <c r="K9" s="244">
        <f t="shared" si="3"/>
        <v>61.762506839319371</v>
      </c>
      <c r="L9" s="244">
        <f t="shared" si="3"/>
        <v>57.803945952219465</v>
      </c>
      <c r="M9" s="244">
        <f t="shared" si="3"/>
        <v>55.08538279082677</v>
      </c>
      <c r="N9" s="244">
        <f t="shared" si="3"/>
        <v>53.525712003256132</v>
      </c>
      <c r="O9" s="244">
        <f t="shared" si="3"/>
        <v>48.767693011965065</v>
      </c>
      <c r="P9" s="244">
        <f t="shared" si="3"/>
        <v>45.084790031560686</v>
      </c>
      <c r="Q9" s="244">
        <f t="shared" si="3"/>
        <v>43.485311830335718</v>
      </c>
      <c r="R9" s="244">
        <f t="shared" si="3"/>
        <v>44.56790861828361</v>
      </c>
      <c r="S9" s="244">
        <f t="shared" si="3"/>
        <v>46.313063772300495</v>
      </c>
      <c r="T9" s="244">
        <f t="shared" si="3"/>
        <v>49.148528578119539</v>
      </c>
      <c r="U9" s="244">
        <f t="shared" si="3"/>
        <v>49.490406387255668</v>
      </c>
      <c r="V9" s="244">
        <f t="shared" si="3"/>
        <v>49.132624379795139</v>
      </c>
      <c r="W9" s="244">
        <f t="shared" si="3"/>
        <v>49.083376123858876</v>
      </c>
      <c r="DA9" s="270"/>
    </row>
    <row r="10" spans="1:105" x14ac:dyDescent="0.25">
      <c r="A10" s="254" t="s">
        <v>173</v>
      </c>
      <c r="B10" s="255">
        <v>63.486906176940693</v>
      </c>
      <c r="C10" s="255">
        <v>63.801309635091833</v>
      </c>
      <c r="D10" s="255">
        <v>62.789005279542032</v>
      </c>
      <c r="E10" s="255">
        <v>66.385201204144906</v>
      </c>
      <c r="F10" s="255">
        <v>65.116639579414908</v>
      </c>
      <c r="G10" s="255">
        <v>67.817744697963363</v>
      </c>
      <c r="H10" s="255">
        <v>64.337473828144837</v>
      </c>
      <c r="I10" s="255">
        <v>61.275541915995319</v>
      </c>
      <c r="J10" s="255">
        <v>64.957156757444309</v>
      </c>
      <c r="K10" s="255">
        <v>54.431341918899108</v>
      </c>
      <c r="L10" s="255">
        <v>49.749374466612039</v>
      </c>
      <c r="M10" s="255">
        <v>46.472657260395032</v>
      </c>
      <c r="N10" s="255">
        <v>44.567135851827587</v>
      </c>
      <c r="O10" s="255">
        <v>38.619841077119709</v>
      </c>
      <c r="P10" s="255">
        <v>33.850740513174429</v>
      </c>
      <c r="Q10" s="255">
        <v>31.725343362824631</v>
      </c>
      <c r="R10" s="255">
        <v>33.167797805361673</v>
      </c>
      <c r="S10" s="255">
        <v>35.459543312386117</v>
      </c>
      <c r="T10" s="255">
        <v>39.104099357167946</v>
      </c>
      <c r="U10" s="255">
        <v>39.89359092476866</v>
      </c>
      <c r="V10" s="255">
        <v>38.748334478582457</v>
      </c>
      <c r="W10" s="255">
        <v>39.191523599442817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6.4414419866997479</v>
      </c>
      <c r="C15" s="256">
        <v>7.2874612113669883</v>
      </c>
      <c r="D15" s="256">
        <v>7.4214355456746874</v>
      </c>
      <c r="E15" s="256">
        <v>6.9590389068462093</v>
      </c>
      <c r="F15" s="256">
        <v>7.194347443856949</v>
      </c>
      <c r="G15" s="256">
        <v>7.7525530834798593</v>
      </c>
      <c r="H15" s="256">
        <v>7.4319771248100279</v>
      </c>
      <c r="I15" s="256">
        <v>6.4827858215591974</v>
      </c>
      <c r="J15" s="256">
        <v>6.0596068570640904</v>
      </c>
      <c r="K15" s="256">
        <v>7.3311649204202602</v>
      </c>
      <c r="L15" s="256">
        <v>8.0545714856074273</v>
      </c>
      <c r="M15" s="256">
        <v>8.6127255304317369</v>
      </c>
      <c r="N15" s="256">
        <v>8.9585761514285451</v>
      </c>
      <c r="O15" s="256">
        <v>10.14785193484536</v>
      </c>
      <c r="P15" s="256">
        <v>11.234049518386261</v>
      </c>
      <c r="Q15" s="256">
        <v>11.75996846751109</v>
      </c>
      <c r="R15" s="256">
        <v>11.400110812921939</v>
      </c>
      <c r="S15" s="256">
        <v>10.85352045991438</v>
      </c>
      <c r="T15" s="256">
        <v>10.04442922095159</v>
      </c>
      <c r="U15" s="256">
        <v>9.5968154624870063</v>
      </c>
      <c r="V15" s="256">
        <v>10.38428990121268</v>
      </c>
      <c r="W15" s="256">
        <v>9.8918525244160573</v>
      </c>
      <c r="DA15" s="272" t="s">
        <v>1001</v>
      </c>
    </row>
    <row r="16" spans="1:105" x14ac:dyDescent="0.25">
      <c r="A16" s="257" t="s">
        <v>175</v>
      </c>
      <c r="B16" s="258">
        <v>95.325999679131669</v>
      </c>
      <c r="C16" s="258">
        <v>96.675336760573558</v>
      </c>
      <c r="D16" s="258">
        <v>95.406510102212835</v>
      </c>
      <c r="E16" s="258">
        <v>99.920752791896447</v>
      </c>
      <c r="F16" s="258">
        <v>98.408286815560288</v>
      </c>
      <c r="G16" s="258">
        <v>102.7680091615497</v>
      </c>
      <c r="H16" s="258">
        <v>97.576394578634378</v>
      </c>
      <c r="I16" s="258">
        <v>92.294142111650402</v>
      </c>
      <c r="J16" s="258">
        <v>96.949756017073312</v>
      </c>
      <c r="K16" s="258">
        <v>83.645605921152239</v>
      </c>
      <c r="L16" s="258">
        <v>77.826081929940827</v>
      </c>
      <c r="M16" s="258">
        <v>73.775610537309106</v>
      </c>
      <c r="N16" s="258">
        <v>71.428569692731656</v>
      </c>
      <c r="O16" s="258">
        <v>64.141192557550056</v>
      </c>
      <c r="P16" s="258">
        <v>58.332839186063758</v>
      </c>
      <c r="Q16" s="258">
        <v>55.751136219579323</v>
      </c>
      <c r="R16" s="258">
        <v>57.502951589820157</v>
      </c>
      <c r="S16" s="258">
        <v>60.289397214912931</v>
      </c>
      <c r="T16" s="258">
        <v>64.732558335566296</v>
      </c>
      <c r="U16" s="258">
        <v>65.434764716161069</v>
      </c>
      <c r="V16" s="258">
        <v>64.541012371913325</v>
      </c>
      <c r="W16" s="258">
        <v>64.715183017003596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127.2925387210511</v>
      </c>
      <c r="C17" s="258">
        <f t="shared" ref="C17:W17" si="5">SUM(C18:C24)</f>
        <v>129.09436134305699</v>
      </c>
      <c r="D17" s="258">
        <f t="shared" si="5"/>
        <v>127.4000474404141</v>
      </c>
      <c r="E17" s="258">
        <f t="shared" si="5"/>
        <v>133.428092405135</v>
      </c>
      <c r="F17" s="258">
        <f t="shared" si="5"/>
        <v>131.40843738441581</v>
      </c>
      <c r="G17" s="258">
        <f t="shared" si="5"/>
        <v>137.23014528580561</v>
      </c>
      <c r="H17" s="258">
        <f t="shared" si="5"/>
        <v>130.29757911765671</v>
      </c>
      <c r="I17" s="258">
        <f t="shared" si="5"/>
        <v>123.2439806350685</v>
      </c>
      <c r="J17" s="258">
        <f t="shared" si="5"/>
        <v>129.46080411786539</v>
      </c>
      <c r="K17" s="258">
        <f t="shared" si="5"/>
        <v>111.6952517298903</v>
      </c>
      <c r="L17" s="258">
        <f t="shared" si="5"/>
        <v>103.9242135505599</v>
      </c>
      <c r="M17" s="258">
        <f t="shared" si="5"/>
        <v>98.515460552211294</v>
      </c>
      <c r="N17" s="258">
        <f t="shared" si="5"/>
        <v>95.381365042131222</v>
      </c>
      <c r="O17" s="258">
        <f t="shared" si="5"/>
        <v>85.650245103421739</v>
      </c>
      <c r="P17" s="258">
        <f t="shared" si="5"/>
        <v>77.894123489862423</v>
      </c>
      <c r="Q17" s="258">
        <f t="shared" si="5"/>
        <v>74.446674463010865</v>
      </c>
      <c r="R17" s="258">
        <f t="shared" si="5"/>
        <v>76.785942098274191</v>
      </c>
      <c r="S17" s="258">
        <f t="shared" si="5"/>
        <v>80.506792011415712</v>
      </c>
      <c r="T17" s="258">
        <f t="shared" si="5"/>
        <v>86.439918974661722</v>
      </c>
      <c r="U17" s="258">
        <f t="shared" si="5"/>
        <v>87.377602641163008</v>
      </c>
      <c r="V17" s="258">
        <f t="shared" si="5"/>
        <v>86.184140151704412</v>
      </c>
      <c r="W17" s="258">
        <f t="shared" si="5"/>
        <v>86.416717031662159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1004</v>
      </c>
    </row>
    <row r="20" spans="1:105" x14ac:dyDescent="0.25">
      <c r="A20" s="61" t="s">
        <v>173</v>
      </c>
      <c r="B20" s="55">
        <v>127.2925387210511</v>
      </c>
      <c r="C20" s="55">
        <v>129.09436134305699</v>
      </c>
      <c r="D20" s="55">
        <v>127.4000474404141</v>
      </c>
      <c r="E20" s="55">
        <v>133.428092405135</v>
      </c>
      <c r="F20" s="55">
        <v>131.40843738441581</v>
      </c>
      <c r="G20" s="55">
        <v>137.23014528580561</v>
      </c>
      <c r="H20" s="55">
        <v>130.29757911765671</v>
      </c>
      <c r="I20" s="55">
        <v>123.2439806350685</v>
      </c>
      <c r="J20" s="55">
        <v>129.46080411786539</v>
      </c>
      <c r="K20" s="55">
        <v>111.6952517298903</v>
      </c>
      <c r="L20" s="55">
        <v>103.9242135505599</v>
      </c>
      <c r="M20" s="55">
        <v>98.515460552211294</v>
      </c>
      <c r="N20" s="55">
        <v>95.381365042131222</v>
      </c>
      <c r="O20" s="55">
        <v>85.650245103421739</v>
      </c>
      <c r="P20" s="55">
        <v>77.894123489862423</v>
      </c>
      <c r="Q20" s="55">
        <v>74.446674463010865</v>
      </c>
      <c r="R20" s="55">
        <v>76.785942098274191</v>
      </c>
      <c r="S20" s="55">
        <v>80.506792011415712</v>
      </c>
      <c r="T20" s="55">
        <v>86.439918974661722</v>
      </c>
      <c r="U20" s="55">
        <v>87.377602641163008</v>
      </c>
      <c r="V20" s="55">
        <v>86.184140151704412</v>
      </c>
      <c r="W20" s="55">
        <v>86.416717031662159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18.31768525903167</v>
      </c>
      <c r="C25" s="258">
        <v>18.576971624235181</v>
      </c>
      <c r="D25" s="258">
        <v>18.333156007778449</v>
      </c>
      <c r="E25" s="258">
        <v>19.20060536105926</v>
      </c>
      <c r="F25" s="258">
        <v>18.909972419230439</v>
      </c>
      <c r="G25" s="258">
        <v>19.747729400740319</v>
      </c>
      <c r="H25" s="258">
        <v>18.750117393143821</v>
      </c>
      <c r="I25" s="258">
        <v>17.735088560772311</v>
      </c>
      <c r="J25" s="258">
        <v>18.62970357130629</v>
      </c>
      <c r="K25" s="258">
        <v>16.073200257244029</v>
      </c>
      <c r="L25" s="258">
        <v>14.954930224018961</v>
      </c>
      <c r="M25" s="258">
        <v>14.176598390409231</v>
      </c>
      <c r="N25" s="258">
        <v>13.725594932530219</v>
      </c>
      <c r="O25" s="258">
        <v>12.325264685006539</v>
      </c>
      <c r="P25" s="258">
        <v>11.209141179454541</v>
      </c>
      <c r="Q25" s="258">
        <v>10.71304543924146</v>
      </c>
      <c r="R25" s="258">
        <v>11.049671361781151</v>
      </c>
      <c r="S25" s="258">
        <v>11.585110110114879</v>
      </c>
      <c r="T25" s="258">
        <v>12.438900547532249</v>
      </c>
      <c r="U25" s="258">
        <v>12.573835355558559</v>
      </c>
      <c r="V25" s="258">
        <v>12.402093394324909</v>
      </c>
      <c r="W25" s="258">
        <v>12.4355617352693</v>
      </c>
      <c r="DA25" s="273" t="s">
        <v>1010</v>
      </c>
    </row>
    <row r="26" spans="1:105" x14ac:dyDescent="0.25">
      <c r="A26" s="257" t="s">
        <v>177</v>
      </c>
      <c r="B26" s="258">
        <v>8.513947200347344</v>
      </c>
      <c r="C26" s="258">
        <v>8.9466350149717186</v>
      </c>
      <c r="D26" s="258">
        <v>8.9198401480913798</v>
      </c>
      <c r="E26" s="258">
        <v>9.0123194758138823</v>
      </c>
      <c r="F26" s="258">
        <v>9.0168484821663935</v>
      </c>
      <c r="G26" s="258">
        <v>9.5127911891394863</v>
      </c>
      <c r="H26" s="258">
        <v>9.0604661401032747</v>
      </c>
      <c r="I26" s="258">
        <v>8.3474669115411491</v>
      </c>
      <c r="J26" s="258">
        <v>8.44242084711329</v>
      </c>
      <c r="K26" s="258">
        <v>8.1296397589912726</v>
      </c>
      <c r="L26" s="258">
        <v>7.9849584459522571</v>
      </c>
      <c r="M26" s="258">
        <v>7.8733276369922969</v>
      </c>
      <c r="N26" s="258">
        <v>7.8041575128177074</v>
      </c>
      <c r="O26" s="258">
        <v>7.566302355754388</v>
      </c>
      <c r="P26" s="258">
        <v>7.3490628391207187</v>
      </c>
      <c r="Q26" s="258">
        <v>7.2438790492913867</v>
      </c>
      <c r="R26" s="258">
        <v>7.3158505802116789</v>
      </c>
      <c r="S26" s="258">
        <v>7.4251686508221297</v>
      </c>
      <c r="T26" s="258">
        <v>7.586986898550605</v>
      </c>
      <c r="U26" s="258">
        <v>7.5274124877969264</v>
      </c>
      <c r="V26" s="258">
        <v>7.6561428794034354</v>
      </c>
      <c r="W26" s="258">
        <v>7.5472184889484977</v>
      </c>
      <c r="DA26" s="273" t="s">
        <v>1011</v>
      </c>
    </row>
    <row r="27" spans="1:105" x14ac:dyDescent="0.25">
      <c r="A27" s="129" t="s">
        <v>33</v>
      </c>
      <c r="B27" s="259">
        <v>12.34522344050364</v>
      </c>
      <c r="C27" s="259">
        <v>12.972620771708989</v>
      </c>
      <c r="D27" s="259">
        <v>12.933768214732501</v>
      </c>
      <c r="E27" s="259">
        <v>13.06786323993013</v>
      </c>
      <c r="F27" s="259">
        <v>13.07443029914127</v>
      </c>
      <c r="G27" s="259">
        <v>13.79354722425226</v>
      </c>
      <c r="H27" s="259">
        <v>13.13767590314975</v>
      </c>
      <c r="I27" s="259">
        <v>12.10382702173467</v>
      </c>
      <c r="J27" s="259">
        <v>12.24151022831427</v>
      </c>
      <c r="K27" s="259">
        <v>11.78797765053735</v>
      </c>
      <c r="L27" s="259">
        <v>11.57818974663078</v>
      </c>
      <c r="M27" s="259">
        <v>11.416325073638831</v>
      </c>
      <c r="N27" s="259">
        <v>11.316028393585681</v>
      </c>
      <c r="O27" s="259">
        <v>10.971138415843861</v>
      </c>
      <c r="P27" s="259">
        <v>10.65614111672504</v>
      </c>
      <c r="Q27" s="259">
        <v>10.503624621472509</v>
      </c>
      <c r="R27" s="259">
        <v>10.607983341306941</v>
      </c>
      <c r="S27" s="259">
        <v>10.76649454369209</v>
      </c>
      <c r="T27" s="259">
        <v>11.001131002898379</v>
      </c>
      <c r="U27" s="259">
        <v>10.91474810730554</v>
      </c>
      <c r="V27" s="259">
        <v>11.101407175134989</v>
      </c>
      <c r="W27" s="259">
        <v>10.94346680897532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1.0000000000000002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0.99999999999999978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0.99999999999999989</v>
      </c>
      <c r="U31" s="236">
        <f t="shared" si="7"/>
        <v>0.99999999999999989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2.408919284817362E-2</v>
      </c>
      <c r="C32" s="245">
        <f t="shared" si="8"/>
        <v>2.4840129390080051E-2</v>
      </c>
      <c r="D32" s="245">
        <f t="shared" si="8"/>
        <v>2.5059295711274777E-2</v>
      </c>
      <c r="E32" s="245">
        <f t="shared" si="8"/>
        <v>2.4294894199335563E-2</v>
      </c>
      <c r="F32" s="245">
        <f t="shared" si="8"/>
        <v>2.4627993683321404E-2</v>
      </c>
      <c r="G32" s="245">
        <f t="shared" si="8"/>
        <v>2.4845350425811038E-2</v>
      </c>
      <c r="H32" s="245">
        <f t="shared" si="8"/>
        <v>2.4912205001864429E-2</v>
      </c>
      <c r="I32" s="245">
        <f t="shared" si="8"/>
        <v>2.4353048232773202E-2</v>
      </c>
      <c r="J32" s="245">
        <f t="shared" si="8"/>
        <v>2.3564466216889641E-2</v>
      </c>
      <c r="K32" s="245">
        <f t="shared" si="8"/>
        <v>2.590502950506866E-2</v>
      </c>
      <c r="L32" s="245">
        <f t="shared" si="8"/>
        <v>2.7119692105324951E-2</v>
      </c>
      <c r="M32" s="245">
        <f t="shared" si="8"/>
        <v>2.8026969644669279E-2</v>
      </c>
      <c r="N32" s="245">
        <f t="shared" si="8"/>
        <v>2.8578070606430694E-2</v>
      </c>
      <c r="O32" s="245">
        <f t="shared" si="8"/>
        <v>3.0421465369303086E-2</v>
      </c>
      <c r="P32" s="245">
        <f t="shared" si="8"/>
        <v>3.2054714476172447E-2</v>
      </c>
      <c r="Q32" s="245">
        <f t="shared" si="8"/>
        <v>3.2834850562059342E-2</v>
      </c>
      <c r="R32" s="245">
        <f t="shared" si="8"/>
        <v>3.2301596621700762E-2</v>
      </c>
      <c r="S32" s="245">
        <f t="shared" si="8"/>
        <v>3.1486566674431123E-2</v>
      </c>
      <c r="T32" s="245">
        <f t="shared" si="8"/>
        <v>3.0263833393805058E-2</v>
      </c>
      <c r="U32" s="245">
        <f t="shared" si="8"/>
        <v>2.9809920555650685E-2</v>
      </c>
      <c r="V32" s="245">
        <f t="shared" si="8"/>
        <v>3.055849370165422E-2</v>
      </c>
      <c r="W32" s="245">
        <f t="shared" si="8"/>
        <v>3.0142222193156275E-2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1.5657975351312844E-2</v>
      </c>
      <c r="C33" s="246">
        <f t="shared" si="9"/>
        <v>1.614608410355203E-2</v>
      </c>
      <c r="D33" s="246">
        <f t="shared" si="9"/>
        <v>1.6288542212328595E-2</v>
      </c>
      <c r="E33" s="246">
        <f t="shared" si="9"/>
        <v>1.5791681229568102E-2</v>
      </c>
      <c r="F33" s="246">
        <f t="shared" si="9"/>
        <v>1.6008195894158909E-2</v>
      </c>
      <c r="G33" s="246">
        <f t="shared" si="9"/>
        <v>1.6149477776777173E-2</v>
      </c>
      <c r="H33" s="246">
        <f t="shared" si="9"/>
        <v>1.6192933251211874E-2</v>
      </c>
      <c r="I33" s="246">
        <f t="shared" si="9"/>
        <v>1.5829481351302584E-2</v>
      </c>
      <c r="J33" s="246">
        <f t="shared" si="9"/>
        <v>1.5316903040978262E-2</v>
      </c>
      <c r="K33" s="246">
        <f t="shared" si="9"/>
        <v>1.6838269178294625E-2</v>
      </c>
      <c r="L33" s="246">
        <f t="shared" si="9"/>
        <v>1.7627799868461216E-2</v>
      </c>
      <c r="M33" s="246">
        <f t="shared" si="9"/>
        <v>1.821753026903503E-2</v>
      </c>
      <c r="N33" s="246">
        <f t="shared" si="9"/>
        <v>1.8575745894179947E-2</v>
      </c>
      <c r="O33" s="246">
        <f t="shared" si="9"/>
        <v>1.9773952490047E-2</v>
      </c>
      <c r="P33" s="246">
        <f t="shared" si="9"/>
        <v>2.0835564409512085E-2</v>
      </c>
      <c r="Q33" s="246">
        <f t="shared" si="9"/>
        <v>2.1342652865338565E-2</v>
      </c>
      <c r="R33" s="246">
        <f t="shared" si="9"/>
        <v>2.0996037804105486E-2</v>
      </c>
      <c r="S33" s="246">
        <f t="shared" si="9"/>
        <v>2.0466268338380226E-2</v>
      </c>
      <c r="T33" s="246">
        <f t="shared" si="9"/>
        <v>1.9671491705973286E-2</v>
      </c>
      <c r="U33" s="246">
        <f t="shared" si="9"/>
        <v>1.937644836117294E-2</v>
      </c>
      <c r="V33" s="246">
        <f t="shared" si="9"/>
        <v>1.9863020906075245E-2</v>
      </c>
      <c r="W33" s="246">
        <f t="shared" si="9"/>
        <v>1.9592444425551584E-2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2.168027356335625E-2</v>
      </c>
      <c r="C34" s="246">
        <f t="shared" si="10"/>
        <v>2.2356116451072043E-2</v>
      </c>
      <c r="D34" s="246">
        <f t="shared" si="10"/>
        <v>2.2553366140147291E-2</v>
      </c>
      <c r="E34" s="246">
        <f t="shared" si="10"/>
        <v>2.1865404779401999E-2</v>
      </c>
      <c r="F34" s="246">
        <f t="shared" si="10"/>
        <v>2.216519431498926E-2</v>
      </c>
      <c r="G34" s="246">
        <f t="shared" si="10"/>
        <v>2.236081538322994E-2</v>
      </c>
      <c r="H34" s="246">
        <f t="shared" si="10"/>
        <v>2.2420984501677985E-2</v>
      </c>
      <c r="I34" s="246">
        <f t="shared" si="10"/>
        <v>2.1917743409495885E-2</v>
      </c>
      <c r="J34" s="246">
        <f t="shared" si="10"/>
        <v>2.1208019595200675E-2</v>
      </c>
      <c r="K34" s="246">
        <f t="shared" si="10"/>
        <v>2.3314526554561794E-2</v>
      </c>
      <c r="L34" s="246">
        <f t="shared" si="10"/>
        <v>2.4407722894792452E-2</v>
      </c>
      <c r="M34" s="246">
        <f t="shared" si="10"/>
        <v>2.5224272680202355E-2</v>
      </c>
      <c r="N34" s="246">
        <f t="shared" si="10"/>
        <v>2.5720263545787631E-2</v>
      </c>
      <c r="O34" s="246">
        <f t="shared" si="10"/>
        <v>2.7379318832372771E-2</v>
      </c>
      <c r="P34" s="246">
        <f t="shared" si="10"/>
        <v>2.884924302855519E-2</v>
      </c>
      <c r="Q34" s="246">
        <f t="shared" si="10"/>
        <v>2.95513655058534E-2</v>
      </c>
      <c r="R34" s="246">
        <f t="shared" si="10"/>
        <v>2.907143695953068E-2</v>
      </c>
      <c r="S34" s="246">
        <f t="shared" si="10"/>
        <v>2.8337910006988001E-2</v>
      </c>
      <c r="T34" s="246">
        <f t="shared" si="10"/>
        <v>2.7237450054424545E-2</v>
      </c>
      <c r="U34" s="246">
        <f t="shared" si="10"/>
        <v>2.6828928500085621E-2</v>
      </c>
      <c r="V34" s="246">
        <f t="shared" si="10"/>
        <v>2.7502644331488801E-2</v>
      </c>
      <c r="W34" s="246">
        <f t="shared" si="10"/>
        <v>2.712799997384065E-2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0.19785387727086665</v>
      </c>
      <c r="C35" s="247">
        <f t="shared" si="11"/>
        <v>0.19737636139763437</v>
      </c>
      <c r="D35" s="247">
        <f t="shared" si="11"/>
        <v>0.19724840013355366</v>
      </c>
      <c r="E35" s="247">
        <f t="shared" si="11"/>
        <v>0.1977171979321421</v>
      </c>
      <c r="F35" s="247">
        <f t="shared" si="11"/>
        <v>0.19750520763059351</v>
      </c>
      <c r="G35" s="247">
        <f t="shared" si="11"/>
        <v>0.19737325174407508</v>
      </c>
      <c r="H35" s="247">
        <f t="shared" si="11"/>
        <v>0.19733369645271764</v>
      </c>
      <c r="I35" s="247">
        <f t="shared" si="11"/>
        <v>0.19767934884333263</v>
      </c>
      <c r="J35" s="247">
        <f t="shared" si="11"/>
        <v>0.19822183202335025</v>
      </c>
      <c r="K35" s="247">
        <f t="shared" si="11"/>
        <v>0.19680571457179752</v>
      </c>
      <c r="L35" s="247">
        <f t="shared" si="11"/>
        <v>0.19632227610297689</v>
      </c>
      <c r="M35" s="247">
        <f t="shared" si="11"/>
        <v>0.19608943289616079</v>
      </c>
      <c r="N35" s="247">
        <f t="shared" si="11"/>
        <v>0.19600598455069382</v>
      </c>
      <c r="O35" s="247">
        <f t="shared" si="11"/>
        <v>0.19607790098105066</v>
      </c>
      <c r="P35" s="247">
        <f t="shared" si="11"/>
        <v>0.19664821261111609</v>
      </c>
      <c r="Q35" s="247">
        <f t="shared" si="11"/>
        <v>0.19710899448732491</v>
      </c>
      <c r="R35" s="247">
        <f t="shared" si="11"/>
        <v>0.19678020903742457</v>
      </c>
      <c r="S35" s="247">
        <f t="shared" si="11"/>
        <v>0.19639141397849069</v>
      </c>
      <c r="T35" s="247">
        <f t="shared" si="11"/>
        <v>0.1960492222179834</v>
      </c>
      <c r="U35" s="247">
        <f t="shared" si="11"/>
        <v>0.1959909975788694</v>
      </c>
      <c r="V35" s="247">
        <f t="shared" si="11"/>
        <v>0.1961064489398221</v>
      </c>
      <c r="W35" s="247">
        <f t="shared" si="11"/>
        <v>0.196030104505659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0.26971348725557703</v>
      </c>
      <c r="C36" s="260">
        <f t="shared" si="12"/>
        <v>0.26841688187162521</v>
      </c>
      <c r="D36" s="260">
        <f t="shared" si="12"/>
        <v>0.26803394564684557</v>
      </c>
      <c r="E36" s="260">
        <f t="shared" si="12"/>
        <v>0.26936063728231957</v>
      </c>
      <c r="F36" s="260">
        <f t="shared" si="12"/>
        <v>0.26878555970786422</v>
      </c>
      <c r="G36" s="260">
        <f t="shared" si="12"/>
        <v>0.26840778373194063</v>
      </c>
      <c r="H36" s="260">
        <f t="shared" si="12"/>
        <v>0.26829117922822948</v>
      </c>
      <c r="I36" s="260">
        <f t="shared" si="12"/>
        <v>0.26926056949562394</v>
      </c>
      <c r="J36" s="260">
        <f t="shared" si="12"/>
        <v>0.27060594251010101</v>
      </c>
      <c r="K36" s="260">
        <f t="shared" si="12"/>
        <v>0.26653602786769198</v>
      </c>
      <c r="L36" s="260">
        <f t="shared" si="12"/>
        <v>0.26432440368850091</v>
      </c>
      <c r="M36" s="260">
        <f t="shared" si="12"/>
        <v>0.26262171376320287</v>
      </c>
      <c r="N36" s="260">
        <f t="shared" si="12"/>
        <v>0.26156451925048713</v>
      </c>
      <c r="O36" s="260">
        <f t="shared" si="12"/>
        <v>0.25788938591005611</v>
      </c>
      <c r="P36" s="260">
        <f t="shared" si="12"/>
        <v>0.25443278219641341</v>
      </c>
      <c r="Q36" s="260">
        <f t="shared" si="12"/>
        <v>0.25270717718761088</v>
      </c>
      <c r="R36" s="260">
        <f t="shared" si="12"/>
        <v>0.25389216557206035</v>
      </c>
      <c r="S36" s="260">
        <f t="shared" si="12"/>
        <v>0.25565831760042701</v>
      </c>
      <c r="T36" s="260">
        <f t="shared" si="12"/>
        <v>0.25821256670373283</v>
      </c>
      <c r="U36" s="260">
        <f t="shared" si="12"/>
        <v>0.25913355232341551</v>
      </c>
      <c r="V36" s="260">
        <f t="shared" si="12"/>
        <v>0.25760701584753859</v>
      </c>
      <c r="W36" s="260">
        <f t="shared" si="12"/>
        <v>0.25846070689826656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0.36015897693844151</v>
      </c>
      <c r="C37" s="260">
        <f t="shared" si="13"/>
        <v>0.35842756901617279</v>
      </c>
      <c r="D37" s="260">
        <f t="shared" si="13"/>
        <v>0.35791621928593625</v>
      </c>
      <c r="E37" s="260">
        <f t="shared" si="13"/>
        <v>0.35968780255752975</v>
      </c>
      <c r="F37" s="260">
        <f t="shared" si="13"/>
        <v>0.35891987896207467</v>
      </c>
      <c r="G37" s="260">
        <f t="shared" si="13"/>
        <v>0.35841541991412329</v>
      </c>
      <c r="H37" s="260">
        <f t="shared" si="13"/>
        <v>0.35825971335606299</v>
      </c>
      <c r="I37" s="260">
        <f t="shared" si="13"/>
        <v>0.35955417812499757</v>
      </c>
      <c r="J37" s="260">
        <f t="shared" si="13"/>
        <v>0.36135070737322</v>
      </c>
      <c r="K37" s="260">
        <f t="shared" si="13"/>
        <v>0.35591599104237576</v>
      </c>
      <c r="L37" s="260">
        <f t="shared" si="13"/>
        <v>0.35296272270620593</v>
      </c>
      <c r="M37" s="260">
        <f t="shared" si="13"/>
        <v>0.35068905420049407</v>
      </c>
      <c r="N37" s="260">
        <f t="shared" si="13"/>
        <v>0.34927734098585678</v>
      </c>
      <c r="O37" s="260">
        <f t="shared" si="13"/>
        <v>0.34436979158048425</v>
      </c>
      <c r="P37" s="260">
        <f t="shared" si="13"/>
        <v>0.33975405333967679</v>
      </c>
      <c r="Q37" s="260">
        <f t="shared" si="13"/>
        <v>0.33744978542599524</v>
      </c>
      <c r="R37" s="260">
        <f t="shared" si="13"/>
        <v>0.33903214679979943</v>
      </c>
      <c r="S37" s="260">
        <f t="shared" si="13"/>
        <v>0.34139055873583857</v>
      </c>
      <c r="T37" s="260">
        <f t="shared" si="13"/>
        <v>0.34480134754456004</v>
      </c>
      <c r="U37" s="260">
        <f t="shared" si="13"/>
        <v>0.34603117569270003</v>
      </c>
      <c r="V37" s="260">
        <f t="shared" si="13"/>
        <v>0.34399273178318185</v>
      </c>
      <c r="W37" s="260">
        <f t="shared" si="13"/>
        <v>0.34513269885928277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5.1827694294246857E-2</v>
      </c>
      <c r="C38" s="260">
        <f t="shared" si="14"/>
        <v>5.1578540764167541E-2</v>
      </c>
      <c r="D38" s="260">
        <f t="shared" si="14"/>
        <v>5.1504956377290828E-2</v>
      </c>
      <c r="E38" s="260">
        <f t="shared" si="14"/>
        <v>5.1759891231330707E-2</v>
      </c>
      <c r="F38" s="260">
        <f t="shared" si="14"/>
        <v>5.1649385282860637E-2</v>
      </c>
      <c r="G38" s="260">
        <f t="shared" si="14"/>
        <v>5.1576792480805753E-2</v>
      </c>
      <c r="H38" s="260">
        <f t="shared" si="14"/>
        <v>5.1554385953667771E-2</v>
      </c>
      <c r="I38" s="260">
        <f t="shared" si="14"/>
        <v>5.1740662372179717E-2</v>
      </c>
      <c r="J38" s="260">
        <f t="shared" si="14"/>
        <v>5.199918700888051E-2</v>
      </c>
      <c r="K38" s="260">
        <f t="shared" si="14"/>
        <v>5.1217118992791369E-2</v>
      </c>
      <c r="L38" s="260">
        <f t="shared" si="14"/>
        <v>5.0792136975691592E-2</v>
      </c>
      <c r="M38" s="260">
        <f t="shared" si="14"/>
        <v>5.0464950916795641E-2</v>
      </c>
      <c r="N38" s="260">
        <f t="shared" si="14"/>
        <v>5.0261802180808737E-2</v>
      </c>
      <c r="O38" s="260">
        <f t="shared" si="14"/>
        <v>4.9555594681893543E-2</v>
      </c>
      <c r="P38" s="260">
        <f t="shared" si="14"/>
        <v>4.8891379471931611E-2</v>
      </c>
      <c r="Q38" s="260">
        <f t="shared" si="14"/>
        <v>4.8559790088772231E-2</v>
      </c>
      <c r="R38" s="260">
        <f t="shared" si="14"/>
        <v>4.8787495482211771E-2</v>
      </c>
      <c r="S38" s="260">
        <f t="shared" si="14"/>
        <v>4.9126876313088132E-2</v>
      </c>
      <c r="T38" s="260">
        <f t="shared" si="14"/>
        <v>4.9617696564698451E-2</v>
      </c>
      <c r="U38" s="260">
        <f t="shared" si="14"/>
        <v>4.9794671626761579E-2</v>
      </c>
      <c r="V38" s="260">
        <f t="shared" si="14"/>
        <v>4.9501334921186302E-2</v>
      </c>
      <c r="W38" s="260">
        <f t="shared" si="14"/>
        <v>4.9665378771010314E-2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2.408919284817362E-2</v>
      </c>
      <c r="C39" s="260">
        <f t="shared" si="15"/>
        <v>2.4840129390080051E-2</v>
      </c>
      <c r="D39" s="260">
        <f t="shared" si="15"/>
        <v>2.5059295711274777E-2</v>
      </c>
      <c r="E39" s="260">
        <f t="shared" si="15"/>
        <v>2.4294894199335563E-2</v>
      </c>
      <c r="F39" s="260">
        <f t="shared" si="15"/>
        <v>2.4627993683321404E-2</v>
      </c>
      <c r="G39" s="260">
        <f t="shared" si="15"/>
        <v>2.4845350425811038E-2</v>
      </c>
      <c r="H39" s="260">
        <f t="shared" si="15"/>
        <v>2.4912205001864429E-2</v>
      </c>
      <c r="I39" s="260">
        <f t="shared" si="15"/>
        <v>2.4353048232773202E-2</v>
      </c>
      <c r="J39" s="260">
        <f t="shared" si="15"/>
        <v>2.3564466216889641E-2</v>
      </c>
      <c r="K39" s="260">
        <f t="shared" si="15"/>
        <v>2.590502950506866E-2</v>
      </c>
      <c r="L39" s="260">
        <f t="shared" si="15"/>
        <v>2.7119692105324951E-2</v>
      </c>
      <c r="M39" s="260">
        <f t="shared" si="15"/>
        <v>2.8026969644669279E-2</v>
      </c>
      <c r="N39" s="260">
        <f t="shared" si="15"/>
        <v>2.8578070606430694E-2</v>
      </c>
      <c r="O39" s="260">
        <f t="shared" si="15"/>
        <v>3.0421465369303086E-2</v>
      </c>
      <c r="P39" s="260">
        <f t="shared" si="15"/>
        <v>3.2054714476172447E-2</v>
      </c>
      <c r="Q39" s="260">
        <f t="shared" si="15"/>
        <v>3.2834850562059342E-2</v>
      </c>
      <c r="R39" s="260">
        <f t="shared" si="15"/>
        <v>3.2301596621700762E-2</v>
      </c>
      <c r="S39" s="260">
        <f t="shared" si="15"/>
        <v>3.1486566674431123E-2</v>
      </c>
      <c r="T39" s="260">
        <f t="shared" si="15"/>
        <v>3.0263833393805058E-2</v>
      </c>
      <c r="U39" s="260">
        <f t="shared" si="15"/>
        <v>2.9809920555650685E-2</v>
      </c>
      <c r="V39" s="260">
        <f t="shared" si="15"/>
        <v>3.055849370165422E-2</v>
      </c>
      <c r="W39" s="260">
        <f t="shared" si="15"/>
        <v>3.0142222193156275E-2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3.4929329629851721E-2</v>
      </c>
      <c r="C40" s="262">
        <f t="shared" si="16"/>
        <v>3.6018187615616065E-2</v>
      </c>
      <c r="D40" s="262">
        <f t="shared" si="16"/>
        <v>3.6335978781348428E-2</v>
      </c>
      <c r="E40" s="262">
        <f t="shared" si="16"/>
        <v>3.5227596589036562E-2</v>
      </c>
      <c r="F40" s="262">
        <f t="shared" si="16"/>
        <v>3.5710590840816035E-2</v>
      </c>
      <c r="G40" s="262">
        <f t="shared" si="16"/>
        <v>3.6025758117426018E-2</v>
      </c>
      <c r="H40" s="262">
        <f t="shared" si="16"/>
        <v>3.6122697252703423E-2</v>
      </c>
      <c r="I40" s="262">
        <f t="shared" si="16"/>
        <v>3.5311919937521155E-2</v>
      </c>
      <c r="J40" s="262">
        <f t="shared" si="16"/>
        <v>3.4168476014489982E-2</v>
      </c>
      <c r="K40" s="262">
        <f t="shared" si="16"/>
        <v>3.7562292782349571E-2</v>
      </c>
      <c r="L40" s="262">
        <f t="shared" si="16"/>
        <v>3.9323553552721206E-2</v>
      </c>
      <c r="M40" s="262">
        <f t="shared" si="16"/>
        <v>4.0639105984770454E-2</v>
      </c>
      <c r="N40" s="262">
        <f t="shared" si="16"/>
        <v>4.1438202379324524E-2</v>
      </c>
      <c r="O40" s="262">
        <f t="shared" si="16"/>
        <v>4.4111124785489467E-2</v>
      </c>
      <c r="P40" s="262">
        <f t="shared" si="16"/>
        <v>4.6479335990450038E-2</v>
      </c>
      <c r="Q40" s="262">
        <f t="shared" si="16"/>
        <v>4.7610533314986034E-2</v>
      </c>
      <c r="R40" s="262">
        <f t="shared" si="16"/>
        <v>4.6837315101466132E-2</v>
      </c>
      <c r="S40" s="262">
        <f t="shared" si="16"/>
        <v>4.5655521677925137E-2</v>
      </c>
      <c r="T40" s="262">
        <f t="shared" si="16"/>
        <v>4.3882558421017341E-2</v>
      </c>
      <c r="U40" s="262">
        <f t="shared" si="16"/>
        <v>4.3224384805693482E-2</v>
      </c>
      <c r="V40" s="262">
        <f t="shared" si="16"/>
        <v>4.4309815867398648E-2</v>
      </c>
      <c r="W40" s="262">
        <f t="shared" si="16"/>
        <v>4.3706222180076588E-2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126.45888445910971</v>
      </c>
      <c r="C44" s="237">
        <f t="shared" si="17"/>
        <v>122.34803499436492</v>
      </c>
      <c r="D44" s="237">
        <f t="shared" si="17"/>
        <v>127.81056238438657</v>
      </c>
      <c r="E44" s="237">
        <f t="shared" si="17"/>
        <v>135.43288032890177</v>
      </c>
      <c r="F44" s="237">
        <f t="shared" si="17"/>
        <v>134.84363036747553</v>
      </c>
      <c r="G44" s="237">
        <f t="shared" si="17"/>
        <v>154.42655608236754</v>
      </c>
      <c r="H44" s="237">
        <f t="shared" si="17"/>
        <v>146.93020171673027</v>
      </c>
      <c r="I44" s="237">
        <f t="shared" si="17"/>
        <v>137.2385115226293</v>
      </c>
      <c r="J44" s="237">
        <f t="shared" si="17"/>
        <v>139.32723127138399</v>
      </c>
      <c r="K44" s="237">
        <f t="shared" si="17"/>
        <v>156.36023356757096</v>
      </c>
      <c r="L44" s="237">
        <f t="shared" si="17"/>
        <v>144.5858594059342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132.95020410976795</v>
      </c>
      <c r="P44" s="237">
        <f t="shared" si="17"/>
        <v>130.15939664117724</v>
      </c>
      <c r="Q44" s="237">
        <f t="shared" si="17"/>
        <v>132.91816907674806</v>
      </c>
      <c r="R44" s="237">
        <f t="shared" si="17"/>
        <v>135.38540863538176</v>
      </c>
      <c r="S44" s="237">
        <f t="shared" si="17"/>
        <v>124.90211009173738</v>
      </c>
      <c r="T44" s="237">
        <f t="shared" si="17"/>
        <v>141.27985612939975</v>
      </c>
      <c r="U44" s="237">
        <f t="shared" si="17"/>
        <v>142.01198459584057</v>
      </c>
      <c r="V44" s="237">
        <f t="shared" si="17"/>
        <v>148.6260104466125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3.0462924551003994</v>
      </c>
      <c r="C45" s="248">
        <f>IF(C$6=0,0,C$6/AGR!C$5*1000)</f>
        <v>3.0391410198820661</v>
      </c>
      <c r="D45" s="248">
        <f>IF(D$6=0,0,D$6/AGR!D$5*1000)</f>
        <v>3.202842677814675</v>
      </c>
      <c r="E45" s="248">
        <f>IF(E$6=0,0,E$6/AGR!E$5*1000)</f>
        <v>3.2903274987019433</v>
      </c>
      <c r="F45" s="248">
        <f>IF(F$6=0,0,F$6/AGR!F$5*1000)</f>
        <v>3.3209280769263136</v>
      </c>
      <c r="G45" s="248">
        <f>IF(G$6=0,0,G$6/AGR!G$5*1000)</f>
        <v>3.8367819009175825</v>
      </c>
      <c r="H45" s="248">
        <f>IF(H$6=0,0,H$6/AGR!H$5*1000)</f>
        <v>3.6603553061324772</v>
      </c>
      <c r="I45" s="248">
        <f>IF(I$6=0,0,I$6/AGR!I$5*1000)</f>
        <v>3.342176090504593</v>
      </c>
      <c r="J45" s="248">
        <f>IF(J$6=0,0,J$6/AGR!J$5*1000)</f>
        <v>3.2831718343872978</v>
      </c>
      <c r="K45" s="248">
        <f>IF(K$6=0,0,K$6/AGR!K$5*1000)</f>
        <v>4.0505164639873525</v>
      </c>
      <c r="L45" s="248">
        <f>IF(L$6=0,0,L$6/AGR!L$5*1000)</f>
        <v>3.9211239898727372</v>
      </c>
      <c r="M45" s="248">
        <f>IF(M$6=0,0,M$6/AGR!M$5*1000)</f>
        <v>3.7219890222458196</v>
      </c>
      <c r="N45" s="248">
        <f>IF(N$6=0,0,N$6/AGR!N$5*1000)</f>
        <v>3.8592687887403931</v>
      </c>
      <c r="O45" s="248">
        <f>IF(O$6=0,0,O$6/AGR!O$5*1000)</f>
        <v>4.0445400301670835</v>
      </c>
      <c r="P45" s="248">
        <f>IF(P$6=0,0,P$6/AGR!P$5*1000)</f>
        <v>4.1722222957238158</v>
      </c>
      <c r="Q45" s="248">
        <f>IF(Q$6=0,0,Q$6/AGR!Q$5*1000)</f>
        <v>4.3643482186175593</v>
      </c>
      <c r="R45" s="248">
        <f>IF(R$6=0,0,R$6/AGR!R$5*1000)</f>
        <v>4.3731648582042242</v>
      </c>
      <c r="S45" s="248">
        <f>IF(S$6=0,0,S$6/AGR!S$5*1000)</f>
        <v>3.9327386171806258</v>
      </c>
      <c r="T45" s="248">
        <f>IF(T$6=0,0,T$6/AGR!T$5*1000)</f>
        <v>4.275670027800901</v>
      </c>
      <c r="U45" s="248">
        <f>IF(U$6=0,0,U$6/AGR!U$5*1000)</f>
        <v>4.2333659787522961</v>
      </c>
      <c r="V45" s="248">
        <f>IF(V$6=0,0,V$6/AGR!V$5*1000)</f>
        <v>4.541787004134803</v>
      </c>
      <c r="W45" s="248">
        <f>IF(W$6=0,0,W$6/AGR!W$5*1000)</f>
        <v>4.2964766179794767</v>
      </c>
      <c r="DA45" s="282"/>
    </row>
    <row r="46" spans="1:105" x14ac:dyDescent="0.25">
      <c r="A46" s="241" t="s">
        <v>124</v>
      </c>
      <c r="B46" s="249">
        <f>IF(B$7=0,0,B$7/AGR!B$5*1000)</f>
        <v>1.9800900958152587</v>
      </c>
      <c r="C46" s="249">
        <f>IF(C$7=0,0,C$7/AGR!C$5*1000)</f>
        <v>1.9754416629233427</v>
      </c>
      <c r="D46" s="249">
        <f>IF(D$7=0,0,D$7/AGR!D$5*1000)</f>
        <v>2.0818477405795379</v>
      </c>
      <c r="E46" s="249">
        <f>IF(E$7=0,0,E$7/AGR!E$5*1000)</f>
        <v>2.138712874156262</v>
      </c>
      <c r="F46" s="249">
        <f>IF(F$7=0,0,F$7/AGR!F$5*1000)</f>
        <v>2.1586032500021033</v>
      </c>
      <c r="G46" s="249">
        <f>IF(G$7=0,0,G$7/AGR!G$5*1000)</f>
        <v>2.4939082355964284</v>
      </c>
      <c r="H46" s="249">
        <f>IF(H$7=0,0,H$7/AGR!H$5*1000)</f>
        <v>2.3792309489861099</v>
      </c>
      <c r="I46" s="249">
        <f>IF(I$7=0,0,I$7/AGR!I$5*1000)</f>
        <v>2.1724144588279857</v>
      </c>
      <c r="J46" s="249">
        <f>IF(J$7=0,0,J$7/AGR!J$5*1000)</f>
        <v>2.1340616923517426</v>
      </c>
      <c r="K46" s="249">
        <f>IF(K$7=0,0,K$7/AGR!K$5*1000)</f>
        <v>2.6328357015917789</v>
      </c>
      <c r="L46" s="249">
        <f>IF(L$7=0,0,L$7/AGR!L$5*1000)</f>
        <v>2.5487305934172788</v>
      </c>
      <c r="M46" s="249">
        <f>IF(M$7=0,0,M$7/AGR!M$5*1000)</f>
        <v>2.4192928644597824</v>
      </c>
      <c r="N46" s="249">
        <f>IF(N$7=0,0,N$7/AGR!N$5*1000)</f>
        <v>2.5085247126812549</v>
      </c>
      <c r="O46" s="249">
        <f>IF(O$7=0,0,O$7/AGR!O$5*1000)</f>
        <v>2.6289510196086034</v>
      </c>
      <c r="P46" s="249">
        <f>IF(P$7=0,0,P$7/AGR!P$5*1000)</f>
        <v>2.7119444922204794</v>
      </c>
      <c r="Q46" s="249">
        <f>IF(Q$7=0,0,Q$7/AGR!Q$5*1000)</f>
        <v>2.8368263421014133</v>
      </c>
      <c r="R46" s="249">
        <f>IF(R$7=0,0,R$7/AGR!R$5*1000)</f>
        <v>2.8425571578327449</v>
      </c>
      <c r="S46" s="249">
        <f>IF(S$7=0,0,S$7/AGR!S$5*1000)</f>
        <v>2.5562801011674061</v>
      </c>
      <c r="T46" s="249">
        <f>IF(T$7=0,0,T$7/AGR!T$5*1000)</f>
        <v>2.7791855180705856</v>
      </c>
      <c r="U46" s="249">
        <f>IF(U$7=0,0,U$7/AGR!U$5*1000)</f>
        <v>2.751687886188992</v>
      </c>
      <c r="V46" s="249">
        <f>IF(V$7=0,0,V$7/AGR!V$5*1000)</f>
        <v>2.9521615526876221</v>
      </c>
      <c r="W46" s="249">
        <f>IF(W$7=0,0,W$7/AGR!W$5*1000)</f>
        <v>2.7927098016866605</v>
      </c>
      <c r="DA46" s="283"/>
    </row>
    <row r="47" spans="1:105" x14ac:dyDescent="0.25">
      <c r="A47" s="241" t="s">
        <v>123</v>
      </c>
      <c r="B47" s="249">
        <f>IF(B$8=0,0,B$8/AGR!B$5*1000)</f>
        <v>2.7416632095903593</v>
      </c>
      <c r="C47" s="249">
        <f>IF(C$8=0,0,C$8/AGR!C$5*1000)</f>
        <v>2.7352269178938595</v>
      </c>
      <c r="D47" s="249">
        <f>IF(D$8=0,0,D$8/AGR!D$5*1000)</f>
        <v>2.8825584100332065</v>
      </c>
      <c r="E47" s="249">
        <f>IF(E$8=0,0,E$8/AGR!E$5*1000)</f>
        <v>2.9612947488317487</v>
      </c>
      <c r="F47" s="249">
        <f>IF(F$8=0,0,F$8/AGR!F$5*1000)</f>
        <v>2.9888352692336815</v>
      </c>
      <c r="G47" s="249">
        <f>IF(G$8=0,0,G$8/AGR!G$5*1000)</f>
        <v>3.4531037108258253</v>
      </c>
      <c r="H47" s="249">
        <f>IF(H$8=0,0,H$8/AGR!H$5*1000)</f>
        <v>3.2943197755192295</v>
      </c>
      <c r="I47" s="249">
        <f>IF(I$8=0,0,I$8/AGR!I$5*1000)</f>
        <v>3.0079584814541342</v>
      </c>
      <c r="J47" s="249">
        <f>IF(J$8=0,0,J$8/AGR!J$5*1000)</f>
        <v>2.9548546509485676</v>
      </c>
      <c r="K47" s="249">
        <f>IF(K$8=0,0,K$8/AGR!K$5*1000)</f>
        <v>3.6454648175886177</v>
      </c>
      <c r="L47" s="249">
        <f>IF(L$8=0,0,L$8/AGR!L$5*1000)</f>
        <v>3.5290115908854625</v>
      </c>
      <c r="M47" s="249">
        <f>IF(M$8=0,0,M$8/AGR!M$5*1000)</f>
        <v>3.3497901200212383</v>
      </c>
      <c r="N47" s="249">
        <f>IF(N$8=0,0,N$8/AGR!N$5*1000)</f>
        <v>3.4733419098663547</v>
      </c>
      <c r="O47" s="249">
        <f>IF(O$8=0,0,O$8/AGR!O$5*1000)</f>
        <v>3.6400860271503741</v>
      </c>
      <c r="P47" s="249">
        <f>IF(P$8=0,0,P$8/AGR!P$5*1000)</f>
        <v>3.7550000661514327</v>
      </c>
      <c r="Q47" s="249">
        <f>IF(Q$8=0,0,Q$8/AGR!Q$5*1000)</f>
        <v>3.9279133967558035</v>
      </c>
      <c r="R47" s="249">
        <f>IF(R$8=0,0,R$8/AGR!R$5*1000)</f>
        <v>3.9358483723838011</v>
      </c>
      <c r="S47" s="249">
        <f>IF(S$8=0,0,S$8/AGR!S$5*1000)</f>
        <v>3.5394647554625625</v>
      </c>
      <c r="T47" s="249">
        <f>IF(T$8=0,0,T$8/AGR!T$5*1000)</f>
        <v>3.8481030250208104</v>
      </c>
      <c r="U47" s="249">
        <f>IF(U$8=0,0,U$8/AGR!U$5*1000)</f>
        <v>3.8100293808770678</v>
      </c>
      <c r="V47" s="249">
        <f>IF(V$8=0,0,V$8/AGR!V$5*1000)</f>
        <v>4.087608303721324</v>
      </c>
      <c r="W47" s="249">
        <f>IF(W$8=0,0,W$8/AGR!W$5*1000)</f>
        <v>3.8668289561815299</v>
      </c>
      <c r="DA47" s="283"/>
    </row>
    <row r="48" spans="1:105" x14ac:dyDescent="0.25">
      <c r="A48" s="243" t="s">
        <v>122</v>
      </c>
      <c r="B48" s="250">
        <f>IF(B$9=0,0,B$9/AGR!B$5*1000)</f>
        <v>25.020380605583398</v>
      </c>
      <c r="C48" s="250">
        <f>IF(C$9=0,0,C$9/AGR!C$5*1000)</f>
        <v>24.148609971338182</v>
      </c>
      <c r="D48" s="250">
        <f>IF(D$9=0,0,D$9/AGR!D$5*1000)</f>
        <v>25.210428950489998</v>
      </c>
      <c r="E48" s="250">
        <f>IF(E$9=0,0,E$9/AGR!E$5*1000)</f>
        <v>26.77740960650959</v>
      </c>
      <c r="F48" s="250">
        <f>IF(F$9=0,0,F$9/AGR!F$5*1000)</f>
        <v>26.632319213391259</v>
      </c>
      <c r="G48" s="250">
        <f>IF(G$9=0,0,G$9/AGR!G$5*1000)</f>
        <v>30.479671529615658</v>
      </c>
      <c r="H48" s="250">
        <f>IF(H$9=0,0,H$9/AGR!H$5*1000)</f>
        <v>28.994279825305824</v>
      </c>
      <c r="I48" s="250">
        <f>IF(I$9=0,0,I$9/AGR!I$5*1000)</f>
        <v>27.129219594021571</v>
      </c>
      <c r="J48" s="250">
        <f>IF(J$9=0,0,J$9/AGR!J$5*1000)</f>
        <v>27.617699033354747</v>
      </c>
      <c r="K48" s="250">
        <f>IF(K$9=0,0,K$9/AGR!K$5*1000)</f>
        <v>30.772587497878963</v>
      </c>
      <c r="L48" s="250">
        <f>IF(L$9=0,0,L$9/AGR!L$5*1000)</f>
        <v>28.385425010878013</v>
      </c>
      <c r="M48" s="250">
        <f>IF(M$9=0,0,M$9/AGR!M$5*1000)</f>
        <v>26.040728836224172</v>
      </c>
      <c r="N48" s="250">
        <f>IF(N$9=0,0,N$9/AGR!N$5*1000)</f>
        <v>26.469238914001732</v>
      </c>
      <c r="O48" s="250">
        <f>IF(O$9=0,0,O$9/AGR!O$5*1000)</f>
        <v>26.06859695684556</v>
      </c>
      <c r="P48" s="250">
        <f>IF(P$9=0,0,P$9/AGR!P$5*1000)</f>
        <v>25.595612704028813</v>
      </c>
      <c r="Q48" s="250">
        <f>IF(Q$9=0,0,Q$9/AGR!Q$5*1000)</f>
        <v>26.199366655814057</v>
      </c>
      <c r="R48" s="250">
        <f>IF(R$9=0,0,R$9/AGR!R$5*1000)</f>
        <v>26.64116901188757</v>
      </c>
      <c r="S48" s="250">
        <f>IF(S$9=0,0,S$9/AGR!S$5*1000)</f>
        <v>24.529702009813416</v>
      </c>
      <c r="T48" s="250">
        <f>IF(T$9=0,0,T$9/AGR!T$5*1000)</f>
        <v>27.69780590923741</v>
      </c>
      <c r="U48" s="250">
        <f>IF(U$9=0,0,U$9/AGR!U$5*1000)</f>
        <v>27.833070529093828</v>
      </c>
      <c r="V48" s="250">
        <f>IF(V$9=0,0,V$9/AGR!V$5*1000)</f>
        <v>29.146519128778085</v>
      </c>
      <c r="W48" s="250">
        <f>IF(W$9=0,0,W$9/AGR!W$5*1000)</f>
        <v>27.942158843878001</v>
      </c>
      <c r="DA48" s="284"/>
    </row>
    <row r="49" spans="1:105" x14ac:dyDescent="0.25">
      <c r="A49" s="128" t="s">
        <v>175</v>
      </c>
      <c r="B49" s="263">
        <f>IF(B$16=0,0,B$16/AGR!B$5*1000)</f>
        <v>34.10766672191658</v>
      </c>
      <c r="C49" s="263">
        <f>IF(C$16=0,0,C$16/AGR!C$5*1000)</f>
        <v>32.840278056307909</v>
      </c>
      <c r="D49" s="263">
        <f>IF(D$16=0,0,D$16/AGR!D$5*1000)</f>
        <v>34.257569331229426</v>
      </c>
      <c r="E49" s="263">
        <f>IF(E$16=0,0,E$16/AGR!E$5*1000)</f>
        <v>36.480286954373106</v>
      </c>
      <c r="F49" s="263">
        <f>IF(F$16=0,0,F$16/AGR!F$5*1000)</f>
        <v>36.244020661362264</v>
      </c>
      <c r="G49" s="263">
        <f>IF(G$16=0,0,G$16/AGR!G$5*1000)</f>
        <v>41.449289667424502</v>
      </c>
      <c r="H49" s="263">
        <f>IF(H$16=0,0,H$16/AGR!H$5*1000)</f>
        <v>39.420077082823191</v>
      </c>
      <c r="I49" s="263">
        <f>IF(I$16=0,0,I$16/AGR!I$5*1000)</f>
        <v>36.952919769314917</v>
      </c>
      <c r="J49" s="263">
        <f>IF(J$16=0,0,J$16/AGR!J$5*1000)</f>
        <v>37.702776735515684</v>
      </c>
      <c r="K49" s="263">
        <f>IF(K$16=0,0,K$16/AGR!K$5*1000)</f>
        <v>41.675635571564925</v>
      </c>
      <c r="L49" s="263">
        <f>IF(L$16=0,0,L$16/AGR!L$5*1000)</f>
        <v>38.217571069262981</v>
      </c>
      <c r="M49" s="263">
        <f>IF(M$16=0,0,M$16/AGR!M$5*1000)</f>
        <v>34.876233428823092</v>
      </c>
      <c r="N49" s="263">
        <f>IF(N$16=0,0,N$16/AGR!N$5*1000)</f>
        <v>35.32246103269626</v>
      </c>
      <c r="O49" s="263">
        <f>IF(O$16=0,0,O$16/AGR!O$5*1000)</f>
        <v>34.286446494484679</v>
      </c>
      <c r="P49" s="263">
        <f>IF(P$16=0,0,P$16/AGR!P$5*1000)</f>
        <v>33.116817416421227</v>
      </c>
      <c r="Q49" s="263">
        <f>IF(Q$16=0,0,Q$16/AGR!Q$5*1000)</f>
        <v>33.589375304330602</v>
      </c>
      <c r="R49" s="263">
        <f>IF(R$16=0,0,R$16/AGR!R$5*1000)</f>
        <v>34.373294585295397</v>
      </c>
      <c r="S49" s="263">
        <f>IF(S$16=0,0,S$16/AGR!S$5*1000)</f>
        <v>31.932263330796893</v>
      </c>
      <c r="T49" s="263">
        <f>IF(T$16=0,0,T$16/AGR!T$5*1000)</f>
        <v>36.480234274706405</v>
      </c>
      <c r="U49" s="263">
        <f>IF(U$16=0,0,U$16/AGR!U$5*1000)</f>
        <v>36.800070040818333</v>
      </c>
      <c r="V49" s="263">
        <f>IF(V$16=0,0,V$16/AGR!V$5*1000)</f>
        <v>38.287103028476949</v>
      </c>
      <c r="W49" s="263">
        <f>IF(W$16=0,0,W$16/AGR!W$5*1000)</f>
        <v>36.841025745838316</v>
      </c>
      <c r="DA49" s="285"/>
    </row>
    <row r="50" spans="1:105" x14ac:dyDescent="0.25">
      <c r="A50" s="128" t="s">
        <v>121</v>
      </c>
      <c r="B50" s="263">
        <f>IF(B$17=0,0,B$17/AGR!B$5*1000)</f>
        <v>45.545302451569533</v>
      </c>
      <c r="C50" s="263">
        <f>IF(C$17=0,0,C$17/AGR!C$5*1000)</f>
        <v>43.852908756935854</v>
      </c>
      <c r="D50" s="263">
        <f>IF(D$17=0,0,D$17/AGR!D$5*1000)</f>
        <v>45.745473273428928</v>
      </c>
      <c r="E50" s="263">
        <f>IF(E$17=0,0,E$17/AGR!E$5*1000)</f>
        <v>48.713555119539585</v>
      </c>
      <c r="F50" s="263">
        <f>IF(F$17=0,0,F$17/AGR!F$5*1000)</f>
        <v>48.398059490301058</v>
      </c>
      <c r="G50" s="263">
        <f>IF(G$17=0,0,G$17/AGR!G$5*1000)</f>
        <v>55.348858944153669</v>
      </c>
      <c r="H50" s="263">
        <f>IF(H$17=0,0,H$17/AGR!H$5*1000)</f>
        <v>52.639171950384295</v>
      </c>
      <c r="I50" s="263">
        <f>IF(I$17=0,0,I$17/AGR!I$5*1000)</f>
        <v>49.344680217616997</v>
      </c>
      <c r="J50" s="263">
        <f>IF(J$17=0,0,J$17/AGR!J$5*1000)</f>
        <v>50.345993576266821</v>
      </c>
      <c r="K50" s="263">
        <f>IF(K$17=0,0,K$17/AGR!K$5*1000)</f>
        <v>55.651107489819374</v>
      </c>
      <c r="L50" s="263">
        <f>IF(L$17=0,0,L$17/AGR!L$5*1000)</f>
        <v>51.033418600735224</v>
      </c>
      <c r="M50" s="263">
        <f>IF(M$17=0,0,M$17/AGR!M$5*1000)</f>
        <v>46.571599659339853</v>
      </c>
      <c r="N50" s="263">
        <f>IF(N$17=0,0,N$17/AGR!N$5*1000)</f>
        <v>47.167464845497065</v>
      </c>
      <c r="O50" s="263">
        <f>IF(O$17=0,0,O$17/AGR!O$5*1000)</f>
        <v>45.784034079863638</v>
      </c>
      <c r="P50" s="263">
        <f>IF(P$17=0,0,P$17/AGR!P$5*1000)</f>
        <v>44.222182589086678</v>
      </c>
      <c r="Q50" s="263">
        <f>IF(Q$17=0,0,Q$17/AGR!Q$5*1000)</f>
        <v>44.853207634164797</v>
      </c>
      <c r="R50" s="263">
        <f>IF(R$17=0,0,R$17/AGR!R$5*1000)</f>
        <v>45.900005735021587</v>
      </c>
      <c r="S50" s="263">
        <f>IF(S$17=0,0,S$17/AGR!S$5*1000)</f>
        <v>42.640401151503447</v>
      </c>
      <c r="T50" s="263">
        <f>IF(T$17=0,0,T$17/AGR!T$5*1000)</f>
        <v>48.713484774318587</v>
      </c>
      <c r="U50" s="263">
        <f>IF(U$17=0,0,U$17/AGR!U$5*1000)</f>
        <v>49.140573992152326</v>
      </c>
      <c r="V50" s="263">
        <f>IF(V$17=0,0,V$17/AGR!V$5*1000)</f>
        <v>51.126267347565971</v>
      </c>
      <c r="W50" s="263">
        <f>IF(W$17=0,0,W$17/AGR!W$5*1000)</f>
        <v>49.195263748196361</v>
      </c>
      <c r="DA50" s="285"/>
    </row>
    <row r="51" spans="1:105" x14ac:dyDescent="0.25">
      <c r="A51" s="128" t="s">
        <v>174</v>
      </c>
      <c r="B51" s="263">
        <f>IF(B$25=0,0,B$25/AGR!B$5*1000)</f>
        <v>6.5540724045382222</v>
      </c>
      <c r="C51" s="263">
        <f>IF(C$25=0,0,C$25/AGR!C$5*1000)</f>
        <v>6.3105331103726465</v>
      </c>
      <c r="D51" s="263">
        <f>IF(D$25=0,0,D$25/AGR!D$5*1000)</f>
        <v>6.5828774401648369</v>
      </c>
      <c r="E51" s="263">
        <f>IF(E$25=0,0,E$25/AGR!E$5*1000)</f>
        <v>7.0099911549697858</v>
      </c>
      <c r="F51" s="263">
        <f>IF(F$25=0,0,F$25/AGR!F$5*1000)</f>
        <v>6.9645906177893906</v>
      </c>
      <c r="G51" s="263">
        <f>IF(G$25=0,0,G$25/AGR!G$5*1000)</f>
        <v>7.9648264365857813</v>
      </c>
      <c r="H51" s="263">
        <f>IF(H$25=0,0,H$25/AGR!H$5*1000)</f>
        <v>7.5748963275545709</v>
      </c>
      <c r="I51" s="263">
        <f>IF(I$25=0,0,I$25/AGR!I$5*1000)</f>
        <v>7.1008114891528598</v>
      </c>
      <c r="J51" s="263">
        <f>IF(J$25=0,0,J$25/AGR!J$5*1000)</f>
        <v>7.2449027543102407</v>
      </c>
      <c r="K51" s="263">
        <f>IF(K$25=0,0,K$25/AGR!K$5*1000)</f>
        <v>8.008320688370933</v>
      </c>
      <c r="L51" s="263">
        <f>IF(L$25=0,0,L$25/AGR!L$5*1000)</f>
        <v>7.343824775694296</v>
      </c>
      <c r="M51" s="263">
        <f>IF(M$25=0,0,M$25/AGR!M$5*1000)</f>
        <v>6.7017589022940509</v>
      </c>
      <c r="N51" s="263">
        <f>IF(N$25=0,0,N$25/AGR!N$5*1000)</f>
        <v>6.7875052551165096</v>
      </c>
      <c r="O51" s="263">
        <f>IF(O$25=0,0,O$25/AGR!O$5*1000)</f>
        <v>6.5884264277386793</v>
      </c>
      <c r="P51" s="263">
        <f>IF(P$25=0,0,P$25/AGR!P$5*1000)</f>
        <v>6.3636724530214579</v>
      </c>
      <c r="Q51" s="263">
        <f>IF(Q$25=0,0,Q$25/AGR!Q$5*1000)</f>
        <v>6.4544783893508226</v>
      </c>
      <c r="R51" s="263">
        <f>IF(R$25=0,0,R$25/AGR!R$5*1000)</f>
        <v>6.6051150121560829</v>
      </c>
      <c r="S51" s="263">
        <f>IF(S$25=0,0,S$25/AGR!S$5*1000)</f>
        <v>6.1360505137204999</v>
      </c>
      <c r="T51" s="263">
        <f>IF(T$25=0,0,T$25/AGR!T$5*1000)</f>
        <v>7.0099810321328073</v>
      </c>
      <c r="U51" s="263">
        <f>IF(U$25=0,0,U$25/AGR!U$5*1000)</f>
        <v>7.0714401400146061</v>
      </c>
      <c r="V51" s="263">
        <f>IF(V$25=0,0,V$25/AGR!V$5*1000)</f>
        <v>7.3571859211175017</v>
      </c>
      <c r="W51" s="263">
        <f>IF(W$25=0,0,W$25/AGR!W$5*1000)</f>
        <v>7.0793101200477837</v>
      </c>
      <c r="DA51" s="285"/>
    </row>
    <row r="52" spans="1:105" x14ac:dyDescent="0.25">
      <c r="A52" s="128" t="s">
        <v>177</v>
      </c>
      <c r="B52" s="263">
        <f>IF(B$26=0,0,B$26/AGR!B$5*1000)</f>
        <v>3.0462924551003994</v>
      </c>
      <c r="C52" s="263">
        <f>IF(C$26=0,0,C$26/AGR!C$5*1000)</f>
        <v>3.0391410198820661</v>
      </c>
      <c r="D52" s="263">
        <f>IF(D$26=0,0,D$26/AGR!D$5*1000)</f>
        <v>3.202842677814675</v>
      </c>
      <c r="E52" s="263">
        <f>IF(E$26=0,0,E$26/AGR!E$5*1000)</f>
        <v>3.2903274987019433</v>
      </c>
      <c r="F52" s="263">
        <f>IF(F$26=0,0,F$26/AGR!F$5*1000)</f>
        <v>3.3209280769263136</v>
      </c>
      <c r="G52" s="263">
        <f>IF(G$26=0,0,G$26/AGR!G$5*1000)</f>
        <v>3.8367819009175825</v>
      </c>
      <c r="H52" s="263">
        <f>IF(H$26=0,0,H$26/AGR!H$5*1000)</f>
        <v>3.6603553061324772</v>
      </c>
      <c r="I52" s="263">
        <f>IF(I$26=0,0,I$26/AGR!I$5*1000)</f>
        <v>3.342176090504593</v>
      </c>
      <c r="J52" s="263">
        <f>IF(J$26=0,0,J$26/AGR!J$5*1000)</f>
        <v>3.2831718343872978</v>
      </c>
      <c r="K52" s="263">
        <f>IF(K$26=0,0,K$26/AGR!K$5*1000)</f>
        <v>4.0505164639873525</v>
      </c>
      <c r="L52" s="263">
        <f>IF(L$26=0,0,L$26/AGR!L$5*1000)</f>
        <v>3.9211239898727372</v>
      </c>
      <c r="M52" s="263">
        <f>IF(M$26=0,0,M$26/AGR!M$5*1000)</f>
        <v>3.7219890222458196</v>
      </c>
      <c r="N52" s="263">
        <f>IF(N$26=0,0,N$26/AGR!N$5*1000)</f>
        <v>3.8592687887403931</v>
      </c>
      <c r="O52" s="263">
        <f>IF(O$26=0,0,O$26/AGR!O$5*1000)</f>
        <v>4.0445400301670835</v>
      </c>
      <c r="P52" s="263">
        <f>IF(P$26=0,0,P$26/AGR!P$5*1000)</f>
        <v>4.1722222957238158</v>
      </c>
      <c r="Q52" s="263">
        <f>IF(Q$26=0,0,Q$26/AGR!Q$5*1000)</f>
        <v>4.3643482186175593</v>
      </c>
      <c r="R52" s="263">
        <f>IF(R$26=0,0,R$26/AGR!R$5*1000)</f>
        <v>4.3731648582042242</v>
      </c>
      <c r="S52" s="263">
        <f>IF(S$26=0,0,S$26/AGR!S$5*1000)</f>
        <v>3.9327386171806258</v>
      </c>
      <c r="T52" s="263">
        <f>IF(T$26=0,0,T$26/AGR!T$5*1000)</f>
        <v>4.275670027800901</v>
      </c>
      <c r="U52" s="263">
        <f>IF(U$26=0,0,U$26/AGR!U$5*1000)</f>
        <v>4.2333659787522961</v>
      </c>
      <c r="V52" s="263">
        <f>IF(V$26=0,0,V$26/AGR!V$5*1000)</f>
        <v>4.541787004134803</v>
      </c>
      <c r="W52" s="263">
        <f>IF(W$26=0,0,W$26/AGR!W$5*1000)</f>
        <v>4.2964766179794767</v>
      </c>
      <c r="DA52" s="285"/>
    </row>
    <row r="53" spans="1:105" x14ac:dyDescent="0.25">
      <c r="A53" s="261" t="s">
        <v>33</v>
      </c>
      <c r="B53" s="264">
        <f>IF(B$27=0,0,B$27/AGR!B$5*1000)</f>
        <v>4.4171240598955759</v>
      </c>
      <c r="C53" s="264">
        <f>IF(C$27=0,0,C$27/AGR!C$5*1000)</f>
        <v>4.4067544788289954</v>
      </c>
      <c r="D53" s="264">
        <f>IF(D$27=0,0,D$27/AGR!D$5*1000)</f>
        <v>4.6441218828312785</v>
      </c>
      <c r="E53" s="264">
        <f>IF(E$27=0,0,E$27/AGR!E$5*1000)</f>
        <v>4.7709748731178188</v>
      </c>
      <c r="F53" s="264">
        <f>IF(F$27=0,0,F$27/AGR!F$5*1000)</f>
        <v>4.8153457115431548</v>
      </c>
      <c r="G53" s="264">
        <f>IF(G$27=0,0,G$27/AGR!G$5*1000)</f>
        <v>5.563333756330497</v>
      </c>
      <c r="H53" s="264">
        <f>IF(H$27=0,0,H$27/AGR!H$5*1000)</f>
        <v>5.307515193892093</v>
      </c>
      <c r="I53" s="264">
        <f>IF(I$27=0,0,I$27/AGR!I$5*1000)</f>
        <v>4.8461553312316612</v>
      </c>
      <c r="J53" s="264">
        <f>IF(J$27=0,0,J$27/AGR!J$5*1000)</f>
        <v>4.7605991598615818</v>
      </c>
      <c r="K53" s="264">
        <f>IF(K$27=0,0,K$27/AGR!K$5*1000)</f>
        <v>5.8732488727816641</v>
      </c>
      <c r="L53" s="264">
        <f>IF(L$27=0,0,L$27/AGR!L$5*1000)</f>
        <v>5.6856297853154718</v>
      </c>
      <c r="M53" s="264">
        <f>IF(M$27=0,0,M$27/AGR!M$5*1000)</f>
        <v>5.3968840822564381</v>
      </c>
      <c r="N53" s="264">
        <f>IF(N$27=0,0,N$27/AGR!N$5*1000)</f>
        <v>5.5959397436735729</v>
      </c>
      <c r="O53" s="264">
        <f>IF(O$27=0,0,O$27/AGR!O$5*1000)</f>
        <v>5.8645830437422699</v>
      </c>
      <c r="P53" s="264">
        <f>IF(P$27=0,0,P$27/AGR!P$5*1000)</f>
        <v>6.0497223287995316</v>
      </c>
      <c r="Q53" s="264">
        <f>IF(Q$27=0,0,Q$27/AGR!Q$5*1000)</f>
        <v>6.328304916995461</v>
      </c>
      <c r="R53" s="264">
        <f>IF(R$27=0,0,R$27/AGR!R$5*1000)</f>
        <v>6.3410890443961296</v>
      </c>
      <c r="S53" s="264">
        <f>IF(S$27=0,0,S$27/AGR!S$5*1000)</f>
        <v>5.7024709949119083</v>
      </c>
      <c r="T53" s="264">
        <f>IF(T$27=0,0,T$27/AGR!T$5*1000)</f>
        <v>6.199721540311308</v>
      </c>
      <c r="U53" s="264">
        <f>IF(U$27=0,0,U$27/AGR!U$5*1000)</f>
        <v>6.1383806691908287</v>
      </c>
      <c r="V53" s="264">
        <f>IF(V$27=0,0,V$27/AGR!V$5*1000)</f>
        <v>6.585591155995469</v>
      </c>
      <c r="W53" s="264">
        <f>IF(W$27=0,0,W$27/AGR!W$5*1000)</f>
        <v>6.2298910960702409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134.71201980869415</v>
      </c>
      <c r="C5" s="80">
        <f t="shared" ref="C5:W5" si="1">SUM(C6:C9,C16:C17,C25:C27)</f>
        <v>137.6784709390096</v>
      </c>
      <c r="D5" s="80">
        <f t="shared" si="1"/>
        <v>136.18455903416881</v>
      </c>
      <c r="E5" s="80">
        <f t="shared" si="1"/>
        <v>141.50094607327338</v>
      </c>
      <c r="F5" s="80">
        <f t="shared" si="1"/>
        <v>139.83741552603956</v>
      </c>
      <c r="G5" s="80">
        <f t="shared" si="1"/>
        <v>146.36323037127198</v>
      </c>
      <c r="H5" s="80">
        <f t="shared" si="1"/>
        <v>139.0665819898218</v>
      </c>
      <c r="I5" s="80">
        <f t="shared" si="1"/>
        <v>130.77841976783017</v>
      </c>
      <c r="J5" s="80">
        <f t="shared" si="1"/>
        <v>136.28821005574088</v>
      </c>
      <c r="K5" s="80">
        <f t="shared" si="1"/>
        <v>120.48693380746009</v>
      </c>
      <c r="L5" s="80">
        <f t="shared" si="1"/>
        <v>113.64653565193936</v>
      </c>
      <c r="M5" s="80">
        <f t="shared" si="1"/>
        <v>108.8922150316688</v>
      </c>
      <c r="N5" s="80">
        <f t="shared" si="1"/>
        <v>106.14040735906745</v>
      </c>
      <c r="O5" s="80">
        <f t="shared" si="1"/>
        <v>97.614694894778296</v>
      </c>
      <c r="P5" s="80">
        <f t="shared" si="1"/>
        <v>90.846206380766873</v>
      </c>
      <c r="Q5" s="80">
        <f t="shared" si="1"/>
        <v>87.84812808165357</v>
      </c>
      <c r="R5" s="80">
        <f t="shared" si="1"/>
        <v>89.881679346453581</v>
      </c>
      <c r="S5" s="80">
        <f t="shared" si="1"/>
        <v>93.122906451924749</v>
      </c>
      <c r="T5" s="80">
        <f t="shared" si="1"/>
        <v>98.305324510136515</v>
      </c>
      <c r="U5" s="80">
        <f t="shared" si="1"/>
        <v>98.773931985036057</v>
      </c>
      <c r="V5" s="80">
        <f t="shared" si="1"/>
        <v>98.40632143144083</v>
      </c>
      <c r="W5" s="80">
        <f t="shared" si="1"/>
        <v>98.118884331115382</v>
      </c>
      <c r="DA5" s="103"/>
    </row>
    <row r="6" spans="1:105" x14ac:dyDescent="0.25">
      <c r="A6" s="239" t="s">
        <v>125</v>
      </c>
      <c r="B6" s="240">
        <v>3.9513187840836799</v>
      </c>
      <c r="C6" s="240">
        <v>4.152128989895111</v>
      </c>
      <c r="D6" s="240">
        <v>4.1396935051158561</v>
      </c>
      <c r="E6" s="240">
        <v>4.1826131164512947</v>
      </c>
      <c r="F6" s="240">
        <v>4.1847150261123236</v>
      </c>
      <c r="G6" s="240">
        <v>4.4148817969154299</v>
      </c>
      <c r="H6" s="240">
        <v>4.2049579600967757</v>
      </c>
      <c r="I6" s="240">
        <v>3.8740553624462102</v>
      </c>
      <c r="J6" s="240">
        <v>3.9181234380896162</v>
      </c>
      <c r="K6" s="240">
        <v>3.7729618861419789</v>
      </c>
      <c r="L6" s="240">
        <v>3.705815358630788</v>
      </c>
      <c r="M6" s="240">
        <v>3.654007554101772</v>
      </c>
      <c r="N6" s="240">
        <v>3.621905732876324</v>
      </c>
      <c r="O6" s="240">
        <v>3.5115172693494281</v>
      </c>
      <c r="P6" s="240">
        <v>3.410696514590124</v>
      </c>
      <c r="Q6" s="240">
        <v>3.3618807685262082</v>
      </c>
      <c r="R6" s="240">
        <v>3.3952827212694681</v>
      </c>
      <c r="S6" s="240">
        <v>3.4460171850473542</v>
      </c>
      <c r="T6" s="240">
        <v>3.5211169556720709</v>
      </c>
      <c r="U6" s="240">
        <v>3.4934685004112569</v>
      </c>
      <c r="V6" s="240">
        <v>3.5532122129887198</v>
      </c>
      <c r="W6" s="240">
        <v>3.50266045598089</v>
      </c>
      <c r="DA6" s="268" t="s">
        <v>1014</v>
      </c>
    </row>
    <row r="7" spans="1:105" x14ac:dyDescent="0.25">
      <c r="A7" s="241" t="s">
        <v>124</v>
      </c>
      <c r="B7" s="242">
        <v>2.546854701620596</v>
      </c>
      <c r="C7" s="242">
        <v>2.67628855516447</v>
      </c>
      <c r="D7" s="242">
        <v>2.6682731621760438</v>
      </c>
      <c r="E7" s="242">
        <v>2.6959373471974351</v>
      </c>
      <c r="F7" s="242">
        <v>2.6972921501872991</v>
      </c>
      <c r="G7" s="242">
        <v>2.8456480167749301</v>
      </c>
      <c r="H7" s="242">
        <v>2.7103398981444031</v>
      </c>
      <c r="I7" s="242">
        <v>2.4970539339747861</v>
      </c>
      <c r="J7" s="242">
        <v>2.5254583710189111</v>
      </c>
      <c r="K7" s="242">
        <v>2.4318933105227569</v>
      </c>
      <c r="L7" s="242">
        <v>2.3886134693775092</v>
      </c>
      <c r="M7" s="242">
        <v>2.3552203270482042</v>
      </c>
      <c r="N7" s="242">
        <v>2.3345288367417401</v>
      </c>
      <c r="O7" s="242">
        <v>2.2633770535774391</v>
      </c>
      <c r="P7" s="242">
        <v>2.1983922150182251</v>
      </c>
      <c r="Q7" s="242">
        <v>2.1669276283397712</v>
      </c>
      <c r="R7" s="242">
        <v>2.1884571290042452</v>
      </c>
      <c r="S7" s="242">
        <v>2.2211584408111791</v>
      </c>
      <c r="T7" s="242">
        <v>2.2695646095760571</v>
      </c>
      <c r="U7" s="242">
        <v>2.2517435725700841</v>
      </c>
      <c r="V7" s="242">
        <v>2.2902518690616489</v>
      </c>
      <c r="W7" s="242">
        <v>2.2576683223913099</v>
      </c>
      <c r="DA7" s="269" t="s">
        <v>1015</v>
      </c>
    </row>
    <row r="8" spans="1:105" x14ac:dyDescent="0.25">
      <c r="A8" s="241" t="s">
        <v>123</v>
      </c>
      <c r="B8" s="242">
        <v>5.0611917543886893</v>
      </c>
      <c r="C8" s="242">
        <v>5.3184068801193281</v>
      </c>
      <c r="D8" s="242">
        <v>5.3024784328170949</v>
      </c>
      <c r="E8" s="242">
        <v>5.3574535929756459</v>
      </c>
      <c r="F8" s="242">
        <v>5.3601459011457004</v>
      </c>
      <c r="G8" s="242">
        <v>5.6549634610994479</v>
      </c>
      <c r="H8" s="242">
        <v>5.3860748064467456</v>
      </c>
      <c r="I8" s="242">
        <v>4.9622260637229356</v>
      </c>
      <c r="J8" s="242">
        <v>5.0186722765611886</v>
      </c>
      <c r="K8" s="242">
        <v>4.8327367725135142</v>
      </c>
      <c r="L8" s="242">
        <v>4.7467296771750167</v>
      </c>
      <c r="M8" s="242">
        <v>4.6803697483959397</v>
      </c>
      <c r="N8" s="242">
        <v>4.6392509519218219</v>
      </c>
      <c r="O8" s="242">
        <v>4.4978558350225057</v>
      </c>
      <c r="P8" s="242">
        <v>4.3687158692180592</v>
      </c>
      <c r="Q8" s="242">
        <v>4.3061884283903984</v>
      </c>
      <c r="R8" s="242">
        <v>4.348972546059068</v>
      </c>
      <c r="S8" s="242">
        <v>4.4139576469247057</v>
      </c>
      <c r="T8" s="242">
        <v>4.5101519457429529</v>
      </c>
      <c r="U8" s="242">
        <v>4.4747374065892727</v>
      </c>
      <c r="V8" s="242">
        <v>4.5512623345934671</v>
      </c>
      <c r="W8" s="242">
        <v>4.4865112604031241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43.060403149561445</v>
      </c>
      <c r="C9" s="244">
        <f t="shared" ref="C9:W9" si="3">SUM(C10:C15)</f>
        <v>43.943067915015916</v>
      </c>
      <c r="D9" s="244">
        <f t="shared" si="3"/>
        <v>43.451081691656512</v>
      </c>
      <c r="E9" s="244">
        <f t="shared" si="3"/>
        <v>45.209992968371218</v>
      </c>
      <c r="F9" s="244">
        <f t="shared" si="3"/>
        <v>44.648900612520443</v>
      </c>
      <c r="G9" s="244">
        <f t="shared" si="3"/>
        <v>46.714587097927321</v>
      </c>
      <c r="H9" s="244">
        <f t="shared" si="3"/>
        <v>44.380823738762096</v>
      </c>
      <c r="I9" s="244">
        <f t="shared" si="3"/>
        <v>41.779014798890465</v>
      </c>
      <c r="J9" s="244">
        <f t="shared" si="3"/>
        <v>43.62098288754558</v>
      </c>
      <c r="K9" s="244">
        <f t="shared" si="3"/>
        <v>38.40547450003865</v>
      </c>
      <c r="L9" s="244">
        <f t="shared" si="3"/>
        <v>36.215332977468385</v>
      </c>
      <c r="M9" s="244">
        <f t="shared" si="3"/>
        <v>34.725194493850132</v>
      </c>
      <c r="N9" s="244">
        <f t="shared" si="3"/>
        <v>33.876114359395046</v>
      </c>
      <c r="O9" s="244">
        <f t="shared" si="3"/>
        <v>31.31638534868344</v>
      </c>
      <c r="P9" s="244">
        <f t="shared" si="3"/>
        <v>29.372723351309926</v>
      </c>
      <c r="Q9" s="244">
        <f t="shared" si="3"/>
        <v>28.540917859894787</v>
      </c>
      <c r="R9" s="244">
        <f t="shared" si="3"/>
        <v>29.103034863005014</v>
      </c>
      <c r="S9" s="244">
        <f t="shared" si="3"/>
        <v>30.016791908989511</v>
      </c>
      <c r="T9" s="244">
        <f t="shared" si="3"/>
        <v>31.519395811471</v>
      </c>
      <c r="U9" s="244">
        <f t="shared" si="3"/>
        <v>31.620953105061023</v>
      </c>
      <c r="V9" s="244">
        <f t="shared" si="3"/>
        <v>31.587230632110952</v>
      </c>
      <c r="W9" s="244">
        <f t="shared" si="3"/>
        <v>31.44594045607959</v>
      </c>
      <c r="DA9" s="270"/>
    </row>
    <row r="10" spans="1:105" x14ac:dyDescent="0.25">
      <c r="A10" s="254" t="s">
        <v>173</v>
      </c>
      <c r="B10" s="255">
        <v>37.763857895578347</v>
      </c>
      <c r="C10" s="255">
        <v>37.950874214855389</v>
      </c>
      <c r="D10" s="255">
        <v>37.348726147921496</v>
      </c>
      <c r="E10" s="255">
        <v>39.487848055718743</v>
      </c>
      <c r="F10" s="255">
        <v>38.733270713509427</v>
      </c>
      <c r="G10" s="255">
        <v>40.339966582002262</v>
      </c>
      <c r="H10" s="255">
        <v>38.269800267712967</v>
      </c>
      <c r="I10" s="255">
        <v>36.448474130098319</v>
      </c>
      <c r="J10" s="255">
        <v>38.63840569348627</v>
      </c>
      <c r="K10" s="255">
        <v>32.377344953021861</v>
      </c>
      <c r="L10" s="255">
        <v>29.592374567992898</v>
      </c>
      <c r="M10" s="255">
        <v>27.64328789184108</v>
      </c>
      <c r="N10" s="255">
        <v>26.509828348394951</v>
      </c>
      <c r="O10" s="255">
        <v>22.97220447821871</v>
      </c>
      <c r="P10" s="255">
        <v>20.135404784678649</v>
      </c>
      <c r="Q10" s="255">
        <v>18.871156756372159</v>
      </c>
      <c r="R10" s="255">
        <v>19.729170603148631</v>
      </c>
      <c r="S10" s="255">
        <v>21.092367471159442</v>
      </c>
      <c r="T10" s="255">
        <v>23.260255384676981</v>
      </c>
      <c r="U10" s="255">
        <v>23.729867926285749</v>
      </c>
      <c r="V10" s="255">
        <v>23.048636089799139</v>
      </c>
      <c r="W10" s="255">
        <v>23.31225786614451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5.2965452539830959</v>
      </c>
      <c r="C15" s="256">
        <v>5.9921937001605254</v>
      </c>
      <c r="D15" s="256">
        <v>6.1023555437350172</v>
      </c>
      <c r="E15" s="256">
        <v>5.7221449126524737</v>
      </c>
      <c r="F15" s="256">
        <v>5.915629899011015</v>
      </c>
      <c r="G15" s="256">
        <v>6.3746205159250557</v>
      </c>
      <c r="H15" s="256">
        <v>6.1110234710491289</v>
      </c>
      <c r="I15" s="256">
        <v>5.3305406687921444</v>
      </c>
      <c r="J15" s="256">
        <v>4.9825771940593064</v>
      </c>
      <c r="K15" s="256">
        <v>6.0281295470167908</v>
      </c>
      <c r="L15" s="256">
        <v>6.6229584094754888</v>
      </c>
      <c r="M15" s="256">
        <v>7.0819066020090542</v>
      </c>
      <c r="N15" s="256">
        <v>7.3662860110000947</v>
      </c>
      <c r="O15" s="256">
        <v>8.3441808704647276</v>
      </c>
      <c r="P15" s="256">
        <v>9.2373185666312772</v>
      </c>
      <c r="Q15" s="256">
        <v>9.6697611035226281</v>
      </c>
      <c r="R15" s="256">
        <v>9.3738642598563811</v>
      </c>
      <c r="S15" s="256">
        <v>8.924424437830071</v>
      </c>
      <c r="T15" s="256">
        <v>8.2591404267940192</v>
      </c>
      <c r="U15" s="256">
        <v>7.8910851787752749</v>
      </c>
      <c r="V15" s="256">
        <v>8.5385945423118113</v>
      </c>
      <c r="W15" s="256">
        <v>8.1336825899350806</v>
      </c>
      <c r="DA15" s="272" t="s">
        <v>1022</v>
      </c>
    </row>
    <row r="16" spans="1:105" x14ac:dyDescent="0.25">
      <c r="A16" s="257" t="s">
        <v>175</v>
      </c>
      <c r="B16" s="258">
        <v>31.657783359118941</v>
      </c>
      <c r="C16" s="258">
        <v>32.105898470909011</v>
      </c>
      <c r="D16" s="258">
        <v>31.684520886557781</v>
      </c>
      <c r="E16" s="258">
        <v>33.183701777201783</v>
      </c>
      <c r="F16" s="258">
        <v>32.681411527132987</v>
      </c>
      <c r="G16" s="258">
        <v>34.129276181055488</v>
      </c>
      <c r="H16" s="258">
        <v>32.405139950612622</v>
      </c>
      <c r="I16" s="258">
        <v>30.6509028609327</v>
      </c>
      <c r="J16" s="258">
        <v>32.197033160302063</v>
      </c>
      <c r="K16" s="258">
        <v>27.778722280462699</v>
      </c>
      <c r="L16" s="258">
        <v>25.846057211257062</v>
      </c>
      <c r="M16" s="258">
        <v>24.500894860147561</v>
      </c>
      <c r="N16" s="258">
        <v>23.721442131167649</v>
      </c>
      <c r="O16" s="258">
        <v>21.301302742351151</v>
      </c>
      <c r="P16" s="258">
        <v>19.372347438166969</v>
      </c>
      <c r="Q16" s="258">
        <v>18.514963372060478</v>
      </c>
      <c r="R16" s="258">
        <v>19.096741603213928</v>
      </c>
      <c r="S16" s="258">
        <v>20.022120746764241</v>
      </c>
      <c r="T16" s="258">
        <v>21.497695434265751</v>
      </c>
      <c r="U16" s="258">
        <v>21.73089831223281</v>
      </c>
      <c r="V16" s="258">
        <v>21.434082981828318</v>
      </c>
      <c r="W16" s="258">
        <v>21.49192508753238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34.28626681156635</v>
      </c>
      <c r="C17" s="258">
        <f t="shared" ref="C17:W17" si="5">SUM(C18:C24)</f>
        <v>34.771588039235397</v>
      </c>
      <c r="D17" s="258">
        <f t="shared" si="5"/>
        <v>34.315224303291203</v>
      </c>
      <c r="E17" s="258">
        <f t="shared" si="5"/>
        <v>35.938879233023222</v>
      </c>
      <c r="F17" s="258">
        <f t="shared" si="5"/>
        <v>35.394884811956281</v>
      </c>
      <c r="G17" s="258">
        <f t="shared" si="5"/>
        <v>36.962962818817857</v>
      </c>
      <c r="H17" s="258">
        <f t="shared" si="5"/>
        <v>35.095674950116688</v>
      </c>
      <c r="I17" s="258">
        <f t="shared" si="5"/>
        <v>33.195787007071978</v>
      </c>
      <c r="J17" s="258">
        <f t="shared" si="5"/>
        <v>34.87028946254334</v>
      </c>
      <c r="K17" s="258">
        <f t="shared" si="5"/>
        <v>30.085134925215861</v>
      </c>
      <c r="L17" s="258">
        <f t="shared" si="5"/>
        <v>27.99200447863668</v>
      </c>
      <c r="M17" s="258">
        <f t="shared" si="5"/>
        <v>26.535155944681151</v>
      </c>
      <c r="N17" s="258">
        <f t="shared" si="5"/>
        <v>25.690986789511609</v>
      </c>
      <c r="O17" s="258">
        <f t="shared" si="5"/>
        <v>23.06990798987281</v>
      </c>
      <c r="P17" s="258">
        <f t="shared" si="5"/>
        <v>20.980795322804351</v>
      </c>
      <c r="Q17" s="258">
        <f t="shared" si="5"/>
        <v>20.052224344948911</v>
      </c>
      <c r="R17" s="258">
        <f t="shared" si="5"/>
        <v>20.682306477744309</v>
      </c>
      <c r="S17" s="258">
        <f t="shared" si="5"/>
        <v>21.684518030515122</v>
      </c>
      <c r="T17" s="258">
        <f t="shared" si="5"/>
        <v>23.282606780512761</v>
      </c>
      <c r="U17" s="258">
        <f t="shared" si="5"/>
        <v>23.535172034513739</v>
      </c>
      <c r="V17" s="258">
        <f t="shared" si="5"/>
        <v>23.213712711333422</v>
      </c>
      <c r="W17" s="258">
        <f t="shared" si="5"/>
        <v>23.276357333245691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1025</v>
      </c>
    </row>
    <row r="20" spans="1:105" x14ac:dyDescent="0.25">
      <c r="A20" s="61" t="s">
        <v>173</v>
      </c>
      <c r="B20" s="55">
        <v>34.28626681156635</v>
      </c>
      <c r="C20" s="55">
        <v>34.771588039235397</v>
      </c>
      <c r="D20" s="55">
        <v>34.315224303291203</v>
      </c>
      <c r="E20" s="55">
        <v>35.938879233023222</v>
      </c>
      <c r="F20" s="55">
        <v>35.394884811956281</v>
      </c>
      <c r="G20" s="55">
        <v>36.962962818817857</v>
      </c>
      <c r="H20" s="55">
        <v>35.095674950116688</v>
      </c>
      <c r="I20" s="55">
        <v>33.195787007071978</v>
      </c>
      <c r="J20" s="55">
        <v>34.87028946254334</v>
      </c>
      <c r="K20" s="55">
        <v>30.085134925215861</v>
      </c>
      <c r="L20" s="55">
        <v>27.99200447863668</v>
      </c>
      <c r="M20" s="55">
        <v>26.535155944681151</v>
      </c>
      <c r="N20" s="55">
        <v>25.690986789511609</v>
      </c>
      <c r="O20" s="55">
        <v>23.06990798987281</v>
      </c>
      <c r="P20" s="55">
        <v>20.980795322804351</v>
      </c>
      <c r="Q20" s="55">
        <v>20.052224344948911</v>
      </c>
      <c r="R20" s="55">
        <v>20.682306477744309</v>
      </c>
      <c r="S20" s="55">
        <v>21.684518030515122</v>
      </c>
      <c r="T20" s="55">
        <v>23.282606780512761</v>
      </c>
      <c r="U20" s="55">
        <v>23.535172034513739</v>
      </c>
      <c r="V20" s="55">
        <v>23.213712711333422</v>
      </c>
      <c r="W20" s="55">
        <v>23.276357333245691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4.2583148298053457</v>
      </c>
      <c r="C25" s="258">
        <v>4.3185911670444073</v>
      </c>
      <c r="D25" s="258">
        <v>4.2619113169097469</v>
      </c>
      <c r="E25" s="258">
        <v>4.4635673882389248</v>
      </c>
      <c r="F25" s="258">
        <v>4.3960039079891811</v>
      </c>
      <c r="G25" s="258">
        <v>4.5907573895393403</v>
      </c>
      <c r="H25" s="258">
        <v>4.358842387929327</v>
      </c>
      <c r="I25" s="258">
        <v>4.1228784946510313</v>
      </c>
      <c r="J25" s="258">
        <v>4.3308497700852424</v>
      </c>
      <c r="K25" s="258">
        <v>3.7365390905003188</v>
      </c>
      <c r="L25" s="258">
        <v>3.4765747009570891</v>
      </c>
      <c r="M25" s="258">
        <v>3.2956357917717298</v>
      </c>
      <c r="N25" s="258">
        <v>3.19079095543889</v>
      </c>
      <c r="O25" s="258">
        <v>2.865255988802482</v>
      </c>
      <c r="P25" s="258">
        <v>2.6057906028447779</v>
      </c>
      <c r="Q25" s="258">
        <v>2.4904631573908822</v>
      </c>
      <c r="R25" s="258">
        <v>2.5687186322381139</v>
      </c>
      <c r="S25" s="258">
        <v>2.693192152240194</v>
      </c>
      <c r="T25" s="258">
        <v>2.8916729335063649</v>
      </c>
      <c r="U25" s="258">
        <v>2.9230412470214162</v>
      </c>
      <c r="V25" s="258">
        <v>2.883116369501181</v>
      </c>
      <c r="W25" s="258">
        <v>2.8908967593570551</v>
      </c>
      <c r="DA25" s="273" t="s">
        <v>1031</v>
      </c>
    </row>
    <row r="26" spans="1:105" x14ac:dyDescent="0.25">
      <c r="A26" s="257" t="s">
        <v>177</v>
      </c>
      <c r="B26" s="258">
        <v>3.9182380024932271</v>
      </c>
      <c r="C26" s="258">
        <v>4.1173670079453402</v>
      </c>
      <c r="D26" s="258">
        <v>4.1050356341169927</v>
      </c>
      <c r="E26" s="258">
        <v>4.1475959187652869</v>
      </c>
      <c r="F26" s="258">
        <v>4.149680231057383</v>
      </c>
      <c r="G26" s="258">
        <v>4.3779200258075859</v>
      </c>
      <c r="H26" s="258">
        <v>4.1697536894529286</v>
      </c>
      <c r="I26" s="258">
        <v>3.8416214368842838</v>
      </c>
      <c r="J26" s="258">
        <v>3.885320570798326</v>
      </c>
      <c r="K26" s="258">
        <v>3.741374323881165</v>
      </c>
      <c r="L26" s="258">
        <v>3.6747899528884762</v>
      </c>
      <c r="M26" s="258">
        <v>3.6234158877664688</v>
      </c>
      <c r="N26" s="258">
        <v>3.5915828257565239</v>
      </c>
      <c r="O26" s="258">
        <v>3.4821185439652922</v>
      </c>
      <c r="P26" s="258">
        <v>3.3821418692588079</v>
      </c>
      <c r="Q26" s="258">
        <v>3.3337348128304178</v>
      </c>
      <c r="R26" s="258">
        <v>3.3668571215449941</v>
      </c>
      <c r="S26" s="258">
        <v>3.4171668320171991</v>
      </c>
      <c r="T26" s="258">
        <v>3.4916378608862408</v>
      </c>
      <c r="U26" s="258">
        <v>3.4642208808770532</v>
      </c>
      <c r="V26" s="258">
        <v>3.5234644139409981</v>
      </c>
      <c r="W26" s="258">
        <v>3.4733358806020158</v>
      </c>
      <c r="DA26" s="273" t="s">
        <v>1032</v>
      </c>
    </row>
    <row r="27" spans="1:105" x14ac:dyDescent="0.25">
      <c r="A27" s="129" t="s">
        <v>33</v>
      </c>
      <c r="B27" s="259">
        <v>5.9716484160558769</v>
      </c>
      <c r="C27" s="259">
        <v>6.2751339136806372</v>
      </c>
      <c r="D27" s="259">
        <v>6.2563401015275746</v>
      </c>
      <c r="E27" s="259">
        <v>6.3212047310485877</v>
      </c>
      <c r="F27" s="259">
        <v>6.3243813579379564</v>
      </c>
      <c r="G27" s="259">
        <v>6.6722335833345987</v>
      </c>
      <c r="H27" s="259">
        <v>6.3549746082602283</v>
      </c>
      <c r="I27" s="259">
        <v>5.854879809255797</v>
      </c>
      <c r="J27" s="259">
        <v>5.9214801187966506</v>
      </c>
      <c r="K27" s="259">
        <v>5.7020967181831406</v>
      </c>
      <c r="L27" s="259">
        <v>5.6006178255483512</v>
      </c>
      <c r="M27" s="259">
        <v>5.5223204239058319</v>
      </c>
      <c r="N27" s="259">
        <v>5.4738047762578503</v>
      </c>
      <c r="O27" s="259">
        <v>5.3069741231537364</v>
      </c>
      <c r="P27" s="259">
        <v>5.1546031975556437</v>
      </c>
      <c r="Q27" s="259">
        <v>5.0808277092717322</v>
      </c>
      <c r="R27" s="259">
        <v>5.1313082523744384</v>
      </c>
      <c r="S27" s="259">
        <v>5.2079835086152251</v>
      </c>
      <c r="T27" s="259">
        <v>5.3214821785032962</v>
      </c>
      <c r="U27" s="259">
        <v>5.2796969257594037</v>
      </c>
      <c r="V27" s="259">
        <v>5.3699879060821294</v>
      </c>
      <c r="W27" s="259">
        <v>5.2935887755233244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0.99999999999999989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0.99999999999999989</v>
      </c>
      <c r="S31" s="236">
        <f t="shared" si="7"/>
        <v>0.99999999999999978</v>
      </c>
      <c r="T31" s="236">
        <f t="shared" si="7"/>
        <v>0.99999999999999978</v>
      </c>
      <c r="U31" s="236">
        <f t="shared" si="7"/>
        <v>1</v>
      </c>
      <c r="V31" s="236">
        <f t="shared" si="7"/>
        <v>1.0000000000000002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2.9331597801703115E-2</v>
      </c>
      <c r="C32" s="245">
        <f t="shared" si="8"/>
        <v>3.0158157347160465E-2</v>
      </c>
      <c r="D32" s="245">
        <f t="shared" si="8"/>
        <v>3.0397671619123896E-2</v>
      </c>
      <c r="E32" s="245">
        <f t="shared" si="8"/>
        <v>2.955890566473961E-2</v>
      </c>
      <c r="F32" s="245">
        <f t="shared" si="8"/>
        <v>2.9925574713822387E-2</v>
      </c>
      <c r="G32" s="245">
        <f t="shared" si="8"/>
        <v>3.0163872344962796E-2</v>
      </c>
      <c r="H32" s="245">
        <f t="shared" si="8"/>
        <v>3.023701237155979E-2</v>
      </c>
      <c r="I32" s="245">
        <f t="shared" si="8"/>
        <v>2.9623047665844168E-2</v>
      </c>
      <c r="J32" s="245">
        <f t="shared" si="8"/>
        <v>2.8748806932654941E-2</v>
      </c>
      <c r="K32" s="245">
        <f t="shared" si="8"/>
        <v>3.1314282527690744E-2</v>
      </c>
      <c r="L32" s="245">
        <f t="shared" si="8"/>
        <v>3.2608256269073072E-2</v>
      </c>
      <c r="M32" s="245">
        <f t="shared" si="8"/>
        <v>3.3556187217232088E-2</v>
      </c>
      <c r="N32" s="245">
        <f t="shared" si="8"/>
        <v>3.4123721803927191E-2</v>
      </c>
      <c r="O32" s="245">
        <f t="shared" si="8"/>
        <v>3.5973244326938623E-2</v>
      </c>
      <c r="P32" s="245">
        <f t="shared" si="8"/>
        <v>3.754363170977941E-2</v>
      </c>
      <c r="Q32" s="245">
        <f t="shared" si="8"/>
        <v>3.8269236259666099E-2</v>
      </c>
      <c r="R32" s="245">
        <f t="shared" si="8"/>
        <v>3.7775025410708839E-2</v>
      </c>
      <c r="S32" s="245">
        <f t="shared" si="8"/>
        <v>3.7005043295404237E-2</v>
      </c>
      <c r="T32" s="245">
        <f t="shared" si="8"/>
        <v>3.5818171327118703E-2</v>
      </c>
      <c r="U32" s="245">
        <f t="shared" si="8"/>
        <v>3.5368324720944658E-2</v>
      </c>
      <c r="V32" s="245">
        <f t="shared" si="8"/>
        <v>3.6107560584552736E-2</v>
      </c>
      <c r="W32" s="245">
        <f t="shared" si="8"/>
        <v>3.5698127632196583E-2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1.8905920238130265E-2</v>
      </c>
      <c r="C33" s="246">
        <f t="shared" si="9"/>
        <v>1.9438685924613754E-2</v>
      </c>
      <c r="D33" s="246">
        <f t="shared" si="9"/>
        <v>1.9593066799199841E-2</v>
      </c>
      <c r="E33" s="246">
        <f t="shared" si="9"/>
        <v>1.9052433372434122E-2</v>
      </c>
      <c r="F33" s="246">
        <f t="shared" si="9"/>
        <v>1.9288772894154555E-2</v>
      </c>
      <c r="G33" s="246">
        <f t="shared" si="9"/>
        <v>1.9442369572989903E-2</v>
      </c>
      <c r="H33" s="246">
        <f t="shared" si="9"/>
        <v>1.9489512572781656E-2</v>
      </c>
      <c r="I33" s="246">
        <f t="shared" si="9"/>
        <v>1.9093776621615287E-2</v>
      </c>
      <c r="J33" s="246">
        <f t="shared" si="9"/>
        <v>1.8530277637266036E-2</v>
      </c>
      <c r="K33" s="246">
        <f t="shared" si="9"/>
        <v>2.0183875825149293E-2</v>
      </c>
      <c r="L33" s="246">
        <f t="shared" si="9"/>
        <v>2.1017917138213688E-2</v>
      </c>
      <c r="M33" s="246">
        <f t="shared" si="9"/>
        <v>2.1628913750751076E-2</v>
      </c>
      <c r="N33" s="246">
        <f t="shared" si="9"/>
        <v>2.1994722790578247E-2</v>
      </c>
      <c r="O33" s="246">
        <f t="shared" si="9"/>
        <v>2.3186847595202738E-2</v>
      </c>
      <c r="P33" s="246">
        <f t="shared" si="9"/>
        <v>2.419905357196785E-2</v>
      </c>
      <c r="Q33" s="246">
        <f t="shared" si="9"/>
        <v>2.4666747893883897E-2</v>
      </c>
      <c r="R33" s="246">
        <f t="shared" si="9"/>
        <v>2.4348200266360445E-2</v>
      </c>
      <c r="S33" s="246">
        <f t="shared" si="9"/>
        <v>2.3851902023245646E-2</v>
      </c>
      <c r="T33" s="246">
        <f t="shared" si="9"/>
        <v>2.3086894030262182E-2</v>
      </c>
      <c r="U33" s="246">
        <f t="shared" si="9"/>
        <v>2.279694173672479E-2</v>
      </c>
      <c r="V33" s="246">
        <f t="shared" si="9"/>
        <v>2.3273422232912705E-2</v>
      </c>
      <c r="W33" s="246">
        <f t="shared" si="9"/>
        <v>2.3009518889070369E-2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3.7570454081054805E-2</v>
      </c>
      <c r="C34" s="246">
        <f t="shared" si="10"/>
        <v>3.8629183225570088E-2</v>
      </c>
      <c r="D34" s="246">
        <f t="shared" si="10"/>
        <v>3.8935973875619034E-2</v>
      </c>
      <c r="E34" s="246">
        <f t="shared" si="10"/>
        <v>3.7861609704018501E-2</v>
      </c>
      <c r="F34" s="246">
        <f t="shared" si="10"/>
        <v>3.8331271219379556E-2</v>
      </c>
      <c r="G34" s="246">
        <f t="shared" si="10"/>
        <v>3.8636503490356126E-2</v>
      </c>
      <c r="H34" s="246">
        <f t="shared" si="10"/>
        <v>3.8730187579075967E-2</v>
      </c>
      <c r="I34" s="246">
        <f t="shared" si="10"/>
        <v>3.7943768341384868E-2</v>
      </c>
      <c r="J34" s="246">
        <f t="shared" si="10"/>
        <v>3.6823964996741745E-2</v>
      </c>
      <c r="K34" s="246">
        <f t="shared" si="10"/>
        <v>4.0110048615199213E-2</v>
      </c>
      <c r="L34" s="246">
        <f t="shared" si="10"/>
        <v>4.1767482395703055E-2</v>
      </c>
      <c r="M34" s="246">
        <f t="shared" si="10"/>
        <v>4.2981674558045878E-2</v>
      </c>
      <c r="N34" s="246">
        <f t="shared" si="10"/>
        <v>4.3708622072906489E-2</v>
      </c>
      <c r="O34" s="246">
        <f t="shared" si="10"/>
        <v>4.6077650909741349E-2</v>
      </c>
      <c r="P34" s="246">
        <f t="shared" si="10"/>
        <v>4.8089139252632168E-2</v>
      </c>
      <c r="Q34" s="246">
        <f t="shared" si="10"/>
        <v>4.9018556484070532E-2</v>
      </c>
      <c r="R34" s="246">
        <f t="shared" si="10"/>
        <v>4.8385528371090267E-2</v>
      </c>
      <c r="S34" s="246">
        <f t="shared" si="10"/>
        <v>4.7399268505471714E-2</v>
      </c>
      <c r="T34" s="246">
        <f t="shared" si="10"/>
        <v>4.5879019963744688E-2</v>
      </c>
      <c r="U34" s="246">
        <f t="shared" si="10"/>
        <v>4.5302817420158806E-2</v>
      </c>
      <c r="V34" s="246">
        <f t="shared" si="10"/>
        <v>4.6249694820309974E-2</v>
      </c>
      <c r="W34" s="246">
        <f t="shared" si="10"/>
        <v>4.5725257589179141E-2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0.31964781769816786</v>
      </c>
      <c r="C35" s="247">
        <f t="shared" si="11"/>
        <v>0.31917167306776906</v>
      </c>
      <c r="D35" s="247">
        <f t="shared" si="11"/>
        <v>0.31906026644881674</v>
      </c>
      <c r="E35" s="247">
        <f t="shared" si="11"/>
        <v>0.31950311445239488</v>
      </c>
      <c r="F35" s="247">
        <f t="shared" si="11"/>
        <v>0.31929151754242935</v>
      </c>
      <c r="G35" s="247">
        <f t="shared" si="11"/>
        <v>0.31916887171340003</v>
      </c>
      <c r="H35" s="247">
        <f t="shared" si="11"/>
        <v>0.31913363443426185</v>
      </c>
      <c r="I35" s="247">
        <f t="shared" si="11"/>
        <v>0.31946413539068907</v>
      </c>
      <c r="J35" s="247">
        <f t="shared" si="11"/>
        <v>0.32006424377945031</v>
      </c>
      <c r="K35" s="247">
        <f t="shared" si="11"/>
        <v>0.31875219400479698</v>
      </c>
      <c r="L35" s="247">
        <f t="shared" si="11"/>
        <v>0.31866640518091655</v>
      </c>
      <c r="M35" s="247">
        <f t="shared" si="11"/>
        <v>0.3188951063558686</v>
      </c>
      <c r="N35" s="247">
        <f t="shared" si="11"/>
        <v>0.31916322164464589</v>
      </c>
      <c r="O35" s="247">
        <f t="shared" si="11"/>
        <v>0.32081630109524267</v>
      </c>
      <c r="P35" s="247">
        <f t="shared" si="11"/>
        <v>0.32332360944384408</v>
      </c>
      <c r="Q35" s="247">
        <f t="shared" si="11"/>
        <v>0.32488931162387907</v>
      </c>
      <c r="R35" s="247">
        <f t="shared" si="11"/>
        <v>0.32379273590144952</v>
      </c>
      <c r="S35" s="247">
        <f t="shared" si="11"/>
        <v>0.32233521324300435</v>
      </c>
      <c r="T35" s="247">
        <f t="shared" si="11"/>
        <v>0.32062755469792437</v>
      </c>
      <c r="U35" s="247">
        <f t="shared" si="11"/>
        <v>0.32013459897345686</v>
      </c>
      <c r="V35" s="247">
        <f t="shared" si="11"/>
        <v>0.32098782042287405</v>
      </c>
      <c r="W35" s="247">
        <f t="shared" si="11"/>
        <v>0.32048815750860998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0.23500340507162218</v>
      </c>
      <c r="C36" s="260">
        <f t="shared" si="12"/>
        <v>0.23319476350904314</v>
      </c>
      <c r="D36" s="260">
        <f t="shared" si="12"/>
        <v>0.23265868840980797</v>
      </c>
      <c r="E36" s="260">
        <f t="shared" si="12"/>
        <v>0.23451222552263559</v>
      </c>
      <c r="F36" s="260">
        <f t="shared" si="12"/>
        <v>0.23371006539410247</v>
      </c>
      <c r="G36" s="260">
        <f t="shared" si="12"/>
        <v>0.2331820368714296</v>
      </c>
      <c r="H36" s="260">
        <f t="shared" si="12"/>
        <v>0.23301888553631336</v>
      </c>
      <c r="I36" s="260">
        <f t="shared" si="12"/>
        <v>0.23437278807426323</v>
      </c>
      <c r="J36" s="260">
        <f t="shared" si="12"/>
        <v>0.23624224829964172</v>
      </c>
      <c r="K36" s="260">
        <f t="shared" si="12"/>
        <v>0.23055381527804092</v>
      </c>
      <c r="L36" s="260">
        <f t="shared" si="12"/>
        <v>0.22742494580226127</v>
      </c>
      <c r="M36" s="260">
        <f t="shared" si="12"/>
        <v>0.22500134516523554</v>
      </c>
      <c r="N36" s="260">
        <f t="shared" si="12"/>
        <v>0.22349115404201578</v>
      </c>
      <c r="O36" s="260">
        <f t="shared" si="12"/>
        <v>0.2182181972223797</v>
      </c>
      <c r="P36" s="260">
        <f t="shared" si="12"/>
        <v>0.21324332858733774</v>
      </c>
      <c r="Q36" s="260">
        <f t="shared" si="12"/>
        <v>0.21076104609595195</v>
      </c>
      <c r="R36" s="260">
        <f t="shared" si="12"/>
        <v>0.21246534045725327</v>
      </c>
      <c r="S36" s="260">
        <f t="shared" si="12"/>
        <v>0.2150074724858462</v>
      </c>
      <c r="T36" s="260">
        <f t="shared" si="12"/>
        <v>0.21868292019166335</v>
      </c>
      <c r="U36" s="260">
        <f t="shared" si="12"/>
        <v>0.22000641136291885</v>
      </c>
      <c r="V36" s="260">
        <f t="shared" si="12"/>
        <v>0.21781205384007096</v>
      </c>
      <c r="W36" s="260">
        <f t="shared" si="12"/>
        <v>0.21903963986183317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0.25451527532774443</v>
      </c>
      <c r="C37" s="260">
        <f t="shared" si="13"/>
        <v>0.25255646581547903</v>
      </c>
      <c r="D37" s="260">
        <f t="shared" si="13"/>
        <v>0.25197588145570515</v>
      </c>
      <c r="E37" s="260">
        <f t="shared" si="13"/>
        <v>0.25398331410740538</v>
      </c>
      <c r="F37" s="260">
        <f t="shared" si="13"/>
        <v>0.25311455220198409</v>
      </c>
      <c r="G37" s="260">
        <f t="shared" si="13"/>
        <v>0.25254268251018946</v>
      </c>
      <c r="H37" s="260">
        <f t="shared" si="13"/>
        <v>0.25236598504078656</v>
      </c>
      <c r="I37" s="260">
        <f t="shared" si="13"/>
        <v>0.25383229944209584</v>
      </c>
      <c r="J37" s="260">
        <f t="shared" si="13"/>
        <v>0.25585697727104678</v>
      </c>
      <c r="K37" s="260">
        <f t="shared" si="13"/>
        <v>0.24969624485002129</v>
      </c>
      <c r="L37" s="260">
        <f t="shared" si="13"/>
        <v>0.2463075914990199</v>
      </c>
      <c r="M37" s="260">
        <f t="shared" si="13"/>
        <v>0.24368276407054454</v>
      </c>
      <c r="N37" s="260">
        <f t="shared" si="13"/>
        <v>0.24204718475029346</v>
      </c>
      <c r="O37" s="260">
        <f t="shared" si="13"/>
        <v>0.23633642470265909</v>
      </c>
      <c r="P37" s="260">
        <f t="shared" si="13"/>
        <v>0.23094850251497362</v>
      </c>
      <c r="Q37" s="260">
        <f t="shared" si="13"/>
        <v>0.22826012099325163</v>
      </c>
      <c r="R37" s="260">
        <f t="shared" si="13"/>
        <v>0.23010591956146356</v>
      </c>
      <c r="S37" s="260">
        <f t="shared" si="13"/>
        <v>0.2328591198096881</v>
      </c>
      <c r="T37" s="260">
        <f t="shared" si="13"/>
        <v>0.2368397327055467</v>
      </c>
      <c r="U37" s="260">
        <f t="shared" si="13"/>
        <v>0.23827311074423202</v>
      </c>
      <c r="V37" s="260">
        <f t="shared" si="13"/>
        <v>0.23589656003457354</v>
      </c>
      <c r="W37" s="260">
        <f t="shared" si="13"/>
        <v>0.2372260701079365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3.1610503916819153E-2</v>
      </c>
      <c r="C38" s="260">
        <f t="shared" si="14"/>
        <v>3.136722203253918E-2</v>
      </c>
      <c r="D38" s="260">
        <f t="shared" si="14"/>
        <v>3.1295114124064757E-2</v>
      </c>
      <c r="E38" s="260">
        <f t="shared" si="14"/>
        <v>3.1544434946233907E-2</v>
      </c>
      <c r="F38" s="260">
        <f t="shared" si="14"/>
        <v>3.1436535718658128E-2</v>
      </c>
      <c r="G38" s="260">
        <f t="shared" si="14"/>
        <v>3.1365510161904774E-2</v>
      </c>
      <c r="H38" s="260">
        <f t="shared" si="14"/>
        <v>3.1343564539814087E-2</v>
      </c>
      <c r="I38" s="260">
        <f t="shared" si="14"/>
        <v>3.152567909881724E-2</v>
      </c>
      <c r="J38" s="260">
        <f t="shared" si="14"/>
        <v>3.1777141752129229E-2</v>
      </c>
      <c r="K38" s="260">
        <f t="shared" si="14"/>
        <v>3.1011985884472452E-2</v>
      </c>
      <c r="L38" s="260">
        <f t="shared" si="14"/>
        <v>3.0591119043035801E-2</v>
      </c>
      <c r="M38" s="260">
        <f t="shared" si="14"/>
        <v>3.026511850101745E-2</v>
      </c>
      <c r="N38" s="260">
        <f t="shared" si="14"/>
        <v>3.0061981434126316E-2</v>
      </c>
      <c r="O38" s="260">
        <f t="shared" si="14"/>
        <v>2.9352711616739923E-2</v>
      </c>
      <c r="P38" s="260">
        <f t="shared" si="14"/>
        <v>2.8683537889551896E-2</v>
      </c>
      <c r="Q38" s="260">
        <f t="shared" si="14"/>
        <v>2.8349644002385942E-2</v>
      </c>
      <c r="R38" s="260">
        <f t="shared" si="14"/>
        <v>2.8578890057637387E-2</v>
      </c>
      <c r="S38" s="260">
        <f t="shared" si="14"/>
        <v>2.8920834355944103E-2</v>
      </c>
      <c r="T38" s="260">
        <f t="shared" si="14"/>
        <v>2.941522189073489E-2</v>
      </c>
      <c r="U38" s="260">
        <f t="shared" si="14"/>
        <v>2.9593245791452828E-2</v>
      </c>
      <c r="V38" s="260">
        <f t="shared" si="14"/>
        <v>2.9298080931821367E-2</v>
      </c>
      <c r="W38" s="260">
        <f t="shared" si="14"/>
        <v>2.9463204550933691E-2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2.9086031135585041E-2</v>
      </c>
      <c r="C39" s="260">
        <f t="shared" si="15"/>
        <v>2.9905670653251944E-2</v>
      </c>
      <c r="D39" s="260">
        <f t="shared" si="15"/>
        <v>3.0143179691076695E-2</v>
      </c>
      <c r="E39" s="260">
        <f t="shared" si="15"/>
        <v>2.9311435957590976E-2</v>
      </c>
      <c r="F39" s="260">
        <f t="shared" si="15"/>
        <v>2.9675035221776235E-2</v>
      </c>
      <c r="G39" s="260">
        <f t="shared" si="15"/>
        <v>2.9911337804599859E-2</v>
      </c>
      <c r="H39" s="260">
        <f t="shared" si="15"/>
        <v>2.9983865496587169E-2</v>
      </c>
      <c r="I39" s="260">
        <f t="shared" si="15"/>
        <v>2.9375040956331189E-2</v>
      </c>
      <c r="J39" s="260">
        <f t="shared" si="15"/>
        <v>2.8508119441947755E-2</v>
      </c>
      <c r="K39" s="260">
        <f t="shared" si="15"/>
        <v>3.105211665407584E-2</v>
      </c>
      <c r="L39" s="260">
        <f t="shared" si="15"/>
        <v>3.233525713571337E-2</v>
      </c>
      <c r="M39" s="260">
        <f t="shared" si="15"/>
        <v>3.3275251924232432E-2</v>
      </c>
      <c r="N39" s="260">
        <f t="shared" si="15"/>
        <v>3.3838035062428079E-2</v>
      </c>
      <c r="O39" s="260">
        <f t="shared" si="15"/>
        <v>3.5672073223388841E-2</v>
      </c>
      <c r="P39" s="260">
        <f t="shared" si="15"/>
        <v>3.7229313187642846E-2</v>
      </c>
      <c r="Q39" s="260">
        <f t="shared" si="15"/>
        <v>3.7948842913667541E-2</v>
      </c>
      <c r="R39" s="260">
        <f t="shared" si="15"/>
        <v>3.745876964055455E-2</v>
      </c>
      <c r="S39" s="260">
        <f t="shared" si="15"/>
        <v>3.6695233881916388E-2</v>
      </c>
      <c r="T39" s="260">
        <f t="shared" si="15"/>
        <v>3.5518298508095653E-2</v>
      </c>
      <c r="U39" s="260">
        <f t="shared" si="15"/>
        <v>3.5072218056499682E-2</v>
      </c>
      <c r="V39" s="260">
        <f t="shared" si="15"/>
        <v>3.5805264973711851E-2</v>
      </c>
      <c r="W39" s="260">
        <f t="shared" si="15"/>
        <v>3.539925982933903E-2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4.4328994729173184E-2</v>
      </c>
      <c r="C40" s="262">
        <f t="shared" si="16"/>
        <v>4.5578178424573505E-2</v>
      </c>
      <c r="D40" s="262">
        <f t="shared" si="16"/>
        <v>4.5940157576585858E-2</v>
      </c>
      <c r="E40" s="262">
        <f t="shared" si="16"/>
        <v>4.4672526272547183E-2</v>
      </c>
      <c r="F40" s="262">
        <f t="shared" si="16"/>
        <v>4.5226675093693172E-2</v>
      </c>
      <c r="G40" s="262">
        <f t="shared" si="16"/>
        <v>4.5586815530167593E-2</v>
      </c>
      <c r="H40" s="262">
        <f t="shared" si="16"/>
        <v>4.5697352428819636E-2</v>
      </c>
      <c r="I40" s="262">
        <f t="shared" si="16"/>
        <v>4.4769464408959181E-2</v>
      </c>
      <c r="J40" s="262">
        <f t="shared" si="16"/>
        <v>4.34482198891218E-2</v>
      </c>
      <c r="K40" s="262">
        <f t="shared" si="16"/>
        <v>4.7325436360553218E-2</v>
      </c>
      <c r="L40" s="262">
        <f t="shared" si="16"/>
        <v>4.9281025536063297E-2</v>
      </c>
      <c r="M40" s="262">
        <f t="shared" si="16"/>
        <v>5.0713638457072364E-2</v>
      </c>
      <c r="N40" s="262">
        <f t="shared" si="16"/>
        <v>5.1571356399078581E-2</v>
      </c>
      <c r="O40" s="262">
        <f t="shared" si="16"/>
        <v>5.4366549307706971E-2</v>
      </c>
      <c r="P40" s="262">
        <f t="shared" si="16"/>
        <v>5.673988384227048E-2</v>
      </c>
      <c r="Q40" s="262">
        <f t="shared" si="16"/>
        <v>5.7836493733243538E-2</v>
      </c>
      <c r="R40" s="262">
        <f t="shared" si="16"/>
        <v>5.7089590333482147E-2</v>
      </c>
      <c r="S40" s="262">
        <f t="shared" si="16"/>
        <v>5.5925912399479041E-2</v>
      </c>
      <c r="T40" s="262">
        <f t="shared" si="16"/>
        <v>5.4132186684909267E-2</v>
      </c>
      <c r="U40" s="262">
        <f t="shared" si="16"/>
        <v>5.3452331193611501E-2</v>
      </c>
      <c r="V40" s="262">
        <f t="shared" si="16"/>
        <v>5.4569542159172896E-2</v>
      </c>
      <c r="W40" s="262">
        <f t="shared" si="16"/>
        <v>5.3950764030901502E-2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0.3811515091385847</v>
      </c>
      <c r="C44" s="238">
        <f>IF(C$5=0,0,C$5/AGR_fec!C$5)</f>
        <v>0.38226115479510098</v>
      </c>
      <c r="D44" s="238">
        <f>IF(D$5=0,0,D$5/AGR_fec!D$5)</f>
        <v>0.38259532452238199</v>
      </c>
      <c r="E44" s="238">
        <f>IF(E$5=0,0,E$5/AGR_fec!E$5)</f>
        <v>0.38145013868869848</v>
      </c>
      <c r="F44" s="238">
        <f>IF(F$5=0,0,F$5/AGR_fec!F$5)</f>
        <v>0.38194220442748927</v>
      </c>
      <c r="G44" s="238">
        <f>IF(G$5=0,0,G$5/AGR_fec!G$5)</f>
        <v>0.38226906022909446</v>
      </c>
      <c r="H44" s="238">
        <f>IF(H$5=0,0,H$5/AGR_fec!H$5)</f>
        <v>0.38237052551906991</v>
      </c>
      <c r="I44" s="238">
        <f>IF(I$5=0,0,I$5/AGR_fec!I$5)</f>
        <v>0.38153528467521963</v>
      </c>
      <c r="J44" s="238">
        <f>IF(J$5=0,0,J$5/AGR_fec!J$5)</f>
        <v>0.38040734758170586</v>
      </c>
      <c r="K44" s="238">
        <f>IF(K$5=0,0,K$5/AGR_fec!K$5)</f>
        <v>0.38393061289160857</v>
      </c>
      <c r="L44" s="238">
        <f>IF(L$5=0,0,L$5/AGR_fec!L$5)</f>
        <v>0.38598310518194257</v>
      </c>
      <c r="M44" s="238">
        <f>IF(M$5=0,0,M$5/AGR_fec!M$5)</f>
        <v>0.38762756307690627</v>
      </c>
      <c r="N44" s="238">
        <f>IF(N$5=0,0,N$5/AGR_fec!N$5)</f>
        <v>0.38867591418046238</v>
      </c>
      <c r="O44" s="238">
        <f>IF(O$5=0,0,O$5/AGR_fec!O$5)</f>
        <v>0.39247467529739055</v>
      </c>
      <c r="P44" s="238">
        <f>IF(P$5=0,0,P$5/AGR_fec!P$5)</f>
        <v>0.39624769450567532</v>
      </c>
      <c r="Q44" s="238">
        <f>IF(Q$5=0,0,Q$5/AGR_fec!Q$5)</f>
        <v>0.39819551625450045</v>
      </c>
      <c r="R44" s="238">
        <f>IF(R$5=0,0,R$5/AGR_fec!R$5)</f>
        <v>0.39685361505103217</v>
      </c>
      <c r="S44" s="238">
        <f>IF(S$5=0,0,S$5/AGR_fec!S$5)</f>
        <v>0.39488942821395584</v>
      </c>
      <c r="T44" s="238">
        <f>IF(T$5=0,0,T$5/AGR_fec!T$5)</f>
        <v>0.39213142219437147</v>
      </c>
      <c r="U44" s="238">
        <f>IF(U$5=0,0,U$5/AGR_fec!U$5)</f>
        <v>0.39116270965840605</v>
      </c>
      <c r="V44" s="238">
        <f>IF(V$5=0,0,V$5/AGR_fec!V$5)</f>
        <v>0.39277597101217648</v>
      </c>
      <c r="W44" s="238">
        <f>IF(W$5=0,0,W$5/AGR_fec!W$5)</f>
        <v>0.39186903323175565</v>
      </c>
      <c r="DA44" s="287"/>
    </row>
    <row r="45" spans="1:105" x14ac:dyDescent="0.25">
      <c r="A45" s="239" t="s">
        <v>125</v>
      </c>
      <c r="B45" s="251">
        <f>IF(B$6=0,0,B$6/AGR_fec!B$6)</f>
        <v>0.46409951707505043</v>
      </c>
      <c r="C45" s="251">
        <f>IF(C$6=0,0,C$6/AGR_fec!C$6)</f>
        <v>0.46409951707505043</v>
      </c>
      <c r="D45" s="251">
        <f>IF(D$6=0,0,D$6/AGR_fec!D$6)</f>
        <v>0.46409951707505048</v>
      </c>
      <c r="E45" s="251">
        <f>IF(E$6=0,0,E$6/AGR_fec!E$6)</f>
        <v>0.46409951707505048</v>
      </c>
      <c r="F45" s="251">
        <f>IF(F$6=0,0,F$6/AGR_fec!F$6)</f>
        <v>0.46409951707505032</v>
      </c>
      <c r="G45" s="251">
        <f>IF(G$6=0,0,G$6/AGR_fec!G$6)</f>
        <v>0.46409951707505037</v>
      </c>
      <c r="H45" s="251">
        <f>IF(H$6=0,0,H$6/AGR_fec!H$6)</f>
        <v>0.46409951707505037</v>
      </c>
      <c r="I45" s="251">
        <f>IF(I$6=0,0,I$6/AGR_fec!I$6)</f>
        <v>0.46409951707505043</v>
      </c>
      <c r="J45" s="251">
        <f>IF(J$6=0,0,J$6/AGR_fec!J$6)</f>
        <v>0.46409951707505043</v>
      </c>
      <c r="K45" s="251">
        <f>IF(K$6=0,0,K$6/AGR_fec!K$6)</f>
        <v>0.46409951707505043</v>
      </c>
      <c r="L45" s="251">
        <f>IF(L$6=0,0,L$6/AGR_fec!L$6)</f>
        <v>0.46409951707505048</v>
      </c>
      <c r="M45" s="251">
        <f>IF(M$6=0,0,M$6/AGR_fec!M$6)</f>
        <v>0.46409951707505032</v>
      </c>
      <c r="N45" s="251">
        <f>IF(N$6=0,0,N$6/AGR_fec!N$6)</f>
        <v>0.46409951707505032</v>
      </c>
      <c r="O45" s="251">
        <f>IF(O$6=0,0,O$6/AGR_fec!O$6)</f>
        <v>0.46409951707505048</v>
      </c>
      <c r="P45" s="251">
        <f>IF(P$6=0,0,P$6/AGR_fec!P$6)</f>
        <v>0.46409951707505037</v>
      </c>
      <c r="Q45" s="251">
        <f>IF(Q$6=0,0,Q$6/AGR_fec!Q$6)</f>
        <v>0.46409951707505048</v>
      </c>
      <c r="R45" s="251">
        <f>IF(R$6=0,0,R$6/AGR_fec!R$6)</f>
        <v>0.46409951707505048</v>
      </c>
      <c r="S45" s="251">
        <f>IF(S$6=0,0,S$6/AGR_fec!S$6)</f>
        <v>0.46409951707505043</v>
      </c>
      <c r="T45" s="251">
        <f>IF(T$6=0,0,T$6/AGR_fec!T$6)</f>
        <v>0.46409951707505048</v>
      </c>
      <c r="U45" s="251">
        <f>IF(U$6=0,0,U$6/AGR_fec!U$6)</f>
        <v>0.46409951707505037</v>
      </c>
      <c r="V45" s="251">
        <f>IF(V$6=0,0,V$6/AGR_fec!V$6)</f>
        <v>0.46409951707505037</v>
      </c>
      <c r="W45" s="251">
        <f>IF(W$6=0,0,W$6/AGR_fec!W$6)</f>
        <v>0.46409951707505048</v>
      </c>
      <c r="DA45" s="288"/>
    </row>
    <row r="46" spans="1:105" x14ac:dyDescent="0.25">
      <c r="A46" s="241" t="s">
        <v>124</v>
      </c>
      <c r="B46" s="252">
        <f>IF(B$7=0,0,B$7/AGR_fec!B$7)</f>
        <v>0.46021403589787052</v>
      </c>
      <c r="C46" s="252">
        <f>IF(C$7=0,0,C$7/AGR_fec!C$7)</f>
        <v>0.46021403589787047</v>
      </c>
      <c r="D46" s="252">
        <f>IF(D$7=0,0,D$7/AGR_fec!D$7)</f>
        <v>0.46021403589787047</v>
      </c>
      <c r="E46" s="252">
        <f>IF(E$7=0,0,E$7/AGR_fec!E$7)</f>
        <v>0.46021403589787052</v>
      </c>
      <c r="F46" s="252">
        <f>IF(F$7=0,0,F$7/AGR_fec!F$7)</f>
        <v>0.46021403589787058</v>
      </c>
      <c r="G46" s="252">
        <f>IF(G$7=0,0,G$7/AGR_fec!G$7)</f>
        <v>0.46021403589787047</v>
      </c>
      <c r="H46" s="252">
        <f>IF(H$7=0,0,H$7/AGR_fec!H$7)</f>
        <v>0.46021403589787047</v>
      </c>
      <c r="I46" s="252">
        <f>IF(I$7=0,0,I$7/AGR_fec!I$7)</f>
        <v>0.46021403589787063</v>
      </c>
      <c r="J46" s="252">
        <f>IF(J$7=0,0,J$7/AGR_fec!J$7)</f>
        <v>0.46021403589787052</v>
      </c>
      <c r="K46" s="252">
        <f>IF(K$7=0,0,K$7/AGR_fec!K$7)</f>
        <v>0.46021403589787052</v>
      </c>
      <c r="L46" s="252">
        <f>IF(L$7=0,0,L$7/AGR_fec!L$7)</f>
        <v>0.46021403589787047</v>
      </c>
      <c r="M46" s="252">
        <f>IF(M$7=0,0,M$7/AGR_fec!M$7)</f>
        <v>0.46021403589787041</v>
      </c>
      <c r="N46" s="252">
        <f>IF(N$7=0,0,N$7/AGR_fec!N$7)</f>
        <v>0.46021403589787052</v>
      </c>
      <c r="O46" s="252">
        <f>IF(O$7=0,0,O$7/AGR_fec!O$7)</f>
        <v>0.46021403589787052</v>
      </c>
      <c r="P46" s="252">
        <f>IF(P$7=0,0,P$7/AGR_fec!P$7)</f>
        <v>0.46021403589787052</v>
      </c>
      <c r="Q46" s="252">
        <f>IF(Q$7=0,0,Q$7/AGR_fec!Q$7)</f>
        <v>0.46021403589787047</v>
      </c>
      <c r="R46" s="252">
        <f>IF(R$7=0,0,R$7/AGR_fec!R$7)</f>
        <v>0.46021403589787041</v>
      </c>
      <c r="S46" s="252">
        <f>IF(S$7=0,0,S$7/AGR_fec!S$7)</f>
        <v>0.46021403589787063</v>
      </c>
      <c r="T46" s="252">
        <f>IF(T$7=0,0,T$7/AGR_fec!T$7)</f>
        <v>0.46021403589787063</v>
      </c>
      <c r="U46" s="252">
        <f>IF(U$7=0,0,U$7/AGR_fec!U$7)</f>
        <v>0.46021403589787052</v>
      </c>
      <c r="V46" s="252">
        <f>IF(V$7=0,0,V$7/AGR_fec!V$7)</f>
        <v>0.46021403589787047</v>
      </c>
      <c r="W46" s="252">
        <f>IF(W$7=0,0,W$7/AGR_fec!W$7)</f>
        <v>0.4602140358978703</v>
      </c>
      <c r="DA46" s="289"/>
    </row>
    <row r="47" spans="1:105" x14ac:dyDescent="0.25">
      <c r="A47" s="241" t="s">
        <v>123</v>
      </c>
      <c r="B47" s="252">
        <f>IF(B$8=0,0,B$8/AGR_fec!B$8)</f>
        <v>0.66050989763429446</v>
      </c>
      <c r="C47" s="252">
        <f>IF(C$8=0,0,C$8/AGR_fec!C$8)</f>
        <v>0.66050989763429446</v>
      </c>
      <c r="D47" s="252">
        <f>IF(D$8=0,0,D$8/AGR_fec!D$8)</f>
        <v>0.66050989763429457</v>
      </c>
      <c r="E47" s="252">
        <f>IF(E$8=0,0,E$8/AGR_fec!E$8)</f>
        <v>0.66050989763429446</v>
      </c>
      <c r="F47" s="252">
        <f>IF(F$8=0,0,F$8/AGR_fec!F$8)</f>
        <v>0.66050989763429457</v>
      </c>
      <c r="G47" s="252">
        <f>IF(G$8=0,0,G$8/AGR_fec!G$8)</f>
        <v>0.66050989763429446</v>
      </c>
      <c r="H47" s="252">
        <f>IF(H$8=0,0,H$8/AGR_fec!H$8)</f>
        <v>0.66050989763429457</v>
      </c>
      <c r="I47" s="252">
        <f>IF(I$8=0,0,I$8/AGR_fec!I$8)</f>
        <v>0.66050989763429457</v>
      </c>
      <c r="J47" s="252">
        <f>IF(J$8=0,0,J$8/AGR_fec!J$8)</f>
        <v>0.66050989763429446</v>
      </c>
      <c r="K47" s="252">
        <f>IF(K$8=0,0,K$8/AGR_fec!K$8)</f>
        <v>0.66050989763429446</v>
      </c>
      <c r="L47" s="252">
        <f>IF(L$8=0,0,L$8/AGR_fec!L$8)</f>
        <v>0.66050989763429435</v>
      </c>
      <c r="M47" s="252">
        <f>IF(M$8=0,0,M$8/AGR_fec!M$8)</f>
        <v>0.66050989763429446</v>
      </c>
      <c r="N47" s="252">
        <f>IF(N$8=0,0,N$8/AGR_fec!N$8)</f>
        <v>0.66050989763429457</v>
      </c>
      <c r="O47" s="252">
        <f>IF(O$8=0,0,O$8/AGR_fec!O$8)</f>
        <v>0.66050989763429446</v>
      </c>
      <c r="P47" s="252">
        <f>IF(P$8=0,0,P$8/AGR_fec!P$8)</f>
        <v>0.66050989763429446</v>
      </c>
      <c r="Q47" s="252">
        <f>IF(Q$8=0,0,Q$8/AGR_fec!Q$8)</f>
        <v>0.66050989763429468</v>
      </c>
      <c r="R47" s="252">
        <f>IF(R$8=0,0,R$8/AGR_fec!R$8)</f>
        <v>0.66050989763429446</v>
      </c>
      <c r="S47" s="252">
        <f>IF(S$8=0,0,S$8/AGR_fec!S$8)</f>
        <v>0.66050989763429435</v>
      </c>
      <c r="T47" s="252">
        <f>IF(T$8=0,0,T$8/AGR_fec!T$8)</f>
        <v>0.66050989763429446</v>
      </c>
      <c r="U47" s="252">
        <f>IF(U$8=0,0,U$8/AGR_fec!U$8)</f>
        <v>0.66050989763429446</v>
      </c>
      <c r="V47" s="252">
        <f>IF(V$8=0,0,V$8/AGR_fec!V$8)</f>
        <v>0.66050989763429446</v>
      </c>
      <c r="W47" s="252">
        <f>IF(W$8=0,0,W$8/AGR_fec!W$8)</f>
        <v>0.66050989763429446</v>
      </c>
      <c r="DA47" s="289"/>
    </row>
    <row r="48" spans="1:105" x14ac:dyDescent="0.25">
      <c r="A48" s="243" t="s">
        <v>122</v>
      </c>
      <c r="B48" s="253">
        <f>IF(B$9=0,0,B$9/AGR_fec!B$9)</f>
        <v>0.61577892629173958</v>
      </c>
      <c r="C48" s="253">
        <f>IF(C$9=0,0,C$9/AGR_fec!C$9)</f>
        <v>0.61814358852717266</v>
      </c>
      <c r="D48" s="253">
        <f>IF(D$9=0,0,D$9/AGR_fec!D$9)</f>
        <v>0.61886923342105915</v>
      </c>
      <c r="E48" s="253">
        <f>IF(E$9=0,0,E$9/AGR_fec!E$9)</f>
        <v>0.61640822646680071</v>
      </c>
      <c r="F48" s="253">
        <f>IF(F$9=0,0,F$9/AGR_fec!F$9)</f>
        <v>0.61745666115926578</v>
      </c>
      <c r="G48" s="253">
        <f>IF(G$9=0,0,G$9/AGR_fec!G$9)</f>
        <v>0.61816068573701444</v>
      </c>
      <c r="H48" s="253">
        <f>IF(H$9=0,0,H$9/AGR_fec!H$9)</f>
        <v>0.61838042717999731</v>
      </c>
      <c r="I48" s="253">
        <f>IF(I$9=0,0,I$9/AGR_fec!I$9)</f>
        <v>0.61658863484222004</v>
      </c>
      <c r="J48" s="253">
        <f>IF(J$9=0,0,J$9/AGR_fec!J$9)</f>
        <v>0.61423501533142255</v>
      </c>
      <c r="K48" s="253">
        <f>IF(K$9=0,0,K$9/AGR_fec!K$9)</f>
        <v>0.62182505965882973</v>
      </c>
      <c r="L48" s="253">
        <f>IF(L$9=0,0,L$9/AGR_fec!L$9)</f>
        <v>0.62652008233839007</v>
      </c>
      <c r="M48" s="253">
        <f>IF(M$9=0,0,M$9/AGR_fec!M$9)</f>
        <v>0.63038854836882119</v>
      </c>
      <c r="N48" s="253">
        <f>IF(N$9=0,0,N$9/AGR_fec!N$9)</f>
        <v>0.63289423141786993</v>
      </c>
      <c r="O48" s="253">
        <f>IF(O$9=0,0,O$9/AGR_fec!O$9)</f>
        <v>0.64215433239788522</v>
      </c>
      <c r="P48" s="253">
        <f>IF(P$9=0,0,P$9/AGR_fec!P$9)</f>
        <v>0.65149961507524268</v>
      </c>
      <c r="Q48" s="253">
        <f>IF(Q$9=0,0,Q$9/AGR_fec!Q$9)</f>
        <v>0.65633467160707826</v>
      </c>
      <c r="R48" s="253">
        <f>IF(R$9=0,0,R$9/AGR_fec!R$9)</f>
        <v>0.65300427516730586</v>
      </c>
      <c r="S48" s="253">
        <f>IF(S$9=0,0,S$9/AGR_fec!S$9)</f>
        <v>0.64812796787895377</v>
      </c>
      <c r="T48" s="253">
        <f>IF(T$9=0,0,T$9/AGR_fec!T$9)</f>
        <v>0.64130904267809841</v>
      </c>
      <c r="U48" s="253">
        <f>IF(U$9=0,0,U$9/AGR_fec!U$9)</f>
        <v>0.63893096487491707</v>
      </c>
      <c r="V48" s="253">
        <f>IF(V$9=0,0,V$9/AGR_fec!V$9)</f>
        <v>0.64289728120243872</v>
      </c>
      <c r="W48" s="253">
        <f>IF(W$9=0,0,W$9/AGR_fec!W$9)</f>
        <v>0.64066376315939833</v>
      </c>
      <c r="DA48" s="290"/>
    </row>
    <row r="49" spans="1:105" x14ac:dyDescent="0.25">
      <c r="A49" s="128" t="s">
        <v>175</v>
      </c>
      <c r="B49" s="265">
        <f>IF(B$16=0,0,B$16/AGR_fec!B$16)</f>
        <v>0.33210019790696532</v>
      </c>
      <c r="C49" s="265">
        <f>IF(C$16=0,0,C$16/AGR_fec!C$16)</f>
        <v>0.33210019790696543</v>
      </c>
      <c r="D49" s="265">
        <f>IF(D$16=0,0,D$16/AGR_fec!D$16)</f>
        <v>0.33210019790696543</v>
      </c>
      <c r="E49" s="265">
        <f>IF(E$16=0,0,E$16/AGR_fec!E$16)</f>
        <v>0.33210019790696549</v>
      </c>
      <c r="F49" s="265">
        <f>IF(F$16=0,0,F$16/AGR_fec!F$16)</f>
        <v>0.33210019790696543</v>
      </c>
      <c r="G49" s="265">
        <f>IF(G$16=0,0,G$16/AGR_fec!G$16)</f>
        <v>0.33210019790696538</v>
      </c>
      <c r="H49" s="265">
        <f>IF(H$16=0,0,H$16/AGR_fec!H$16)</f>
        <v>0.33210019790696538</v>
      </c>
      <c r="I49" s="265">
        <f>IF(I$16=0,0,I$16/AGR_fec!I$16)</f>
        <v>0.33210019790696554</v>
      </c>
      <c r="J49" s="265">
        <f>IF(J$16=0,0,J$16/AGR_fec!J$16)</f>
        <v>0.33210019790696543</v>
      </c>
      <c r="K49" s="265">
        <f>IF(K$16=0,0,K$16/AGR_fec!K$16)</f>
        <v>0.33210019790696543</v>
      </c>
      <c r="L49" s="265">
        <f>IF(L$16=0,0,L$16/AGR_fec!L$16)</f>
        <v>0.33210019790696554</v>
      </c>
      <c r="M49" s="265">
        <f>IF(M$16=0,0,M$16/AGR_fec!M$16)</f>
        <v>0.33210019790696549</v>
      </c>
      <c r="N49" s="265">
        <f>IF(N$16=0,0,N$16/AGR_fec!N$16)</f>
        <v>0.33210019790696532</v>
      </c>
      <c r="O49" s="265">
        <f>IF(O$16=0,0,O$16/AGR_fec!O$16)</f>
        <v>0.33210019790696543</v>
      </c>
      <c r="P49" s="265">
        <f>IF(P$16=0,0,P$16/AGR_fec!P$16)</f>
        <v>0.33210019790696554</v>
      </c>
      <c r="Q49" s="265">
        <f>IF(Q$16=0,0,Q$16/AGR_fec!Q$16)</f>
        <v>0.33210019790696538</v>
      </c>
      <c r="R49" s="265">
        <f>IF(R$16=0,0,R$16/AGR_fec!R$16)</f>
        <v>0.33210019790696549</v>
      </c>
      <c r="S49" s="265">
        <f>IF(S$16=0,0,S$16/AGR_fec!S$16)</f>
        <v>0.33210019790696554</v>
      </c>
      <c r="T49" s="265">
        <f>IF(T$16=0,0,T$16/AGR_fec!T$16)</f>
        <v>0.33210019790696543</v>
      </c>
      <c r="U49" s="265">
        <f>IF(U$16=0,0,U$16/AGR_fec!U$16)</f>
        <v>0.33210019790696543</v>
      </c>
      <c r="V49" s="265">
        <f>IF(V$16=0,0,V$16/AGR_fec!V$16)</f>
        <v>0.33210019790696543</v>
      </c>
      <c r="W49" s="265">
        <f>IF(W$16=0,0,W$16/AGR_fec!W$16)</f>
        <v>0.33210019790696538</v>
      </c>
      <c r="DA49" s="291"/>
    </row>
    <row r="50" spans="1:105" x14ac:dyDescent="0.25">
      <c r="A50" s="128" t="s">
        <v>121</v>
      </c>
      <c r="B50" s="265">
        <f>IF(B$17=0,0,B$17/AGR_fec!B$17)</f>
        <v>0.26935016895767383</v>
      </c>
      <c r="C50" s="265">
        <f>IF(C$17=0,0,C$17/AGR_fec!C$17)</f>
        <v>0.26935016895767383</v>
      </c>
      <c r="D50" s="265">
        <f>IF(D$17=0,0,D$17/AGR_fec!D$17)</f>
        <v>0.26935016895767389</v>
      </c>
      <c r="E50" s="265">
        <f>IF(E$17=0,0,E$17/AGR_fec!E$17)</f>
        <v>0.26935016895767377</v>
      </c>
      <c r="F50" s="265">
        <f>IF(F$17=0,0,F$17/AGR_fec!F$17)</f>
        <v>0.26935016895767372</v>
      </c>
      <c r="G50" s="265">
        <f>IF(G$17=0,0,G$17/AGR_fec!G$17)</f>
        <v>0.26935016895767377</v>
      </c>
      <c r="H50" s="265">
        <f>IF(H$17=0,0,H$17/AGR_fec!H$17)</f>
        <v>0.26935016895767366</v>
      </c>
      <c r="I50" s="265">
        <f>IF(I$17=0,0,I$17/AGR_fec!I$17)</f>
        <v>0.26935016895767383</v>
      </c>
      <c r="J50" s="265">
        <f>IF(J$17=0,0,J$17/AGR_fec!J$17)</f>
        <v>0.26935016895767366</v>
      </c>
      <c r="K50" s="265">
        <f>IF(K$17=0,0,K$17/AGR_fec!K$17)</f>
        <v>0.26935016895767383</v>
      </c>
      <c r="L50" s="265">
        <f>IF(L$17=0,0,L$17/AGR_fec!L$17)</f>
        <v>0.26935016895767377</v>
      </c>
      <c r="M50" s="265">
        <f>IF(M$17=0,0,M$17/AGR_fec!M$17)</f>
        <v>0.26935016895767372</v>
      </c>
      <c r="N50" s="265">
        <f>IF(N$17=0,0,N$17/AGR_fec!N$17)</f>
        <v>0.26935016895767383</v>
      </c>
      <c r="O50" s="265">
        <f>IF(O$17=0,0,O$17/AGR_fec!O$17)</f>
        <v>0.26935016895767372</v>
      </c>
      <c r="P50" s="265">
        <f>IF(P$17=0,0,P$17/AGR_fec!P$17)</f>
        <v>0.26935016895767377</v>
      </c>
      <c r="Q50" s="265">
        <f>IF(Q$17=0,0,Q$17/AGR_fec!Q$17)</f>
        <v>0.26935016895767372</v>
      </c>
      <c r="R50" s="265">
        <f>IF(R$17=0,0,R$17/AGR_fec!R$17)</f>
        <v>0.26935016895767377</v>
      </c>
      <c r="S50" s="265">
        <f>IF(S$17=0,0,S$17/AGR_fec!S$17)</f>
        <v>0.26935016895767377</v>
      </c>
      <c r="T50" s="265">
        <f>IF(T$17=0,0,T$17/AGR_fec!T$17)</f>
        <v>0.26935016895767372</v>
      </c>
      <c r="U50" s="265">
        <f>IF(U$17=0,0,U$17/AGR_fec!U$17)</f>
        <v>0.26935016895767377</v>
      </c>
      <c r="V50" s="265">
        <f>IF(V$17=0,0,V$17/AGR_fec!V$17)</f>
        <v>0.26935016895767377</v>
      </c>
      <c r="W50" s="265">
        <f>IF(W$17=0,0,W$17/AGR_fec!W$17)</f>
        <v>0.26935016895767383</v>
      </c>
      <c r="DA50" s="291"/>
    </row>
    <row r="51" spans="1:105" x14ac:dyDescent="0.25">
      <c r="A51" s="128" t="s">
        <v>174</v>
      </c>
      <c r="B51" s="265">
        <f>IF(B$25=0,0,B$25/AGR_fec!B$25)</f>
        <v>0.23247013853487586</v>
      </c>
      <c r="C51" s="265">
        <f>IF(C$25=0,0,C$25/AGR_fec!C$25)</f>
        <v>0.23247013853487569</v>
      </c>
      <c r="D51" s="265">
        <f>IF(D$25=0,0,D$25/AGR_fec!D$25)</f>
        <v>0.23247013853487583</v>
      </c>
      <c r="E51" s="265">
        <f>IF(E$25=0,0,E$25/AGR_fec!E$25)</f>
        <v>0.23247013853487578</v>
      </c>
      <c r="F51" s="265">
        <f>IF(F$25=0,0,F$25/AGR_fec!F$25)</f>
        <v>0.23247013853487583</v>
      </c>
      <c r="G51" s="265">
        <f>IF(G$25=0,0,G$25/AGR_fec!G$25)</f>
        <v>0.23247013853487572</v>
      </c>
      <c r="H51" s="265">
        <f>IF(H$25=0,0,H$25/AGR_fec!H$25)</f>
        <v>0.23247013853487572</v>
      </c>
      <c r="I51" s="265">
        <f>IF(I$25=0,0,I$25/AGR_fec!I$25)</f>
        <v>0.23247013853487586</v>
      </c>
      <c r="J51" s="265">
        <f>IF(J$25=0,0,J$25/AGR_fec!J$25)</f>
        <v>0.23247013853487572</v>
      </c>
      <c r="K51" s="265">
        <f>IF(K$25=0,0,K$25/AGR_fec!K$25)</f>
        <v>0.23247013853487569</v>
      </c>
      <c r="L51" s="265">
        <f>IF(L$25=0,0,L$25/AGR_fec!L$25)</f>
        <v>0.2324701385348758</v>
      </c>
      <c r="M51" s="265">
        <f>IF(M$25=0,0,M$25/AGR_fec!M$25)</f>
        <v>0.23247013853487572</v>
      </c>
      <c r="N51" s="265">
        <f>IF(N$25=0,0,N$25/AGR_fec!N$25)</f>
        <v>0.23247013853487586</v>
      </c>
      <c r="O51" s="265">
        <f>IF(O$25=0,0,O$25/AGR_fec!O$25)</f>
        <v>0.23247013853487575</v>
      </c>
      <c r="P51" s="265">
        <f>IF(P$25=0,0,P$25/AGR_fec!P$25)</f>
        <v>0.23247013853487578</v>
      </c>
      <c r="Q51" s="265">
        <f>IF(Q$25=0,0,Q$25/AGR_fec!Q$25)</f>
        <v>0.23247013853487586</v>
      </c>
      <c r="R51" s="265">
        <f>IF(R$25=0,0,R$25/AGR_fec!R$25)</f>
        <v>0.2324701385348758</v>
      </c>
      <c r="S51" s="265">
        <f>IF(S$25=0,0,S$25/AGR_fec!S$25)</f>
        <v>0.23247013853487561</v>
      </c>
      <c r="T51" s="265">
        <f>IF(T$25=0,0,T$25/AGR_fec!T$25)</f>
        <v>0.23247013853487583</v>
      </c>
      <c r="U51" s="265">
        <f>IF(U$25=0,0,U$25/AGR_fec!U$25)</f>
        <v>0.23247013853487569</v>
      </c>
      <c r="V51" s="265">
        <f>IF(V$25=0,0,V$25/AGR_fec!V$25)</f>
        <v>0.23247013853487591</v>
      </c>
      <c r="W51" s="265">
        <f>IF(W$25=0,0,W$25/AGR_fec!W$25)</f>
        <v>0.23247013853487586</v>
      </c>
      <c r="DA51" s="291"/>
    </row>
    <row r="52" spans="1:105" x14ac:dyDescent="0.25">
      <c r="A52" s="128" t="s">
        <v>177</v>
      </c>
      <c r="B52" s="265">
        <f>IF(B$26=0,0,B$26/AGR_fec!B$26)</f>
        <v>0.46021403589787058</v>
      </c>
      <c r="C52" s="265">
        <f>IF(C$26=0,0,C$26/AGR_fec!C$26)</f>
        <v>0.46021403589787058</v>
      </c>
      <c r="D52" s="265">
        <f>IF(D$26=0,0,D$26/AGR_fec!D$26)</f>
        <v>0.46021403589787047</v>
      </c>
      <c r="E52" s="265">
        <f>IF(E$26=0,0,E$26/AGR_fec!E$26)</f>
        <v>0.46021403589787041</v>
      </c>
      <c r="F52" s="265">
        <f>IF(F$26=0,0,F$26/AGR_fec!F$26)</f>
        <v>0.46021403589787041</v>
      </c>
      <c r="G52" s="265">
        <f>IF(G$26=0,0,G$26/AGR_fec!G$26)</f>
        <v>0.46021403589787052</v>
      </c>
      <c r="H52" s="265">
        <f>IF(H$26=0,0,H$26/AGR_fec!H$26)</f>
        <v>0.46021403589787052</v>
      </c>
      <c r="I52" s="265">
        <f>IF(I$26=0,0,I$26/AGR_fec!I$26)</f>
        <v>0.46021403589787041</v>
      </c>
      <c r="J52" s="265">
        <f>IF(J$26=0,0,J$26/AGR_fec!J$26)</f>
        <v>0.46021403589787052</v>
      </c>
      <c r="K52" s="265">
        <f>IF(K$26=0,0,K$26/AGR_fec!K$26)</f>
        <v>0.46021403589787052</v>
      </c>
      <c r="L52" s="265">
        <f>IF(L$26=0,0,L$26/AGR_fec!L$26)</f>
        <v>0.46021403589787047</v>
      </c>
      <c r="M52" s="265">
        <f>IF(M$26=0,0,M$26/AGR_fec!M$26)</f>
        <v>0.46021403589787052</v>
      </c>
      <c r="N52" s="265">
        <f>IF(N$26=0,0,N$26/AGR_fec!N$26)</f>
        <v>0.46021403589787047</v>
      </c>
      <c r="O52" s="265">
        <f>IF(O$26=0,0,O$26/AGR_fec!O$26)</f>
        <v>0.46021403589787052</v>
      </c>
      <c r="P52" s="265">
        <f>IF(P$26=0,0,P$26/AGR_fec!P$26)</f>
        <v>0.46021403589787041</v>
      </c>
      <c r="Q52" s="265">
        <f>IF(Q$26=0,0,Q$26/AGR_fec!Q$26)</f>
        <v>0.46021403589787047</v>
      </c>
      <c r="R52" s="265">
        <f>IF(R$26=0,0,R$26/AGR_fec!R$26)</f>
        <v>0.46021403589787047</v>
      </c>
      <c r="S52" s="265">
        <f>IF(S$26=0,0,S$26/AGR_fec!S$26)</f>
        <v>0.46021403589787063</v>
      </c>
      <c r="T52" s="265">
        <f>IF(T$26=0,0,T$26/AGR_fec!T$26)</f>
        <v>0.46021403589787041</v>
      </c>
      <c r="U52" s="265">
        <f>IF(U$26=0,0,U$26/AGR_fec!U$26)</f>
        <v>0.46021403589787047</v>
      </c>
      <c r="V52" s="265">
        <f>IF(V$26=0,0,V$26/AGR_fec!V$26)</f>
        <v>0.46021403589787047</v>
      </c>
      <c r="W52" s="265">
        <f>IF(W$26=0,0,W$26/AGR_fec!W$26)</f>
        <v>0.46021403589787052</v>
      </c>
      <c r="DA52" s="291"/>
    </row>
    <row r="53" spans="1:105" x14ac:dyDescent="0.25">
      <c r="A53" s="261" t="s">
        <v>33</v>
      </c>
      <c r="B53" s="266">
        <f>IF(B$27=0,0,B$27/AGR_fec!B$27)</f>
        <v>0.48372137165726792</v>
      </c>
      <c r="C53" s="266">
        <f>IF(C$27=0,0,C$27/AGR_fec!C$27)</f>
        <v>0.48372137165726786</v>
      </c>
      <c r="D53" s="266">
        <f>IF(D$27=0,0,D$27/AGR_fec!D$27)</f>
        <v>0.48372137165726758</v>
      </c>
      <c r="E53" s="266">
        <f>IF(E$27=0,0,E$27/AGR_fec!E$27)</f>
        <v>0.48372137165726764</v>
      </c>
      <c r="F53" s="266">
        <f>IF(F$27=0,0,F$27/AGR_fec!F$27)</f>
        <v>0.48372137165726775</v>
      </c>
      <c r="G53" s="266">
        <f>IF(G$27=0,0,G$27/AGR_fec!G$27)</f>
        <v>0.48372137165726758</v>
      </c>
      <c r="H53" s="266">
        <f>IF(H$27=0,0,H$27/AGR_fec!H$27)</f>
        <v>0.48372137165726753</v>
      </c>
      <c r="I53" s="266">
        <f>IF(I$27=0,0,I$27/AGR_fec!I$27)</f>
        <v>0.48372137165726781</v>
      </c>
      <c r="J53" s="266">
        <f>IF(J$27=0,0,J$27/AGR_fec!J$27)</f>
        <v>0.48372137165726764</v>
      </c>
      <c r="K53" s="266">
        <f>IF(K$27=0,0,K$27/AGR_fec!K$27)</f>
        <v>0.48372137165726753</v>
      </c>
      <c r="L53" s="266">
        <f>IF(L$27=0,0,L$27/AGR_fec!L$27)</f>
        <v>0.48372137165726747</v>
      </c>
      <c r="M53" s="266">
        <f>IF(M$27=0,0,M$27/AGR_fec!M$27)</f>
        <v>0.48372137165726764</v>
      </c>
      <c r="N53" s="266">
        <f>IF(N$27=0,0,N$27/AGR_fec!N$27)</f>
        <v>0.48372137165726747</v>
      </c>
      <c r="O53" s="266">
        <f>IF(O$27=0,0,O$27/AGR_fec!O$27)</f>
        <v>0.48372137165726781</v>
      </c>
      <c r="P53" s="266">
        <f>IF(P$27=0,0,P$27/AGR_fec!P$27)</f>
        <v>0.48372137165726758</v>
      </c>
      <c r="Q53" s="266">
        <f>IF(Q$27=0,0,Q$27/AGR_fec!Q$27)</f>
        <v>0.48372137165726775</v>
      </c>
      <c r="R53" s="266">
        <f>IF(R$27=0,0,R$27/AGR_fec!R$27)</f>
        <v>0.48372137165726764</v>
      </c>
      <c r="S53" s="266">
        <f>IF(S$27=0,0,S$27/AGR_fec!S$27)</f>
        <v>0.48372137165726758</v>
      </c>
      <c r="T53" s="266">
        <f>IF(T$27=0,0,T$27/AGR_fec!T$27)</f>
        <v>0.48372137165726764</v>
      </c>
      <c r="U53" s="266">
        <f>IF(U$27=0,0,U$27/AGR_fec!U$27)</f>
        <v>0.48372137165726786</v>
      </c>
      <c r="V53" s="266">
        <f>IF(V$27=0,0,V$27/AGR_fec!V$27)</f>
        <v>0.48372137165726758</v>
      </c>
      <c r="W53" s="266">
        <f>IF(W$27=0,0,W$27/AGR_fec!W$27)</f>
        <v>0.48372137165726775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944.44804115852867</v>
      </c>
      <c r="C5" s="80">
        <f t="shared" ref="C5:W5" si="0">SUM(C6:C9,C16:C17,C25:C27)</f>
        <v>956.00408435765166</v>
      </c>
      <c r="D5" s="80">
        <f t="shared" si="0"/>
        <v>942.91417115794286</v>
      </c>
      <c r="E5" s="80">
        <f t="shared" si="0"/>
        <v>989.46885959861288</v>
      </c>
      <c r="F5" s="80">
        <f t="shared" si="0"/>
        <v>973.6734664773237</v>
      </c>
      <c r="G5" s="80">
        <f t="shared" si="0"/>
        <v>1016.23955939751</v>
      </c>
      <c r="H5" s="80">
        <f t="shared" si="0"/>
        <v>964.73300507771978</v>
      </c>
      <c r="I5" s="80">
        <f t="shared" si="0"/>
        <v>913.81358951710536</v>
      </c>
      <c r="J5" s="80">
        <f t="shared" si="0"/>
        <v>961.74182519805424</v>
      </c>
      <c r="K5" s="80">
        <f t="shared" si="0"/>
        <v>824.76376631737776</v>
      </c>
      <c r="L5" s="80">
        <f t="shared" si="0"/>
        <v>764.60538491740249</v>
      </c>
      <c r="M5" s="80">
        <f t="shared" si="0"/>
        <v>722.67844895732594</v>
      </c>
      <c r="N5" s="80">
        <f t="shared" si="0"/>
        <v>698.36274143694197</v>
      </c>
      <c r="O5" s="80">
        <f t="shared" si="0"/>
        <v>622.76882616283569</v>
      </c>
      <c r="P5" s="80">
        <f t="shared" si="0"/>
        <v>562.42771416167955</v>
      </c>
      <c r="Q5" s="80">
        <f t="shared" si="0"/>
        <v>535.58979084174791</v>
      </c>
      <c r="R5" s="80">
        <f t="shared" si="0"/>
        <v>553.80149604170958</v>
      </c>
      <c r="S5" s="80">
        <f t="shared" si="0"/>
        <v>582.76096164157082</v>
      </c>
      <c r="T5" s="80">
        <f t="shared" si="0"/>
        <v>628.90830756256503</v>
      </c>
      <c r="U5" s="80">
        <f t="shared" si="0"/>
        <v>636.8638910415699</v>
      </c>
      <c r="V5" s="80">
        <f t="shared" si="0"/>
        <v>626.30259588309104</v>
      </c>
      <c r="W5" s="80">
        <f t="shared" si="0"/>
        <v>629.04328812231688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196.96297127717691</v>
      </c>
      <c r="C9" s="244">
        <f t="shared" ref="C9:W9" si="1">SUM(C10:C15)</f>
        <v>197.93838247652999</v>
      </c>
      <c r="D9" s="244">
        <f t="shared" si="1"/>
        <v>194.7977904125504</v>
      </c>
      <c r="E9" s="244">
        <f t="shared" si="1"/>
        <v>205.95469625752179</v>
      </c>
      <c r="F9" s="244">
        <f t="shared" si="1"/>
        <v>202.01908682400091</v>
      </c>
      <c r="G9" s="244">
        <f t="shared" si="1"/>
        <v>210.39904612456189</v>
      </c>
      <c r="H9" s="244">
        <f t="shared" si="1"/>
        <v>199.6017883489445</v>
      </c>
      <c r="I9" s="244">
        <f t="shared" si="1"/>
        <v>190.10239322037191</v>
      </c>
      <c r="J9" s="244">
        <f t="shared" si="1"/>
        <v>201.52430431884221</v>
      </c>
      <c r="K9" s="244">
        <f t="shared" si="1"/>
        <v>168.86881847842071</v>
      </c>
      <c r="L9" s="244">
        <f t="shared" si="1"/>
        <v>154.34339463345719</v>
      </c>
      <c r="M9" s="244">
        <f t="shared" si="1"/>
        <v>144.17764557060599</v>
      </c>
      <c r="N9" s="244">
        <f t="shared" si="1"/>
        <v>138.26592012886391</v>
      </c>
      <c r="O9" s="244">
        <f t="shared" si="1"/>
        <v>119.8149210106684</v>
      </c>
      <c r="P9" s="244">
        <f t="shared" si="1"/>
        <v>105.019173761994</v>
      </c>
      <c r="Q9" s="244">
        <f t="shared" si="1"/>
        <v>98.425301685282378</v>
      </c>
      <c r="R9" s="244">
        <f t="shared" si="1"/>
        <v>102.9003994659528</v>
      </c>
      <c r="S9" s="244">
        <f t="shared" si="1"/>
        <v>110.01035381176099</v>
      </c>
      <c r="T9" s="244">
        <f t="shared" si="1"/>
        <v>121.3172930027458</v>
      </c>
      <c r="U9" s="244">
        <f t="shared" si="1"/>
        <v>123.7666264845117</v>
      </c>
      <c r="V9" s="244">
        <f t="shared" si="1"/>
        <v>120.2135613550424</v>
      </c>
      <c r="W9" s="244">
        <f t="shared" si="1"/>
        <v>121.5885196155551</v>
      </c>
      <c r="DA9" s="270"/>
    </row>
    <row r="10" spans="1:105" x14ac:dyDescent="0.25">
      <c r="A10" s="254" t="s">
        <v>173</v>
      </c>
      <c r="B10" s="255">
        <v>196.96297127717691</v>
      </c>
      <c r="C10" s="255">
        <v>197.93838247652999</v>
      </c>
      <c r="D10" s="255">
        <v>194.7977904125504</v>
      </c>
      <c r="E10" s="255">
        <v>205.95469625752179</v>
      </c>
      <c r="F10" s="255">
        <v>202.01908682400091</v>
      </c>
      <c r="G10" s="255">
        <v>210.39904612456189</v>
      </c>
      <c r="H10" s="255">
        <v>199.6017883489445</v>
      </c>
      <c r="I10" s="255">
        <v>190.10239322037191</v>
      </c>
      <c r="J10" s="255">
        <v>201.52430431884221</v>
      </c>
      <c r="K10" s="255">
        <v>168.86881847842071</v>
      </c>
      <c r="L10" s="255">
        <v>154.34339463345719</v>
      </c>
      <c r="M10" s="255">
        <v>144.17764557060599</v>
      </c>
      <c r="N10" s="255">
        <v>138.26592012886391</v>
      </c>
      <c r="O10" s="255">
        <v>119.8149210106684</v>
      </c>
      <c r="P10" s="255">
        <v>105.019173761994</v>
      </c>
      <c r="Q10" s="255">
        <v>98.425301685282378</v>
      </c>
      <c r="R10" s="255">
        <v>102.9003994659528</v>
      </c>
      <c r="S10" s="255">
        <v>110.01035381176099</v>
      </c>
      <c r="T10" s="255">
        <v>121.3172930027458</v>
      </c>
      <c r="U10" s="255">
        <v>123.7666264845117</v>
      </c>
      <c r="V10" s="255">
        <v>120.2135613550424</v>
      </c>
      <c r="W10" s="255">
        <v>121.5885196155551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295.74117353333207</v>
      </c>
      <c r="C16" s="258">
        <v>299.9273822623345</v>
      </c>
      <c r="D16" s="258">
        <v>295.99095058349502</v>
      </c>
      <c r="E16" s="258">
        <v>309.99602197173198</v>
      </c>
      <c r="F16" s="258">
        <v>305.30371909238642</v>
      </c>
      <c r="G16" s="258">
        <v>318.82940366136398</v>
      </c>
      <c r="H16" s="258">
        <v>302.72284097697337</v>
      </c>
      <c r="I16" s="258">
        <v>286.33508161705589</v>
      </c>
      <c r="J16" s="258">
        <v>300.77874572278131</v>
      </c>
      <c r="K16" s="258">
        <v>259.50370034717412</v>
      </c>
      <c r="L16" s="258">
        <v>241.4490997097887</v>
      </c>
      <c r="M16" s="258">
        <v>228.88284111242589</v>
      </c>
      <c r="N16" s="258">
        <v>221.60133747184091</v>
      </c>
      <c r="O16" s="258">
        <v>198.99284164496339</v>
      </c>
      <c r="P16" s="258">
        <v>180.97289694822089</v>
      </c>
      <c r="Q16" s="258">
        <v>172.96337312898379</v>
      </c>
      <c r="R16" s="258">
        <v>178.398238067748</v>
      </c>
      <c r="S16" s="258">
        <v>187.0429593602135</v>
      </c>
      <c r="T16" s="258">
        <v>200.8275059523576</v>
      </c>
      <c r="U16" s="258">
        <v>203.0060442289948</v>
      </c>
      <c r="V16" s="258">
        <v>200.23325015365651</v>
      </c>
      <c r="W16" s="258">
        <v>200.7736004373927</v>
      </c>
      <c r="DA16" s="273" t="s">
        <v>1044</v>
      </c>
    </row>
    <row r="17" spans="1:105" x14ac:dyDescent="0.25">
      <c r="A17" s="257" t="s">
        <v>121</v>
      </c>
      <c r="B17" s="258">
        <f>SUM(B18:B24)</f>
        <v>394.91476522791697</v>
      </c>
      <c r="C17" s="258">
        <f t="shared" ref="C17:W17" si="2">SUM(C18:C24)</f>
        <v>400.50477360469341</v>
      </c>
      <c r="D17" s="258">
        <f t="shared" si="2"/>
        <v>395.24830230003261</v>
      </c>
      <c r="E17" s="258">
        <f t="shared" si="2"/>
        <v>413.94982232582811</v>
      </c>
      <c r="F17" s="258">
        <f t="shared" si="2"/>
        <v>407.68400662003438</v>
      </c>
      <c r="G17" s="258">
        <f t="shared" si="2"/>
        <v>425.74538266141468</v>
      </c>
      <c r="H17" s="258">
        <f t="shared" si="2"/>
        <v>404.2376590491055</v>
      </c>
      <c r="I17" s="258">
        <f t="shared" si="2"/>
        <v>382.35444250907261</v>
      </c>
      <c r="J17" s="258">
        <f t="shared" si="2"/>
        <v>401.64163255838292</v>
      </c>
      <c r="K17" s="258">
        <f t="shared" si="2"/>
        <v>346.52544883754427</v>
      </c>
      <c r="L17" s="258">
        <f t="shared" si="2"/>
        <v>322.41643389447188</v>
      </c>
      <c r="M17" s="258">
        <f t="shared" si="2"/>
        <v>305.63621690783867</v>
      </c>
      <c r="N17" s="258">
        <f t="shared" si="2"/>
        <v>295.91294007637072</v>
      </c>
      <c r="O17" s="258">
        <f t="shared" si="2"/>
        <v>265.72293063346348</v>
      </c>
      <c r="P17" s="258">
        <f t="shared" si="2"/>
        <v>241.66019312447079</v>
      </c>
      <c r="Q17" s="258">
        <f t="shared" si="2"/>
        <v>230.96476245152479</v>
      </c>
      <c r="R17" s="258">
        <f t="shared" si="2"/>
        <v>238.22215034139731</v>
      </c>
      <c r="S17" s="258">
        <f t="shared" si="2"/>
        <v>249.76578506390589</v>
      </c>
      <c r="T17" s="258">
        <f t="shared" si="2"/>
        <v>268.17282969746731</v>
      </c>
      <c r="U17" s="258">
        <f t="shared" si="2"/>
        <v>271.0819171328738</v>
      </c>
      <c r="V17" s="258">
        <f t="shared" si="2"/>
        <v>267.37929666848271</v>
      </c>
      <c r="W17" s="258">
        <f t="shared" si="2"/>
        <v>268.10084755330888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1046</v>
      </c>
    </row>
    <row r="20" spans="1:105" x14ac:dyDescent="0.25">
      <c r="A20" s="61" t="s">
        <v>173</v>
      </c>
      <c r="B20" s="55">
        <v>394.91476522791697</v>
      </c>
      <c r="C20" s="55">
        <v>400.50477360469341</v>
      </c>
      <c r="D20" s="55">
        <v>395.24830230003261</v>
      </c>
      <c r="E20" s="55">
        <v>413.94982232582811</v>
      </c>
      <c r="F20" s="55">
        <v>407.68400662003438</v>
      </c>
      <c r="G20" s="55">
        <v>425.74538266141468</v>
      </c>
      <c r="H20" s="55">
        <v>404.2376590491055</v>
      </c>
      <c r="I20" s="55">
        <v>382.35444250907261</v>
      </c>
      <c r="J20" s="55">
        <v>401.64163255838292</v>
      </c>
      <c r="K20" s="55">
        <v>346.52544883754427</v>
      </c>
      <c r="L20" s="55">
        <v>322.41643389447188</v>
      </c>
      <c r="M20" s="55">
        <v>305.63621690783867</v>
      </c>
      <c r="N20" s="55">
        <v>295.91294007637072</v>
      </c>
      <c r="O20" s="55">
        <v>265.72293063346348</v>
      </c>
      <c r="P20" s="55">
        <v>241.66019312447079</v>
      </c>
      <c r="Q20" s="55">
        <v>230.96476245152479</v>
      </c>
      <c r="R20" s="55">
        <v>238.22215034139731</v>
      </c>
      <c r="S20" s="55">
        <v>249.76578506390589</v>
      </c>
      <c r="T20" s="55">
        <v>268.17282969746731</v>
      </c>
      <c r="U20" s="55">
        <v>271.0819171328738</v>
      </c>
      <c r="V20" s="55">
        <v>267.37929666848271</v>
      </c>
      <c r="W20" s="55">
        <v>268.10084755330888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56.829131120102737</v>
      </c>
      <c r="C25" s="258">
        <v>57.633546014093753</v>
      </c>
      <c r="D25" s="258">
        <v>56.877127861864807</v>
      </c>
      <c r="E25" s="258">
        <v>59.568319043531041</v>
      </c>
      <c r="F25" s="258">
        <v>58.666653940902009</v>
      </c>
      <c r="G25" s="258">
        <v>61.265726950169487</v>
      </c>
      <c r="H25" s="258">
        <v>58.170716702696367</v>
      </c>
      <c r="I25" s="258">
        <v>55.021672170604973</v>
      </c>
      <c r="J25" s="258">
        <v>57.797142598047763</v>
      </c>
      <c r="K25" s="258">
        <v>49.865798654238702</v>
      </c>
      <c r="L25" s="258">
        <v>46.39645667968464</v>
      </c>
      <c r="M25" s="258">
        <v>43.981745366455321</v>
      </c>
      <c r="N25" s="258">
        <v>42.582543759866489</v>
      </c>
      <c r="O25" s="258">
        <v>38.238132873740362</v>
      </c>
      <c r="P25" s="258">
        <v>34.775450326993941</v>
      </c>
      <c r="Q25" s="258">
        <v>33.236353575956969</v>
      </c>
      <c r="R25" s="258">
        <v>34.280708166611447</v>
      </c>
      <c r="S25" s="258">
        <v>35.941863405690462</v>
      </c>
      <c r="T25" s="258">
        <v>38.590678909994359</v>
      </c>
      <c r="U25" s="258">
        <v>39.009303195189553</v>
      </c>
      <c r="V25" s="258">
        <v>38.47648770590942</v>
      </c>
      <c r="W25" s="258">
        <v>38.580320516060112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0.99999999999999989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1.0000000000000002</v>
      </c>
      <c r="O31" s="236">
        <f t="shared" si="3"/>
        <v>0.99999999999999978</v>
      </c>
      <c r="P31" s="236">
        <f t="shared" si="3"/>
        <v>1.0000000000000002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0.20854823419991195</v>
      </c>
      <c r="C35" s="247">
        <f t="shared" si="8"/>
        <v>0.20704763265684864</v>
      </c>
      <c r="D35" s="247">
        <f t="shared" si="8"/>
        <v>0.20659122152478585</v>
      </c>
      <c r="E35" s="247">
        <f t="shared" si="8"/>
        <v>0.20814671857492231</v>
      </c>
      <c r="F35" s="247">
        <f t="shared" si="8"/>
        <v>0.20748135158174799</v>
      </c>
      <c r="G35" s="247">
        <f t="shared" si="8"/>
        <v>0.20703685875926689</v>
      </c>
      <c r="H35" s="247">
        <f t="shared" si="8"/>
        <v>0.2068984758460341</v>
      </c>
      <c r="I35" s="247">
        <f t="shared" si="8"/>
        <v>0.20803191745138022</v>
      </c>
      <c r="J35" s="247">
        <f t="shared" si="8"/>
        <v>0.2095409589546984</v>
      </c>
      <c r="K35" s="247">
        <f t="shared" si="8"/>
        <v>0.2047481053058752</v>
      </c>
      <c r="L35" s="247">
        <f t="shared" si="8"/>
        <v>0.20186019831671778</v>
      </c>
      <c r="M35" s="247">
        <f t="shared" si="8"/>
        <v>0.19950455943251694</v>
      </c>
      <c r="N35" s="247">
        <f t="shared" si="8"/>
        <v>0.19798582015468033</v>
      </c>
      <c r="O35" s="247">
        <f t="shared" si="8"/>
        <v>0.19239068491739234</v>
      </c>
      <c r="P35" s="247">
        <f t="shared" si="8"/>
        <v>0.18672474900801994</v>
      </c>
      <c r="Q35" s="247">
        <f t="shared" si="8"/>
        <v>0.18376993618678655</v>
      </c>
      <c r="R35" s="247">
        <f t="shared" si="8"/>
        <v>0.18580736997179012</v>
      </c>
      <c r="S35" s="247">
        <f t="shared" si="8"/>
        <v>0.18877440503542728</v>
      </c>
      <c r="T35" s="247">
        <f t="shared" si="8"/>
        <v>0.19290140000365144</v>
      </c>
      <c r="U35" s="247">
        <f t="shared" si="8"/>
        <v>0.19433764141046758</v>
      </c>
      <c r="V35" s="247">
        <f t="shared" si="8"/>
        <v>0.19194166229750403</v>
      </c>
      <c r="W35" s="247">
        <f t="shared" si="8"/>
        <v>0.19329118029141473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0.31313652063966846</v>
      </c>
      <c r="C36" s="260">
        <f t="shared" si="9"/>
        <v>0.31373023104169956</v>
      </c>
      <c r="D36" s="260">
        <f t="shared" si="9"/>
        <v>0.31391080931576648</v>
      </c>
      <c r="E36" s="260">
        <f t="shared" si="9"/>
        <v>0.3132953796014204</v>
      </c>
      <c r="F36" s="260">
        <f t="shared" si="9"/>
        <v>0.31355863090010244</v>
      </c>
      <c r="G36" s="260">
        <f t="shared" si="9"/>
        <v>0.3137344937156214</v>
      </c>
      <c r="H36" s="260">
        <f t="shared" si="9"/>
        <v>0.31378924467561442</v>
      </c>
      <c r="I36" s="260">
        <f t="shared" si="9"/>
        <v>0.31334080046715707</v>
      </c>
      <c r="J36" s="260">
        <f t="shared" si="9"/>
        <v>0.31274375080946604</v>
      </c>
      <c r="K36" s="260">
        <f t="shared" si="9"/>
        <v>0.31464003505618887</v>
      </c>
      <c r="L36" s="260">
        <f t="shared" si="9"/>
        <v>0.31578263045567168</v>
      </c>
      <c r="M36" s="260">
        <f t="shared" si="9"/>
        <v>0.31671463490111823</v>
      </c>
      <c r="N36" s="260">
        <f t="shared" si="9"/>
        <v>0.31731552146650455</v>
      </c>
      <c r="O36" s="260">
        <f t="shared" si="9"/>
        <v>0.31952922703445119</v>
      </c>
      <c r="P36" s="260">
        <f t="shared" si="9"/>
        <v>0.32177094476570745</v>
      </c>
      <c r="Q36" s="260">
        <f t="shared" si="9"/>
        <v>0.32294001134179517</v>
      </c>
      <c r="R36" s="260">
        <f t="shared" si="9"/>
        <v>0.32213390419283361</v>
      </c>
      <c r="S36" s="260">
        <f t="shared" si="9"/>
        <v>0.32096000190770319</v>
      </c>
      <c r="T36" s="260">
        <f t="shared" si="9"/>
        <v>0.31932716349494061</v>
      </c>
      <c r="U36" s="260">
        <f t="shared" si="9"/>
        <v>0.31875891706936799</v>
      </c>
      <c r="V36" s="260">
        <f t="shared" si="9"/>
        <v>0.31970688205647019</v>
      </c>
      <c r="W36" s="260">
        <f t="shared" si="9"/>
        <v>0.31917294759904102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0.41814345312579165</v>
      </c>
      <c r="C37" s="260">
        <f t="shared" si="10"/>
        <v>0.41893625786525424</v>
      </c>
      <c r="D37" s="260">
        <f t="shared" si="10"/>
        <v>0.4191773911029984</v>
      </c>
      <c r="E37" s="260">
        <f t="shared" si="10"/>
        <v>0.4183555837156418</v>
      </c>
      <c r="F37" s="260">
        <f t="shared" si="10"/>
        <v>0.41870711347922829</v>
      </c>
      <c r="G37" s="260">
        <f t="shared" si="10"/>
        <v>0.41894194998059614</v>
      </c>
      <c r="H37" s="260">
        <f t="shared" si="10"/>
        <v>0.41901506108059372</v>
      </c>
      <c r="I37" s="260">
        <f t="shared" si="10"/>
        <v>0.41841623597557087</v>
      </c>
      <c r="J37" s="260">
        <f t="shared" si="10"/>
        <v>0.41761897219731681</v>
      </c>
      <c r="K37" s="260">
        <f t="shared" si="10"/>
        <v>0.42015115477829762</v>
      </c>
      <c r="L37" s="260">
        <f t="shared" si="10"/>
        <v>0.42167690713988543</v>
      </c>
      <c r="M37" s="260">
        <f t="shared" si="10"/>
        <v>0.42292144915737823</v>
      </c>
      <c r="N37" s="260">
        <f t="shared" si="10"/>
        <v>0.42372383650866619</v>
      </c>
      <c r="O37" s="260">
        <f t="shared" si="10"/>
        <v>0.42667988420471253</v>
      </c>
      <c r="P37" s="260">
        <f t="shared" si="10"/>
        <v>0.42967333763890841</v>
      </c>
      <c r="Q37" s="260">
        <f t="shared" si="10"/>
        <v>0.43123443799877909</v>
      </c>
      <c r="R37" s="260">
        <f t="shared" si="10"/>
        <v>0.43015801156928546</v>
      </c>
      <c r="S37" s="260">
        <f t="shared" si="10"/>
        <v>0.42859045389784572</v>
      </c>
      <c r="T37" s="260">
        <f t="shared" si="10"/>
        <v>0.42641006085102312</v>
      </c>
      <c r="U37" s="260">
        <f t="shared" si="10"/>
        <v>0.42565125915606278</v>
      </c>
      <c r="V37" s="260">
        <f t="shared" si="10"/>
        <v>0.42691711390957277</v>
      </c>
      <c r="W37" s="260">
        <f t="shared" si="10"/>
        <v>0.42620413032874921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6.0171792034627962E-2</v>
      </c>
      <c r="C38" s="260">
        <f t="shared" si="11"/>
        <v>6.0285878436197565E-2</v>
      </c>
      <c r="D38" s="260">
        <f t="shared" si="11"/>
        <v>6.0320578056449213E-2</v>
      </c>
      <c r="E38" s="260">
        <f t="shared" si="11"/>
        <v>6.0202318108015525E-2</v>
      </c>
      <c r="F38" s="260">
        <f t="shared" si="11"/>
        <v>6.0252904038921265E-2</v>
      </c>
      <c r="G38" s="260">
        <f t="shared" si="11"/>
        <v>6.0286697544515606E-2</v>
      </c>
      <c r="H38" s="260">
        <f t="shared" si="11"/>
        <v>6.0297218397757708E-2</v>
      </c>
      <c r="I38" s="260">
        <f t="shared" si="11"/>
        <v>6.0211046105891862E-2</v>
      </c>
      <c r="J38" s="260">
        <f t="shared" si="11"/>
        <v>6.009631803851874E-2</v>
      </c>
      <c r="K38" s="260">
        <f t="shared" si="11"/>
        <v>6.0460704859638344E-2</v>
      </c>
      <c r="L38" s="260">
        <f t="shared" si="11"/>
        <v>6.068026408772504E-2</v>
      </c>
      <c r="M38" s="260">
        <f t="shared" si="11"/>
        <v>6.0859356508986523E-2</v>
      </c>
      <c r="N38" s="260">
        <f t="shared" si="11"/>
        <v>6.0974821870149042E-2</v>
      </c>
      <c r="O38" s="260">
        <f t="shared" si="11"/>
        <v>6.1400203843443857E-2</v>
      </c>
      <c r="P38" s="260">
        <f t="shared" si="11"/>
        <v>6.1830968587364345E-2</v>
      </c>
      <c r="Q38" s="260">
        <f t="shared" si="11"/>
        <v>6.2055614472639194E-2</v>
      </c>
      <c r="R38" s="260">
        <f t="shared" si="11"/>
        <v>6.1900714266090742E-2</v>
      </c>
      <c r="S38" s="260">
        <f t="shared" si="11"/>
        <v>6.1675139159023888E-2</v>
      </c>
      <c r="T38" s="260">
        <f t="shared" si="11"/>
        <v>6.1361375650384908E-2</v>
      </c>
      <c r="U38" s="260">
        <f t="shared" si="11"/>
        <v>6.1252182364101571E-2</v>
      </c>
      <c r="V38" s="260">
        <f t="shared" si="11"/>
        <v>6.1434341736452971E-2</v>
      </c>
      <c r="W38" s="260">
        <f t="shared" si="11"/>
        <v>6.133174178079491E-2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2.6722025005768697</v>
      </c>
      <c r="C44" s="238">
        <f>IF(C$5=0,0,C$5/AGR_fec!C$5)</f>
        <v>2.65432367735459</v>
      </c>
      <c r="D44" s="238">
        <f>IF(D$5=0,0,D$5/AGR_fec!D$5)</f>
        <v>2.6490121631220496</v>
      </c>
      <c r="E44" s="238">
        <f>IF(E$5=0,0,E$5/AGR_fec!E$5)</f>
        <v>2.6673534290476981</v>
      </c>
      <c r="F44" s="238">
        <f>IF(F$5=0,0,F$5/AGR_fec!F$5)</f>
        <v>2.6594240803145697</v>
      </c>
      <c r="G44" s="238">
        <f>IF(G$5=0,0,G$5/AGR_fec!G$5)</f>
        <v>2.654197644812061</v>
      </c>
      <c r="H44" s="238">
        <f>IF(H$5=0,0,H$5/AGR_fec!H$5)</f>
        <v>2.6525816688595811</v>
      </c>
      <c r="I44" s="238">
        <f>IF(I$5=0,0,I$5/AGR_fec!I$5)</f>
        <v>2.6659759969225219</v>
      </c>
      <c r="J44" s="238">
        <f>IF(J$5=0,0,J$5/AGR_fec!J$5)</f>
        <v>2.6844116349635012</v>
      </c>
      <c r="K44" s="238">
        <f>IF(K$5=0,0,K$5/AGR_fec!K$5)</f>
        <v>2.6281028845753265</v>
      </c>
      <c r="L44" s="238">
        <f>IF(L$5=0,0,L$5/AGR_fec!L$5)</f>
        <v>2.5968654391113168</v>
      </c>
      <c r="M44" s="238">
        <f>IF(M$5=0,0,M$5/AGR_fec!M$5)</f>
        <v>2.5725446578165139</v>
      </c>
      <c r="N44" s="238">
        <f>IF(N$5=0,0,N$5/AGR_fec!N$5)</f>
        <v>2.5573368683174622</v>
      </c>
      <c r="O44" s="238">
        <f>IF(O$5=0,0,O$5/AGR_fec!O$5)</f>
        <v>2.5039364523657475</v>
      </c>
      <c r="P44" s="238">
        <f>IF(P$5=0,0,P$5/AGR_fec!P$5)</f>
        <v>2.4531644626807938</v>
      </c>
      <c r="Q44" s="238">
        <f>IF(Q$5=0,0,Q$5/AGR_fec!Q$5)</f>
        <v>2.427706291779363</v>
      </c>
      <c r="R44" s="238">
        <f>IF(R$5=0,0,R$5/AGR_fec!R$5)</f>
        <v>2.4451938072682888</v>
      </c>
      <c r="S44" s="238">
        <f>IF(S$5=0,0,S$5/AGR_fec!S$5)</f>
        <v>2.4712087680259307</v>
      </c>
      <c r="T44" s="238">
        <f>IF(T$5=0,0,T$5/AGR_fec!T$5)</f>
        <v>2.5086607495907787</v>
      </c>
      <c r="U44" s="238">
        <f>IF(U$5=0,0,U$5/AGR_fec!U$5)</f>
        <v>2.5220966736563333</v>
      </c>
      <c r="V44" s="238">
        <f>IF(V$5=0,0,V$5/AGR_fec!V$5)</f>
        <v>2.4998049583309787</v>
      </c>
      <c r="W44" s="238">
        <f>IF(W$5=0,0,W$5/AGR_fec!W$5)</f>
        <v>2.5122848354610401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2.8166398384852553</v>
      </c>
      <c r="C48" s="253">
        <f>IF(C$9=0,0,C$9/AGR_fec!C$9)</f>
        <v>2.7843832453376844</v>
      </c>
      <c r="D48" s="253">
        <f>IF(D$9=0,0,D$9/AGR_fec!D$9)</f>
        <v>2.7744846510433385</v>
      </c>
      <c r="E48" s="253">
        <f>IF(E$9=0,0,E$9/AGR_fec!E$9)</f>
        <v>2.808055492099347</v>
      </c>
      <c r="F48" s="253">
        <f>IF(F$9=0,0,F$9/AGR_fec!F$9)</f>
        <v>2.7937536900026694</v>
      </c>
      <c r="G48" s="253">
        <f>IF(G$9=0,0,G$9/AGR_fec!G$9)</f>
        <v>2.7841500205948209</v>
      </c>
      <c r="H48" s="253">
        <f>IF(H$9=0,0,H$9/AGR_fec!H$9)</f>
        <v>2.7811525056779964</v>
      </c>
      <c r="I48" s="253">
        <f>IF(I$9=0,0,I$9/AGR_fec!I$9)</f>
        <v>2.8055945234759561</v>
      </c>
      <c r="J48" s="253">
        <f>IF(J$9=0,0,J$9/AGR_fec!J$9)</f>
        <v>2.8377004817165692</v>
      </c>
      <c r="K48" s="253">
        <f>IF(K$9=0,0,K$9/AGR_fec!K$9)</f>
        <v>2.734163930841536</v>
      </c>
      <c r="L48" s="253">
        <f>IF(L$9=0,0,L$9/AGR_fec!L$9)</f>
        <v>2.670118658699129</v>
      </c>
      <c r="M48" s="253">
        <f>IF(M$9=0,0,M$9/AGR_fec!M$9)</f>
        <v>2.6173485281582818</v>
      </c>
      <c r="N48" s="253">
        <f>IF(N$9=0,0,N$9/AGR_fec!N$9)</f>
        <v>2.5831682560421201</v>
      </c>
      <c r="O48" s="253">
        <f>IF(O$9=0,0,O$9/AGR_fec!O$9)</f>
        <v>2.4568502959791849</v>
      </c>
      <c r="P48" s="253">
        <f>IF(P$9=0,0,P$9/AGR_fec!P$9)</f>
        <v>2.3293703638960603</v>
      </c>
      <c r="Q48" s="253">
        <f>IF(Q$9=0,0,Q$9/AGR_fec!Q$9)</f>
        <v>2.2634148760230359</v>
      </c>
      <c r="R48" s="253">
        <f>IF(R$9=0,0,R$9/AGR_fec!R$9)</f>
        <v>2.3088451456692041</v>
      </c>
      <c r="S48" s="253">
        <f>IF(S$9=0,0,S$9/AGR_fec!S$9)</f>
        <v>2.3753633392217379</v>
      </c>
      <c r="T48" s="253">
        <f>IF(T$9=0,0,T$9/AGR_fec!T$9)</f>
        <v>2.4683809772639891</v>
      </c>
      <c r="U48" s="253">
        <f>IF(U$9=0,0,U$9/AGR_fec!U$9)</f>
        <v>2.5008205735078182</v>
      </c>
      <c r="V48" s="253">
        <f>IF(V$9=0,0,V$9/AGR_fec!V$9)</f>
        <v>2.4467156573154263</v>
      </c>
      <c r="W48" s="253">
        <f>IF(W$9=0,0,W$9/AGR_fec!W$9)</f>
        <v>2.4771832994685199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3.1024188000000001</v>
      </c>
      <c r="D49" s="265">
        <f>IF(D$16=0,0,D$16/AGR_fec!D$16)</f>
        <v>3.1024188000000001</v>
      </c>
      <c r="E49" s="265">
        <f>IF(E$16=0,0,E$16/AGR_fec!E$16)</f>
        <v>3.1024187999999997</v>
      </c>
      <c r="F49" s="265">
        <f>IF(F$16=0,0,F$16/AGR_fec!F$16)</f>
        <v>3.1024188000000006</v>
      </c>
      <c r="G49" s="265">
        <f>IF(G$16=0,0,G$16/AGR_fec!G$16)</f>
        <v>3.1024187999999997</v>
      </c>
      <c r="H49" s="265">
        <f>IF(H$16=0,0,H$16/AGR_fec!H$16)</f>
        <v>3.1024188000000001</v>
      </c>
      <c r="I49" s="265">
        <f>IF(I$16=0,0,I$16/AGR_fec!I$16)</f>
        <v>3.1024187999999997</v>
      </c>
      <c r="J49" s="265">
        <f>IF(J$16=0,0,J$16/AGR_fec!J$16)</f>
        <v>3.1024187999999993</v>
      </c>
      <c r="K49" s="265">
        <f>IF(K$16=0,0,K$16/AGR_fec!K$16)</f>
        <v>3.102418800000001</v>
      </c>
      <c r="L49" s="265">
        <f>IF(L$16=0,0,L$16/AGR_fec!L$16)</f>
        <v>3.1024187999999997</v>
      </c>
      <c r="M49" s="265">
        <f>IF(M$16=0,0,M$16/AGR_fec!M$16)</f>
        <v>3.1024188000000001</v>
      </c>
      <c r="N49" s="265">
        <f>IF(N$16=0,0,N$16/AGR_fec!N$16)</f>
        <v>3.1024187999999997</v>
      </c>
      <c r="O49" s="265">
        <f>IF(O$16=0,0,O$16/AGR_fec!O$16)</f>
        <v>3.1024188000000001</v>
      </c>
      <c r="P49" s="265">
        <f>IF(P$16=0,0,P$16/AGR_fec!P$16)</f>
        <v>3.1024187999999997</v>
      </c>
      <c r="Q49" s="265">
        <f>IF(Q$16=0,0,Q$16/AGR_fec!Q$16)</f>
        <v>3.1024187999999997</v>
      </c>
      <c r="R49" s="265">
        <f>IF(R$16=0,0,R$16/AGR_fec!R$16)</f>
        <v>3.102418800000001</v>
      </c>
      <c r="S49" s="265">
        <f>IF(S$16=0,0,S$16/AGR_fec!S$16)</f>
        <v>3.1024187999999997</v>
      </c>
      <c r="T49" s="265">
        <f>IF(T$16=0,0,T$16/AGR_fec!T$16)</f>
        <v>3.1024188000000001</v>
      </c>
      <c r="U49" s="265">
        <f>IF(U$16=0,0,U$16/AGR_fec!U$16)</f>
        <v>3.1024188000000006</v>
      </c>
      <c r="V49" s="265">
        <f>IF(V$16=0,0,V$16/AGR_fec!V$16)</f>
        <v>3.1024188000000001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3.1024188000000006</v>
      </c>
      <c r="C50" s="265">
        <f>IF(C$17=0,0,C$17/AGR_fec!C$17)</f>
        <v>3.1024188000000015</v>
      </c>
      <c r="D50" s="265">
        <f>IF(D$17=0,0,D$17/AGR_fec!D$17)</f>
        <v>3.1024188000000001</v>
      </c>
      <c r="E50" s="265">
        <f>IF(E$17=0,0,E$17/AGR_fec!E$17)</f>
        <v>3.1024188000000006</v>
      </c>
      <c r="F50" s="265">
        <f>IF(F$17=0,0,F$17/AGR_fec!F$17)</f>
        <v>3.1024187999999997</v>
      </c>
      <c r="G50" s="265">
        <f>IF(G$17=0,0,G$17/AGR_fec!G$17)</f>
        <v>3.1024188000000001</v>
      </c>
      <c r="H50" s="265">
        <f>IF(H$17=0,0,H$17/AGR_fec!H$17)</f>
        <v>3.1024187999999993</v>
      </c>
      <c r="I50" s="265">
        <f>IF(I$17=0,0,I$17/AGR_fec!I$17)</f>
        <v>3.1024188000000015</v>
      </c>
      <c r="J50" s="265">
        <f>IF(J$17=0,0,J$17/AGR_fec!J$17)</f>
        <v>3.1024187999999993</v>
      </c>
      <c r="K50" s="265">
        <f>IF(K$17=0,0,K$17/AGR_fec!K$17)</f>
        <v>3.1024188000000006</v>
      </c>
      <c r="L50" s="265">
        <f>IF(L$17=0,0,L$17/AGR_fec!L$17)</f>
        <v>3.102418800000001</v>
      </c>
      <c r="M50" s="265">
        <f>IF(M$17=0,0,M$17/AGR_fec!M$17)</f>
        <v>3.1024187999999997</v>
      </c>
      <c r="N50" s="265">
        <f>IF(N$17=0,0,N$17/AGR_fec!N$17)</f>
        <v>3.1024188000000001</v>
      </c>
      <c r="O50" s="265">
        <f>IF(O$17=0,0,O$17/AGR_fec!O$17)</f>
        <v>3.1024187999999993</v>
      </c>
      <c r="P50" s="265">
        <f>IF(P$17=0,0,P$17/AGR_fec!P$17)</f>
        <v>3.1024188000000001</v>
      </c>
      <c r="Q50" s="265">
        <f>IF(Q$17=0,0,Q$17/AGR_fec!Q$17)</f>
        <v>3.1024187999999997</v>
      </c>
      <c r="R50" s="265">
        <f>IF(R$17=0,0,R$17/AGR_fec!R$17)</f>
        <v>3.1024188000000001</v>
      </c>
      <c r="S50" s="265">
        <f>IF(S$17=0,0,S$17/AGR_fec!S$17)</f>
        <v>3.1024187999999997</v>
      </c>
      <c r="T50" s="265">
        <f>IF(T$17=0,0,T$17/AGR_fec!T$17)</f>
        <v>3.1024188000000006</v>
      </c>
      <c r="U50" s="265">
        <f>IF(U$17=0,0,U$17/AGR_fec!U$17)</f>
        <v>3.1024188000000001</v>
      </c>
      <c r="V50" s="265">
        <f>IF(V$17=0,0,V$17/AGR_fec!V$17)</f>
        <v>3.102418800000001</v>
      </c>
      <c r="W50" s="265">
        <f>IF(W$17=0,0,W$17/AGR_fec!W$17)</f>
        <v>3.1024188000000001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3.1024187999999997</v>
      </c>
      <c r="D51" s="265">
        <f>IF(D$25=0,0,D$25/AGR_fec!D$25)</f>
        <v>3.1024188000000001</v>
      </c>
      <c r="E51" s="265">
        <f>IF(E$25=0,0,E$25/AGR_fec!E$25)</f>
        <v>3.1024188000000001</v>
      </c>
      <c r="F51" s="265">
        <f>IF(F$25=0,0,F$25/AGR_fec!F$25)</f>
        <v>3.1024188000000006</v>
      </c>
      <c r="G51" s="265">
        <f>IF(G$25=0,0,G$25/AGR_fec!G$25)</f>
        <v>3.1024187999999993</v>
      </c>
      <c r="H51" s="265">
        <f>IF(H$25=0,0,H$25/AGR_fec!H$25)</f>
        <v>3.1024187999999993</v>
      </c>
      <c r="I51" s="265">
        <f>IF(I$25=0,0,I$25/AGR_fec!I$25)</f>
        <v>3.1024188000000006</v>
      </c>
      <c r="J51" s="265">
        <f>IF(J$25=0,0,J$25/AGR_fec!J$25)</f>
        <v>3.1024187999999993</v>
      </c>
      <c r="K51" s="265">
        <f>IF(K$25=0,0,K$25/AGR_fec!K$25)</f>
        <v>3.1024187999999993</v>
      </c>
      <c r="L51" s="265">
        <f>IF(L$25=0,0,L$25/AGR_fec!L$25)</f>
        <v>3.1024188000000001</v>
      </c>
      <c r="M51" s="265">
        <f>IF(M$25=0,0,M$25/AGR_fec!M$25)</f>
        <v>3.1024187999999988</v>
      </c>
      <c r="N51" s="265">
        <f>IF(N$25=0,0,N$25/AGR_fec!N$25)</f>
        <v>3.1024188000000006</v>
      </c>
      <c r="O51" s="265">
        <f>IF(O$25=0,0,O$25/AGR_fec!O$25)</f>
        <v>3.1024187999999997</v>
      </c>
      <c r="P51" s="265">
        <f>IF(P$25=0,0,P$25/AGR_fec!P$25)</f>
        <v>3.1024188000000001</v>
      </c>
      <c r="Q51" s="265">
        <f>IF(Q$25=0,0,Q$25/AGR_fec!Q$25)</f>
        <v>3.1024188000000006</v>
      </c>
      <c r="R51" s="265">
        <f>IF(R$25=0,0,R$25/AGR_fec!R$25)</f>
        <v>3.1024188000000001</v>
      </c>
      <c r="S51" s="265">
        <f>IF(S$25=0,0,S$25/AGR_fec!S$25)</f>
        <v>3.1024187999999993</v>
      </c>
      <c r="T51" s="265">
        <f>IF(T$25=0,0,T$25/AGR_fec!T$25)</f>
        <v>3.1024188000000015</v>
      </c>
      <c r="U51" s="265">
        <f>IF(U$25=0,0,U$25/AGR_fec!U$25)</f>
        <v>3.1024187999999997</v>
      </c>
      <c r="V51" s="265">
        <f>IF(V$25=0,0,V$25/AGR_fec!V$25)</f>
        <v>3.1024188000000006</v>
      </c>
      <c r="W51" s="265">
        <f>IF(W$25=0,0,W$25/AGR_fec!W$25)</f>
        <v>3.102418800000001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2024-05-20T16:51:53Z</dcterms:created>
  <dcterms:modified xsi:type="dcterms:W3CDTF">2024-05-20T16:51:53Z</dcterms:modified>
</cp:coreProperties>
</file>