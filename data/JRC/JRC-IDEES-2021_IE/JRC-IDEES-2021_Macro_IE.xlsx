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IE\"/>
    </mc:Choice>
  </mc:AlternateContent>
  <bookViews>
    <workbookView xWindow="480" yWindow="120" windowWidth="27795" windowHeight="12075"/>
  </bookViews>
  <sheets>
    <sheet name="cover" sheetId="60" r:id="rId1"/>
    <sheet name="index" sheetId="4" r:id="rId2"/>
    <sheet name="Macro_CurrPrices" sheetId="57" r:id="rId3"/>
    <sheet name="Macro_euro2015" sheetId="55" r:id="rId4"/>
    <sheet name="Macro_JRC-IDEES" sheetId="59" r:id="rId5"/>
    <sheet name="definitions" sheetId="58" r:id="rId6"/>
  </sheets>
  <definedNames>
    <definedName name="_xlnm.Print_Area" localSheetId="5">definitions!$A$1:$D$112</definedName>
  </definedNames>
  <calcPr calcId="162913"/>
</workbook>
</file>

<file path=xl/calcChain.xml><?xml version="1.0" encoding="utf-8"?>
<calcChain xmlns="http://schemas.openxmlformats.org/spreadsheetml/2006/main">
  <c r="X12" i="59" l="1"/>
  <c r="P12" i="59"/>
  <c r="H12" i="59"/>
  <c r="O12" i="59"/>
  <c r="M12" i="59"/>
  <c r="J12" i="59"/>
  <c r="W12" i="59"/>
  <c r="W13" i="59" s="1"/>
  <c r="G12" i="59"/>
  <c r="Y12" i="59"/>
  <c r="V12" i="59"/>
  <c r="N12" i="59"/>
  <c r="F12" i="59"/>
  <c r="U12" i="59"/>
  <c r="E12" i="59"/>
  <c r="Q12" i="59"/>
  <c r="T12" i="59"/>
  <c r="T13" i="59" s="1"/>
  <c r="L12" i="59"/>
  <c r="D12" i="59"/>
  <c r="S12" i="59"/>
  <c r="K12" i="59"/>
  <c r="R12" i="59"/>
  <c r="I12" i="59"/>
  <c r="U9" i="59"/>
  <c r="U10" i="59" s="1"/>
  <c r="M9" i="59"/>
  <c r="E9" i="59"/>
  <c r="T9" i="59"/>
  <c r="D9" i="59"/>
  <c r="V9" i="59"/>
  <c r="V10" i="59" s="1"/>
  <c r="N9" i="59"/>
  <c r="L9" i="59"/>
  <c r="R9" i="59"/>
  <c r="J9" i="59"/>
  <c r="O9" i="59"/>
  <c r="G9" i="59"/>
  <c r="F9" i="59"/>
  <c r="S9" i="59"/>
  <c r="K9" i="59"/>
  <c r="X9" i="59"/>
  <c r="X10" i="59" s="1"/>
  <c r="W9" i="59"/>
  <c r="W10" i="59" s="1"/>
  <c r="Q9" i="59"/>
  <c r="I9" i="59"/>
  <c r="Y9" i="59"/>
  <c r="P9" i="59"/>
  <c r="H9" i="59"/>
  <c r="Y21" i="59"/>
  <c r="X21" i="59"/>
  <c r="W21" i="59"/>
  <c r="V94" i="59"/>
  <c r="U94" i="59"/>
  <c r="Y20" i="59"/>
  <c r="Y93" i="59"/>
  <c r="W20" i="59"/>
  <c r="V20" i="59"/>
  <c r="Y122" i="59"/>
  <c r="X122" i="59"/>
  <c r="T90" i="59"/>
  <c r="Y89" i="59"/>
  <c r="U121" i="59"/>
  <c r="W85" i="59"/>
  <c r="U116" i="59"/>
  <c r="V115" i="59"/>
  <c r="U113" i="59"/>
  <c r="Y80" i="59"/>
  <c r="W80" i="59"/>
  <c r="V111" i="59"/>
  <c r="U109" i="59"/>
  <c r="Y75" i="59"/>
  <c r="Y107" i="59"/>
  <c r="W75" i="59"/>
  <c r="O106" i="59"/>
  <c r="M106" i="59"/>
  <c r="G106" i="59"/>
  <c r="W105" i="59"/>
  <c r="W72" i="59"/>
  <c r="W104" i="59"/>
  <c r="Y71" i="59"/>
  <c r="V103" i="59"/>
  <c r="U103" i="59"/>
  <c r="W69" i="59"/>
  <c r="V101" i="59"/>
  <c r="U100" i="59"/>
  <c r="T67" i="59"/>
  <c r="W98" i="59"/>
  <c r="Y84" i="59"/>
  <c r="W74" i="59"/>
  <c r="U115" i="59"/>
  <c r="V113" i="59"/>
  <c r="T112" i="59"/>
  <c r="X110" i="59"/>
  <c r="T80" i="59"/>
  <c r="W78" i="59"/>
  <c r="W122" i="59"/>
  <c r="Y120" i="59"/>
  <c r="W87" i="59"/>
  <c r="T118" i="59"/>
  <c r="T83" i="59"/>
  <c r="Y114" i="59"/>
  <c r="W113" i="59"/>
  <c r="Y111" i="59"/>
  <c r="W110" i="59"/>
  <c r="Y77" i="59"/>
  <c r="U108" i="59"/>
  <c r="W73" i="59"/>
  <c r="Y102" i="59"/>
  <c r="W101" i="59"/>
  <c r="Y99" i="59"/>
  <c r="W67" i="59"/>
  <c r="X20" i="59"/>
  <c r="U20" i="59"/>
  <c r="X13" i="59"/>
  <c r="Y13" i="59"/>
  <c r="V13" i="59"/>
  <c r="U13" i="59"/>
  <c r="Y10" i="59"/>
  <c r="T10" i="59"/>
  <c r="W5" i="59"/>
  <c r="T5" i="59"/>
  <c r="Y5" i="59"/>
  <c r="U5" i="59"/>
  <c r="Y70" i="59" l="1"/>
  <c r="T71" i="59"/>
  <c r="U101" i="59"/>
  <c r="U71" i="59"/>
  <c r="Y69" i="59"/>
  <c r="Y82" i="59"/>
  <c r="Y67" i="59"/>
  <c r="W90" i="59"/>
  <c r="W65" i="59"/>
  <c r="W84" i="59"/>
  <c r="E106" i="59"/>
  <c r="V74" i="59"/>
  <c r="Y66" i="59"/>
  <c r="X100" i="59"/>
  <c r="Y103" i="59"/>
  <c r="J106" i="59"/>
  <c r="R106" i="59"/>
  <c r="Y74" i="59"/>
  <c r="U107" i="59"/>
  <c r="W112" i="59"/>
  <c r="Y115" i="59"/>
  <c r="U117" i="59"/>
  <c r="U93" i="59"/>
  <c r="Y73" i="59"/>
  <c r="Y65" i="59"/>
  <c r="Y72" i="59"/>
  <c r="W81" i="59"/>
  <c r="Y97" i="59"/>
  <c r="T98" i="59"/>
  <c r="Y68" i="59"/>
  <c r="X102" i="59"/>
  <c r="U104" i="59"/>
  <c r="Y105" i="59"/>
  <c r="L106" i="59"/>
  <c r="T106" i="59"/>
  <c r="U110" i="59"/>
  <c r="W111" i="59"/>
  <c r="X112" i="59"/>
  <c r="W117" i="59"/>
  <c r="Y118" i="59"/>
  <c r="T119" i="59"/>
  <c r="W88" i="59"/>
  <c r="X78" i="59"/>
  <c r="W114" i="59"/>
  <c r="T110" i="59"/>
  <c r="X72" i="59"/>
  <c r="W76" i="59"/>
  <c r="X77" i="59"/>
  <c r="W86" i="59"/>
  <c r="W102" i="59"/>
  <c r="Y112" i="59"/>
  <c r="U75" i="59"/>
  <c r="X80" i="59"/>
  <c r="U87" i="59"/>
  <c r="U67" i="59"/>
  <c r="W79" i="59"/>
  <c r="V87" i="59"/>
  <c r="N106" i="59"/>
  <c r="V21" i="59"/>
  <c r="W96" i="59" s="1"/>
  <c r="T78" i="59"/>
  <c r="X69" i="59"/>
  <c r="X73" i="59"/>
  <c r="X76" i="59"/>
  <c r="V80" i="59"/>
  <c r="X114" i="59"/>
  <c r="H106" i="59"/>
  <c r="P106" i="59"/>
  <c r="X106" i="59"/>
  <c r="T75" i="59"/>
  <c r="Y98" i="59"/>
  <c r="V105" i="59"/>
  <c r="I106" i="59"/>
  <c r="Q106" i="59"/>
  <c r="Y106" i="59"/>
  <c r="W118" i="59"/>
  <c r="U120" i="59"/>
  <c r="W94" i="59"/>
  <c r="W68" i="59"/>
  <c r="V75" i="59"/>
  <c r="U99" i="59"/>
  <c r="K106" i="59"/>
  <c r="S106" i="59"/>
  <c r="T20" i="59"/>
  <c r="U95" i="59" s="1"/>
  <c r="U106" i="59"/>
  <c r="W97" i="59"/>
  <c r="V67" i="59"/>
  <c r="V72" i="59"/>
  <c r="F106" i="59"/>
  <c r="V106" i="59"/>
  <c r="W106" i="59"/>
  <c r="Y85" i="59"/>
  <c r="Y90" i="59"/>
  <c r="Y76" i="59"/>
  <c r="Y81" i="59"/>
  <c r="Y83" i="59"/>
  <c r="U90" i="59"/>
  <c r="V68" i="59"/>
  <c r="Y101" i="59"/>
  <c r="T70" i="59"/>
  <c r="W71" i="59"/>
  <c r="V76" i="59"/>
  <c r="W77" i="59"/>
  <c r="Y78" i="59"/>
  <c r="U111" i="59"/>
  <c r="U80" i="59"/>
  <c r="Y113" i="59"/>
  <c r="T82" i="59"/>
  <c r="W83" i="59"/>
  <c r="X84" i="59"/>
  <c r="Y119" i="59"/>
  <c r="W89" i="59"/>
  <c r="Y88" i="59"/>
  <c r="Y86" i="59"/>
  <c r="Y79" i="59"/>
  <c r="Y95" i="59"/>
  <c r="W95" i="59"/>
  <c r="Y94" i="59"/>
  <c r="W93" i="59"/>
  <c r="V95" i="59"/>
  <c r="Y96" i="59"/>
  <c r="U78" i="59"/>
  <c r="Y87" i="59"/>
  <c r="U66" i="59"/>
  <c r="U70" i="59"/>
  <c r="U74" i="59"/>
  <c r="U112" i="59"/>
  <c r="U84" i="59"/>
  <c r="W121" i="59"/>
  <c r="U97" i="59"/>
  <c r="U105" i="59"/>
  <c r="Y110" i="59"/>
  <c r="X81" i="59"/>
  <c r="U86" i="59"/>
  <c r="V97" i="59"/>
  <c r="X98" i="59"/>
  <c r="W109" i="59"/>
  <c r="U83" i="59"/>
  <c r="W108" i="59"/>
  <c r="X74" i="59"/>
  <c r="T79" i="59"/>
  <c r="U88" i="59"/>
  <c r="U68" i="59"/>
  <c r="U72" i="59"/>
  <c r="U76" i="59"/>
  <c r="U79" i="59"/>
  <c r="U82" i="59"/>
  <c r="W100" i="59"/>
  <c r="X96" i="59"/>
  <c r="X95" i="59"/>
  <c r="W70" i="59"/>
  <c r="T66" i="59"/>
  <c r="X68" i="59"/>
  <c r="V71" i="59"/>
  <c r="T74" i="59"/>
  <c r="V83" i="59"/>
  <c r="T86" i="59"/>
  <c r="X88" i="59"/>
  <c r="V93" i="59"/>
  <c r="X94" i="59"/>
  <c r="T100" i="59"/>
  <c r="T104" i="59"/>
  <c r="T116" i="59"/>
  <c r="V117" i="59"/>
  <c r="X118" i="59"/>
  <c r="V121" i="59"/>
  <c r="V5" i="59"/>
  <c r="T65" i="59"/>
  <c r="V66" i="59"/>
  <c r="X67" i="59"/>
  <c r="T69" i="59"/>
  <c r="V70" i="59"/>
  <c r="X71" i="59"/>
  <c r="T73" i="59"/>
  <c r="X75" i="59"/>
  <c r="T77" i="59"/>
  <c r="V78" i="59"/>
  <c r="X79" i="59"/>
  <c r="T81" i="59"/>
  <c r="V82" i="59"/>
  <c r="X83" i="59"/>
  <c r="T85" i="59"/>
  <c r="V86" i="59"/>
  <c r="X87" i="59"/>
  <c r="T89" i="59"/>
  <c r="V90" i="59"/>
  <c r="X93" i="59"/>
  <c r="X97" i="59"/>
  <c r="T99" i="59"/>
  <c r="V100" i="59"/>
  <c r="X101" i="59"/>
  <c r="T103" i="59"/>
  <c r="V104" i="59"/>
  <c r="X105" i="59"/>
  <c r="T107" i="59"/>
  <c r="V108" i="59"/>
  <c r="X109" i="59"/>
  <c r="T111" i="59"/>
  <c r="V112" i="59"/>
  <c r="X113" i="59"/>
  <c r="T115" i="59"/>
  <c r="V116" i="59"/>
  <c r="X117" i="59"/>
  <c r="V120" i="59"/>
  <c r="X121" i="59"/>
  <c r="W66" i="59"/>
  <c r="U89" i="59"/>
  <c r="Y117" i="59"/>
  <c r="Y121" i="59"/>
  <c r="T21" i="59"/>
  <c r="V65" i="59"/>
  <c r="V69" i="59"/>
  <c r="T84" i="59"/>
  <c r="T94" i="59"/>
  <c r="T102" i="59"/>
  <c r="V107" i="59"/>
  <c r="T122" i="59"/>
  <c r="U21" i="59"/>
  <c r="U98" i="59"/>
  <c r="W99" i="59"/>
  <c r="Y100" i="59"/>
  <c r="U102" i="59"/>
  <c r="W103" i="59"/>
  <c r="Y104" i="59"/>
  <c r="W107" i="59"/>
  <c r="Y108" i="59"/>
  <c r="U114" i="59"/>
  <c r="W115" i="59"/>
  <c r="Y116" i="59"/>
  <c r="U118" i="59"/>
  <c r="W119" i="59"/>
  <c r="U122" i="59"/>
  <c r="U81" i="59"/>
  <c r="Y109" i="59"/>
  <c r="W116" i="59"/>
  <c r="U119" i="59"/>
  <c r="X5" i="59"/>
  <c r="X66" i="59"/>
  <c r="X70" i="59"/>
  <c r="V73" i="59"/>
  <c r="T76" i="59"/>
  <c r="V77" i="59"/>
  <c r="V81" i="59"/>
  <c r="V85" i="59"/>
  <c r="T88" i="59"/>
  <c r="X90" i="59"/>
  <c r="V99" i="59"/>
  <c r="X104" i="59"/>
  <c r="X108" i="59"/>
  <c r="X120" i="59"/>
  <c r="X65" i="59"/>
  <c r="V84" i="59"/>
  <c r="X85" i="59"/>
  <c r="T87" i="59"/>
  <c r="V88" i="59"/>
  <c r="X89" i="59"/>
  <c r="T93" i="59"/>
  <c r="T97" i="59"/>
  <c r="V98" i="59"/>
  <c r="X99" i="59"/>
  <c r="T101" i="59"/>
  <c r="V102" i="59"/>
  <c r="X103" i="59"/>
  <c r="T105" i="59"/>
  <c r="X107" i="59"/>
  <c r="T109" i="59"/>
  <c r="V110" i="59"/>
  <c r="X111" i="59"/>
  <c r="T113" i="59"/>
  <c r="V114" i="59"/>
  <c r="X115" i="59"/>
  <c r="T117" i="59"/>
  <c r="V118" i="59"/>
  <c r="X119" i="59"/>
  <c r="T121" i="59"/>
  <c r="V122" i="59"/>
  <c r="U69" i="59"/>
  <c r="U73" i="59"/>
  <c r="W82" i="59"/>
  <c r="U85" i="59"/>
  <c r="W120" i="59"/>
  <c r="T68" i="59"/>
  <c r="T72" i="59"/>
  <c r="X82" i="59"/>
  <c r="X86" i="59"/>
  <c r="V89" i="59"/>
  <c r="T114" i="59"/>
  <c r="X116" i="59"/>
  <c r="V119" i="59"/>
  <c r="U65" i="59"/>
  <c r="U77" i="59"/>
  <c r="V79" i="59"/>
  <c r="T108" i="59"/>
  <c r="V109" i="59"/>
  <c r="T120" i="59"/>
  <c r="V96" i="59" l="1"/>
  <c r="U96" i="59"/>
  <c r="D13" i="59" l="1"/>
  <c r="D10" i="59"/>
  <c r="O13" i="59"/>
  <c r="E13" i="59"/>
  <c r="S13" i="59"/>
  <c r="R13" i="59"/>
  <c r="Q13" i="59"/>
  <c r="P13" i="59"/>
  <c r="N13" i="59"/>
  <c r="M13" i="59"/>
  <c r="L13" i="59"/>
  <c r="K13" i="59"/>
  <c r="J13" i="59"/>
  <c r="I13" i="59"/>
  <c r="H13" i="59"/>
  <c r="G13" i="59"/>
  <c r="F13" i="59"/>
  <c r="S10" i="59"/>
  <c r="R10" i="59"/>
  <c r="Q10" i="59"/>
  <c r="P10" i="59"/>
  <c r="O10" i="59"/>
  <c r="N10" i="59"/>
  <c r="M10" i="59"/>
  <c r="L10" i="59"/>
  <c r="K10" i="59"/>
  <c r="J10" i="59"/>
  <c r="I10" i="59"/>
  <c r="H10" i="59"/>
  <c r="G10" i="59"/>
  <c r="F10" i="59"/>
  <c r="E10" i="59"/>
  <c r="B6" i="4"/>
  <c r="B5" i="4"/>
  <c r="B4" i="4"/>
  <c r="B7" i="4"/>
  <c r="G5" i="59" l="1"/>
  <c r="S5" i="59"/>
  <c r="O5" i="59"/>
  <c r="R5" i="59"/>
  <c r="N5" i="59"/>
  <c r="J5" i="59"/>
  <c r="F5" i="59"/>
  <c r="K5" i="59"/>
  <c r="Q5" i="59"/>
  <c r="M5" i="59"/>
  <c r="I5" i="59"/>
  <c r="E5" i="59"/>
  <c r="P5" i="59"/>
  <c r="L5" i="59"/>
  <c r="H5" i="59"/>
  <c r="D5" i="59"/>
  <c r="S21" i="59" l="1"/>
  <c r="T96" i="59" s="1"/>
  <c r="N21" i="59" l="1"/>
  <c r="F21" i="59"/>
  <c r="I21" i="59"/>
  <c r="P21" i="59"/>
  <c r="K21" i="59"/>
  <c r="I94" i="59"/>
  <c r="H21" i="59"/>
  <c r="Q94" i="59"/>
  <c r="I96" i="59" l="1"/>
  <c r="F94" i="59"/>
  <c r="E21" i="59"/>
  <c r="F96" i="59" s="1"/>
  <c r="P94" i="59"/>
  <c r="O21" i="59"/>
  <c r="P96" i="59" s="1"/>
  <c r="N94" i="59"/>
  <c r="M21" i="59"/>
  <c r="N96" i="59" s="1"/>
  <c r="Q21" i="59"/>
  <c r="O94" i="59"/>
  <c r="O96" i="59" l="1"/>
  <c r="S94" i="59"/>
  <c r="R21" i="59"/>
  <c r="S96" i="59" s="1"/>
  <c r="E94" i="59"/>
  <c r="D21" i="59"/>
  <c r="E96" i="59" s="1"/>
  <c r="G21" i="59"/>
  <c r="H94" i="59"/>
  <c r="G94" i="59"/>
  <c r="M94" i="59"/>
  <c r="L21" i="59"/>
  <c r="L94" i="59"/>
  <c r="J21" i="59"/>
  <c r="K94" i="59"/>
  <c r="J94" i="59"/>
  <c r="R94" i="59"/>
  <c r="Q96" i="59"/>
  <c r="R96" i="59" l="1"/>
  <c r="H96" i="59"/>
  <c r="G96" i="59"/>
  <c r="K96" i="59"/>
  <c r="J96" i="59"/>
  <c r="M96" i="59"/>
  <c r="L96" i="59"/>
  <c r="S20" i="59" l="1"/>
  <c r="T95" i="59" s="1"/>
  <c r="S71" i="59"/>
  <c r="S70" i="59"/>
  <c r="S66" i="59"/>
  <c r="S72" i="59" l="1"/>
  <c r="G108" i="59"/>
  <c r="S69" i="59"/>
  <c r="S73" i="59"/>
  <c r="F108" i="59"/>
  <c r="I108" i="59"/>
  <c r="S108" i="59"/>
  <c r="M108" i="59"/>
  <c r="R108" i="59"/>
  <c r="L108" i="59"/>
  <c r="P108" i="59"/>
  <c r="S84" i="59"/>
  <c r="O103" i="59"/>
  <c r="N71" i="59"/>
  <c r="I81" i="59"/>
  <c r="J113" i="59"/>
  <c r="H77" i="59"/>
  <c r="I109" i="59"/>
  <c r="N100" i="59"/>
  <c r="M68" i="59"/>
  <c r="E81" i="59"/>
  <c r="F113" i="59"/>
  <c r="K107" i="59"/>
  <c r="J75" i="59"/>
  <c r="P102" i="59"/>
  <c r="O70" i="59"/>
  <c r="O73" i="59"/>
  <c r="P105" i="59"/>
  <c r="K70" i="59"/>
  <c r="L102" i="59"/>
  <c r="N105" i="59"/>
  <c r="M73" i="59"/>
  <c r="M100" i="59"/>
  <c r="L68" i="59"/>
  <c r="O99" i="59"/>
  <c r="N67" i="59"/>
  <c r="R70" i="59"/>
  <c r="S102" i="59"/>
  <c r="R73" i="59"/>
  <c r="S105" i="59"/>
  <c r="O107" i="59"/>
  <c r="N75" i="59"/>
  <c r="E103" i="59"/>
  <c r="D71" i="59"/>
  <c r="H70" i="59"/>
  <c r="I102" i="59"/>
  <c r="R65" i="59"/>
  <c r="R76" i="59"/>
  <c r="S97" i="59"/>
  <c r="Q101" i="59"/>
  <c r="P69" i="59"/>
  <c r="Q69" i="59"/>
  <c r="R101" i="59"/>
  <c r="K115" i="59"/>
  <c r="J83" i="59"/>
  <c r="K75" i="59"/>
  <c r="L107" i="59"/>
  <c r="O100" i="59"/>
  <c r="N68" i="59"/>
  <c r="K20" i="59"/>
  <c r="L93" i="59"/>
  <c r="Q70" i="59"/>
  <c r="R102" i="59"/>
  <c r="F115" i="59"/>
  <c r="E83" i="59"/>
  <c r="Q109" i="59"/>
  <c r="P77" i="59"/>
  <c r="O93" i="59"/>
  <c r="N20" i="59"/>
  <c r="G97" i="59"/>
  <c r="F65" i="59"/>
  <c r="F76" i="59"/>
  <c r="K104" i="59"/>
  <c r="J72" i="59"/>
  <c r="G105" i="59"/>
  <c r="F73" i="59"/>
  <c r="Q81" i="59"/>
  <c r="R113" i="59"/>
  <c r="E104" i="59"/>
  <c r="D72" i="59"/>
  <c r="I83" i="59"/>
  <c r="J115" i="59"/>
  <c r="F74" i="59"/>
  <c r="L99" i="59"/>
  <c r="K67" i="59"/>
  <c r="H68" i="59"/>
  <c r="I100" i="59"/>
  <c r="H82" i="59"/>
  <c r="I114" i="59"/>
  <c r="O77" i="59"/>
  <c r="P109" i="59"/>
  <c r="M77" i="59"/>
  <c r="N109" i="59"/>
  <c r="H73" i="59"/>
  <c r="I105" i="59"/>
  <c r="K74" i="59"/>
  <c r="F100" i="59"/>
  <c r="E68" i="59"/>
  <c r="N74" i="59"/>
  <c r="S82" i="59"/>
  <c r="H113" i="59"/>
  <c r="G81" i="59"/>
  <c r="I93" i="59"/>
  <c r="H20" i="59"/>
  <c r="M107" i="59"/>
  <c r="L75" i="59"/>
  <c r="S65" i="59"/>
  <c r="S76" i="59"/>
  <c r="E71" i="59"/>
  <c r="F103" i="59"/>
  <c r="H71" i="59"/>
  <c r="I103" i="59"/>
  <c r="H83" i="59"/>
  <c r="I115" i="59"/>
  <c r="J103" i="59"/>
  <c r="I71" i="59"/>
  <c r="K103" i="59"/>
  <c r="J71" i="59"/>
  <c r="K71" i="59"/>
  <c r="L103" i="59"/>
  <c r="Q102" i="59"/>
  <c r="P70" i="59"/>
  <c r="J100" i="59"/>
  <c r="I68" i="59"/>
  <c r="M104" i="59"/>
  <c r="L72" i="59"/>
  <c r="H115" i="59"/>
  <c r="G83" i="59"/>
  <c r="L105" i="59"/>
  <c r="K73" i="59"/>
  <c r="R67" i="59"/>
  <c r="S99" i="59"/>
  <c r="K102" i="59"/>
  <c r="J70" i="59"/>
  <c r="L114" i="59"/>
  <c r="K82" i="59"/>
  <c r="H85" i="59"/>
  <c r="S85" i="59"/>
  <c r="K98" i="59"/>
  <c r="J66" i="59"/>
  <c r="R116" i="59"/>
  <c r="Q84" i="59"/>
  <c r="S80" i="59"/>
  <c r="L66" i="59"/>
  <c r="H98" i="59"/>
  <c r="G66" i="59"/>
  <c r="Q98" i="59"/>
  <c r="P66" i="59"/>
  <c r="F84" i="59"/>
  <c r="S86" i="59"/>
  <c r="H80" i="59"/>
  <c r="P116" i="59"/>
  <c r="O84" i="59"/>
  <c r="M119" i="59"/>
  <c r="L87" i="59"/>
  <c r="G93" i="59"/>
  <c r="F20" i="59"/>
  <c r="M102" i="59"/>
  <c r="L70" i="59"/>
  <c r="J74" i="59"/>
  <c r="N102" i="59"/>
  <c r="M70" i="59"/>
  <c r="M82" i="59"/>
  <c r="N114" i="59"/>
  <c r="P101" i="59"/>
  <c r="O69" i="59"/>
  <c r="O74" i="59"/>
  <c r="M20" i="59"/>
  <c r="N93" i="59"/>
  <c r="D69" i="59"/>
  <c r="E101" i="59"/>
  <c r="N99" i="59"/>
  <c r="M67" i="59"/>
  <c r="Q74" i="59"/>
  <c r="Q103" i="59"/>
  <c r="P71" i="59"/>
  <c r="L113" i="59"/>
  <c r="K81" i="59"/>
  <c r="K113" i="59"/>
  <c r="J81" i="59"/>
  <c r="P104" i="59"/>
  <c r="O72" i="59"/>
  <c r="H74" i="59"/>
  <c r="R68" i="59"/>
  <c r="S100" i="59"/>
  <c r="F107" i="59"/>
  <c r="E75" i="59"/>
  <c r="M114" i="59"/>
  <c r="L82" i="59"/>
  <c r="Q71" i="59"/>
  <c r="R103" i="59"/>
  <c r="R75" i="59"/>
  <c r="S107" i="59"/>
  <c r="P74" i="59"/>
  <c r="P76" i="59"/>
  <c r="Q97" i="59"/>
  <c r="P65" i="59"/>
  <c r="Q72" i="59"/>
  <c r="R104" i="59"/>
  <c r="H103" i="59"/>
  <c r="G71" i="59"/>
  <c r="M113" i="59"/>
  <c r="L81" i="59"/>
  <c r="G113" i="59"/>
  <c r="F81" i="59"/>
  <c r="P103" i="59"/>
  <c r="O71" i="59"/>
  <c r="L74" i="59"/>
  <c r="G115" i="59"/>
  <c r="F83" i="59"/>
  <c r="R74" i="59"/>
  <c r="H100" i="59"/>
  <c r="G68" i="59"/>
  <c r="O109" i="59"/>
  <c r="N77" i="59"/>
  <c r="M103" i="59"/>
  <c r="L71" i="59"/>
  <c r="S81" i="59"/>
  <c r="P115" i="59"/>
  <c r="O83" i="59"/>
  <c r="F102" i="59"/>
  <c r="E70" i="59"/>
  <c r="G100" i="59"/>
  <c r="F68" i="59"/>
  <c r="P114" i="59"/>
  <c r="O82" i="59"/>
  <c r="L65" i="59"/>
  <c r="M97" i="59"/>
  <c r="L76" i="59"/>
  <c r="M76" i="59"/>
  <c r="N97" i="59"/>
  <c r="M65" i="59"/>
  <c r="E73" i="59"/>
  <c r="F105" i="59"/>
  <c r="G109" i="59"/>
  <c r="F77" i="59"/>
  <c r="H75" i="59"/>
  <c r="I107" i="59"/>
  <c r="G77" i="59"/>
  <c r="H109" i="59"/>
  <c r="J105" i="59"/>
  <c r="I73" i="59"/>
  <c r="F114" i="59"/>
  <c r="E82" i="59"/>
  <c r="K105" i="59"/>
  <c r="J73" i="59"/>
  <c r="G72" i="59"/>
  <c r="H104" i="59"/>
  <c r="H81" i="59"/>
  <c r="I113" i="59"/>
  <c r="J102" i="59"/>
  <c r="I70" i="59"/>
  <c r="J20" i="59"/>
  <c r="K93" i="59"/>
  <c r="O102" i="59"/>
  <c r="N70" i="59"/>
  <c r="H67" i="59"/>
  <c r="I99" i="59"/>
  <c r="G74" i="59"/>
  <c r="Q100" i="59"/>
  <c r="P68" i="59"/>
  <c r="P20" i="59"/>
  <c r="Q93" i="59"/>
  <c r="H72" i="59"/>
  <c r="I104" i="59"/>
  <c r="H66" i="59"/>
  <c r="F98" i="59"/>
  <c r="E66" i="59"/>
  <c r="R98" i="59"/>
  <c r="Q66" i="59"/>
  <c r="K84" i="59"/>
  <c r="K66" i="59"/>
  <c r="L98" i="59"/>
  <c r="R84" i="59"/>
  <c r="S116" i="59"/>
  <c r="K101" i="59"/>
  <c r="J69" i="59"/>
  <c r="Q105" i="59"/>
  <c r="P73" i="59"/>
  <c r="D81" i="59"/>
  <c r="E113" i="59"/>
  <c r="N104" i="59"/>
  <c r="M72" i="59"/>
  <c r="R115" i="59"/>
  <c r="Q83" i="59"/>
  <c r="P93" i="59"/>
  <c r="O20" i="59"/>
  <c r="O81" i="59"/>
  <c r="P113" i="59"/>
  <c r="N101" i="59"/>
  <c r="M69" i="59"/>
  <c r="Q82" i="59"/>
  <c r="R114" i="59"/>
  <c r="Q76" i="59"/>
  <c r="R97" i="59"/>
  <c r="Q65" i="59"/>
  <c r="R69" i="59"/>
  <c r="S101" i="59"/>
  <c r="S77" i="59"/>
  <c r="O115" i="59"/>
  <c r="N83" i="59"/>
  <c r="E77" i="59"/>
  <c r="F109" i="59"/>
  <c r="O65" i="59"/>
  <c r="P97" i="59"/>
  <c r="O76" i="59"/>
  <c r="Q73" i="59"/>
  <c r="R105" i="59"/>
  <c r="R77" i="59"/>
  <c r="S109" i="59"/>
  <c r="E107" i="59"/>
  <c r="D75" i="59"/>
  <c r="F97" i="59"/>
  <c r="E65" i="59"/>
  <c r="E76" i="59"/>
  <c r="Q99" i="59"/>
  <c r="P67" i="59"/>
  <c r="M81" i="59"/>
  <c r="N113" i="59"/>
  <c r="G114" i="59"/>
  <c r="F82" i="59"/>
  <c r="P107" i="59"/>
  <c r="O75" i="59"/>
  <c r="G107" i="59"/>
  <c r="F75" i="59"/>
  <c r="G102" i="59"/>
  <c r="F70" i="59"/>
  <c r="G65" i="59"/>
  <c r="H97" i="59"/>
  <c r="G76" i="59"/>
  <c r="S75" i="59"/>
  <c r="D77" i="59"/>
  <c r="E109" i="59"/>
  <c r="M99" i="59"/>
  <c r="L67" i="59"/>
  <c r="K99" i="59"/>
  <c r="J67" i="59"/>
  <c r="O101" i="59"/>
  <c r="N69" i="59"/>
  <c r="K114" i="59"/>
  <c r="J82" i="59"/>
  <c r="M93" i="59"/>
  <c r="L20" i="59"/>
  <c r="F104" i="59"/>
  <c r="E72" i="59"/>
  <c r="O105" i="59"/>
  <c r="N73" i="59"/>
  <c r="O114" i="59"/>
  <c r="N82" i="59"/>
  <c r="K69" i="59"/>
  <c r="L101" i="59"/>
  <c r="G101" i="59"/>
  <c r="F69" i="59"/>
  <c r="M101" i="59"/>
  <c r="L69" i="59"/>
  <c r="G20" i="59"/>
  <c r="H93" i="59"/>
  <c r="E67" i="59"/>
  <c r="F99" i="59"/>
  <c r="J114" i="59"/>
  <c r="I82" i="59"/>
  <c r="S68" i="59"/>
  <c r="I67" i="59"/>
  <c r="J99" i="59"/>
  <c r="M74" i="59"/>
  <c r="O113" i="59"/>
  <c r="N81" i="59"/>
  <c r="L109" i="59"/>
  <c r="K77" i="59"/>
  <c r="J104" i="59"/>
  <c r="I72" i="59"/>
  <c r="O104" i="59"/>
  <c r="N72" i="59"/>
  <c r="S67" i="59"/>
  <c r="M109" i="59"/>
  <c r="L77" i="59"/>
  <c r="E105" i="59"/>
  <c r="D73" i="59"/>
  <c r="E99" i="59"/>
  <c r="D67" i="59"/>
  <c r="H84" i="59"/>
  <c r="I116" i="59"/>
  <c r="I84" i="59"/>
  <c r="J116" i="59"/>
  <c r="S88" i="59"/>
  <c r="G98" i="59"/>
  <c r="F66" i="59"/>
  <c r="K116" i="59"/>
  <c r="J84" i="59"/>
  <c r="R93" i="59"/>
  <c r="Q20" i="59"/>
  <c r="Q107" i="59"/>
  <c r="P75" i="59"/>
  <c r="E114" i="59"/>
  <c r="D82" i="59"/>
  <c r="I75" i="59"/>
  <c r="J107" i="59"/>
  <c r="K72" i="59"/>
  <c r="L104" i="59"/>
  <c r="N76" i="59"/>
  <c r="O97" i="59"/>
  <c r="N65" i="59"/>
  <c r="Q113" i="59"/>
  <c r="P81" i="59"/>
  <c r="M105" i="59"/>
  <c r="L73" i="59"/>
  <c r="N103" i="59"/>
  <c r="M71" i="59"/>
  <c r="R72" i="59"/>
  <c r="S104" i="59"/>
  <c r="Q115" i="59"/>
  <c r="P83" i="59"/>
  <c r="R71" i="59"/>
  <c r="S103" i="59"/>
  <c r="G103" i="59"/>
  <c r="F71" i="59"/>
  <c r="K83" i="59"/>
  <c r="L115" i="59"/>
  <c r="K76" i="59"/>
  <c r="L97" i="59"/>
  <c r="K65" i="59"/>
  <c r="E97" i="59"/>
  <c r="D76" i="59"/>
  <c r="D65" i="59"/>
  <c r="S74" i="59"/>
  <c r="G99" i="59"/>
  <c r="F67" i="59"/>
  <c r="Q67" i="59"/>
  <c r="R99" i="59"/>
  <c r="I77" i="59"/>
  <c r="J109" i="59"/>
  <c r="R82" i="59"/>
  <c r="S114" i="59"/>
  <c r="S93" i="59"/>
  <c r="R20" i="59"/>
  <c r="S95" i="59" s="1"/>
  <c r="R100" i="59"/>
  <c r="Q68" i="59"/>
  <c r="D74" i="59"/>
  <c r="H107" i="59"/>
  <c r="G75" i="59"/>
  <c r="G82" i="59"/>
  <c r="H114" i="59"/>
  <c r="J76" i="59"/>
  <c r="K97" i="59"/>
  <c r="J65" i="59"/>
  <c r="N107" i="59"/>
  <c r="M75" i="59"/>
  <c r="Q75" i="59"/>
  <c r="R107" i="59"/>
  <c r="G104" i="59"/>
  <c r="F72" i="59"/>
  <c r="E93" i="59"/>
  <c r="D20" i="59"/>
  <c r="S83" i="59"/>
  <c r="H99" i="59"/>
  <c r="G67" i="59"/>
  <c r="Q114" i="59"/>
  <c r="P82" i="59"/>
  <c r="I20" i="59"/>
  <c r="J93" i="59"/>
  <c r="E102" i="59"/>
  <c r="D70" i="59"/>
  <c r="O67" i="59"/>
  <c r="P99" i="59"/>
  <c r="I76" i="59"/>
  <c r="I65" i="59"/>
  <c r="J97" i="59"/>
  <c r="E74" i="59"/>
  <c r="L100" i="59"/>
  <c r="K68" i="59"/>
  <c r="R83" i="59"/>
  <c r="S115" i="59"/>
  <c r="G70" i="59"/>
  <c r="H102" i="59"/>
  <c r="R81" i="59"/>
  <c r="S113" i="59"/>
  <c r="Q104" i="59"/>
  <c r="P72" i="59"/>
  <c r="F101" i="59"/>
  <c r="E69" i="59"/>
  <c r="M83" i="59"/>
  <c r="N115" i="59"/>
  <c r="E100" i="59"/>
  <c r="D68" i="59"/>
  <c r="J101" i="59"/>
  <c r="I69" i="59"/>
  <c r="Q77" i="59"/>
  <c r="R109" i="59"/>
  <c r="H76" i="59"/>
  <c r="H65" i="59"/>
  <c r="I97" i="59"/>
  <c r="K100" i="59"/>
  <c r="J68" i="59"/>
  <c r="H105" i="59"/>
  <c r="G73" i="59"/>
  <c r="I74" i="59"/>
  <c r="H69" i="59"/>
  <c r="I101" i="59"/>
  <c r="F93" i="59"/>
  <c r="E20" i="59"/>
  <c r="K109" i="59"/>
  <c r="J77" i="59"/>
  <c r="O68" i="59"/>
  <c r="P100" i="59"/>
  <c r="H101" i="59"/>
  <c r="G69" i="59"/>
  <c r="E115" i="59"/>
  <c r="D83" i="59"/>
  <c r="M115" i="59"/>
  <c r="L83" i="59"/>
  <c r="O98" i="59"/>
  <c r="N66" i="59"/>
  <c r="S90" i="59"/>
  <c r="Q116" i="59"/>
  <c r="P84" i="59"/>
  <c r="M84" i="59"/>
  <c r="N116" i="59"/>
  <c r="S87" i="59"/>
  <c r="S89" i="59"/>
  <c r="N95" i="59" l="1"/>
  <c r="F95" i="59"/>
  <c r="P95" i="59"/>
  <c r="H95" i="59"/>
  <c r="J95" i="59"/>
  <c r="M95" i="59"/>
  <c r="K95" i="59"/>
  <c r="E108" i="59"/>
  <c r="K108" i="59"/>
  <c r="H108" i="59"/>
  <c r="J108" i="59"/>
  <c r="Q108" i="59"/>
  <c r="O108" i="59"/>
  <c r="N108" i="59"/>
  <c r="R118" i="59"/>
  <c r="Q86" i="59"/>
  <c r="H87" i="59"/>
  <c r="I119" i="59"/>
  <c r="F117" i="59"/>
  <c r="E85" i="59"/>
  <c r="O80" i="59"/>
  <c r="P112" i="59"/>
  <c r="R89" i="59"/>
  <c r="S121" i="59"/>
  <c r="O118" i="59"/>
  <c r="N86" i="59"/>
  <c r="E119" i="59"/>
  <c r="D87" i="59"/>
  <c r="E116" i="59"/>
  <c r="D84" i="59"/>
  <c r="K110" i="59"/>
  <c r="J78" i="59"/>
  <c r="O110" i="59"/>
  <c r="N78" i="59"/>
  <c r="N121" i="59"/>
  <c r="M89" i="59"/>
  <c r="E122" i="59"/>
  <c r="D90" i="59"/>
  <c r="J98" i="59"/>
  <c r="I66" i="59"/>
  <c r="E120" i="59"/>
  <c r="D88" i="59"/>
  <c r="S78" i="59"/>
  <c r="E121" i="59"/>
  <c r="D89" i="59"/>
  <c r="P117" i="59"/>
  <c r="O85" i="59"/>
  <c r="M118" i="59"/>
  <c r="L86" i="59"/>
  <c r="L122" i="59"/>
  <c r="K90" i="59"/>
  <c r="F116" i="59"/>
  <c r="E84" i="59"/>
  <c r="M87" i="59"/>
  <c r="N119" i="59"/>
  <c r="K112" i="59"/>
  <c r="J80" i="59"/>
  <c r="R122" i="59"/>
  <c r="Q90" i="59"/>
  <c r="F120" i="59"/>
  <c r="E88" i="59"/>
  <c r="P121" i="59"/>
  <c r="O89" i="59"/>
  <c r="R88" i="59"/>
  <c r="S120" i="59"/>
  <c r="H120" i="59"/>
  <c r="G88" i="59"/>
  <c r="M88" i="59"/>
  <c r="N120" i="59"/>
  <c r="Q79" i="59"/>
  <c r="R111" i="59"/>
  <c r="H112" i="59"/>
  <c r="G80" i="59"/>
  <c r="H117" i="59"/>
  <c r="G85" i="59"/>
  <c r="H121" i="59"/>
  <c r="G89" i="59"/>
  <c r="R86" i="59"/>
  <c r="S118" i="59"/>
  <c r="I88" i="59"/>
  <c r="J120" i="59"/>
  <c r="O121" i="59"/>
  <c r="N89" i="59"/>
  <c r="M122" i="59"/>
  <c r="L90" i="59"/>
  <c r="M111" i="59"/>
  <c r="L79" i="59"/>
  <c r="M78" i="59"/>
  <c r="N110" i="59"/>
  <c r="G121" i="59"/>
  <c r="F89" i="59"/>
  <c r="R79" i="59"/>
  <c r="S111" i="59"/>
  <c r="G110" i="59"/>
  <c r="F78" i="59"/>
  <c r="H86" i="59"/>
  <c r="I118" i="59"/>
  <c r="Q89" i="59"/>
  <c r="R121" i="59"/>
  <c r="I86" i="59"/>
  <c r="J118" i="59"/>
  <c r="L120" i="59"/>
  <c r="K88" i="59"/>
  <c r="Q111" i="59"/>
  <c r="P79" i="59"/>
  <c r="I90" i="59"/>
  <c r="J122" i="59"/>
  <c r="G90" i="59"/>
  <c r="H122" i="59"/>
  <c r="Q95" i="59"/>
  <c r="G95" i="59"/>
  <c r="M85" i="59"/>
  <c r="N117" i="59"/>
  <c r="Q80" i="59"/>
  <c r="R112" i="59"/>
  <c r="L111" i="59"/>
  <c r="K79" i="59"/>
  <c r="J117" i="59"/>
  <c r="I85" i="59"/>
  <c r="J121" i="59"/>
  <c r="I89" i="59"/>
  <c r="H110" i="59"/>
  <c r="G78" i="59"/>
  <c r="I95" i="59"/>
  <c r="J111" i="59"/>
  <c r="I79" i="59"/>
  <c r="K89" i="59"/>
  <c r="L121" i="59"/>
  <c r="E118" i="59"/>
  <c r="D86" i="59"/>
  <c r="G117" i="59"/>
  <c r="F85" i="59"/>
  <c r="O112" i="59"/>
  <c r="N80" i="59"/>
  <c r="F112" i="59"/>
  <c r="E80" i="59"/>
  <c r="H111" i="59"/>
  <c r="G79" i="59"/>
  <c r="J112" i="59"/>
  <c r="I80" i="59"/>
  <c r="E95" i="59"/>
  <c r="I98" i="59"/>
  <c r="R87" i="59"/>
  <c r="S119" i="59"/>
  <c r="F118" i="59"/>
  <c r="E86" i="59"/>
  <c r="K122" i="59"/>
  <c r="J90" i="59"/>
  <c r="O119" i="59"/>
  <c r="N87" i="59"/>
  <c r="O117" i="59"/>
  <c r="N85" i="59"/>
  <c r="Q112" i="59"/>
  <c r="P80" i="59"/>
  <c r="H118" i="59"/>
  <c r="G86" i="59"/>
  <c r="E110" i="59"/>
  <c r="D78" i="59"/>
  <c r="I117" i="59"/>
  <c r="R95" i="59"/>
  <c r="M117" i="59"/>
  <c r="L85" i="59"/>
  <c r="P120" i="59"/>
  <c r="O88" i="59"/>
  <c r="K120" i="59"/>
  <c r="J88" i="59"/>
  <c r="M90" i="59"/>
  <c r="N122" i="59"/>
  <c r="G112" i="59"/>
  <c r="F80" i="59"/>
  <c r="F119" i="59"/>
  <c r="E87" i="59"/>
  <c r="M121" i="59"/>
  <c r="L89" i="59"/>
  <c r="M116" i="59"/>
  <c r="L84" i="59"/>
  <c r="P98" i="59"/>
  <c r="O66" i="59"/>
  <c r="H90" i="59"/>
  <c r="I122" i="59"/>
  <c r="F111" i="59"/>
  <c r="E79" i="59"/>
  <c r="H79" i="59"/>
  <c r="I111" i="59"/>
  <c r="N98" i="59"/>
  <c r="M66" i="59"/>
  <c r="M86" i="59"/>
  <c r="N118" i="59"/>
  <c r="G118" i="59"/>
  <c r="F86" i="59"/>
  <c r="G119" i="59"/>
  <c r="F87" i="59"/>
  <c r="P111" i="59"/>
  <c r="O79" i="59"/>
  <c r="L117" i="59"/>
  <c r="K85" i="59"/>
  <c r="E98" i="59"/>
  <c r="D66" i="59"/>
  <c r="M120" i="59"/>
  <c r="L88" i="59"/>
  <c r="K80" i="59"/>
  <c r="L112" i="59"/>
  <c r="O95" i="59"/>
  <c r="E112" i="59"/>
  <c r="D80" i="59"/>
  <c r="K121" i="59"/>
  <c r="J89" i="59"/>
  <c r="P110" i="59"/>
  <c r="O78" i="59"/>
  <c r="Q78" i="59"/>
  <c r="R110" i="59"/>
  <c r="R120" i="59"/>
  <c r="Q88" i="59"/>
  <c r="P88" i="59"/>
  <c r="Q120" i="59"/>
  <c r="K111" i="59"/>
  <c r="J79" i="59"/>
  <c r="R78" i="59"/>
  <c r="S110" i="59"/>
  <c r="O90" i="59"/>
  <c r="P122" i="59"/>
  <c r="E111" i="59"/>
  <c r="D79" i="59"/>
  <c r="L116" i="59"/>
  <c r="M80" i="59"/>
  <c r="N112" i="59"/>
  <c r="H89" i="59"/>
  <c r="I121" i="59"/>
  <c r="G87" i="59"/>
  <c r="H119" i="59"/>
  <c r="L110" i="59"/>
  <c r="K78" i="59"/>
  <c r="R90" i="59"/>
  <c r="S122" i="59"/>
  <c r="O116" i="59"/>
  <c r="N84" i="59"/>
  <c r="M112" i="59"/>
  <c r="L80" i="59"/>
  <c r="R119" i="59"/>
  <c r="Q87" i="59"/>
  <c r="I87" i="59"/>
  <c r="J119" i="59"/>
  <c r="F122" i="59"/>
  <c r="E90" i="59"/>
  <c r="Q119" i="59"/>
  <c r="P87" i="59"/>
  <c r="O120" i="59"/>
  <c r="N88" i="59"/>
  <c r="P118" i="59"/>
  <c r="O86" i="59"/>
  <c r="H78" i="59"/>
  <c r="I110" i="59"/>
  <c r="G120" i="59"/>
  <c r="F88" i="59"/>
  <c r="K87" i="59"/>
  <c r="L119" i="59"/>
  <c r="R85" i="59"/>
  <c r="S117" i="59"/>
  <c r="L118" i="59"/>
  <c r="K86" i="59"/>
  <c r="E89" i="59"/>
  <c r="F121" i="59"/>
  <c r="S79" i="59"/>
  <c r="Q118" i="59"/>
  <c r="P86" i="59"/>
  <c r="P89" i="59"/>
  <c r="Q121" i="59"/>
  <c r="R80" i="59"/>
  <c r="S112" i="59"/>
  <c r="K117" i="59"/>
  <c r="J85" i="59"/>
  <c r="G111" i="59"/>
  <c r="F79" i="59"/>
  <c r="K118" i="59"/>
  <c r="J86" i="59"/>
  <c r="I112" i="59"/>
  <c r="M98" i="59"/>
  <c r="J110" i="59"/>
  <c r="I78" i="59"/>
  <c r="P90" i="59"/>
  <c r="Q122" i="59"/>
  <c r="P119" i="59"/>
  <c r="O87" i="59"/>
  <c r="R66" i="59"/>
  <c r="S98" i="59"/>
  <c r="Q110" i="59"/>
  <c r="P78" i="59"/>
  <c r="D85" i="59"/>
  <c r="E117" i="59"/>
  <c r="M79" i="59"/>
  <c r="N111" i="59"/>
  <c r="O111" i="59"/>
  <c r="N79" i="59"/>
  <c r="F110" i="59"/>
  <c r="E78" i="59"/>
  <c r="H116" i="59"/>
  <c r="G84" i="59"/>
  <c r="Q85" i="59"/>
  <c r="R117" i="59"/>
  <c r="O122" i="59"/>
  <c r="N90" i="59"/>
  <c r="K119" i="59"/>
  <c r="J87" i="59"/>
  <c r="G116" i="59"/>
  <c r="H88" i="59"/>
  <c r="I120" i="59"/>
  <c r="M110" i="59"/>
  <c r="L78" i="59"/>
  <c r="Q117" i="59"/>
  <c r="P85" i="59"/>
  <c r="G122" i="59"/>
  <c r="F90" i="59"/>
  <c r="L95" i="59"/>
  <c r="S54" i="57" l="1"/>
  <c r="S54" i="55"/>
  <c r="N16" i="57"/>
  <c r="N16" i="55"/>
  <c r="Q54" i="57"/>
  <c r="Q54" i="55"/>
  <c r="G54" i="57"/>
  <c r="G54" i="55"/>
  <c r="R16" i="57"/>
  <c r="R16" i="55"/>
  <c r="U54" i="57"/>
  <c r="U54" i="55"/>
  <c r="X54" i="57"/>
  <c r="X54" i="55"/>
  <c r="L16" i="57"/>
  <c r="L16" i="55"/>
  <c r="O16" i="57"/>
  <c r="O16" i="55"/>
  <c r="N54" i="57"/>
  <c r="N54" i="55"/>
  <c r="L54" i="57"/>
  <c r="L54" i="55"/>
  <c r="E54" i="57"/>
  <c r="E54" i="55"/>
  <c r="H54" i="57"/>
  <c r="H54" i="55"/>
  <c r="W54" i="57"/>
  <c r="W54" i="55"/>
  <c r="I54" i="57"/>
  <c r="I54" i="55"/>
  <c r="E16" i="57"/>
  <c r="E16" i="55"/>
  <c r="Y16" i="57"/>
  <c r="Y16" i="55"/>
  <c r="Y54" i="57"/>
  <c r="Y54" i="55"/>
  <c r="O54" i="57"/>
  <c r="O54" i="55"/>
  <c r="K16" i="57"/>
  <c r="K16" i="55"/>
  <c r="P16" i="57"/>
  <c r="P16" i="55"/>
  <c r="M16" i="57"/>
  <c r="M16" i="55"/>
  <c r="M54" i="57"/>
  <c r="M54" i="55"/>
  <c r="P54" i="57"/>
  <c r="P54" i="55"/>
  <c r="Q16" i="57"/>
  <c r="Q16" i="55"/>
  <c r="R54" i="57"/>
  <c r="R54" i="55"/>
  <c r="W16" i="57"/>
  <c r="W16" i="55"/>
  <c r="K54" i="57"/>
  <c r="K54" i="55"/>
  <c r="J54" i="57"/>
  <c r="J54" i="55"/>
  <c r="V16" i="57"/>
  <c r="V16" i="55"/>
  <c r="U16" i="57"/>
  <c r="U16" i="55"/>
  <c r="T16" i="57"/>
  <c r="T16" i="55"/>
  <c r="D16" i="57"/>
  <c r="D16" i="55"/>
  <c r="V54" i="57"/>
  <c r="V54" i="55"/>
  <c r="J16" i="57"/>
  <c r="J16" i="55"/>
  <c r="G16" i="57"/>
  <c r="G16" i="55"/>
  <c r="F16" i="57"/>
  <c r="F16" i="55"/>
  <c r="I16" i="57"/>
  <c r="I16" i="55"/>
  <c r="S16" i="57"/>
  <c r="S16" i="55"/>
  <c r="F54" i="57"/>
  <c r="F54" i="55"/>
  <c r="T54" i="57"/>
  <c r="T54" i="55"/>
  <c r="D54" i="57"/>
  <c r="D54" i="55"/>
  <c r="X16" i="57"/>
  <c r="X16" i="55"/>
  <c r="H16" i="57"/>
  <c r="H16" i="55"/>
  <c r="V75" i="57" l="1"/>
  <c r="V75" i="55"/>
  <c r="T39" i="57"/>
  <c r="T39" i="55"/>
  <c r="G75" i="57"/>
  <c r="G75" i="55"/>
  <c r="S39" i="57"/>
  <c r="S39" i="55"/>
  <c r="R75" i="57"/>
  <c r="R75" i="55"/>
  <c r="P75" i="57"/>
  <c r="P75" i="55"/>
  <c r="Y75" i="57"/>
  <c r="Y75" i="55"/>
  <c r="D39" i="57"/>
  <c r="D39" i="55"/>
  <c r="L75" i="57"/>
  <c r="L75" i="55"/>
  <c r="H75" i="57"/>
  <c r="H75" i="55"/>
  <c r="M75" i="57"/>
  <c r="M75" i="55"/>
  <c r="O39" i="57"/>
  <c r="O39" i="55"/>
  <c r="X39" i="57"/>
  <c r="X39" i="55"/>
  <c r="J39" i="57"/>
  <c r="J39" i="55"/>
  <c r="H39" i="57"/>
  <c r="H39" i="55"/>
  <c r="K75" i="57"/>
  <c r="K75" i="55"/>
  <c r="K39" i="57"/>
  <c r="K39" i="55"/>
  <c r="Q39" i="57"/>
  <c r="Q39" i="55"/>
  <c r="N75" i="57"/>
  <c r="N75" i="55"/>
  <c r="E75" i="57"/>
  <c r="E75" i="55"/>
  <c r="G39" i="57"/>
  <c r="G39" i="55"/>
  <c r="W75" i="57"/>
  <c r="W75" i="55"/>
  <c r="D75" i="57"/>
  <c r="D75" i="55"/>
  <c r="U75" i="57"/>
  <c r="U75" i="55"/>
  <c r="X75" i="57"/>
  <c r="X75" i="55"/>
  <c r="R39" i="57"/>
  <c r="R39" i="55"/>
  <c r="I75" i="57"/>
  <c r="I75" i="55"/>
  <c r="M39" i="57"/>
  <c r="M39" i="55"/>
  <c r="U39" i="57"/>
  <c r="U39" i="55"/>
  <c r="V39" i="57"/>
  <c r="V39" i="55"/>
  <c r="F75" i="57"/>
  <c r="F75" i="55"/>
  <c r="Q75" i="57"/>
  <c r="Q75" i="55"/>
  <c r="J75" i="57"/>
  <c r="J75" i="55"/>
  <c r="L39" i="57"/>
  <c r="L39" i="55"/>
  <c r="S75" i="57"/>
  <c r="S75" i="55"/>
  <c r="W39" i="57"/>
  <c r="W39" i="55"/>
  <c r="P39" i="57"/>
  <c r="P39" i="55"/>
  <c r="N39" i="57"/>
  <c r="N39" i="55"/>
  <c r="T75" i="57"/>
  <c r="T75" i="55"/>
  <c r="O75" i="57"/>
  <c r="O75" i="55"/>
  <c r="F39" i="57"/>
  <c r="F39" i="55"/>
  <c r="I39" i="57"/>
  <c r="I39" i="55"/>
  <c r="Y39" i="57"/>
  <c r="Y39" i="55"/>
  <c r="E39" i="57"/>
  <c r="E39" i="55"/>
</calcChain>
</file>

<file path=xl/sharedStrings.xml><?xml version="1.0" encoding="utf-8"?>
<sst xmlns="http://schemas.openxmlformats.org/spreadsheetml/2006/main" count="722" uniqueCount="281">
  <si>
    <t>Wood and wood products</t>
  </si>
  <si>
    <t>Textiles and leather</t>
  </si>
  <si>
    <t>Food, beverages and tobacco</t>
  </si>
  <si>
    <t>Pulp, paper and printing</t>
  </si>
  <si>
    <t>Non-metallic mineral products</t>
  </si>
  <si>
    <t>Iron and steel</t>
  </si>
  <si>
    <t>Click on the link to jump to the sheet</t>
  </si>
  <si>
    <t>Printing and reproduction of recorded media</t>
  </si>
  <si>
    <t>Pulp production</t>
  </si>
  <si>
    <t>Ceramics &amp; other NMM</t>
  </si>
  <si>
    <t>Cement</t>
  </si>
  <si>
    <t>Pharmaceutical products etc.</t>
  </si>
  <si>
    <t>Other chemicals</t>
  </si>
  <si>
    <t>Other non-ferrous metals</t>
  </si>
  <si>
    <t>Alumina production</t>
  </si>
  <si>
    <t>Electric arc</t>
  </si>
  <si>
    <t>Printing and media reproduction</t>
  </si>
  <si>
    <t xml:space="preserve">Paper production </t>
  </si>
  <si>
    <t xml:space="preserve">Glass production </t>
  </si>
  <si>
    <t>Aluminium production</t>
  </si>
  <si>
    <t xml:space="preserve">Basic chemicals </t>
  </si>
  <si>
    <t>Paper and paper products</t>
  </si>
  <si>
    <t>Legal Notice</t>
  </si>
  <si>
    <t>Neither the European Commission nor any person acting on behalf of the Commission is responsible for the use which might be made of this information.</t>
  </si>
  <si>
    <t>B1GM</t>
  </si>
  <si>
    <t>Gross domestic product at market prices</t>
  </si>
  <si>
    <t>P31_S14_S15</t>
  </si>
  <si>
    <t>Household and NPISH final consumption expenditure</t>
  </si>
  <si>
    <t>B1G</t>
  </si>
  <si>
    <t>Value added, gross</t>
  </si>
  <si>
    <t/>
  </si>
  <si>
    <t>nace 10</t>
  </si>
  <si>
    <t>A</t>
  </si>
  <si>
    <t>Agriculture, forestry and fishing</t>
  </si>
  <si>
    <t>B_E</t>
  </si>
  <si>
    <t>Industry (except construction)</t>
  </si>
  <si>
    <t>F</t>
  </si>
  <si>
    <t>Construction</t>
  </si>
  <si>
    <t>G_I</t>
  </si>
  <si>
    <t>Wholesale and retail trade, transport, accomodation and food service activities</t>
  </si>
  <si>
    <t>J</t>
  </si>
  <si>
    <t>Information and communication</t>
  </si>
  <si>
    <t>K</t>
  </si>
  <si>
    <t>Financial and insurance activities</t>
  </si>
  <si>
    <t>L</t>
  </si>
  <si>
    <t>Real estate activities</t>
  </si>
  <si>
    <t>M_N</t>
  </si>
  <si>
    <t>Professional, scientific and technical activities; administrative and support service activities</t>
  </si>
  <si>
    <t>O_Q</t>
  </si>
  <si>
    <t>Public administration, defence, education, human health and social work activities</t>
  </si>
  <si>
    <t>R_U</t>
  </si>
  <si>
    <t>Arts, entertainment and recreation; other service activities; activities of household and extra-territorial organizations and bodies</t>
  </si>
  <si>
    <t>TOTAL</t>
  </si>
  <si>
    <t>Total - All NACE activities</t>
  </si>
  <si>
    <t>nace 21</t>
  </si>
  <si>
    <t>B</t>
  </si>
  <si>
    <t>Mining and quarrying</t>
  </si>
  <si>
    <t>C</t>
  </si>
  <si>
    <t>Manufacturing</t>
  </si>
  <si>
    <t>D</t>
  </si>
  <si>
    <t>Electricity, gas, steam and air conditioning supply</t>
  </si>
  <si>
    <t>E</t>
  </si>
  <si>
    <t>Water supply; sewerage, waste management and remediation activities</t>
  </si>
  <si>
    <t>G</t>
  </si>
  <si>
    <t>Wholesale and retail trade; repair of motor vehicles and motorcycles</t>
  </si>
  <si>
    <t>H</t>
  </si>
  <si>
    <t>Transportation and storage</t>
  </si>
  <si>
    <t>I</t>
  </si>
  <si>
    <t>Accommodation and food service activities</t>
  </si>
  <si>
    <t>M</t>
  </si>
  <si>
    <t>Professional, scientific and technical activities</t>
  </si>
  <si>
    <t>N</t>
  </si>
  <si>
    <t>Administrative and support service activities</t>
  </si>
  <si>
    <t>O</t>
  </si>
  <si>
    <t>Public administration and defence; compulsory social security</t>
  </si>
  <si>
    <t>P</t>
  </si>
  <si>
    <t>Education</t>
  </si>
  <si>
    <t>Q</t>
  </si>
  <si>
    <t>Human health and social work activities</t>
  </si>
  <si>
    <t>R</t>
  </si>
  <si>
    <t>Arts, entertainment and recreation</t>
  </si>
  <si>
    <t>S</t>
  </si>
  <si>
    <t>Other service activities</t>
  </si>
  <si>
    <t>T</t>
  </si>
  <si>
    <t>Activities of households as employers; undifferentiated goods- and services-producing activities of households for own use</t>
  </si>
  <si>
    <t>U</t>
  </si>
  <si>
    <t>Activities of extraterritorial organisations and bodies</t>
  </si>
  <si>
    <t>nace 38 - industry</t>
  </si>
  <si>
    <t>C10_C12</t>
  </si>
  <si>
    <t>Manufacture of food products; beverages and tobacco products</t>
  </si>
  <si>
    <t>C13_C15</t>
  </si>
  <si>
    <t>Manufacture of textiles, wearing apparel, leather and related products</t>
  </si>
  <si>
    <t>C16_C18</t>
  </si>
  <si>
    <t>Manufacture of wood, paper, printing and reproduction</t>
  </si>
  <si>
    <t>C19</t>
  </si>
  <si>
    <t>Manufacture of coke and refined petroleum products</t>
  </si>
  <si>
    <t>C20</t>
  </si>
  <si>
    <t>Manufacture of chemicals and chemical products</t>
  </si>
  <si>
    <t>C21</t>
  </si>
  <si>
    <t>Manufacture of basic pharmaceutical products and pharmaceutical preparations</t>
  </si>
  <si>
    <t>C22_C23</t>
  </si>
  <si>
    <t>Manufacture of rubber and plastic products and other non-metallic mineral products</t>
  </si>
  <si>
    <t>C24_C25</t>
  </si>
  <si>
    <t>Manufacture of basic metals and fabricated metal products, except machinery and equipment</t>
  </si>
  <si>
    <t>C26</t>
  </si>
  <si>
    <t>Manufacture of computer, electronic and optical products</t>
  </si>
  <si>
    <t>C27</t>
  </si>
  <si>
    <t>Manufacture of electrical equipment</t>
  </si>
  <si>
    <t>C28</t>
  </si>
  <si>
    <t>Manufacture of machinery and equipment n.e.c.</t>
  </si>
  <si>
    <t>C29_C30</t>
  </si>
  <si>
    <t>Manufacture of motor vehicles, trailers, semi-trailers and of other transport equipment</t>
  </si>
  <si>
    <t>C31_C33</t>
  </si>
  <si>
    <t>Manufacture of furniture; jewellery, musical instruments, toys; repair and installation of machinery and equipment</t>
  </si>
  <si>
    <t>nace 64 - industry</t>
  </si>
  <si>
    <t>C16</t>
  </si>
  <si>
    <t>Manufacture of wood and of products of wood and cork, except furniture; manufacture of articles of straw and plaiting materials</t>
  </si>
  <si>
    <t>C17</t>
  </si>
  <si>
    <t>Manufacture of paper and paper products</t>
  </si>
  <si>
    <t>C18</t>
  </si>
  <si>
    <t>C22</t>
  </si>
  <si>
    <t>Manufacture of rubber and plastic products</t>
  </si>
  <si>
    <t>C23</t>
  </si>
  <si>
    <t>Manufacture of other non-metallic mineral products</t>
  </si>
  <si>
    <t>C24</t>
  </si>
  <si>
    <t>Manufacture of basic metals</t>
  </si>
  <si>
    <t>C25</t>
  </si>
  <si>
    <t>Manufacture of fabricated metal products, except machinery and equipment</t>
  </si>
  <si>
    <t>C29</t>
  </si>
  <si>
    <t>Manufacture of motor vehicles, trailers and semi-trailers</t>
  </si>
  <si>
    <t>C30</t>
  </si>
  <si>
    <t>Manufacture of other transport equipment</t>
  </si>
  <si>
    <t>C31_C32</t>
  </si>
  <si>
    <t>Manufacture of furniture; other manufacturing</t>
  </si>
  <si>
    <t>C33</t>
  </si>
  <si>
    <t>Repair and installation of machinery and equipment</t>
  </si>
  <si>
    <t>NACE code</t>
  </si>
  <si>
    <t>NACE Description</t>
  </si>
  <si>
    <t>Source</t>
  </si>
  <si>
    <t>Gross domestic product</t>
  </si>
  <si>
    <t>EUROSTAT Statistics: nama_gdp</t>
  </si>
  <si>
    <t>Household consumption expenditure</t>
  </si>
  <si>
    <t>Gross value added</t>
  </si>
  <si>
    <t>Gross value added (at basic prices)</t>
  </si>
  <si>
    <t>EUROSTAT Statistics: nama_nace10</t>
  </si>
  <si>
    <t>EUROSTAT Statistics: nama_nace21</t>
  </si>
  <si>
    <t>Services</t>
  </si>
  <si>
    <t>C33, E, G to U</t>
  </si>
  <si>
    <t>Heat-use intensive services</t>
  </si>
  <si>
    <t>H,I,O,P,Q,R</t>
  </si>
  <si>
    <t>Offices</t>
  </si>
  <si>
    <t>J,K,L,M,N,S,T,U</t>
  </si>
  <si>
    <t>Trade</t>
  </si>
  <si>
    <t>C33,E,G</t>
  </si>
  <si>
    <t>Energy sector</t>
  </si>
  <si>
    <t>C19, D</t>
  </si>
  <si>
    <t>EUROSTAT Statistics: nama_nace64</t>
  </si>
  <si>
    <t>C excluding C33</t>
  </si>
  <si>
    <t>Basic metals</t>
  </si>
  <si>
    <t>C241</t>
  </si>
  <si>
    <t>Manufacture of basic iron and steel and of ferro-alloys</t>
  </si>
  <si>
    <t>EUROSTAT Structural business statistics: sbs_ind_co</t>
  </si>
  <si>
    <t>C242</t>
  </si>
  <si>
    <t>Manufacture of tubes, pipes, hollow profiles and related fittings, of steel</t>
  </si>
  <si>
    <t>C243</t>
  </si>
  <si>
    <t>Manufacture of other products of first processing of steel</t>
  </si>
  <si>
    <t>C2451</t>
  </si>
  <si>
    <t>Casting of iron</t>
  </si>
  <si>
    <t>C2452</t>
  </si>
  <si>
    <t>Casting of steel</t>
  </si>
  <si>
    <t>Non ferrous metals</t>
  </si>
  <si>
    <t>C2442</t>
  </si>
  <si>
    <t>C2453</t>
  </si>
  <si>
    <t>Casting of light metals</t>
  </si>
  <si>
    <t>C2441</t>
  </si>
  <si>
    <t>Precious metals production</t>
  </si>
  <si>
    <t>C2443</t>
  </si>
  <si>
    <t>Lead, zinc and tin production</t>
  </si>
  <si>
    <t>C2444</t>
  </si>
  <si>
    <t>Copper production</t>
  </si>
  <si>
    <t>C2445</t>
  </si>
  <si>
    <t>Other non-ferrous metal production</t>
  </si>
  <si>
    <t>C2446</t>
  </si>
  <si>
    <t>Processing of nuclear fuel</t>
  </si>
  <si>
    <t>C2454</t>
  </si>
  <si>
    <t>Casting of other non-ferrous metals</t>
  </si>
  <si>
    <t>C20, C21</t>
  </si>
  <si>
    <t>C2013</t>
  </si>
  <si>
    <t>Manufacture of other inorganic basic chemicals</t>
  </si>
  <si>
    <t>C2014</t>
  </si>
  <si>
    <t>Manufacture of other organic basic chemicals</t>
  </si>
  <si>
    <t>C2015</t>
  </si>
  <si>
    <t>Manufacture of fertilisers and nitrogen compounds</t>
  </si>
  <si>
    <t>C2016</t>
  </si>
  <si>
    <t>Manufacture of plastics in primary forms</t>
  </si>
  <si>
    <t>C2011</t>
  </si>
  <si>
    <t>Manufacture of industrial gases</t>
  </si>
  <si>
    <t>C2012</t>
  </si>
  <si>
    <t>Manufacture of dyes and pigments</t>
  </si>
  <si>
    <t>C202</t>
  </si>
  <si>
    <t>Manufacture of pesticides and other agrochemical products</t>
  </si>
  <si>
    <t>C203</t>
  </si>
  <si>
    <t>Manufacture of paints, varnishes and similar coatings, printing ink and mastics</t>
  </si>
  <si>
    <t>C204</t>
  </si>
  <si>
    <t>Manufacture of soap and detergents, cleaning and polishing preparations, perfumes and toilet preparations</t>
  </si>
  <si>
    <t>C205</t>
  </si>
  <si>
    <t>Manufacture of other chemical products</t>
  </si>
  <si>
    <t>C206</t>
  </si>
  <si>
    <t>Manufacture of man-made fibres</t>
  </si>
  <si>
    <t>Cement (incl. lime)</t>
  </si>
  <si>
    <t>C235</t>
  </si>
  <si>
    <t>Manufacture of cement, lime and plaster</t>
  </si>
  <si>
    <t>C236</t>
  </si>
  <si>
    <t>Manufacture of articles of concrete, cement and plaster</t>
  </si>
  <si>
    <t>C231</t>
  </si>
  <si>
    <t>Manufacture of glass and glass products</t>
  </si>
  <si>
    <t>C232</t>
  </si>
  <si>
    <t>Manufacture of refractory products</t>
  </si>
  <si>
    <t>C233</t>
  </si>
  <si>
    <t>Manufacture of clay building materials</t>
  </si>
  <si>
    <t>C234</t>
  </si>
  <si>
    <t>Manufacture of other porcelain and ceramic products</t>
  </si>
  <si>
    <t>C237</t>
  </si>
  <si>
    <t>Cutting, shaping and finishing of stone</t>
  </si>
  <si>
    <t>C239</t>
  </si>
  <si>
    <t>Manufacture of abrasive products and non-metallic mineral products n.e.c.</t>
  </si>
  <si>
    <t>C17, C18</t>
  </si>
  <si>
    <t>C1711</t>
  </si>
  <si>
    <t>Manufacture of pulp</t>
  </si>
  <si>
    <t>C1712</t>
  </si>
  <si>
    <t>Manufacture of paper and paperboard</t>
  </si>
  <si>
    <t>C172</t>
  </si>
  <si>
    <t>Manufacture of articles of paper and paperboard</t>
  </si>
  <si>
    <t>EUROSTAT Statistics: nama_nace38</t>
  </si>
  <si>
    <t>C25, C26, C27, C28</t>
  </si>
  <si>
    <t>C22, C31_C32</t>
  </si>
  <si>
    <t>Annual growth rates (%)</t>
  </si>
  <si>
    <t>Demographics</t>
  </si>
  <si>
    <t>Population</t>
  </si>
  <si>
    <t>Number of households</t>
  </si>
  <si>
    <t>Inhabitants per household</t>
  </si>
  <si>
    <t>Market shares (%)</t>
  </si>
  <si>
    <t>Gross domestic product per capita</t>
  </si>
  <si>
    <t>Household consumption expenditure per capita</t>
  </si>
  <si>
    <t>JRC-IDEES Description</t>
  </si>
  <si>
    <t>JRC-IDEES structure</t>
  </si>
  <si>
    <t>Macro-economic data at current prices  - NACE structure</t>
  </si>
  <si>
    <t>JRC-IDEES and NACE structure correspondence</t>
  </si>
  <si>
    <t>Climate</t>
  </si>
  <si>
    <t>Actual heating degree-days</t>
  </si>
  <si>
    <t>Relative heating degree-days</t>
  </si>
  <si>
    <t>Actual cooling degree-days</t>
  </si>
  <si>
    <t>Relative cooling degree-days</t>
  </si>
  <si>
    <t>Prepared by JRC C.6</t>
  </si>
  <si>
    <t>The information made available is property of the Joint Research Centre of the European Commission.</t>
  </si>
  <si>
    <t>JRC-IDEES-2021 - Integrated Database of the European Energy System</t>
  </si>
  <si>
    <t>v2021-1.00</t>
  </si>
  <si>
    <t>Use conditions</t>
  </si>
  <si>
    <t>This work is licensed under</t>
  </si>
  <si>
    <t>CC BY 4.0</t>
  </si>
  <si>
    <t>Macro-economic and demographic data</t>
  </si>
  <si>
    <t>Mean heating degree-days over period 2000-2020</t>
  </si>
  <si>
    <t>Mean cooling degree-days over period 2000-2020</t>
  </si>
  <si>
    <t>Macro-economic data at 2015 prices - NACE structure</t>
  </si>
  <si>
    <t>Demographic and macro-economic data at 2015 prices - JRC-IDEES structure</t>
  </si>
  <si>
    <t>ESA2010 [million euro, 2015 prices]</t>
  </si>
  <si>
    <t>ESA2010 [euro, 2015 prices per capita]</t>
  </si>
  <si>
    <t>Gross value added [million euro, 2015 prices]</t>
  </si>
  <si>
    <t>ESA2010 [million euro, current prices]</t>
  </si>
  <si>
    <t>Non-ferrous metals</t>
  </si>
  <si>
    <t>Integrated steelworks</t>
  </si>
  <si>
    <t>Chemical industry</t>
  </si>
  <si>
    <t>Basic and other chemicals</t>
  </si>
  <si>
    <t>Primary production</t>
  </si>
  <si>
    <t>Secondary production</t>
  </si>
  <si>
    <t>Transport equipment</t>
  </si>
  <si>
    <t>Machinery equipment</t>
  </si>
  <si>
    <t>Non-specifed industries</t>
  </si>
  <si>
    <t>Non-specified industries</t>
  </si>
  <si>
    <t>IE</t>
  </si>
  <si>
    <t>Ireland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</si>
</sst>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(* #,##0.00_);_(* \(#,##0.00\);_(* &quot;-&quot;??_);_(@_)"/>
    <numFmt numFmtId="165" formatCode="#,##0.000;\-#,##0.000;&quot;-&quot;"/>
    <numFmt numFmtId="166" formatCode="0.00%;\-0.00%;&quot;-&quot;"/>
    <numFmt numFmtId="167" formatCode="#,##0;\-#,##0;&quot;-&quot;"/>
    <numFmt numFmtId="168" formatCode="0.000"/>
    <numFmt numFmtId="169" formatCode="0.0"/>
    <numFmt numFmtId="170" formatCode="mmmm\ yyyy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name val="Calibri"/>
      <family val="2"/>
      <scheme val="minor"/>
    </font>
    <font>
      <sz val="11"/>
      <color indexed="8"/>
      <name val="Calibri"/>
      <family val="2"/>
    </font>
    <font>
      <u/>
      <sz val="9"/>
      <color rgb="FF0564C3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8"/>
      <color indexed="8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D7C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/>
      <top/>
      <bottom style="dashed">
        <color auto="1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auto="1"/>
      </bottom>
      <diagonal/>
    </border>
  </borders>
  <cellStyleXfs count="12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</cellStyleXfs>
  <cellXfs count="153">
    <xf numFmtId="0" fontId="0" fillId="0" borderId="0" xfId="0"/>
    <xf numFmtId="0" fontId="10" fillId="2" borderId="0" xfId="4" applyFont="1" applyFill="1" applyAlignment="1">
      <alignment vertical="center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12" fillId="2" borderId="0" xfId="2" applyFont="1" applyFill="1"/>
    <xf numFmtId="0" fontId="4" fillId="2" borderId="0" xfId="2" applyFont="1" applyFill="1"/>
    <xf numFmtId="0" fontId="10" fillId="2" borderId="0" xfId="5" applyFont="1" applyFill="1"/>
    <xf numFmtId="3" fontId="10" fillId="2" borderId="0" xfId="5" applyNumberFormat="1" applyFont="1" applyFill="1"/>
    <xf numFmtId="0" fontId="10" fillId="2" borderId="0" xfId="5" applyFont="1" applyFill="1" applyAlignment="1">
      <alignment wrapText="1"/>
    </xf>
    <xf numFmtId="0" fontId="13" fillId="2" borderId="0" xfId="5" applyFont="1" applyFill="1"/>
    <xf numFmtId="3" fontId="14" fillId="2" borderId="0" xfId="5" applyNumberFormat="1" applyFont="1" applyFill="1"/>
    <xf numFmtId="0" fontId="14" fillId="2" borderId="0" xfId="5" applyFont="1" applyFill="1" applyBorder="1"/>
    <xf numFmtId="0" fontId="13" fillId="2" borderId="8" xfId="5" applyFont="1" applyFill="1" applyBorder="1" applyAlignment="1">
      <alignment horizontal="center" vertical="center" textRotation="90"/>
    </xf>
    <xf numFmtId="0" fontId="13" fillId="2" borderId="8" xfId="5" applyFont="1" applyFill="1" applyBorder="1"/>
    <xf numFmtId="0" fontId="13" fillId="2" borderId="8" xfId="5" applyFont="1" applyFill="1" applyBorder="1" applyAlignment="1"/>
    <xf numFmtId="3" fontId="13" fillId="2" borderId="8" xfId="5" applyNumberFormat="1" applyFont="1" applyFill="1" applyBorder="1"/>
    <xf numFmtId="0" fontId="13" fillId="2" borderId="0" xfId="5" applyFont="1" applyFill="1" applyBorder="1" applyAlignment="1">
      <alignment horizontal="center" vertical="center" textRotation="90"/>
    </xf>
    <xf numFmtId="0" fontId="13" fillId="2" borderId="0" xfId="5" applyFont="1" applyFill="1" applyBorder="1"/>
    <xf numFmtId="0" fontId="13" fillId="2" borderId="0" xfId="5" applyFont="1" applyFill="1" applyBorder="1" applyAlignment="1"/>
    <xf numFmtId="3" fontId="13" fillId="2" borderId="0" xfId="5" applyNumberFormat="1" applyFont="1" applyFill="1" applyBorder="1"/>
    <xf numFmtId="0" fontId="13" fillId="2" borderId="1" xfId="5" applyFont="1" applyFill="1" applyBorder="1" applyAlignment="1">
      <alignment horizontal="center" vertical="center" textRotation="90"/>
    </xf>
    <xf numFmtId="0" fontId="13" fillId="2" borderId="1" xfId="5" applyFont="1" applyFill="1" applyBorder="1"/>
    <xf numFmtId="0" fontId="13" fillId="2" borderId="1" xfId="5" applyFont="1" applyFill="1" applyBorder="1" applyAlignment="1"/>
    <xf numFmtId="3" fontId="13" fillId="2" borderId="1" xfId="5" applyNumberFormat="1" applyFont="1" applyFill="1" applyBorder="1"/>
    <xf numFmtId="0" fontId="14" fillId="2" borderId="1" xfId="5" applyFont="1" applyFill="1" applyBorder="1"/>
    <xf numFmtId="0" fontId="14" fillId="2" borderId="1" xfId="5" applyFont="1" applyFill="1" applyBorder="1" applyAlignment="1"/>
    <xf numFmtId="3" fontId="14" fillId="2" borderId="1" xfId="5" applyNumberFormat="1" applyFont="1" applyFill="1" applyBorder="1"/>
    <xf numFmtId="0" fontId="14" fillId="2" borderId="1" xfId="5" applyFont="1" applyFill="1" applyBorder="1" applyAlignment="1">
      <alignment wrapText="1"/>
    </xf>
    <xf numFmtId="0" fontId="14" fillId="2" borderId="0" xfId="5" applyFont="1" applyFill="1"/>
    <xf numFmtId="0" fontId="15" fillId="2" borderId="0" xfId="5" applyFont="1" applyFill="1"/>
    <xf numFmtId="1" fontId="10" fillId="2" borderId="0" xfId="4" applyNumberFormat="1" applyFont="1" applyFill="1" applyBorder="1" applyAlignment="1">
      <alignment vertical="center"/>
    </xf>
    <xf numFmtId="0" fontId="10" fillId="2" borderId="0" xfId="4" applyFont="1" applyFill="1" applyBorder="1" applyAlignment="1">
      <alignment horizontal="left" vertical="center"/>
    </xf>
    <xf numFmtId="164" fontId="10" fillId="2" borderId="0" xfId="8" applyFont="1" applyFill="1" applyBorder="1" applyAlignment="1">
      <alignment vertical="center"/>
    </xf>
    <xf numFmtId="1" fontId="10" fillId="2" borderId="0" xfId="4" applyNumberFormat="1" applyFont="1" applyFill="1" applyAlignment="1">
      <alignment vertical="center"/>
    </xf>
    <xf numFmtId="0" fontId="10" fillId="2" borderId="0" xfId="4" applyFont="1" applyFill="1" applyBorder="1" applyAlignment="1">
      <alignment horizontal="left" vertical="center" indent="2"/>
    </xf>
    <xf numFmtId="0" fontId="13" fillId="2" borderId="0" xfId="4" applyFont="1" applyFill="1" applyBorder="1" applyAlignment="1">
      <alignment vertical="center"/>
    </xf>
    <xf numFmtId="169" fontId="13" fillId="2" borderId="8" xfId="4" applyNumberFormat="1" applyFont="1" applyFill="1" applyBorder="1" applyAlignment="1">
      <alignment vertical="center"/>
    </xf>
    <xf numFmtId="1" fontId="13" fillId="2" borderId="8" xfId="4" applyNumberFormat="1" applyFont="1" applyFill="1" applyBorder="1" applyAlignment="1">
      <alignment vertical="center"/>
    </xf>
    <xf numFmtId="167" fontId="13" fillId="2" borderId="8" xfId="4" applyNumberFormat="1" applyFont="1" applyFill="1" applyBorder="1" applyAlignment="1">
      <alignment vertical="center"/>
    </xf>
    <xf numFmtId="169" fontId="13" fillId="2" borderId="0" xfId="4" applyNumberFormat="1" applyFont="1" applyFill="1" applyBorder="1" applyAlignment="1">
      <alignment vertical="center"/>
    </xf>
    <xf numFmtId="1" fontId="13" fillId="2" borderId="0" xfId="4" applyNumberFormat="1" applyFont="1" applyFill="1" applyBorder="1" applyAlignment="1">
      <alignment vertical="center"/>
    </xf>
    <xf numFmtId="167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/>
    </xf>
    <xf numFmtId="1" fontId="13" fillId="2" borderId="1" xfId="4" applyNumberFormat="1" applyFont="1" applyFill="1" applyBorder="1" applyAlignment="1">
      <alignment vertical="center"/>
    </xf>
    <xf numFmtId="168" fontId="13" fillId="2" borderId="1" xfId="4" applyNumberFormat="1" applyFont="1" applyFill="1" applyBorder="1" applyAlignment="1">
      <alignment vertical="center"/>
    </xf>
    <xf numFmtId="0" fontId="14" fillId="3" borderId="2" xfId="5" applyFont="1" applyFill="1" applyBorder="1"/>
    <xf numFmtId="0" fontId="14" fillId="3" borderId="2" xfId="4" applyFont="1" applyFill="1" applyBorder="1" applyAlignment="1">
      <alignment horizontal="right" vertical="center"/>
    </xf>
    <xf numFmtId="169" fontId="16" fillId="2" borderId="13" xfId="4" applyNumberFormat="1" applyFont="1" applyFill="1" applyBorder="1" applyAlignment="1">
      <alignment vertical="center"/>
    </xf>
    <xf numFmtId="1" fontId="13" fillId="2" borderId="13" xfId="4" applyNumberFormat="1" applyFont="1" applyFill="1" applyBorder="1" applyAlignment="1">
      <alignment vertical="center"/>
    </xf>
    <xf numFmtId="165" fontId="16" fillId="2" borderId="13" xfId="4" applyNumberFormat="1" applyFont="1" applyFill="1" applyBorder="1" applyAlignment="1">
      <alignment vertical="center"/>
    </xf>
    <xf numFmtId="0" fontId="16" fillId="2" borderId="1" xfId="4" applyFont="1" applyFill="1" applyBorder="1" applyAlignment="1">
      <alignment horizontal="left" vertical="center"/>
    </xf>
    <xf numFmtId="165" fontId="16" fillId="2" borderId="1" xfId="4" applyNumberFormat="1" applyFont="1" applyFill="1" applyBorder="1" applyAlignment="1">
      <alignment vertical="center"/>
    </xf>
    <xf numFmtId="1" fontId="14" fillId="3" borderId="2" xfId="4" applyNumberFormat="1" applyFont="1" applyFill="1" applyBorder="1" applyAlignment="1">
      <alignment horizontal="right" vertical="center"/>
    </xf>
    <xf numFmtId="167" fontId="13" fillId="2" borderId="1" xfId="4" applyNumberFormat="1" applyFont="1" applyFill="1" applyBorder="1" applyAlignment="1">
      <alignment vertical="center"/>
    </xf>
    <xf numFmtId="0" fontId="14" fillId="3" borderId="2" xfId="4" applyFont="1" applyFill="1" applyBorder="1" applyAlignment="1">
      <alignment horizontal="left" vertical="center"/>
    </xf>
    <xf numFmtId="1" fontId="13" fillId="3" borderId="2" xfId="4" applyNumberFormat="1" applyFont="1" applyFill="1" applyBorder="1" applyAlignment="1">
      <alignment vertical="center"/>
    </xf>
    <xf numFmtId="167" fontId="13" fillId="3" borderId="2" xfId="4" applyNumberFormat="1" applyFont="1" applyFill="1" applyBorder="1" applyAlignment="1">
      <alignment vertical="center"/>
    </xf>
    <xf numFmtId="0" fontId="13" fillId="2" borderId="6" xfId="4" applyFont="1" applyFill="1" applyBorder="1" applyAlignment="1">
      <alignment horizontal="left" vertical="center" wrapText="1" indent="1"/>
    </xf>
    <xf numFmtId="1" fontId="13" fillId="2" borderId="6" xfId="4" applyNumberFormat="1" applyFont="1" applyFill="1" applyBorder="1" applyAlignment="1">
      <alignment vertical="center"/>
    </xf>
    <xf numFmtId="167" fontId="13" fillId="2" borderId="6" xfId="4" applyNumberFormat="1" applyFont="1" applyFill="1" applyBorder="1" applyAlignment="1">
      <alignment vertical="center"/>
    </xf>
    <xf numFmtId="0" fontId="13" fillId="2" borderId="4" xfId="4" applyFont="1" applyFill="1" applyBorder="1" applyAlignment="1">
      <alignment horizontal="left" vertical="center" wrapText="1" indent="1"/>
    </xf>
    <xf numFmtId="1" fontId="13" fillId="2" borderId="4" xfId="4" applyNumberFormat="1" applyFont="1" applyFill="1" applyBorder="1" applyAlignment="1">
      <alignment vertical="center"/>
    </xf>
    <xf numFmtId="167" fontId="13" fillId="2" borderId="4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1"/>
    </xf>
    <xf numFmtId="0" fontId="13" fillId="2" borderId="0" xfId="4" applyFont="1" applyFill="1" applyBorder="1" applyAlignment="1">
      <alignment horizontal="left" vertical="center" wrapText="1" indent="2"/>
    </xf>
    <xf numFmtId="1" fontId="13" fillId="2" borderId="0" xfId="4" applyNumberFormat="1" applyFont="1" applyFill="1" applyBorder="1" applyAlignment="1">
      <alignment horizontal="left" vertical="center" wrapText="1" indent="1"/>
    </xf>
    <xf numFmtId="167" fontId="13" fillId="2" borderId="0" xfId="4" applyNumberFormat="1" applyFont="1" applyFill="1" applyAlignment="1">
      <alignment vertical="center"/>
    </xf>
    <xf numFmtId="1" fontId="13" fillId="2" borderId="0" xfId="4" applyNumberFormat="1" applyFont="1" applyFill="1" applyAlignment="1">
      <alignment vertical="center"/>
    </xf>
    <xf numFmtId="0" fontId="13" fillId="2" borderId="4" xfId="4" applyFont="1" applyFill="1" applyBorder="1" applyAlignment="1">
      <alignment horizontal="left" vertical="center" wrapText="1" indent="2"/>
    </xf>
    <xf numFmtId="0" fontId="13" fillId="2" borderId="4" xfId="4" applyFont="1" applyFill="1" applyBorder="1" applyAlignment="1">
      <alignment horizontal="left" vertical="center" wrapText="1" indent="3"/>
    </xf>
    <xf numFmtId="0" fontId="16" fillId="2" borderId="0" xfId="4" applyFont="1" applyFill="1" applyBorder="1" applyAlignment="1">
      <alignment horizontal="left" vertical="center" wrapText="1" indent="4"/>
    </xf>
    <xf numFmtId="0" fontId="16" fillId="2" borderId="0" xfId="4" applyFont="1" applyFill="1" applyBorder="1" applyAlignment="1">
      <alignment horizontal="left" vertical="center" wrapText="1" indent="5"/>
    </xf>
    <xf numFmtId="1" fontId="16" fillId="2" borderId="0" xfId="4" applyNumberFormat="1" applyFont="1" applyFill="1" applyBorder="1" applyAlignment="1">
      <alignment vertical="center"/>
    </xf>
    <xf numFmtId="0" fontId="16" fillId="2" borderId="0" xfId="4" applyFont="1" applyFill="1" applyBorder="1" applyAlignment="1">
      <alignment horizontal="left" vertical="center" wrapText="1" indent="3"/>
    </xf>
    <xf numFmtId="0" fontId="13" fillId="2" borderId="7" xfId="4" applyFont="1" applyFill="1" applyBorder="1" applyAlignment="1">
      <alignment horizontal="left" vertical="center" wrapText="1" indent="2"/>
    </xf>
    <xf numFmtId="1" fontId="13" fillId="2" borderId="7" xfId="4" applyNumberFormat="1" applyFont="1" applyFill="1" applyBorder="1" applyAlignment="1">
      <alignment vertical="center"/>
    </xf>
    <xf numFmtId="167" fontId="13" fillId="2" borderId="7" xfId="4" applyNumberFormat="1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/>
    </xf>
    <xf numFmtId="166" fontId="13" fillId="2" borderId="8" xfId="4" applyNumberFormat="1" applyFont="1" applyFill="1" applyBorder="1" applyAlignment="1">
      <alignment vertical="center"/>
    </xf>
    <xf numFmtId="166" fontId="13" fillId="2" borderId="4" xfId="4" applyNumberFormat="1" applyFont="1" applyFill="1" applyBorder="1" applyAlignment="1">
      <alignment vertical="center"/>
    </xf>
    <xf numFmtId="166" fontId="13" fillId="2" borderId="0" xfId="4" applyNumberFormat="1" applyFont="1" applyFill="1" applyAlignment="1">
      <alignment vertical="center"/>
    </xf>
    <xf numFmtId="0" fontId="13" fillId="2" borderId="3" xfId="4" applyFont="1" applyFill="1" applyBorder="1" applyAlignment="1">
      <alignment horizontal="left" vertical="center" wrapText="1" indent="2"/>
    </xf>
    <xf numFmtId="1" fontId="13" fillId="2" borderId="3" xfId="4" applyNumberFormat="1" applyFont="1" applyFill="1" applyBorder="1" applyAlignment="1">
      <alignment vertical="center"/>
    </xf>
    <xf numFmtId="166" fontId="13" fillId="2" borderId="3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3"/>
    </xf>
    <xf numFmtId="166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wrapText="1" indent="2"/>
    </xf>
    <xf numFmtId="166" fontId="13" fillId="2" borderId="1" xfId="4" applyNumberFormat="1" applyFont="1" applyFill="1" applyBorder="1" applyAlignment="1">
      <alignment vertical="center"/>
    </xf>
    <xf numFmtId="10" fontId="13" fillId="2" borderId="8" xfId="1" applyNumberFormat="1" applyFont="1" applyFill="1" applyBorder="1" applyAlignment="1">
      <alignment vertical="center"/>
    </xf>
    <xf numFmtId="10" fontId="13" fillId="2" borderId="1" xfId="1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right" vertical="center"/>
    </xf>
    <xf numFmtId="169" fontId="13" fillId="2" borderId="8" xfId="4" applyNumberFormat="1" applyFont="1" applyFill="1" applyBorder="1" applyAlignment="1">
      <alignment horizontal="right" vertical="center"/>
    </xf>
    <xf numFmtId="0" fontId="13" fillId="2" borderId="8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/>
    </xf>
    <xf numFmtId="0" fontId="13" fillId="2" borderId="8" xfId="4" applyFont="1" applyFill="1" applyBorder="1" applyAlignment="1">
      <alignment horizontal="left" vertical="center" indent="1"/>
    </xf>
    <xf numFmtId="0" fontId="13" fillId="2" borderId="1" xfId="4" applyFont="1" applyFill="1" applyBorder="1" applyAlignment="1">
      <alignment horizontal="right" vertical="center" indent="1"/>
    </xf>
    <xf numFmtId="0" fontId="13" fillId="2" borderId="0" xfId="4" applyFont="1" applyFill="1" applyBorder="1" applyAlignment="1">
      <alignment horizontal="left" vertical="center" wrapText="1"/>
    </xf>
    <xf numFmtId="0" fontId="13" fillId="2" borderId="0" xfId="4" applyFont="1" applyFill="1" applyBorder="1" applyAlignment="1">
      <alignment horizontal="left" vertical="center" indent="1"/>
    </xf>
    <xf numFmtId="0" fontId="13" fillId="2" borderId="0" xfId="4" applyFont="1" applyFill="1" applyAlignment="1">
      <alignment vertical="center"/>
    </xf>
    <xf numFmtId="0" fontId="13" fillId="2" borderId="5" xfId="4" applyFont="1" applyFill="1" applyBorder="1" applyAlignment="1">
      <alignment horizontal="left" vertical="center" wrapText="1" indent="1"/>
    </xf>
    <xf numFmtId="0" fontId="13" fillId="2" borderId="5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horizontal="right" vertical="center" indent="1"/>
    </xf>
    <xf numFmtId="0" fontId="13" fillId="2" borderId="9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left" vertical="center" indent="1"/>
    </xf>
    <xf numFmtId="0" fontId="13" fillId="2" borderId="10" xfId="4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indent="1"/>
    </xf>
    <xf numFmtId="0" fontId="13" fillId="2" borderId="8" xfId="4" applyFont="1" applyFill="1" applyBorder="1" applyAlignment="1">
      <alignment horizontal="left" vertical="center" wrapText="1" indent="1"/>
    </xf>
    <xf numFmtId="0" fontId="13" fillId="2" borderId="11" xfId="4" applyFont="1" applyFill="1" applyBorder="1" applyAlignment="1">
      <alignment horizontal="left" vertical="center" wrapText="1" indent="2"/>
    </xf>
    <xf numFmtId="0" fontId="13" fillId="2" borderId="11" xfId="4" applyFont="1" applyFill="1" applyBorder="1" applyAlignment="1">
      <alignment horizontal="left" vertical="center" indent="2"/>
    </xf>
    <xf numFmtId="0" fontId="13" fillId="2" borderId="11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2"/>
    </xf>
    <xf numFmtId="0" fontId="13" fillId="2" borderId="12" xfId="4" applyFont="1" applyFill="1" applyBorder="1" applyAlignment="1">
      <alignment horizontal="right" vertical="center" indent="1"/>
    </xf>
    <xf numFmtId="0" fontId="13" fillId="2" borderId="12" xfId="4" applyFont="1" applyFill="1" applyBorder="1" applyAlignment="1">
      <alignment horizontal="left" vertical="center" indent="1"/>
    </xf>
    <xf numFmtId="0" fontId="13" fillId="2" borderId="12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 indent="2"/>
    </xf>
    <xf numFmtId="0" fontId="13" fillId="2" borderId="8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2"/>
    </xf>
    <xf numFmtId="0" fontId="13" fillId="2" borderId="1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3"/>
    </xf>
    <xf numFmtId="0" fontId="17" fillId="2" borderId="0" xfId="5" applyFont="1" applyFill="1"/>
    <xf numFmtId="0" fontId="13" fillId="2" borderId="0" xfId="5" applyFont="1" applyFill="1" applyAlignment="1">
      <alignment vertical="center"/>
    </xf>
    <xf numFmtId="0" fontId="13" fillId="2" borderId="0" xfId="5" applyFont="1" applyFill="1" applyAlignment="1">
      <alignment horizontal="center" vertical="center"/>
    </xf>
    <xf numFmtId="0" fontId="18" fillId="2" borderId="2" xfId="5" applyFont="1" applyFill="1" applyBorder="1" applyAlignment="1">
      <alignment vertical="center"/>
    </xf>
    <xf numFmtId="0" fontId="19" fillId="2" borderId="2" xfId="5" applyFont="1" applyFill="1" applyBorder="1" applyAlignment="1">
      <alignment vertical="center"/>
    </xf>
    <xf numFmtId="0" fontId="20" fillId="2" borderId="0" xfId="5" applyFont="1" applyFill="1" applyAlignment="1">
      <alignment vertical="center"/>
    </xf>
    <xf numFmtId="0" fontId="19" fillId="2" borderId="0" xfId="5" applyFont="1" applyFill="1" applyAlignment="1">
      <alignment vertical="center"/>
    </xf>
    <xf numFmtId="0" fontId="23" fillId="2" borderId="0" xfId="5" applyFont="1" applyFill="1" applyAlignment="1">
      <alignment vertical="center"/>
    </xf>
    <xf numFmtId="0" fontId="24" fillId="2" borderId="0" xfId="5" applyFont="1" applyFill="1" applyAlignment="1">
      <alignment vertical="center"/>
    </xf>
    <xf numFmtId="0" fontId="25" fillId="2" borderId="0" xfId="11" applyFont="1" applyFill="1" applyAlignment="1">
      <alignment vertical="center"/>
    </xf>
    <xf numFmtId="0" fontId="26" fillId="2" borderId="0" xfId="2" applyFont="1" applyFill="1" applyAlignment="1">
      <alignment horizontal="left" vertical="center" indent="1"/>
    </xf>
    <xf numFmtId="0" fontId="27" fillId="2" borderId="0" xfId="0" applyFont="1" applyFill="1"/>
    <xf numFmtId="0" fontId="27" fillId="2" borderId="0" xfId="0" applyFont="1" applyFill="1" applyAlignment="1">
      <alignment horizontal="left"/>
    </xf>
    <xf numFmtId="0" fontId="28" fillId="2" borderId="1" xfId="0" applyFont="1" applyFill="1" applyBorder="1"/>
    <xf numFmtId="0" fontId="29" fillId="2" borderId="0" xfId="0" applyFont="1" applyFill="1"/>
    <xf numFmtId="0" fontId="21" fillId="2" borderId="0" xfId="5" applyFont="1" applyFill="1" applyAlignment="1">
      <alignment horizontal="left" vertical="center"/>
    </xf>
    <xf numFmtId="170" fontId="22" fillId="2" borderId="0" xfId="5" quotePrefix="1" applyNumberFormat="1" applyFont="1" applyFill="1" applyAlignment="1">
      <alignment horizontal="left" vertical="center"/>
    </xf>
    <xf numFmtId="0" fontId="13" fillId="2" borderId="8" xfId="5" applyFont="1" applyFill="1" applyBorder="1" applyAlignment="1">
      <alignment horizontal="center" vertical="center" textRotation="90"/>
    </xf>
    <xf numFmtId="0" fontId="13" fillId="2" borderId="0" xfId="5" applyFont="1" applyFill="1" applyBorder="1" applyAlignment="1">
      <alignment horizontal="center" vertical="center" textRotation="90"/>
    </xf>
    <xf numFmtId="0" fontId="13" fillId="2" borderId="1" xfId="5" applyFont="1" applyFill="1" applyBorder="1" applyAlignment="1">
      <alignment horizontal="center" vertical="center" textRotation="90"/>
    </xf>
  </cellXfs>
  <cellStyles count="12">
    <cellStyle name="Comma" xfId="8" builtinId="3"/>
    <cellStyle name="Comma 2" xfId="3"/>
    <cellStyle name="Comma 3" xfId="9"/>
    <cellStyle name="Hyperlink" xfId="2" builtinId="8"/>
    <cellStyle name="Normal" xfId="0" builtinId="0"/>
    <cellStyle name="Normal 2" xfId="4"/>
    <cellStyle name="Normal 2 2" xfId="11"/>
    <cellStyle name="Normal 3" xfId="5"/>
    <cellStyle name="Percent" xfId="1" builtinId="5"/>
    <cellStyle name="Percent 2" xfId="6"/>
    <cellStyle name="Percent 3" xfId="7"/>
    <cellStyle name="Percent 4" xfId="10"/>
  </cellStyles>
  <dxfs count="0"/>
  <tableStyles count="0" defaultTableStyle="TableStyleMedium2" defaultPivotStyle="PivotStyleLight16"/>
  <colors>
    <mruColors>
      <color rgb="FF050505"/>
      <color rgb="FF006EBE"/>
      <color rgb="FFDCD7C3"/>
      <color rgb="FF0564C3"/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39940" y="3505200"/>
          <a:ext cx="295757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134"/>
    <col min="5" max="21" width="9.7109375" style="134" customWidth="1"/>
    <col min="22" max="22" width="9.7109375" style="135" customWidth="1"/>
    <col min="23" max="23" width="107.42578125" style="134" customWidth="1"/>
    <col min="24" max="24" width="44.7109375" style="134" customWidth="1"/>
    <col min="25" max="26" width="9.7109375" style="134" customWidth="1"/>
    <col min="27" max="16384" width="9.140625" style="134"/>
  </cols>
  <sheetData>
    <row r="2" spans="1:23" ht="21" x14ac:dyDescent="0.35">
      <c r="A2" s="133"/>
    </row>
    <row r="6" spans="1:23" ht="31.5" x14ac:dyDescent="0.25">
      <c r="A6" s="136"/>
      <c r="B6" s="137" t="s">
        <v>255</v>
      </c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V6" s="134"/>
    </row>
    <row r="7" spans="1:23" ht="15" customHeight="1" x14ac:dyDescent="0.25">
      <c r="V7" s="134"/>
    </row>
    <row r="8" spans="1:23" ht="15" customHeight="1" x14ac:dyDescent="0.25">
      <c r="V8" s="134"/>
    </row>
    <row r="9" spans="1:23" ht="15" customHeight="1" x14ac:dyDescent="0.25">
      <c r="V9" s="134"/>
    </row>
    <row r="10" spans="1:23" ht="28.5" x14ac:dyDescent="0.25">
      <c r="C10" s="138" t="s">
        <v>280</v>
      </c>
      <c r="V10" s="134"/>
    </row>
    <row r="11" spans="1:23" ht="15" customHeight="1" x14ac:dyDescent="0.25">
      <c r="V11" s="134"/>
    </row>
    <row r="15" spans="1:23" ht="30" customHeight="1" x14ac:dyDescent="0.25">
      <c r="C15" s="138" t="s">
        <v>260</v>
      </c>
    </row>
    <row r="16" spans="1:23" ht="15" customHeight="1" x14ac:dyDescent="0.25">
      <c r="W16" s="139"/>
    </row>
    <row r="17" spans="12:32" ht="15" customHeight="1" x14ac:dyDescent="0.25">
      <c r="W17" s="139"/>
    </row>
    <row r="28" spans="12:32" ht="21" x14ac:dyDescent="0.25">
      <c r="L28" s="148" t="s">
        <v>253</v>
      </c>
      <c r="M28" s="148"/>
      <c r="N28" s="148"/>
      <c r="O28" s="148"/>
    </row>
    <row r="29" spans="12:32" ht="15" customHeight="1" x14ac:dyDescent="0.25">
      <c r="V29" s="134"/>
    </row>
    <row r="30" spans="12:32" ht="18.75" x14ac:dyDescent="0.25">
      <c r="L30" s="149">
        <v>45432.785868055558</v>
      </c>
      <c r="M30" s="149"/>
      <c r="N30" s="149"/>
      <c r="O30" s="149"/>
      <c r="V30" s="134"/>
    </row>
    <row r="31" spans="12:32" ht="15" customHeight="1" x14ac:dyDescent="0.25">
      <c r="L31" s="140" t="s">
        <v>256</v>
      </c>
      <c r="V31" s="134"/>
      <c r="AA31" s="141"/>
      <c r="AB31" s="141"/>
      <c r="AC31" s="141"/>
      <c r="AD31" s="141"/>
      <c r="AE31" s="141"/>
      <c r="AF31" s="141"/>
    </row>
    <row r="32" spans="12:32" ht="15" customHeight="1" x14ac:dyDescent="0.25">
      <c r="V32" s="134"/>
    </row>
    <row r="33" spans="2:32" ht="15" customHeight="1" x14ac:dyDescent="0.25">
      <c r="B33" s="142" t="s">
        <v>22</v>
      </c>
      <c r="V33" s="134"/>
    </row>
    <row r="34" spans="2:32" ht="15" customHeight="1" x14ac:dyDescent="0.25">
      <c r="B34" s="142"/>
      <c r="V34" s="142"/>
    </row>
    <row r="35" spans="2:32" ht="15" customHeight="1" x14ac:dyDescent="0.25">
      <c r="B35" s="142" t="s">
        <v>254</v>
      </c>
      <c r="V35" s="142"/>
    </row>
    <row r="36" spans="2:32" ht="15" customHeight="1" x14ac:dyDescent="0.25">
      <c r="B36" s="142" t="s">
        <v>23</v>
      </c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W36" s="141"/>
      <c r="X36" s="141"/>
      <c r="Y36" s="141"/>
      <c r="Z36" s="141"/>
    </row>
    <row r="38" spans="2:32" ht="15" customHeight="1" x14ac:dyDescent="0.25">
      <c r="B38" s="142" t="s">
        <v>257</v>
      </c>
    </row>
    <row r="39" spans="2:32" ht="15" customHeight="1" x14ac:dyDescent="0.25">
      <c r="B39" s="142" t="s">
        <v>258</v>
      </c>
    </row>
    <row r="40" spans="2:32" ht="15" customHeight="1" x14ac:dyDescent="0.25">
      <c r="B40" s="143" t="s">
        <v>259</v>
      </c>
      <c r="AA40" s="141"/>
      <c r="AB40" s="141"/>
      <c r="AC40" s="141"/>
      <c r="AD40" s="141"/>
      <c r="AE40" s="141"/>
      <c r="AF40" s="141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7"/>
  <sheetViews>
    <sheetView showGridLines="0" zoomScaleNormal="100" workbookViewId="0"/>
  </sheetViews>
  <sheetFormatPr defaultColWidth="9.140625" defaultRowHeight="15" x14ac:dyDescent="0.25"/>
  <cols>
    <col min="1" max="1" width="7.7109375" style="5" customWidth="1"/>
    <col min="2" max="2" width="15.85546875" style="5" customWidth="1"/>
    <col min="3" max="3" width="2.85546875" style="5" customWidth="1"/>
    <col min="4" max="4" width="54.7109375" style="5" customWidth="1"/>
    <col min="5" max="16384" width="9.140625" style="5"/>
  </cols>
  <sheetData>
    <row r="1" spans="1:4" ht="18.75" x14ac:dyDescent="0.3">
      <c r="A1" s="144" t="s">
        <v>279</v>
      </c>
      <c r="B1" s="145" t="s">
        <v>280</v>
      </c>
      <c r="C1" s="3"/>
      <c r="D1" s="4"/>
    </row>
    <row r="2" spans="1:4" ht="18.75" x14ac:dyDescent="0.3">
      <c r="A2" s="2"/>
      <c r="B2" s="3"/>
      <c r="C2" s="3"/>
      <c r="D2" s="4"/>
    </row>
    <row r="3" spans="1:4" ht="18.75" x14ac:dyDescent="0.3">
      <c r="A3" s="2"/>
      <c r="B3" s="146" t="s">
        <v>6</v>
      </c>
      <c r="C3" s="6"/>
      <c r="D3" s="6"/>
    </row>
    <row r="4" spans="1:4" ht="15" customHeight="1" x14ac:dyDescent="0.3">
      <c r="A4" s="7"/>
      <c r="B4" s="8" t="str">
        <f ca="1">HYPERLINK("#"&amp;CELL("address",Macro_CurrPrices!D$2),MID(CELL("filename",Macro_CurrPrices!D$2),FIND("]",CELL("filename",Macro_CurrPrices!D$2))+1,256))</f>
        <v>Macro_CurrPrices</v>
      </c>
      <c r="C4" s="9"/>
      <c r="D4" s="147" t="s">
        <v>246</v>
      </c>
    </row>
    <row r="5" spans="1:4" ht="15" customHeight="1" x14ac:dyDescent="0.3">
      <c r="A5" s="7"/>
      <c r="B5" s="8" t="str">
        <f ca="1">HYPERLINK("#"&amp;CELL("address",Macro_euro2015!D$2),MID(CELL("filename",Macro_euro2015!D$2),FIND("]",CELL("filename",Macro_euro2015!D$2))+1,256))</f>
        <v>Macro_euro2015</v>
      </c>
      <c r="C5" s="9"/>
      <c r="D5" s="147" t="s">
        <v>263</v>
      </c>
    </row>
    <row r="6" spans="1:4" ht="15" customHeight="1" x14ac:dyDescent="0.3">
      <c r="A6" s="7"/>
      <c r="B6" s="8" t="str">
        <f ca="1">HYPERLINK("#"&amp;CELL("address",'Macro_JRC-IDEES'!$D$2),MID(CELL("filename",'Macro_JRC-IDEES'!$D$2),FIND("]",CELL("filename",'Macro_JRC-IDEES'!$D$2))+1,256))</f>
        <v>Macro_JRC-IDEES</v>
      </c>
      <c r="C6" s="9"/>
      <c r="D6" s="147" t="s">
        <v>264</v>
      </c>
    </row>
    <row r="7" spans="1:4" ht="15" customHeight="1" x14ac:dyDescent="0.3">
      <c r="A7" s="7"/>
      <c r="B7" s="8" t="str">
        <f ca="1">HYPERLINK("#"&amp;CELL("address",definitions!$D$2),MID(CELL("filename",definitions!$D$2),FIND("]",CELL("filename",definitions!$D$2))+1,256))</f>
        <v>definitions</v>
      </c>
      <c r="C7" s="9"/>
      <c r="D7" s="147" t="s">
        <v>247</v>
      </c>
    </row>
  </sheetData>
  <pageMargins left="0.39370078740157483" right="0.39370078740157483" top="0.39370078740157483" bottom="0.39370078740157483" header="0.31496062992125984" footer="0.31496062992125984"/>
  <pageSetup paperSize="9" scale="9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Y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50.7109375" style="10" customWidth="1" collapsed="1"/>
    <col min="4" max="25" width="8.7109375" style="10" customWidth="1"/>
    <col min="26" max="16384" width="9.140625" style="10"/>
  </cols>
  <sheetData>
    <row r="1" spans="1:25" ht="12.75" customHeight="1" x14ac:dyDescent="0.2">
      <c r="A1" s="13"/>
      <c r="B1" s="14" t="s">
        <v>279</v>
      </c>
      <c r="C1" s="15" t="s">
        <v>268</v>
      </c>
      <c r="D1" s="33">
        <v>2000</v>
      </c>
      <c r="E1" s="33">
        <v>2001</v>
      </c>
      <c r="F1" s="33">
        <v>2002</v>
      </c>
      <c r="G1" s="33">
        <v>2003</v>
      </c>
      <c r="H1" s="33">
        <v>2004</v>
      </c>
      <c r="I1" s="33">
        <v>2005</v>
      </c>
      <c r="J1" s="33">
        <v>2006</v>
      </c>
      <c r="K1" s="33">
        <v>2007</v>
      </c>
      <c r="L1" s="33">
        <v>2008</v>
      </c>
      <c r="M1" s="33">
        <v>2009</v>
      </c>
      <c r="N1" s="33">
        <v>2010</v>
      </c>
      <c r="O1" s="33">
        <v>2011</v>
      </c>
      <c r="P1" s="33">
        <v>2012</v>
      </c>
      <c r="Q1" s="33">
        <v>2013</v>
      </c>
      <c r="R1" s="33">
        <v>2014</v>
      </c>
      <c r="S1" s="33">
        <v>2015</v>
      </c>
      <c r="T1" s="33">
        <v>2016</v>
      </c>
      <c r="U1" s="33">
        <v>2017</v>
      </c>
      <c r="V1" s="33">
        <v>2018</v>
      </c>
      <c r="W1" s="33">
        <v>2019</v>
      </c>
      <c r="X1" s="33">
        <v>2020</v>
      </c>
      <c r="Y1" s="33">
        <v>2021</v>
      </c>
    </row>
    <row r="2" spans="1:25" ht="12.75" customHeight="1" x14ac:dyDescent="0.2">
      <c r="A2" s="16"/>
      <c r="B2" s="17" t="s">
        <v>24</v>
      </c>
      <c r="C2" s="18" t="s">
        <v>25</v>
      </c>
      <c r="D2" s="19">
        <v>123198.48505393729</v>
      </c>
      <c r="E2" s="19">
        <v>138635.45564402113</v>
      </c>
      <c r="F2" s="19">
        <v>154429.17437275988</v>
      </c>
      <c r="G2" s="19">
        <v>165305.04639753103</v>
      </c>
      <c r="H2" s="19">
        <v>177437.67347947799</v>
      </c>
      <c r="I2" s="19">
        <v>193385.90704296305</v>
      </c>
      <c r="J2" s="19">
        <v>209976.90470704093</v>
      </c>
      <c r="K2" s="19">
        <v>223776.3094270915</v>
      </c>
      <c r="L2" s="19">
        <v>212664.28517190245</v>
      </c>
      <c r="M2" s="19">
        <v>192493.44581523057</v>
      </c>
      <c r="N2" s="19">
        <v>190077.10214046444</v>
      </c>
      <c r="O2" s="19">
        <v>195109.59424787681</v>
      </c>
      <c r="P2" s="19">
        <v>198964.85094639819</v>
      </c>
      <c r="Q2" s="19">
        <v>203583.14827705928</v>
      </c>
      <c r="R2" s="19">
        <v>221961.30452911105</v>
      </c>
      <c r="S2" s="19">
        <v>299217.24153599999</v>
      </c>
      <c r="T2" s="19">
        <v>306277.51960550388</v>
      </c>
      <c r="U2" s="19">
        <v>338985.94612438878</v>
      </c>
      <c r="V2" s="19">
        <v>371818.62361749029</v>
      </c>
      <c r="W2" s="19">
        <v>404652.7033221217</v>
      </c>
      <c r="X2" s="19">
        <v>426105.06778787158</v>
      </c>
      <c r="Y2" s="19">
        <v>492896.58853702177</v>
      </c>
    </row>
    <row r="3" spans="1:25" ht="12.75" customHeight="1" x14ac:dyDescent="0.2">
      <c r="A3" s="20"/>
      <c r="B3" s="21" t="s">
        <v>26</v>
      </c>
      <c r="C3" s="22" t="s">
        <v>27</v>
      </c>
      <c r="D3" s="23">
        <v>53265.487348729512</v>
      </c>
      <c r="E3" s="23">
        <v>58214.600203214053</v>
      </c>
      <c r="F3" s="23">
        <v>63407.256050672295</v>
      </c>
      <c r="G3" s="23">
        <v>67726.297587398003</v>
      </c>
      <c r="H3" s="23">
        <v>71552.294054161976</v>
      </c>
      <c r="I3" s="23">
        <v>77751.486177666913</v>
      </c>
      <c r="J3" s="23">
        <v>84779.294153050723</v>
      </c>
      <c r="K3" s="23">
        <v>93176.740804304776</v>
      </c>
      <c r="L3" s="23">
        <v>94803.057953459662</v>
      </c>
      <c r="M3" s="23">
        <v>83849.940366356357</v>
      </c>
      <c r="N3" s="23">
        <v>83048.536781861752</v>
      </c>
      <c r="O3" s="23">
        <v>82699.719573780021</v>
      </c>
      <c r="P3" s="23">
        <v>83049.40659339531</v>
      </c>
      <c r="Q3" s="23">
        <v>84388.700589152315</v>
      </c>
      <c r="R3" s="23">
        <v>87413.085061324469</v>
      </c>
      <c r="S3" s="23">
        <v>90713.731535999992</v>
      </c>
      <c r="T3" s="23">
        <v>95519.598319712517</v>
      </c>
      <c r="U3" s="23">
        <v>99426.07713060797</v>
      </c>
      <c r="V3" s="23">
        <v>105121.18065616088</v>
      </c>
      <c r="W3" s="23">
        <v>109647.86607399696</v>
      </c>
      <c r="X3" s="23">
        <v>98517.581956031587</v>
      </c>
      <c r="Y3" s="23">
        <v>111028.2872202884</v>
      </c>
    </row>
    <row r="4" spans="1:25" ht="12.75" customHeight="1" x14ac:dyDescent="0.2">
      <c r="A4" s="24"/>
      <c r="B4" s="25" t="s">
        <v>28</v>
      </c>
      <c r="C4" s="26" t="s">
        <v>29</v>
      </c>
      <c r="D4" s="27">
        <v>96721.8</v>
      </c>
      <c r="E4" s="27">
        <v>108813.8</v>
      </c>
      <c r="F4" s="27">
        <v>120604.6</v>
      </c>
      <c r="G4" s="27">
        <v>128986.9</v>
      </c>
      <c r="H4" s="27">
        <v>137429.20000000001</v>
      </c>
      <c r="I4" s="27">
        <v>149522.70000000004</v>
      </c>
      <c r="J4" s="27">
        <v>162578.1</v>
      </c>
      <c r="K4" s="27">
        <v>175065.9</v>
      </c>
      <c r="L4" s="27">
        <v>167335</v>
      </c>
      <c r="M4" s="27">
        <v>152335.90000000002</v>
      </c>
      <c r="N4" s="27">
        <v>152323.70000000001</v>
      </c>
      <c r="O4" s="27">
        <v>155292.9</v>
      </c>
      <c r="P4" s="27">
        <v>158292</v>
      </c>
      <c r="Q4" s="27">
        <v>163957.1</v>
      </c>
      <c r="R4" s="27">
        <v>178907.4</v>
      </c>
      <c r="S4" s="27">
        <v>244655.5</v>
      </c>
      <c r="T4" s="27">
        <v>250333.8</v>
      </c>
      <c r="U4" s="27">
        <v>275428</v>
      </c>
      <c r="V4" s="27">
        <v>306661.8</v>
      </c>
      <c r="W4" s="27">
        <v>334041.3</v>
      </c>
      <c r="X4" s="27">
        <v>356186.1</v>
      </c>
      <c r="Y4" s="27">
        <v>408411.2</v>
      </c>
    </row>
    <row r="5" spans="1:25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ht="12.75" customHeight="1" x14ac:dyDescent="0.2">
      <c r="A6" s="150" t="s">
        <v>31</v>
      </c>
      <c r="B6" s="17" t="s">
        <v>32</v>
      </c>
      <c r="C6" s="18" t="s">
        <v>33</v>
      </c>
      <c r="D6" s="19">
        <v>2717.7</v>
      </c>
      <c r="E6" s="19">
        <v>2434.3000000000002</v>
      </c>
      <c r="F6" s="19">
        <v>2360</v>
      </c>
      <c r="G6" s="19">
        <v>2154.4999999999995</v>
      </c>
      <c r="H6" s="19">
        <v>2459.6999999999994</v>
      </c>
      <c r="I6" s="19">
        <v>1760.2</v>
      </c>
      <c r="J6" s="19">
        <v>1703.4</v>
      </c>
      <c r="K6" s="19">
        <v>2055.9</v>
      </c>
      <c r="L6" s="19">
        <v>1592</v>
      </c>
      <c r="M6" s="19">
        <v>945.8</v>
      </c>
      <c r="N6" s="19">
        <v>1598</v>
      </c>
      <c r="O6" s="19">
        <v>2074.1</v>
      </c>
      <c r="P6" s="19">
        <v>1730.7</v>
      </c>
      <c r="Q6" s="19">
        <v>1943.4</v>
      </c>
      <c r="R6" s="19">
        <v>2425.1999999999998</v>
      </c>
      <c r="S6" s="19">
        <v>2351.1</v>
      </c>
      <c r="T6" s="19">
        <v>2553.3000000000002</v>
      </c>
      <c r="U6" s="19">
        <v>3507.6</v>
      </c>
      <c r="V6" s="19">
        <v>2911.7</v>
      </c>
      <c r="W6" s="19">
        <v>3227.7</v>
      </c>
      <c r="X6" s="19">
        <v>3464.7</v>
      </c>
      <c r="Y6" s="19">
        <v>4304.3999999999996</v>
      </c>
    </row>
    <row r="7" spans="1:25" ht="12.75" customHeight="1" x14ac:dyDescent="0.2">
      <c r="A7" s="151"/>
      <c r="B7" s="21" t="s">
        <v>34</v>
      </c>
      <c r="C7" s="22" t="s">
        <v>35</v>
      </c>
      <c r="D7" s="23">
        <v>27246.400000000001</v>
      </c>
      <c r="E7" s="23">
        <v>33530.399999999994</v>
      </c>
      <c r="F7" s="23">
        <v>39070.600000000013</v>
      </c>
      <c r="G7" s="23">
        <v>37028.600000000006</v>
      </c>
      <c r="H7" s="23">
        <v>36127.999999999993</v>
      </c>
      <c r="I7" s="23">
        <v>36528.200000000026</v>
      </c>
      <c r="J7" s="23">
        <v>38258.499999999978</v>
      </c>
      <c r="K7" s="23">
        <v>40155.099999999984</v>
      </c>
      <c r="L7" s="23">
        <v>37504.899999999987</v>
      </c>
      <c r="M7" s="23">
        <v>39246.699999999975</v>
      </c>
      <c r="N7" s="23">
        <v>36726.000000000007</v>
      </c>
      <c r="O7" s="23">
        <v>39714.800000000003</v>
      </c>
      <c r="P7" s="23">
        <v>38957.099999999984</v>
      </c>
      <c r="Q7" s="23">
        <v>39193.299999999996</v>
      </c>
      <c r="R7" s="23">
        <v>43371.200000000012</v>
      </c>
      <c r="S7" s="23">
        <v>95897.199999999983</v>
      </c>
      <c r="T7" s="23">
        <v>93423.3</v>
      </c>
      <c r="U7" s="23">
        <v>100129.60000000001</v>
      </c>
      <c r="V7" s="23">
        <v>112378.90000000004</v>
      </c>
      <c r="W7" s="23">
        <v>117068.1</v>
      </c>
      <c r="X7" s="23">
        <v>133060.70000000001</v>
      </c>
      <c r="Y7" s="23">
        <v>157634.70000000001</v>
      </c>
    </row>
    <row r="8" spans="1:25" ht="12.75" customHeight="1" x14ac:dyDescent="0.2">
      <c r="A8" s="151"/>
      <c r="B8" s="21" t="s">
        <v>36</v>
      </c>
      <c r="C8" s="22" t="s">
        <v>37</v>
      </c>
      <c r="D8" s="23">
        <v>6931</v>
      </c>
      <c r="E8" s="23">
        <v>8081.4</v>
      </c>
      <c r="F8" s="23">
        <v>8671.7999999999993</v>
      </c>
      <c r="G8" s="23">
        <v>9933.1</v>
      </c>
      <c r="H8" s="23">
        <v>11947.1</v>
      </c>
      <c r="I8" s="23">
        <v>14622.000000000002</v>
      </c>
      <c r="J8" s="23">
        <v>17365</v>
      </c>
      <c r="K8" s="23">
        <v>16062.1</v>
      </c>
      <c r="L8" s="23">
        <v>11049.2</v>
      </c>
      <c r="M8" s="23">
        <v>4170.5</v>
      </c>
      <c r="N8" s="23">
        <v>2342.3000000000002</v>
      </c>
      <c r="O8" s="23">
        <v>1679.4</v>
      </c>
      <c r="P8" s="23">
        <v>2691.8</v>
      </c>
      <c r="Q8" s="23">
        <v>3477.5</v>
      </c>
      <c r="R8" s="23">
        <v>4427.3999999999996</v>
      </c>
      <c r="S8" s="23">
        <v>4908.8</v>
      </c>
      <c r="T8" s="23">
        <v>5734.5</v>
      </c>
      <c r="U8" s="23">
        <v>7478.1</v>
      </c>
      <c r="V8" s="23">
        <v>8055.2</v>
      </c>
      <c r="W8" s="23">
        <v>8778.9</v>
      </c>
      <c r="X8" s="23">
        <v>8177.7</v>
      </c>
      <c r="Y8" s="23">
        <v>9332.9000000000015</v>
      </c>
    </row>
    <row r="9" spans="1:25" ht="12.75" customHeight="1" x14ac:dyDescent="0.2">
      <c r="A9" s="151"/>
      <c r="B9" s="21" t="s">
        <v>38</v>
      </c>
      <c r="C9" s="22" t="s">
        <v>39</v>
      </c>
      <c r="D9" s="23">
        <v>16825.400000000001</v>
      </c>
      <c r="E9" s="23">
        <v>16577</v>
      </c>
      <c r="F9" s="23">
        <v>18044.8</v>
      </c>
      <c r="G9" s="23">
        <v>20263.900000000001</v>
      </c>
      <c r="H9" s="23">
        <v>21313.7</v>
      </c>
      <c r="I9" s="23">
        <v>23680.9</v>
      </c>
      <c r="J9" s="23">
        <v>26090.5</v>
      </c>
      <c r="K9" s="23">
        <v>28864.1</v>
      </c>
      <c r="L9" s="23">
        <v>27253.5</v>
      </c>
      <c r="M9" s="23">
        <v>24639.4</v>
      </c>
      <c r="N9" s="23">
        <v>24891.200000000001</v>
      </c>
      <c r="O9" s="23">
        <v>25581.4</v>
      </c>
      <c r="P9" s="23">
        <v>26447.9</v>
      </c>
      <c r="Q9" s="23">
        <v>28667.3</v>
      </c>
      <c r="R9" s="23">
        <v>29275.4</v>
      </c>
      <c r="S9" s="23">
        <v>30296.400000000001</v>
      </c>
      <c r="T9" s="23">
        <v>32227.5</v>
      </c>
      <c r="U9" s="23">
        <v>34440.69999999999</v>
      </c>
      <c r="V9" s="23">
        <v>34821.499999999993</v>
      </c>
      <c r="W9" s="23">
        <v>36897.499999999993</v>
      </c>
      <c r="X9" s="23">
        <v>31663.200000000001</v>
      </c>
      <c r="Y9" s="23">
        <v>33084.9</v>
      </c>
    </row>
    <row r="10" spans="1:25" ht="12.75" customHeight="1" x14ac:dyDescent="0.2">
      <c r="A10" s="151"/>
      <c r="B10" s="21" t="s">
        <v>40</v>
      </c>
      <c r="C10" s="22" t="s">
        <v>41</v>
      </c>
      <c r="D10" s="23">
        <v>7764.3</v>
      </c>
      <c r="E10" s="23">
        <v>7843.9</v>
      </c>
      <c r="F10" s="23">
        <v>7784.7</v>
      </c>
      <c r="G10" s="23">
        <v>8438.2999999999993</v>
      </c>
      <c r="H10" s="23">
        <v>9495.4</v>
      </c>
      <c r="I10" s="23">
        <v>10238.200000000003</v>
      </c>
      <c r="J10" s="23">
        <v>10294.9</v>
      </c>
      <c r="K10" s="23">
        <v>11382.1</v>
      </c>
      <c r="L10" s="23">
        <v>12751.8</v>
      </c>
      <c r="M10" s="23">
        <v>12752.4</v>
      </c>
      <c r="N10" s="23">
        <v>14008.3</v>
      </c>
      <c r="O10" s="23">
        <v>14047.4</v>
      </c>
      <c r="P10" s="23">
        <v>15465.500000000002</v>
      </c>
      <c r="Q10" s="23">
        <v>16862.900000000001</v>
      </c>
      <c r="R10" s="23">
        <v>19109.5</v>
      </c>
      <c r="S10" s="23">
        <v>23037.3</v>
      </c>
      <c r="T10" s="23">
        <v>24936.2</v>
      </c>
      <c r="U10" s="23">
        <v>31388.2</v>
      </c>
      <c r="V10" s="23">
        <v>39579.800000000003</v>
      </c>
      <c r="W10" s="23">
        <v>50734.5</v>
      </c>
      <c r="X10" s="23">
        <v>60375.199999999997</v>
      </c>
      <c r="Y10" s="23">
        <v>75782.7</v>
      </c>
    </row>
    <row r="11" spans="1:25" ht="12.75" customHeight="1" x14ac:dyDescent="0.2">
      <c r="A11" s="151"/>
      <c r="B11" s="21" t="s">
        <v>42</v>
      </c>
      <c r="C11" s="22" t="s">
        <v>43</v>
      </c>
      <c r="D11" s="23">
        <v>7200.7</v>
      </c>
      <c r="E11" s="23">
        <v>8151.2</v>
      </c>
      <c r="F11" s="23">
        <v>8866.9</v>
      </c>
      <c r="G11" s="23">
        <v>11444.2</v>
      </c>
      <c r="H11" s="23">
        <v>12829.8</v>
      </c>
      <c r="I11" s="23">
        <v>14604.3</v>
      </c>
      <c r="J11" s="23">
        <v>15869.5</v>
      </c>
      <c r="K11" s="23">
        <v>17406.900000000001</v>
      </c>
      <c r="L11" s="23">
        <v>16421.099999999999</v>
      </c>
      <c r="M11" s="23">
        <v>16043.7</v>
      </c>
      <c r="N11" s="23">
        <v>17479.2</v>
      </c>
      <c r="O11" s="23">
        <v>15432</v>
      </c>
      <c r="P11" s="23">
        <v>14832.5</v>
      </c>
      <c r="Q11" s="23">
        <v>13090.7</v>
      </c>
      <c r="R11" s="23">
        <v>15089.6</v>
      </c>
      <c r="S11" s="23">
        <v>16464.3</v>
      </c>
      <c r="T11" s="23">
        <v>16166.4</v>
      </c>
      <c r="U11" s="23">
        <v>15707</v>
      </c>
      <c r="V11" s="23">
        <v>16979.2</v>
      </c>
      <c r="W11" s="23">
        <v>17325</v>
      </c>
      <c r="X11" s="23">
        <v>15002.5</v>
      </c>
      <c r="Y11" s="23">
        <v>18353.8</v>
      </c>
    </row>
    <row r="12" spans="1:25" ht="12.75" customHeight="1" x14ac:dyDescent="0.2">
      <c r="A12" s="151"/>
      <c r="B12" s="21" t="s">
        <v>44</v>
      </c>
      <c r="C12" s="22" t="s">
        <v>45</v>
      </c>
      <c r="D12" s="23">
        <v>6867.8</v>
      </c>
      <c r="E12" s="23">
        <v>8046.4</v>
      </c>
      <c r="F12" s="23">
        <v>9264.7000000000007</v>
      </c>
      <c r="G12" s="23">
        <v>9642.5</v>
      </c>
      <c r="H12" s="23">
        <v>9735.4</v>
      </c>
      <c r="I12" s="23">
        <v>10014.1</v>
      </c>
      <c r="J12" s="23">
        <v>11083.1</v>
      </c>
      <c r="K12" s="23">
        <v>12884.2</v>
      </c>
      <c r="L12" s="23">
        <v>12789.5</v>
      </c>
      <c r="M12" s="23">
        <v>8275.9</v>
      </c>
      <c r="N12" s="23">
        <v>9854.4</v>
      </c>
      <c r="O12" s="23">
        <v>10233.700000000001</v>
      </c>
      <c r="P12" s="23">
        <v>11259.6</v>
      </c>
      <c r="Q12" s="23">
        <v>12007.9</v>
      </c>
      <c r="R12" s="23">
        <v>13195.4</v>
      </c>
      <c r="S12" s="23">
        <v>14533</v>
      </c>
      <c r="T12" s="23">
        <v>15521.5</v>
      </c>
      <c r="U12" s="23">
        <v>16492.900000000001</v>
      </c>
      <c r="V12" s="23">
        <v>18734.900000000001</v>
      </c>
      <c r="W12" s="23">
        <v>20493.000000000004</v>
      </c>
      <c r="X12" s="23">
        <v>21189.1</v>
      </c>
      <c r="Y12" s="23">
        <v>24097.599999999999</v>
      </c>
    </row>
    <row r="13" spans="1:25" ht="12.75" customHeight="1" x14ac:dyDescent="0.2">
      <c r="A13" s="151"/>
      <c r="B13" s="21" t="s">
        <v>46</v>
      </c>
      <c r="C13" s="22" t="s">
        <v>47</v>
      </c>
      <c r="D13" s="23">
        <v>6244</v>
      </c>
      <c r="E13" s="23">
        <v>6923.8</v>
      </c>
      <c r="F13" s="23">
        <v>7051.0999999999985</v>
      </c>
      <c r="G13" s="23">
        <v>8171.1</v>
      </c>
      <c r="H13" s="23">
        <v>9527.1</v>
      </c>
      <c r="I13" s="23">
        <v>12181.8</v>
      </c>
      <c r="J13" s="23">
        <v>13388.3</v>
      </c>
      <c r="K13" s="23">
        <v>14928.199999999997</v>
      </c>
      <c r="L13" s="23">
        <v>14487.9</v>
      </c>
      <c r="M13" s="23">
        <v>13161.2</v>
      </c>
      <c r="N13" s="23">
        <v>13918.300000000003</v>
      </c>
      <c r="O13" s="23">
        <v>15264.5</v>
      </c>
      <c r="P13" s="23">
        <v>15667.5</v>
      </c>
      <c r="Q13" s="23">
        <v>17638.900000000001</v>
      </c>
      <c r="R13" s="23">
        <v>20366.5</v>
      </c>
      <c r="S13" s="23">
        <v>24734.9</v>
      </c>
      <c r="T13" s="23">
        <v>26351.8</v>
      </c>
      <c r="U13" s="23">
        <v>30451</v>
      </c>
      <c r="V13" s="23">
        <v>35473.800000000003</v>
      </c>
      <c r="W13" s="23">
        <v>39450.399999999994</v>
      </c>
      <c r="X13" s="23">
        <v>43100.7</v>
      </c>
      <c r="Y13" s="23">
        <v>42206.400000000001</v>
      </c>
    </row>
    <row r="14" spans="1:25" ht="12.75" customHeight="1" x14ac:dyDescent="0.2">
      <c r="A14" s="151"/>
      <c r="B14" s="21" t="s">
        <v>48</v>
      </c>
      <c r="C14" s="22" t="s">
        <v>49</v>
      </c>
      <c r="D14" s="23">
        <v>12854.8</v>
      </c>
      <c r="E14" s="23">
        <v>14860.4</v>
      </c>
      <c r="F14" s="23">
        <v>16861.599999999995</v>
      </c>
      <c r="G14" s="23">
        <v>19032.7</v>
      </c>
      <c r="H14" s="23">
        <v>20970.900000000001</v>
      </c>
      <c r="I14" s="23">
        <v>22685.7</v>
      </c>
      <c r="J14" s="23">
        <v>24857.3</v>
      </c>
      <c r="K14" s="23">
        <v>27246.3</v>
      </c>
      <c r="L14" s="23">
        <v>29536.7</v>
      </c>
      <c r="M14" s="23">
        <v>29486.800000000003</v>
      </c>
      <c r="N14" s="23">
        <v>27923.299999999996</v>
      </c>
      <c r="O14" s="23">
        <v>27952.5</v>
      </c>
      <c r="P14" s="23">
        <v>28023.4</v>
      </c>
      <c r="Q14" s="23">
        <v>27665.1</v>
      </c>
      <c r="R14" s="23">
        <v>28159.9</v>
      </c>
      <c r="S14" s="23">
        <v>28941</v>
      </c>
      <c r="T14" s="23">
        <v>29851.599999999999</v>
      </c>
      <c r="U14" s="23">
        <v>31658.799999999999</v>
      </c>
      <c r="V14" s="23">
        <v>33298.199999999997</v>
      </c>
      <c r="W14" s="23">
        <v>35466.699999999997</v>
      </c>
      <c r="X14" s="23">
        <v>36449.1</v>
      </c>
      <c r="Y14" s="23">
        <v>39454.399999999994</v>
      </c>
    </row>
    <row r="15" spans="1:25" ht="12.75" customHeight="1" x14ac:dyDescent="0.2">
      <c r="A15" s="151"/>
      <c r="B15" s="21" t="s">
        <v>50</v>
      </c>
      <c r="C15" s="22" t="s">
        <v>51</v>
      </c>
      <c r="D15" s="23">
        <v>2069.6999999999998</v>
      </c>
      <c r="E15" s="23">
        <v>2365</v>
      </c>
      <c r="F15" s="23">
        <v>2628.4</v>
      </c>
      <c r="G15" s="23">
        <v>2878</v>
      </c>
      <c r="H15" s="23">
        <v>3022.1</v>
      </c>
      <c r="I15" s="23">
        <v>3207.3</v>
      </c>
      <c r="J15" s="23">
        <v>3667.6</v>
      </c>
      <c r="K15" s="23">
        <v>4081</v>
      </c>
      <c r="L15" s="23">
        <v>3948.4</v>
      </c>
      <c r="M15" s="23">
        <v>3613.5</v>
      </c>
      <c r="N15" s="23">
        <v>3582.7</v>
      </c>
      <c r="O15" s="23">
        <v>3313.1</v>
      </c>
      <c r="P15" s="23">
        <v>3216</v>
      </c>
      <c r="Q15" s="23">
        <v>3410.1</v>
      </c>
      <c r="R15" s="23">
        <v>3487.3</v>
      </c>
      <c r="S15" s="23">
        <v>3491.5</v>
      </c>
      <c r="T15" s="23">
        <v>3567.7</v>
      </c>
      <c r="U15" s="23">
        <v>4174.1000000000004</v>
      </c>
      <c r="V15" s="23">
        <v>4428.6000000000004</v>
      </c>
      <c r="W15" s="23">
        <v>4599.4999999999991</v>
      </c>
      <c r="X15" s="23">
        <v>3703.2</v>
      </c>
      <c r="Y15" s="23">
        <v>4159.3999999999996</v>
      </c>
    </row>
    <row r="16" spans="1:25" ht="12.75" customHeight="1" x14ac:dyDescent="0.2">
      <c r="A16" s="152"/>
      <c r="B16" s="28" t="s">
        <v>52</v>
      </c>
      <c r="C16" s="29" t="s">
        <v>53</v>
      </c>
      <c r="D16" s="30">
        <f>SUM(D6:D15)</f>
        <v>96721.800000000017</v>
      </c>
      <c r="E16" s="30">
        <f t="shared" ref="E16:S16" si="0">SUM(E6:E15)</f>
        <v>108813.79999999999</v>
      </c>
      <c r="F16" s="30">
        <f t="shared" si="0"/>
        <v>120604.59999999999</v>
      </c>
      <c r="G16" s="30">
        <f t="shared" si="0"/>
        <v>128986.90000000001</v>
      </c>
      <c r="H16" s="30">
        <f t="shared" si="0"/>
        <v>137429.19999999998</v>
      </c>
      <c r="I16" s="30">
        <f t="shared" si="0"/>
        <v>149522.70000000001</v>
      </c>
      <c r="J16" s="30">
        <f t="shared" si="0"/>
        <v>162578.09999999998</v>
      </c>
      <c r="K16" s="30">
        <f t="shared" si="0"/>
        <v>175065.89999999997</v>
      </c>
      <c r="L16" s="30">
        <f t="shared" si="0"/>
        <v>167335</v>
      </c>
      <c r="M16" s="30">
        <f t="shared" si="0"/>
        <v>152335.89999999997</v>
      </c>
      <c r="N16" s="30">
        <f t="shared" si="0"/>
        <v>152323.70000000001</v>
      </c>
      <c r="O16" s="30">
        <f t="shared" si="0"/>
        <v>155292.9</v>
      </c>
      <c r="P16" s="30">
        <f t="shared" si="0"/>
        <v>158292</v>
      </c>
      <c r="Q16" s="30">
        <f t="shared" si="0"/>
        <v>163957.1</v>
      </c>
      <c r="R16" s="30">
        <f t="shared" si="0"/>
        <v>178907.4</v>
      </c>
      <c r="S16" s="30">
        <f t="shared" si="0"/>
        <v>244655.49999999997</v>
      </c>
      <c r="T16" s="30">
        <f t="shared" ref="T16:Y16" si="1">SUM(T6:T15)</f>
        <v>250333.80000000002</v>
      </c>
      <c r="U16" s="30">
        <f t="shared" si="1"/>
        <v>275428</v>
      </c>
      <c r="V16" s="30">
        <f t="shared" si="1"/>
        <v>306661.80000000005</v>
      </c>
      <c r="W16" s="30">
        <f t="shared" si="1"/>
        <v>334041.3</v>
      </c>
      <c r="X16" s="30">
        <f t="shared" si="1"/>
        <v>356186.10000000003</v>
      </c>
      <c r="Y16" s="30">
        <f t="shared" si="1"/>
        <v>408411.19999999995</v>
      </c>
    </row>
    <row r="17" spans="1:25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ht="12.75" customHeight="1" x14ac:dyDescent="0.2">
      <c r="A18" s="150" t="s">
        <v>54</v>
      </c>
      <c r="B18" s="17" t="s">
        <v>32</v>
      </c>
      <c r="C18" s="18" t="s">
        <v>33</v>
      </c>
      <c r="D18" s="19">
        <v>2717.7</v>
      </c>
      <c r="E18" s="19">
        <v>2434.3000000000002</v>
      </c>
      <c r="F18" s="19">
        <v>2360</v>
      </c>
      <c r="G18" s="19">
        <v>2154.4999999999995</v>
      </c>
      <c r="H18" s="19">
        <v>2459.6999999999994</v>
      </c>
      <c r="I18" s="19">
        <v>1760.2</v>
      </c>
      <c r="J18" s="19">
        <v>1703.4</v>
      </c>
      <c r="K18" s="19">
        <v>2055.9</v>
      </c>
      <c r="L18" s="19">
        <v>1592</v>
      </c>
      <c r="M18" s="19">
        <v>945.8</v>
      </c>
      <c r="N18" s="19">
        <v>1598</v>
      </c>
      <c r="O18" s="19">
        <v>2074.1</v>
      </c>
      <c r="P18" s="19">
        <v>1730.7</v>
      </c>
      <c r="Q18" s="19">
        <v>1943.4</v>
      </c>
      <c r="R18" s="19">
        <v>2425.1999999999998</v>
      </c>
      <c r="S18" s="19">
        <v>2351.1</v>
      </c>
      <c r="T18" s="19">
        <v>2553.3000000000002</v>
      </c>
      <c r="U18" s="19">
        <v>3507.6</v>
      </c>
      <c r="V18" s="19">
        <v>2911.7</v>
      </c>
      <c r="W18" s="19">
        <v>3227.7</v>
      </c>
      <c r="X18" s="19">
        <v>3464.7</v>
      </c>
      <c r="Y18" s="19">
        <v>4304.3999999999996</v>
      </c>
    </row>
    <row r="19" spans="1:25" ht="12.75" customHeight="1" x14ac:dyDescent="0.2">
      <c r="A19" s="151"/>
      <c r="B19" s="21" t="s">
        <v>55</v>
      </c>
      <c r="C19" s="22" t="s">
        <v>56</v>
      </c>
      <c r="D19" s="23">
        <v>478.7</v>
      </c>
      <c r="E19" s="23">
        <v>608.6</v>
      </c>
      <c r="F19" s="23">
        <v>552.90000000000009</v>
      </c>
      <c r="G19" s="23">
        <v>620.1</v>
      </c>
      <c r="H19" s="23">
        <v>455.99999999999994</v>
      </c>
      <c r="I19" s="23">
        <v>575.20000000000005</v>
      </c>
      <c r="J19" s="23">
        <v>932.6</v>
      </c>
      <c r="K19" s="23">
        <v>1208.3</v>
      </c>
      <c r="L19" s="23">
        <v>913.40000000000009</v>
      </c>
      <c r="M19" s="23">
        <v>916.5</v>
      </c>
      <c r="N19" s="23">
        <v>687</v>
      </c>
      <c r="O19" s="23">
        <v>720.3</v>
      </c>
      <c r="P19" s="23">
        <v>881.2</v>
      </c>
      <c r="Q19" s="23">
        <v>746.3</v>
      </c>
      <c r="R19" s="23">
        <v>900.1</v>
      </c>
      <c r="S19" s="23">
        <v>394.9</v>
      </c>
      <c r="T19" s="23">
        <v>534.70000000000005</v>
      </c>
      <c r="U19" s="23">
        <v>595.20000000000005</v>
      </c>
      <c r="V19" s="23">
        <v>604.70000000000016</v>
      </c>
      <c r="W19" s="23">
        <v>495.4</v>
      </c>
      <c r="X19" s="23">
        <v>312.8</v>
      </c>
      <c r="Y19" s="23">
        <v>442.6</v>
      </c>
    </row>
    <row r="20" spans="1:25" ht="12.75" customHeight="1" x14ac:dyDescent="0.2">
      <c r="A20" s="151"/>
      <c r="B20" s="21" t="s">
        <v>57</v>
      </c>
      <c r="C20" s="22" t="s">
        <v>58</v>
      </c>
      <c r="D20" s="23">
        <v>25083.200000000001</v>
      </c>
      <c r="E20" s="23">
        <v>30827.4</v>
      </c>
      <c r="F20" s="23">
        <v>36372.800000000017</v>
      </c>
      <c r="G20" s="23">
        <v>34004.80000000001</v>
      </c>
      <c r="H20" s="23">
        <v>33013.599999999991</v>
      </c>
      <c r="I20" s="23">
        <v>33366.600000000028</v>
      </c>
      <c r="J20" s="23">
        <v>34344.599999999977</v>
      </c>
      <c r="K20" s="23">
        <v>35418.799999999988</v>
      </c>
      <c r="L20" s="23">
        <v>32885.199999999983</v>
      </c>
      <c r="M20" s="23">
        <v>34563.099999999969</v>
      </c>
      <c r="N20" s="23">
        <v>32629.4</v>
      </c>
      <c r="O20" s="23">
        <v>35395.599999999999</v>
      </c>
      <c r="P20" s="23">
        <v>34144.099999999984</v>
      </c>
      <c r="Q20" s="23">
        <v>34317.899999999994</v>
      </c>
      <c r="R20" s="23">
        <v>38481.300000000017</v>
      </c>
      <c r="S20" s="23">
        <v>91581.499999999985</v>
      </c>
      <c r="T20" s="23">
        <v>88912.89999999998</v>
      </c>
      <c r="U20" s="23">
        <v>95543.799999999988</v>
      </c>
      <c r="V20" s="23">
        <v>107427.70000000004</v>
      </c>
      <c r="W20" s="23">
        <v>112117.9</v>
      </c>
      <c r="X20" s="23">
        <v>128215.80000000002</v>
      </c>
      <c r="Y20" s="23">
        <v>151862.99999999997</v>
      </c>
    </row>
    <row r="21" spans="1:25" ht="12.75" customHeight="1" x14ac:dyDescent="0.2">
      <c r="A21" s="151"/>
      <c r="B21" s="21" t="s">
        <v>59</v>
      </c>
      <c r="C21" s="22" t="s">
        <v>60</v>
      </c>
      <c r="D21" s="23">
        <v>1094.5</v>
      </c>
      <c r="E21" s="23">
        <v>1368.3</v>
      </c>
      <c r="F21" s="23">
        <v>1373.2</v>
      </c>
      <c r="G21" s="23">
        <v>1594.8</v>
      </c>
      <c r="H21" s="23">
        <v>1749.8</v>
      </c>
      <c r="I21" s="23">
        <v>1640.1</v>
      </c>
      <c r="J21" s="23">
        <v>1825.5</v>
      </c>
      <c r="K21" s="23">
        <v>2242.1999999999998</v>
      </c>
      <c r="L21" s="23">
        <v>2422.4</v>
      </c>
      <c r="M21" s="23">
        <v>2588.4</v>
      </c>
      <c r="N21" s="23">
        <v>2516.4</v>
      </c>
      <c r="O21" s="23">
        <v>2867.5</v>
      </c>
      <c r="P21" s="23">
        <v>3108.3</v>
      </c>
      <c r="Q21" s="23">
        <v>3262.6</v>
      </c>
      <c r="R21" s="23">
        <v>3054.5</v>
      </c>
      <c r="S21" s="23">
        <v>2919.3</v>
      </c>
      <c r="T21" s="23">
        <v>2916.7</v>
      </c>
      <c r="U21" s="23">
        <v>2807.4</v>
      </c>
      <c r="V21" s="23">
        <v>3055.9</v>
      </c>
      <c r="W21" s="23">
        <v>3017.6</v>
      </c>
      <c r="X21" s="23">
        <v>3176.4</v>
      </c>
      <c r="Y21" s="23">
        <v>3654</v>
      </c>
    </row>
    <row r="22" spans="1:25" ht="12.75" customHeight="1" x14ac:dyDescent="0.2">
      <c r="A22" s="151"/>
      <c r="B22" s="21" t="s">
        <v>61</v>
      </c>
      <c r="C22" s="22" t="s">
        <v>62</v>
      </c>
      <c r="D22" s="23">
        <v>590</v>
      </c>
      <c r="E22" s="23">
        <v>726.1</v>
      </c>
      <c r="F22" s="23">
        <v>771.7</v>
      </c>
      <c r="G22" s="23">
        <v>808.9</v>
      </c>
      <c r="H22" s="23">
        <v>908.6</v>
      </c>
      <c r="I22" s="23">
        <v>946.30000000000018</v>
      </c>
      <c r="J22" s="23">
        <v>1155.8</v>
      </c>
      <c r="K22" s="23">
        <v>1285.8</v>
      </c>
      <c r="L22" s="23">
        <v>1283.9000000000001</v>
      </c>
      <c r="M22" s="23">
        <v>1178.7</v>
      </c>
      <c r="N22" s="23">
        <v>893.2</v>
      </c>
      <c r="O22" s="23">
        <v>731.4</v>
      </c>
      <c r="P22" s="23">
        <v>823.5</v>
      </c>
      <c r="Q22" s="23">
        <v>866.5</v>
      </c>
      <c r="R22" s="23">
        <v>935.30000000000018</v>
      </c>
      <c r="S22" s="23">
        <v>1001.5</v>
      </c>
      <c r="T22" s="23">
        <v>1058.9999999999998</v>
      </c>
      <c r="U22" s="23">
        <v>1183.2</v>
      </c>
      <c r="V22" s="23">
        <v>1290.5999999999999</v>
      </c>
      <c r="W22" s="23">
        <v>1437.2</v>
      </c>
      <c r="X22" s="23">
        <v>1355.7</v>
      </c>
      <c r="Y22" s="23">
        <v>1675.1</v>
      </c>
    </row>
    <row r="23" spans="1:25" ht="12.75" customHeight="1" x14ac:dyDescent="0.2">
      <c r="A23" s="151"/>
      <c r="B23" s="21" t="s">
        <v>36</v>
      </c>
      <c r="C23" s="22" t="s">
        <v>37</v>
      </c>
      <c r="D23" s="23">
        <v>6931</v>
      </c>
      <c r="E23" s="23">
        <v>8081.4</v>
      </c>
      <c r="F23" s="23">
        <v>8671.7999999999993</v>
      </c>
      <c r="G23" s="23">
        <v>9933.1</v>
      </c>
      <c r="H23" s="23">
        <v>11947.1</v>
      </c>
      <c r="I23" s="23">
        <v>14622.000000000002</v>
      </c>
      <c r="J23" s="23">
        <v>17365</v>
      </c>
      <c r="K23" s="23">
        <v>16062.1</v>
      </c>
      <c r="L23" s="23">
        <v>11049.2</v>
      </c>
      <c r="M23" s="23">
        <v>4170.5</v>
      </c>
      <c r="N23" s="23">
        <v>2342.3000000000002</v>
      </c>
      <c r="O23" s="23">
        <v>1679.4</v>
      </c>
      <c r="P23" s="23">
        <v>2691.8</v>
      </c>
      <c r="Q23" s="23">
        <v>3477.5</v>
      </c>
      <c r="R23" s="23">
        <v>4427.3999999999996</v>
      </c>
      <c r="S23" s="23">
        <v>4908.8</v>
      </c>
      <c r="T23" s="23">
        <v>5734.5</v>
      </c>
      <c r="U23" s="23">
        <v>7478.1</v>
      </c>
      <c r="V23" s="23">
        <v>8055.2</v>
      </c>
      <c r="W23" s="23">
        <v>8778.9</v>
      </c>
      <c r="X23" s="23">
        <v>8177.7</v>
      </c>
      <c r="Y23" s="23">
        <v>9332.9000000000015</v>
      </c>
    </row>
    <row r="24" spans="1:25" ht="12.75" customHeight="1" x14ac:dyDescent="0.2">
      <c r="A24" s="151"/>
      <c r="B24" s="21" t="s">
        <v>63</v>
      </c>
      <c r="C24" s="22" t="s">
        <v>64</v>
      </c>
      <c r="D24" s="23">
        <v>10526.200000000003</v>
      </c>
      <c r="E24" s="23">
        <v>9867.2999999999993</v>
      </c>
      <c r="F24" s="23">
        <v>11088.800000000003</v>
      </c>
      <c r="G24" s="23">
        <v>12543.100000000002</v>
      </c>
      <c r="H24" s="23">
        <v>13171.399999999998</v>
      </c>
      <c r="I24" s="23">
        <v>14900.799999999997</v>
      </c>
      <c r="J24" s="23">
        <v>16466.400000000001</v>
      </c>
      <c r="K24" s="23">
        <v>18162.500000000004</v>
      </c>
      <c r="L24" s="23">
        <v>17450.5</v>
      </c>
      <c r="M24" s="23">
        <v>14802.299999999997</v>
      </c>
      <c r="N24" s="23">
        <v>15871.100000000002</v>
      </c>
      <c r="O24" s="23">
        <v>16781.400000000001</v>
      </c>
      <c r="P24" s="23">
        <v>17520.399999999998</v>
      </c>
      <c r="Q24" s="23">
        <v>19246.600000000002</v>
      </c>
      <c r="R24" s="23">
        <v>19256.599999999999</v>
      </c>
      <c r="S24" s="23">
        <v>19494.599999999999</v>
      </c>
      <c r="T24" s="23">
        <v>21016.7</v>
      </c>
      <c r="U24" s="23">
        <v>22516.69999999999</v>
      </c>
      <c r="V24" s="23">
        <v>23390.1</v>
      </c>
      <c r="W24" s="23">
        <v>24465.4</v>
      </c>
      <c r="X24" s="23">
        <v>25339.300000000003</v>
      </c>
      <c r="Y24" s="23">
        <v>24877.7</v>
      </c>
    </row>
    <row r="25" spans="1:25" ht="12.75" customHeight="1" x14ac:dyDescent="0.2">
      <c r="A25" s="151"/>
      <c r="B25" s="21" t="s">
        <v>65</v>
      </c>
      <c r="C25" s="22" t="s">
        <v>66</v>
      </c>
      <c r="D25" s="23">
        <v>3636.5</v>
      </c>
      <c r="E25" s="23">
        <v>3914.3</v>
      </c>
      <c r="F25" s="23">
        <v>4144</v>
      </c>
      <c r="G25" s="23">
        <v>4596.6000000000004</v>
      </c>
      <c r="H25" s="23">
        <v>4964.8</v>
      </c>
      <c r="I25" s="23">
        <v>5294.3</v>
      </c>
      <c r="J25" s="23">
        <v>5864.3</v>
      </c>
      <c r="K25" s="23">
        <v>6371.5</v>
      </c>
      <c r="L25" s="23">
        <v>5869.2</v>
      </c>
      <c r="M25" s="23">
        <v>6151.5</v>
      </c>
      <c r="N25" s="23">
        <v>5684.4</v>
      </c>
      <c r="O25" s="23">
        <v>5582.2</v>
      </c>
      <c r="P25" s="23">
        <v>5532.3</v>
      </c>
      <c r="Q25" s="23">
        <v>5762.9</v>
      </c>
      <c r="R25" s="23">
        <v>6143.6</v>
      </c>
      <c r="S25" s="23">
        <v>6508.2</v>
      </c>
      <c r="T25" s="23">
        <v>6640.9</v>
      </c>
      <c r="U25" s="23">
        <v>6880.5</v>
      </c>
      <c r="V25" s="23">
        <v>6073.1</v>
      </c>
      <c r="W25" s="23">
        <v>6986.8</v>
      </c>
      <c r="X25" s="23">
        <v>3630.9</v>
      </c>
      <c r="Y25" s="23">
        <v>4765</v>
      </c>
    </row>
    <row r="26" spans="1:25" ht="12.75" customHeight="1" x14ac:dyDescent="0.2">
      <c r="A26" s="151"/>
      <c r="B26" s="21" t="s">
        <v>67</v>
      </c>
      <c r="C26" s="22" t="s">
        <v>68</v>
      </c>
      <c r="D26" s="23">
        <v>2662.7</v>
      </c>
      <c r="E26" s="23">
        <v>2795.4</v>
      </c>
      <c r="F26" s="23">
        <v>2812</v>
      </c>
      <c r="G26" s="23">
        <v>3124.2</v>
      </c>
      <c r="H26" s="23">
        <v>3177.5</v>
      </c>
      <c r="I26" s="23">
        <v>3485.8</v>
      </c>
      <c r="J26" s="23">
        <v>3759.8</v>
      </c>
      <c r="K26" s="23">
        <v>4330.1000000000004</v>
      </c>
      <c r="L26" s="23">
        <v>3933.8</v>
      </c>
      <c r="M26" s="23">
        <v>3685.6000000000004</v>
      </c>
      <c r="N26" s="23">
        <v>3335.7</v>
      </c>
      <c r="O26" s="23">
        <v>3217.8</v>
      </c>
      <c r="P26" s="23">
        <v>3395.2</v>
      </c>
      <c r="Q26" s="23">
        <v>3657.8</v>
      </c>
      <c r="R26" s="23">
        <v>3875.2</v>
      </c>
      <c r="S26" s="23">
        <v>4293.6000000000004</v>
      </c>
      <c r="T26" s="23">
        <v>4569.8999999999996</v>
      </c>
      <c r="U26" s="23">
        <v>5043.5</v>
      </c>
      <c r="V26" s="23">
        <v>5358.3</v>
      </c>
      <c r="W26" s="23">
        <v>5445.3</v>
      </c>
      <c r="X26" s="23">
        <v>2693</v>
      </c>
      <c r="Y26" s="23">
        <v>3442.2</v>
      </c>
    </row>
    <row r="27" spans="1:25" ht="12.75" customHeight="1" x14ac:dyDescent="0.2">
      <c r="A27" s="151"/>
      <c r="B27" s="21" t="s">
        <v>40</v>
      </c>
      <c r="C27" s="22" t="s">
        <v>41</v>
      </c>
      <c r="D27" s="23">
        <v>7764.3</v>
      </c>
      <c r="E27" s="23">
        <v>7843.9</v>
      </c>
      <c r="F27" s="23">
        <v>7784.7</v>
      </c>
      <c r="G27" s="23">
        <v>8438.2999999999993</v>
      </c>
      <c r="H27" s="23">
        <v>9495.4</v>
      </c>
      <c r="I27" s="23">
        <v>10238.200000000003</v>
      </c>
      <c r="J27" s="23">
        <v>10294.9</v>
      </c>
      <c r="K27" s="23">
        <v>11382.1</v>
      </c>
      <c r="L27" s="23">
        <v>12751.8</v>
      </c>
      <c r="M27" s="23">
        <v>12752.4</v>
      </c>
      <c r="N27" s="23">
        <v>14008.3</v>
      </c>
      <c r="O27" s="23">
        <v>14047.4</v>
      </c>
      <c r="P27" s="23">
        <v>15465.500000000002</v>
      </c>
      <c r="Q27" s="23">
        <v>16862.900000000001</v>
      </c>
      <c r="R27" s="23">
        <v>19109.5</v>
      </c>
      <c r="S27" s="23">
        <v>23037.3</v>
      </c>
      <c r="T27" s="23">
        <v>24936.2</v>
      </c>
      <c r="U27" s="23">
        <v>31388.2</v>
      </c>
      <c r="V27" s="23">
        <v>39579.800000000003</v>
      </c>
      <c r="W27" s="23">
        <v>50734.5</v>
      </c>
      <c r="X27" s="23">
        <v>60375.199999999997</v>
      </c>
      <c r="Y27" s="23">
        <v>75782.7</v>
      </c>
    </row>
    <row r="28" spans="1:25" ht="12.75" customHeight="1" x14ac:dyDescent="0.2">
      <c r="A28" s="151"/>
      <c r="B28" s="21" t="s">
        <v>42</v>
      </c>
      <c r="C28" s="22" t="s">
        <v>43</v>
      </c>
      <c r="D28" s="23">
        <v>7200.7</v>
      </c>
      <c r="E28" s="23">
        <v>8151.2</v>
      </c>
      <c r="F28" s="23">
        <v>8866.9</v>
      </c>
      <c r="G28" s="23">
        <v>11444.2</v>
      </c>
      <c r="H28" s="23">
        <v>12829.8</v>
      </c>
      <c r="I28" s="23">
        <v>14604.3</v>
      </c>
      <c r="J28" s="23">
        <v>15869.5</v>
      </c>
      <c r="K28" s="23">
        <v>17406.900000000001</v>
      </c>
      <c r="L28" s="23">
        <v>16421.099999999999</v>
      </c>
      <c r="M28" s="23">
        <v>16043.7</v>
      </c>
      <c r="N28" s="23">
        <v>17479.2</v>
      </c>
      <c r="O28" s="23">
        <v>15432</v>
      </c>
      <c r="P28" s="23">
        <v>14832.5</v>
      </c>
      <c r="Q28" s="23">
        <v>13090.7</v>
      </c>
      <c r="R28" s="23">
        <v>15089.6</v>
      </c>
      <c r="S28" s="23">
        <v>16464.3</v>
      </c>
      <c r="T28" s="23">
        <v>16166.4</v>
      </c>
      <c r="U28" s="23">
        <v>15707</v>
      </c>
      <c r="V28" s="23">
        <v>16979.2</v>
      </c>
      <c r="W28" s="23">
        <v>17325</v>
      </c>
      <c r="X28" s="23">
        <v>15002.5</v>
      </c>
      <c r="Y28" s="23">
        <v>18353.8</v>
      </c>
    </row>
    <row r="29" spans="1:25" ht="12.75" customHeight="1" x14ac:dyDescent="0.2">
      <c r="A29" s="151"/>
      <c r="B29" s="21" t="s">
        <v>44</v>
      </c>
      <c r="C29" s="22" t="s">
        <v>45</v>
      </c>
      <c r="D29" s="23">
        <v>6867.8</v>
      </c>
      <c r="E29" s="23">
        <v>8046.4</v>
      </c>
      <c r="F29" s="23">
        <v>9264.7000000000007</v>
      </c>
      <c r="G29" s="23">
        <v>9642.5</v>
      </c>
      <c r="H29" s="23">
        <v>9735.4</v>
      </c>
      <c r="I29" s="23">
        <v>10014.1</v>
      </c>
      <c r="J29" s="23">
        <v>11083.1</v>
      </c>
      <c r="K29" s="23">
        <v>12884.2</v>
      </c>
      <c r="L29" s="23">
        <v>12789.5</v>
      </c>
      <c r="M29" s="23">
        <v>8275.9</v>
      </c>
      <c r="N29" s="23">
        <v>9854.4</v>
      </c>
      <c r="O29" s="23">
        <v>10233.700000000001</v>
      </c>
      <c r="P29" s="23">
        <v>11259.6</v>
      </c>
      <c r="Q29" s="23">
        <v>12007.9</v>
      </c>
      <c r="R29" s="23">
        <v>13195.4</v>
      </c>
      <c r="S29" s="23">
        <v>14533</v>
      </c>
      <c r="T29" s="23">
        <v>15521.5</v>
      </c>
      <c r="U29" s="23">
        <v>16492.900000000001</v>
      </c>
      <c r="V29" s="23">
        <v>18734.900000000001</v>
      </c>
      <c r="W29" s="23">
        <v>20493.000000000004</v>
      </c>
      <c r="X29" s="23">
        <v>21189.1</v>
      </c>
      <c r="Y29" s="23">
        <v>24097.599999999999</v>
      </c>
    </row>
    <row r="30" spans="1:25" ht="12.75" customHeight="1" x14ac:dyDescent="0.2">
      <c r="A30" s="151"/>
      <c r="B30" s="21" t="s">
        <v>69</v>
      </c>
      <c r="C30" s="22" t="s">
        <v>70</v>
      </c>
      <c r="D30" s="23">
        <v>3743.5</v>
      </c>
      <c r="E30" s="23">
        <v>4103.9999999999991</v>
      </c>
      <c r="F30" s="23">
        <v>4286.3999999999996</v>
      </c>
      <c r="G30" s="23">
        <v>4899.8999999999996</v>
      </c>
      <c r="H30" s="23">
        <v>5878.2</v>
      </c>
      <c r="I30" s="23">
        <v>6589.2000000000007</v>
      </c>
      <c r="J30" s="23">
        <v>7190.5000000000009</v>
      </c>
      <c r="K30" s="23">
        <v>7958.2</v>
      </c>
      <c r="L30" s="23">
        <v>7565.6999999999989</v>
      </c>
      <c r="M30" s="23">
        <v>6594.4000000000015</v>
      </c>
      <c r="N30" s="23">
        <v>6392.1000000000022</v>
      </c>
      <c r="O30" s="23">
        <v>7073.4</v>
      </c>
      <c r="P30" s="23">
        <v>6961.6</v>
      </c>
      <c r="Q30" s="23">
        <v>7909.1999999999989</v>
      </c>
      <c r="R30" s="23">
        <v>9015.6</v>
      </c>
      <c r="S30" s="23">
        <v>10260.100000000002</v>
      </c>
      <c r="T30" s="23">
        <v>10207.300000000003</v>
      </c>
      <c r="U30" s="23">
        <v>12903</v>
      </c>
      <c r="V30" s="23">
        <v>14840.500000000005</v>
      </c>
      <c r="W30" s="23">
        <v>14842.099999999999</v>
      </c>
      <c r="X30" s="23">
        <v>20330.100000000002</v>
      </c>
      <c r="Y30" s="23">
        <v>20828.5</v>
      </c>
    </row>
    <row r="31" spans="1:25" ht="12.75" customHeight="1" x14ac:dyDescent="0.2">
      <c r="A31" s="151"/>
      <c r="B31" s="21" t="s">
        <v>71</v>
      </c>
      <c r="C31" s="22" t="s">
        <v>72</v>
      </c>
      <c r="D31" s="23">
        <v>2500.5</v>
      </c>
      <c r="E31" s="23">
        <v>2819.8</v>
      </c>
      <c r="F31" s="23">
        <v>2764.7</v>
      </c>
      <c r="G31" s="23">
        <v>3271.2</v>
      </c>
      <c r="H31" s="23">
        <v>3648.9000000000005</v>
      </c>
      <c r="I31" s="23">
        <v>5592.6</v>
      </c>
      <c r="J31" s="23">
        <v>6197.8</v>
      </c>
      <c r="K31" s="23">
        <v>6970</v>
      </c>
      <c r="L31" s="23">
        <v>6922.2</v>
      </c>
      <c r="M31" s="23">
        <v>6566.8</v>
      </c>
      <c r="N31" s="23">
        <v>7526.2</v>
      </c>
      <c r="O31" s="23">
        <v>8191.1</v>
      </c>
      <c r="P31" s="23">
        <v>8705.9</v>
      </c>
      <c r="Q31" s="23">
        <v>9729.7000000000025</v>
      </c>
      <c r="R31" s="23">
        <v>11350.9</v>
      </c>
      <c r="S31" s="23">
        <v>14474.8</v>
      </c>
      <c r="T31" s="23">
        <v>16144.5</v>
      </c>
      <c r="U31" s="23">
        <v>17548</v>
      </c>
      <c r="V31" s="23">
        <v>20633.3</v>
      </c>
      <c r="W31" s="23">
        <v>24608.3</v>
      </c>
      <c r="X31" s="23">
        <v>22770.6</v>
      </c>
      <c r="Y31" s="23">
        <v>21377.9</v>
      </c>
    </row>
    <row r="32" spans="1:25" ht="12.75" customHeight="1" x14ac:dyDescent="0.2">
      <c r="A32" s="151"/>
      <c r="B32" s="21" t="s">
        <v>73</v>
      </c>
      <c r="C32" s="22" t="s">
        <v>74</v>
      </c>
      <c r="D32" s="23">
        <v>3829.7000000000007</v>
      </c>
      <c r="E32" s="23">
        <v>4305.1000000000004</v>
      </c>
      <c r="F32" s="23">
        <v>4818.6999999999962</v>
      </c>
      <c r="G32" s="23">
        <v>5186.300000000002</v>
      </c>
      <c r="H32" s="23">
        <v>5760.6000000000022</v>
      </c>
      <c r="I32" s="23">
        <v>6023.5999999999985</v>
      </c>
      <c r="J32" s="23">
        <v>6282.9999999999964</v>
      </c>
      <c r="K32" s="23">
        <v>6879.7</v>
      </c>
      <c r="L32" s="23">
        <v>7280.5999999999985</v>
      </c>
      <c r="M32" s="23">
        <v>6879.0000000000009</v>
      </c>
      <c r="N32" s="23">
        <v>6802.5999999999976</v>
      </c>
      <c r="O32" s="23">
        <v>7994.9000000000033</v>
      </c>
      <c r="P32" s="23">
        <v>7859.1000000000013</v>
      </c>
      <c r="Q32" s="23">
        <v>7734.1</v>
      </c>
      <c r="R32" s="23">
        <v>7857.4000000000015</v>
      </c>
      <c r="S32" s="23">
        <v>7998.8000000000011</v>
      </c>
      <c r="T32" s="23">
        <v>8238.9999999999982</v>
      </c>
      <c r="U32" s="23">
        <v>8572.8000000000029</v>
      </c>
      <c r="V32" s="23">
        <v>8975.5999999999913</v>
      </c>
      <c r="W32" s="23">
        <v>9556.6999999999971</v>
      </c>
      <c r="X32" s="23">
        <v>10111.199999999997</v>
      </c>
      <c r="Y32" s="23">
        <v>10725.399999999996</v>
      </c>
    </row>
    <row r="33" spans="1:25" ht="12.75" customHeight="1" x14ac:dyDescent="0.2">
      <c r="A33" s="151"/>
      <c r="B33" s="21" t="s">
        <v>75</v>
      </c>
      <c r="C33" s="22" t="s">
        <v>76</v>
      </c>
      <c r="D33" s="23">
        <v>3838.9</v>
      </c>
      <c r="E33" s="23">
        <v>4438.5</v>
      </c>
      <c r="F33" s="23">
        <v>5173.6000000000004</v>
      </c>
      <c r="G33" s="23">
        <v>5896.5</v>
      </c>
      <c r="H33" s="23">
        <v>6318.6</v>
      </c>
      <c r="I33" s="23">
        <v>6949.6</v>
      </c>
      <c r="J33" s="23">
        <v>7748.3</v>
      </c>
      <c r="K33" s="23">
        <v>8475.7999999999993</v>
      </c>
      <c r="L33" s="23">
        <v>9210.6</v>
      </c>
      <c r="M33" s="23">
        <v>9667.2000000000007</v>
      </c>
      <c r="N33" s="23">
        <v>9229.9</v>
      </c>
      <c r="O33" s="23">
        <v>7710.5</v>
      </c>
      <c r="P33" s="23">
        <v>7811.6</v>
      </c>
      <c r="Q33" s="23">
        <v>7798.8</v>
      </c>
      <c r="R33" s="23">
        <v>8092.8</v>
      </c>
      <c r="S33" s="23">
        <v>8303.7999999999993</v>
      </c>
      <c r="T33" s="23">
        <v>8436.7000000000007</v>
      </c>
      <c r="U33" s="23">
        <v>9004.5000000000018</v>
      </c>
      <c r="V33" s="23">
        <v>9496.2000000000025</v>
      </c>
      <c r="W33" s="23">
        <v>9994.2999999999975</v>
      </c>
      <c r="X33" s="23">
        <v>10130.4</v>
      </c>
      <c r="Y33" s="23">
        <v>10775</v>
      </c>
    </row>
    <row r="34" spans="1:25" ht="12.75" customHeight="1" x14ac:dyDescent="0.2">
      <c r="A34" s="151"/>
      <c r="B34" s="21" t="s">
        <v>77</v>
      </c>
      <c r="C34" s="22" t="s">
        <v>78</v>
      </c>
      <c r="D34" s="23">
        <v>5186.2</v>
      </c>
      <c r="E34" s="23">
        <v>6116.8</v>
      </c>
      <c r="F34" s="23">
        <v>6869.3</v>
      </c>
      <c r="G34" s="23">
        <v>7949.9</v>
      </c>
      <c r="H34" s="23">
        <v>8891.7000000000007</v>
      </c>
      <c r="I34" s="23">
        <v>9712.5</v>
      </c>
      <c r="J34" s="23">
        <v>10826</v>
      </c>
      <c r="K34" s="23">
        <v>11890.8</v>
      </c>
      <c r="L34" s="23">
        <v>13045.5</v>
      </c>
      <c r="M34" s="23">
        <v>12940.6</v>
      </c>
      <c r="N34" s="23">
        <v>11890.8</v>
      </c>
      <c r="O34" s="23">
        <v>12247.1</v>
      </c>
      <c r="P34" s="23">
        <v>12352.7</v>
      </c>
      <c r="Q34" s="23">
        <v>12132.2</v>
      </c>
      <c r="R34" s="23">
        <v>12209.7</v>
      </c>
      <c r="S34" s="23">
        <v>12638.4</v>
      </c>
      <c r="T34" s="23">
        <v>13175.9</v>
      </c>
      <c r="U34" s="23">
        <v>14081.5</v>
      </c>
      <c r="V34" s="23">
        <v>14826.4</v>
      </c>
      <c r="W34" s="23">
        <v>15915.7</v>
      </c>
      <c r="X34" s="23">
        <v>16207.5</v>
      </c>
      <c r="Y34" s="23">
        <v>17953.999999999996</v>
      </c>
    </row>
    <row r="35" spans="1:25" ht="12.75" customHeight="1" x14ac:dyDescent="0.2">
      <c r="A35" s="151"/>
      <c r="B35" s="21" t="s">
        <v>79</v>
      </c>
      <c r="C35" s="22" t="s">
        <v>80</v>
      </c>
      <c r="D35" s="23">
        <v>1390.2</v>
      </c>
      <c r="E35" s="23">
        <v>1537.8</v>
      </c>
      <c r="F35" s="23">
        <v>1634.1999999999998</v>
      </c>
      <c r="G35" s="23">
        <v>1854</v>
      </c>
      <c r="H35" s="23">
        <v>1878.4</v>
      </c>
      <c r="I35" s="23">
        <v>2003.4000000000003</v>
      </c>
      <c r="J35" s="23">
        <v>2370.2999999999997</v>
      </c>
      <c r="K35" s="23">
        <v>2713.0000000000005</v>
      </c>
      <c r="L35" s="23">
        <v>2619.8000000000002</v>
      </c>
      <c r="M35" s="23">
        <v>2362.3000000000002</v>
      </c>
      <c r="N35" s="23">
        <v>2327.8999999999996</v>
      </c>
      <c r="O35" s="23">
        <v>2025.3</v>
      </c>
      <c r="P35" s="23">
        <v>1893.2000000000003</v>
      </c>
      <c r="Q35" s="23">
        <v>2008.5999999999997</v>
      </c>
      <c r="R35" s="23">
        <v>2042.6</v>
      </c>
      <c r="S35" s="23">
        <v>2010.7</v>
      </c>
      <c r="T35" s="23">
        <v>2037</v>
      </c>
      <c r="U35" s="23">
        <v>2355.3000000000006</v>
      </c>
      <c r="V35" s="23">
        <v>2509.0000000000005</v>
      </c>
      <c r="W35" s="23">
        <v>2641.5999999999995</v>
      </c>
      <c r="X35" s="23">
        <v>2087.3000000000002</v>
      </c>
      <c r="Y35" s="23">
        <v>2397.7999999999997</v>
      </c>
    </row>
    <row r="36" spans="1:25" ht="12.75" customHeight="1" x14ac:dyDescent="0.2">
      <c r="A36" s="151"/>
      <c r="B36" s="21" t="s">
        <v>81</v>
      </c>
      <c r="C36" s="22" t="s">
        <v>82</v>
      </c>
      <c r="D36" s="23">
        <v>593</v>
      </c>
      <c r="E36" s="23">
        <v>734.8</v>
      </c>
      <c r="F36" s="23">
        <v>900.60000000000014</v>
      </c>
      <c r="G36" s="23">
        <v>910.9</v>
      </c>
      <c r="H36" s="23">
        <v>1029.9999999999998</v>
      </c>
      <c r="I36" s="23">
        <v>1059.5999999999999</v>
      </c>
      <c r="J36" s="23">
        <v>1101.4000000000001</v>
      </c>
      <c r="K36" s="23">
        <v>1131.5999999999997</v>
      </c>
      <c r="L36" s="23">
        <v>1102.5999999999999</v>
      </c>
      <c r="M36" s="23">
        <v>1059.8000000000002</v>
      </c>
      <c r="N36" s="23">
        <v>1219.8000000000002</v>
      </c>
      <c r="O36" s="23">
        <v>1230.2</v>
      </c>
      <c r="P36" s="23">
        <v>1259.2</v>
      </c>
      <c r="Q36" s="23">
        <v>1346.6</v>
      </c>
      <c r="R36" s="23">
        <v>1382.1</v>
      </c>
      <c r="S36" s="23">
        <v>1416.5</v>
      </c>
      <c r="T36" s="23">
        <v>1456.5</v>
      </c>
      <c r="U36" s="23">
        <v>1650.1</v>
      </c>
      <c r="V36" s="23">
        <v>1729.6</v>
      </c>
      <c r="W36" s="23">
        <v>1771.5</v>
      </c>
      <c r="X36" s="23">
        <v>1436.9</v>
      </c>
      <c r="Y36" s="23">
        <v>1556.2</v>
      </c>
    </row>
    <row r="37" spans="1:25" ht="12.75" customHeight="1" x14ac:dyDescent="0.2">
      <c r="A37" s="151"/>
      <c r="B37" s="21" t="s">
        <v>83</v>
      </c>
      <c r="C37" s="22" t="s">
        <v>84</v>
      </c>
      <c r="D37" s="23">
        <v>86.5</v>
      </c>
      <c r="E37" s="23">
        <v>92.4</v>
      </c>
      <c r="F37" s="23">
        <v>93.6</v>
      </c>
      <c r="G37" s="23">
        <v>113.1</v>
      </c>
      <c r="H37" s="23">
        <v>113.7</v>
      </c>
      <c r="I37" s="23">
        <v>144.30000000000001</v>
      </c>
      <c r="J37" s="23">
        <v>195.9</v>
      </c>
      <c r="K37" s="23">
        <v>236.40000000000003</v>
      </c>
      <c r="L37" s="23">
        <v>226</v>
      </c>
      <c r="M37" s="23">
        <v>191.4</v>
      </c>
      <c r="N37" s="23">
        <v>35</v>
      </c>
      <c r="O37" s="23">
        <v>57.600000000000009</v>
      </c>
      <c r="P37" s="23">
        <v>63.6</v>
      </c>
      <c r="Q37" s="23">
        <v>54.9</v>
      </c>
      <c r="R37" s="23">
        <v>62.6</v>
      </c>
      <c r="S37" s="23">
        <v>64.3</v>
      </c>
      <c r="T37" s="23">
        <v>74.2</v>
      </c>
      <c r="U37" s="23">
        <v>168.7</v>
      </c>
      <c r="V37" s="23">
        <v>190</v>
      </c>
      <c r="W37" s="23">
        <v>186.4</v>
      </c>
      <c r="X37" s="23">
        <v>179</v>
      </c>
      <c r="Y37" s="23">
        <v>205.4</v>
      </c>
    </row>
    <row r="38" spans="1:25" ht="12.75" customHeight="1" x14ac:dyDescent="0.2">
      <c r="A38" s="151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</row>
    <row r="39" spans="1:25" ht="12.75" customHeight="1" x14ac:dyDescent="0.2">
      <c r="A39" s="152"/>
      <c r="B39" s="28" t="s">
        <v>52</v>
      </c>
      <c r="C39" s="29" t="s">
        <v>53</v>
      </c>
      <c r="D39" s="30">
        <f>SUM(D18:D38)</f>
        <v>96721.799999999988</v>
      </c>
      <c r="E39" s="30">
        <f t="shared" ref="E39:S39" si="2">SUM(E18:E38)</f>
        <v>108813.80000000002</v>
      </c>
      <c r="F39" s="30">
        <f t="shared" si="2"/>
        <v>120604.6</v>
      </c>
      <c r="G39" s="30">
        <f t="shared" si="2"/>
        <v>128986.90000000001</v>
      </c>
      <c r="H39" s="30">
        <f t="shared" si="2"/>
        <v>137429.19999999998</v>
      </c>
      <c r="I39" s="30">
        <f t="shared" si="2"/>
        <v>149522.70000000004</v>
      </c>
      <c r="J39" s="30">
        <f t="shared" si="2"/>
        <v>162578.09999999995</v>
      </c>
      <c r="K39" s="30">
        <f t="shared" si="2"/>
        <v>175065.9</v>
      </c>
      <c r="L39" s="30">
        <f t="shared" si="2"/>
        <v>167335</v>
      </c>
      <c r="M39" s="30">
        <f t="shared" si="2"/>
        <v>152335.89999999994</v>
      </c>
      <c r="N39" s="30">
        <f t="shared" si="2"/>
        <v>152323.69999999998</v>
      </c>
      <c r="O39" s="30">
        <f t="shared" si="2"/>
        <v>155292.90000000002</v>
      </c>
      <c r="P39" s="30">
        <f t="shared" si="2"/>
        <v>158292.00000000003</v>
      </c>
      <c r="Q39" s="30">
        <f t="shared" si="2"/>
        <v>163957.1</v>
      </c>
      <c r="R39" s="30">
        <f t="shared" si="2"/>
        <v>178907.40000000002</v>
      </c>
      <c r="S39" s="30">
        <f t="shared" si="2"/>
        <v>244655.49999999991</v>
      </c>
      <c r="T39" s="30">
        <f t="shared" ref="T39:Y39" si="3">SUM(T18:T38)</f>
        <v>250333.80000000002</v>
      </c>
      <c r="U39" s="30">
        <f t="shared" si="3"/>
        <v>275427.99999999994</v>
      </c>
      <c r="V39" s="30">
        <f t="shared" si="3"/>
        <v>306661.80000000005</v>
      </c>
      <c r="W39" s="30">
        <f t="shared" si="3"/>
        <v>334041.3</v>
      </c>
      <c r="X39" s="30">
        <f t="shared" si="3"/>
        <v>356186.1</v>
      </c>
      <c r="Y39" s="30">
        <f t="shared" si="3"/>
        <v>408411.2</v>
      </c>
    </row>
    <row r="40" spans="1:25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ht="12.75" customHeight="1" x14ac:dyDescent="0.2">
      <c r="A41" s="150" t="s">
        <v>87</v>
      </c>
      <c r="B41" s="17" t="s">
        <v>88</v>
      </c>
      <c r="C41" s="18" t="s">
        <v>89</v>
      </c>
      <c r="D41" s="19">
        <v>3602.3</v>
      </c>
      <c r="E41" s="19">
        <v>4542.9999999999991</v>
      </c>
      <c r="F41" s="19">
        <v>5027.3</v>
      </c>
      <c r="G41" s="19">
        <v>5918.2</v>
      </c>
      <c r="H41" s="19">
        <v>5806.5</v>
      </c>
      <c r="I41" s="19">
        <v>5732.3</v>
      </c>
      <c r="J41" s="19">
        <v>6128.9</v>
      </c>
      <c r="K41" s="19">
        <v>6344.8</v>
      </c>
      <c r="L41" s="19">
        <v>6143</v>
      </c>
      <c r="M41" s="19">
        <v>5934.9</v>
      </c>
      <c r="N41" s="19">
        <v>6499.1</v>
      </c>
      <c r="O41" s="19">
        <v>6397.5</v>
      </c>
      <c r="P41" s="19">
        <v>6568</v>
      </c>
      <c r="Q41" s="19">
        <v>7482.8999999999987</v>
      </c>
      <c r="R41" s="19">
        <v>8368.2000000000007</v>
      </c>
      <c r="S41" s="19">
        <v>8722.7000000000007</v>
      </c>
      <c r="T41" s="19">
        <v>8818.6</v>
      </c>
      <c r="U41" s="19">
        <v>8523.7999999999975</v>
      </c>
      <c r="V41" s="19">
        <v>8781.5999999999985</v>
      </c>
      <c r="W41" s="19">
        <v>7507.6</v>
      </c>
      <c r="X41" s="19">
        <v>7515.4</v>
      </c>
      <c r="Y41" s="19">
        <v>7970.4</v>
      </c>
    </row>
    <row r="42" spans="1:25" ht="12.75" customHeight="1" x14ac:dyDescent="0.2">
      <c r="A42" s="151"/>
      <c r="B42" s="21" t="s">
        <v>90</v>
      </c>
      <c r="C42" s="22" t="s">
        <v>91</v>
      </c>
      <c r="D42" s="23">
        <v>343.9</v>
      </c>
      <c r="E42" s="23">
        <v>375.2</v>
      </c>
      <c r="F42" s="23">
        <v>322.89999999999998</v>
      </c>
      <c r="G42" s="23">
        <v>303.10000000000002</v>
      </c>
      <c r="H42" s="23">
        <v>267.39999999999998</v>
      </c>
      <c r="I42" s="23">
        <v>261.39999999999998</v>
      </c>
      <c r="J42" s="23">
        <v>241.4</v>
      </c>
      <c r="K42" s="23">
        <v>262.39999999999992</v>
      </c>
      <c r="L42" s="23">
        <v>213.7</v>
      </c>
      <c r="M42" s="23">
        <v>186.4</v>
      </c>
      <c r="N42" s="23">
        <v>152.30000000000001</v>
      </c>
      <c r="O42" s="23">
        <v>126.2</v>
      </c>
      <c r="P42" s="23">
        <v>122.9</v>
      </c>
      <c r="Q42" s="23">
        <v>132.69999999999999</v>
      </c>
      <c r="R42" s="23">
        <v>143.9</v>
      </c>
      <c r="S42" s="23">
        <v>155.19999999999999</v>
      </c>
      <c r="T42" s="23">
        <v>150.1</v>
      </c>
      <c r="U42" s="23">
        <v>144.69999999999999</v>
      </c>
      <c r="V42" s="23">
        <v>147.1</v>
      </c>
      <c r="W42" s="23">
        <v>150.1</v>
      </c>
      <c r="X42" s="23">
        <v>141.80000000000001</v>
      </c>
      <c r="Y42" s="23">
        <v>164.9</v>
      </c>
    </row>
    <row r="43" spans="1:25" ht="12.75" customHeight="1" x14ac:dyDescent="0.2">
      <c r="A43" s="151"/>
      <c r="B43" s="21" t="s">
        <v>92</v>
      </c>
      <c r="C43" s="22" t="s">
        <v>93</v>
      </c>
      <c r="D43" s="23">
        <v>1038.5999999999999</v>
      </c>
      <c r="E43" s="23">
        <v>1253.2</v>
      </c>
      <c r="F43" s="23">
        <v>1269.2</v>
      </c>
      <c r="G43" s="23">
        <v>1365.8</v>
      </c>
      <c r="H43" s="23">
        <v>1425.5</v>
      </c>
      <c r="I43" s="23">
        <v>1535.5</v>
      </c>
      <c r="J43" s="23">
        <v>1593.3</v>
      </c>
      <c r="K43" s="23">
        <v>1277.5999999999999</v>
      </c>
      <c r="L43" s="23">
        <v>962.2</v>
      </c>
      <c r="M43" s="23">
        <v>828.8</v>
      </c>
      <c r="N43" s="23">
        <v>737.5</v>
      </c>
      <c r="O43" s="23">
        <v>607.5</v>
      </c>
      <c r="P43" s="23">
        <v>569.70000000000005</v>
      </c>
      <c r="Q43" s="23">
        <v>643.9</v>
      </c>
      <c r="R43" s="23">
        <v>739.2</v>
      </c>
      <c r="S43" s="23">
        <v>762.3</v>
      </c>
      <c r="T43" s="23">
        <v>714.8</v>
      </c>
      <c r="U43" s="23">
        <v>751.3</v>
      </c>
      <c r="V43" s="23">
        <v>806.8</v>
      </c>
      <c r="W43" s="23">
        <v>830.7</v>
      </c>
      <c r="X43" s="23">
        <v>803.2</v>
      </c>
      <c r="Y43" s="23">
        <v>900.1</v>
      </c>
    </row>
    <row r="44" spans="1:25" ht="12.75" customHeight="1" x14ac:dyDescent="0.2">
      <c r="A44" s="151"/>
      <c r="B44" s="21" t="s">
        <v>94</v>
      </c>
      <c r="C44" s="22" t="s">
        <v>95</v>
      </c>
      <c r="D44" s="23">
        <v>0</v>
      </c>
      <c r="E44" s="23">
        <v>0</v>
      </c>
      <c r="F44" s="23">
        <v>0</v>
      </c>
      <c r="G44" s="23">
        <v>0</v>
      </c>
      <c r="H44" s="23">
        <v>0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  <c r="P44" s="23">
        <v>0</v>
      </c>
      <c r="Q44" s="23">
        <v>0</v>
      </c>
      <c r="R44" s="23">
        <v>0</v>
      </c>
      <c r="S44" s="23">
        <v>0</v>
      </c>
      <c r="T44" s="23">
        <v>0</v>
      </c>
      <c r="U44" s="23">
        <v>0</v>
      </c>
      <c r="V44" s="23">
        <v>0</v>
      </c>
      <c r="W44" s="23">
        <v>0</v>
      </c>
      <c r="X44" s="23">
        <v>0</v>
      </c>
      <c r="Y44" s="23">
        <v>0</v>
      </c>
    </row>
    <row r="45" spans="1:25" ht="12.75" customHeight="1" x14ac:dyDescent="0.2">
      <c r="A45" s="151"/>
      <c r="B45" s="21" t="s">
        <v>96</v>
      </c>
      <c r="C45" s="22" t="s">
        <v>97</v>
      </c>
      <c r="D45" s="23">
        <v>1924.8000000000029</v>
      </c>
      <c r="E45" s="23">
        <v>790.90000000000509</v>
      </c>
      <c r="F45" s="23">
        <v>864.10000000000582</v>
      </c>
      <c r="G45" s="23">
        <v>704.49999999999272</v>
      </c>
      <c r="H45" s="23">
        <v>876.09999999999843</v>
      </c>
      <c r="I45" s="23">
        <v>748.59999999999854</v>
      </c>
      <c r="J45" s="23">
        <v>718.30000000000291</v>
      </c>
      <c r="K45" s="23">
        <v>1837.4000000000015</v>
      </c>
      <c r="L45" s="23">
        <v>1561.9000000000015</v>
      </c>
      <c r="M45" s="23">
        <v>1764.7000000000041</v>
      </c>
      <c r="N45" s="23">
        <v>1624.5999999999985</v>
      </c>
      <c r="O45" s="23">
        <v>2411.6999999999971</v>
      </c>
      <c r="P45" s="23">
        <v>3141.400000000001</v>
      </c>
      <c r="Q45" s="23">
        <v>3600.1000000000058</v>
      </c>
      <c r="R45" s="23">
        <v>3680.1000000000058</v>
      </c>
      <c r="S45" s="23">
        <v>3770.0095289941632</v>
      </c>
      <c r="T45" s="23">
        <v>4429.4870501612286</v>
      </c>
      <c r="U45" s="23">
        <v>4726.5669527132723</v>
      </c>
      <c r="V45" s="23">
        <v>4823.3763772205903</v>
      </c>
      <c r="W45" s="23">
        <v>5232.6831633645697</v>
      </c>
      <c r="X45" s="23">
        <v>5500.0794911592066</v>
      </c>
      <c r="Y45" s="23">
        <v>5902.6528766770252</v>
      </c>
    </row>
    <row r="46" spans="1:25" ht="12.75" customHeight="1" x14ac:dyDescent="0.2">
      <c r="A46" s="151"/>
      <c r="B46" s="21" t="s">
        <v>98</v>
      </c>
      <c r="C46" s="22" t="s">
        <v>99</v>
      </c>
      <c r="D46" s="23">
        <v>8632.2000000000007</v>
      </c>
      <c r="E46" s="23">
        <v>12508.1</v>
      </c>
      <c r="F46" s="23">
        <v>17409.3</v>
      </c>
      <c r="G46" s="23">
        <v>14178.4</v>
      </c>
      <c r="H46" s="23">
        <v>12509.6</v>
      </c>
      <c r="I46" s="23">
        <v>12338.9</v>
      </c>
      <c r="J46" s="23">
        <v>11938.7</v>
      </c>
      <c r="K46" s="23">
        <v>12606.2</v>
      </c>
      <c r="L46" s="23">
        <v>12138.7</v>
      </c>
      <c r="M46" s="23">
        <v>15024.600000000002</v>
      </c>
      <c r="N46" s="23">
        <v>14789</v>
      </c>
      <c r="O46" s="23">
        <v>15884.5</v>
      </c>
      <c r="P46" s="23">
        <v>14235.5</v>
      </c>
      <c r="Q46" s="23">
        <v>12244.3</v>
      </c>
      <c r="R46" s="23">
        <v>14106.2</v>
      </c>
      <c r="S46" s="23">
        <v>66150.829943608071</v>
      </c>
      <c r="T46" s="23">
        <v>62071.253120951849</v>
      </c>
      <c r="U46" s="23">
        <v>66659.69965304267</v>
      </c>
      <c r="V46" s="23">
        <v>78109.93988930888</v>
      </c>
      <c r="W46" s="23">
        <v>79289.576406724009</v>
      </c>
      <c r="X46" s="23">
        <v>93108.087587902337</v>
      </c>
      <c r="Y46" s="23">
        <v>113666.58661263013</v>
      </c>
    </row>
    <row r="47" spans="1:25" ht="12.75" customHeight="1" x14ac:dyDescent="0.2">
      <c r="A47" s="151"/>
      <c r="B47" s="21" t="s">
        <v>100</v>
      </c>
      <c r="C47" s="22" t="s">
        <v>101</v>
      </c>
      <c r="D47" s="23">
        <v>1327</v>
      </c>
      <c r="E47" s="23">
        <v>1417.4</v>
      </c>
      <c r="F47" s="23">
        <v>1394</v>
      </c>
      <c r="G47" s="23">
        <v>1481.2</v>
      </c>
      <c r="H47" s="23">
        <v>1543.8</v>
      </c>
      <c r="I47" s="23">
        <v>1681.8</v>
      </c>
      <c r="J47" s="23">
        <v>1805</v>
      </c>
      <c r="K47" s="23">
        <v>1865.3</v>
      </c>
      <c r="L47" s="23">
        <v>1419.5</v>
      </c>
      <c r="M47" s="23">
        <v>959.9</v>
      </c>
      <c r="N47" s="23">
        <v>741.9</v>
      </c>
      <c r="O47" s="23">
        <v>783.2</v>
      </c>
      <c r="P47" s="23">
        <v>748.8</v>
      </c>
      <c r="Q47" s="23">
        <v>889.8</v>
      </c>
      <c r="R47" s="23">
        <v>1118.5</v>
      </c>
      <c r="S47" s="23">
        <v>1136.4000000000001</v>
      </c>
      <c r="T47" s="23">
        <v>1357.8</v>
      </c>
      <c r="U47" s="23">
        <v>1454.7</v>
      </c>
      <c r="V47" s="23">
        <v>1486.2</v>
      </c>
      <c r="W47" s="23">
        <v>1621</v>
      </c>
      <c r="X47" s="23">
        <v>1715.8</v>
      </c>
      <c r="Y47" s="23">
        <v>1856</v>
      </c>
    </row>
    <row r="48" spans="1:25" ht="12.75" customHeight="1" x14ac:dyDescent="0.2">
      <c r="A48" s="151"/>
      <c r="B48" s="21" t="s">
        <v>102</v>
      </c>
      <c r="C48" s="22" t="s">
        <v>103</v>
      </c>
      <c r="D48" s="23">
        <v>818.2</v>
      </c>
      <c r="E48" s="23">
        <v>856.1</v>
      </c>
      <c r="F48" s="23">
        <v>845</v>
      </c>
      <c r="G48" s="23">
        <v>883.39999999999986</v>
      </c>
      <c r="H48" s="23">
        <v>1001.5</v>
      </c>
      <c r="I48" s="23">
        <v>1096.0999999999999</v>
      </c>
      <c r="J48" s="23">
        <v>1300.5999999999999</v>
      </c>
      <c r="K48" s="23">
        <v>1339.5</v>
      </c>
      <c r="L48" s="23">
        <v>1244.0999999999997</v>
      </c>
      <c r="M48" s="23">
        <v>842.8</v>
      </c>
      <c r="N48" s="23">
        <v>733.4</v>
      </c>
      <c r="O48" s="23">
        <v>679.8</v>
      </c>
      <c r="P48" s="23">
        <v>702.4</v>
      </c>
      <c r="Q48" s="23">
        <v>809.8</v>
      </c>
      <c r="R48" s="23">
        <v>933.6</v>
      </c>
      <c r="S48" s="23">
        <v>1034.5999999999999</v>
      </c>
      <c r="T48" s="23">
        <v>1101.4000000000001</v>
      </c>
      <c r="U48" s="23">
        <v>1293.3</v>
      </c>
      <c r="V48" s="23">
        <v>1313.9</v>
      </c>
      <c r="W48" s="23">
        <v>1427.9</v>
      </c>
      <c r="X48" s="23">
        <v>1287.2</v>
      </c>
      <c r="Y48" s="23">
        <v>1282.2</v>
      </c>
    </row>
    <row r="49" spans="1:25" ht="12.75" customHeight="1" x14ac:dyDescent="0.2">
      <c r="A49" s="151"/>
      <c r="B49" s="21" t="s">
        <v>104</v>
      </c>
      <c r="C49" s="22" t="s">
        <v>105</v>
      </c>
      <c r="D49" s="23">
        <v>3667.8</v>
      </c>
      <c r="E49" s="23">
        <v>4753.1000000000004</v>
      </c>
      <c r="F49" s="23">
        <v>4494.8999999999996</v>
      </c>
      <c r="G49" s="23">
        <v>4086</v>
      </c>
      <c r="H49" s="23">
        <v>4540</v>
      </c>
      <c r="I49" s="23">
        <v>4687.1000000000004</v>
      </c>
      <c r="J49" s="23">
        <v>4823.1000000000004</v>
      </c>
      <c r="K49" s="23">
        <v>3857.1</v>
      </c>
      <c r="L49" s="23">
        <v>3118.7</v>
      </c>
      <c r="M49" s="23">
        <v>3455.8</v>
      </c>
      <c r="N49" s="23">
        <v>3165.8</v>
      </c>
      <c r="O49" s="23">
        <v>2821.5</v>
      </c>
      <c r="P49" s="23">
        <v>2888.8</v>
      </c>
      <c r="Q49" s="23">
        <v>2734.6</v>
      </c>
      <c r="R49" s="23">
        <v>2758.8</v>
      </c>
      <c r="S49" s="23">
        <v>3338.6525622170839</v>
      </c>
      <c r="T49" s="23">
        <v>3669.3402814240853</v>
      </c>
      <c r="U49" s="23">
        <v>4003.5202943190811</v>
      </c>
      <c r="V49" s="23">
        <v>4515.1944006944614</v>
      </c>
      <c r="W49" s="23">
        <v>4784.0618266832262</v>
      </c>
      <c r="X49" s="23">
        <v>6814.5680883107325</v>
      </c>
      <c r="Y49" s="23">
        <v>8257.8101355374947</v>
      </c>
    </row>
    <row r="50" spans="1:25" ht="12.75" customHeight="1" x14ac:dyDescent="0.2">
      <c r="A50" s="151"/>
      <c r="B50" s="21" t="s">
        <v>106</v>
      </c>
      <c r="C50" s="22" t="s">
        <v>107</v>
      </c>
      <c r="D50" s="23">
        <v>566.79999999999995</v>
      </c>
      <c r="E50" s="23">
        <v>589.79999999999984</v>
      </c>
      <c r="F50" s="23">
        <v>522.09999999999991</v>
      </c>
      <c r="G50" s="23">
        <v>352.1</v>
      </c>
      <c r="H50" s="23">
        <v>151.00000000000003</v>
      </c>
      <c r="I50" s="23">
        <v>249.9</v>
      </c>
      <c r="J50" s="23">
        <v>309.8</v>
      </c>
      <c r="K50" s="23">
        <v>310.39999999999998</v>
      </c>
      <c r="L50" s="23">
        <v>361.8</v>
      </c>
      <c r="M50" s="23">
        <v>304.7</v>
      </c>
      <c r="N50" s="23">
        <v>125.8</v>
      </c>
      <c r="O50" s="23">
        <v>232.5</v>
      </c>
      <c r="P50" s="23">
        <v>261.89999999999992</v>
      </c>
      <c r="Q50" s="23">
        <v>292.3</v>
      </c>
      <c r="R50" s="23">
        <v>338</v>
      </c>
      <c r="S50" s="23">
        <v>357.9</v>
      </c>
      <c r="T50" s="23">
        <v>361.1</v>
      </c>
      <c r="U50" s="23">
        <v>391.9</v>
      </c>
      <c r="V50" s="23">
        <v>436.3</v>
      </c>
      <c r="W50" s="23">
        <v>419.1</v>
      </c>
      <c r="X50" s="23">
        <v>459.2</v>
      </c>
      <c r="Y50" s="23">
        <v>449.3</v>
      </c>
    </row>
    <row r="51" spans="1:25" ht="12.75" customHeight="1" x14ac:dyDescent="0.2">
      <c r="A51" s="151"/>
      <c r="B51" s="21" t="s">
        <v>108</v>
      </c>
      <c r="C51" s="22" t="s">
        <v>109</v>
      </c>
      <c r="D51" s="23">
        <v>540.6</v>
      </c>
      <c r="E51" s="23">
        <v>611.29999999999995</v>
      </c>
      <c r="F51" s="23">
        <v>991.7</v>
      </c>
      <c r="G51" s="23">
        <v>1012.8999999999999</v>
      </c>
      <c r="H51" s="23">
        <v>1196.8000000000002</v>
      </c>
      <c r="I51" s="23">
        <v>1275</v>
      </c>
      <c r="J51" s="23">
        <v>1299.8</v>
      </c>
      <c r="K51" s="23">
        <v>1521.9</v>
      </c>
      <c r="L51" s="23">
        <v>1401</v>
      </c>
      <c r="M51" s="23">
        <v>962.5</v>
      </c>
      <c r="N51" s="23">
        <v>672.3</v>
      </c>
      <c r="O51" s="23">
        <v>797.2</v>
      </c>
      <c r="P51" s="23">
        <v>890.8</v>
      </c>
      <c r="Q51" s="23">
        <v>939.1</v>
      </c>
      <c r="R51" s="23">
        <v>1005.4</v>
      </c>
      <c r="S51" s="23">
        <v>1119.7</v>
      </c>
      <c r="T51" s="23">
        <v>1221.2</v>
      </c>
      <c r="U51" s="23">
        <v>1213.5999999999999</v>
      </c>
      <c r="V51" s="23">
        <v>1247.2</v>
      </c>
      <c r="W51" s="23">
        <v>1318.5</v>
      </c>
      <c r="X51" s="23">
        <v>1816.5</v>
      </c>
      <c r="Y51" s="23">
        <v>1440.8</v>
      </c>
    </row>
    <row r="52" spans="1:25" ht="12.75" customHeight="1" x14ac:dyDescent="0.2">
      <c r="A52" s="151"/>
      <c r="B52" s="21" t="s">
        <v>110</v>
      </c>
      <c r="C52" s="22" t="s">
        <v>111</v>
      </c>
      <c r="D52" s="23">
        <v>349.8</v>
      </c>
      <c r="E52" s="23">
        <v>360.1</v>
      </c>
      <c r="F52" s="23">
        <v>348.7</v>
      </c>
      <c r="G52" s="23">
        <v>574.99999999999989</v>
      </c>
      <c r="H52" s="23">
        <v>410.4</v>
      </c>
      <c r="I52" s="23">
        <v>469.20000000000005</v>
      </c>
      <c r="J52" s="23">
        <v>428</v>
      </c>
      <c r="K52" s="23">
        <v>454.2</v>
      </c>
      <c r="L52" s="23">
        <v>428.9</v>
      </c>
      <c r="M52" s="23">
        <v>242.30000000000004</v>
      </c>
      <c r="N52" s="23">
        <v>209.2</v>
      </c>
      <c r="O52" s="23">
        <v>219.09999999999997</v>
      </c>
      <c r="P52" s="23">
        <v>219.8</v>
      </c>
      <c r="Q52" s="23">
        <v>247.8</v>
      </c>
      <c r="R52" s="23">
        <v>276.89999999999998</v>
      </c>
      <c r="S52" s="23">
        <v>332.3</v>
      </c>
      <c r="T52" s="23">
        <v>349.5</v>
      </c>
      <c r="U52" s="23">
        <v>359.5</v>
      </c>
      <c r="V52" s="23">
        <v>401.4</v>
      </c>
      <c r="W52" s="23">
        <v>379.9</v>
      </c>
      <c r="X52" s="23">
        <v>324.5</v>
      </c>
      <c r="Y52" s="23">
        <v>386.4</v>
      </c>
    </row>
    <row r="53" spans="1:25" ht="12.75" customHeight="1" x14ac:dyDescent="0.2">
      <c r="A53" s="151"/>
      <c r="B53" s="21" t="s">
        <v>112</v>
      </c>
      <c r="C53" s="22" t="s">
        <v>113</v>
      </c>
      <c r="D53" s="23">
        <v>2271.1999999999962</v>
      </c>
      <c r="E53" s="23">
        <v>2769.199999999993</v>
      </c>
      <c r="F53" s="23">
        <v>2883.6</v>
      </c>
      <c r="G53" s="23">
        <v>3144.2000000000116</v>
      </c>
      <c r="H53" s="23">
        <v>3285.0000000000023</v>
      </c>
      <c r="I53" s="23">
        <v>3290.8000000000302</v>
      </c>
      <c r="J53" s="23">
        <v>3757.6999999999771</v>
      </c>
      <c r="K53" s="23">
        <v>3741.9999999999836</v>
      </c>
      <c r="L53" s="23">
        <v>3891.6999999999848</v>
      </c>
      <c r="M53" s="23">
        <v>4055.6999999999634</v>
      </c>
      <c r="N53" s="23">
        <v>3178.5000000000082</v>
      </c>
      <c r="O53" s="23">
        <v>4434.8999999999996</v>
      </c>
      <c r="P53" s="23">
        <v>3794.0999999999794</v>
      </c>
      <c r="Q53" s="23">
        <v>4300.5999999999804</v>
      </c>
      <c r="R53" s="23">
        <v>5012.5000000000109</v>
      </c>
      <c r="S53" s="23">
        <v>4700.9079651806687</v>
      </c>
      <c r="T53" s="23">
        <v>4668.3195474628201</v>
      </c>
      <c r="U53" s="23">
        <v>6021.2130999249512</v>
      </c>
      <c r="V53" s="23">
        <v>5358.6893327761045</v>
      </c>
      <c r="W53" s="23">
        <v>9156.7786032281929</v>
      </c>
      <c r="X53" s="23">
        <v>8729.4648326277365</v>
      </c>
      <c r="Y53" s="23">
        <v>9585.8503751553417</v>
      </c>
    </row>
    <row r="54" spans="1:25" ht="12.75" customHeight="1" x14ac:dyDescent="0.2">
      <c r="A54" s="152"/>
      <c r="B54" s="28" t="s">
        <v>52</v>
      </c>
      <c r="C54" s="31" t="s">
        <v>58</v>
      </c>
      <c r="D54" s="30">
        <f>SUM(D41:D53)</f>
        <v>25083.199999999997</v>
      </c>
      <c r="E54" s="30">
        <f t="shared" ref="E54:S54" si="4">SUM(E41:E53)</f>
        <v>30827.399999999998</v>
      </c>
      <c r="F54" s="30">
        <f t="shared" si="4"/>
        <v>36372.799999999996</v>
      </c>
      <c r="G54" s="30">
        <f t="shared" si="4"/>
        <v>34004.800000000003</v>
      </c>
      <c r="H54" s="30">
        <f t="shared" si="4"/>
        <v>33013.599999999999</v>
      </c>
      <c r="I54" s="30">
        <f t="shared" si="4"/>
        <v>33366.600000000028</v>
      </c>
      <c r="J54" s="30">
        <f t="shared" si="4"/>
        <v>34344.599999999977</v>
      </c>
      <c r="K54" s="30">
        <f t="shared" si="4"/>
        <v>35418.799999999988</v>
      </c>
      <c r="L54" s="30">
        <f t="shared" si="4"/>
        <v>32885.199999999983</v>
      </c>
      <c r="M54" s="30">
        <f t="shared" si="4"/>
        <v>34563.099999999969</v>
      </c>
      <c r="N54" s="30">
        <f t="shared" si="4"/>
        <v>32629.400000000009</v>
      </c>
      <c r="O54" s="30">
        <f t="shared" si="4"/>
        <v>35395.599999999999</v>
      </c>
      <c r="P54" s="30">
        <f t="shared" si="4"/>
        <v>34144.099999999977</v>
      </c>
      <c r="Q54" s="30">
        <f t="shared" si="4"/>
        <v>34317.89999999998</v>
      </c>
      <c r="R54" s="30">
        <f t="shared" si="4"/>
        <v>38481.300000000017</v>
      </c>
      <c r="S54" s="30">
        <f t="shared" si="4"/>
        <v>91581.499999999985</v>
      </c>
      <c r="T54" s="30">
        <f t="shared" ref="T54:Y54" si="5">SUM(T41:T53)</f>
        <v>88912.89999999998</v>
      </c>
      <c r="U54" s="30">
        <f t="shared" si="5"/>
        <v>95543.799999999974</v>
      </c>
      <c r="V54" s="30">
        <f t="shared" si="5"/>
        <v>107427.70000000003</v>
      </c>
      <c r="W54" s="30">
        <f t="shared" si="5"/>
        <v>112117.9</v>
      </c>
      <c r="X54" s="30">
        <f t="shared" si="5"/>
        <v>128215.8</v>
      </c>
      <c r="Y54" s="30">
        <f t="shared" si="5"/>
        <v>151862.99999999997</v>
      </c>
    </row>
    <row r="55" spans="1:25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ht="12.75" customHeight="1" x14ac:dyDescent="0.2">
      <c r="A56" s="150" t="s">
        <v>114</v>
      </c>
      <c r="B56" s="17" t="s">
        <v>88</v>
      </c>
      <c r="C56" s="18" t="s">
        <v>89</v>
      </c>
      <c r="D56" s="19">
        <v>3602.3</v>
      </c>
      <c r="E56" s="19">
        <v>4542.9999999999991</v>
      </c>
      <c r="F56" s="19">
        <v>5027.3</v>
      </c>
      <c r="G56" s="19">
        <v>5918.2</v>
      </c>
      <c r="H56" s="19">
        <v>5806.5</v>
      </c>
      <c r="I56" s="19">
        <v>5732.3</v>
      </c>
      <c r="J56" s="19">
        <v>6128.9</v>
      </c>
      <c r="K56" s="19">
        <v>6344.8</v>
      </c>
      <c r="L56" s="19">
        <v>6143</v>
      </c>
      <c r="M56" s="19">
        <v>5934.9</v>
      </c>
      <c r="N56" s="19">
        <v>6499.1</v>
      </c>
      <c r="O56" s="19">
        <v>6397.5</v>
      </c>
      <c r="P56" s="19">
        <v>6568</v>
      </c>
      <c r="Q56" s="19">
        <v>7482.8999999999987</v>
      </c>
      <c r="R56" s="19">
        <v>8368.2000000000007</v>
      </c>
      <c r="S56" s="19">
        <v>8722.7000000000007</v>
      </c>
      <c r="T56" s="19">
        <v>8818.6</v>
      </c>
      <c r="U56" s="19">
        <v>8523.7999999999975</v>
      </c>
      <c r="V56" s="19">
        <v>8781.5999999999985</v>
      </c>
      <c r="W56" s="19">
        <v>7507.6</v>
      </c>
      <c r="X56" s="19">
        <v>7515.4</v>
      </c>
      <c r="Y56" s="19">
        <v>7970.4</v>
      </c>
    </row>
    <row r="57" spans="1:25" ht="12.75" customHeight="1" x14ac:dyDescent="0.2">
      <c r="A57" s="151"/>
      <c r="B57" s="21" t="s">
        <v>90</v>
      </c>
      <c r="C57" s="22" t="s">
        <v>91</v>
      </c>
      <c r="D57" s="23">
        <v>343.9</v>
      </c>
      <c r="E57" s="23">
        <v>375.2</v>
      </c>
      <c r="F57" s="23">
        <v>322.89999999999998</v>
      </c>
      <c r="G57" s="23">
        <v>303.10000000000002</v>
      </c>
      <c r="H57" s="23">
        <v>267.39999999999998</v>
      </c>
      <c r="I57" s="23">
        <v>261.39999999999998</v>
      </c>
      <c r="J57" s="23">
        <v>241.4</v>
      </c>
      <c r="K57" s="23">
        <v>262.39999999999992</v>
      </c>
      <c r="L57" s="23">
        <v>213.7</v>
      </c>
      <c r="M57" s="23">
        <v>186.4</v>
      </c>
      <c r="N57" s="23">
        <v>152.30000000000001</v>
      </c>
      <c r="O57" s="23">
        <v>126.2</v>
      </c>
      <c r="P57" s="23">
        <v>122.9</v>
      </c>
      <c r="Q57" s="23">
        <v>132.69999999999999</v>
      </c>
      <c r="R57" s="23">
        <v>143.9</v>
      </c>
      <c r="S57" s="23">
        <v>155.19999999999999</v>
      </c>
      <c r="T57" s="23">
        <v>150.1</v>
      </c>
      <c r="U57" s="23">
        <v>144.69999999999999</v>
      </c>
      <c r="V57" s="23">
        <v>147.1</v>
      </c>
      <c r="W57" s="23">
        <v>150.1</v>
      </c>
      <c r="X57" s="23">
        <v>141.80000000000001</v>
      </c>
      <c r="Y57" s="23">
        <v>164.9</v>
      </c>
    </row>
    <row r="58" spans="1:25" ht="12.75" customHeight="1" x14ac:dyDescent="0.2">
      <c r="A58" s="151"/>
      <c r="B58" s="21" t="s">
        <v>115</v>
      </c>
      <c r="C58" s="22" t="s">
        <v>116</v>
      </c>
      <c r="D58" s="23">
        <v>373.89999999999992</v>
      </c>
      <c r="E58" s="23">
        <v>319.2</v>
      </c>
      <c r="F58" s="23">
        <v>345.9</v>
      </c>
      <c r="G58" s="23">
        <v>388</v>
      </c>
      <c r="H58" s="23">
        <v>454.1</v>
      </c>
      <c r="I58" s="23">
        <v>463.6</v>
      </c>
      <c r="J58" s="23">
        <v>519.29999999999984</v>
      </c>
      <c r="K58" s="23">
        <v>551.9</v>
      </c>
      <c r="L58" s="23">
        <v>315.7</v>
      </c>
      <c r="M58" s="23">
        <v>202.1</v>
      </c>
      <c r="N58" s="23">
        <v>164.4</v>
      </c>
      <c r="O58" s="23">
        <v>123.1</v>
      </c>
      <c r="P58" s="23">
        <v>128.30000000000001</v>
      </c>
      <c r="Q58" s="23">
        <v>161.4</v>
      </c>
      <c r="R58" s="23">
        <v>179.1</v>
      </c>
      <c r="S58" s="23">
        <v>203</v>
      </c>
      <c r="T58" s="23">
        <v>217.4</v>
      </c>
      <c r="U58" s="23">
        <v>261.3</v>
      </c>
      <c r="V58" s="23">
        <v>303.8</v>
      </c>
      <c r="W58" s="23">
        <v>331.7</v>
      </c>
      <c r="X58" s="23">
        <v>315.70000000000005</v>
      </c>
      <c r="Y58" s="23">
        <v>451.4</v>
      </c>
    </row>
    <row r="59" spans="1:25" ht="12.75" customHeight="1" x14ac:dyDescent="0.2">
      <c r="A59" s="151"/>
      <c r="B59" s="21" t="s">
        <v>117</v>
      </c>
      <c r="C59" s="22" t="s">
        <v>118</v>
      </c>
      <c r="D59" s="23">
        <v>271.89999999999998</v>
      </c>
      <c r="E59" s="23">
        <v>273.60000000000002</v>
      </c>
      <c r="F59" s="23">
        <v>306</v>
      </c>
      <c r="G59" s="23">
        <v>323.8</v>
      </c>
      <c r="H59" s="23">
        <v>271.99999999999994</v>
      </c>
      <c r="I59" s="23">
        <v>242</v>
      </c>
      <c r="J59" s="23">
        <v>230.5</v>
      </c>
      <c r="K59" s="23">
        <v>230.69999999999996</v>
      </c>
      <c r="L59" s="23">
        <v>203.1</v>
      </c>
      <c r="M59" s="23">
        <v>169</v>
      </c>
      <c r="N59" s="23">
        <v>186.5</v>
      </c>
      <c r="O59" s="23">
        <v>150.19999999999999</v>
      </c>
      <c r="P59" s="23">
        <v>158.4</v>
      </c>
      <c r="Q59" s="23">
        <v>170.2</v>
      </c>
      <c r="R59" s="23">
        <v>195.2</v>
      </c>
      <c r="S59" s="23">
        <v>189.3</v>
      </c>
      <c r="T59" s="23">
        <v>184</v>
      </c>
      <c r="U59" s="23">
        <v>212.3</v>
      </c>
      <c r="V59" s="23">
        <v>223.8</v>
      </c>
      <c r="W59" s="23">
        <v>217.2</v>
      </c>
      <c r="X59" s="23">
        <v>237.7</v>
      </c>
      <c r="Y59" s="23">
        <v>243.3</v>
      </c>
    </row>
    <row r="60" spans="1:25" ht="12.75" customHeight="1" x14ac:dyDescent="0.2">
      <c r="A60" s="151"/>
      <c r="B60" s="21" t="s">
        <v>119</v>
      </c>
      <c r="C60" s="22" t="s">
        <v>7</v>
      </c>
      <c r="D60" s="23">
        <v>392.8</v>
      </c>
      <c r="E60" s="23">
        <v>660.4</v>
      </c>
      <c r="F60" s="23">
        <v>617.29999999999984</v>
      </c>
      <c r="G60" s="23">
        <v>653.99999999999989</v>
      </c>
      <c r="H60" s="23">
        <v>699.39999999999986</v>
      </c>
      <c r="I60" s="23">
        <v>829.9</v>
      </c>
      <c r="J60" s="23">
        <v>843.50000000000011</v>
      </c>
      <c r="K60" s="23">
        <v>494.99999999999983</v>
      </c>
      <c r="L60" s="23">
        <v>443.4</v>
      </c>
      <c r="M60" s="23">
        <v>457.7</v>
      </c>
      <c r="N60" s="23">
        <v>386.60000000000008</v>
      </c>
      <c r="O60" s="23">
        <v>334.19999999999993</v>
      </c>
      <c r="P60" s="23">
        <v>283.00000000000006</v>
      </c>
      <c r="Q60" s="23">
        <v>312.29999999999995</v>
      </c>
      <c r="R60" s="23">
        <v>364.89999999999992</v>
      </c>
      <c r="S60" s="23">
        <v>369.99999999999994</v>
      </c>
      <c r="T60" s="23">
        <v>313.39999999999998</v>
      </c>
      <c r="U60" s="23">
        <v>277.69999999999993</v>
      </c>
      <c r="V60" s="23">
        <v>279.2</v>
      </c>
      <c r="W60" s="23">
        <v>281.79999999999995</v>
      </c>
      <c r="X60" s="23">
        <v>249.79999999999995</v>
      </c>
      <c r="Y60" s="23">
        <v>205.39999999999998</v>
      </c>
    </row>
    <row r="61" spans="1:25" ht="12.75" customHeight="1" x14ac:dyDescent="0.2">
      <c r="A61" s="151"/>
      <c r="B61" s="21" t="s">
        <v>94</v>
      </c>
      <c r="C61" s="22" t="s">
        <v>95</v>
      </c>
      <c r="D61" s="23">
        <v>0</v>
      </c>
      <c r="E61" s="23">
        <v>0</v>
      </c>
      <c r="F61" s="23">
        <v>0</v>
      </c>
      <c r="G61" s="23">
        <v>0</v>
      </c>
      <c r="H61" s="23">
        <v>0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  <c r="P61" s="23">
        <v>0</v>
      </c>
      <c r="Q61" s="23">
        <v>0</v>
      </c>
      <c r="R61" s="23">
        <v>0</v>
      </c>
      <c r="S61" s="23">
        <v>0</v>
      </c>
      <c r="T61" s="23">
        <v>0</v>
      </c>
      <c r="U61" s="23">
        <v>0</v>
      </c>
      <c r="V61" s="23">
        <v>0</v>
      </c>
      <c r="W61" s="23">
        <v>0</v>
      </c>
      <c r="X61" s="23">
        <v>0</v>
      </c>
      <c r="Y61" s="23">
        <v>0</v>
      </c>
    </row>
    <row r="62" spans="1:25" ht="12.75" customHeight="1" x14ac:dyDescent="0.2">
      <c r="A62" s="151"/>
      <c r="B62" s="21" t="s">
        <v>96</v>
      </c>
      <c r="C62" s="22" t="s">
        <v>97</v>
      </c>
      <c r="D62" s="23">
        <v>1924.8000000000029</v>
      </c>
      <c r="E62" s="23">
        <v>790.90000000000509</v>
      </c>
      <c r="F62" s="23">
        <v>864.10000000000582</v>
      </c>
      <c r="G62" s="23">
        <v>704.49999999999272</v>
      </c>
      <c r="H62" s="23">
        <v>876.09999999999843</v>
      </c>
      <c r="I62" s="23">
        <v>748.59999999999854</v>
      </c>
      <c r="J62" s="23">
        <v>718.30000000000291</v>
      </c>
      <c r="K62" s="23">
        <v>1837.4000000000015</v>
      </c>
      <c r="L62" s="23">
        <v>1561.9000000000015</v>
      </c>
      <c r="M62" s="23">
        <v>1764.7000000000041</v>
      </c>
      <c r="N62" s="23">
        <v>1624.5999999999985</v>
      </c>
      <c r="O62" s="23">
        <v>2411.6999999999971</v>
      </c>
      <c r="P62" s="23">
        <v>3141.400000000001</v>
      </c>
      <c r="Q62" s="23">
        <v>3600.1000000000058</v>
      </c>
      <c r="R62" s="23">
        <v>3680.1000000000058</v>
      </c>
      <c r="S62" s="23">
        <v>3770.0095289941632</v>
      </c>
      <c r="T62" s="23">
        <v>4429.4870501612286</v>
      </c>
      <c r="U62" s="23">
        <v>4726.5669527132723</v>
      </c>
      <c r="V62" s="23">
        <v>4823.3763772205903</v>
      </c>
      <c r="W62" s="23">
        <v>5232.6831633645697</v>
      </c>
      <c r="X62" s="23">
        <v>5500.0794911592066</v>
      </c>
      <c r="Y62" s="23">
        <v>5902.6528766770252</v>
      </c>
    </row>
    <row r="63" spans="1:25" ht="12.75" customHeight="1" x14ac:dyDescent="0.2">
      <c r="A63" s="151"/>
      <c r="B63" s="21" t="s">
        <v>98</v>
      </c>
      <c r="C63" s="22" t="s">
        <v>99</v>
      </c>
      <c r="D63" s="23">
        <v>8632.2000000000007</v>
      </c>
      <c r="E63" s="23">
        <v>12508.1</v>
      </c>
      <c r="F63" s="23">
        <v>17409.3</v>
      </c>
      <c r="G63" s="23">
        <v>14178.4</v>
      </c>
      <c r="H63" s="23">
        <v>12509.6</v>
      </c>
      <c r="I63" s="23">
        <v>12338.9</v>
      </c>
      <c r="J63" s="23">
        <v>11938.7</v>
      </c>
      <c r="K63" s="23">
        <v>12606.2</v>
      </c>
      <c r="L63" s="23">
        <v>12138.7</v>
      </c>
      <c r="M63" s="23">
        <v>15024.600000000002</v>
      </c>
      <c r="N63" s="23">
        <v>14789</v>
      </c>
      <c r="O63" s="23">
        <v>15884.5</v>
      </c>
      <c r="P63" s="23">
        <v>14235.5</v>
      </c>
      <c r="Q63" s="23">
        <v>12244.3</v>
      </c>
      <c r="R63" s="23">
        <v>14106.2</v>
      </c>
      <c r="S63" s="23">
        <v>66150.829943608071</v>
      </c>
      <c r="T63" s="23">
        <v>62071.253120951849</v>
      </c>
      <c r="U63" s="23">
        <v>66659.69965304267</v>
      </c>
      <c r="V63" s="23">
        <v>78109.93988930888</v>
      </c>
      <c r="W63" s="23">
        <v>79289.576406724009</v>
      </c>
      <c r="X63" s="23">
        <v>93108.087587902337</v>
      </c>
      <c r="Y63" s="23">
        <v>113666.58661263013</v>
      </c>
    </row>
    <row r="64" spans="1:25" ht="12.75" customHeight="1" x14ac:dyDescent="0.2">
      <c r="A64" s="151"/>
      <c r="B64" s="21" t="s">
        <v>120</v>
      </c>
      <c r="C64" s="22" t="s">
        <v>121</v>
      </c>
      <c r="D64" s="23">
        <v>527.6</v>
      </c>
      <c r="E64" s="23">
        <v>607.70000000000005</v>
      </c>
      <c r="F64" s="23">
        <v>606.90000000000009</v>
      </c>
      <c r="G64" s="23">
        <v>640.79999999999995</v>
      </c>
      <c r="H64" s="23">
        <v>646.9</v>
      </c>
      <c r="I64" s="23">
        <v>667</v>
      </c>
      <c r="J64" s="23">
        <v>707.5</v>
      </c>
      <c r="K64" s="23">
        <v>675.7</v>
      </c>
      <c r="L64" s="23">
        <v>559</v>
      </c>
      <c r="M64" s="23">
        <v>423.5</v>
      </c>
      <c r="N64" s="23">
        <v>362.4</v>
      </c>
      <c r="O64" s="23">
        <v>366.4</v>
      </c>
      <c r="P64" s="23">
        <v>385.3</v>
      </c>
      <c r="Q64" s="23">
        <v>397.9</v>
      </c>
      <c r="R64" s="23">
        <v>465.4</v>
      </c>
      <c r="S64" s="23">
        <v>559.4</v>
      </c>
      <c r="T64" s="23">
        <v>558.4</v>
      </c>
      <c r="U64" s="23">
        <v>604.1</v>
      </c>
      <c r="V64" s="23">
        <v>624.00000000000011</v>
      </c>
      <c r="W64" s="23">
        <v>636.1</v>
      </c>
      <c r="X64" s="23">
        <v>706.3</v>
      </c>
      <c r="Y64" s="23">
        <v>824.2</v>
      </c>
    </row>
    <row r="65" spans="1:25" ht="12.75" customHeight="1" x14ac:dyDescent="0.2">
      <c r="A65" s="151"/>
      <c r="B65" s="21" t="s">
        <v>122</v>
      </c>
      <c r="C65" s="22" t="s">
        <v>123</v>
      </c>
      <c r="D65" s="23">
        <v>799.4</v>
      </c>
      <c r="E65" s="23">
        <v>809.6999999999997</v>
      </c>
      <c r="F65" s="23">
        <v>787.1</v>
      </c>
      <c r="G65" s="23">
        <v>840.40000000000009</v>
      </c>
      <c r="H65" s="23">
        <v>896.90000000000009</v>
      </c>
      <c r="I65" s="23">
        <v>1014.8</v>
      </c>
      <c r="J65" s="23">
        <v>1097.5000000000002</v>
      </c>
      <c r="K65" s="23">
        <v>1189.6000000000001</v>
      </c>
      <c r="L65" s="23">
        <v>860.5</v>
      </c>
      <c r="M65" s="23">
        <v>536.40000000000009</v>
      </c>
      <c r="N65" s="23">
        <v>379.50000000000006</v>
      </c>
      <c r="O65" s="23">
        <v>416.8</v>
      </c>
      <c r="P65" s="23">
        <v>363.49999999999994</v>
      </c>
      <c r="Q65" s="23">
        <v>491.89999999999992</v>
      </c>
      <c r="R65" s="23">
        <v>653.1</v>
      </c>
      <c r="S65" s="23">
        <v>577.00000000000011</v>
      </c>
      <c r="T65" s="23">
        <v>799.4</v>
      </c>
      <c r="U65" s="23">
        <v>850.6</v>
      </c>
      <c r="V65" s="23">
        <v>862.2</v>
      </c>
      <c r="W65" s="23">
        <v>984.9</v>
      </c>
      <c r="X65" s="23">
        <v>1009.5</v>
      </c>
      <c r="Y65" s="23">
        <v>1031.8000000000002</v>
      </c>
    </row>
    <row r="66" spans="1:25" ht="12.75" customHeight="1" x14ac:dyDescent="0.2">
      <c r="A66" s="151"/>
      <c r="B66" s="21" t="s">
        <v>124</v>
      </c>
      <c r="C66" s="22" t="s">
        <v>125</v>
      </c>
      <c r="D66" s="23">
        <v>193.3</v>
      </c>
      <c r="E66" s="23">
        <v>230.8</v>
      </c>
      <c r="F66" s="23">
        <v>181.7</v>
      </c>
      <c r="G66" s="23">
        <v>206.2</v>
      </c>
      <c r="H66" s="23">
        <v>251.7</v>
      </c>
      <c r="I66" s="23">
        <v>231.1</v>
      </c>
      <c r="J66" s="23">
        <v>343.4</v>
      </c>
      <c r="K66" s="23">
        <v>260.39999999999998</v>
      </c>
      <c r="L66" s="23">
        <v>228.8</v>
      </c>
      <c r="M66" s="23">
        <v>132.1</v>
      </c>
      <c r="N66" s="23">
        <v>183.1</v>
      </c>
      <c r="O66" s="23">
        <v>154.30000000000001</v>
      </c>
      <c r="P66" s="23">
        <v>145.30000000000004</v>
      </c>
      <c r="Q66" s="23">
        <v>182.1</v>
      </c>
      <c r="R66" s="23">
        <v>222.4</v>
      </c>
      <c r="S66" s="23">
        <v>262.60000000000002</v>
      </c>
      <c r="T66" s="23">
        <v>230.5</v>
      </c>
      <c r="U66" s="23">
        <v>295.8</v>
      </c>
      <c r="V66" s="23">
        <v>294.60000000000008</v>
      </c>
      <c r="W66" s="23">
        <v>369</v>
      </c>
      <c r="X66" s="23">
        <v>282.5</v>
      </c>
      <c r="Y66" s="23">
        <v>233.9</v>
      </c>
    </row>
    <row r="67" spans="1:25" ht="12.75" customHeight="1" x14ac:dyDescent="0.2">
      <c r="A67" s="151"/>
      <c r="B67" s="21" t="s">
        <v>126</v>
      </c>
      <c r="C67" s="22" t="s">
        <v>127</v>
      </c>
      <c r="D67" s="23">
        <v>624.9</v>
      </c>
      <c r="E67" s="23">
        <v>625.30000000000007</v>
      </c>
      <c r="F67" s="23">
        <v>663.29999999999984</v>
      </c>
      <c r="G67" s="23">
        <v>677.19999999999982</v>
      </c>
      <c r="H67" s="23">
        <v>749.79999999999984</v>
      </c>
      <c r="I67" s="23">
        <v>864.99999999999989</v>
      </c>
      <c r="J67" s="23">
        <v>957.1999999999997</v>
      </c>
      <c r="K67" s="23">
        <v>1079.0999999999999</v>
      </c>
      <c r="L67" s="23">
        <v>1015.2999999999998</v>
      </c>
      <c r="M67" s="23">
        <v>710.69999999999982</v>
      </c>
      <c r="N67" s="23">
        <v>550.29999999999995</v>
      </c>
      <c r="O67" s="23">
        <v>525.5</v>
      </c>
      <c r="P67" s="23">
        <v>557.09999999999991</v>
      </c>
      <c r="Q67" s="23">
        <v>627.70000000000005</v>
      </c>
      <c r="R67" s="23">
        <v>711.2</v>
      </c>
      <c r="S67" s="23">
        <v>771.99999999999989</v>
      </c>
      <c r="T67" s="23">
        <v>870.90000000000009</v>
      </c>
      <c r="U67" s="23">
        <v>997.49999999999989</v>
      </c>
      <c r="V67" s="23">
        <v>1019.2999999999998</v>
      </c>
      <c r="W67" s="23">
        <v>1058.9000000000001</v>
      </c>
      <c r="X67" s="23">
        <v>1004.7</v>
      </c>
      <c r="Y67" s="23">
        <v>1048.3000000000002</v>
      </c>
    </row>
    <row r="68" spans="1:25" ht="12.75" customHeight="1" x14ac:dyDescent="0.2">
      <c r="A68" s="151"/>
      <c r="B68" s="21" t="s">
        <v>104</v>
      </c>
      <c r="C68" s="22" t="s">
        <v>105</v>
      </c>
      <c r="D68" s="23">
        <v>3667.8</v>
      </c>
      <c r="E68" s="23">
        <v>4753.1000000000004</v>
      </c>
      <c r="F68" s="23">
        <v>4494.8999999999996</v>
      </c>
      <c r="G68" s="23">
        <v>4086</v>
      </c>
      <c r="H68" s="23">
        <v>4540</v>
      </c>
      <c r="I68" s="23">
        <v>4687.1000000000004</v>
      </c>
      <c r="J68" s="23">
        <v>4823.1000000000004</v>
      </c>
      <c r="K68" s="23">
        <v>3857.1</v>
      </c>
      <c r="L68" s="23">
        <v>3118.7</v>
      </c>
      <c r="M68" s="23">
        <v>3455.8</v>
      </c>
      <c r="N68" s="23">
        <v>3165.8</v>
      </c>
      <c r="O68" s="23">
        <v>2821.5</v>
      </c>
      <c r="P68" s="23">
        <v>2888.8</v>
      </c>
      <c r="Q68" s="23">
        <v>2734.6</v>
      </c>
      <c r="R68" s="23">
        <v>2758.8</v>
      </c>
      <c r="S68" s="23">
        <v>3338.6525622170839</v>
      </c>
      <c r="T68" s="23">
        <v>3669.3402814240853</v>
      </c>
      <c r="U68" s="23">
        <v>4003.5202943190811</v>
      </c>
      <c r="V68" s="23">
        <v>4515.1944006944614</v>
      </c>
      <c r="W68" s="23">
        <v>4784.0618266832262</v>
      </c>
      <c r="X68" s="23">
        <v>6814.5680883107325</v>
      </c>
      <c r="Y68" s="23">
        <v>8257.8101355374947</v>
      </c>
    </row>
    <row r="69" spans="1:25" ht="12.75" customHeight="1" x14ac:dyDescent="0.2">
      <c r="A69" s="151"/>
      <c r="B69" s="21" t="s">
        <v>106</v>
      </c>
      <c r="C69" s="22" t="s">
        <v>107</v>
      </c>
      <c r="D69" s="23">
        <v>566.79999999999995</v>
      </c>
      <c r="E69" s="23">
        <v>589.79999999999984</v>
      </c>
      <c r="F69" s="23">
        <v>522.09999999999991</v>
      </c>
      <c r="G69" s="23">
        <v>352.1</v>
      </c>
      <c r="H69" s="23">
        <v>151.00000000000003</v>
      </c>
      <c r="I69" s="23">
        <v>249.9</v>
      </c>
      <c r="J69" s="23">
        <v>309.8</v>
      </c>
      <c r="K69" s="23">
        <v>310.39999999999998</v>
      </c>
      <c r="L69" s="23">
        <v>361.8</v>
      </c>
      <c r="M69" s="23">
        <v>304.7</v>
      </c>
      <c r="N69" s="23">
        <v>125.8</v>
      </c>
      <c r="O69" s="23">
        <v>232.5</v>
      </c>
      <c r="P69" s="23">
        <v>261.89999999999992</v>
      </c>
      <c r="Q69" s="23">
        <v>292.3</v>
      </c>
      <c r="R69" s="23">
        <v>338</v>
      </c>
      <c r="S69" s="23">
        <v>357.9</v>
      </c>
      <c r="T69" s="23">
        <v>361.1</v>
      </c>
      <c r="U69" s="23">
        <v>391.9</v>
      </c>
      <c r="V69" s="23">
        <v>436.3</v>
      </c>
      <c r="W69" s="23">
        <v>419.1</v>
      </c>
      <c r="X69" s="23">
        <v>459.2</v>
      </c>
      <c r="Y69" s="23">
        <v>449.3</v>
      </c>
    </row>
    <row r="70" spans="1:25" ht="12.75" customHeight="1" x14ac:dyDescent="0.2">
      <c r="A70" s="151"/>
      <c r="B70" s="21" t="s">
        <v>108</v>
      </c>
      <c r="C70" s="22" t="s">
        <v>109</v>
      </c>
      <c r="D70" s="23">
        <v>540.6</v>
      </c>
      <c r="E70" s="23">
        <v>611.29999999999995</v>
      </c>
      <c r="F70" s="23">
        <v>991.7</v>
      </c>
      <c r="G70" s="23">
        <v>1012.8999999999999</v>
      </c>
      <c r="H70" s="23">
        <v>1196.8000000000002</v>
      </c>
      <c r="I70" s="23">
        <v>1275</v>
      </c>
      <c r="J70" s="23">
        <v>1299.8</v>
      </c>
      <c r="K70" s="23">
        <v>1521.9</v>
      </c>
      <c r="L70" s="23">
        <v>1401</v>
      </c>
      <c r="M70" s="23">
        <v>962.5</v>
      </c>
      <c r="N70" s="23">
        <v>672.3</v>
      </c>
      <c r="O70" s="23">
        <v>797.2</v>
      </c>
      <c r="P70" s="23">
        <v>890.8</v>
      </c>
      <c r="Q70" s="23">
        <v>939.1</v>
      </c>
      <c r="R70" s="23">
        <v>1005.4</v>
      </c>
      <c r="S70" s="23">
        <v>1119.7</v>
      </c>
      <c r="T70" s="23">
        <v>1221.2</v>
      </c>
      <c r="U70" s="23">
        <v>1213.5999999999999</v>
      </c>
      <c r="V70" s="23">
        <v>1247.2</v>
      </c>
      <c r="W70" s="23">
        <v>1318.5</v>
      </c>
      <c r="X70" s="23">
        <v>1816.5</v>
      </c>
      <c r="Y70" s="23">
        <v>1440.8</v>
      </c>
    </row>
    <row r="71" spans="1:25" ht="12.75" customHeight="1" x14ac:dyDescent="0.2">
      <c r="A71" s="151"/>
      <c r="B71" s="21" t="s">
        <v>128</v>
      </c>
      <c r="C71" s="22" t="s">
        <v>129</v>
      </c>
      <c r="D71" s="23">
        <v>161.5</v>
      </c>
      <c r="E71" s="23">
        <v>160.69999999999999</v>
      </c>
      <c r="F71" s="23">
        <v>184.8</v>
      </c>
      <c r="G71" s="23">
        <v>175.2</v>
      </c>
      <c r="H71" s="23">
        <v>196</v>
      </c>
      <c r="I71" s="23">
        <v>222.8</v>
      </c>
      <c r="J71" s="23">
        <v>218</v>
      </c>
      <c r="K71" s="23">
        <v>248.7</v>
      </c>
      <c r="L71" s="23">
        <v>190.2</v>
      </c>
      <c r="M71" s="23">
        <v>141.4</v>
      </c>
      <c r="N71" s="23">
        <v>147.80000000000001</v>
      </c>
      <c r="O71" s="23">
        <v>184.8</v>
      </c>
      <c r="P71" s="23">
        <v>179</v>
      </c>
      <c r="Q71" s="23">
        <v>194.4</v>
      </c>
      <c r="R71" s="23">
        <v>205.4</v>
      </c>
      <c r="S71" s="23">
        <v>248.57156599948857</v>
      </c>
      <c r="T71" s="23">
        <v>262.49625030778253</v>
      </c>
      <c r="U71" s="23">
        <v>269.99236515466407</v>
      </c>
      <c r="V71" s="23">
        <v>304.49902229955671</v>
      </c>
      <c r="W71" s="23">
        <v>285.65966031032895</v>
      </c>
      <c r="X71" s="23">
        <v>240.50251399645185</v>
      </c>
      <c r="Y71" s="23">
        <v>291.43800046680076</v>
      </c>
    </row>
    <row r="72" spans="1:25" ht="12.75" customHeight="1" x14ac:dyDescent="0.2">
      <c r="A72" s="151"/>
      <c r="B72" s="21" t="s">
        <v>130</v>
      </c>
      <c r="C72" s="22" t="s">
        <v>131</v>
      </c>
      <c r="D72" s="23">
        <v>188.3</v>
      </c>
      <c r="E72" s="23">
        <v>199.40000000000003</v>
      </c>
      <c r="F72" s="23">
        <v>163.9</v>
      </c>
      <c r="G72" s="23">
        <v>399.79999999999995</v>
      </c>
      <c r="H72" s="23">
        <v>214.39999999999998</v>
      </c>
      <c r="I72" s="23">
        <v>246.40000000000003</v>
      </c>
      <c r="J72" s="23">
        <v>210</v>
      </c>
      <c r="K72" s="23">
        <v>205.5</v>
      </c>
      <c r="L72" s="23">
        <v>238.7</v>
      </c>
      <c r="M72" s="23">
        <v>100.90000000000002</v>
      </c>
      <c r="N72" s="23">
        <v>61.399999999999991</v>
      </c>
      <c r="O72" s="23">
        <v>34.299999999999976</v>
      </c>
      <c r="P72" s="23">
        <v>40.800000000000011</v>
      </c>
      <c r="Q72" s="23">
        <v>53.40000000000002</v>
      </c>
      <c r="R72" s="23">
        <v>71.499999999999957</v>
      </c>
      <c r="S72" s="23">
        <v>83.728434000511484</v>
      </c>
      <c r="T72" s="23">
        <v>87.003749692217482</v>
      </c>
      <c r="U72" s="23">
        <v>89.507634845335929</v>
      </c>
      <c r="V72" s="23">
        <v>96.900977700443278</v>
      </c>
      <c r="W72" s="23">
        <v>94.240339689671032</v>
      </c>
      <c r="X72" s="23">
        <v>83.997486003548133</v>
      </c>
      <c r="Y72" s="23">
        <v>94.96199953319929</v>
      </c>
    </row>
    <row r="73" spans="1:25" ht="12.75" customHeight="1" x14ac:dyDescent="0.2">
      <c r="A73" s="151"/>
      <c r="B73" s="21" t="s">
        <v>132</v>
      </c>
      <c r="C73" s="22" t="s">
        <v>133</v>
      </c>
      <c r="D73" s="23">
        <v>2086.9</v>
      </c>
      <c r="E73" s="23">
        <v>2604.6999999999998</v>
      </c>
      <c r="F73" s="23">
        <v>2743</v>
      </c>
      <c r="G73" s="23">
        <v>3005.5</v>
      </c>
      <c r="H73" s="23">
        <v>3136.1</v>
      </c>
      <c r="I73" s="23">
        <v>3132.7</v>
      </c>
      <c r="J73" s="23">
        <v>3592.7</v>
      </c>
      <c r="K73" s="23">
        <v>3568.7</v>
      </c>
      <c r="L73" s="23">
        <v>3681.6</v>
      </c>
      <c r="M73" s="23">
        <v>3863.8</v>
      </c>
      <c r="N73" s="23">
        <v>2947.7</v>
      </c>
      <c r="O73" s="23">
        <v>4161.5</v>
      </c>
      <c r="P73" s="23">
        <v>3518.4</v>
      </c>
      <c r="Q73" s="23">
        <v>3992.2</v>
      </c>
      <c r="R73" s="23">
        <v>4665.7</v>
      </c>
      <c r="S73" s="23">
        <v>4288.2</v>
      </c>
      <c r="T73" s="23">
        <v>4235.9999999999991</v>
      </c>
      <c r="U73" s="23">
        <v>5576.5</v>
      </c>
      <c r="V73" s="23">
        <v>4867.1000000000004</v>
      </c>
      <c r="W73" s="23">
        <v>8687.4</v>
      </c>
      <c r="X73" s="23">
        <v>8322.7000000000007</v>
      </c>
      <c r="Y73" s="23">
        <v>9109.9</v>
      </c>
    </row>
    <row r="74" spans="1:25" ht="12.75" customHeight="1" x14ac:dyDescent="0.2">
      <c r="A74" s="151"/>
      <c r="B74" s="21" t="s">
        <v>134</v>
      </c>
      <c r="C74" s="22" t="s">
        <v>135</v>
      </c>
      <c r="D74" s="23">
        <v>184.29999999999617</v>
      </c>
      <c r="E74" s="23">
        <v>164.49999999999366</v>
      </c>
      <c r="F74" s="23">
        <v>140.59999999999954</v>
      </c>
      <c r="G74" s="23">
        <v>138.7000000000115</v>
      </c>
      <c r="H74" s="23">
        <v>148.90000000000214</v>
      </c>
      <c r="I74" s="23">
        <v>158.10000000003009</v>
      </c>
      <c r="J74" s="23">
        <v>164.99999999997752</v>
      </c>
      <c r="K74" s="23">
        <v>173.29999999998356</v>
      </c>
      <c r="L74" s="23">
        <v>210.09999999998468</v>
      </c>
      <c r="M74" s="23">
        <v>191.899999999963</v>
      </c>
      <c r="N74" s="23">
        <v>230.80000000000794</v>
      </c>
      <c r="O74" s="23">
        <v>273.39999999999907</v>
      </c>
      <c r="P74" s="23">
        <v>275.69999999997975</v>
      </c>
      <c r="Q74" s="23">
        <v>308.39999999998008</v>
      </c>
      <c r="R74" s="23">
        <v>346.80000000001024</v>
      </c>
      <c r="S74" s="23">
        <v>412.70796518066891</v>
      </c>
      <c r="T74" s="23">
        <v>432.31954746282076</v>
      </c>
      <c r="U74" s="23">
        <v>444.71309992495071</v>
      </c>
      <c r="V74" s="23">
        <v>491.58933277610458</v>
      </c>
      <c r="W74" s="23">
        <v>469.37860322819358</v>
      </c>
      <c r="X74" s="23">
        <v>406.76483262773638</v>
      </c>
      <c r="Y74" s="23">
        <v>475.95037515534136</v>
      </c>
    </row>
    <row r="75" spans="1:25" ht="12.75" customHeight="1" x14ac:dyDescent="0.2">
      <c r="A75" s="152"/>
      <c r="B75" s="28" t="s">
        <v>52</v>
      </c>
      <c r="C75" s="31" t="s">
        <v>58</v>
      </c>
      <c r="D75" s="30">
        <f>SUM(D56:D74)</f>
        <v>25083.199999999997</v>
      </c>
      <c r="E75" s="30">
        <f t="shared" ref="E75:S75" si="6">SUM(E56:E74)</f>
        <v>30827.4</v>
      </c>
      <c r="F75" s="30">
        <f t="shared" si="6"/>
        <v>36372.800000000003</v>
      </c>
      <c r="G75" s="30">
        <f t="shared" si="6"/>
        <v>34004.800000000003</v>
      </c>
      <c r="H75" s="30">
        <f t="shared" si="6"/>
        <v>33013.600000000006</v>
      </c>
      <c r="I75" s="30">
        <f t="shared" si="6"/>
        <v>33366.600000000028</v>
      </c>
      <c r="J75" s="30">
        <f t="shared" si="6"/>
        <v>34344.599999999977</v>
      </c>
      <c r="K75" s="30">
        <f t="shared" si="6"/>
        <v>35418.799999999981</v>
      </c>
      <c r="L75" s="30">
        <f t="shared" si="6"/>
        <v>32885.199999999983</v>
      </c>
      <c r="M75" s="30">
        <f t="shared" si="6"/>
        <v>34563.099999999977</v>
      </c>
      <c r="N75" s="30">
        <f t="shared" si="6"/>
        <v>32629.400000000005</v>
      </c>
      <c r="O75" s="30">
        <f t="shared" si="6"/>
        <v>35395.599999999999</v>
      </c>
      <c r="P75" s="30">
        <f t="shared" si="6"/>
        <v>34144.099999999977</v>
      </c>
      <c r="Q75" s="30">
        <f t="shared" si="6"/>
        <v>34317.89999999998</v>
      </c>
      <c r="R75" s="30">
        <f t="shared" si="6"/>
        <v>38481.300000000017</v>
      </c>
      <c r="S75" s="30">
        <f t="shared" si="6"/>
        <v>91581.499999999985</v>
      </c>
      <c r="T75" s="30">
        <f t="shared" ref="T75:Y75" si="7">SUM(T56:T74)</f>
        <v>88912.899999999965</v>
      </c>
      <c r="U75" s="30">
        <f t="shared" si="7"/>
        <v>95543.799999999988</v>
      </c>
      <c r="V75" s="30">
        <f t="shared" si="7"/>
        <v>107427.70000000003</v>
      </c>
      <c r="W75" s="30">
        <f t="shared" si="7"/>
        <v>112117.9</v>
      </c>
      <c r="X75" s="30">
        <f t="shared" si="7"/>
        <v>128215.8</v>
      </c>
      <c r="Y75" s="30">
        <f t="shared" si="7"/>
        <v>151862.99999999994</v>
      </c>
    </row>
  </sheetData>
  <mergeCells count="4">
    <mergeCell ref="A6:A16"/>
    <mergeCell ref="A18:A39"/>
    <mergeCell ref="A41:A54"/>
    <mergeCell ref="A56:A75"/>
  </mergeCells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Y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50.7109375" style="10" customWidth="1" collapsed="1"/>
    <col min="4" max="19" width="8.7109375" style="10" customWidth="1"/>
    <col min="20" max="16384" width="9.140625" style="10"/>
  </cols>
  <sheetData>
    <row r="1" spans="1:25" ht="12.75" customHeight="1" x14ac:dyDescent="0.2">
      <c r="A1" s="13"/>
      <c r="B1" s="14" t="s">
        <v>279</v>
      </c>
      <c r="C1" s="15" t="s">
        <v>265</v>
      </c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</row>
    <row r="2" spans="1:25" ht="12.75" customHeight="1" x14ac:dyDescent="0.2">
      <c r="A2" s="16"/>
      <c r="B2" s="17" t="s">
        <v>24</v>
      </c>
      <c r="C2" s="18" t="s">
        <v>25</v>
      </c>
      <c r="D2" s="19">
        <v>143782.36899997349</v>
      </c>
      <c r="E2" s="19">
        <v>151411.56336036907</v>
      </c>
      <c r="F2" s="19">
        <v>160344.27466515751</v>
      </c>
      <c r="G2" s="19">
        <v>165176.20895454648</v>
      </c>
      <c r="H2" s="19">
        <v>176389.91737029844</v>
      </c>
      <c r="I2" s="19">
        <v>186512.90644062599</v>
      </c>
      <c r="J2" s="19">
        <v>195817.35198500523</v>
      </c>
      <c r="K2" s="19">
        <v>206215.03688588919</v>
      </c>
      <c r="L2" s="19">
        <v>196967.91224509114</v>
      </c>
      <c r="M2" s="19">
        <v>186930.39719471583</v>
      </c>
      <c r="N2" s="19">
        <v>190077.10214046444</v>
      </c>
      <c r="O2" s="19">
        <v>192510.69980056916</v>
      </c>
      <c r="P2" s="19">
        <v>192262.57749492509</v>
      </c>
      <c r="Q2" s="19">
        <v>194520.44093394669</v>
      </c>
      <c r="R2" s="19">
        <v>211694.13879743544</v>
      </c>
      <c r="S2" s="19">
        <v>263506.8</v>
      </c>
      <c r="T2" s="19">
        <v>268158.75288316235</v>
      </c>
      <c r="U2" s="19">
        <v>293128.86628306593</v>
      </c>
      <c r="V2" s="19">
        <v>317956.75014322757</v>
      </c>
      <c r="W2" s="19">
        <v>334802.79599391192</v>
      </c>
      <c r="X2" s="19">
        <v>356955.62425683712</v>
      </c>
      <c r="Y2" s="19">
        <v>410945.78090829053</v>
      </c>
    </row>
    <row r="3" spans="1:25" ht="12.75" customHeight="1" x14ac:dyDescent="0.2">
      <c r="A3" s="20"/>
      <c r="B3" s="21" t="s">
        <v>26</v>
      </c>
      <c r="C3" s="22" t="s">
        <v>27</v>
      </c>
      <c r="D3" s="23">
        <v>62043.38553409298</v>
      </c>
      <c r="E3" s="23">
        <v>64981.080071008131</v>
      </c>
      <c r="F3" s="23">
        <v>67343.482609178798</v>
      </c>
      <c r="G3" s="23">
        <v>69223.604145055549</v>
      </c>
      <c r="H3" s="23">
        <v>71866.350003678046</v>
      </c>
      <c r="I3" s="23">
        <v>76913.133027665361</v>
      </c>
      <c r="J3" s="23">
        <v>81826.187061983728</v>
      </c>
      <c r="K3" s="23">
        <v>87287.456138631329</v>
      </c>
      <c r="L3" s="23">
        <v>87454.275207752231</v>
      </c>
      <c r="M3" s="23">
        <v>82798.400677748956</v>
      </c>
      <c r="N3" s="23">
        <v>83048.536781861752</v>
      </c>
      <c r="O3" s="23">
        <v>81928.769849496253</v>
      </c>
      <c r="P3" s="23">
        <v>81380.296707915957</v>
      </c>
      <c r="Q3" s="23">
        <v>81646.994513392579</v>
      </c>
      <c r="R3" s="23">
        <v>83853.503823995838</v>
      </c>
      <c r="S3" s="23">
        <v>86701.2</v>
      </c>
      <c r="T3" s="23">
        <v>90877.571944773488</v>
      </c>
      <c r="U3" s="23">
        <v>93228.262255839742</v>
      </c>
      <c r="V3" s="23">
        <v>96777.953301995833</v>
      </c>
      <c r="W3" s="23">
        <v>99165.121120363357</v>
      </c>
      <c r="X3" s="23">
        <v>88462.889891018422</v>
      </c>
      <c r="Y3" s="23">
        <v>95942.317255096961</v>
      </c>
    </row>
    <row r="4" spans="1:25" ht="12.75" customHeight="1" x14ac:dyDescent="0.2">
      <c r="A4" s="24"/>
      <c r="B4" s="25" t="s">
        <v>28</v>
      </c>
      <c r="C4" s="26" t="s">
        <v>29</v>
      </c>
      <c r="D4" s="27">
        <v>139523.39050531571</v>
      </c>
      <c r="E4" s="27">
        <v>144837.87669044829</v>
      </c>
      <c r="F4" s="27">
        <v>153661.88031138916</v>
      </c>
      <c r="G4" s="27">
        <v>155655.32721107316</v>
      </c>
      <c r="H4" s="27">
        <v>163748.49571651555</v>
      </c>
      <c r="I4" s="27">
        <v>173722.20285813877</v>
      </c>
      <c r="J4" s="27">
        <v>181698.20177252253</v>
      </c>
      <c r="K4" s="27">
        <v>195904.23329565927</v>
      </c>
      <c r="L4" s="27">
        <v>191507.01549589142</v>
      </c>
      <c r="M4" s="27">
        <v>179300.97338778971</v>
      </c>
      <c r="N4" s="27">
        <v>182524.14503798503</v>
      </c>
      <c r="O4" s="27">
        <v>185470.86433613204</v>
      </c>
      <c r="P4" s="27">
        <v>181025.13666201598</v>
      </c>
      <c r="Q4" s="27">
        <v>183378.7426321735</v>
      </c>
      <c r="R4" s="27">
        <v>197423.7759459728</v>
      </c>
      <c r="S4" s="27">
        <v>244655.5</v>
      </c>
      <c r="T4" s="27">
        <v>247828.25632851868</v>
      </c>
      <c r="U4" s="27">
        <v>264944.15960445185</v>
      </c>
      <c r="V4" s="27">
        <v>292069.98361842358</v>
      </c>
      <c r="W4" s="27">
        <v>307784.22754788952</v>
      </c>
      <c r="X4" s="27">
        <v>332529.92139216163</v>
      </c>
      <c r="Y4" s="27">
        <v>381478.79693629738</v>
      </c>
    </row>
    <row r="5" spans="1:25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ht="12.75" customHeight="1" x14ac:dyDescent="0.2">
      <c r="A6" s="150" t="s">
        <v>31</v>
      </c>
      <c r="B6" s="17" t="s">
        <v>32</v>
      </c>
      <c r="C6" s="18" t="s">
        <v>33</v>
      </c>
      <c r="D6" s="19">
        <v>3920.3438974077872</v>
      </c>
      <c r="E6" s="19">
        <v>3240.20338622085</v>
      </c>
      <c r="F6" s="19">
        <v>3006.8673793112239</v>
      </c>
      <c r="G6" s="19">
        <v>2599.949316374431</v>
      </c>
      <c r="H6" s="19">
        <v>2930.7612568065097</v>
      </c>
      <c r="I6" s="19">
        <v>2045.0795863831765</v>
      </c>
      <c r="J6" s="19">
        <v>1903.7294500262637</v>
      </c>
      <c r="K6" s="19">
        <v>2300.6165862829134</v>
      </c>
      <c r="L6" s="19">
        <v>1821.9689166609444</v>
      </c>
      <c r="M6" s="19">
        <v>1113.2166523463707</v>
      </c>
      <c r="N6" s="19">
        <v>1914.8273300261224</v>
      </c>
      <c r="O6" s="19">
        <v>2477.1584516714638</v>
      </c>
      <c r="P6" s="19">
        <v>1979.2548203380527</v>
      </c>
      <c r="Q6" s="19">
        <v>2173.6066838908832</v>
      </c>
      <c r="R6" s="19">
        <v>2676.2008805905916</v>
      </c>
      <c r="S6" s="19">
        <v>2351.1</v>
      </c>
      <c r="T6" s="19">
        <v>2527.7445030739232</v>
      </c>
      <c r="U6" s="19">
        <v>3374.0873630443357</v>
      </c>
      <c r="V6" s="19">
        <v>2773.1532629814469</v>
      </c>
      <c r="W6" s="19">
        <v>2973.9889985349805</v>
      </c>
      <c r="X6" s="19">
        <v>3234.5911832253487</v>
      </c>
      <c r="Y6" s="19">
        <v>4020.5492247337934</v>
      </c>
    </row>
    <row r="7" spans="1:25" ht="12.75" customHeight="1" x14ac:dyDescent="0.2">
      <c r="A7" s="151"/>
      <c r="B7" s="21" t="s">
        <v>34</v>
      </c>
      <c r="C7" s="22" t="s">
        <v>35</v>
      </c>
      <c r="D7" s="23">
        <v>39303.550048324512</v>
      </c>
      <c r="E7" s="23">
        <v>44631.029709296126</v>
      </c>
      <c r="F7" s="23">
        <v>49779.708741575058</v>
      </c>
      <c r="G7" s="23">
        <v>44684.373755535984</v>
      </c>
      <c r="H7" s="23">
        <v>43046.933644715042</v>
      </c>
      <c r="I7" s="23">
        <v>42440.106889740942</v>
      </c>
      <c r="J7" s="23">
        <v>42757.915441957128</v>
      </c>
      <c r="K7" s="23">
        <v>44934.816422904318</v>
      </c>
      <c r="L7" s="23">
        <v>42922.589210098638</v>
      </c>
      <c r="M7" s="23">
        <v>46193.78302986073</v>
      </c>
      <c r="N7" s="23">
        <v>44007.477173053427</v>
      </c>
      <c r="O7" s="23">
        <v>47432.550251406326</v>
      </c>
      <c r="P7" s="23">
        <v>44551.931566066633</v>
      </c>
      <c r="Q7" s="23">
        <v>43835.967296357179</v>
      </c>
      <c r="R7" s="23">
        <v>47859.988302932004</v>
      </c>
      <c r="S7" s="23">
        <v>95897.199999999983</v>
      </c>
      <c r="T7" s="23">
        <v>92488.243854629691</v>
      </c>
      <c r="U7" s="23">
        <v>96318.285444943584</v>
      </c>
      <c r="V7" s="23">
        <v>107031.60120385542</v>
      </c>
      <c r="W7" s="23">
        <v>107866.04748873593</v>
      </c>
      <c r="X7" s="23">
        <v>124223.44418096609</v>
      </c>
      <c r="Y7" s="23">
        <v>147239.58527928265</v>
      </c>
    </row>
    <row r="8" spans="1:25" ht="12.75" customHeight="1" x14ac:dyDescent="0.2">
      <c r="A8" s="151"/>
      <c r="B8" s="21" t="s">
        <v>36</v>
      </c>
      <c r="C8" s="22" t="s">
        <v>37</v>
      </c>
      <c r="D8" s="23">
        <v>9998.1247205112304</v>
      </c>
      <c r="E8" s="23">
        <v>10756.841656905548</v>
      </c>
      <c r="F8" s="23">
        <v>11048.708703352147</v>
      </c>
      <c r="G8" s="23">
        <v>11986.798122292348</v>
      </c>
      <c r="H8" s="23">
        <v>14235.109082893467</v>
      </c>
      <c r="I8" s="23">
        <v>16988.497734402234</v>
      </c>
      <c r="J8" s="23">
        <v>19407.221967656493</v>
      </c>
      <c r="K8" s="23">
        <v>17973.99371104372</v>
      </c>
      <c r="L8" s="23">
        <v>12645.288287669666</v>
      </c>
      <c r="M8" s="23">
        <v>4908.7228257671168</v>
      </c>
      <c r="N8" s="23">
        <v>2806.6959043305301</v>
      </c>
      <c r="O8" s="23">
        <v>2005.7566673434533</v>
      </c>
      <c r="P8" s="23">
        <v>3078.3833855584276</v>
      </c>
      <c r="Q8" s="23">
        <v>3889.429475779843</v>
      </c>
      <c r="R8" s="23">
        <v>4885.6225378223589</v>
      </c>
      <c r="S8" s="23">
        <v>4908.8</v>
      </c>
      <c r="T8" s="23">
        <v>5677.1044737701841</v>
      </c>
      <c r="U8" s="23">
        <v>7193.4549861962159</v>
      </c>
      <c r="V8" s="23">
        <v>7671.9113109070822</v>
      </c>
      <c r="W8" s="23">
        <v>8088.8409763109157</v>
      </c>
      <c r="X8" s="23">
        <v>7634.5762458688869</v>
      </c>
      <c r="Y8" s="23">
        <v>8717.448159910331</v>
      </c>
    </row>
    <row r="9" spans="1:25" ht="12.75" customHeight="1" x14ac:dyDescent="0.2">
      <c r="A9" s="151"/>
      <c r="B9" s="21" t="s">
        <v>38</v>
      </c>
      <c r="C9" s="22" t="s">
        <v>39</v>
      </c>
      <c r="D9" s="23">
        <v>24271.021161807774</v>
      </c>
      <c r="E9" s="23">
        <v>22065.009051219251</v>
      </c>
      <c r="F9" s="23">
        <v>22990.813765336938</v>
      </c>
      <c r="G9" s="23">
        <v>24453.521908600531</v>
      </c>
      <c r="H9" s="23">
        <v>25395.522299140917</v>
      </c>
      <c r="I9" s="23">
        <v>27513.535494365053</v>
      </c>
      <c r="J9" s="23">
        <v>29158.88999407669</v>
      </c>
      <c r="K9" s="23">
        <v>32299.8332643264</v>
      </c>
      <c r="L9" s="23">
        <v>31190.345395866236</v>
      </c>
      <c r="M9" s="23">
        <v>29000.835677546169</v>
      </c>
      <c r="N9" s="23">
        <v>29826.251587701012</v>
      </c>
      <c r="O9" s="23">
        <v>30552.616178385029</v>
      </c>
      <c r="P9" s="23">
        <v>30246.220351776035</v>
      </c>
      <c r="Q9" s="23">
        <v>32063.103267008912</v>
      </c>
      <c r="R9" s="23">
        <v>32305.315544961988</v>
      </c>
      <c r="S9" s="23">
        <v>30296.400000000001</v>
      </c>
      <c r="T9" s="23">
        <v>31904.941046024691</v>
      </c>
      <c r="U9" s="23">
        <v>33129.755572015347</v>
      </c>
      <c r="V9" s="23">
        <v>33164.596746542724</v>
      </c>
      <c r="W9" s="23">
        <v>33997.198956980028</v>
      </c>
      <c r="X9" s="23">
        <v>29560.281569169296</v>
      </c>
      <c r="Y9" s="23">
        <v>30903.138427050253</v>
      </c>
    </row>
    <row r="10" spans="1:25" ht="12.75" customHeight="1" x14ac:dyDescent="0.2">
      <c r="A10" s="151"/>
      <c r="B10" s="21" t="s">
        <v>40</v>
      </c>
      <c r="C10" s="22" t="s">
        <v>41</v>
      </c>
      <c r="D10" s="23">
        <v>11200.178872812776</v>
      </c>
      <c r="E10" s="23">
        <v>10440.714513896284</v>
      </c>
      <c r="F10" s="23">
        <v>9918.4578337813909</v>
      </c>
      <c r="G10" s="23">
        <v>10182.943753243148</v>
      </c>
      <c r="H10" s="23">
        <v>11313.87991945381</v>
      </c>
      <c r="I10" s="23">
        <v>11895.201580109217</v>
      </c>
      <c r="J10" s="23">
        <v>11505.638320462242</v>
      </c>
      <c r="K10" s="23">
        <v>12736.926916061457</v>
      </c>
      <c r="L10" s="23">
        <v>14593.833688113713</v>
      </c>
      <c r="M10" s="23">
        <v>15009.71033768435</v>
      </c>
      <c r="N10" s="23">
        <v>16785.654372468667</v>
      </c>
      <c r="O10" s="23">
        <v>16777.221751125657</v>
      </c>
      <c r="P10" s="23">
        <v>17686.580819285929</v>
      </c>
      <c r="Q10" s="23">
        <v>18860.405552013781</v>
      </c>
      <c r="R10" s="23">
        <v>21087.275576301301</v>
      </c>
      <c r="S10" s="23">
        <v>23037.3</v>
      </c>
      <c r="T10" s="23">
        <v>24686.618289097227</v>
      </c>
      <c r="U10" s="23">
        <v>30193.445366834367</v>
      </c>
      <c r="V10" s="23">
        <v>37696.483675568597</v>
      </c>
      <c r="W10" s="23">
        <v>46746.551676479532</v>
      </c>
      <c r="X10" s="23">
        <v>56365.367739044377</v>
      </c>
      <c r="Y10" s="23">
        <v>70785.260601531845</v>
      </c>
    </row>
    <row r="11" spans="1:25" ht="12.75" customHeight="1" x14ac:dyDescent="0.2">
      <c r="A11" s="151"/>
      <c r="B11" s="21" t="s">
        <v>42</v>
      </c>
      <c r="C11" s="22" t="s">
        <v>43</v>
      </c>
      <c r="D11" s="23">
        <v>10387.173088296815</v>
      </c>
      <c r="E11" s="23">
        <v>10849.749760408902</v>
      </c>
      <c r="F11" s="23">
        <v>11297.28490068419</v>
      </c>
      <c r="G11" s="23">
        <v>13810.322565074155</v>
      </c>
      <c r="H11" s="23">
        <v>15286.856434758778</v>
      </c>
      <c r="I11" s="23">
        <v>16967.933077727434</v>
      </c>
      <c r="J11" s="23">
        <v>17735.842730534103</v>
      </c>
      <c r="K11" s="23">
        <v>19478.86709264461</v>
      </c>
      <c r="L11" s="23">
        <v>18793.174483279541</v>
      </c>
      <c r="M11" s="23">
        <v>18883.605418956933</v>
      </c>
      <c r="N11" s="23">
        <v>20944.712056941549</v>
      </c>
      <c r="O11" s="23">
        <v>18430.890133645451</v>
      </c>
      <c r="P11" s="23">
        <v>16962.672399990854</v>
      </c>
      <c r="Q11" s="23">
        <v>14641.367200170005</v>
      </c>
      <c r="R11" s="23">
        <v>16651.328058617761</v>
      </c>
      <c r="S11" s="23">
        <v>16464.3</v>
      </c>
      <c r="T11" s="23">
        <v>16004.593559117324</v>
      </c>
      <c r="U11" s="23">
        <v>15109.131660205663</v>
      </c>
      <c r="V11" s="23">
        <v>16171.282715532021</v>
      </c>
      <c r="W11" s="23">
        <v>15963.181026619122</v>
      </c>
      <c r="X11" s="23">
        <v>14006.105644453572</v>
      </c>
      <c r="Y11" s="23">
        <v>17143.470950868672</v>
      </c>
    </row>
    <row r="12" spans="1:25" ht="12.75" customHeight="1" x14ac:dyDescent="0.2">
      <c r="A12" s="151"/>
      <c r="B12" s="21" t="s">
        <v>44</v>
      </c>
      <c r="C12" s="22" t="s">
        <v>45</v>
      </c>
      <c r="D12" s="23">
        <v>9906.9572869033382</v>
      </c>
      <c r="E12" s="23">
        <v>10710.254498988394</v>
      </c>
      <c r="F12" s="23">
        <v>11804.120427586737</v>
      </c>
      <c r="G12" s="23">
        <v>11636.115703476655</v>
      </c>
      <c r="H12" s="23">
        <v>11599.842720459446</v>
      </c>
      <c r="I12" s="23">
        <v>11634.832113396074</v>
      </c>
      <c r="J12" s="23">
        <v>12386.53508722912</v>
      </c>
      <c r="K12" s="23">
        <v>14417.823931604802</v>
      </c>
      <c r="L12" s="23">
        <v>14636.97956007233</v>
      </c>
      <c r="M12" s="23">
        <v>9740.8222596250052</v>
      </c>
      <c r="N12" s="23">
        <v>11808.181752821914</v>
      </c>
      <c r="O12" s="23">
        <v>12222.408006783791</v>
      </c>
      <c r="P12" s="23">
        <v>12876.649664920749</v>
      </c>
      <c r="Q12" s="23">
        <v>13430.30343701417</v>
      </c>
      <c r="R12" s="23">
        <v>14561.084075435054</v>
      </c>
      <c r="S12" s="23">
        <v>14533</v>
      </c>
      <c r="T12" s="23">
        <v>15366.148241280653</v>
      </c>
      <c r="U12" s="23">
        <v>15865.117308117782</v>
      </c>
      <c r="V12" s="23">
        <v>17843.441654920189</v>
      </c>
      <c r="W12" s="23">
        <v>18882.162700058048</v>
      </c>
      <c r="X12" s="23">
        <v>19781.821237186548</v>
      </c>
      <c r="Y12" s="23">
        <v>22508.499906594432</v>
      </c>
    </row>
    <row r="13" spans="1:25" ht="12.75" customHeight="1" x14ac:dyDescent="0.2">
      <c r="A13" s="151"/>
      <c r="B13" s="21" t="s">
        <v>46</v>
      </c>
      <c r="C13" s="22" t="s">
        <v>47</v>
      </c>
      <c r="D13" s="23">
        <v>9007.1116368304902</v>
      </c>
      <c r="E13" s="23">
        <v>9216.0046853370241</v>
      </c>
      <c r="F13" s="23">
        <v>8983.7807535005795</v>
      </c>
      <c r="G13" s="23">
        <v>9860.4993543871497</v>
      </c>
      <c r="H13" s="23">
        <v>11351.650839419972</v>
      </c>
      <c r="I13" s="23">
        <v>14153.363541303592</v>
      </c>
      <c r="J13" s="23">
        <v>14962.839612414364</v>
      </c>
      <c r="K13" s="23">
        <v>16705.124044626969</v>
      </c>
      <c r="L13" s="23">
        <v>16580.718258600562</v>
      </c>
      <c r="M13" s="23">
        <v>15490.872282576713</v>
      </c>
      <c r="N13" s="23">
        <v>16677.810530352053</v>
      </c>
      <c r="O13" s="23">
        <v>18230.839971813828</v>
      </c>
      <c r="P13" s="23">
        <v>17917.59108895039</v>
      </c>
      <c r="Q13" s="23">
        <v>19728.32712590455</v>
      </c>
      <c r="R13" s="23">
        <v>22474.371282594544</v>
      </c>
      <c r="S13" s="23">
        <v>24734.9</v>
      </c>
      <c r="T13" s="23">
        <v>26088.049816356637</v>
      </c>
      <c r="U13" s="23">
        <v>29291.918774108526</v>
      </c>
      <c r="V13" s="23">
        <v>33785.858508895581</v>
      </c>
      <c r="W13" s="23">
        <v>36349.430116740834</v>
      </c>
      <c r="X13" s="23">
        <v>40238.157477080495</v>
      </c>
      <c r="Y13" s="23">
        <v>39423.127218382215</v>
      </c>
    </row>
    <row r="14" spans="1:25" ht="12.75" customHeight="1" x14ac:dyDescent="0.2">
      <c r="A14" s="151"/>
      <c r="B14" s="21" t="s">
        <v>48</v>
      </c>
      <c r="C14" s="22" t="s">
        <v>49</v>
      </c>
      <c r="D14" s="23">
        <v>18543.340594030844</v>
      </c>
      <c r="E14" s="23">
        <v>19780.10861463103</v>
      </c>
      <c r="F14" s="23">
        <v>21483.30296737039</v>
      </c>
      <c r="G14" s="23">
        <v>22967.767627644298</v>
      </c>
      <c r="H14" s="23">
        <v>24987.072098371205</v>
      </c>
      <c r="I14" s="23">
        <v>26357.267340536775</v>
      </c>
      <c r="J14" s="23">
        <v>27780.6587167652</v>
      </c>
      <c r="K14" s="23">
        <v>30489.464319684881</v>
      </c>
      <c r="L14" s="23">
        <v>33803.360113529721</v>
      </c>
      <c r="M14" s="23">
        <v>34706.276997681292</v>
      </c>
      <c r="N14" s="23">
        <v>33459.510628609773</v>
      </c>
      <c r="O14" s="23">
        <v>33384.490439393761</v>
      </c>
      <c r="P14" s="23">
        <v>32047.986093639214</v>
      </c>
      <c r="Q14" s="23">
        <v>30942.187028151526</v>
      </c>
      <c r="R14" s="23">
        <v>31074.364661612653</v>
      </c>
      <c r="S14" s="23">
        <v>28941</v>
      </c>
      <c r="T14" s="23">
        <v>29552.82097989328</v>
      </c>
      <c r="U14" s="23">
        <v>30453.745298536898</v>
      </c>
      <c r="V14" s="23">
        <v>31713.77957255514</v>
      </c>
      <c r="W14" s="23">
        <v>32678.8659461352</v>
      </c>
      <c r="X14" s="23">
        <v>34028.324962189814</v>
      </c>
      <c r="Y14" s="23">
        <v>36852.60601531851</v>
      </c>
    </row>
    <row r="15" spans="1:25" ht="12.75" customHeight="1" x14ac:dyDescent="0.2">
      <c r="A15" s="151"/>
      <c r="B15" s="21" t="s">
        <v>50</v>
      </c>
      <c r="C15" s="22" t="s">
        <v>51</v>
      </c>
      <c r="D15" s="23">
        <v>2985.5891983901447</v>
      </c>
      <c r="E15" s="23">
        <v>3147.9608135448834</v>
      </c>
      <c r="F15" s="23">
        <v>3348.8348388905169</v>
      </c>
      <c r="G15" s="23">
        <v>3473.035104444471</v>
      </c>
      <c r="H15" s="23">
        <v>3600.8674204963836</v>
      </c>
      <c r="I15" s="23">
        <v>3726.3855001742772</v>
      </c>
      <c r="J15" s="23">
        <v>4098.9304514009182</v>
      </c>
      <c r="K15" s="23">
        <v>4566.7670064791919</v>
      </c>
      <c r="L15" s="23">
        <v>4518.7575820000457</v>
      </c>
      <c r="M15" s="23">
        <v>4253.1279057449892</v>
      </c>
      <c r="N15" s="23">
        <v>4293.0237016799674</v>
      </c>
      <c r="O15" s="23">
        <v>3956.9324845632937</v>
      </c>
      <c r="P15" s="23">
        <v>3677.8664714896736</v>
      </c>
      <c r="Q15" s="23">
        <v>3814.045565882629</v>
      </c>
      <c r="R15" s="23">
        <v>3848.2250251045566</v>
      </c>
      <c r="S15" s="23">
        <v>3491.5</v>
      </c>
      <c r="T15" s="23">
        <v>3531.9915652750692</v>
      </c>
      <c r="U15" s="23">
        <v>4015.217830449129</v>
      </c>
      <c r="V15" s="23">
        <v>4217.8749666653976</v>
      </c>
      <c r="W15" s="23">
        <v>4237.959661294929</v>
      </c>
      <c r="X15" s="23">
        <v>3457.2511529772019</v>
      </c>
      <c r="Y15" s="23">
        <v>3885.1111526246959</v>
      </c>
    </row>
    <row r="16" spans="1:25" ht="12.75" customHeight="1" x14ac:dyDescent="0.2">
      <c r="A16" s="152"/>
      <c r="B16" s="28" t="s">
        <v>52</v>
      </c>
      <c r="C16" s="29" t="s">
        <v>53</v>
      </c>
      <c r="D16" s="30">
        <f>SUM(D6:D15)</f>
        <v>139523.39050531571</v>
      </c>
      <c r="E16" s="30">
        <f t="shared" ref="E16:S16" si="0">SUM(E6:E15)</f>
        <v>144837.87669044829</v>
      </c>
      <c r="F16" s="30">
        <f t="shared" si="0"/>
        <v>153661.88031138919</v>
      </c>
      <c r="G16" s="30">
        <f t="shared" si="0"/>
        <v>155655.32721107319</v>
      </c>
      <c r="H16" s="30">
        <f t="shared" si="0"/>
        <v>163748.49571651555</v>
      </c>
      <c r="I16" s="30">
        <f t="shared" si="0"/>
        <v>173722.20285813877</v>
      </c>
      <c r="J16" s="30">
        <f t="shared" si="0"/>
        <v>181698.20177252253</v>
      </c>
      <c r="K16" s="30">
        <f t="shared" si="0"/>
        <v>195904.2332956593</v>
      </c>
      <c r="L16" s="30">
        <f t="shared" si="0"/>
        <v>191507.01549589139</v>
      </c>
      <c r="M16" s="30">
        <f t="shared" si="0"/>
        <v>179300.97338778968</v>
      </c>
      <c r="N16" s="30">
        <f t="shared" si="0"/>
        <v>182524.145037985</v>
      </c>
      <c r="O16" s="30">
        <f t="shared" si="0"/>
        <v>185470.86433613207</v>
      </c>
      <c r="P16" s="30">
        <f t="shared" si="0"/>
        <v>181025.13666201598</v>
      </c>
      <c r="Q16" s="30">
        <f t="shared" si="0"/>
        <v>183378.7426321735</v>
      </c>
      <c r="R16" s="30">
        <f t="shared" si="0"/>
        <v>197423.77594597283</v>
      </c>
      <c r="S16" s="30">
        <f t="shared" si="0"/>
        <v>244655.49999999997</v>
      </c>
      <c r="T16" s="30">
        <f t="shared" ref="T16:Y16" si="1">SUM(T6:T15)</f>
        <v>247828.25632851868</v>
      </c>
      <c r="U16" s="30">
        <f t="shared" si="1"/>
        <v>264944.15960445185</v>
      </c>
      <c r="V16" s="30">
        <f t="shared" si="1"/>
        <v>292069.98361842363</v>
      </c>
      <c r="W16" s="30">
        <f t="shared" si="1"/>
        <v>307784.22754788952</v>
      </c>
      <c r="X16" s="30">
        <f t="shared" si="1"/>
        <v>332529.92139216163</v>
      </c>
      <c r="Y16" s="30">
        <f t="shared" si="1"/>
        <v>381478.79693629744</v>
      </c>
    </row>
    <row r="17" spans="1:25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ht="12.75" customHeight="1" x14ac:dyDescent="0.2">
      <c r="A18" s="150" t="s">
        <v>54</v>
      </c>
      <c r="B18" s="17" t="s">
        <v>32</v>
      </c>
      <c r="C18" s="18" t="s">
        <v>33</v>
      </c>
      <c r="D18" s="19">
        <v>3920.3438974077872</v>
      </c>
      <c r="E18" s="19">
        <v>3240.20338622085</v>
      </c>
      <c r="F18" s="19">
        <v>3006.8673793112239</v>
      </c>
      <c r="G18" s="19">
        <v>2599.949316374431</v>
      </c>
      <c r="H18" s="19">
        <v>2930.7612568065097</v>
      </c>
      <c r="I18" s="19">
        <v>2045.0795863831765</v>
      </c>
      <c r="J18" s="19">
        <v>1903.7294500262637</v>
      </c>
      <c r="K18" s="19">
        <v>2300.6165862829134</v>
      </c>
      <c r="L18" s="19">
        <v>1821.9689166609444</v>
      </c>
      <c r="M18" s="19">
        <v>1113.2166523463707</v>
      </c>
      <c r="N18" s="19">
        <v>1914.8273300261224</v>
      </c>
      <c r="O18" s="19">
        <v>2477.1584516714638</v>
      </c>
      <c r="P18" s="19">
        <v>1979.2548203380527</v>
      </c>
      <c r="Q18" s="19">
        <v>2173.6066838908832</v>
      </c>
      <c r="R18" s="19">
        <v>2676.2008805905916</v>
      </c>
      <c r="S18" s="19">
        <v>2351.1</v>
      </c>
      <c r="T18" s="19">
        <v>2527.7445030739232</v>
      </c>
      <c r="U18" s="19">
        <v>3374.0873630443357</v>
      </c>
      <c r="V18" s="19">
        <v>2773.1532629814469</v>
      </c>
      <c r="W18" s="19">
        <v>2973.9889985349805</v>
      </c>
      <c r="X18" s="19">
        <v>3234.5911832253487</v>
      </c>
      <c r="Y18" s="19">
        <v>4020.5492247337934</v>
      </c>
    </row>
    <row r="19" spans="1:25" ht="12.75" customHeight="1" x14ac:dyDescent="0.2">
      <c r="A19" s="151"/>
      <c r="B19" s="21" t="s">
        <v>55</v>
      </c>
      <c r="C19" s="22" t="s">
        <v>56</v>
      </c>
      <c r="D19" s="23">
        <v>690.53560867244641</v>
      </c>
      <c r="E19" s="23">
        <v>810.08412309658183</v>
      </c>
      <c r="F19" s="23">
        <v>704.44787034795581</v>
      </c>
      <c r="G19" s="23">
        <v>748.30752893190288</v>
      </c>
      <c r="H19" s="23">
        <v>543.32932191070802</v>
      </c>
      <c r="I19" s="23">
        <v>668.29324968049275</v>
      </c>
      <c r="J19" s="23">
        <v>1042.2790214245001</v>
      </c>
      <c r="K19" s="23">
        <v>1352.1256000805702</v>
      </c>
      <c r="L19" s="23">
        <v>1045.343221405846</v>
      </c>
      <c r="M19" s="23">
        <v>1078.7302409340757</v>
      </c>
      <c r="N19" s="23">
        <v>823.2079948234956</v>
      </c>
      <c r="O19" s="23">
        <v>860.27541234219927</v>
      </c>
      <c r="P19" s="23">
        <v>1007.7537110313123</v>
      </c>
      <c r="Q19" s="23">
        <v>834.70344148799336</v>
      </c>
      <c r="R19" s="23">
        <v>993.25763344037262</v>
      </c>
      <c r="S19" s="23">
        <v>394.9</v>
      </c>
      <c r="T19" s="23">
        <v>529.34828880022974</v>
      </c>
      <c r="U19" s="23">
        <v>572.5444174033496</v>
      </c>
      <c r="V19" s="23">
        <v>575.92670196959898</v>
      </c>
      <c r="W19" s="23">
        <v>456.4594447669329</v>
      </c>
      <c r="X19" s="23">
        <v>292.02531881920197</v>
      </c>
      <c r="Y19" s="23">
        <v>413.41303941714926</v>
      </c>
    </row>
    <row r="20" spans="1:25" ht="12.75" customHeight="1" x14ac:dyDescent="0.2">
      <c r="A20" s="151"/>
      <c r="B20" s="21" t="s">
        <v>57</v>
      </c>
      <c r="C20" s="22" t="s">
        <v>58</v>
      </c>
      <c r="D20" s="23">
        <v>36183.084979011299</v>
      </c>
      <c r="E20" s="23">
        <v>41033.170056437011</v>
      </c>
      <c r="F20" s="23">
        <v>46342.45161619124</v>
      </c>
      <c r="G20" s="23">
        <v>41035.394065188804</v>
      </c>
      <c r="H20" s="23">
        <v>39336.08969699857</v>
      </c>
      <c r="I20" s="23">
        <v>38766.817706517984</v>
      </c>
      <c r="J20" s="23">
        <v>38383.718721012076</v>
      </c>
      <c r="K20" s="23">
        <v>39634.748161990967</v>
      </c>
      <c r="L20" s="23">
        <v>37635.560438554305</v>
      </c>
      <c r="M20" s="23">
        <v>40681.136050658504</v>
      </c>
      <c r="N20" s="23">
        <v>39098.665132887581</v>
      </c>
      <c r="O20" s="23">
        <v>42274.003033596484</v>
      </c>
      <c r="P20" s="23">
        <v>39047.711625992066</v>
      </c>
      <c r="Q20" s="23">
        <v>38383.048686373841</v>
      </c>
      <c r="R20" s="23">
        <v>42463.998410964363</v>
      </c>
      <c r="S20" s="23">
        <v>91581.499999999985</v>
      </c>
      <c r="T20" s="23">
        <v>88022.987595410392</v>
      </c>
      <c r="U20" s="23">
        <v>91907.038487066762</v>
      </c>
      <c r="V20" s="23">
        <v>102315.99299020918</v>
      </c>
      <c r="W20" s="23">
        <v>103304.95434484156</v>
      </c>
      <c r="X20" s="23">
        <v>119700.31928599438</v>
      </c>
      <c r="Y20" s="23">
        <v>141848.49617037174</v>
      </c>
    </row>
    <row r="21" spans="1:25" ht="12.75" customHeight="1" x14ac:dyDescent="0.2">
      <c r="A21" s="151"/>
      <c r="B21" s="21" t="s">
        <v>59</v>
      </c>
      <c r="C21" s="22" t="s">
        <v>60</v>
      </c>
      <c r="D21" s="23">
        <v>1578.8410772759403</v>
      </c>
      <c r="E21" s="23">
        <v>1821.2916622297944</v>
      </c>
      <c r="F21" s="23">
        <v>1749.5891039280391</v>
      </c>
      <c r="G21" s="23">
        <v>1924.5296680222525</v>
      </c>
      <c r="H21" s="23">
        <v>2084.9071216652565</v>
      </c>
      <c r="I21" s="23">
        <v>1905.5420006971071</v>
      </c>
      <c r="J21" s="23">
        <v>2040.1890988745711</v>
      </c>
      <c r="K21" s="23">
        <v>2509.0921298523995</v>
      </c>
      <c r="L21" s="23">
        <v>2772.3225525876078</v>
      </c>
      <c r="M21" s="23">
        <v>3046.5743105660245</v>
      </c>
      <c r="N21" s="23">
        <v>3015.3138255805598</v>
      </c>
      <c r="O21" s="23">
        <v>3424.7393376249565</v>
      </c>
      <c r="P21" s="23">
        <v>3554.6991148418383</v>
      </c>
      <c r="Q21" s="23">
        <v>3649.0733595051952</v>
      </c>
      <c r="R21" s="23">
        <v>3370.6315313227619</v>
      </c>
      <c r="S21" s="23">
        <v>2919.3</v>
      </c>
      <c r="T21" s="23">
        <v>2887.5073011850195</v>
      </c>
      <c r="U21" s="23">
        <v>2700.5396461998712</v>
      </c>
      <c r="V21" s="23">
        <v>2910.4918282601243</v>
      </c>
      <c r="W21" s="23">
        <v>2780.4037556089966</v>
      </c>
      <c r="X21" s="23">
        <v>2965.438691487574</v>
      </c>
      <c r="Y21" s="23">
        <v>3413.0394171492621</v>
      </c>
    </row>
    <row r="22" spans="1:25" ht="12.75" customHeight="1" x14ac:dyDescent="0.2">
      <c r="A22" s="151"/>
      <c r="B22" s="21" t="s">
        <v>61</v>
      </c>
      <c r="C22" s="22" t="s">
        <v>62</v>
      </c>
      <c r="D22" s="23">
        <v>851.08838336482847</v>
      </c>
      <c r="E22" s="23">
        <v>966.48386753274417</v>
      </c>
      <c r="F22" s="23">
        <v>983.22015110782684</v>
      </c>
      <c r="G22" s="23">
        <v>976.14249339302728</v>
      </c>
      <c r="H22" s="23">
        <v>1082.6075041405029</v>
      </c>
      <c r="I22" s="23">
        <v>1099.4539328453586</v>
      </c>
      <c r="J22" s="23">
        <v>1291.728600645976</v>
      </c>
      <c r="K22" s="23">
        <v>1438.8505309803834</v>
      </c>
      <c r="L22" s="23">
        <v>1469.3629975508711</v>
      </c>
      <c r="M22" s="23">
        <v>1387.3424277021222</v>
      </c>
      <c r="N22" s="23">
        <v>1070.290219761785</v>
      </c>
      <c r="O22" s="23">
        <v>873.53246784268299</v>
      </c>
      <c r="P22" s="23">
        <v>941.76711420141362</v>
      </c>
      <c r="Q22" s="23">
        <v>969.14180899014639</v>
      </c>
      <c r="R22" s="23">
        <v>1032.1007272045113</v>
      </c>
      <c r="S22" s="23">
        <v>1001.5</v>
      </c>
      <c r="T22" s="23">
        <v>1048.4006692340438</v>
      </c>
      <c r="U22" s="23">
        <v>1138.162894273594</v>
      </c>
      <c r="V22" s="23">
        <v>1229.1896834165111</v>
      </c>
      <c r="W22" s="23">
        <v>1324.2299435184416</v>
      </c>
      <c r="X22" s="23">
        <v>1265.6608846649365</v>
      </c>
      <c r="Y22" s="23">
        <v>1564.6366523444797</v>
      </c>
    </row>
    <row r="23" spans="1:25" ht="12.75" customHeight="1" x14ac:dyDescent="0.2">
      <c r="A23" s="151"/>
      <c r="B23" s="21" t="s">
        <v>36</v>
      </c>
      <c r="C23" s="22" t="s">
        <v>37</v>
      </c>
      <c r="D23" s="23">
        <v>9998.1247205112304</v>
      </c>
      <c r="E23" s="23">
        <v>10756.841656905548</v>
      </c>
      <c r="F23" s="23">
        <v>11048.708703352147</v>
      </c>
      <c r="G23" s="23">
        <v>11986.798122292348</v>
      </c>
      <c r="H23" s="23">
        <v>14235.109082893467</v>
      </c>
      <c r="I23" s="23">
        <v>16988.497734402234</v>
      </c>
      <c r="J23" s="23">
        <v>19407.221967656493</v>
      </c>
      <c r="K23" s="23">
        <v>17973.99371104372</v>
      </c>
      <c r="L23" s="23">
        <v>12645.288287669666</v>
      </c>
      <c r="M23" s="23">
        <v>4908.7228257671168</v>
      </c>
      <c r="N23" s="23">
        <v>2806.6959043305301</v>
      </c>
      <c r="O23" s="23">
        <v>2005.7566673434533</v>
      </c>
      <c r="P23" s="23">
        <v>3078.3833855584276</v>
      </c>
      <c r="Q23" s="23">
        <v>3889.429475779843</v>
      </c>
      <c r="R23" s="23">
        <v>4885.6225378223589</v>
      </c>
      <c r="S23" s="23">
        <v>4908.8</v>
      </c>
      <c r="T23" s="23">
        <v>5677.1044737701841</v>
      </c>
      <c r="U23" s="23">
        <v>7193.4549861962159</v>
      </c>
      <c r="V23" s="23">
        <v>7671.9113109070822</v>
      </c>
      <c r="W23" s="23">
        <v>8088.8409763109157</v>
      </c>
      <c r="X23" s="23">
        <v>7634.5762458688869</v>
      </c>
      <c r="Y23" s="23">
        <v>8717.448159910331</v>
      </c>
    </row>
    <row r="24" spans="1:25" ht="12.75" customHeight="1" x14ac:dyDescent="0.2">
      <c r="A24" s="151"/>
      <c r="B24" s="21" t="s">
        <v>63</v>
      </c>
      <c r="C24" s="22" t="s">
        <v>64</v>
      </c>
      <c r="D24" s="23">
        <v>15184.282272838744</v>
      </c>
      <c r="E24" s="23">
        <v>13133.984666169736</v>
      </c>
      <c r="F24" s="23">
        <v>14128.199574451824</v>
      </c>
      <c r="G24" s="23">
        <v>15136.423425489038</v>
      </c>
      <c r="H24" s="23">
        <v>15693.876821523463</v>
      </c>
      <c r="I24" s="23">
        <v>17312.420123155571</v>
      </c>
      <c r="J24" s="23">
        <v>18402.941538048886</v>
      </c>
      <c r="K24" s="23">
        <v>20324.407193133626</v>
      </c>
      <c r="L24" s="23">
        <v>19971.274233788827</v>
      </c>
      <c r="M24" s="23">
        <v>17422.464424853755</v>
      </c>
      <c r="N24" s="23">
        <v>19017.782251300123</v>
      </c>
      <c r="O24" s="23">
        <v>20042.518123947499</v>
      </c>
      <c r="P24" s="23">
        <v>20036.595686283479</v>
      </c>
      <c r="Q24" s="23">
        <v>21526.468252636761</v>
      </c>
      <c r="R24" s="23">
        <v>21249.599982344051</v>
      </c>
      <c r="S24" s="23">
        <v>19494.599999999999</v>
      </c>
      <c r="T24" s="23">
        <v>20806.347823504373</v>
      </c>
      <c r="U24" s="23">
        <v>21659.628500245286</v>
      </c>
      <c r="V24" s="23">
        <v>22277.134367023507</v>
      </c>
      <c r="W24" s="23">
        <v>22542.315098911829</v>
      </c>
      <c r="X24" s="23">
        <v>23656.384786302446</v>
      </c>
      <c r="Y24" s="23">
        <v>23237.156734541379</v>
      </c>
    </row>
    <row r="25" spans="1:25" ht="12.75" customHeight="1" x14ac:dyDescent="0.2">
      <c r="A25" s="151"/>
      <c r="B25" s="21" t="s">
        <v>65</v>
      </c>
      <c r="C25" s="22" t="s">
        <v>66</v>
      </c>
      <c r="D25" s="23">
        <v>5245.733739163049</v>
      </c>
      <c r="E25" s="23">
        <v>5210.1746352891068</v>
      </c>
      <c r="F25" s="23">
        <v>5279.8552626549626</v>
      </c>
      <c r="G25" s="23">
        <v>5546.9607925953642</v>
      </c>
      <c r="H25" s="23">
        <v>5915.6171434699199</v>
      </c>
      <c r="I25" s="23">
        <v>6151.1560357848266</v>
      </c>
      <c r="J25" s="23">
        <v>6553.9747644646104</v>
      </c>
      <c r="K25" s="23">
        <v>7129.9083513310879</v>
      </c>
      <c r="L25" s="23">
        <v>6717.0225914990042</v>
      </c>
      <c r="M25" s="23">
        <v>7240.3808806393527</v>
      </c>
      <c r="N25" s="23">
        <v>6811.4170680854131</v>
      </c>
      <c r="O25" s="23">
        <v>6666.9851544864978</v>
      </c>
      <c r="P25" s="23">
        <v>6326.8223508153978</v>
      </c>
      <c r="Q25" s="23">
        <v>6445.5479873390814</v>
      </c>
      <c r="R25" s="23">
        <v>6779.4440582205016</v>
      </c>
      <c r="S25" s="23">
        <v>6508.2</v>
      </c>
      <c r="T25" s="23">
        <v>6574.432487550861</v>
      </c>
      <c r="U25" s="23">
        <v>6618.6019219484988</v>
      </c>
      <c r="V25" s="23">
        <v>5784.1251095279822</v>
      </c>
      <c r="W25" s="23">
        <v>6437.6076881259733</v>
      </c>
      <c r="X25" s="23">
        <v>3389.7529734675204</v>
      </c>
      <c r="Y25" s="23">
        <v>4450.7752662058656</v>
      </c>
    </row>
    <row r="26" spans="1:25" ht="12.75" customHeight="1" x14ac:dyDescent="0.2">
      <c r="A26" s="151"/>
      <c r="B26" s="21" t="s">
        <v>67</v>
      </c>
      <c r="C26" s="22" t="s">
        <v>68</v>
      </c>
      <c r="D26" s="23">
        <v>3841.0051498059811</v>
      </c>
      <c r="E26" s="23">
        <v>3720.8497497604089</v>
      </c>
      <c r="F26" s="23">
        <v>3582.7589282301528</v>
      </c>
      <c r="G26" s="23">
        <v>3770.1376905161283</v>
      </c>
      <c r="H26" s="23">
        <v>3786.0283341475329</v>
      </c>
      <c r="I26" s="23">
        <v>4049.9593354246545</v>
      </c>
      <c r="J26" s="23">
        <v>4201.9736915631947</v>
      </c>
      <c r="K26" s="23">
        <v>4845.5177198616884</v>
      </c>
      <c r="L26" s="23">
        <v>4502.0485705784067</v>
      </c>
      <c r="M26" s="23">
        <v>4337.9903720530601</v>
      </c>
      <c r="N26" s="23">
        <v>3997.0522683154795</v>
      </c>
      <c r="O26" s="23">
        <v>3843.1128999510324</v>
      </c>
      <c r="P26" s="23">
        <v>3882.8023146771579</v>
      </c>
      <c r="Q26" s="23">
        <v>4091.0870270330724</v>
      </c>
      <c r="R26" s="23">
        <v>4276.2715043974358</v>
      </c>
      <c r="S26" s="23">
        <v>4293.6000000000004</v>
      </c>
      <c r="T26" s="23">
        <v>4524.1607349694586</v>
      </c>
      <c r="U26" s="23">
        <v>4851.5251498215612</v>
      </c>
      <c r="V26" s="23">
        <v>5103.3372699912379</v>
      </c>
      <c r="W26" s="23">
        <v>5017.2761699422281</v>
      </c>
      <c r="X26" s="23">
        <v>2514.1438093993315</v>
      </c>
      <c r="Y26" s="23">
        <v>3215.2064263030074</v>
      </c>
    </row>
    <row r="27" spans="1:25" ht="12.75" customHeight="1" x14ac:dyDescent="0.2">
      <c r="A27" s="151"/>
      <c r="B27" s="21" t="s">
        <v>40</v>
      </c>
      <c r="C27" s="22" t="s">
        <v>41</v>
      </c>
      <c r="D27" s="23">
        <v>11200.178872812776</v>
      </c>
      <c r="E27" s="23">
        <v>10440.714513896284</v>
      </c>
      <c r="F27" s="23">
        <v>9918.4578337813909</v>
      </c>
      <c r="G27" s="23">
        <v>10182.943753243148</v>
      </c>
      <c r="H27" s="23">
        <v>11313.87991945381</v>
      </c>
      <c r="I27" s="23">
        <v>11895.201580109217</v>
      </c>
      <c r="J27" s="23">
        <v>11505.638320462242</v>
      </c>
      <c r="K27" s="23">
        <v>12736.926916061457</v>
      </c>
      <c r="L27" s="23">
        <v>14593.833688113713</v>
      </c>
      <c r="M27" s="23">
        <v>15009.71033768435</v>
      </c>
      <c r="N27" s="23">
        <v>16785.654372468667</v>
      </c>
      <c r="O27" s="23">
        <v>16777.221751125657</v>
      </c>
      <c r="P27" s="23">
        <v>17686.580819285929</v>
      </c>
      <c r="Q27" s="23">
        <v>18860.405552013781</v>
      </c>
      <c r="R27" s="23">
        <v>21087.275576301301</v>
      </c>
      <c r="S27" s="23">
        <v>23037.3</v>
      </c>
      <c r="T27" s="23">
        <v>24686.618289097227</v>
      </c>
      <c r="U27" s="23">
        <v>30193.445366834367</v>
      </c>
      <c r="V27" s="23">
        <v>37696.483675568597</v>
      </c>
      <c r="W27" s="23">
        <v>46746.551676479532</v>
      </c>
      <c r="X27" s="23">
        <v>56365.367739044377</v>
      </c>
      <c r="Y27" s="23">
        <v>70785.260601531845</v>
      </c>
    </row>
    <row r="28" spans="1:25" ht="12.75" customHeight="1" x14ac:dyDescent="0.2">
      <c r="A28" s="151"/>
      <c r="B28" s="21" t="s">
        <v>42</v>
      </c>
      <c r="C28" s="22" t="s">
        <v>43</v>
      </c>
      <c r="D28" s="23">
        <v>10387.173088296815</v>
      </c>
      <c r="E28" s="23">
        <v>10849.749760408902</v>
      </c>
      <c r="F28" s="23">
        <v>11297.28490068419</v>
      </c>
      <c r="G28" s="23">
        <v>13810.322565074155</v>
      </c>
      <c r="H28" s="23">
        <v>15286.856434758778</v>
      </c>
      <c r="I28" s="23">
        <v>16967.933077727434</v>
      </c>
      <c r="J28" s="23">
        <v>17735.842730534103</v>
      </c>
      <c r="K28" s="23">
        <v>19478.86709264461</v>
      </c>
      <c r="L28" s="23">
        <v>18793.174483279541</v>
      </c>
      <c r="M28" s="23">
        <v>18883.605418956933</v>
      </c>
      <c r="N28" s="23">
        <v>20944.712056941549</v>
      </c>
      <c r="O28" s="23">
        <v>18430.890133645451</v>
      </c>
      <c r="P28" s="23">
        <v>16962.672399990854</v>
      </c>
      <c r="Q28" s="23">
        <v>14641.367200170005</v>
      </c>
      <c r="R28" s="23">
        <v>16651.328058617761</v>
      </c>
      <c r="S28" s="23">
        <v>16464.3</v>
      </c>
      <c r="T28" s="23">
        <v>16004.593559117324</v>
      </c>
      <c r="U28" s="23">
        <v>15109.131660205663</v>
      </c>
      <c r="V28" s="23">
        <v>16171.282715532021</v>
      </c>
      <c r="W28" s="23">
        <v>15963.181026619122</v>
      </c>
      <c r="X28" s="23">
        <v>14006.105644453572</v>
      </c>
      <c r="Y28" s="23">
        <v>17143.470950868672</v>
      </c>
    </row>
    <row r="29" spans="1:25" ht="12.75" customHeight="1" x14ac:dyDescent="0.2">
      <c r="A29" s="151"/>
      <c r="B29" s="21" t="s">
        <v>44</v>
      </c>
      <c r="C29" s="22" t="s">
        <v>45</v>
      </c>
      <c r="D29" s="23">
        <v>9906.9572869033382</v>
      </c>
      <c r="E29" s="23">
        <v>10710.254498988394</v>
      </c>
      <c r="F29" s="23">
        <v>11804.120427586737</v>
      </c>
      <c r="G29" s="23">
        <v>11636.115703476655</v>
      </c>
      <c r="H29" s="23">
        <v>11599.842720459446</v>
      </c>
      <c r="I29" s="23">
        <v>11634.832113396074</v>
      </c>
      <c r="J29" s="23">
        <v>12386.53508722912</v>
      </c>
      <c r="K29" s="23">
        <v>14417.823931604802</v>
      </c>
      <c r="L29" s="23">
        <v>14636.97956007233</v>
      </c>
      <c r="M29" s="23">
        <v>9740.8222596250052</v>
      </c>
      <c r="N29" s="23">
        <v>11808.181752821914</v>
      </c>
      <c r="O29" s="23">
        <v>12222.408006783791</v>
      </c>
      <c r="P29" s="23">
        <v>12876.649664920749</v>
      </c>
      <c r="Q29" s="23">
        <v>13430.30343701417</v>
      </c>
      <c r="R29" s="23">
        <v>14561.084075435054</v>
      </c>
      <c r="S29" s="23">
        <v>14533</v>
      </c>
      <c r="T29" s="23">
        <v>15366.148241280653</v>
      </c>
      <c r="U29" s="23">
        <v>15865.117308117782</v>
      </c>
      <c r="V29" s="23">
        <v>17843.441654920189</v>
      </c>
      <c r="W29" s="23">
        <v>18882.162700058048</v>
      </c>
      <c r="X29" s="23">
        <v>19781.821237186548</v>
      </c>
      <c r="Y29" s="23">
        <v>22508.499906594432</v>
      </c>
    </row>
    <row r="30" spans="1:25" ht="12.75" customHeight="1" x14ac:dyDescent="0.2">
      <c r="A30" s="151"/>
      <c r="B30" s="21" t="s">
        <v>69</v>
      </c>
      <c r="C30" s="22" t="s">
        <v>70</v>
      </c>
      <c r="D30" s="23">
        <v>5400.0836663156533</v>
      </c>
      <c r="E30" s="23">
        <v>5462.6770312000845</v>
      </c>
      <c r="F30" s="23">
        <v>5461.2865824913679</v>
      </c>
      <c r="G30" s="23">
        <v>5912.9689743806339</v>
      </c>
      <c r="H30" s="23">
        <v>7003.9439036305357</v>
      </c>
      <c r="I30" s="23">
        <v>7655.6291390728493</v>
      </c>
      <c r="J30" s="23">
        <v>8036.1433664517144</v>
      </c>
      <c r="K30" s="23">
        <v>8905.4754204760357</v>
      </c>
      <c r="L30" s="23">
        <v>8658.5868296367498</v>
      </c>
      <c r="M30" s="23">
        <v>7761.6788879603591</v>
      </c>
      <c r="N30" s="23">
        <v>7659.4291465957322</v>
      </c>
      <c r="O30" s="23">
        <v>8447.969042983912</v>
      </c>
      <c r="P30" s="23">
        <v>7961.3915509709295</v>
      </c>
      <c r="Q30" s="23">
        <v>8846.0893198671256</v>
      </c>
      <c r="R30" s="23">
        <v>9948.6873903399883</v>
      </c>
      <c r="S30" s="23">
        <v>10260.100000000002</v>
      </c>
      <c r="T30" s="23">
        <v>10105.13706428013</v>
      </c>
      <c r="U30" s="23">
        <v>12411.862597035313</v>
      </c>
      <c r="V30" s="23">
        <v>14134.347975160963</v>
      </c>
      <c r="W30" s="23">
        <v>13675.447567975967</v>
      </c>
      <c r="X30" s="23">
        <v>18979.871912168346</v>
      </c>
      <c r="Y30" s="23">
        <v>19454.978516719595</v>
      </c>
    </row>
    <row r="31" spans="1:25" ht="12.75" customHeight="1" x14ac:dyDescent="0.2">
      <c r="A31" s="151"/>
      <c r="B31" s="21" t="s">
        <v>71</v>
      </c>
      <c r="C31" s="22" t="s">
        <v>72</v>
      </c>
      <c r="D31" s="23">
        <v>3607.0279705148369</v>
      </c>
      <c r="E31" s="23">
        <v>3753.3276541369396</v>
      </c>
      <c r="F31" s="23">
        <v>3522.4941710092121</v>
      </c>
      <c r="G31" s="23">
        <v>3947.5303800065162</v>
      </c>
      <c r="H31" s="23">
        <v>4347.7069357894361</v>
      </c>
      <c r="I31" s="23">
        <v>6497.7344022307425</v>
      </c>
      <c r="J31" s="23">
        <v>6926.6962459626493</v>
      </c>
      <c r="K31" s="23">
        <v>7799.6486241509347</v>
      </c>
      <c r="L31" s="23">
        <v>7922.1314289638121</v>
      </c>
      <c r="M31" s="23">
        <v>7729.1933946163535</v>
      </c>
      <c r="N31" s="23">
        <v>9018.3813837563212</v>
      </c>
      <c r="O31" s="23">
        <v>9782.870928829916</v>
      </c>
      <c r="P31" s="23">
        <v>9956.1995379794607</v>
      </c>
      <c r="Q31" s="23">
        <v>10882.237806037425</v>
      </c>
      <c r="R31" s="23">
        <v>12525.683892254556</v>
      </c>
      <c r="S31" s="23">
        <v>14474.8</v>
      </c>
      <c r="T31" s="23">
        <v>15982.912752076507</v>
      </c>
      <c r="U31" s="23">
        <v>16880.056177073213</v>
      </c>
      <c r="V31" s="23">
        <v>19651.510533734618</v>
      </c>
      <c r="W31" s="23">
        <v>22673.982548764867</v>
      </c>
      <c r="X31" s="23">
        <v>21258.285564912148</v>
      </c>
      <c r="Y31" s="23">
        <v>19968.14870166262</v>
      </c>
    </row>
    <row r="32" spans="1:25" ht="12.75" customHeight="1" x14ac:dyDescent="0.2">
      <c r="A32" s="151"/>
      <c r="B32" s="21" t="s">
        <v>73</v>
      </c>
      <c r="C32" s="22" t="s">
        <v>74</v>
      </c>
      <c r="D32" s="23">
        <v>5524.4291216479396</v>
      </c>
      <c r="E32" s="23">
        <v>5730.3535299755085</v>
      </c>
      <c r="F32" s="23">
        <v>6139.488068087705</v>
      </c>
      <c r="G32" s="23">
        <v>6258.58303063946</v>
      </c>
      <c r="H32" s="23">
        <v>6863.8221311377765</v>
      </c>
      <c r="I32" s="23">
        <v>6998.4896014871611</v>
      </c>
      <c r="J32" s="23">
        <v>7021.9162466332091</v>
      </c>
      <c r="K32" s="23">
        <v>7698.6000917605725</v>
      </c>
      <c r="L32" s="23">
        <v>8332.3033257799434</v>
      </c>
      <c r="M32" s="23">
        <v>8096.6561128046997</v>
      </c>
      <c r="N32" s="23">
        <v>8151.3168931387336</v>
      </c>
      <c r="O32" s="23">
        <v>9548.5435153889375</v>
      </c>
      <c r="P32" s="23">
        <v>8987.7861897028906</v>
      </c>
      <c r="Q32" s="23">
        <v>8650.2477379234751</v>
      </c>
      <c r="R32" s="23">
        <v>8670.6171858619982</v>
      </c>
      <c r="S32" s="23">
        <v>7998.8000000000011</v>
      </c>
      <c r="T32" s="23">
        <v>8156.5374068170786</v>
      </c>
      <c r="U32" s="23">
        <v>8246.4865280837294</v>
      </c>
      <c r="V32" s="23">
        <v>8548.5161339479509</v>
      </c>
      <c r="W32" s="23">
        <v>8805.5025753010632</v>
      </c>
      <c r="X32" s="23">
        <v>9439.662415743971</v>
      </c>
      <c r="Y32" s="23">
        <v>10018.120679992524</v>
      </c>
    </row>
    <row r="33" spans="1:25" ht="12.75" customHeight="1" x14ac:dyDescent="0.2">
      <c r="A33" s="151"/>
      <c r="B33" s="21" t="s">
        <v>75</v>
      </c>
      <c r="C33" s="22" t="s">
        <v>76</v>
      </c>
      <c r="D33" s="23">
        <v>5537.700330337695</v>
      </c>
      <c r="E33" s="23">
        <v>5907.9171547226069</v>
      </c>
      <c r="F33" s="23">
        <v>6591.6648616968423</v>
      </c>
      <c r="G33" s="23">
        <v>7115.6190039460816</v>
      </c>
      <c r="H33" s="23">
        <v>7528.6856434758774</v>
      </c>
      <c r="I33" s="23">
        <v>8074.3580806320442</v>
      </c>
      <c r="J33" s="23">
        <v>8659.5437933770681</v>
      </c>
      <c r="K33" s="23">
        <v>9484.6860557501423</v>
      </c>
      <c r="L33" s="23">
        <v>10541.09730138021</v>
      </c>
      <c r="M33" s="23">
        <v>11378.397146926238</v>
      </c>
      <c r="N33" s="23">
        <v>11059.865315023846</v>
      </c>
      <c r="O33" s="23">
        <v>9208.876255538702</v>
      </c>
      <c r="P33" s="23">
        <v>8933.4644678758505</v>
      </c>
      <c r="Q33" s="23">
        <v>8722.6118176022537</v>
      </c>
      <c r="R33" s="23">
        <v>8930.3803754096734</v>
      </c>
      <c r="S33" s="23">
        <v>8303.7999999999993</v>
      </c>
      <c r="T33" s="23">
        <v>8352.2586648978831</v>
      </c>
      <c r="U33" s="23">
        <v>8661.7543792144843</v>
      </c>
      <c r="V33" s="23">
        <v>9044.3445464589149</v>
      </c>
      <c r="W33" s="23">
        <v>9208.7053468594204</v>
      </c>
      <c r="X33" s="23">
        <v>9457.5872434975809</v>
      </c>
      <c r="Y33" s="23">
        <v>10064.449841210537</v>
      </c>
    </row>
    <row r="34" spans="1:25" ht="12.75" customHeight="1" x14ac:dyDescent="0.2">
      <c r="A34" s="151"/>
      <c r="B34" s="21" t="s">
        <v>77</v>
      </c>
      <c r="C34" s="22" t="s">
        <v>78</v>
      </c>
      <c r="D34" s="23">
        <v>7481.2111420452093</v>
      </c>
      <c r="E34" s="23">
        <v>8141.8379299329144</v>
      </c>
      <c r="F34" s="23">
        <v>8752.1500375858432</v>
      </c>
      <c r="G34" s="23">
        <v>9593.5655930587563</v>
      </c>
      <c r="H34" s="23">
        <v>10594.564323757551</v>
      </c>
      <c r="I34" s="23">
        <v>11284.419658417568</v>
      </c>
      <c r="J34" s="23">
        <v>12099.198676754921</v>
      </c>
      <c r="K34" s="23">
        <v>13306.178172174166</v>
      </c>
      <c r="L34" s="23">
        <v>14929.959486369567</v>
      </c>
      <c r="M34" s="23">
        <v>15231.223737950353</v>
      </c>
      <c r="N34" s="23">
        <v>14248.328420447193</v>
      </c>
      <c r="O34" s="23">
        <v>14627.070668466124</v>
      </c>
      <c r="P34" s="23">
        <v>14126.735436060475</v>
      </c>
      <c r="Q34" s="23">
        <v>13569.327472625797</v>
      </c>
      <c r="R34" s="23">
        <v>13473.367100340982</v>
      </c>
      <c r="S34" s="23">
        <v>12638.4</v>
      </c>
      <c r="T34" s="23">
        <v>13044.024908178319</v>
      </c>
      <c r="U34" s="23">
        <v>13545.504391238686</v>
      </c>
      <c r="V34" s="23">
        <v>14120.918892148273</v>
      </c>
      <c r="W34" s="23">
        <v>14664.658023974716</v>
      </c>
      <c r="X34" s="23">
        <v>15131.07530294826</v>
      </c>
      <c r="Y34" s="23">
        <v>16770.035494115447</v>
      </c>
    </row>
    <row r="35" spans="1:25" ht="12.75" customHeight="1" x14ac:dyDescent="0.2">
      <c r="A35" s="151"/>
      <c r="B35" s="21" t="s">
        <v>79</v>
      </c>
      <c r="C35" s="22" t="s">
        <v>80</v>
      </c>
      <c r="D35" s="23">
        <v>2005.3950348369228</v>
      </c>
      <c r="E35" s="23">
        <v>2046.9066127143008</v>
      </c>
      <c r="F35" s="23">
        <v>2082.1282505383056</v>
      </c>
      <c r="G35" s="23">
        <v>2237.3200429604062</v>
      </c>
      <c r="H35" s="23">
        <v>2238.1355225374432</v>
      </c>
      <c r="I35" s="23">
        <v>2327.6402927849431</v>
      </c>
      <c r="J35" s="23">
        <v>2649.0606524581731</v>
      </c>
      <c r="K35" s="23">
        <v>3035.9320971766847</v>
      </c>
      <c r="L35" s="23">
        <v>2998.2375426308681</v>
      </c>
      <c r="M35" s="23">
        <v>2780.452207483434</v>
      </c>
      <c r="N35" s="23">
        <v>2789.4408895918709</v>
      </c>
      <c r="O35" s="23">
        <v>2418.8751806423102</v>
      </c>
      <c r="P35" s="23">
        <v>2165.0922897463465</v>
      </c>
      <c r="Q35" s="23">
        <v>2246.5299913878912</v>
      </c>
      <c r="R35" s="23">
        <v>2254.0029353019722</v>
      </c>
      <c r="S35" s="23">
        <v>2010.7</v>
      </c>
      <c r="T35" s="23">
        <v>2016.6120521527359</v>
      </c>
      <c r="U35" s="23">
        <v>2265.648296891985</v>
      </c>
      <c r="V35" s="23">
        <v>2389.6148424701901</v>
      </c>
      <c r="W35" s="23">
        <v>2433.9589610341741</v>
      </c>
      <c r="X35" s="23">
        <v>1948.6715088597198</v>
      </c>
      <c r="Y35" s="23">
        <v>2239.6786848496167</v>
      </c>
    </row>
    <row r="36" spans="1:25" ht="12.75" customHeight="1" x14ac:dyDescent="0.2">
      <c r="A36" s="151"/>
      <c r="B36" s="21" t="s">
        <v>81</v>
      </c>
      <c r="C36" s="22" t="s">
        <v>82</v>
      </c>
      <c r="D36" s="23">
        <v>855.41595141583605</v>
      </c>
      <c r="E36" s="23">
        <v>978.06410392929399</v>
      </c>
      <c r="F36" s="23">
        <v>1147.4511702574951</v>
      </c>
      <c r="G36" s="23">
        <v>1099.2312983455415</v>
      </c>
      <c r="H36" s="23">
        <v>1227.2570209825203</v>
      </c>
      <c r="I36" s="23">
        <v>1231.0909724642731</v>
      </c>
      <c r="J36" s="23">
        <v>1230.9308537389497</v>
      </c>
      <c r="K36" s="23">
        <v>1266.2958942739162</v>
      </c>
      <c r="L36" s="23">
        <v>1261.8736981848976</v>
      </c>
      <c r="M36" s="23">
        <v>1247.3958639846519</v>
      </c>
      <c r="N36" s="23">
        <v>1461.6435401538574</v>
      </c>
      <c r="O36" s="23">
        <v>1469.2639348373921</v>
      </c>
      <c r="P36" s="23">
        <v>1440.0402552549119</v>
      </c>
      <c r="Q36" s="23">
        <v>1506.1123600532385</v>
      </c>
      <c r="R36" s="23">
        <v>1525.1431787334063</v>
      </c>
      <c r="S36" s="23">
        <v>1416.5</v>
      </c>
      <c r="T36" s="23">
        <v>1441.9221668927148</v>
      </c>
      <c r="U36" s="23">
        <v>1587.2908991217523</v>
      </c>
      <c r="V36" s="23">
        <v>1647.3008495561737</v>
      </c>
      <c r="W36" s="23">
        <v>1632.2525361417474</v>
      </c>
      <c r="X36" s="23">
        <v>1341.4679687062383</v>
      </c>
      <c r="Y36" s="23">
        <v>1453.5774332150195</v>
      </c>
    </row>
    <row r="37" spans="1:25" ht="12.75" customHeight="1" x14ac:dyDescent="0.2">
      <c r="A37" s="151"/>
      <c r="B37" s="21" t="s">
        <v>83</v>
      </c>
      <c r="C37" s="22" t="s">
        <v>84</v>
      </c>
      <c r="D37" s="23">
        <v>124.77821213738588</v>
      </c>
      <c r="E37" s="23">
        <v>122.99009690128847</v>
      </c>
      <c r="F37" s="23">
        <v>119.25541809471633</v>
      </c>
      <c r="G37" s="23">
        <v>136.48376313852316</v>
      </c>
      <c r="H37" s="23">
        <v>135.47487697641998</v>
      </c>
      <c r="I37" s="23">
        <v>167.65423492506102</v>
      </c>
      <c r="J37" s="23">
        <v>218.93894520379538</v>
      </c>
      <c r="K37" s="23">
        <v>264.53901502859128</v>
      </c>
      <c r="L37" s="23">
        <v>258.64634118427978</v>
      </c>
      <c r="M37" s="23">
        <v>225.27983427690353</v>
      </c>
      <c r="N37" s="23">
        <v>41.939271934239223</v>
      </c>
      <c r="O37" s="23">
        <v>68.793369083591116</v>
      </c>
      <c r="P37" s="23">
        <v>72.733926488415179</v>
      </c>
      <c r="Q37" s="23">
        <v>61.403214441499173</v>
      </c>
      <c r="R37" s="23">
        <v>69.078911069178233</v>
      </c>
      <c r="S37" s="23">
        <v>64.3</v>
      </c>
      <c r="T37" s="23">
        <v>73.457346229618565</v>
      </c>
      <c r="U37" s="23">
        <v>162.27863443539155</v>
      </c>
      <c r="V37" s="23">
        <v>180.95927463903388</v>
      </c>
      <c r="W37" s="23">
        <v>171.74816411900747</v>
      </c>
      <c r="X37" s="23">
        <v>167.11167541124408</v>
      </c>
      <c r="Y37" s="23">
        <v>191.85503456005978</v>
      </c>
    </row>
    <row r="38" spans="1:25" ht="12.75" customHeight="1" x14ac:dyDescent="0.2">
      <c r="A38" s="151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</row>
    <row r="39" spans="1:25" ht="12.75" customHeight="1" x14ac:dyDescent="0.2">
      <c r="A39" s="152"/>
      <c r="B39" s="28" t="s">
        <v>52</v>
      </c>
      <c r="C39" s="29" t="s">
        <v>53</v>
      </c>
      <c r="D39" s="30">
        <f>SUM(D18:D38)</f>
        <v>139523.39050531568</v>
      </c>
      <c r="E39" s="30">
        <f t="shared" ref="E39:S39" si="2">SUM(E18:E38)</f>
        <v>144837.87669044826</v>
      </c>
      <c r="F39" s="30">
        <f t="shared" si="2"/>
        <v>153661.88031138916</v>
      </c>
      <c r="G39" s="30">
        <f t="shared" si="2"/>
        <v>155655.32721107319</v>
      </c>
      <c r="H39" s="30">
        <f t="shared" si="2"/>
        <v>163748.49571651552</v>
      </c>
      <c r="I39" s="30">
        <f t="shared" si="2"/>
        <v>173722.20285813877</v>
      </c>
      <c r="J39" s="30">
        <f t="shared" si="2"/>
        <v>181698.2017725225</v>
      </c>
      <c r="K39" s="30">
        <f t="shared" si="2"/>
        <v>195904.23329565924</v>
      </c>
      <c r="L39" s="30">
        <f t="shared" si="2"/>
        <v>191507.01549589139</v>
      </c>
      <c r="M39" s="30">
        <f t="shared" si="2"/>
        <v>179300.97338778965</v>
      </c>
      <c r="N39" s="30">
        <f t="shared" si="2"/>
        <v>182524.145037985</v>
      </c>
      <c r="O39" s="30">
        <f t="shared" si="2"/>
        <v>185470.86433613204</v>
      </c>
      <c r="P39" s="30">
        <f t="shared" si="2"/>
        <v>181025.13666201601</v>
      </c>
      <c r="Q39" s="30">
        <f t="shared" si="2"/>
        <v>183378.74263217344</v>
      </c>
      <c r="R39" s="30">
        <f t="shared" si="2"/>
        <v>197423.77594597283</v>
      </c>
      <c r="S39" s="30">
        <f t="shared" si="2"/>
        <v>244655.49999999991</v>
      </c>
      <c r="T39" s="30">
        <f t="shared" ref="T39:Y39" si="3">SUM(T18:T38)</f>
        <v>247828.25632851871</v>
      </c>
      <c r="U39" s="30">
        <f t="shared" si="3"/>
        <v>264944.15960445179</v>
      </c>
      <c r="V39" s="30">
        <f t="shared" si="3"/>
        <v>292069.98361842363</v>
      </c>
      <c r="W39" s="30">
        <f t="shared" si="3"/>
        <v>307784.22754788952</v>
      </c>
      <c r="X39" s="30">
        <f t="shared" si="3"/>
        <v>332529.92139216163</v>
      </c>
      <c r="Y39" s="30">
        <f t="shared" si="3"/>
        <v>381478.7969362975</v>
      </c>
    </row>
    <row r="40" spans="1:25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ht="12.75" customHeight="1" x14ac:dyDescent="0.2">
      <c r="A41" s="150" t="s">
        <v>87</v>
      </c>
      <c r="B41" s="17" t="s">
        <v>88</v>
      </c>
      <c r="C41" s="18" t="s">
        <v>89</v>
      </c>
      <c r="D41" s="19">
        <v>5196.3994633815619</v>
      </c>
      <c r="E41" s="19">
        <v>6047.0130976466826</v>
      </c>
      <c r="F41" s="19">
        <v>6405.2645661064898</v>
      </c>
      <c r="G41" s="19">
        <v>7141.8055438232341</v>
      </c>
      <c r="H41" s="19">
        <v>6918.512516830102</v>
      </c>
      <c r="I41" s="19">
        <v>6660.044150110376</v>
      </c>
      <c r="J41" s="19">
        <v>6849.6932172513607</v>
      </c>
      <c r="K41" s="19">
        <v>7100.0302138468942</v>
      </c>
      <c r="L41" s="19">
        <v>7030.3737782965964</v>
      </c>
      <c r="M41" s="19">
        <v>6985.4403785266186</v>
      </c>
      <c r="N41" s="19">
        <v>7787.6434922232611</v>
      </c>
      <c r="O41" s="19">
        <v>7640.7218526436482</v>
      </c>
      <c r="P41" s="19">
        <v>7511.2646096841345</v>
      </c>
      <c r="Q41" s="19">
        <v>8369.2916820454302</v>
      </c>
      <c r="R41" s="19">
        <v>9234.2834442347812</v>
      </c>
      <c r="S41" s="19">
        <v>8722.7000000000007</v>
      </c>
      <c r="T41" s="19">
        <v>8730.3363000069312</v>
      </c>
      <c r="U41" s="19">
        <v>8199.3516550112054</v>
      </c>
      <c r="V41" s="19">
        <v>8363.7471903691567</v>
      </c>
      <c r="W41" s="19">
        <v>6917.4705844413111</v>
      </c>
      <c r="X41" s="19">
        <v>7016.2630468472835</v>
      </c>
      <c r="Y41" s="19">
        <v>7444.7973099196706</v>
      </c>
    </row>
    <row r="42" spans="1:25" ht="12.75" customHeight="1" x14ac:dyDescent="0.2">
      <c r="A42" s="151"/>
      <c r="B42" s="21" t="s">
        <v>90</v>
      </c>
      <c r="C42" s="22" t="s">
        <v>91</v>
      </c>
      <c r="D42" s="23">
        <v>496.08355091383817</v>
      </c>
      <c r="E42" s="23">
        <v>499.41433287189864</v>
      </c>
      <c r="F42" s="23">
        <v>411.40571049982799</v>
      </c>
      <c r="G42" s="23">
        <v>365.76683118732427</v>
      </c>
      <c r="H42" s="23">
        <v>318.61022078711255</v>
      </c>
      <c r="I42" s="23">
        <v>303.70628558150344</v>
      </c>
      <c r="J42" s="23">
        <v>269.79000189992956</v>
      </c>
      <c r="K42" s="23">
        <v>293.63383055627042</v>
      </c>
      <c r="L42" s="23">
        <v>244.56957128796722</v>
      </c>
      <c r="M42" s="23">
        <v>219.39478113487365</v>
      </c>
      <c r="N42" s="23">
        <v>182.49574615956098</v>
      </c>
      <c r="O42" s="23">
        <v>150.72436073522914</v>
      </c>
      <c r="P42" s="23">
        <v>140.55030763248783</v>
      </c>
      <c r="Q42" s="23">
        <v>148.41906295786774</v>
      </c>
      <c r="R42" s="23">
        <v>158.79321570055507</v>
      </c>
      <c r="S42" s="23">
        <v>155.19999999999999</v>
      </c>
      <c r="T42" s="23">
        <v>148.59767748067043</v>
      </c>
      <c r="U42" s="23">
        <v>139.19216599170809</v>
      </c>
      <c r="V42" s="23">
        <v>140.10057526000992</v>
      </c>
      <c r="W42" s="23">
        <v>138.30149911085311</v>
      </c>
      <c r="X42" s="23">
        <v>132.38232163862801</v>
      </c>
      <c r="Y42" s="23">
        <v>154.02577993648421</v>
      </c>
    </row>
    <row r="43" spans="1:25" ht="12.75" customHeight="1" x14ac:dyDescent="0.2">
      <c r="A43" s="151"/>
      <c r="B43" s="21" t="s">
        <v>92</v>
      </c>
      <c r="C43" s="22" t="s">
        <v>93</v>
      </c>
      <c r="D43" s="23">
        <v>1498.2040592588319</v>
      </c>
      <c r="E43" s="23">
        <v>1668.0864657650943</v>
      </c>
      <c r="F43" s="23">
        <v>1617.0830838227987</v>
      </c>
      <c r="G43" s="23">
        <v>1648.1832333739605</v>
      </c>
      <c r="H43" s="23">
        <v>1698.499886806391</v>
      </c>
      <c r="I43" s="23">
        <v>1784.0130126641106</v>
      </c>
      <c r="J43" s="23">
        <v>1780.6810688780356</v>
      </c>
      <c r="K43" s="23">
        <v>1429.6744737754998</v>
      </c>
      <c r="L43" s="23">
        <v>1101.1925198562567</v>
      </c>
      <c r="M43" s="23">
        <v>975.50640882287166</v>
      </c>
      <c r="N43" s="23">
        <v>883.72037290004084</v>
      </c>
      <c r="O43" s="23">
        <v>725.55506455349996</v>
      </c>
      <c r="P43" s="23">
        <v>651.51757736556817</v>
      </c>
      <c r="Q43" s="23">
        <v>720.17358431477805</v>
      </c>
      <c r="R43" s="23">
        <v>815.7049690469097</v>
      </c>
      <c r="S43" s="23">
        <v>762.3</v>
      </c>
      <c r="T43" s="23">
        <v>707.64570195325268</v>
      </c>
      <c r="U43" s="23">
        <v>722.70265590580721</v>
      </c>
      <c r="V43" s="23">
        <v>768.41022515143436</v>
      </c>
      <c r="W43" s="23">
        <v>765.40343312049083</v>
      </c>
      <c r="X43" s="23">
        <v>749.85529435928072</v>
      </c>
      <c r="Y43" s="23">
        <v>840.74350831309539</v>
      </c>
    </row>
    <row r="44" spans="1:25" ht="12.75" customHeight="1" x14ac:dyDescent="0.2">
      <c r="A44" s="151"/>
      <c r="B44" s="21" t="s">
        <v>94</v>
      </c>
      <c r="C44" s="22" t="s">
        <v>95</v>
      </c>
      <c r="D44" s="23">
        <v>0</v>
      </c>
      <c r="E44" s="23">
        <v>0</v>
      </c>
      <c r="F44" s="23">
        <v>0</v>
      </c>
      <c r="G44" s="23">
        <v>0</v>
      </c>
      <c r="H44" s="23">
        <v>0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  <c r="P44" s="23">
        <v>0</v>
      </c>
      <c r="Q44" s="23">
        <v>0</v>
      </c>
      <c r="R44" s="23">
        <v>0</v>
      </c>
      <c r="S44" s="23">
        <v>0</v>
      </c>
      <c r="T44" s="23">
        <v>0</v>
      </c>
      <c r="U44" s="23">
        <v>0</v>
      </c>
      <c r="V44" s="23">
        <v>0</v>
      </c>
      <c r="W44" s="23">
        <v>0</v>
      </c>
      <c r="X44" s="23">
        <v>0</v>
      </c>
      <c r="Y44" s="23">
        <v>0</v>
      </c>
    </row>
    <row r="45" spans="1:25" ht="12.75" customHeight="1" x14ac:dyDescent="0.2">
      <c r="A45" s="151"/>
      <c r="B45" s="21" t="s">
        <v>96</v>
      </c>
      <c r="C45" s="22" t="s">
        <v>97</v>
      </c>
      <c r="D45" s="23">
        <v>2776.567661526482</v>
      </c>
      <c r="E45" s="23">
        <v>1052.7366627622259</v>
      </c>
      <c r="F45" s="23">
        <v>1100.9466535859517</v>
      </c>
      <c r="G45" s="23">
        <v>850.15748126515098</v>
      </c>
      <c r="H45" s="23">
        <v>1043.8833748376546</v>
      </c>
      <c r="I45" s="23">
        <v>869.75717439293442</v>
      </c>
      <c r="J45" s="23">
        <v>802.77613241391964</v>
      </c>
      <c r="K45" s="23">
        <v>2056.1082327137647</v>
      </c>
      <c r="L45" s="23">
        <v>1787.5208862642787</v>
      </c>
      <c r="M45" s="23">
        <v>2077.0706559480282</v>
      </c>
      <c r="N45" s="23">
        <v>1946.7011766961423</v>
      </c>
      <c r="O45" s="23">
        <v>2880.364031578064</v>
      </c>
      <c r="P45" s="23">
        <v>3592.5527778413134</v>
      </c>
      <c r="Q45" s="23">
        <v>4026.5521368094996</v>
      </c>
      <c r="R45" s="23">
        <v>4060.9792432217764</v>
      </c>
      <c r="S45" s="23">
        <v>3770.0095289941632</v>
      </c>
      <c r="T45" s="23">
        <v>4385.1531517965659</v>
      </c>
      <c r="U45" s="23">
        <v>4546.6557833654997</v>
      </c>
      <c r="V45" s="23">
        <v>4593.8667922783634</v>
      </c>
      <c r="W45" s="23">
        <v>4821.3719244866161</v>
      </c>
      <c r="X45" s="23">
        <v>5134.7904953219995</v>
      </c>
      <c r="Y45" s="23">
        <v>5513.4063858369373</v>
      </c>
    </row>
    <row r="46" spans="1:25" ht="12.75" customHeight="1" x14ac:dyDescent="0.2">
      <c r="A46" s="151"/>
      <c r="B46" s="21" t="s">
        <v>98</v>
      </c>
      <c r="C46" s="22" t="s">
        <v>99</v>
      </c>
      <c r="D46" s="23">
        <v>12452.144309969277</v>
      </c>
      <c r="E46" s="23">
        <v>16649.052284101799</v>
      </c>
      <c r="F46" s="23">
        <v>22181.125536713087</v>
      </c>
      <c r="G46" s="23">
        <v>17109.826589595374</v>
      </c>
      <c r="H46" s="23">
        <v>14905.334397750425</v>
      </c>
      <c r="I46" s="23">
        <v>14335.88939235506</v>
      </c>
      <c r="J46" s="23">
        <v>13342.758474244778</v>
      </c>
      <c r="K46" s="23">
        <v>14106.733211731926</v>
      </c>
      <c r="L46" s="23">
        <v>13892.169653688572</v>
      </c>
      <c r="M46" s="23">
        <v>17684.113887548407</v>
      </c>
      <c r="N46" s="23">
        <v>17721.139789584682</v>
      </c>
      <c r="O46" s="23">
        <v>18971.324152921927</v>
      </c>
      <c r="P46" s="23">
        <v>16279.934127764691</v>
      </c>
      <c r="Q46" s="23">
        <v>13694.706349472648</v>
      </c>
      <c r="R46" s="23">
        <v>15566.149126582141</v>
      </c>
      <c r="S46" s="23">
        <v>66150.829943608071</v>
      </c>
      <c r="T46" s="23">
        <v>61449.993684798537</v>
      </c>
      <c r="U46" s="23">
        <v>64122.377187724429</v>
      </c>
      <c r="V46" s="23">
        <v>74393.252970883535</v>
      </c>
      <c r="W46" s="23">
        <v>73057.077154659972</v>
      </c>
      <c r="X46" s="23">
        <v>86924.293358386712</v>
      </c>
      <c r="Y46" s="23">
        <v>106170.91968300965</v>
      </c>
    </row>
    <row r="47" spans="1:25" ht="12.75" customHeight="1" x14ac:dyDescent="0.2">
      <c r="A47" s="151"/>
      <c r="B47" s="21" t="s">
        <v>100</v>
      </c>
      <c r="C47" s="22" t="s">
        <v>101</v>
      </c>
      <c r="D47" s="23">
        <v>1914.2276012290295</v>
      </c>
      <c r="E47" s="23">
        <v>1886.6467894792886</v>
      </c>
      <c r="F47" s="23">
        <v>1776.0903079490872</v>
      </c>
      <c r="G47" s="23">
        <v>1787.442528388864</v>
      </c>
      <c r="H47" s="23">
        <v>1839.4557174687525</v>
      </c>
      <c r="I47" s="23">
        <v>1953.9909376089231</v>
      </c>
      <c r="J47" s="23">
        <v>2017.2781832202688</v>
      </c>
      <c r="K47" s="23">
        <v>2087.3292078376958</v>
      </c>
      <c r="L47" s="23">
        <v>1624.5508022614388</v>
      </c>
      <c r="M47" s="23">
        <v>1129.812502206895</v>
      </c>
      <c r="N47" s="23">
        <v>888.9927385146309</v>
      </c>
      <c r="O47" s="23">
        <v>935.39872684494026</v>
      </c>
      <c r="P47" s="23">
        <v>856.33905903341645</v>
      </c>
      <c r="Q47" s="23">
        <v>995.20182531959858</v>
      </c>
      <c r="R47" s="23">
        <v>1234.2613742951414</v>
      </c>
      <c r="S47" s="23">
        <v>1136.4000000000001</v>
      </c>
      <c r="T47" s="23">
        <v>1344.2100365306749</v>
      </c>
      <c r="U47" s="23">
        <v>1399.3285685427629</v>
      </c>
      <c r="V47" s="23">
        <v>1415.4824945712219</v>
      </c>
      <c r="W47" s="23">
        <v>1493.5824787387935</v>
      </c>
      <c r="X47" s="23">
        <v>1601.8447635229754</v>
      </c>
      <c r="Y47" s="23">
        <v>1733.6073229964506</v>
      </c>
    </row>
    <row r="48" spans="1:25" ht="12.75" customHeight="1" x14ac:dyDescent="0.2">
      <c r="A48" s="151"/>
      <c r="B48" s="21" t="s">
        <v>102</v>
      </c>
      <c r="C48" s="22" t="s">
        <v>103</v>
      </c>
      <c r="D48" s="23">
        <v>1180.2720597781401</v>
      </c>
      <c r="E48" s="23">
        <v>1139.5218826536045</v>
      </c>
      <c r="F48" s="23">
        <v>1076.611413355078</v>
      </c>
      <c r="G48" s="23">
        <v>1066.0455911279519</v>
      </c>
      <c r="H48" s="23">
        <v>1193.2989383631011</v>
      </c>
      <c r="I48" s="23">
        <v>1273.4983153247356</v>
      </c>
      <c r="J48" s="23">
        <v>1453.5578975602666</v>
      </c>
      <c r="K48" s="23">
        <v>1498.9425153587056</v>
      </c>
      <c r="L48" s="23">
        <v>1423.8137746343471</v>
      </c>
      <c r="M48" s="23">
        <v>991.98455762055528</v>
      </c>
      <c r="N48" s="23">
        <v>878.80748675917278</v>
      </c>
      <c r="O48" s="23">
        <v>811.90507470529928</v>
      </c>
      <c r="P48" s="23">
        <v>803.27531392237142</v>
      </c>
      <c r="Q48" s="23">
        <v>905.72537440302426</v>
      </c>
      <c r="R48" s="23">
        <v>1030.2247823352204</v>
      </c>
      <c r="S48" s="23">
        <v>1034.5999999999999</v>
      </c>
      <c r="T48" s="23">
        <v>1090.3762956509688</v>
      </c>
      <c r="U48" s="23">
        <v>1244.0720682589917</v>
      </c>
      <c r="V48" s="23">
        <v>1251.3810049906663</v>
      </c>
      <c r="W48" s="23">
        <v>1315.6609632270963</v>
      </c>
      <c r="X48" s="23">
        <v>1201.7103273148234</v>
      </c>
      <c r="Y48" s="23">
        <v>1197.6461797123109</v>
      </c>
    </row>
    <row r="49" spans="1:25" ht="12.75" customHeight="1" x14ac:dyDescent="0.2">
      <c r="A49" s="151"/>
      <c r="B49" s="21" t="s">
        <v>104</v>
      </c>
      <c r="C49" s="22" t="s">
        <v>105</v>
      </c>
      <c r="D49" s="23">
        <v>5290.8846991618948</v>
      </c>
      <c r="E49" s="23">
        <v>6326.6691513150899</v>
      </c>
      <c r="F49" s="23">
        <v>5726.9356708754312</v>
      </c>
      <c r="G49" s="23">
        <v>4930.7927160389536</v>
      </c>
      <c r="H49" s="23">
        <v>5409.4629856899446</v>
      </c>
      <c r="I49" s="23">
        <v>5445.683745788313</v>
      </c>
      <c r="J49" s="23">
        <v>5390.3237703543928</v>
      </c>
      <c r="K49" s="23">
        <v>4316.2158835312157</v>
      </c>
      <c r="L49" s="23">
        <v>3569.2050630593512</v>
      </c>
      <c r="M49" s="23">
        <v>4067.5133296453669</v>
      </c>
      <c r="N49" s="23">
        <v>3793.4670596975584</v>
      </c>
      <c r="O49" s="23">
        <v>3369.8001887040332</v>
      </c>
      <c r="P49" s="23">
        <v>3303.6755792410972</v>
      </c>
      <c r="Q49" s="23">
        <v>3058.5287834558039</v>
      </c>
      <c r="R49" s="23">
        <v>3044.3274737643596</v>
      </c>
      <c r="S49" s="23">
        <v>3338.6525622170839</v>
      </c>
      <c r="T49" s="23">
        <v>3632.6145483403643</v>
      </c>
      <c r="U49" s="23">
        <v>3851.1310391018219</v>
      </c>
      <c r="V49" s="23">
        <v>4300.3489663362998</v>
      </c>
      <c r="W49" s="23">
        <v>4408.0141403683974</v>
      </c>
      <c r="X49" s="23">
        <v>6361.9770415732137</v>
      </c>
      <c r="Y49" s="23">
        <v>7713.2543765528635</v>
      </c>
    </row>
    <row r="50" spans="1:25" ht="12.75" customHeight="1" x14ac:dyDescent="0.2">
      <c r="A50" s="151"/>
      <c r="B50" s="21" t="s">
        <v>106</v>
      </c>
      <c r="C50" s="22" t="s">
        <v>107</v>
      </c>
      <c r="D50" s="23">
        <v>817.62185710370295</v>
      </c>
      <c r="E50" s="23">
        <v>785.06016398679571</v>
      </c>
      <c r="F50" s="23">
        <v>665.20570285524991</v>
      </c>
      <c r="G50" s="23">
        <v>424.8977276841203</v>
      </c>
      <c r="H50" s="23">
        <v>179.91826229937922</v>
      </c>
      <c r="I50" s="23">
        <v>290.34506796793312</v>
      </c>
      <c r="J50" s="23">
        <v>346.23422779038185</v>
      </c>
      <c r="K50" s="23">
        <v>347.34733614583212</v>
      </c>
      <c r="L50" s="23">
        <v>414.06303646226741</v>
      </c>
      <c r="M50" s="23">
        <v>358.63513847530044</v>
      </c>
      <c r="N50" s="23">
        <v>150.74172598077985</v>
      </c>
      <c r="O50" s="23">
        <v>277.68156791553702</v>
      </c>
      <c r="P50" s="23">
        <v>299.51281992635114</v>
      </c>
      <c r="Q50" s="23">
        <v>326.92458253643366</v>
      </c>
      <c r="R50" s="23">
        <v>372.98197989428502</v>
      </c>
      <c r="S50" s="23">
        <v>357.9</v>
      </c>
      <c r="T50" s="23">
        <v>357.48581837621646</v>
      </c>
      <c r="U50" s="23">
        <v>376.98279096164765</v>
      </c>
      <c r="V50" s="23">
        <v>415.53963960531831</v>
      </c>
      <c r="W50" s="23">
        <v>386.15695054869116</v>
      </c>
      <c r="X50" s="23">
        <v>428.70213044046528</v>
      </c>
      <c r="Y50" s="23">
        <v>419.67121240425928</v>
      </c>
    </row>
    <row r="51" spans="1:25" ht="12.75" customHeight="1" x14ac:dyDescent="0.2">
      <c r="A51" s="151"/>
      <c r="B51" s="21" t="s">
        <v>108</v>
      </c>
      <c r="C51" s="22" t="s">
        <v>109</v>
      </c>
      <c r="D51" s="23">
        <v>779.82776279156997</v>
      </c>
      <c r="E51" s="23">
        <v>813.67798956447655</v>
      </c>
      <c r="F51" s="23">
        <v>1263.5213474842969</v>
      </c>
      <c r="G51" s="23">
        <v>1222.3201032980558</v>
      </c>
      <c r="H51" s="23">
        <v>1426.0011676814374</v>
      </c>
      <c r="I51" s="23">
        <v>1481.3523875914955</v>
      </c>
      <c r="J51" s="23">
        <v>1452.6638130469282</v>
      </c>
      <c r="K51" s="23">
        <v>1703.0538365990399</v>
      </c>
      <c r="L51" s="23">
        <v>1603.378424775115</v>
      </c>
      <c r="M51" s="23">
        <v>1132.8727298407505</v>
      </c>
      <c r="N51" s="23">
        <v>805.59350061111513</v>
      </c>
      <c r="O51" s="23">
        <v>952.11933738609082</v>
      </c>
      <c r="P51" s="23">
        <v>1018.7324169163561</v>
      </c>
      <c r="Q51" s="23">
        <v>1050.3416881969376</v>
      </c>
      <c r="R51" s="23">
        <v>1109.4558656382076</v>
      </c>
      <c r="S51" s="23">
        <v>1119.7</v>
      </c>
      <c r="T51" s="23">
        <v>1208.9772401025632</v>
      </c>
      <c r="U51" s="23">
        <v>1167.4057543022595</v>
      </c>
      <c r="V51" s="23">
        <v>1187.854775420016</v>
      </c>
      <c r="W51" s="23">
        <v>1214.8602703375072</v>
      </c>
      <c r="X51" s="23">
        <v>1695.8567507515356</v>
      </c>
      <c r="Y51" s="23">
        <v>1345.7874089295722</v>
      </c>
    </row>
    <row r="52" spans="1:25" ht="12.75" customHeight="1" x14ac:dyDescent="0.2">
      <c r="A52" s="151"/>
      <c r="B52" s="21" t="s">
        <v>110</v>
      </c>
      <c r="C52" s="22" t="s">
        <v>111</v>
      </c>
      <c r="D52" s="23">
        <v>504.59443474748645</v>
      </c>
      <c r="E52" s="23">
        <v>479.31530188478331</v>
      </c>
      <c r="F52" s="23">
        <v>444.27739625670495</v>
      </c>
      <c r="G52" s="23">
        <v>693.88296909505584</v>
      </c>
      <c r="H52" s="23">
        <v>488.99638971963725</v>
      </c>
      <c r="I52" s="23">
        <v>545.13767863367036</v>
      </c>
      <c r="J52" s="23">
        <v>478.33521463616347</v>
      </c>
      <c r="K52" s="23">
        <v>508.26404664122737</v>
      </c>
      <c r="L52" s="23">
        <v>490.85582183158232</v>
      </c>
      <c r="M52" s="23">
        <v>285.18967526276765</v>
      </c>
      <c r="N52" s="23">
        <v>250.67701967550988</v>
      </c>
      <c r="O52" s="23">
        <v>261.67755496900713</v>
      </c>
      <c r="P52" s="23">
        <v>251.3666201596487</v>
      </c>
      <c r="Q52" s="23">
        <v>277.15330671408918</v>
      </c>
      <c r="R52" s="23">
        <v>305.55831429801037</v>
      </c>
      <c r="S52" s="23">
        <v>332.3</v>
      </c>
      <c r="T52" s="23">
        <v>346.00192058290685</v>
      </c>
      <c r="U52" s="23">
        <v>345.81605856267498</v>
      </c>
      <c r="V52" s="23">
        <v>382.3002781058326</v>
      </c>
      <c r="W52" s="23">
        <v>350.03823792280542</v>
      </c>
      <c r="X52" s="23">
        <v>302.94826073155701</v>
      </c>
      <c r="Y52" s="23">
        <v>360.91911077900244</v>
      </c>
    </row>
    <row r="53" spans="1:25" ht="12.75" customHeight="1" x14ac:dyDescent="0.2">
      <c r="A53" s="151"/>
      <c r="B53" s="21" t="s">
        <v>112</v>
      </c>
      <c r="C53" s="22" t="s">
        <v>113</v>
      </c>
      <c r="D53" s="23">
        <v>3276.2575191494834</v>
      </c>
      <c r="E53" s="23">
        <v>3685.9759344052727</v>
      </c>
      <c r="F53" s="23">
        <v>3673.984226687222</v>
      </c>
      <c r="G53" s="23">
        <v>3794.2727503107526</v>
      </c>
      <c r="H53" s="23">
        <v>3914.1158387646428</v>
      </c>
      <c r="I53" s="23">
        <v>3823.3995584989316</v>
      </c>
      <c r="J53" s="23">
        <v>4199.6267197156558</v>
      </c>
      <c r="K53" s="23">
        <v>4187.4153732528939</v>
      </c>
      <c r="L53" s="23">
        <v>4453.8671061365385</v>
      </c>
      <c r="M53" s="23">
        <v>4773.6020056260677</v>
      </c>
      <c r="N53" s="23">
        <v>3808.6850240851345</v>
      </c>
      <c r="O53" s="23">
        <v>5296.7311206392042</v>
      </c>
      <c r="P53" s="23">
        <v>4338.9904165046319</v>
      </c>
      <c r="Q53" s="23">
        <v>4810.0303101477257</v>
      </c>
      <c r="R53" s="23">
        <v>5531.2786219529808</v>
      </c>
      <c r="S53" s="23">
        <v>4700.9079651806687</v>
      </c>
      <c r="T53" s="23">
        <v>4621.5952197907363</v>
      </c>
      <c r="U53" s="23">
        <v>5792.0227593379486</v>
      </c>
      <c r="V53" s="23">
        <v>5103.7080772373283</v>
      </c>
      <c r="W53" s="23">
        <v>8437.0167078790328</v>
      </c>
      <c r="X53" s="23">
        <v>8149.6954951059033</v>
      </c>
      <c r="Y53" s="23">
        <v>8953.7178919814505</v>
      </c>
    </row>
    <row r="54" spans="1:25" ht="12.75" customHeight="1" x14ac:dyDescent="0.2">
      <c r="A54" s="152"/>
      <c r="B54" s="28" t="s">
        <v>52</v>
      </c>
      <c r="C54" s="31" t="s">
        <v>58</v>
      </c>
      <c r="D54" s="30">
        <f>SUM(D41:D53)</f>
        <v>36183.084979011299</v>
      </c>
      <c r="E54" s="30">
        <f t="shared" ref="E54:S54" si="4">SUM(E41:E53)</f>
        <v>41033.170056437011</v>
      </c>
      <c r="F54" s="30">
        <f t="shared" si="4"/>
        <v>46342.45161619124</v>
      </c>
      <c r="G54" s="30">
        <f t="shared" si="4"/>
        <v>41035.394065188804</v>
      </c>
      <c r="H54" s="30">
        <f t="shared" si="4"/>
        <v>39336.08969699857</v>
      </c>
      <c r="I54" s="30">
        <f t="shared" si="4"/>
        <v>38766.817706517984</v>
      </c>
      <c r="J54" s="30">
        <f t="shared" si="4"/>
        <v>38383.718721012076</v>
      </c>
      <c r="K54" s="30">
        <f t="shared" si="4"/>
        <v>39634.748161990967</v>
      </c>
      <c r="L54" s="30">
        <f t="shared" si="4"/>
        <v>37635.560438554305</v>
      </c>
      <c r="M54" s="30">
        <f t="shared" si="4"/>
        <v>40681.136050658504</v>
      </c>
      <c r="N54" s="30">
        <f t="shared" si="4"/>
        <v>39098.665132887581</v>
      </c>
      <c r="O54" s="30">
        <f t="shared" si="4"/>
        <v>42274.003033596484</v>
      </c>
      <c r="P54" s="30">
        <f t="shared" si="4"/>
        <v>39047.711625992066</v>
      </c>
      <c r="Q54" s="30">
        <f t="shared" si="4"/>
        <v>38383.048686373841</v>
      </c>
      <c r="R54" s="30">
        <f t="shared" si="4"/>
        <v>42463.998410964363</v>
      </c>
      <c r="S54" s="30">
        <f t="shared" si="4"/>
        <v>91581.499999999985</v>
      </c>
      <c r="T54" s="30">
        <f t="shared" ref="T54:Y54" si="5">SUM(T41:T53)</f>
        <v>88022.987595410392</v>
      </c>
      <c r="U54" s="30">
        <f t="shared" si="5"/>
        <v>91907.038487066762</v>
      </c>
      <c r="V54" s="30">
        <f t="shared" si="5"/>
        <v>102315.99299020917</v>
      </c>
      <c r="W54" s="30">
        <f t="shared" si="5"/>
        <v>103304.95434484156</v>
      </c>
      <c r="X54" s="30">
        <f t="shared" si="5"/>
        <v>119700.3192859944</v>
      </c>
      <c r="Y54" s="30">
        <f t="shared" si="5"/>
        <v>141848.49617037177</v>
      </c>
    </row>
    <row r="55" spans="1:25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ht="12.75" customHeight="1" x14ac:dyDescent="0.2">
      <c r="A56" s="150" t="s">
        <v>114</v>
      </c>
      <c r="B56" s="17" t="s">
        <v>88</v>
      </c>
      <c r="C56" s="18" t="s">
        <v>89</v>
      </c>
      <c r="D56" s="19">
        <v>5196.3994633815619</v>
      </c>
      <c r="E56" s="19">
        <v>6047.0130976466826</v>
      </c>
      <c r="F56" s="19">
        <v>6405.2645661064898</v>
      </c>
      <c r="G56" s="19">
        <v>7141.8055438232341</v>
      </c>
      <c r="H56" s="19">
        <v>6918.512516830102</v>
      </c>
      <c r="I56" s="19">
        <v>6660.044150110376</v>
      </c>
      <c r="J56" s="19">
        <v>6849.6932172513607</v>
      </c>
      <c r="K56" s="19">
        <v>7100.0302138468942</v>
      </c>
      <c r="L56" s="19">
        <v>7030.3737782965964</v>
      </c>
      <c r="M56" s="19">
        <v>6985.4403785266186</v>
      </c>
      <c r="N56" s="19">
        <v>7787.6434922232611</v>
      </c>
      <c r="O56" s="19">
        <v>7640.7218526436482</v>
      </c>
      <c r="P56" s="19">
        <v>7511.2646096841345</v>
      </c>
      <c r="Q56" s="19">
        <v>8369.2916820454302</v>
      </c>
      <c r="R56" s="19">
        <v>9234.2834442347812</v>
      </c>
      <c r="S56" s="19">
        <v>8722.7000000000007</v>
      </c>
      <c r="T56" s="19">
        <v>8730.3363000069312</v>
      </c>
      <c r="U56" s="19">
        <v>8199.3516550112054</v>
      </c>
      <c r="V56" s="19">
        <v>8363.7471903691567</v>
      </c>
      <c r="W56" s="19">
        <v>6917.4705844413111</v>
      </c>
      <c r="X56" s="19">
        <v>7016.2630468472835</v>
      </c>
      <c r="Y56" s="19">
        <v>7444.7973099196706</v>
      </c>
    </row>
    <row r="57" spans="1:25" ht="12.75" customHeight="1" x14ac:dyDescent="0.2">
      <c r="A57" s="151"/>
      <c r="B57" s="21" t="s">
        <v>90</v>
      </c>
      <c r="C57" s="22" t="s">
        <v>91</v>
      </c>
      <c r="D57" s="23">
        <v>496.08355091383817</v>
      </c>
      <c r="E57" s="23">
        <v>499.41433287189864</v>
      </c>
      <c r="F57" s="23">
        <v>411.40571049982799</v>
      </c>
      <c r="G57" s="23">
        <v>365.76683118732427</v>
      </c>
      <c r="H57" s="23">
        <v>318.61022078711255</v>
      </c>
      <c r="I57" s="23">
        <v>303.70628558150344</v>
      </c>
      <c r="J57" s="23">
        <v>269.79000189992956</v>
      </c>
      <c r="K57" s="23">
        <v>293.63383055627042</v>
      </c>
      <c r="L57" s="23">
        <v>244.56957128796722</v>
      </c>
      <c r="M57" s="23">
        <v>219.39478113487365</v>
      </c>
      <c r="N57" s="23">
        <v>182.49574615956098</v>
      </c>
      <c r="O57" s="23">
        <v>150.72436073522914</v>
      </c>
      <c r="P57" s="23">
        <v>140.55030763248783</v>
      </c>
      <c r="Q57" s="23">
        <v>148.41906295786774</v>
      </c>
      <c r="R57" s="23">
        <v>158.79321570055507</v>
      </c>
      <c r="S57" s="23">
        <v>155.19999999999999</v>
      </c>
      <c r="T57" s="23">
        <v>148.59767748067043</v>
      </c>
      <c r="U57" s="23">
        <v>139.19216599170809</v>
      </c>
      <c r="V57" s="23">
        <v>140.10057526000992</v>
      </c>
      <c r="W57" s="23">
        <v>138.30149911085311</v>
      </c>
      <c r="X57" s="23">
        <v>132.38232163862801</v>
      </c>
      <c r="Y57" s="23">
        <v>154.02577993648421</v>
      </c>
    </row>
    <row r="58" spans="1:25" ht="12.75" customHeight="1" x14ac:dyDescent="0.2">
      <c r="A58" s="151"/>
      <c r="B58" s="21" t="s">
        <v>115</v>
      </c>
      <c r="C58" s="22" t="s">
        <v>116</v>
      </c>
      <c r="D58" s="23">
        <v>539.35923142391414</v>
      </c>
      <c r="E58" s="23">
        <v>424.87488020445107</v>
      </c>
      <c r="F58" s="23">
        <v>440.70992648464079</v>
      </c>
      <c r="G58" s="23">
        <v>468.22016001544642</v>
      </c>
      <c r="H58" s="23">
        <v>541.06544973608015</v>
      </c>
      <c r="I58" s="23">
        <v>538.63134657836645</v>
      </c>
      <c r="J58" s="23">
        <v>580.37260972093372</v>
      </c>
      <c r="K58" s="23">
        <v>617.59341114331437</v>
      </c>
      <c r="L58" s="23">
        <v>361.30376067202269</v>
      </c>
      <c r="M58" s="23">
        <v>237.87384800084746</v>
      </c>
      <c r="N58" s="23">
        <v>196.99475159968367</v>
      </c>
      <c r="O58" s="23">
        <v>147.02193982968865</v>
      </c>
      <c r="P58" s="23">
        <v>146.72582969282499</v>
      </c>
      <c r="Q58" s="23">
        <v>180.51873972418883</v>
      </c>
      <c r="R58" s="23">
        <v>197.63630946469362</v>
      </c>
      <c r="S58" s="23">
        <v>203</v>
      </c>
      <c r="T58" s="23">
        <v>215.22408450564791</v>
      </c>
      <c r="U58" s="23">
        <v>251.35392518060354</v>
      </c>
      <c r="V58" s="23">
        <v>289.34435597546576</v>
      </c>
      <c r="W58" s="23">
        <v>305.62696372465007</v>
      </c>
      <c r="X58" s="23">
        <v>294.7327146778199</v>
      </c>
      <c r="Y58" s="23">
        <v>421.63272931066689</v>
      </c>
    </row>
    <row r="59" spans="1:25" ht="12.75" customHeight="1" x14ac:dyDescent="0.2">
      <c r="A59" s="151"/>
      <c r="B59" s="21" t="s">
        <v>117</v>
      </c>
      <c r="C59" s="22" t="s">
        <v>118</v>
      </c>
      <c r="D59" s="23">
        <v>392.22191768965564</v>
      </c>
      <c r="E59" s="23">
        <v>364.17846874667237</v>
      </c>
      <c r="F59" s="23">
        <v>389.87348223272647</v>
      </c>
      <c r="G59" s="23">
        <v>390.74661807474627</v>
      </c>
      <c r="H59" s="23">
        <v>324.09117447305391</v>
      </c>
      <c r="I59" s="23">
        <v>281.16649238991522</v>
      </c>
      <c r="J59" s="23">
        <v>257.60810040569083</v>
      </c>
      <c r="K59" s="23">
        <v>258.16053623983078</v>
      </c>
      <c r="L59" s="23">
        <v>232.43837121472225</v>
      </c>
      <c r="M59" s="23">
        <v>198.91479620060969</v>
      </c>
      <c r="N59" s="23">
        <v>223.47640616387471</v>
      </c>
      <c r="O59" s="23">
        <v>179.38826452005875</v>
      </c>
      <c r="P59" s="23">
        <v>181.14864710322271</v>
      </c>
      <c r="Q59" s="23">
        <v>190.36114932501201</v>
      </c>
      <c r="R59" s="23">
        <v>215.40261087385926</v>
      </c>
      <c r="S59" s="23">
        <v>189.3</v>
      </c>
      <c r="T59" s="23">
        <v>182.15837879042877</v>
      </c>
      <c r="U59" s="23">
        <v>204.21905210808316</v>
      </c>
      <c r="V59" s="23">
        <v>213.15097718008306</v>
      </c>
      <c r="W59" s="23">
        <v>200.1271526107748</v>
      </c>
      <c r="X59" s="23">
        <v>221.91310192878615</v>
      </c>
      <c r="Y59" s="23">
        <v>227.25574444236875</v>
      </c>
    </row>
    <row r="60" spans="1:25" ht="12.75" customHeight="1" x14ac:dyDescent="0.2">
      <c r="A60" s="151"/>
      <c r="B60" s="21" t="s">
        <v>119</v>
      </c>
      <c r="C60" s="22" t="s">
        <v>7</v>
      </c>
      <c r="D60" s="23">
        <v>566.62291014526204</v>
      </c>
      <c r="E60" s="23">
        <v>879.03311681397088</v>
      </c>
      <c r="F60" s="23">
        <v>786.49967510543138</v>
      </c>
      <c r="G60" s="23">
        <v>789.2164552837678</v>
      </c>
      <c r="H60" s="23">
        <v>833.34326259725697</v>
      </c>
      <c r="I60" s="23">
        <v>964.21517369582898</v>
      </c>
      <c r="J60" s="23">
        <v>942.70035875141104</v>
      </c>
      <c r="K60" s="23">
        <v>553.92052639235465</v>
      </c>
      <c r="L60" s="23">
        <v>507.45038796951178</v>
      </c>
      <c r="M60" s="23">
        <v>538.71776462141452</v>
      </c>
      <c r="N60" s="23">
        <v>463.24921513648246</v>
      </c>
      <c r="O60" s="23">
        <v>399.1448602037525</v>
      </c>
      <c r="P60" s="23">
        <v>323.64310056952047</v>
      </c>
      <c r="Q60" s="23">
        <v>349.29369526557718</v>
      </c>
      <c r="R60" s="23">
        <v>402.66604870835675</v>
      </c>
      <c r="S60" s="23">
        <v>369.99999999999994</v>
      </c>
      <c r="T60" s="23">
        <v>310.26323865717598</v>
      </c>
      <c r="U60" s="23">
        <v>267.12967861712048</v>
      </c>
      <c r="V60" s="23">
        <v>265.91489199588557</v>
      </c>
      <c r="W60" s="23">
        <v>259.64931678506593</v>
      </c>
      <c r="X60" s="23">
        <v>233.20947775267467</v>
      </c>
      <c r="Y60" s="23">
        <v>191.85503456005975</v>
      </c>
    </row>
    <row r="61" spans="1:25" ht="12.75" customHeight="1" x14ac:dyDescent="0.2">
      <c r="A61" s="151"/>
      <c r="B61" s="21" t="s">
        <v>94</v>
      </c>
      <c r="C61" s="22" t="s">
        <v>95</v>
      </c>
      <c r="D61" s="23">
        <v>0</v>
      </c>
      <c r="E61" s="23">
        <v>0</v>
      </c>
      <c r="F61" s="23">
        <v>0</v>
      </c>
      <c r="G61" s="23">
        <v>0</v>
      </c>
      <c r="H61" s="23">
        <v>0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  <c r="P61" s="23">
        <v>0</v>
      </c>
      <c r="Q61" s="23">
        <v>0</v>
      </c>
      <c r="R61" s="23">
        <v>0</v>
      </c>
      <c r="S61" s="23">
        <v>0</v>
      </c>
      <c r="T61" s="23">
        <v>0</v>
      </c>
      <c r="U61" s="23">
        <v>0</v>
      </c>
      <c r="V61" s="23">
        <v>0</v>
      </c>
      <c r="W61" s="23">
        <v>0</v>
      </c>
      <c r="X61" s="23">
        <v>0</v>
      </c>
      <c r="Y61" s="23">
        <v>0</v>
      </c>
    </row>
    <row r="62" spans="1:25" ht="12.75" customHeight="1" x14ac:dyDescent="0.2">
      <c r="A62" s="151"/>
      <c r="B62" s="21" t="s">
        <v>96</v>
      </c>
      <c r="C62" s="22" t="s">
        <v>97</v>
      </c>
      <c r="D62" s="23">
        <v>2776.567661526482</v>
      </c>
      <c r="E62" s="23">
        <v>1052.7366627622259</v>
      </c>
      <c r="F62" s="23">
        <v>1100.9466535859517</v>
      </c>
      <c r="G62" s="23">
        <v>850.15748126515098</v>
      </c>
      <c r="H62" s="23">
        <v>1043.8833748376546</v>
      </c>
      <c r="I62" s="23">
        <v>869.75717439293442</v>
      </c>
      <c r="J62" s="23">
        <v>802.77613241391964</v>
      </c>
      <c r="K62" s="23">
        <v>2056.1082327137647</v>
      </c>
      <c r="L62" s="23">
        <v>1787.5208862642787</v>
      </c>
      <c r="M62" s="23">
        <v>2077.0706559480282</v>
      </c>
      <c r="N62" s="23">
        <v>1946.7011766961423</v>
      </c>
      <c r="O62" s="23">
        <v>2880.364031578064</v>
      </c>
      <c r="P62" s="23">
        <v>3592.5527778413134</v>
      </c>
      <c r="Q62" s="23">
        <v>4026.5521368094996</v>
      </c>
      <c r="R62" s="23">
        <v>4060.9792432217764</v>
      </c>
      <c r="S62" s="23">
        <v>3770.0095289941632</v>
      </c>
      <c r="T62" s="23">
        <v>4385.1531517965659</v>
      </c>
      <c r="U62" s="23">
        <v>4546.6557833654997</v>
      </c>
      <c r="V62" s="23">
        <v>4593.8667922783634</v>
      </c>
      <c r="W62" s="23">
        <v>4821.3719244866161</v>
      </c>
      <c r="X62" s="23">
        <v>5134.7904953219995</v>
      </c>
      <c r="Y62" s="23">
        <v>5513.4063858369373</v>
      </c>
    </row>
    <row r="63" spans="1:25" ht="12.75" customHeight="1" x14ac:dyDescent="0.2">
      <c r="A63" s="151"/>
      <c r="B63" s="21" t="s">
        <v>98</v>
      </c>
      <c r="C63" s="22" t="s">
        <v>99</v>
      </c>
      <c r="D63" s="23">
        <v>12452.144309969277</v>
      </c>
      <c r="E63" s="23">
        <v>16649.052284101799</v>
      </c>
      <c r="F63" s="23">
        <v>22181.125536713087</v>
      </c>
      <c r="G63" s="23">
        <v>17109.826589595374</v>
      </c>
      <c r="H63" s="23">
        <v>14905.334397750425</v>
      </c>
      <c r="I63" s="23">
        <v>14335.88939235506</v>
      </c>
      <c r="J63" s="23">
        <v>13342.758474244778</v>
      </c>
      <c r="K63" s="23">
        <v>14106.733211731926</v>
      </c>
      <c r="L63" s="23">
        <v>13892.169653688572</v>
      </c>
      <c r="M63" s="23">
        <v>17684.113887548407</v>
      </c>
      <c r="N63" s="23">
        <v>17721.139789584682</v>
      </c>
      <c r="O63" s="23">
        <v>18971.324152921927</v>
      </c>
      <c r="P63" s="23">
        <v>16279.934127764691</v>
      </c>
      <c r="Q63" s="23">
        <v>13694.706349472648</v>
      </c>
      <c r="R63" s="23">
        <v>15566.149126582141</v>
      </c>
      <c r="S63" s="23">
        <v>66150.829943608071</v>
      </c>
      <c r="T63" s="23">
        <v>61449.993684798537</v>
      </c>
      <c r="U63" s="23">
        <v>64122.377187724429</v>
      </c>
      <c r="V63" s="23">
        <v>74393.252970883535</v>
      </c>
      <c r="W63" s="23">
        <v>73057.077154659972</v>
      </c>
      <c r="X63" s="23">
        <v>86924.293358386712</v>
      </c>
      <c r="Y63" s="23">
        <v>106170.91968300965</v>
      </c>
    </row>
    <row r="64" spans="1:25" ht="12.75" customHeight="1" x14ac:dyDescent="0.2">
      <c r="A64" s="151"/>
      <c r="B64" s="21" t="s">
        <v>120</v>
      </c>
      <c r="C64" s="22" t="s">
        <v>121</v>
      </c>
      <c r="D64" s="23">
        <v>761.0749679038704</v>
      </c>
      <c r="E64" s="23">
        <v>808.88616760728371</v>
      </c>
      <c r="F64" s="23">
        <v>773.24907309490754</v>
      </c>
      <c r="G64" s="23">
        <v>773.28731581932482</v>
      </c>
      <c r="H64" s="23">
        <v>770.78889987727428</v>
      </c>
      <c r="I64" s="23">
        <v>774.95062158708038</v>
      </c>
      <c r="J64" s="23">
        <v>790.70599148384497</v>
      </c>
      <c r="K64" s="23">
        <v>756.12949430972549</v>
      </c>
      <c r="L64" s="23">
        <v>639.749135938108</v>
      </c>
      <c r="M64" s="23">
        <v>498.46400112993024</v>
      </c>
      <c r="N64" s="23">
        <v>434.25120425623697</v>
      </c>
      <c r="O64" s="23">
        <v>437.60226444839901</v>
      </c>
      <c r="P64" s="23">
        <v>440.63493515701839</v>
      </c>
      <c r="Q64" s="23">
        <v>445.03349774631187</v>
      </c>
      <c r="R64" s="23">
        <v>513.56749539290013</v>
      </c>
      <c r="S64" s="23">
        <v>559.4</v>
      </c>
      <c r="T64" s="23">
        <v>552.81107998138816</v>
      </c>
      <c r="U64" s="23">
        <v>581.10564945121541</v>
      </c>
      <c r="V64" s="23">
        <v>594.30835460398498</v>
      </c>
      <c r="W64" s="23">
        <v>586.09982401341551</v>
      </c>
      <c r="X64" s="23">
        <v>659.3909292902888</v>
      </c>
      <c r="Y64" s="23">
        <v>769.8486829815057</v>
      </c>
    </row>
    <row r="65" spans="1:25" ht="12.75" customHeight="1" x14ac:dyDescent="0.2">
      <c r="A65" s="151"/>
      <c r="B65" s="21" t="s">
        <v>122</v>
      </c>
      <c r="C65" s="22" t="s">
        <v>123</v>
      </c>
      <c r="D65" s="23">
        <v>1153.1526333251591</v>
      </c>
      <c r="E65" s="23">
        <v>1077.7606218720048</v>
      </c>
      <c r="F65" s="23">
        <v>1002.8412348541797</v>
      </c>
      <c r="G65" s="23">
        <v>1014.1552125695392</v>
      </c>
      <c r="H65" s="23">
        <v>1068.6668175914783</v>
      </c>
      <c r="I65" s="23">
        <v>1179.0403160218427</v>
      </c>
      <c r="J65" s="23">
        <v>1226.572191736424</v>
      </c>
      <c r="K65" s="23">
        <v>1331.1997135279703</v>
      </c>
      <c r="L65" s="23">
        <v>984.80166632333078</v>
      </c>
      <c r="M65" s="23">
        <v>631.34850107696479</v>
      </c>
      <c r="N65" s="23">
        <v>454.74153425839393</v>
      </c>
      <c r="O65" s="23">
        <v>497.79646239654124</v>
      </c>
      <c r="P65" s="23">
        <v>415.70412387639806</v>
      </c>
      <c r="Q65" s="23">
        <v>550.16832757328666</v>
      </c>
      <c r="R65" s="23">
        <v>720.69387890224129</v>
      </c>
      <c r="S65" s="23">
        <v>577.00000000000011</v>
      </c>
      <c r="T65" s="23">
        <v>791.39895654928671</v>
      </c>
      <c r="U65" s="23">
        <v>818.22291909154751</v>
      </c>
      <c r="V65" s="23">
        <v>821.1741399672369</v>
      </c>
      <c r="W65" s="23">
        <v>907.48265472537798</v>
      </c>
      <c r="X65" s="23">
        <v>942.45383423268663</v>
      </c>
      <c r="Y65" s="23">
        <v>963.75864001494494</v>
      </c>
    </row>
    <row r="66" spans="1:25" ht="12.75" customHeight="1" x14ac:dyDescent="0.2">
      <c r="A66" s="151"/>
      <c r="B66" s="21" t="s">
        <v>124</v>
      </c>
      <c r="C66" s="22" t="s">
        <v>125</v>
      </c>
      <c r="D66" s="23">
        <v>278.83963475325652</v>
      </c>
      <c r="E66" s="23">
        <v>307.20902992226598</v>
      </c>
      <c r="F66" s="23">
        <v>231.50330628002092</v>
      </c>
      <c r="G66" s="23">
        <v>248.83246648243571</v>
      </c>
      <c r="H66" s="23">
        <v>299.90348755466056</v>
      </c>
      <c r="I66" s="23">
        <v>268.50238178227028</v>
      </c>
      <c r="J66" s="23">
        <v>383.78577735060406</v>
      </c>
      <c r="K66" s="23">
        <v>291.39576782337207</v>
      </c>
      <c r="L66" s="23">
        <v>261.85080912815584</v>
      </c>
      <c r="M66" s="23">
        <v>155.48310401242924</v>
      </c>
      <c r="N66" s="23">
        <v>219.4023054616915</v>
      </c>
      <c r="O66" s="23">
        <v>184.28501474996719</v>
      </c>
      <c r="P66" s="23">
        <v>166.1672880309234</v>
      </c>
      <c r="Q66" s="23">
        <v>203.67077139885245</v>
      </c>
      <c r="R66" s="23">
        <v>245.4177287825118</v>
      </c>
      <c r="S66" s="23">
        <v>262.60000000000002</v>
      </c>
      <c r="T66" s="23">
        <v>228.19296908257516</v>
      </c>
      <c r="U66" s="23">
        <v>284.5407235683985</v>
      </c>
      <c r="V66" s="23">
        <v>280.5821174139968</v>
      </c>
      <c r="W66" s="23">
        <v>339.99502446305661</v>
      </c>
      <c r="X66" s="23">
        <v>263.73770002053885</v>
      </c>
      <c r="Y66" s="23">
        <v>218.47562114702035</v>
      </c>
    </row>
    <row r="67" spans="1:25" ht="12.75" customHeight="1" x14ac:dyDescent="0.2">
      <c r="A67" s="151"/>
      <c r="B67" s="21" t="s">
        <v>126</v>
      </c>
      <c r="C67" s="22" t="s">
        <v>127</v>
      </c>
      <c r="D67" s="23">
        <v>901.43242502488363</v>
      </c>
      <c r="E67" s="23">
        <v>832.31285273133858</v>
      </c>
      <c r="F67" s="23">
        <v>845.10810707505698</v>
      </c>
      <c r="G67" s="23">
        <v>817.21312464551613</v>
      </c>
      <c r="H67" s="23">
        <v>893.3954508084405</v>
      </c>
      <c r="I67" s="23">
        <v>1004.9959335424653</v>
      </c>
      <c r="J67" s="23">
        <v>1069.7721202096625</v>
      </c>
      <c r="K67" s="23">
        <v>1207.5467475353335</v>
      </c>
      <c r="L67" s="23">
        <v>1161.9629655061913</v>
      </c>
      <c r="M67" s="23">
        <v>836.50145360812598</v>
      </c>
      <c r="N67" s="23">
        <v>659.40518129748125</v>
      </c>
      <c r="O67" s="23">
        <v>627.62005995533207</v>
      </c>
      <c r="P67" s="23">
        <v>637.10802589144805</v>
      </c>
      <c r="Q67" s="23">
        <v>702.05460300417178</v>
      </c>
      <c r="R67" s="23">
        <v>784.80705355270857</v>
      </c>
      <c r="S67" s="23">
        <v>771.99999999999989</v>
      </c>
      <c r="T67" s="23">
        <v>862.18332656839368</v>
      </c>
      <c r="U67" s="23">
        <v>959.53134469059319</v>
      </c>
      <c r="V67" s="23">
        <v>970.79888757666947</v>
      </c>
      <c r="W67" s="23">
        <v>975.66593876403977</v>
      </c>
      <c r="X67" s="23">
        <v>937.97262729428462</v>
      </c>
      <c r="Y67" s="23">
        <v>979.17055856529055</v>
      </c>
    </row>
    <row r="68" spans="1:25" ht="12.75" customHeight="1" x14ac:dyDescent="0.2">
      <c r="A68" s="151"/>
      <c r="B68" s="21" t="s">
        <v>104</v>
      </c>
      <c r="C68" s="22" t="s">
        <v>105</v>
      </c>
      <c r="D68" s="23">
        <v>5290.8846991618948</v>
      </c>
      <c r="E68" s="23">
        <v>6326.6691513150899</v>
      </c>
      <c r="F68" s="23">
        <v>5726.9356708754312</v>
      </c>
      <c r="G68" s="23">
        <v>4930.7927160389536</v>
      </c>
      <c r="H68" s="23">
        <v>5409.4629856899446</v>
      </c>
      <c r="I68" s="23">
        <v>5445.683745788313</v>
      </c>
      <c r="J68" s="23">
        <v>5390.3237703543928</v>
      </c>
      <c r="K68" s="23">
        <v>4316.2158835312157</v>
      </c>
      <c r="L68" s="23">
        <v>3569.2050630593512</v>
      </c>
      <c r="M68" s="23">
        <v>4067.5133296453669</v>
      </c>
      <c r="N68" s="23">
        <v>3793.4670596975584</v>
      </c>
      <c r="O68" s="23">
        <v>3369.8001887040332</v>
      </c>
      <c r="P68" s="23">
        <v>3303.6755792410972</v>
      </c>
      <c r="Q68" s="23">
        <v>3058.5287834558039</v>
      </c>
      <c r="R68" s="23">
        <v>3044.3274737643596</v>
      </c>
      <c r="S68" s="23">
        <v>3338.6525622170839</v>
      </c>
      <c r="T68" s="23">
        <v>3632.6145483403643</v>
      </c>
      <c r="U68" s="23">
        <v>3851.1310391018219</v>
      </c>
      <c r="V68" s="23">
        <v>4300.3489663362998</v>
      </c>
      <c r="W68" s="23">
        <v>4408.0141403683974</v>
      </c>
      <c r="X68" s="23">
        <v>6361.9770415732137</v>
      </c>
      <c r="Y68" s="23">
        <v>7713.2543765528635</v>
      </c>
    </row>
    <row r="69" spans="1:25" ht="12.75" customHeight="1" x14ac:dyDescent="0.2">
      <c r="A69" s="151"/>
      <c r="B69" s="21" t="s">
        <v>106</v>
      </c>
      <c r="C69" s="22" t="s">
        <v>107</v>
      </c>
      <c r="D69" s="23">
        <v>817.62185710370295</v>
      </c>
      <c r="E69" s="23">
        <v>785.06016398679571</v>
      </c>
      <c r="F69" s="23">
        <v>665.20570285524991</v>
      </c>
      <c r="G69" s="23">
        <v>424.8977276841203</v>
      </c>
      <c r="H69" s="23">
        <v>179.91826229937922</v>
      </c>
      <c r="I69" s="23">
        <v>290.34506796793312</v>
      </c>
      <c r="J69" s="23">
        <v>346.23422779038185</v>
      </c>
      <c r="K69" s="23">
        <v>347.34733614583212</v>
      </c>
      <c r="L69" s="23">
        <v>414.06303646226741</v>
      </c>
      <c r="M69" s="23">
        <v>358.63513847530044</v>
      </c>
      <c r="N69" s="23">
        <v>150.74172598077985</v>
      </c>
      <c r="O69" s="23">
        <v>277.68156791553702</v>
      </c>
      <c r="P69" s="23">
        <v>299.51281992635114</v>
      </c>
      <c r="Q69" s="23">
        <v>326.92458253643366</v>
      </c>
      <c r="R69" s="23">
        <v>372.98197989428502</v>
      </c>
      <c r="S69" s="23">
        <v>357.9</v>
      </c>
      <c r="T69" s="23">
        <v>357.48581837621646</v>
      </c>
      <c r="U69" s="23">
        <v>376.98279096164765</v>
      </c>
      <c r="V69" s="23">
        <v>415.53963960531831</v>
      </c>
      <c r="W69" s="23">
        <v>386.15695054869116</v>
      </c>
      <c r="X69" s="23">
        <v>428.70213044046528</v>
      </c>
      <c r="Y69" s="23">
        <v>419.67121240425928</v>
      </c>
    </row>
    <row r="70" spans="1:25" ht="12.75" customHeight="1" x14ac:dyDescent="0.2">
      <c r="A70" s="151"/>
      <c r="B70" s="21" t="s">
        <v>108</v>
      </c>
      <c r="C70" s="22" t="s">
        <v>109</v>
      </c>
      <c r="D70" s="23">
        <v>779.82776279156997</v>
      </c>
      <c r="E70" s="23">
        <v>813.67798956447655</v>
      </c>
      <c r="F70" s="23">
        <v>1263.5213474842969</v>
      </c>
      <c r="G70" s="23">
        <v>1222.3201032980558</v>
      </c>
      <c r="H70" s="23">
        <v>1426.0011676814374</v>
      </c>
      <c r="I70" s="23">
        <v>1481.3523875914955</v>
      </c>
      <c r="J70" s="23">
        <v>1452.6638130469282</v>
      </c>
      <c r="K70" s="23">
        <v>1703.0538365990399</v>
      </c>
      <c r="L70" s="23">
        <v>1603.378424775115</v>
      </c>
      <c r="M70" s="23">
        <v>1132.8727298407505</v>
      </c>
      <c r="N70" s="23">
        <v>805.59350061111513</v>
      </c>
      <c r="O70" s="23">
        <v>952.11933738609082</v>
      </c>
      <c r="P70" s="23">
        <v>1018.7324169163561</v>
      </c>
      <c r="Q70" s="23">
        <v>1050.3416881969376</v>
      </c>
      <c r="R70" s="23">
        <v>1109.4558656382076</v>
      </c>
      <c r="S70" s="23">
        <v>1119.7</v>
      </c>
      <c r="T70" s="23">
        <v>1208.9772401025632</v>
      </c>
      <c r="U70" s="23">
        <v>1167.4057543022595</v>
      </c>
      <c r="V70" s="23">
        <v>1187.854775420016</v>
      </c>
      <c r="W70" s="23">
        <v>1214.8602703375072</v>
      </c>
      <c r="X70" s="23">
        <v>1695.8567507515356</v>
      </c>
      <c r="Y70" s="23">
        <v>1345.7874089295722</v>
      </c>
    </row>
    <row r="71" spans="1:25" ht="12.75" customHeight="1" x14ac:dyDescent="0.2">
      <c r="A71" s="151"/>
      <c r="B71" s="21" t="s">
        <v>128</v>
      </c>
      <c r="C71" s="22" t="s">
        <v>129</v>
      </c>
      <c r="D71" s="23">
        <v>232.96741341257592</v>
      </c>
      <c r="E71" s="23">
        <v>213.90160792247895</v>
      </c>
      <c r="F71" s="23">
        <v>235.45300495623479</v>
      </c>
      <c r="G71" s="23">
        <v>211.4231238007892</v>
      </c>
      <c r="H71" s="23">
        <v>233.53628748793594</v>
      </c>
      <c r="I71" s="23">
        <v>258.85906820030209</v>
      </c>
      <c r="J71" s="23">
        <v>243.63802988477485</v>
      </c>
      <c r="K71" s="23">
        <v>278.30310083591644</v>
      </c>
      <c r="L71" s="23">
        <v>217.67492961615051</v>
      </c>
      <c r="M71" s="23">
        <v>166.42930285660481</v>
      </c>
      <c r="N71" s="23">
        <v>177.10355405373022</v>
      </c>
      <c r="O71" s="23">
        <v>220.71205914318816</v>
      </c>
      <c r="P71" s="23">
        <v>204.70712014821254</v>
      </c>
      <c r="Q71" s="23">
        <v>217.42777572727576</v>
      </c>
      <c r="R71" s="23">
        <v>226.65828008960398</v>
      </c>
      <c r="S71" s="23">
        <v>248.57156599948854</v>
      </c>
      <c r="T71" s="23">
        <v>259.86897497082748</v>
      </c>
      <c r="U71" s="23">
        <v>259.71542575744212</v>
      </c>
      <c r="V71" s="23">
        <v>290.01011686117255</v>
      </c>
      <c r="W71" s="23">
        <v>263.20559131522691</v>
      </c>
      <c r="X71" s="23">
        <v>224.5294863383422</v>
      </c>
      <c r="Y71" s="23">
        <v>272.21931670726764</v>
      </c>
    </row>
    <row r="72" spans="1:25" ht="12.75" customHeight="1" x14ac:dyDescent="0.2">
      <c r="A72" s="151"/>
      <c r="B72" s="21" t="s">
        <v>130</v>
      </c>
      <c r="C72" s="22" t="s">
        <v>131</v>
      </c>
      <c r="D72" s="23">
        <v>271.62702133491052</v>
      </c>
      <c r="E72" s="23">
        <v>265.41369396230436</v>
      </c>
      <c r="F72" s="23">
        <v>208.82439130047015</v>
      </c>
      <c r="G72" s="23">
        <v>482.45984529426664</v>
      </c>
      <c r="H72" s="23">
        <v>255.46010223170131</v>
      </c>
      <c r="I72" s="23">
        <v>286.27861043336827</v>
      </c>
      <c r="J72" s="23">
        <v>234.69718475138862</v>
      </c>
      <c r="K72" s="23">
        <v>229.96094580531093</v>
      </c>
      <c r="L72" s="23">
        <v>273.18089221543181</v>
      </c>
      <c r="M72" s="23">
        <v>118.76037240616284</v>
      </c>
      <c r="N72" s="23">
        <v>73.573465621779661</v>
      </c>
      <c r="O72" s="23">
        <v>40.965495825818977</v>
      </c>
      <c r="P72" s="23">
        <v>46.659500011436165</v>
      </c>
      <c r="Q72" s="23">
        <v>59.725530986813425</v>
      </c>
      <c r="R72" s="23">
        <v>78.900034208406396</v>
      </c>
      <c r="S72" s="23">
        <v>83.72843400051147</v>
      </c>
      <c r="T72" s="23">
        <v>86.132945612079368</v>
      </c>
      <c r="U72" s="23">
        <v>86.100632805232863</v>
      </c>
      <c r="V72" s="23">
        <v>92.290161244660055</v>
      </c>
      <c r="W72" s="23">
        <v>86.832646607578511</v>
      </c>
      <c r="X72" s="23">
        <v>78.418774393214818</v>
      </c>
      <c r="Y72" s="23">
        <v>88.6997940717348</v>
      </c>
    </row>
    <row r="73" spans="1:25" ht="12.75" customHeight="1" x14ac:dyDescent="0.2">
      <c r="A73" s="151"/>
      <c r="B73" s="21" t="s">
        <v>132</v>
      </c>
      <c r="C73" s="22" t="s">
        <v>133</v>
      </c>
      <c r="D73" s="23">
        <v>3010.4005885492552</v>
      </c>
      <c r="E73" s="23">
        <v>3467.0162921946539</v>
      </c>
      <c r="F73" s="23">
        <v>3494.8462802757149</v>
      </c>
      <c r="G73" s="23">
        <v>3626.8961106351139</v>
      </c>
      <c r="H73" s="23">
        <v>3736.6997509740604</v>
      </c>
      <c r="I73" s="23">
        <v>3639.7118624375512</v>
      </c>
      <c r="J73" s="23">
        <v>4015.2217888395899</v>
      </c>
      <c r="K73" s="23">
        <v>3993.4872374472657</v>
      </c>
      <c r="L73" s="23">
        <v>4213.4175650621437</v>
      </c>
      <c r="M73" s="23">
        <v>4547.7336660350047</v>
      </c>
      <c r="N73" s="23">
        <v>3532.1254823016275</v>
      </c>
      <c r="O73" s="23">
        <v>4970.2014833570211</v>
      </c>
      <c r="P73" s="23">
        <v>4023.6957068685533</v>
      </c>
      <c r="Q73" s="23">
        <v>4465.0985918643537</v>
      </c>
      <c r="R73" s="23">
        <v>5148.5858686176498</v>
      </c>
      <c r="S73" s="23">
        <v>4288.2</v>
      </c>
      <c r="T73" s="23">
        <v>4193.6026769361752</v>
      </c>
      <c r="U73" s="23">
        <v>5364.2371365083645</v>
      </c>
      <c r="V73" s="23">
        <v>4635.5099241875887</v>
      </c>
      <c r="W73" s="23">
        <v>8004.5332669928403</v>
      </c>
      <c r="X73" s="23">
        <v>7769.9460387997842</v>
      </c>
      <c r="Y73" s="23">
        <v>8509.1537455632351</v>
      </c>
    </row>
    <row r="74" spans="1:25" ht="12.75" customHeight="1" x14ac:dyDescent="0.2">
      <c r="A74" s="151"/>
      <c r="B74" s="21" t="s">
        <v>134</v>
      </c>
      <c r="C74" s="22" t="s">
        <v>135</v>
      </c>
      <c r="D74" s="23">
        <v>265.85693060022822</v>
      </c>
      <c r="E74" s="23">
        <v>218.95964221061877</v>
      </c>
      <c r="F74" s="23">
        <v>179.13794641150707</v>
      </c>
      <c r="G74" s="23">
        <v>167.37663967563867</v>
      </c>
      <c r="H74" s="23">
        <v>177.41608779058242</v>
      </c>
      <c r="I74" s="23">
        <v>183.68769606138039</v>
      </c>
      <c r="J74" s="23">
        <v>184.40493087606592</v>
      </c>
      <c r="K74" s="23">
        <v>193.92813580562824</v>
      </c>
      <c r="L74" s="23">
        <v>240.4495410743948</v>
      </c>
      <c r="M74" s="23">
        <v>225.86833959106298</v>
      </c>
      <c r="N74" s="23">
        <v>276.55954178350703</v>
      </c>
      <c r="O74" s="23">
        <v>326.5296372821831</v>
      </c>
      <c r="P74" s="23">
        <v>315.29470963607855</v>
      </c>
      <c r="Q74" s="23">
        <v>344.93171828337199</v>
      </c>
      <c r="R74" s="23">
        <v>382.69275333533096</v>
      </c>
      <c r="S74" s="23">
        <v>412.70796518066891</v>
      </c>
      <c r="T74" s="23">
        <v>427.99254285456118</v>
      </c>
      <c r="U74" s="23">
        <v>427.7856228295841</v>
      </c>
      <c r="V74" s="23">
        <v>468.19815304973963</v>
      </c>
      <c r="W74" s="23">
        <v>432.48344088619251</v>
      </c>
      <c r="X74" s="23">
        <v>379.7494563061191</v>
      </c>
      <c r="Y74" s="23">
        <v>444.56414641821539</v>
      </c>
    </row>
    <row r="75" spans="1:25" ht="12.75" customHeight="1" x14ac:dyDescent="0.2">
      <c r="A75" s="152"/>
      <c r="B75" s="28" t="s">
        <v>52</v>
      </c>
      <c r="C75" s="31" t="s">
        <v>58</v>
      </c>
      <c r="D75" s="30">
        <f>SUM(D56:D74)</f>
        <v>36183.084979011299</v>
      </c>
      <c r="E75" s="30">
        <f t="shared" ref="E75:S75" si="6">SUM(E56:E74)</f>
        <v>41033.170056437019</v>
      </c>
      <c r="F75" s="30">
        <f t="shared" si="6"/>
        <v>46342.45161619124</v>
      </c>
      <c r="G75" s="30">
        <f t="shared" si="6"/>
        <v>41035.394065188804</v>
      </c>
      <c r="H75" s="30">
        <f t="shared" si="6"/>
        <v>39336.089696998577</v>
      </c>
      <c r="I75" s="30">
        <f t="shared" si="6"/>
        <v>38766.817706517992</v>
      </c>
      <c r="J75" s="30">
        <f t="shared" si="6"/>
        <v>38383.718721012076</v>
      </c>
      <c r="K75" s="30">
        <f t="shared" si="6"/>
        <v>39634.748161990959</v>
      </c>
      <c r="L75" s="30">
        <f t="shared" si="6"/>
        <v>37635.560438554312</v>
      </c>
      <c r="M75" s="30">
        <f t="shared" si="6"/>
        <v>40681.136050658504</v>
      </c>
      <c r="N75" s="30">
        <f t="shared" si="6"/>
        <v>39098.665132887589</v>
      </c>
      <c r="O75" s="30">
        <f t="shared" si="6"/>
        <v>42274.003033596469</v>
      </c>
      <c r="P75" s="30">
        <f t="shared" si="6"/>
        <v>39047.711625992066</v>
      </c>
      <c r="Q75" s="30">
        <f t="shared" si="6"/>
        <v>38383.048686373841</v>
      </c>
      <c r="R75" s="30">
        <f t="shared" si="6"/>
        <v>42463.99841096437</v>
      </c>
      <c r="S75" s="30">
        <f t="shared" si="6"/>
        <v>91581.499999999985</v>
      </c>
      <c r="T75" s="30">
        <f t="shared" ref="T75:Y75" si="7">SUM(T56:T74)</f>
        <v>88022.987595410406</v>
      </c>
      <c r="U75" s="30">
        <f t="shared" si="7"/>
        <v>91907.038487066762</v>
      </c>
      <c r="V75" s="30">
        <f t="shared" si="7"/>
        <v>102315.99299020918</v>
      </c>
      <c r="W75" s="30">
        <f t="shared" si="7"/>
        <v>103304.95434484158</v>
      </c>
      <c r="X75" s="30">
        <f t="shared" si="7"/>
        <v>119700.31928599438</v>
      </c>
      <c r="Y75" s="30">
        <f t="shared" si="7"/>
        <v>141848.49617037174</v>
      </c>
    </row>
  </sheetData>
  <mergeCells count="4">
    <mergeCell ref="A56:A75"/>
    <mergeCell ref="A6:A16"/>
    <mergeCell ref="A18:A39"/>
    <mergeCell ref="A41:A54"/>
  </mergeCells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pageSetUpPr fitToPage="1"/>
  </sheetPr>
  <dimension ref="A1:Y122"/>
  <sheetViews>
    <sheetView showGridLines="0" zoomScaleNormal="100" workbookViewId="0">
      <pane xSplit="3" ySplit="1" topLeftCell="D2" activePane="bottomRight" state="frozen"/>
      <selection pane="topRight" activeCell="D1" sqref="D1"/>
      <selection pane="bottomLeft" activeCell="A3" sqref="A3"/>
      <selection pane="bottomRight" activeCell="D2" sqref="D2"/>
    </sheetView>
  </sheetViews>
  <sheetFormatPr defaultColWidth="9.140625" defaultRowHeight="11.25" x14ac:dyDescent="0.25"/>
  <cols>
    <col min="1" max="1" width="35.28515625" style="1" customWidth="1"/>
    <col min="2" max="2" width="14.5703125" style="1" hidden="1" customWidth="1"/>
    <col min="3" max="3" width="7.7109375" style="1" hidden="1" customWidth="1"/>
    <col min="4" max="25" width="9.28515625" style="1" customWidth="1"/>
    <col min="26" max="16384" width="9.140625" style="1"/>
  </cols>
  <sheetData>
    <row r="1" spans="1:25" x14ac:dyDescent="0.2">
      <c r="A1" s="14" t="s">
        <v>279</v>
      </c>
      <c r="B1" s="15" t="s">
        <v>245</v>
      </c>
      <c r="C1" s="39"/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</row>
    <row r="2" spans="1:25" x14ac:dyDescent="0.2">
      <c r="A2" s="49" t="s">
        <v>237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</row>
    <row r="3" spans="1:25" x14ac:dyDescent="0.25">
      <c r="A3" s="40" t="s">
        <v>238</v>
      </c>
      <c r="B3" s="41"/>
      <c r="C3" s="41"/>
      <c r="D3" s="42">
        <v>3777565</v>
      </c>
      <c r="E3" s="42">
        <v>3832783</v>
      </c>
      <c r="F3" s="42">
        <v>3899702</v>
      </c>
      <c r="G3" s="42">
        <v>3964191</v>
      </c>
      <c r="H3" s="42">
        <v>4028851</v>
      </c>
      <c r="I3" s="42">
        <v>4111672</v>
      </c>
      <c r="J3" s="42">
        <v>4208156</v>
      </c>
      <c r="K3" s="42">
        <v>4340118</v>
      </c>
      <c r="L3" s="42">
        <v>4457765</v>
      </c>
      <c r="M3" s="42">
        <v>4521322</v>
      </c>
      <c r="N3" s="42">
        <v>4549428</v>
      </c>
      <c r="O3" s="42">
        <v>4570881</v>
      </c>
      <c r="P3" s="42">
        <v>4589287</v>
      </c>
      <c r="Q3" s="42">
        <v>4609779</v>
      </c>
      <c r="R3" s="42">
        <v>4637852</v>
      </c>
      <c r="S3" s="42">
        <v>4677627</v>
      </c>
      <c r="T3" s="42">
        <v>4726286</v>
      </c>
      <c r="U3" s="42">
        <v>4784383</v>
      </c>
      <c r="V3" s="42">
        <v>4830392</v>
      </c>
      <c r="W3" s="42">
        <v>4904240</v>
      </c>
      <c r="X3" s="42">
        <v>4964440</v>
      </c>
      <c r="Y3" s="42">
        <v>5006324</v>
      </c>
    </row>
    <row r="4" spans="1:25" x14ac:dyDescent="0.25">
      <c r="A4" s="43" t="s">
        <v>239</v>
      </c>
      <c r="B4" s="44"/>
      <c r="C4" s="44"/>
      <c r="D4" s="45">
        <v>1295943</v>
      </c>
      <c r="E4" s="45">
        <v>1324568</v>
      </c>
      <c r="F4" s="45">
        <v>1357691</v>
      </c>
      <c r="G4" s="45">
        <v>1390456</v>
      </c>
      <c r="H4" s="45">
        <v>1413632</v>
      </c>
      <c r="I4" s="45">
        <v>1460111</v>
      </c>
      <c r="J4" s="45">
        <v>1491196</v>
      </c>
      <c r="K4" s="45">
        <v>1546177</v>
      </c>
      <c r="L4" s="45">
        <v>1610464</v>
      </c>
      <c r="M4" s="45">
        <v>1669617</v>
      </c>
      <c r="N4" s="45">
        <v>1700721</v>
      </c>
      <c r="O4" s="45">
        <v>1696689</v>
      </c>
      <c r="P4" s="45">
        <v>1711782</v>
      </c>
      <c r="Q4" s="45">
        <v>1718784</v>
      </c>
      <c r="R4" s="45">
        <v>1727641</v>
      </c>
      <c r="S4" s="45">
        <v>1740189</v>
      </c>
      <c r="T4" s="45">
        <v>1758945</v>
      </c>
      <c r="U4" s="45">
        <v>1797964</v>
      </c>
      <c r="V4" s="45">
        <v>1846480</v>
      </c>
      <c r="W4" s="45">
        <v>1869706</v>
      </c>
      <c r="X4" s="45">
        <v>1913079</v>
      </c>
      <c r="Y4" s="45">
        <v>1934437</v>
      </c>
    </row>
    <row r="5" spans="1:25" x14ac:dyDescent="0.25">
      <c r="A5" s="46" t="s">
        <v>240</v>
      </c>
      <c r="B5" s="47"/>
      <c r="C5" s="47"/>
      <c r="D5" s="48">
        <f>D3/D4</f>
        <v>2.9149160109665315</v>
      </c>
      <c r="E5" s="48">
        <f t="shared" ref="E5:S5" si="0">E3/E4</f>
        <v>2.893609841095361</v>
      </c>
      <c r="F5" s="48">
        <f t="shared" si="0"/>
        <v>2.8723045228995403</v>
      </c>
      <c r="G5" s="48">
        <f t="shared" si="0"/>
        <v>2.8510006789139677</v>
      </c>
      <c r="H5" s="48">
        <f t="shared" si="0"/>
        <v>2.8499998585204636</v>
      </c>
      <c r="I5" s="48">
        <f t="shared" si="0"/>
        <v>2.8159996055094441</v>
      </c>
      <c r="J5" s="48">
        <f t="shared" si="0"/>
        <v>2.8220005954951595</v>
      </c>
      <c r="K5" s="48">
        <f t="shared" si="0"/>
        <v>2.80699945737131</v>
      </c>
      <c r="L5" s="48">
        <f t="shared" si="0"/>
        <v>2.7680004023685099</v>
      </c>
      <c r="M5" s="48">
        <f t="shared" si="0"/>
        <v>2.7079994992863634</v>
      </c>
      <c r="N5" s="48">
        <f t="shared" si="0"/>
        <v>2.6749996031095047</v>
      </c>
      <c r="O5" s="48">
        <f t="shared" si="0"/>
        <v>2.6940004915455926</v>
      </c>
      <c r="P5" s="48">
        <f t="shared" si="0"/>
        <v>2.6809996833708967</v>
      </c>
      <c r="Q5" s="48">
        <f t="shared" si="0"/>
        <v>2.6820001815236818</v>
      </c>
      <c r="R5" s="48">
        <f t="shared" si="0"/>
        <v>2.6844998469010632</v>
      </c>
      <c r="S5" s="48">
        <f t="shared" si="0"/>
        <v>2.6879994069609681</v>
      </c>
      <c r="T5" s="48">
        <f t="shared" ref="T5:Y5" si="1">T3/T4</f>
        <v>2.6870004462902477</v>
      </c>
      <c r="U5" s="48">
        <f t="shared" si="1"/>
        <v>2.6610004427229912</v>
      </c>
      <c r="V5" s="48">
        <f t="shared" si="1"/>
        <v>2.6160001733027167</v>
      </c>
      <c r="W5" s="48">
        <f t="shared" si="1"/>
        <v>2.6230006214880843</v>
      </c>
      <c r="X5" s="48">
        <f t="shared" si="1"/>
        <v>2.5949999973864122</v>
      </c>
      <c r="Y5" s="48">
        <f t="shared" si="1"/>
        <v>2.5880005396919104</v>
      </c>
    </row>
    <row r="6" spans="1:25" x14ac:dyDescent="0.25">
      <c r="A6" s="35"/>
      <c r="B6" s="34"/>
      <c r="C6" s="34"/>
      <c r="D6" s="34"/>
      <c r="E6" s="34"/>
      <c r="F6" s="34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</row>
    <row r="7" spans="1:25" x14ac:dyDescent="0.2">
      <c r="A7" s="49" t="s">
        <v>248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</row>
    <row r="8" spans="1:25" x14ac:dyDescent="0.25">
      <c r="A8" s="40" t="s">
        <v>249</v>
      </c>
      <c r="B8" s="41"/>
      <c r="C8" s="41"/>
      <c r="D8" s="42">
        <v>2792.71</v>
      </c>
      <c r="E8" s="42">
        <v>2800.86</v>
      </c>
      <c r="F8" s="42">
        <v>2699.57</v>
      </c>
      <c r="G8" s="42">
        <v>2630.34</v>
      </c>
      <c r="H8" s="42">
        <v>2700.72</v>
      </c>
      <c r="I8" s="42">
        <v>2608.3000000000002</v>
      </c>
      <c r="J8" s="42">
        <v>2601.42</v>
      </c>
      <c r="K8" s="42">
        <v>2523.35</v>
      </c>
      <c r="L8" s="42">
        <v>2803.54</v>
      </c>
      <c r="M8" s="42">
        <v>2817.65</v>
      </c>
      <c r="N8" s="42">
        <v>3166.33</v>
      </c>
      <c r="O8" s="42">
        <v>2766.1</v>
      </c>
      <c r="P8" s="42">
        <v>2861.13</v>
      </c>
      <c r="Q8" s="42">
        <v>2835.61</v>
      </c>
      <c r="R8" s="42">
        <v>2629.47</v>
      </c>
      <c r="S8" s="42">
        <v>2912.09</v>
      </c>
      <c r="T8" s="42">
        <v>2744.05</v>
      </c>
      <c r="U8" s="42">
        <v>2668.92</v>
      </c>
      <c r="V8" s="42">
        <v>2754.34</v>
      </c>
      <c r="W8" s="42">
        <v>2706.58</v>
      </c>
      <c r="X8" s="42">
        <v>2744.36</v>
      </c>
      <c r="Y8" s="42">
        <v>2643.76</v>
      </c>
    </row>
    <row r="9" spans="1:25" x14ac:dyDescent="0.25">
      <c r="A9" s="43" t="s">
        <v>261</v>
      </c>
      <c r="B9" s="44"/>
      <c r="C9" s="44"/>
      <c r="D9" s="45">
        <f t="shared" ref="D9:W9" si="2">AVERAGE($D8:$X8)</f>
        <v>2750.8304761904765</v>
      </c>
      <c r="E9" s="45">
        <f t="shared" si="2"/>
        <v>2750.8304761904765</v>
      </c>
      <c r="F9" s="45">
        <f t="shared" si="2"/>
        <v>2750.8304761904765</v>
      </c>
      <c r="G9" s="45">
        <f t="shared" si="2"/>
        <v>2750.8304761904765</v>
      </c>
      <c r="H9" s="45">
        <f t="shared" si="2"/>
        <v>2750.8304761904765</v>
      </c>
      <c r="I9" s="45">
        <f t="shared" si="2"/>
        <v>2750.8304761904765</v>
      </c>
      <c r="J9" s="45">
        <f t="shared" si="2"/>
        <v>2750.8304761904765</v>
      </c>
      <c r="K9" s="45">
        <f t="shared" si="2"/>
        <v>2750.8304761904765</v>
      </c>
      <c r="L9" s="45">
        <f t="shared" si="2"/>
        <v>2750.8304761904765</v>
      </c>
      <c r="M9" s="45">
        <f t="shared" si="2"/>
        <v>2750.8304761904765</v>
      </c>
      <c r="N9" s="45">
        <f t="shared" si="2"/>
        <v>2750.8304761904765</v>
      </c>
      <c r="O9" s="45">
        <f t="shared" si="2"/>
        <v>2750.8304761904765</v>
      </c>
      <c r="P9" s="45">
        <f t="shared" si="2"/>
        <v>2750.8304761904765</v>
      </c>
      <c r="Q9" s="45">
        <f t="shared" si="2"/>
        <v>2750.8304761904765</v>
      </c>
      <c r="R9" s="45">
        <f t="shared" si="2"/>
        <v>2750.8304761904765</v>
      </c>
      <c r="S9" s="45">
        <f t="shared" si="2"/>
        <v>2750.8304761904765</v>
      </c>
      <c r="T9" s="45">
        <f t="shared" si="2"/>
        <v>2750.8304761904765</v>
      </c>
      <c r="U9" s="45">
        <f t="shared" si="2"/>
        <v>2750.8304761904765</v>
      </c>
      <c r="V9" s="45">
        <f t="shared" si="2"/>
        <v>2750.8304761904765</v>
      </c>
      <c r="W9" s="45">
        <f t="shared" si="2"/>
        <v>2750.8304761904765</v>
      </c>
      <c r="X9" s="45">
        <f>AVERAGE($D8:$X8)</f>
        <v>2750.8304761904765</v>
      </c>
      <c r="Y9" s="45">
        <f t="shared" ref="Y9" si="3">AVERAGE($D8:$X8)</f>
        <v>2750.8304761904765</v>
      </c>
    </row>
    <row r="10" spans="1:25" x14ac:dyDescent="0.25">
      <c r="A10" s="51" t="s">
        <v>250</v>
      </c>
      <c r="B10" s="52"/>
      <c r="C10" s="52"/>
      <c r="D10" s="53">
        <f t="shared" ref="D10:S10" si="4">IF(D8=0,0,D8/D9)</f>
        <v>1.0152243201360489</v>
      </c>
      <c r="E10" s="53">
        <f t="shared" si="4"/>
        <v>1.018187061777361</v>
      </c>
      <c r="F10" s="53">
        <f t="shared" si="4"/>
        <v>0.98136545431128674</v>
      </c>
      <c r="G10" s="53">
        <f t="shared" si="4"/>
        <v>0.95619850905631265</v>
      </c>
      <c r="H10" s="53">
        <f t="shared" si="4"/>
        <v>0.98178350988030605</v>
      </c>
      <c r="I10" s="53">
        <f t="shared" si="4"/>
        <v>0.9481863831944084</v>
      </c>
      <c r="J10" s="53">
        <f t="shared" si="4"/>
        <v>0.94568532031192654</v>
      </c>
      <c r="K10" s="53">
        <f t="shared" si="4"/>
        <v>0.91730480007422854</v>
      </c>
      <c r="L10" s="53">
        <f t="shared" si="4"/>
        <v>1.0191613130164674</v>
      </c>
      <c r="M10" s="53">
        <f t="shared" si="4"/>
        <v>1.0242906730850458</v>
      </c>
      <c r="N10" s="53">
        <f t="shared" si="4"/>
        <v>1.151045121611759</v>
      </c>
      <c r="O10" s="53">
        <f t="shared" si="4"/>
        <v>1.0055508777955193</v>
      </c>
      <c r="P10" s="53">
        <f t="shared" si="4"/>
        <v>1.0400968088598006</v>
      </c>
      <c r="Q10" s="53">
        <f t="shared" si="4"/>
        <v>1.0308196104933851</v>
      </c>
      <c r="R10" s="53">
        <f t="shared" si="4"/>
        <v>0.9558822409301847</v>
      </c>
      <c r="S10" s="53">
        <f t="shared" si="4"/>
        <v>1.0586221234660909</v>
      </c>
      <c r="T10" s="53">
        <f t="shared" ref="T10:Y10" si="5">IF(T8=0,0,T8/T9)</f>
        <v>0.99753511666779759</v>
      </c>
      <c r="U10" s="53">
        <f t="shared" si="5"/>
        <v>0.97022336458046254</v>
      </c>
      <c r="V10" s="53">
        <f t="shared" si="5"/>
        <v>1.0012758051940678</v>
      </c>
      <c r="W10" s="53">
        <f t="shared" si="5"/>
        <v>0.98391377564939686</v>
      </c>
      <c r="X10" s="53">
        <f t="shared" si="5"/>
        <v>0.99764780990814195</v>
      </c>
      <c r="Y10" s="53">
        <f t="shared" si="5"/>
        <v>0.96107703578347936</v>
      </c>
    </row>
    <row r="11" spans="1:25" x14ac:dyDescent="0.25">
      <c r="A11" s="43" t="s">
        <v>251</v>
      </c>
      <c r="B11" s="44"/>
      <c r="C11" s="44"/>
      <c r="D11" s="45">
        <v>0</v>
      </c>
      <c r="E11" s="45">
        <v>0</v>
      </c>
      <c r="F11" s="45">
        <v>0</v>
      </c>
      <c r="G11" s="45">
        <v>0</v>
      </c>
      <c r="H11" s="45">
        <v>0</v>
      </c>
      <c r="I11" s="45">
        <v>0</v>
      </c>
      <c r="J11" s="45">
        <v>0</v>
      </c>
      <c r="K11" s="45">
        <v>0</v>
      </c>
      <c r="L11" s="45">
        <v>0</v>
      </c>
      <c r="M11" s="45">
        <v>0</v>
      </c>
      <c r="N11" s="45">
        <v>0</v>
      </c>
      <c r="O11" s="45">
        <v>0</v>
      </c>
      <c r="P11" s="45">
        <v>0</v>
      </c>
      <c r="Q11" s="45">
        <v>0</v>
      </c>
      <c r="R11" s="45">
        <v>0</v>
      </c>
      <c r="S11" s="45">
        <v>0</v>
      </c>
      <c r="T11" s="45">
        <v>0</v>
      </c>
      <c r="U11" s="45">
        <v>0</v>
      </c>
      <c r="V11" s="45">
        <v>0</v>
      </c>
      <c r="W11" s="45">
        <v>0</v>
      </c>
      <c r="X11" s="45">
        <v>0</v>
      </c>
      <c r="Y11" s="45">
        <v>0.24</v>
      </c>
    </row>
    <row r="12" spans="1:25" x14ac:dyDescent="0.25">
      <c r="A12" s="43" t="s">
        <v>262</v>
      </c>
      <c r="B12" s="44"/>
      <c r="C12" s="44"/>
      <c r="D12" s="45">
        <f t="shared" ref="D12" si="6">AVERAGE($D11:$X11)</f>
        <v>0</v>
      </c>
      <c r="E12" s="45">
        <f t="shared" ref="E12" si="7">AVERAGE($D11:$X11)</f>
        <v>0</v>
      </c>
      <c r="F12" s="45">
        <f t="shared" ref="F12" si="8">AVERAGE($D11:$X11)</f>
        <v>0</v>
      </c>
      <c r="G12" s="45">
        <f t="shared" ref="G12" si="9">AVERAGE($D11:$X11)</f>
        <v>0</v>
      </c>
      <c r="H12" s="45">
        <f t="shared" ref="H12" si="10">AVERAGE($D11:$X11)</f>
        <v>0</v>
      </c>
      <c r="I12" s="45">
        <f t="shared" ref="I12" si="11">AVERAGE($D11:$X11)</f>
        <v>0</v>
      </c>
      <c r="J12" s="45">
        <f t="shared" ref="J12" si="12">AVERAGE($D11:$X11)</f>
        <v>0</v>
      </c>
      <c r="K12" s="45">
        <f t="shared" ref="K12" si="13">AVERAGE($D11:$X11)</f>
        <v>0</v>
      </c>
      <c r="L12" s="45">
        <f t="shared" ref="L12" si="14">AVERAGE($D11:$X11)</f>
        <v>0</v>
      </c>
      <c r="M12" s="45">
        <f t="shared" ref="M12" si="15">AVERAGE($D11:$X11)</f>
        <v>0</v>
      </c>
      <c r="N12" s="45">
        <f t="shared" ref="N12" si="16">AVERAGE($D11:$X11)</f>
        <v>0</v>
      </c>
      <c r="O12" s="45">
        <f t="shared" ref="O12" si="17">AVERAGE($D11:$X11)</f>
        <v>0</v>
      </c>
      <c r="P12" s="45">
        <f t="shared" ref="P12" si="18">AVERAGE($D11:$X11)</f>
        <v>0</v>
      </c>
      <c r="Q12" s="45">
        <f t="shared" ref="Q12" si="19">AVERAGE($D11:$X11)</f>
        <v>0</v>
      </c>
      <c r="R12" s="45">
        <f t="shared" ref="R12" si="20">AVERAGE($D11:$X11)</f>
        <v>0</v>
      </c>
      <c r="S12" s="45">
        <f t="shared" ref="S12" si="21">AVERAGE($D11:$X11)</f>
        <v>0</v>
      </c>
      <c r="T12" s="45">
        <f t="shared" ref="T12" si="22">AVERAGE($D11:$X11)</f>
        <v>0</v>
      </c>
      <c r="U12" s="45">
        <f t="shared" ref="U12" si="23">AVERAGE($D11:$X11)</f>
        <v>0</v>
      </c>
      <c r="V12" s="45">
        <f t="shared" ref="V12" si="24">AVERAGE($D11:$X11)</f>
        <v>0</v>
      </c>
      <c r="W12" s="45">
        <f t="shared" ref="W12" si="25">AVERAGE($D11:$X11)</f>
        <v>0</v>
      </c>
      <c r="X12" s="45">
        <f>AVERAGE($D11:$X11)</f>
        <v>0</v>
      </c>
      <c r="Y12" s="45">
        <f t="shared" ref="Y12" si="26">AVERAGE($D11:$X11)</f>
        <v>0</v>
      </c>
    </row>
    <row r="13" spans="1:25" x14ac:dyDescent="0.25">
      <c r="A13" s="54" t="s">
        <v>252</v>
      </c>
      <c r="B13" s="47"/>
      <c r="C13" s="47"/>
      <c r="D13" s="55">
        <f t="shared" ref="D13:E13" si="27">IF(D11=0,0,D11/D12)</f>
        <v>0</v>
      </c>
      <c r="E13" s="55">
        <f t="shared" si="27"/>
        <v>0</v>
      </c>
      <c r="F13" s="55">
        <f t="shared" ref="F13" si="28">IF(F11=0,0,F11/F12)</f>
        <v>0</v>
      </c>
      <c r="G13" s="55">
        <f t="shared" ref="G13" si="29">IF(G11=0,0,G11/G12)</f>
        <v>0</v>
      </c>
      <c r="H13" s="55">
        <f t="shared" ref="H13" si="30">IF(H11=0,0,H11/H12)</f>
        <v>0</v>
      </c>
      <c r="I13" s="55">
        <f t="shared" ref="I13" si="31">IF(I11=0,0,I11/I12)</f>
        <v>0</v>
      </c>
      <c r="J13" s="55">
        <f t="shared" ref="J13" si="32">IF(J11=0,0,J11/J12)</f>
        <v>0</v>
      </c>
      <c r="K13" s="55">
        <f t="shared" ref="K13" si="33">IF(K11=0,0,K11/K12)</f>
        <v>0</v>
      </c>
      <c r="L13" s="55">
        <f t="shared" ref="L13" si="34">IF(L11=0,0,L11/L12)</f>
        <v>0</v>
      </c>
      <c r="M13" s="55">
        <f t="shared" ref="M13" si="35">IF(M11=0,0,M11/M12)</f>
        <v>0</v>
      </c>
      <c r="N13" s="55">
        <f t="shared" ref="N13" si="36">IF(N11=0,0,N11/N12)</f>
        <v>0</v>
      </c>
      <c r="O13" s="55">
        <f t="shared" ref="O13" si="37">IF(O11=0,0,O11/O12)</f>
        <v>0</v>
      </c>
      <c r="P13" s="55">
        <f t="shared" ref="P13" si="38">IF(P11=0,0,P11/P12)</f>
        <v>0</v>
      </c>
      <c r="Q13" s="55">
        <f t="shared" ref="Q13" si="39">IF(Q11=0,0,Q11/Q12)</f>
        <v>0</v>
      </c>
      <c r="R13" s="55">
        <f t="shared" ref="R13" si="40">IF(R11=0,0,R11/R12)</f>
        <v>0</v>
      </c>
      <c r="S13" s="55">
        <f t="shared" ref="S13:Y13" si="41">IF(S11=0,0,S11/S12)</f>
        <v>0</v>
      </c>
      <c r="T13" s="55">
        <f t="shared" si="41"/>
        <v>0</v>
      </c>
      <c r="U13" s="55">
        <f t="shared" si="41"/>
        <v>0</v>
      </c>
      <c r="V13" s="55">
        <f t="shared" si="41"/>
        <v>0</v>
      </c>
      <c r="W13" s="55">
        <f t="shared" si="41"/>
        <v>0</v>
      </c>
      <c r="X13" s="55">
        <f t="shared" si="41"/>
        <v>0</v>
      </c>
      <c r="Y13" s="55" t="e">
        <f t="shared" si="41"/>
        <v>#DIV/0!</v>
      </c>
    </row>
    <row r="14" spans="1:25" x14ac:dyDescent="0.25">
      <c r="A14" s="35"/>
      <c r="B14" s="34"/>
      <c r="C14" s="34"/>
      <c r="D14" s="34"/>
      <c r="E14" s="34"/>
      <c r="F14" s="34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</row>
    <row r="15" spans="1:25" x14ac:dyDescent="0.2">
      <c r="A15" s="49" t="s">
        <v>265</v>
      </c>
      <c r="B15" s="50"/>
      <c r="C15" s="50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</row>
    <row r="16" spans="1:25" x14ac:dyDescent="0.25">
      <c r="A16" s="40" t="s">
        <v>139</v>
      </c>
      <c r="B16" s="41"/>
      <c r="C16" s="41"/>
      <c r="D16" s="42">
        <v>143782.36899997349</v>
      </c>
      <c r="E16" s="42">
        <v>151411.56336036907</v>
      </c>
      <c r="F16" s="42">
        <v>160344.27466515751</v>
      </c>
      <c r="G16" s="42">
        <v>165176.20895454648</v>
      </c>
      <c r="H16" s="42">
        <v>176389.91737029844</v>
      </c>
      <c r="I16" s="42">
        <v>186512.90644062599</v>
      </c>
      <c r="J16" s="42">
        <v>195817.35198500523</v>
      </c>
      <c r="K16" s="42">
        <v>206215.03688588919</v>
      </c>
      <c r="L16" s="42">
        <v>196967.91224509114</v>
      </c>
      <c r="M16" s="42">
        <v>186930.39719471583</v>
      </c>
      <c r="N16" s="42">
        <v>190077.10214046444</v>
      </c>
      <c r="O16" s="42">
        <v>192510.69980056916</v>
      </c>
      <c r="P16" s="42">
        <v>192262.57749492509</v>
      </c>
      <c r="Q16" s="42">
        <v>194520.44093394669</v>
      </c>
      <c r="R16" s="42">
        <v>211694.13879743544</v>
      </c>
      <c r="S16" s="42">
        <v>263506.8</v>
      </c>
      <c r="T16" s="42">
        <v>268158.75288316235</v>
      </c>
      <c r="U16" s="42">
        <v>293128.86628306593</v>
      </c>
      <c r="V16" s="42">
        <v>317956.75014322757</v>
      </c>
      <c r="W16" s="42">
        <v>334802.79599391192</v>
      </c>
      <c r="X16" s="42">
        <v>356955.62425683712</v>
      </c>
      <c r="Y16" s="42">
        <v>410945.78090829053</v>
      </c>
    </row>
    <row r="17" spans="1:25" x14ac:dyDescent="0.25">
      <c r="A17" s="46" t="s">
        <v>141</v>
      </c>
      <c r="B17" s="47"/>
      <c r="C17" s="47"/>
      <c r="D17" s="57">
        <v>62043.38553409298</v>
      </c>
      <c r="E17" s="57">
        <v>64981.080071008131</v>
      </c>
      <c r="F17" s="57">
        <v>67343.482609178798</v>
      </c>
      <c r="G17" s="57">
        <v>69223.604145055549</v>
      </c>
      <c r="H17" s="57">
        <v>71866.350003678046</v>
      </c>
      <c r="I17" s="57">
        <v>76913.133027665361</v>
      </c>
      <c r="J17" s="57">
        <v>81826.187061983728</v>
      </c>
      <c r="K17" s="57">
        <v>87287.456138631329</v>
      </c>
      <c r="L17" s="57">
        <v>87454.275207752231</v>
      </c>
      <c r="M17" s="57">
        <v>82798.400677748956</v>
      </c>
      <c r="N17" s="57">
        <v>83048.536781861752</v>
      </c>
      <c r="O17" s="57">
        <v>81928.769849496253</v>
      </c>
      <c r="P17" s="57">
        <v>81380.296707915957</v>
      </c>
      <c r="Q17" s="57">
        <v>81646.994513392579</v>
      </c>
      <c r="R17" s="57">
        <v>83853.503823995838</v>
      </c>
      <c r="S17" s="57">
        <v>86701.2</v>
      </c>
      <c r="T17" s="57">
        <v>90877.571944773488</v>
      </c>
      <c r="U17" s="57">
        <v>93228.262255839742</v>
      </c>
      <c r="V17" s="57">
        <v>96777.953301995833</v>
      </c>
      <c r="W17" s="57">
        <v>99165.121120363357</v>
      </c>
      <c r="X17" s="57">
        <v>88462.889891018422</v>
      </c>
      <c r="Y17" s="57">
        <v>95942.317255096961</v>
      </c>
    </row>
    <row r="18" spans="1:25" x14ac:dyDescent="0.25">
      <c r="A18" s="35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</row>
    <row r="19" spans="1:25" x14ac:dyDescent="0.2">
      <c r="A19" s="49" t="s">
        <v>266</v>
      </c>
      <c r="B19" s="50"/>
      <c r="C19" s="50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</row>
    <row r="20" spans="1:25" x14ac:dyDescent="0.25">
      <c r="A20" s="40" t="s">
        <v>139</v>
      </c>
      <c r="B20" s="41"/>
      <c r="C20" s="41"/>
      <c r="D20" s="42">
        <f>1000000*D16/D$3</f>
        <v>38062.182649398084</v>
      </c>
      <c r="E20" s="42">
        <f t="shared" ref="E20:S20" si="42">1000000*E16/E$3</f>
        <v>39504.340151886783</v>
      </c>
      <c r="F20" s="42">
        <f t="shared" si="42"/>
        <v>41117.05834578065</v>
      </c>
      <c r="G20" s="42">
        <f t="shared" si="42"/>
        <v>41667.066232314857</v>
      </c>
      <c r="H20" s="42">
        <f t="shared" si="42"/>
        <v>43781.692936844382</v>
      </c>
      <c r="I20" s="42">
        <f t="shared" si="42"/>
        <v>45361.815446520537</v>
      </c>
      <c r="J20" s="42">
        <f t="shared" si="42"/>
        <v>46532.816745625692</v>
      </c>
      <c r="K20" s="42">
        <f t="shared" si="42"/>
        <v>47513.693610609022</v>
      </c>
      <c r="L20" s="42">
        <f t="shared" si="42"/>
        <v>44185.351234327318</v>
      </c>
      <c r="M20" s="42">
        <f t="shared" si="42"/>
        <v>41344.190304233103</v>
      </c>
      <c r="N20" s="42">
        <f t="shared" si="42"/>
        <v>41780.43968174998</v>
      </c>
      <c r="O20" s="42">
        <f t="shared" si="42"/>
        <v>42116.760379578722</v>
      </c>
      <c r="P20" s="42">
        <f t="shared" si="42"/>
        <v>41893.779468341178</v>
      </c>
      <c r="Q20" s="42">
        <f t="shared" si="42"/>
        <v>42197.346322664642</v>
      </c>
      <c r="R20" s="42">
        <f t="shared" si="42"/>
        <v>45644.867235400234</v>
      </c>
      <c r="S20" s="42">
        <f t="shared" si="42"/>
        <v>56333.435735683925</v>
      </c>
      <c r="T20" s="42">
        <f t="shared" ref="T20:Y20" si="43">1000000*T16/T$3</f>
        <v>56737.732943618386</v>
      </c>
      <c r="U20" s="42">
        <f t="shared" si="43"/>
        <v>61267.851316055996</v>
      </c>
      <c r="V20" s="42">
        <f t="shared" si="43"/>
        <v>65824.212640139274</v>
      </c>
      <c r="W20" s="42">
        <f t="shared" si="43"/>
        <v>68268.028480235866</v>
      </c>
      <c r="X20" s="42">
        <f t="shared" si="43"/>
        <v>71902.495398642568</v>
      </c>
      <c r="Y20" s="42">
        <f t="shared" si="43"/>
        <v>82085.334650392295</v>
      </c>
    </row>
    <row r="21" spans="1:25" x14ac:dyDescent="0.25">
      <c r="A21" s="46" t="s">
        <v>141</v>
      </c>
      <c r="B21" s="47"/>
      <c r="C21" s="47"/>
      <c r="D21" s="57">
        <f>1000000*D17/D$3</f>
        <v>16424.174179423248</v>
      </c>
      <c r="E21" s="57">
        <f t="shared" ref="E21:S21" si="44">1000000*E17/E$3</f>
        <v>16954.020113063572</v>
      </c>
      <c r="F21" s="57">
        <f t="shared" si="44"/>
        <v>17268.87916286393</v>
      </c>
      <c r="G21" s="57">
        <f t="shared" si="44"/>
        <v>17462.227260254498</v>
      </c>
      <c r="H21" s="57">
        <f t="shared" si="44"/>
        <v>17837.926993000743</v>
      </c>
      <c r="I21" s="57">
        <f t="shared" si="44"/>
        <v>18706.047814043864</v>
      </c>
      <c r="J21" s="57">
        <f t="shared" si="44"/>
        <v>19444.665801834279</v>
      </c>
      <c r="K21" s="57">
        <f t="shared" si="44"/>
        <v>20111.770264917068</v>
      </c>
      <c r="L21" s="57">
        <f t="shared" si="44"/>
        <v>19618.413085425596</v>
      </c>
      <c r="M21" s="57">
        <f t="shared" si="44"/>
        <v>18312.874127909705</v>
      </c>
      <c r="N21" s="57">
        <f t="shared" si="44"/>
        <v>18254.720545497534</v>
      </c>
      <c r="O21" s="57">
        <f t="shared" si="44"/>
        <v>17924.065371532586</v>
      </c>
      <c r="P21" s="57">
        <f t="shared" si="44"/>
        <v>17732.666688292964</v>
      </c>
      <c r="Q21" s="57">
        <f t="shared" si="44"/>
        <v>17711.693882373227</v>
      </c>
      <c r="R21" s="57">
        <f t="shared" si="44"/>
        <v>18080.245730996987</v>
      </c>
      <c r="S21" s="57">
        <f t="shared" si="44"/>
        <v>18535.295781386587</v>
      </c>
      <c r="T21" s="57">
        <f t="shared" ref="T21:Y21" si="45">1000000*T17/T$3</f>
        <v>19228.115256836656</v>
      </c>
      <c r="U21" s="57">
        <f t="shared" si="45"/>
        <v>19485.952996622498</v>
      </c>
      <c r="V21" s="57">
        <f t="shared" si="45"/>
        <v>20035.217287126146</v>
      </c>
      <c r="W21" s="57">
        <f t="shared" si="45"/>
        <v>20220.283085730585</v>
      </c>
      <c r="X21" s="57">
        <f t="shared" si="45"/>
        <v>17819.308903122692</v>
      </c>
      <c r="Y21" s="57">
        <f t="shared" si="45"/>
        <v>19164.224539821425</v>
      </c>
    </row>
    <row r="22" spans="1:25" x14ac:dyDescent="0.25">
      <c r="A22" s="35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</row>
    <row r="23" spans="1:25" x14ac:dyDescent="0.25">
      <c r="A23" s="58" t="s">
        <v>267</v>
      </c>
      <c r="B23" s="59"/>
      <c r="C23" s="59"/>
      <c r="D23" s="60">
        <v>139523.39050531571</v>
      </c>
      <c r="E23" s="60">
        <v>144837.87669044829</v>
      </c>
      <c r="F23" s="60">
        <v>153661.88031138916</v>
      </c>
      <c r="G23" s="60">
        <v>155655.32721107316</v>
      </c>
      <c r="H23" s="60">
        <v>163748.49571651555</v>
      </c>
      <c r="I23" s="60">
        <v>173722.20285813877</v>
      </c>
      <c r="J23" s="60">
        <v>181698.20177252253</v>
      </c>
      <c r="K23" s="60">
        <v>195904.23329565927</v>
      </c>
      <c r="L23" s="60">
        <v>191507.01549589142</v>
      </c>
      <c r="M23" s="60">
        <v>179300.97338778971</v>
      </c>
      <c r="N23" s="60">
        <v>182524.14503798503</v>
      </c>
      <c r="O23" s="60">
        <v>185470.86433613204</v>
      </c>
      <c r="P23" s="60">
        <v>181025.13666201598</v>
      </c>
      <c r="Q23" s="60">
        <v>183378.7426321735</v>
      </c>
      <c r="R23" s="60">
        <v>197423.7759459728</v>
      </c>
      <c r="S23" s="60">
        <v>244655.5</v>
      </c>
      <c r="T23" s="60">
        <v>247828.25632851868</v>
      </c>
      <c r="U23" s="60">
        <v>264944.15960445185</v>
      </c>
      <c r="V23" s="60">
        <v>292069.98361842358</v>
      </c>
      <c r="W23" s="60">
        <v>307784.22754788952</v>
      </c>
      <c r="X23" s="60">
        <v>332529.92139216163</v>
      </c>
      <c r="Y23" s="60">
        <v>381478.79693629738</v>
      </c>
    </row>
    <row r="24" spans="1:25" x14ac:dyDescent="0.25">
      <c r="A24" s="61" t="s">
        <v>33</v>
      </c>
      <c r="B24" s="62"/>
      <c r="C24" s="62"/>
      <c r="D24" s="63">
        <v>3920.3438974077872</v>
      </c>
      <c r="E24" s="63">
        <v>3240.20338622085</v>
      </c>
      <c r="F24" s="63">
        <v>3006.8673793112239</v>
      </c>
      <c r="G24" s="63">
        <v>2599.949316374431</v>
      </c>
      <c r="H24" s="63">
        <v>2930.7612568065097</v>
      </c>
      <c r="I24" s="63">
        <v>2045.0795863831765</v>
      </c>
      <c r="J24" s="63">
        <v>1903.7294500262637</v>
      </c>
      <c r="K24" s="63">
        <v>2300.6165862829134</v>
      </c>
      <c r="L24" s="63">
        <v>1821.9689166609444</v>
      </c>
      <c r="M24" s="63">
        <v>1113.2166523463707</v>
      </c>
      <c r="N24" s="63">
        <v>1914.8273300261224</v>
      </c>
      <c r="O24" s="63">
        <v>2477.1584516714638</v>
      </c>
      <c r="P24" s="63">
        <v>1979.2548203380527</v>
      </c>
      <c r="Q24" s="63">
        <v>2173.6066838908832</v>
      </c>
      <c r="R24" s="63">
        <v>2676.2008805905916</v>
      </c>
      <c r="S24" s="63">
        <v>2351.1</v>
      </c>
      <c r="T24" s="63">
        <v>2527.7445030739232</v>
      </c>
      <c r="U24" s="63">
        <v>3374.0873630443357</v>
      </c>
      <c r="V24" s="63">
        <v>2773.1532629814469</v>
      </c>
      <c r="W24" s="63">
        <v>2973.9889985349805</v>
      </c>
      <c r="X24" s="63">
        <v>3234.5911832253487</v>
      </c>
      <c r="Y24" s="63">
        <v>4020.5492247337934</v>
      </c>
    </row>
    <row r="25" spans="1:25" x14ac:dyDescent="0.25">
      <c r="A25" s="64" t="s">
        <v>56</v>
      </c>
      <c r="B25" s="65"/>
      <c r="C25" s="65"/>
      <c r="D25" s="66">
        <v>690.53560867244641</v>
      </c>
      <c r="E25" s="66">
        <v>810.08412309658183</v>
      </c>
      <c r="F25" s="66">
        <v>704.44787034795581</v>
      </c>
      <c r="G25" s="66">
        <v>748.30752893190288</v>
      </c>
      <c r="H25" s="66">
        <v>543.32932191070802</v>
      </c>
      <c r="I25" s="66">
        <v>668.29324968049275</v>
      </c>
      <c r="J25" s="66">
        <v>1042.2790214245001</v>
      </c>
      <c r="K25" s="66">
        <v>1352.1256000805702</v>
      </c>
      <c r="L25" s="66">
        <v>1045.343221405846</v>
      </c>
      <c r="M25" s="66">
        <v>1078.7302409340757</v>
      </c>
      <c r="N25" s="66">
        <v>823.2079948234956</v>
      </c>
      <c r="O25" s="66">
        <v>860.27541234219927</v>
      </c>
      <c r="P25" s="66">
        <v>1007.7537110313123</v>
      </c>
      <c r="Q25" s="66">
        <v>834.70344148799336</v>
      </c>
      <c r="R25" s="66">
        <v>993.25763344037262</v>
      </c>
      <c r="S25" s="66">
        <v>394.9</v>
      </c>
      <c r="T25" s="66">
        <v>529.34828880022974</v>
      </c>
      <c r="U25" s="66">
        <v>572.5444174033496</v>
      </c>
      <c r="V25" s="66">
        <v>575.92670196959898</v>
      </c>
      <c r="W25" s="66">
        <v>456.4594447669329</v>
      </c>
      <c r="X25" s="66">
        <v>292.02531881920197</v>
      </c>
      <c r="Y25" s="66">
        <v>413.41303941714926</v>
      </c>
    </row>
    <row r="26" spans="1:25" x14ac:dyDescent="0.25">
      <c r="A26" s="67" t="s">
        <v>146</v>
      </c>
      <c r="B26" s="44"/>
      <c r="C26" s="44"/>
      <c r="D26" s="45">
        <v>87418.31715303722</v>
      </c>
      <c r="E26" s="45">
        <v>87395.245447769121</v>
      </c>
      <c r="F26" s="45">
        <v>90988.953584670075</v>
      </c>
      <c r="G26" s="45">
        <v>97527.72514993907</v>
      </c>
      <c r="H26" s="45">
        <v>104795.71532403161</v>
      </c>
      <c r="I26" s="45">
        <v>113531.66027651915</v>
      </c>
      <c r="J26" s="45">
        <v>119105.46844440469</v>
      </c>
      <c r="K26" s="45">
        <v>132327.58524221429</v>
      </c>
      <c r="L26" s="45">
        <v>135826.9816200874</v>
      </c>
      <c r="M26" s="45">
        <v>128698.46164710863</v>
      </c>
      <c r="N26" s="45">
        <v>135141.99439212022</v>
      </c>
      <c r="O26" s="45">
        <v>134755.46107083568</v>
      </c>
      <c r="P26" s="45">
        <v>132672.62871389036</v>
      </c>
      <c r="Q26" s="45">
        <v>134793.8127034191</v>
      </c>
      <c r="R26" s="45">
        <v>143416.75770516772</v>
      </c>
      <c r="S26" s="45">
        <v>142912.60796518065</v>
      </c>
      <c r="T26" s="45">
        <v>148611.5567091335</v>
      </c>
      <c r="U26" s="45">
        <v>159624.28032737089</v>
      </c>
      <c r="V26" s="45">
        <v>176290.70567714592</v>
      </c>
      <c r="W26" s="45">
        <v>190612.06346871232</v>
      </c>
      <c r="X26" s="45">
        <v>199082.72012307239</v>
      </c>
      <c r="Y26" s="45">
        <v>223510.41507113332</v>
      </c>
    </row>
    <row r="27" spans="1:25" x14ac:dyDescent="0.25">
      <c r="A27" s="68" t="s">
        <v>148</v>
      </c>
      <c r="B27" s="69"/>
      <c r="C27" s="69"/>
      <c r="D27" s="70">
        <v>29635.474517836796</v>
      </c>
      <c r="E27" s="70">
        <v>30758.039612394845</v>
      </c>
      <c r="F27" s="70">
        <v>32428.045408793812</v>
      </c>
      <c r="G27" s="70">
        <v>34522.186153716197</v>
      </c>
      <c r="H27" s="70">
        <v>36926.853098526102</v>
      </c>
      <c r="I27" s="70">
        <v>38886.023004531198</v>
      </c>
      <c r="J27" s="70">
        <v>41185.66782525117</v>
      </c>
      <c r="K27" s="70">
        <v>45500.822488054342</v>
      </c>
      <c r="L27" s="70">
        <v>48020.668818238002</v>
      </c>
      <c r="M27" s="70">
        <v>49065.100457857137</v>
      </c>
      <c r="N27" s="70">
        <v>47057.420854602533</v>
      </c>
      <c r="O27" s="70">
        <v>46313.463674473605</v>
      </c>
      <c r="P27" s="70">
        <v>44422.703048878117</v>
      </c>
      <c r="Q27" s="70">
        <v>43725.352033911571</v>
      </c>
      <c r="R27" s="70">
        <v>44384.083159532565</v>
      </c>
      <c r="S27" s="70">
        <v>41753.499999999993</v>
      </c>
      <c r="T27" s="70">
        <v>42668.026254566335</v>
      </c>
      <c r="U27" s="70">
        <v>44189.520667198944</v>
      </c>
      <c r="V27" s="70">
        <v>44990.856794544547</v>
      </c>
      <c r="W27" s="70">
        <v>46567.70876523757</v>
      </c>
      <c r="X27" s="70">
        <v>41880.89325391638</v>
      </c>
      <c r="Y27" s="70">
        <v>46758.266392676996</v>
      </c>
    </row>
    <row r="28" spans="1:25" x14ac:dyDescent="0.25">
      <c r="A28" s="68" t="s">
        <v>150</v>
      </c>
      <c r="B28" s="71"/>
      <c r="C28" s="71"/>
      <c r="D28" s="70">
        <v>41481.615048396641</v>
      </c>
      <c r="E28" s="70">
        <v>42317.777659461193</v>
      </c>
      <c r="F28" s="70">
        <v>43270.350503905109</v>
      </c>
      <c r="G28" s="70">
        <v>46725.596437665168</v>
      </c>
      <c r="H28" s="70">
        <v>50914.961812050948</v>
      </c>
      <c r="I28" s="70">
        <v>56050.075519925645</v>
      </c>
      <c r="J28" s="70">
        <v>58040.725549582574</v>
      </c>
      <c r="K28" s="70">
        <v>64869.576894240345</v>
      </c>
      <c r="L28" s="70">
        <v>66125.226029435318</v>
      </c>
      <c r="M28" s="70">
        <v>60597.685997104563</v>
      </c>
      <c r="N28" s="70">
        <v>67719.941524672293</v>
      </c>
      <c r="O28" s="70">
        <v>67199.417167289706</v>
      </c>
      <c r="P28" s="70">
        <v>66956.268154891251</v>
      </c>
      <c r="Q28" s="70">
        <v>68227.918889597247</v>
      </c>
      <c r="R28" s="70">
        <v>76368.281082751244</v>
      </c>
      <c r="S28" s="70">
        <v>80250.3</v>
      </c>
      <c r="T28" s="70">
        <v>83660.789418974178</v>
      </c>
      <c r="U28" s="70">
        <v>92209.182642823493</v>
      </c>
      <c r="V28" s="70">
        <v>107325.32667911162</v>
      </c>
      <c r="W28" s="70">
        <v>119745.32622015828</v>
      </c>
      <c r="X28" s="70">
        <v>131900.03174188244</v>
      </c>
      <c r="Y28" s="70">
        <v>151505.79114515224</v>
      </c>
    </row>
    <row r="29" spans="1:25" x14ac:dyDescent="0.25">
      <c r="A29" s="68" t="s">
        <v>152</v>
      </c>
      <c r="B29" s="71"/>
      <c r="C29" s="71"/>
      <c r="D29" s="70">
        <v>16301.2275868038</v>
      </c>
      <c r="E29" s="70">
        <v>14319.428175913099</v>
      </c>
      <c r="F29" s="70">
        <v>15290.557671971159</v>
      </c>
      <c r="G29" s="70">
        <v>16279.942558557703</v>
      </c>
      <c r="H29" s="70">
        <v>16953.900413454547</v>
      </c>
      <c r="I29" s="70">
        <v>18595.561752062309</v>
      </c>
      <c r="J29" s="70">
        <v>19879.075069570928</v>
      </c>
      <c r="K29" s="70">
        <v>21957.185859919638</v>
      </c>
      <c r="L29" s="70">
        <v>21681.086772414092</v>
      </c>
      <c r="M29" s="70">
        <v>19035.67519214694</v>
      </c>
      <c r="N29" s="70">
        <v>20364.632012845414</v>
      </c>
      <c r="O29" s="70">
        <v>21242.580229072366</v>
      </c>
      <c r="P29" s="70">
        <v>21293.657510120975</v>
      </c>
      <c r="Q29" s="70">
        <v>22840.54177991028</v>
      </c>
      <c r="R29" s="70">
        <v>22664.393462883891</v>
      </c>
      <c r="S29" s="70">
        <v>20908.807965180669</v>
      </c>
      <c r="T29" s="70">
        <v>22282.741035592979</v>
      </c>
      <c r="U29" s="70">
        <v>23225.577017348463</v>
      </c>
      <c r="V29" s="70">
        <v>23974.52220348976</v>
      </c>
      <c r="W29" s="70">
        <v>24299.028483316466</v>
      </c>
      <c r="X29" s="70">
        <v>25301.795127273501</v>
      </c>
      <c r="Y29" s="70">
        <v>25246.357533304075</v>
      </c>
    </row>
    <row r="30" spans="1:25" x14ac:dyDescent="0.25">
      <c r="A30" s="64" t="s">
        <v>154</v>
      </c>
      <c r="B30" s="65"/>
      <c r="C30" s="65"/>
      <c r="D30" s="66">
        <v>1578.8410772759403</v>
      </c>
      <c r="E30" s="66">
        <v>1821.2916622297944</v>
      </c>
      <c r="F30" s="66">
        <v>1749.5891039280391</v>
      </c>
      <c r="G30" s="66">
        <v>1924.5296680222525</v>
      </c>
      <c r="H30" s="66">
        <v>2084.9071216652565</v>
      </c>
      <c r="I30" s="66">
        <v>1905.5420006971071</v>
      </c>
      <c r="J30" s="66">
        <v>2040.1890988745711</v>
      </c>
      <c r="K30" s="66">
        <v>2509.0921298523995</v>
      </c>
      <c r="L30" s="66">
        <v>2772.3225525876078</v>
      </c>
      <c r="M30" s="66">
        <v>3046.5743105660245</v>
      </c>
      <c r="N30" s="66">
        <v>3015.3138255805598</v>
      </c>
      <c r="O30" s="66">
        <v>3424.7393376249565</v>
      </c>
      <c r="P30" s="66">
        <v>3554.6991148418383</v>
      </c>
      <c r="Q30" s="66">
        <v>3649.0733595051952</v>
      </c>
      <c r="R30" s="66">
        <v>3370.6315313227619</v>
      </c>
      <c r="S30" s="66">
        <v>2919.3</v>
      </c>
      <c r="T30" s="66">
        <v>2887.5073011850195</v>
      </c>
      <c r="U30" s="66">
        <v>2700.5396461998712</v>
      </c>
      <c r="V30" s="66">
        <v>2910.4918282601243</v>
      </c>
      <c r="W30" s="66">
        <v>2780.4037556089966</v>
      </c>
      <c r="X30" s="66">
        <v>2965.438691487574</v>
      </c>
      <c r="Y30" s="66">
        <v>3413.0394171492621</v>
      </c>
    </row>
    <row r="31" spans="1:25" x14ac:dyDescent="0.25">
      <c r="A31" s="64" t="s">
        <v>37</v>
      </c>
      <c r="B31" s="65"/>
      <c r="C31" s="65"/>
      <c r="D31" s="66">
        <v>9998.1247205112304</v>
      </c>
      <c r="E31" s="66">
        <v>10756.841656905548</v>
      </c>
      <c r="F31" s="66">
        <v>11048.708703352147</v>
      </c>
      <c r="G31" s="66">
        <v>11986.798122292348</v>
      </c>
      <c r="H31" s="66">
        <v>14235.109082893467</v>
      </c>
      <c r="I31" s="66">
        <v>16988.497734402234</v>
      </c>
      <c r="J31" s="66">
        <v>19407.221967656493</v>
      </c>
      <c r="K31" s="66">
        <v>17973.99371104372</v>
      </c>
      <c r="L31" s="66">
        <v>12645.288287669666</v>
      </c>
      <c r="M31" s="66">
        <v>4908.7228257671168</v>
      </c>
      <c r="N31" s="66">
        <v>2806.6959043305301</v>
      </c>
      <c r="O31" s="66">
        <v>2005.7566673434533</v>
      </c>
      <c r="P31" s="66">
        <v>3078.3833855584276</v>
      </c>
      <c r="Q31" s="66">
        <v>3889.429475779843</v>
      </c>
      <c r="R31" s="66">
        <v>4885.6225378223589</v>
      </c>
      <c r="S31" s="66">
        <v>4908.8</v>
      </c>
      <c r="T31" s="66">
        <v>5677.1044737701841</v>
      </c>
      <c r="U31" s="66">
        <v>7193.4549861962159</v>
      </c>
      <c r="V31" s="66">
        <v>7671.9113109070822</v>
      </c>
      <c r="W31" s="66">
        <v>8088.8409763109157</v>
      </c>
      <c r="X31" s="66">
        <v>7634.5762458688869</v>
      </c>
      <c r="Y31" s="66">
        <v>8717.448159910331</v>
      </c>
    </row>
    <row r="32" spans="1:25" x14ac:dyDescent="0.25">
      <c r="A32" s="64" t="s">
        <v>58</v>
      </c>
      <c r="B32" s="65"/>
      <c r="C32" s="65"/>
      <c r="D32" s="66">
        <v>35917.228048411067</v>
      </c>
      <c r="E32" s="66">
        <v>40814.210414226392</v>
      </c>
      <c r="F32" s="66">
        <v>46163.313669779731</v>
      </c>
      <c r="G32" s="66">
        <v>40868.017425513164</v>
      </c>
      <c r="H32" s="66">
        <v>39158.673609207988</v>
      </c>
      <c r="I32" s="66">
        <v>38583.130010456603</v>
      </c>
      <c r="J32" s="66">
        <v>38199.31379013601</v>
      </c>
      <c r="K32" s="66">
        <v>39440.820026185342</v>
      </c>
      <c r="L32" s="66">
        <v>37395.110897479914</v>
      </c>
      <c r="M32" s="66">
        <v>40455.267711067441</v>
      </c>
      <c r="N32" s="66">
        <v>38822.105591104075</v>
      </c>
      <c r="O32" s="66">
        <v>41947.473396314301</v>
      </c>
      <c r="P32" s="66">
        <v>38732.416916355985</v>
      </c>
      <c r="Q32" s="66">
        <v>38038.116968090471</v>
      </c>
      <c r="R32" s="66">
        <v>42081.305657629033</v>
      </c>
      <c r="S32" s="66">
        <v>91168.792034819315</v>
      </c>
      <c r="T32" s="66">
        <v>87594.995052555838</v>
      </c>
      <c r="U32" s="66">
        <v>91479.252864237176</v>
      </c>
      <c r="V32" s="66">
        <v>101847.79483715944</v>
      </c>
      <c r="W32" s="66">
        <v>102872.47090395537</v>
      </c>
      <c r="X32" s="66">
        <v>119320.56982968826</v>
      </c>
      <c r="Y32" s="66">
        <v>141403.93202395353</v>
      </c>
    </row>
    <row r="33" spans="1:25" x14ac:dyDescent="0.25">
      <c r="A33" s="72" t="s">
        <v>158</v>
      </c>
      <c r="B33" s="65"/>
      <c r="C33" s="65"/>
      <c r="D33" s="66">
        <v>278.83963475325652</v>
      </c>
      <c r="E33" s="66">
        <v>307.20902992226598</v>
      </c>
      <c r="F33" s="66">
        <v>231.50330628002092</v>
      </c>
      <c r="G33" s="66">
        <v>248.83246648243571</v>
      </c>
      <c r="H33" s="66">
        <v>299.90348755466056</v>
      </c>
      <c r="I33" s="66">
        <v>268.50238178227028</v>
      </c>
      <c r="J33" s="66">
        <v>383.78577735060406</v>
      </c>
      <c r="K33" s="66">
        <v>291.39576782337207</v>
      </c>
      <c r="L33" s="66">
        <v>261.85080912815584</v>
      </c>
      <c r="M33" s="66">
        <v>155.48310401242924</v>
      </c>
      <c r="N33" s="66">
        <v>219.4023054616915</v>
      </c>
      <c r="O33" s="66">
        <v>184.28501474996719</v>
      </c>
      <c r="P33" s="66">
        <v>166.1672880309234</v>
      </c>
      <c r="Q33" s="66">
        <v>203.67077139885245</v>
      </c>
      <c r="R33" s="66">
        <v>245.4177287825118</v>
      </c>
      <c r="S33" s="66">
        <v>262.60000000000002</v>
      </c>
      <c r="T33" s="66">
        <v>228.19296908257516</v>
      </c>
      <c r="U33" s="66">
        <v>284.5407235683985</v>
      </c>
      <c r="V33" s="66">
        <v>280.5821174139968</v>
      </c>
      <c r="W33" s="66">
        <v>339.99502446305661</v>
      </c>
      <c r="X33" s="66">
        <v>263.73770002053885</v>
      </c>
      <c r="Y33" s="66">
        <v>218.47562114702035</v>
      </c>
    </row>
    <row r="34" spans="1:25" x14ac:dyDescent="0.25">
      <c r="A34" s="73" t="s">
        <v>5</v>
      </c>
      <c r="B34" s="65"/>
      <c r="C34" s="65"/>
      <c r="D34" s="66">
        <v>13.614816342986996</v>
      </c>
      <c r="E34" s="66">
        <v>14.999999999999998</v>
      </c>
      <c r="F34" s="66">
        <v>0</v>
      </c>
      <c r="G34" s="66">
        <v>0</v>
      </c>
      <c r="H34" s="66">
        <v>0</v>
      </c>
      <c r="I34" s="66">
        <v>0</v>
      </c>
      <c r="J34" s="66">
        <v>0</v>
      </c>
      <c r="K34" s="66">
        <v>0</v>
      </c>
      <c r="L34" s="66">
        <v>0</v>
      </c>
      <c r="M34" s="66">
        <v>0</v>
      </c>
      <c r="N34" s="66">
        <v>0</v>
      </c>
      <c r="O34" s="66">
        <v>0</v>
      </c>
      <c r="P34" s="66">
        <v>0</v>
      </c>
      <c r="Q34" s="66">
        <v>0</v>
      </c>
      <c r="R34" s="66">
        <v>0</v>
      </c>
      <c r="S34" s="66">
        <v>0</v>
      </c>
      <c r="T34" s="66">
        <v>0</v>
      </c>
      <c r="U34" s="66">
        <v>0</v>
      </c>
      <c r="V34" s="66">
        <v>0</v>
      </c>
      <c r="W34" s="66">
        <v>0</v>
      </c>
      <c r="X34" s="66">
        <v>0</v>
      </c>
      <c r="Y34" s="66">
        <v>0</v>
      </c>
    </row>
    <row r="35" spans="1:25" x14ac:dyDescent="0.25">
      <c r="A35" s="74" t="s">
        <v>270</v>
      </c>
      <c r="B35" s="44"/>
      <c r="C35" s="44"/>
      <c r="D35" s="45">
        <v>0</v>
      </c>
      <c r="E35" s="45">
        <v>0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>
        <v>0</v>
      </c>
      <c r="N35" s="45">
        <v>0</v>
      </c>
      <c r="O35" s="45">
        <v>0</v>
      </c>
      <c r="P35" s="45">
        <v>0</v>
      </c>
      <c r="Q35" s="45">
        <v>0</v>
      </c>
      <c r="R35" s="45">
        <v>0</v>
      </c>
      <c r="S35" s="45">
        <v>0</v>
      </c>
      <c r="T35" s="45">
        <v>0</v>
      </c>
      <c r="U35" s="45">
        <v>0</v>
      </c>
      <c r="V35" s="45">
        <v>0</v>
      </c>
      <c r="W35" s="45">
        <v>0</v>
      </c>
      <c r="X35" s="45">
        <v>0</v>
      </c>
      <c r="Y35" s="45">
        <v>0</v>
      </c>
    </row>
    <row r="36" spans="1:25" x14ac:dyDescent="0.25">
      <c r="A36" s="74" t="s">
        <v>15</v>
      </c>
      <c r="B36" s="44"/>
      <c r="C36" s="44"/>
      <c r="D36" s="45">
        <v>13.614816342986996</v>
      </c>
      <c r="E36" s="45">
        <v>14.999999999999998</v>
      </c>
      <c r="F36" s="45">
        <v>0</v>
      </c>
      <c r="G36" s="45">
        <v>0</v>
      </c>
      <c r="H36" s="45">
        <v>0</v>
      </c>
      <c r="I36" s="45">
        <v>0</v>
      </c>
      <c r="J36" s="45">
        <v>0</v>
      </c>
      <c r="K36" s="45">
        <v>0</v>
      </c>
      <c r="L36" s="45">
        <v>0</v>
      </c>
      <c r="M36" s="45">
        <v>0</v>
      </c>
      <c r="N36" s="45">
        <v>0</v>
      </c>
      <c r="O36" s="45">
        <v>0</v>
      </c>
      <c r="P36" s="45">
        <v>0</v>
      </c>
      <c r="Q36" s="45">
        <v>0</v>
      </c>
      <c r="R36" s="45">
        <v>0</v>
      </c>
      <c r="S36" s="45">
        <v>0</v>
      </c>
      <c r="T36" s="45">
        <v>0</v>
      </c>
      <c r="U36" s="45">
        <v>0</v>
      </c>
      <c r="V36" s="45">
        <v>0</v>
      </c>
      <c r="W36" s="45">
        <v>0</v>
      </c>
      <c r="X36" s="45">
        <v>0</v>
      </c>
      <c r="Y36" s="45">
        <v>0</v>
      </c>
    </row>
    <row r="37" spans="1:25" x14ac:dyDescent="0.25">
      <c r="A37" s="73" t="s">
        <v>269</v>
      </c>
      <c r="B37" s="65"/>
      <c r="C37" s="65"/>
      <c r="D37" s="66">
        <v>265.22481841026951</v>
      </c>
      <c r="E37" s="66">
        <v>292.20902992226598</v>
      </c>
      <c r="F37" s="66">
        <v>231.50330628002092</v>
      </c>
      <c r="G37" s="66">
        <v>248.83246648243571</v>
      </c>
      <c r="H37" s="66">
        <v>299.90348755466056</v>
      </c>
      <c r="I37" s="66">
        <v>268.50238178227028</v>
      </c>
      <c r="J37" s="66">
        <v>383.78577735060406</v>
      </c>
      <c r="K37" s="66">
        <v>291.39576782337207</v>
      </c>
      <c r="L37" s="66">
        <v>261.85080912815584</v>
      </c>
      <c r="M37" s="66">
        <v>155.48310401242924</v>
      </c>
      <c r="N37" s="66">
        <v>219.4023054616915</v>
      </c>
      <c r="O37" s="66">
        <v>184.28501474996719</v>
      </c>
      <c r="P37" s="66">
        <v>166.1672880309234</v>
      </c>
      <c r="Q37" s="66">
        <v>203.67077139885245</v>
      </c>
      <c r="R37" s="66">
        <v>245.4177287825118</v>
      </c>
      <c r="S37" s="66">
        <v>262.60000000000002</v>
      </c>
      <c r="T37" s="66">
        <v>228.19296908257516</v>
      </c>
      <c r="U37" s="66">
        <v>284.5407235683985</v>
      </c>
      <c r="V37" s="66">
        <v>280.5821174139968</v>
      </c>
      <c r="W37" s="66">
        <v>339.99502446305655</v>
      </c>
      <c r="X37" s="66">
        <v>263.73770002053885</v>
      </c>
      <c r="Y37" s="66">
        <v>218.47562114702035</v>
      </c>
    </row>
    <row r="38" spans="1:25" x14ac:dyDescent="0.25">
      <c r="A38" s="74" t="s">
        <v>14</v>
      </c>
      <c r="B38" s="44"/>
      <c r="C38" s="44"/>
      <c r="D38" s="45">
        <v>225.65468111144725</v>
      </c>
      <c r="E38" s="45">
        <v>248.61299127367465</v>
      </c>
      <c r="F38" s="45">
        <v>208.84802593012466</v>
      </c>
      <c r="G38" s="45">
        <v>224.48132705854809</v>
      </c>
      <c r="H38" s="45">
        <v>270.55445709094823</v>
      </c>
      <c r="I38" s="45">
        <v>242.2263132818301</v>
      </c>
      <c r="J38" s="45">
        <v>346.2278931030944</v>
      </c>
      <c r="K38" s="45">
        <v>262.87931629232321</v>
      </c>
      <c r="L38" s="45">
        <v>236.22567406649947</v>
      </c>
      <c r="M38" s="45">
        <v>79.617884911855072</v>
      </c>
      <c r="N38" s="45">
        <v>187.95039317437664</v>
      </c>
      <c r="O38" s="45">
        <v>141.9419126769962</v>
      </c>
      <c r="P38" s="45">
        <v>127.48193050131022</v>
      </c>
      <c r="Q38" s="45">
        <v>145</v>
      </c>
      <c r="R38" s="45">
        <v>170</v>
      </c>
      <c r="S38" s="45">
        <v>188.80105011506924</v>
      </c>
      <c r="T38" s="45">
        <v>146.10060540749481</v>
      </c>
      <c r="U38" s="45">
        <v>208.2138975034965</v>
      </c>
      <c r="V38" s="45">
        <v>220</v>
      </c>
      <c r="W38" s="45">
        <v>249.99999999999997</v>
      </c>
      <c r="X38" s="45">
        <v>200</v>
      </c>
      <c r="Y38" s="45">
        <v>150</v>
      </c>
    </row>
    <row r="39" spans="1:25" x14ac:dyDescent="0.25">
      <c r="A39" s="74" t="s">
        <v>19</v>
      </c>
      <c r="B39" s="44"/>
      <c r="C39" s="44"/>
      <c r="D39" s="45">
        <v>0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v>0</v>
      </c>
      <c r="O39" s="45">
        <v>0</v>
      </c>
      <c r="P39" s="45">
        <v>0</v>
      </c>
      <c r="Q39" s="45">
        <v>0</v>
      </c>
      <c r="R39" s="45">
        <v>0</v>
      </c>
      <c r="S39" s="45">
        <v>0</v>
      </c>
      <c r="T39" s="45">
        <v>0</v>
      </c>
      <c r="U39" s="45">
        <v>0</v>
      </c>
      <c r="V39" s="45">
        <v>0</v>
      </c>
      <c r="W39" s="45">
        <v>0</v>
      </c>
      <c r="X39" s="45">
        <v>0</v>
      </c>
      <c r="Y39" s="45">
        <v>0</v>
      </c>
    </row>
    <row r="40" spans="1:25" x14ac:dyDescent="0.25">
      <c r="A40" s="75" t="s">
        <v>273</v>
      </c>
      <c r="B40" s="76"/>
      <c r="C40" s="76"/>
      <c r="D40" s="45">
        <v>0</v>
      </c>
      <c r="E40" s="45">
        <v>0</v>
      </c>
      <c r="F40" s="45">
        <v>0</v>
      </c>
      <c r="G40" s="45">
        <v>0</v>
      </c>
      <c r="H40" s="45">
        <v>0</v>
      </c>
      <c r="I40" s="45">
        <v>0</v>
      </c>
      <c r="J40" s="45">
        <v>0</v>
      </c>
      <c r="K40" s="45">
        <v>0</v>
      </c>
      <c r="L40" s="45">
        <v>0</v>
      </c>
      <c r="M40" s="45">
        <v>0</v>
      </c>
      <c r="N40" s="45">
        <v>0</v>
      </c>
      <c r="O40" s="45">
        <v>0</v>
      </c>
      <c r="P40" s="45">
        <v>0</v>
      </c>
      <c r="Q40" s="45">
        <v>0</v>
      </c>
      <c r="R40" s="45">
        <v>0</v>
      </c>
      <c r="S40" s="45">
        <v>0</v>
      </c>
      <c r="T40" s="45">
        <v>0</v>
      </c>
      <c r="U40" s="45">
        <v>0</v>
      </c>
      <c r="V40" s="45">
        <v>0</v>
      </c>
      <c r="W40" s="45">
        <v>0</v>
      </c>
      <c r="X40" s="45">
        <v>0</v>
      </c>
      <c r="Y40" s="45">
        <v>0</v>
      </c>
    </row>
    <row r="41" spans="1:25" x14ac:dyDescent="0.25">
      <c r="A41" s="75" t="s">
        <v>274</v>
      </c>
      <c r="B41" s="76"/>
      <c r="C41" s="76"/>
      <c r="D41" s="45">
        <v>0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>
        <v>0</v>
      </c>
      <c r="Q41" s="45">
        <v>0</v>
      </c>
      <c r="R41" s="45">
        <v>0</v>
      </c>
      <c r="S41" s="45">
        <v>0</v>
      </c>
      <c r="T41" s="45">
        <v>0</v>
      </c>
      <c r="U41" s="45">
        <v>0</v>
      </c>
      <c r="V41" s="45">
        <v>0</v>
      </c>
      <c r="W41" s="45">
        <v>0</v>
      </c>
      <c r="X41" s="45">
        <v>0</v>
      </c>
      <c r="Y41" s="45">
        <v>0</v>
      </c>
    </row>
    <row r="42" spans="1:25" x14ac:dyDescent="0.25">
      <c r="A42" s="74" t="s">
        <v>13</v>
      </c>
      <c r="B42" s="44"/>
      <c r="C42" s="44"/>
      <c r="D42" s="45">
        <v>39.57013729882226</v>
      </c>
      <c r="E42" s="45">
        <v>43.596038648591332</v>
      </c>
      <c r="F42" s="45">
        <v>22.655280349896259</v>
      </c>
      <c r="G42" s="45">
        <v>24.351139423887616</v>
      </c>
      <c r="H42" s="45">
        <v>29.349030463712324</v>
      </c>
      <c r="I42" s="45">
        <v>26.276068500440175</v>
      </c>
      <c r="J42" s="45">
        <v>37.557884247509662</v>
      </c>
      <c r="K42" s="45">
        <v>28.516451531048862</v>
      </c>
      <c r="L42" s="45">
        <v>25.62513506165638</v>
      </c>
      <c r="M42" s="45">
        <v>75.865219100574166</v>
      </c>
      <c r="N42" s="45">
        <v>31.451912287314855</v>
      </c>
      <c r="O42" s="45">
        <v>42.343102072970993</v>
      </c>
      <c r="P42" s="45">
        <v>38.685357529613185</v>
      </c>
      <c r="Q42" s="45">
        <v>58.670771398852452</v>
      </c>
      <c r="R42" s="45">
        <v>75.417728782511801</v>
      </c>
      <c r="S42" s="45">
        <v>73.798949884930778</v>
      </c>
      <c r="T42" s="45">
        <v>82.09236367508035</v>
      </c>
      <c r="U42" s="45">
        <v>76.326826064902008</v>
      </c>
      <c r="V42" s="45">
        <v>60.582117413996798</v>
      </c>
      <c r="W42" s="45">
        <v>89.995024463056609</v>
      </c>
      <c r="X42" s="45">
        <v>63.73770002053886</v>
      </c>
      <c r="Y42" s="45">
        <v>68.475621147020348</v>
      </c>
    </row>
    <row r="43" spans="1:25" x14ac:dyDescent="0.25">
      <c r="A43" s="72" t="s">
        <v>271</v>
      </c>
      <c r="B43" s="65"/>
      <c r="C43" s="65"/>
      <c r="D43" s="66">
        <v>15228.711971495759</v>
      </c>
      <c r="E43" s="66">
        <v>17701.788946864024</v>
      </c>
      <c r="F43" s="66">
        <v>23282.072190299037</v>
      </c>
      <c r="G43" s="66">
        <v>17959.984070860526</v>
      </c>
      <c r="H43" s="66">
        <v>15949.217772588079</v>
      </c>
      <c r="I43" s="66">
        <v>15205.646566747995</v>
      </c>
      <c r="J43" s="66">
        <v>14145.534606658697</v>
      </c>
      <c r="K43" s="66">
        <v>16162.84144444569</v>
      </c>
      <c r="L43" s="66">
        <v>15679.690539952851</v>
      </c>
      <c r="M43" s="66">
        <v>19761.184543496434</v>
      </c>
      <c r="N43" s="66">
        <v>19667.840966280826</v>
      </c>
      <c r="O43" s="66">
        <v>21851.688184499992</v>
      </c>
      <c r="P43" s="66">
        <v>19872.486905606005</v>
      </c>
      <c r="Q43" s="66">
        <v>17721.258486282146</v>
      </c>
      <c r="R43" s="66">
        <v>19627.128369803919</v>
      </c>
      <c r="S43" s="66">
        <v>69920.839472602238</v>
      </c>
      <c r="T43" s="66">
        <v>65835.1468365951</v>
      </c>
      <c r="U43" s="66">
        <v>68669.032971089924</v>
      </c>
      <c r="V43" s="66">
        <v>78987.1197631619</v>
      </c>
      <c r="W43" s="66">
        <v>77878.449079146594</v>
      </c>
      <c r="X43" s="66">
        <v>92059.083853708711</v>
      </c>
      <c r="Y43" s="66">
        <v>111684.32606884658</v>
      </c>
    </row>
    <row r="44" spans="1:25" x14ac:dyDescent="0.25">
      <c r="A44" s="73" t="s">
        <v>272</v>
      </c>
      <c r="B44" s="65"/>
      <c r="C44" s="65"/>
      <c r="D44" s="66">
        <v>2776.567661526482</v>
      </c>
      <c r="E44" s="66">
        <v>1052.7366627622259</v>
      </c>
      <c r="F44" s="66">
        <v>1100.9466535859517</v>
      </c>
      <c r="G44" s="66">
        <v>850.15748126515098</v>
      </c>
      <c r="H44" s="66">
        <v>1043.8833748376546</v>
      </c>
      <c r="I44" s="66">
        <v>869.75717439293442</v>
      </c>
      <c r="J44" s="66">
        <v>802.77613241391964</v>
      </c>
      <c r="K44" s="66">
        <v>2056.1082327137647</v>
      </c>
      <c r="L44" s="66">
        <v>1787.5208862642787</v>
      </c>
      <c r="M44" s="66">
        <v>2077.0706559480282</v>
      </c>
      <c r="N44" s="66">
        <v>1946.7011766961423</v>
      </c>
      <c r="O44" s="66">
        <v>2880.364031578064</v>
      </c>
      <c r="P44" s="66">
        <v>3592.5527778413134</v>
      </c>
      <c r="Q44" s="66">
        <v>4026.5521368094996</v>
      </c>
      <c r="R44" s="66">
        <v>4060.9792432217764</v>
      </c>
      <c r="S44" s="66">
        <v>3770.0095289941632</v>
      </c>
      <c r="T44" s="66">
        <v>4385.1531517965659</v>
      </c>
      <c r="U44" s="66">
        <v>4546.6557833654997</v>
      </c>
      <c r="V44" s="66">
        <v>4593.8667922783634</v>
      </c>
      <c r="W44" s="66">
        <v>4821.3719244866161</v>
      </c>
      <c r="X44" s="66">
        <v>5134.7904953219995</v>
      </c>
      <c r="Y44" s="66">
        <v>5513.4063858369373</v>
      </c>
    </row>
    <row r="45" spans="1:25" x14ac:dyDescent="0.25">
      <c r="A45" s="74" t="s">
        <v>20</v>
      </c>
      <c r="B45" s="44"/>
      <c r="C45" s="44"/>
      <c r="D45" s="45">
        <v>0</v>
      </c>
      <c r="E45" s="45">
        <v>0</v>
      </c>
      <c r="F45" s="45">
        <v>0</v>
      </c>
      <c r="G45" s="45">
        <v>0</v>
      </c>
      <c r="H45" s="45">
        <v>0</v>
      </c>
      <c r="I45" s="45">
        <v>0</v>
      </c>
      <c r="J45" s="45">
        <v>0</v>
      </c>
      <c r="K45" s="45">
        <v>0</v>
      </c>
      <c r="L45" s="45">
        <v>0</v>
      </c>
      <c r="M45" s="45">
        <v>0</v>
      </c>
      <c r="N45" s="45">
        <v>0</v>
      </c>
      <c r="O45" s="45">
        <v>0</v>
      </c>
      <c r="P45" s="45">
        <v>0</v>
      </c>
      <c r="Q45" s="45">
        <v>0</v>
      </c>
      <c r="R45" s="45">
        <v>0</v>
      </c>
      <c r="S45" s="45">
        <v>0</v>
      </c>
      <c r="T45" s="45">
        <v>0</v>
      </c>
      <c r="U45" s="45">
        <v>0</v>
      </c>
      <c r="V45" s="45">
        <v>0</v>
      </c>
      <c r="W45" s="45">
        <v>0</v>
      </c>
      <c r="X45" s="45">
        <v>0</v>
      </c>
      <c r="Y45" s="45">
        <v>0</v>
      </c>
    </row>
    <row r="46" spans="1:25" x14ac:dyDescent="0.25">
      <c r="A46" s="74" t="s">
        <v>12</v>
      </c>
      <c r="B46" s="44"/>
      <c r="C46" s="44"/>
      <c r="D46" s="45">
        <v>2776.567661526482</v>
      </c>
      <c r="E46" s="45">
        <v>1052.7366627622259</v>
      </c>
      <c r="F46" s="45">
        <v>1100.9466535859517</v>
      </c>
      <c r="G46" s="45">
        <v>850.15748126515098</v>
      </c>
      <c r="H46" s="45">
        <v>1043.8833748376546</v>
      </c>
      <c r="I46" s="45">
        <v>869.75717439293442</v>
      </c>
      <c r="J46" s="45">
        <v>802.77613241391964</v>
      </c>
      <c r="K46" s="45">
        <v>2056.1082327137647</v>
      </c>
      <c r="L46" s="45">
        <v>1787.5208862642787</v>
      </c>
      <c r="M46" s="45">
        <v>2077.0706559480282</v>
      </c>
      <c r="N46" s="45">
        <v>1946.7011766961423</v>
      </c>
      <c r="O46" s="45">
        <v>2880.364031578064</v>
      </c>
      <c r="P46" s="45">
        <v>3592.5527778413134</v>
      </c>
      <c r="Q46" s="45">
        <v>4026.5521368094996</v>
      </c>
      <c r="R46" s="45">
        <v>4060.9792432217764</v>
      </c>
      <c r="S46" s="45">
        <v>3770.0095289941632</v>
      </c>
      <c r="T46" s="45">
        <v>4385.1531517965659</v>
      </c>
      <c r="U46" s="45">
        <v>4546.6557833654997</v>
      </c>
      <c r="V46" s="45">
        <v>4593.8667922783634</v>
      </c>
      <c r="W46" s="45">
        <v>4821.3719244866161</v>
      </c>
      <c r="X46" s="45">
        <v>5134.7904953219995</v>
      </c>
      <c r="Y46" s="45">
        <v>5513.4063858369373</v>
      </c>
    </row>
    <row r="47" spans="1:25" x14ac:dyDescent="0.25">
      <c r="A47" s="73" t="s">
        <v>11</v>
      </c>
      <c r="B47" s="65"/>
      <c r="C47" s="65"/>
      <c r="D47" s="66">
        <v>12452.144309969277</v>
      </c>
      <c r="E47" s="66">
        <v>16649.052284101799</v>
      </c>
      <c r="F47" s="66">
        <v>22181.125536713087</v>
      </c>
      <c r="G47" s="66">
        <v>17109.826589595374</v>
      </c>
      <c r="H47" s="66">
        <v>14905.334397750425</v>
      </c>
      <c r="I47" s="66">
        <v>14335.88939235506</v>
      </c>
      <c r="J47" s="66">
        <v>13342.758474244778</v>
      </c>
      <c r="K47" s="66">
        <v>14106.733211731926</v>
      </c>
      <c r="L47" s="66">
        <v>13892.169653688572</v>
      </c>
      <c r="M47" s="66">
        <v>17684.113887548407</v>
      </c>
      <c r="N47" s="66">
        <v>17721.139789584682</v>
      </c>
      <c r="O47" s="66">
        <v>18971.324152921927</v>
      </c>
      <c r="P47" s="66">
        <v>16279.934127764691</v>
      </c>
      <c r="Q47" s="66">
        <v>13694.706349472648</v>
      </c>
      <c r="R47" s="66">
        <v>15566.149126582141</v>
      </c>
      <c r="S47" s="66">
        <v>66150.829943608071</v>
      </c>
      <c r="T47" s="66">
        <v>61449.993684798537</v>
      </c>
      <c r="U47" s="66">
        <v>64122.377187724429</v>
      </c>
      <c r="V47" s="66">
        <v>74393.252970883535</v>
      </c>
      <c r="W47" s="66">
        <v>73057.077154659972</v>
      </c>
      <c r="X47" s="66">
        <v>86924.293358386712</v>
      </c>
      <c r="Y47" s="66">
        <v>106170.91968300965</v>
      </c>
    </row>
    <row r="48" spans="1:25" x14ac:dyDescent="0.25">
      <c r="A48" s="72" t="s">
        <v>4</v>
      </c>
      <c r="B48" s="65"/>
      <c r="C48" s="65"/>
      <c r="D48" s="66">
        <v>1153.1526333251591</v>
      </c>
      <c r="E48" s="66">
        <v>1077.7606218720048</v>
      </c>
      <c r="F48" s="66">
        <v>1002.8412348541797</v>
      </c>
      <c r="G48" s="66">
        <v>1014.1552125695392</v>
      </c>
      <c r="H48" s="66">
        <v>1068.6668175914783</v>
      </c>
      <c r="I48" s="66">
        <v>1179.0403160218427</v>
      </c>
      <c r="J48" s="66">
        <v>1226.572191736424</v>
      </c>
      <c r="K48" s="66">
        <v>1331.1997135279703</v>
      </c>
      <c r="L48" s="66">
        <v>984.80166632333078</v>
      </c>
      <c r="M48" s="66">
        <v>631.34850107696479</v>
      </c>
      <c r="N48" s="66">
        <v>454.74153425839393</v>
      </c>
      <c r="O48" s="66">
        <v>497.79646239654124</v>
      </c>
      <c r="P48" s="66">
        <v>415.70412387639806</v>
      </c>
      <c r="Q48" s="66">
        <v>550.16832757328666</v>
      </c>
      <c r="R48" s="66">
        <v>720.69387890224129</v>
      </c>
      <c r="S48" s="66">
        <v>577.00000000000011</v>
      </c>
      <c r="T48" s="66">
        <v>791.39895654928671</v>
      </c>
      <c r="U48" s="66">
        <v>818.22291909154751</v>
      </c>
      <c r="V48" s="66">
        <v>821.1741399672369</v>
      </c>
      <c r="W48" s="66">
        <v>907.48265472537798</v>
      </c>
      <c r="X48" s="66">
        <v>942.45383423268663</v>
      </c>
      <c r="Y48" s="66">
        <v>963.75864001494494</v>
      </c>
    </row>
    <row r="49" spans="1:25" x14ac:dyDescent="0.25">
      <c r="A49" s="77" t="s">
        <v>10</v>
      </c>
      <c r="B49" s="44"/>
      <c r="C49" s="44"/>
      <c r="D49" s="45">
        <v>401.29174387591672</v>
      </c>
      <c r="E49" s="45">
        <v>419.64858492288835</v>
      </c>
      <c r="F49" s="45">
        <v>405.42977239226917</v>
      </c>
      <c r="G49" s="45">
        <v>423.83328786302474</v>
      </c>
      <c r="H49" s="45">
        <v>544.16388530483994</v>
      </c>
      <c r="I49" s="45">
        <v>553.31783638113495</v>
      </c>
      <c r="J49" s="45">
        <v>560.61154106589777</v>
      </c>
      <c r="K49" s="45">
        <v>585.07134540850393</v>
      </c>
      <c r="L49" s="45">
        <v>463.06360970621085</v>
      </c>
      <c r="M49" s="45">
        <v>351.6078189656651</v>
      </c>
      <c r="N49" s="45">
        <v>314.9546881247021</v>
      </c>
      <c r="O49" s="45">
        <v>281.95720986326296</v>
      </c>
      <c r="P49" s="45">
        <v>143.30492512700846</v>
      </c>
      <c r="Q49" s="45">
        <v>189.65852504649069</v>
      </c>
      <c r="R49" s="45">
        <v>248.44348762411386</v>
      </c>
      <c r="S49" s="45">
        <v>198.90815858942341</v>
      </c>
      <c r="T49" s="45">
        <v>272.81752020244312</v>
      </c>
      <c r="U49" s="45">
        <v>282.06449593095743</v>
      </c>
      <c r="V49" s="45">
        <v>283.08186492571315</v>
      </c>
      <c r="W49" s="45">
        <v>312.83484194673554</v>
      </c>
      <c r="X49" s="45">
        <v>324.89039293373543</v>
      </c>
      <c r="Y49" s="45">
        <v>332.23475980939281</v>
      </c>
    </row>
    <row r="50" spans="1:25" x14ac:dyDescent="0.25">
      <c r="A50" s="77" t="s">
        <v>18</v>
      </c>
      <c r="B50" s="44"/>
      <c r="C50" s="44"/>
      <c r="D50" s="45">
        <v>250.27223904850723</v>
      </c>
      <c r="E50" s="45">
        <v>197.88197655176666</v>
      </c>
      <c r="F50" s="45">
        <v>171.19993538634253</v>
      </c>
      <c r="G50" s="45">
        <v>130.61022772283718</v>
      </c>
      <c r="H50" s="45">
        <v>128.54337870072126</v>
      </c>
      <c r="I50" s="45">
        <v>128.33381232126752</v>
      </c>
      <c r="J50" s="45">
        <v>132.67226941224175</v>
      </c>
      <c r="K50" s="45">
        <v>146.63897040179995</v>
      </c>
      <c r="L50" s="45">
        <v>121.09303840206293</v>
      </c>
      <c r="M50" s="45">
        <v>57.030589042754379</v>
      </c>
      <c r="N50" s="45">
        <v>78.16684628799139</v>
      </c>
      <c r="O50" s="45">
        <v>84.57980704403974</v>
      </c>
      <c r="P50" s="45">
        <v>48.238080999702333</v>
      </c>
      <c r="Q50" s="45">
        <v>63.841234244868517</v>
      </c>
      <c r="R50" s="45">
        <v>83.628926704640236</v>
      </c>
      <c r="S50" s="45">
        <v>66.954766956086274</v>
      </c>
      <c r="T50" s="45">
        <v>91.833505554674744</v>
      </c>
      <c r="U50" s="45">
        <v>94.9461436150835</v>
      </c>
      <c r="V50" s="45">
        <v>95.288601684351647</v>
      </c>
      <c r="W50" s="45">
        <v>105.30379491131399</v>
      </c>
      <c r="X50" s="45">
        <v>109.36183160817934</v>
      </c>
      <c r="Y50" s="45">
        <v>111.83402971250479</v>
      </c>
    </row>
    <row r="51" spans="1:25" x14ac:dyDescent="0.25">
      <c r="A51" s="77" t="s">
        <v>9</v>
      </c>
      <c r="B51" s="44"/>
      <c r="C51" s="44"/>
      <c r="D51" s="45">
        <v>501.5886504007351</v>
      </c>
      <c r="E51" s="45">
        <v>460.23006039734969</v>
      </c>
      <c r="F51" s="45">
        <v>426.21152707556803</v>
      </c>
      <c r="G51" s="45">
        <v>459.71169698367726</v>
      </c>
      <c r="H51" s="45">
        <v>395.95955358591709</v>
      </c>
      <c r="I51" s="45">
        <v>497.38866731944029</v>
      </c>
      <c r="J51" s="45">
        <v>533.28838125828452</v>
      </c>
      <c r="K51" s="45">
        <v>599.48939771766641</v>
      </c>
      <c r="L51" s="45">
        <v>400.64501821505701</v>
      </c>
      <c r="M51" s="45">
        <v>222.71009306854532</v>
      </c>
      <c r="N51" s="45">
        <v>61.619999845700434</v>
      </c>
      <c r="O51" s="45">
        <v>131.25944548923854</v>
      </c>
      <c r="P51" s="45">
        <v>224.16111774968726</v>
      </c>
      <c r="Q51" s="45">
        <v>296.66856828192743</v>
      </c>
      <c r="R51" s="45">
        <v>388.62146457348717</v>
      </c>
      <c r="S51" s="45">
        <v>311.1370744544904</v>
      </c>
      <c r="T51" s="45">
        <v>426.74793079216886</v>
      </c>
      <c r="U51" s="45">
        <v>441.21227954550653</v>
      </c>
      <c r="V51" s="45">
        <v>442.8036733571721</v>
      </c>
      <c r="W51" s="45">
        <v>489.34401786732849</v>
      </c>
      <c r="X51" s="45">
        <v>508.20160969077182</v>
      </c>
      <c r="Y51" s="45">
        <v>519.68985049304729</v>
      </c>
    </row>
    <row r="52" spans="1:25" x14ac:dyDescent="0.25">
      <c r="A52" s="72" t="s">
        <v>3</v>
      </c>
      <c r="B52" s="65"/>
      <c r="C52" s="65"/>
      <c r="D52" s="66">
        <v>958.84482783491762</v>
      </c>
      <c r="E52" s="66">
        <v>1243.2115855606432</v>
      </c>
      <c r="F52" s="66">
        <v>1176.3731573381579</v>
      </c>
      <c r="G52" s="66">
        <v>1179.9630733585141</v>
      </c>
      <c r="H52" s="66">
        <v>1157.4344370703109</v>
      </c>
      <c r="I52" s="66">
        <v>1245.3816660857442</v>
      </c>
      <c r="J52" s="66">
        <v>1200.3084591571019</v>
      </c>
      <c r="K52" s="66">
        <v>812.08106263218542</v>
      </c>
      <c r="L52" s="66">
        <v>739.888759184234</v>
      </c>
      <c r="M52" s="66">
        <v>737.63256082202417</v>
      </c>
      <c r="N52" s="66">
        <v>686.72562130035715</v>
      </c>
      <c r="O52" s="66">
        <v>578.53312472381128</v>
      </c>
      <c r="P52" s="66">
        <v>504.79174767274321</v>
      </c>
      <c r="Q52" s="66">
        <v>539.65484459058916</v>
      </c>
      <c r="R52" s="66">
        <v>618.06865958221601</v>
      </c>
      <c r="S52" s="66">
        <v>559.29999999999995</v>
      </c>
      <c r="T52" s="66">
        <v>492.42161744760472</v>
      </c>
      <c r="U52" s="66">
        <v>471.34873072520361</v>
      </c>
      <c r="V52" s="66">
        <v>479.0658691759686</v>
      </c>
      <c r="W52" s="66">
        <v>459.77646939584076</v>
      </c>
      <c r="X52" s="66">
        <v>455.12257968146082</v>
      </c>
      <c r="Y52" s="66">
        <v>419.1107790024285</v>
      </c>
    </row>
    <row r="53" spans="1:25" x14ac:dyDescent="0.25">
      <c r="A53" s="73" t="s">
        <v>21</v>
      </c>
      <c r="B53" s="65"/>
      <c r="C53" s="65"/>
      <c r="D53" s="66">
        <v>392.22191768965564</v>
      </c>
      <c r="E53" s="66">
        <v>364.17846874667237</v>
      </c>
      <c r="F53" s="66">
        <v>389.87348223272647</v>
      </c>
      <c r="G53" s="66">
        <v>390.74661807474627</v>
      </c>
      <c r="H53" s="66">
        <v>324.09117447305391</v>
      </c>
      <c r="I53" s="66">
        <v>281.16649238991522</v>
      </c>
      <c r="J53" s="66">
        <v>257.60810040569083</v>
      </c>
      <c r="K53" s="66">
        <v>258.16053623983078</v>
      </c>
      <c r="L53" s="66">
        <v>232.43837121472225</v>
      </c>
      <c r="M53" s="66">
        <v>198.91479620060969</v>
      </c>
      <c r="N53" s="66">
        <v>223.47640616387471</v>
      </c>
      <c r="O53" s="66">
        <v>179.38826452005875</v>
      </c>
      <c r="P53" s="66">
        <v>181.14864710322271</v>
      </c>
      <c r="Q53" s="66">
        <v>190.36114932501201</v>
      </c>
      <c r="R53" s="66">
        <v>215.40261087385926</v>
      </c>
      <c r="S53" s="66">
        <v>189.3</v>
      </c>
      <c r="T53" s="66">
        <v>182.15837879042877</v>
      </c>
      <c r="U53" s="66">
        <v>204.21905210808316</v>
      </c>
      <c r="V53" s="66">
        <v>213.15097718008306</v>
      </c>
      <c r="W53" s="66">
        <v>200.1271526107748</v>
      </c>
      <c r="X53" s="66">
        <v>221.91310192878615</v>
      </c>
      <c r="Y53" s="66">
        <v>227.25574444236875</v>
      </c>
    </row>
    <row r="54" spans="1:25" x14ac:dyDescent="0.25">
      <c r="A54" s="74" t="s">
        <v>8</v>
      </c>
      <c r="B54" s="44"/>
      <c r="C54" s="44"/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</row>
    <row r="55" spans="1:25" x14ac:dyDescent="0.25">
      <c r="A55" s="74" t="s">
        <v>17</v>
      </c>
      <c r="B55" s="44"/>
      <c r="C55" s="44"/>
      <c r="D55" s="45">
        <v>392.22191768965564</v>
      </c>
      <c r="E55" s="45">
        <v>364.17846874667237</v>
      </c>
      <c r="F55" s="45">
        <v>389.87348223272647</v>
      </c>
      <c r="G55" s="45">
        <v>390.74661807474627</v>
      </c>
      <c r="H55" s="45">
        <v>324.09117447305391</v>
      </c>
      <c r="I55" s="45">
        <v>281.16649238991522</v>
      </c>
      <c r="J55" s="45">
        <v>257.60810040569083</v>
      </c>
      <c r="K55" s="45">
        <v>258.16053623983078</v>
      </c>
      <c r="L55" s="45">
        <v>232.43837121472225</v>
      </c>
      <c r="M55" s="45">
        <v>198.91479620060969</v>
      </c>
      <c r="N55" s="45">
        <v>223.47640616387471</v>
      </c>
      <c r="O55" s="45">
        <v>179.38826452005875</v>
      </c>
      <c r="P55" s="45">
        <v>181.14864710322271</v>
      </c>
      <c r="Q55" s="45">
        <v>190.36114932501201</v>
      </c>
      <c r="R55" s="45">
        <v>215.40261087385926</v>
      </c>
      <c r="S55" s="45">
        <v>189.3</v>
      </c>
      <c r="T55" s="45">
        <v>182.15837879042877</v>
      </c>
      <c r="U55" s="45">
        <v>204.21905210808316</v>
      </c>
      <c r="V55" s="45">
        <v>213.15097718008306</v>
      </c>
      <c r="W55" s="45">
        <v>200.1271526107748</v>
      </c>
      <c r="X55" s="45">
        <v>221.91310192878615</v>
      </c>
      <c r="Y55" s="45">
        <v>227.25574444236875</v>
      </c>
    </row>
    <row r="56" spans="1:25" x14ac:dyDescent="0.25">
      <c r="A56" s="73" t="s">
        <v>16</v>
      </c>
      <c r="B56" s="65"/>
      <c r="C56" s="65"/>
      <c r="D56" s="66">
        <v>566.62291014526204</v>
      </c>
      <c r="E56" s="66">
        <v>879.03311681397088</v>
      </c>
      <c r="F56" s="66">
        <v>786.49967510543138</v>
      </c>
      <c r="G56" s="66">
        <v>789.2164552837678</v>
      </c>
      <c r="H56" s="66">
        <v>833.34326259725697</v>
      </c>
      <c r="I56" s="66">
        <v>964.21517369582898</v>
      </c>
      <c r="J56" s="66">
        <v>942.70035875141104</v>
      </c>
      <c r="K56" s="66">
        <v>553.92052639235465</v>
      </c>
      <c r="L56" s="66">
        <v>507.45038796951178</v>
      </c>
      <c r="M56" s="66">
        <v>538.71776462141452</v>
      </c>
      <c r="N56" s="66">
        <v>463.24921513648246</v>
      </c>
      <c r="O56" s="66">
        <v>399.1448602037525</v>
      </c>
      <c r="P56" s="66">
        <v>323.64310056952047</v>
      </c>
      <c r="Q56" s="66">
        <v>349.29369526557718</v>
      </c>
      <c r="R56" s="66">
        <v>402.66604870835675</v>
      </c>
      <c r="S56" s="66">
        <v>369.99999999999994</v>
      </c>
      <c r="T56" s="66">
        <v>310.26323865717598</v>
      </c>
      <c r="U56" s="66">
        <v>267.12967861712048</v>
      </c>
      <c r="V56" s="66">
        <v>265.91489199588557</v>
      </c>
      <c r="W56" s="66">
        <v>259.64931678506593</v>
      </c>
      <c r="X56" s="66">
        <v>233.20947775267467</v>
      </c>
      <c r="Y56" s="66">
        <v>191.85503456005975</v>
      </c>
    </row>
    <row r="57" spans="1:25" x14ac:dyDescent="0.25">
      <c r="A57" s="72" t="s">
        <v>2</v>
      </c>
      <c r="B57" s="65"/>
      <c r="C57" s="65"/>
      <c r="D57" s="66">
        <v>5196.3994633815619</v>
      </c>
      <c r="E57" s="66">
        <v>6047.0130976466826</v>
      </c>
      <c r="F57" s="66">
        <v>6405.2645661064898</v>
      </c>
      <c r="G57" s="66">
        <v>7141.8055438232341</v>
      </c>
      <c r="H57" s="66">
        <v>6918.512516830102</v>
      </c>
      <c r="I57" s="66">
        <v>6660.044150110376</v>
      </c>
      <c r="J57" s="66">
        <v>6849.6932172513607</v>
      </c>
      <c r="K57" s="66">
        <v>7100.0302138468942</v>
      </c>
      <c r="L57" s="66">
        <v>7030.3737782965964</v>
      </c>
      <c r="M57" s="66">
        <v>6985.4403785266186</v>
      </c>
      <c r="N57" s="66">
        <v>7787.6434922232611</v>
      </c>
      <c r="O57" s="66">
        <v>7640.7218526436482</v>
      </c>
      <c r="P57" s="66">
        <v>7511.2646096841345</v>
      </c>
      <c r="Q57" s="66">
        <v>8369.2916820454302</v>
      </c>
      <c r="R57" s="66">
        <v>9234.2834442347812</v>
      </c>
      <c r="S57" s="66">
        <v>8722.7000000000007</v>
      </c>
      <c r="T57" s="66">
        <v>8730.3363000069312</v>
      </c>
      <c r="U57" s="66">
        <v>8199.3516550112054</v>
      </c>
      <c r="V57" s="66">
        <v>8363.7471903691567</v>
      </c>
      <c r="W57" s="66">
        <v>6917.4705844413111</v>
      </c>
      <c r="X57" s="66">
        <v>7016.2630468472835</v>
      </c>
      <c r="Y57" s="66">
        <v>7444.7973099196706</v>
      </c>
    </row>
    <row r="58" spans="1:25" x14ac:dyDescent="0.25">
      <c r="A58" s="72" t="s">
        <v>275</v>
      </c>
      <c r="B58" s="65"/>
      <c r="C58" s="65"/>
      <c r="D58" s="66">
        <v>504.59443474748645</v>
      </c>
      <c r="E58" s="66">
        <v>479.31530188478331</v>
      </c>
      <c r="F58" s="66">
        <v>444.27739625670495</v>
      </c>
      <c r="G58" s="66">
        <v>693.88296909505584</v>
      </c>
      <c r="H58" s="66">
        <v>488.99638971963725</v>
      </c>
      <c r="I58" s="66">
        <v>545.13767863367036</v>
      </c>
      <c r="J58" s="66">
        <v>478.33521463616347</v>
      </c>
      <c r="K58" s="66">
        <v>508.26404664122737</v>
      </c>
      <c r="L58" s="66">
        <v>490.85582183158232</v>
      </c>
      <c r="M58" s="66">
        <v>285.18967526276765</v>
      </c>
      <c r="N58" s="66">
        <v>250.67701967550988</v>
      </c>
      <c r="O58" s="66">
        <v>261.67755496900713</v>
      </c>
      <c r="P58" s="66">
        <v>251.3666201596487</v>
      </c>
      <c r="Q58" s="66">
        <v>277.15330671408918</v>
      </c>
      <c r="R58" s="66">
        <v>305.55831429801037</v>
      </c>
      <c r="S58" s="66">
        <v>332.3</v>
      </c>
      <c r="T58" s="66">
        <v>346.00192058290685</v>
      </c>
      <c r="U58" s="66">
        <v>345.81605856267498</v>
      </c>
      <c r="V58" s="66">
        <v>382.3002781058326</v>
      </c>
      <c r="W58" s="66">
        <v>350.03823792280542</v>
      </c>
      <c r="X58" s="66">
        <v>302.94826073155701</v>
      </c>
      <c r="Y58" s="66">
        <v>360.91911077900244</v>
      </c>
    </row>
    <row r="59" spans="1:25" x14ac:dyDescent="0.25">
      <c r="A59" s="72" t="s">
        <v>276</v>
      </c>
      <c r="B59" s="65"/>
      <c r="C59" s="65"/>
      <c r="D59" s="66">
        <v>7789.7667440820524</v>
      </c>
      <c r="E59" s="66">
        <v>8757.7201575977015</v>
      </c>
      <c r="F59" s="66">
        <v>8500.7708282900348</v>
      </c>
      <c r="G59" s="66">
        <v>7395.2236716666466</v>
      </c>
      <c r="H59" s="66">
        <v>7908.7778664792022</v>
      </c>
      <c r="I59" s="66">
        <v>8222.3771348902064</v>
      </c>
      <c r="J59" s="66">
        <v>8258.9939314013645</v>
      </c>
      <c r="K59" s="66">
        <v>7574.1638038114206</v>
      </c>
      <c r="L59" s="66">
        <v>6748.6094898029241</v>
      </c>
      <c r="M59" s="66">
        <v>6395.522651569544</v>
      </c>
      <c r="N59" s="66">
        <v>5409.2074675869344</v>
      </c>
      <c r="O59" s="66">
        <v>5227.2211539609934</v>
      </c>
      <c r="P59" s="66">
        <v>5259.0288419752524</v>
      </c>
      <c r="Q59" s="66">
        <v>5137.8496571933465</v>
      </c>
      <c r="R59" s="66">
        <v>5311.5723728495605</v>
      </c>
      <c r="S59" s="66">
        <v>5588.2525622170842</v>
      </c>
      <c r="T59" s="66">
        <v>6061.2609333875371</v>
      </c>
      <c r="U59" s="66">
        <v>6355.0509290563223</v>
      </c>
      <c r="V59" s="66">
        <v>6874.542268938304</v>
      </c>
      <c r="W59" s="66">
        <v>6984.6973000186354</v>
      </c>
      <c r="X59" s="66">
        <v>9424.5085500594996</v>
      </c>
      <c r="Y59" s="66">
        <v>10457.883556451987</v>
      </c>
    </row>
    <row r="60" spans="1:25" x14ac:dyDescent="0.25">
      <c r="A60" s="72" t="s">
        <v>1</v>
      </c>
      <c r="B60" s="65"/>
      <c r="C60" s="65"/>
      <c r="D60" s="66">
        <v>496.08355091383817</v>
      </c>
      <c r="E60" s="66">
        <v>499.41433287189864</v>
      </c>
      <c r="F60" s="66">
        <v>411.40571049982799</v>
      </c>
      <c r="G60" s="66">
        <v>365.76683118732427</v>
      </c>
      <c r="H60" s="66">
        <v>318.61022078711255</v>
      </c>
      <c r="I60" s="66">
        <v>303.70628558150344</v>
      </c>
      <c r="J60" s="66">
        <v>269.79000189992956</v>
      </c>
      <c r="K60" s="66">
        <v>293.63383055627042</v>
      </c>
      <c r="L60" s="66">
        <v>244.56957128796722</v>
      </c>
      <c r="M60" s="66">
        <v>219.39478113487365</v>
      </c>
      <c r="N60" s="66">
        <v>182.49574615956098</v>
      </c>
      <c r="O60" s="66">
        <v>150.72436073522914</v>
      </c>
      <c r="P60" s="66">
        <v>140.55030763248783</v>
      </c>
      <c r="Q60" s="66">
        <v>148.41906295786774</v>
      </c>
      <c r="R60" s="66">
        <v>158.79321570055507</v>
      </c>
      <c r="S60" s="66">
        <v>155.19999999999999</v>
      </c>
      <c r="T60" s="66">
        <v>148.59767748067043</v>
      </c>
      <c r="U60" s="66">
        <v>139.19216599170809</v>
      </c>
      <c r="V60" s="66">
        <v>140.10057526000992</v>
      </c>
      <c r="W60" s="66">
        <v>138.30149911085311</v>
      </c>
      <c r="X60" s="66">
        <v>132.38232163862801</v>
      </c>
      <c r="Y60" s="66">
        <v>154.02577993648421</v>
      </c>
    </row>
    <row r="61" spans="1:25" x14ac:dyDescent="0.25">
      <c r="A61" s="72" t="s">
        <v>0</v>
      </c>
      <c r="B61" s="65"/>
      <c r="C61" s="65"/>
      <c r="D61" s="66">
        <v>539.35923142391414</v>
      </c>
      <c r="E61" s="66">
        <v>424.87488020445107</v>
      </c>
      <c r="F61" s="66">
        <v>440.70992648464079</v>
      </c>
      <c r="G61" s="66">
        <v>468.22016001544642</v>
      </c>
      <c r="H61" s="66">
        <v>541.06544973608015</v>
      </c>
      <c r="I61" s="66">
        <v>538.63134657836645</v>
      </c>
      <c r="J61" s="66">
        <v>580.37260972093372</v>
      </c>
      <c r="K61" s="66">
        <v>617.59341114331437</v>
      </c>
      <c r="L61" s="66">
        <v>361.30376067202269</v>
      </c>
      <c r="M61" s="66">
        <v>237.87384800084746</v>
      </c>
      <c r="N61" s="66">
        <v>196.99475159968367</v>
      </c>
      <c r="O61" s="66">
        <v>147.02193982968865</v>
      </c>
      <c r="P61" s="66">
        <v>146.72582969282499</v>
      </c>
      <c r="Q61" s="66">
        <v>180.51873972418883</v>
      </c>
      <c r="R61" s="66">
        <v>197.63630946469362</v>
      </c>
      <c r="S61" s="66">
        <v>203</v>
      </c>
      <c r="T61" s="66">
        <v>215.22408450564791</v>
      </c>
      <c r="U61" s="66">
        <v>251.35392518060354</v>
      </c>
      <c r="V61" s="66">
        <v>289.34435597546576</v>
      </c>
      <c r="W61" s="66">
        <v>305.62696372465007</v>
      </c>
      <c r="X61" s="66">
        <v>294.7327146778199</v>
      </c>
      <c r="Y61" s="66">
        <v>421.63272931066689</v>
      </c>
    </row>
    <row r="62" spans="1:25" x14ac:dyDescent="0.25">
      <c r="A62" s="78" t="s">
        <v>277</v>
      </c>
      <c r="B62" s="79"/>
      <c r="C62" s="79"/>
      <c r="D62" s="80">
        <v>3771.4755564531256</v>
      </c>
      <c r="E62" s="80">
        <v>4275.9024598019378</v>
      </c>
      <c r="F62" s="80">
        <v>4268.0953533706224</v>
      </c>
      <c r="G62" s="80">
        <v>4400.1834264544386</v>
      </c>
      <c r="H62" s="80">
        <v>4507.4886508513346</v>
      </c>
      <c r="I62" s="80">
        <v>4414.6624840246313</v>
      </c>
      <c r="J62" s="80">
        <v>4805.9277803234345</v>
      </c>
      <c r="K62" s="80">
        <v>4749.6167317569907</v>
      </c>
      <c r="L62" s="80">
        <v>4853.166701000252</v>
      </c>
      <c r="M62" s="80">
        <v>5046.1976671649354</v>
      </c>
      <c r="N62" s="80">
        <v>3966.3766865578646</v>
      </c>
      <c r="O62" s="80">
        <v>5407.8037478054202</v>
      </c>
      <c r="P62" s="80">
        <v>4464.3306420255722</v>
      </c>
      <c r="Q62" s="80">
        <v>4910.1320896106654</v>
      </c>
      <c r="R62" s="80">
        <v>5662.1533640105499</v>
      </c>
      <c r="S62" s="80">
        <v>4847.5999999999995</v>
      </c>
      <c r="T62" s="80">
        <v>4746.4137569175637</v>
      </c>
      <c r="U62" s="80">
        <v>5945.3427859595795</v>
      </c>
      <c r="V62" s="80">
        <v>5229.8182787915739</v>
      </c>
      <c r="W62" s="80">
        <v>8590.6330910062552</v>
      </c>
      <c r="X62" s="80">
        <v>8429.3369680900723</v>
      </c>
      <c r="Y62" s="80">
        <v>9279.0024285447416</v>
      </c>
    </row>
    <row r="63" spans="1:25" x14ac:dyDescent="0.25">
      <c r="A63" s="38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</row>
    <row r="64" spans="1:25" x14ac:dyDescent="0.25">
      <c r="A64" s="58" t="s">
        <v>241</v>
      </c>
      <c r="B64" s="50"/>
      <c r="C64" s="50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</row>
    <row r="65" spans="1:25" x14ac:dyDescent="0.25">
      <c r="A65" s="81" t="s">
        <v>142</v>
      </c>
      <c r="B65" s="41"/>
      <c r="C65" s="41"/>
      <c r="D65" s="82">
        <f t="shared" ref="D65:D76" si="46">D23/D$23</f>
        <v>1</v>
      </c>
      <c r="E65" s="82">
        <f t="shared" ref="E65:S65" si="47">E23/E$23</f>
        <v>1</v>
      </c>
      <c r="F65" s="82">
        <f t="shared" si="47"/>
        <v>1</v>
      </c>
      <c r="G65" s="82">
        <f t="shared" si="47"/>
        <v>1</v>
      </c>
      <c r="H65" s="82">
        <f t="shared" si="47"/>
        <v>1</v>
      </c>
      <c r="I65" s="82">
        <f t="shared" si="47"/>
        <v>1</v>
      </c>
      <c r="J65" s="82">
        <f t="shared" si="47"/>
        <v>1</v>
      </c>
      <c r="K65" s="82">
        <f t="shared" si="47"/>
        <v>1</v>
      </c>
      <c r="L65" s="82">
        <f t="shared" si="47"/>
        <v>1</v>
      </c>
      <c r="M65" s="82">
        <f t="shared" si="47"/>
        <v>1</v>
      </c>
      <c r="N65" s="82">
        <f t="shared" si="47"/>
        <v>1</v>
      </c>
      <c r="O65" s="82">
        <f t="shared" si="47"/>
        <v>1</v>
      </c>
      <c r="P65" s="82">
        <f t="shared" si="47"/>
        <v>1</v>
      </c>
      <c r="Q65" s="82">
        <f t="shared" si="47"/>
        <v>1</v>
      </c>
      <c r="R65" s="82">
        <f t="shared" si="47"/>
        <v>1</v>
      </c>
      <c r="S65" s="82">
        <f t="shared" si="47"/>
        <v>1</v>
      </c>
      <c r="T65" s="82">
        <f t="shared" ref="T65:Y65" si="48">T23/T$23</f>
        <v>1</v>
      </c>
      <c r="U65" s="82">
        <f t="shared" si="48"/>
        <v>1</v>
      </c>
      <c r="V65" s="82">
        <f t="shared" si="48"/>
        <v>1</v>
      </c>
      <c r="W65" s="82">
        <f t="shared" si="48"/>
        <v>1</v>
      </c>
      <c r="X65" s="82">
        <f t="shared" si="48"/>
        <v>1</v>
      </c>
      <c r="Y65" s="82">
        <f t="shared" si="48"/>
        <v>1</v>
      </c>
    </row>
    <row r="66" spans="1:25" x14ac:dyDescent="0.25">
      <c r="A66" s="64" t="s">
        <v>33</v>
      </c>
      <c r="B66" s="65"/>
      <c r="C66" s="65"/>
      <c r="D66" s="83">
        <f t="shared" si="46"/>
        <v>2.8098112318008971E-2</v>
      </c>
      <c r="E66" s="83">
        <f t="shared" ref="E66:S66" si="49">E24/E$23</f>
        <v>2.2371243353324674E-2</v>
      </c>
      <c r="F66" s="83">
        <f t="shared" si="49"/>
        <v>1.9568076176198917E-2</v>
      </c>
      <c r="G66" s="83">
        <f t="shared" si="49"/>
        <v>1.6703246608764145E-2</v>
      </c>
      <c r="H66" s="83">
        <f t="shared" si="49"/>
        <v>1.7897943086330994E-2</v>
      </c>
      <c r="I66" s="83">
        <f t="shared" si="49"/>
        <v>1.177212557023114E-2</v>
      </c>
      <c r="J66" s="83">
        <f t="shared" si="49"/>
        <v>1.0477425926370158E-2</v>
      </c>
      <c r="K66" s="83">
        <f t="shared" si="49"/>
        <v>1.1743577704167401E-2</v>
      </c>
      <c r="L66" s="83">
        <f t="shared" si="49"/>
        <v>9.5138494636507597E-3</v>
      </c>
      <c r="M66" s="83">
        <f t="shared" si="49"/>
        <v>6.2086481256223907E-3</v>
      </c>
      <c r="N66" s="83">
        <f t="shared" si="49"/>
        <v>1.0490816596498115E-2</v>
      </c>
      <c r="O66" s="83">
        <f t="shared" si="49"/>
        <v>1.335605169328411E-2</v>
      </c>
      <c r="P66" s="83">
        <f t="shared" si="49"/>
        <v>1.0933591084830566E-2</v>
      </c>
      <c r="Q66" s="83">
        <f t="shared" si="49"/>
        <v>1.1853100597656336E-2</v>
      </c>
      <c r="R66" s="83">
        <f t="shared" si="49"/>
        <v>1.355561592197975E-2</v>
      </c>
      <c r="S66" s="83">
        <f t="shared" si="49"/>
        <v>9.6098391411597126E-3</v>
      </c>
      <c r="T66" s="83">
        <f t="shared" ref="T66:Y66" si="50">T24/T$23</f>
        <v>1.0199581518756159E-2</v>
      </c>
      <c r="U66" s="83">
        <f t="shared" si="50"/>
        <v>1.2735088662009671E-2</v>
      </c>
      <c r="V66" s="83">
        <f t="shared" si="50"/>
        <v>9.4948245917815654E-3</v>
      </c>
      <c r="W66" s="83">
        <f t="shared" si="50"/>
        <v>9.6625776513263473E-3</v>
      </c>
      <c r="X66" s="83">
        <f t="shared" si="50"/>
        <v>9.7272184400233469E-3</v>
      </c>
      <c r="Y66" s="83">
        <f t="shared" si="50"/>
        <v>1.0539377960251823E-2</v>
      </c>
    </row>
    <row r="67" spans="1:25" x14ac:dyDescent="0.25">
      <c r="A67" s="64" t="s">
        <v>56</v>
      </c>
      <c r="B67" s="65"/>
      <c r="C67" s="65"/>
      <c r="D67" s="83">
        <f t="shared" si="46"/>
        <v>4.9492461885531497E-3</v>
      </c>
      <c r="E67" s="83">
        <f t="shared" ref="E67:S67" si="51">E25/E$23</f>
        <v>5.5930405886018136E-3</v>
      </c>
      <c r="F67" s="83">
        <f t="shared" si="51"/>
        <v>4.5844022533137211E-3</v>
      </c>
      <c r="G67" s="83">
        <f t="shared" si="51"/>
        <v>4.8074649441144793E-3</v>
      </c>
      <c r="H67" s="83">
        <f t="shared" si="51"/>
        <v>3.3180721418737788E-3</v>
      </c>
      <c r="I67" s="83">
        <f t="shared" si="51"/>
        <v>3.846907526415721E-3</v>
      </c>
      <c r="J67" s="83">
        <f t="shared" si="51"/>
        <v>5.7363199594533338E-3</v>
      </c>
      <c r="K67" s="83">
        <f t="shared" si="51"/>
        <v>6.9019723429862697E-3</v>
      </c>
      <c r="L67" s="83">
        <f t="shared" si="51"/>
        <v>5.4585113694086713E-3</v>
      </c>
      <c r="M67" s="83">
        <f t="shared" si="51"/>
        <v>6.0163100096562927E-3</v>
      </c>
      <c r="N67" s="83">
        <f t="shared" si="51"/>
        <v>4.5101320411728438E-3</v>
      </c>
      <c r="O67" s="83">
        <f t="shared" si="51"/>
        <v>4.6383318232836148E-3</v>
      </c>
      <c r="P67" s="83">
        <f t="shared" si="51"/>
        <v>5.5669269451393624E-3</v>
      </c>
      <c r="Q67" s="83">
        <f t="shared" si="51"/>
        <v>4.5518004404810769E-3</v>
      </c>
      <c r="R67" s="83">
        <f t="shared" si="51"/>
        <v>5.0310942979440764E-3</v>
      </c>
      <c r="S67" s="83">
        <f t="shared" si="51"/>
        <v>1.6141063658899962E-3</v>
      </c>
      <c r="T67" s="83">
        <f t="shared" ref="T67:Y67" si="52">T25/T$23</f>
        <v>2.1359480821207524E-3</v>
      </c>
      <c r="U67" s="83">
        <f t="shared" si="52"/>
        <v>2.1610003340255899E-3</v>
      </c>
      <c r="V67" s="83">
        <f t="shared" si="52"/>
        <v>1.9718791189512357E-3</v>
      </c>
      <c r="W67" s="83">
        <f t="shared" si="52"/>
        <v>1.4830501497868677E-3</v>
      </c>
      <c r="X67" s="83">
        <f t="shared" si="52"/>
        <v>8.7819260774072881E-4</v>
      </c>
      <c r="Y67" s="83">
        <f t="shared" si="52"/>
        <v>1.0837117101587812E-3</v>
      </c>
    </row>
    <row r="68" spans="1:25" x14ac:dyDescent="0.25">
      <c r="A68" s="64" t="s">
        <v>146</v>
      </c>
      <c r="B68" s="65"/>
      <c r="C68" s="65"/>
      <c r="D68" s="83">
        <f t="shared" si="46"/>
        <v>0.62654954725821876</v>
      </c>
      <c r="E68" s="83">
        <f t="shared" ref="E68:S68" si="53">E26/E$23</f>
        <v>0.60340048780577449</v>
      </c>
      <c r="F68" s="83">
        <f t="shared" si="53"/>
        <v>0.59213744749371078</v>
      </c>
      <c r="G68" s="83">
        <f t="shared" si="53"/>
        <v>0.62656207723419988</v>
      </c>
      <c r="H68" s="83">
        <f t="shared" si="53"/>
        <v>0.63997971319050106</v>
      </c>
      <c r="I68" s="83">
        <f t="shared" si="53"/>
        <v>0.65352418060936568</v>
      </c>
      <c r="J68" s="83">
        <f t="shared" si="53"/>
        <v>0.65551264284673028</v>
      </c>
      <c r="K68" s="83">
        <f t="shared" si="53"/>
        <v>0.67547077986061221</v>
      </c>
      <c r="L68" s="83">
        <f t="shared" si="53"/>
        <v>0.70925329428989736</v>
      </c>
      <c r="M68" s="83">
        <f t="shared" si="53"/>
        <v>0.71777893457812603</v>
      </c>
      <c r="N68" s="83">
        <f t="shared" si="53"/>
        <v>0.74040612196263611</v>
      </c>
      <c r="O68" s="83">
        <f t="shared" si="53"/>
        <v>0.72655865142578968</v>
      </c>
      <c r="P68" s="83">
        <f t="shared" si="53"/>
        <v>0.73289616657822254</v>
      </c>
      <c r="Q68" s="83">
        <f t="shared" si="53"/>
        <v>0.73505691427818609</v>
      </c>
      <c r="R68" s="83">
        <f t="shared" si="53"/>
        <v>0.72644116453539676</v>
      </c>
      <c r="S68" s="83">
        <f t="shared" si="53"/>
        <v>0.58413813695249295</v>
      </c>
      <c r="T68" s="83">
        <f t="shared" ref="T68:Y68" si="54">T26/T$23</f>
        <v>0.59965541827537006</v>
      </c>
      <c r="U68" s="83">
        <f t="shared" si="54"/>
        <v>0.6024827290614061</v>
      </c>
      <c r="V68" s="83">
        <f t="shared" si="54"/>
        <v>0.6035906308929776</v>
      </c>
      <c r="W68" s="83">
        <f t="shared" si="54"/>
        <v>0.61930419562858896</v>
      </c>
      <c r="X68" s="83">
        <f t="shared" si="54"/>
        <v>0.59869114721946692</v>
      </c>
      <c r="Y68" s="83">
        <f t="shared" si="54"/>
        <v>0.58590521115766503</v>
      </c>
    </row>
    <row r="69" spans="1:25" x14ac:dyDescent="0.25">
      <c r="A69" s="68" t="s">
        <v>148</v>
      </c>
      <c r="B69" s="69"/>
      <c r="C69" s="69"/>
      <c r="D69" s="84">
        <f t="shared" si="46"/>
        <v>0.21240506276764909</v>
      </c>
      <c r="E69" s="84">
        <f t="shared" ref="E69:S69" si="55">E27/E$23</f>
        <v>0.21236185116226067</v>
      </c>
      <c r="F69" s="84">
        <f t="shared" si="55"/>
        <v>0.21103506831414387</v>
      </c>
      <c r="G69" s="84">
        <f t="shared" si="55"/>
        <v>0.22178608835470889</v>
      </c>
      <c r="H69" s="84">
        <f t="shared" si="55"/>
        <v>0.22550957147389347</v>
      </c>
      <c r="I69" s="84">
        <f t="shared" si="55"/>
        <v>0.22384025970638569</v>
      </c>
      <c r="J69" s="84">
        <f t="shared" si="55"/>
        <v>0.22667075085758778</v>
      </c>
      <c r="K69" s="84">
        <f t="shared" si="55"/>
        <v>0.23226053731766153</v>
      </c>
      <c r="L69" s="84">
        <f t="shared" si="55"/>
        <v>0.25075148653897872</v>
      </c>
      <c r="M69" s="84">
        <f t="shared" si="55"/>
        <v>0.27364659282546006</v>
      </c>
      <c r="N69" s="84">
        <f t="shared" si="55"/>
        <v>0.25781477209390258</v>
      </c>
      <c r="O69" s="84">
        <f t="shared" si="55"/>
        <v>0.24970748823674493</v>
      </c>
      <c r="P69" s="84">
        <f t="shared" si="55"/>
        <v>0.24539521896242386</v>
      </c>
      <c r="Q69" s="84">
        <f t="shared" si="55"/>
        <v>0.23844286096789952</v>
      </c>
      <c r="R69" s="84">
        <f t="shared" si="55"/>
        <v>0.22481630161748481</v>
      </c>
      <c r="S69" s="84">
        <f t="shared" si="55"/>
        <v>0.17066242124129641</v>
      </c>
      <c r="T69" s="84">
        <f t="shared" ref="T69:Y69" si="56">T27/T$23</f>
        <v>0.17216772165804217</v>
      </c>
      <c r="U69" s="84">
        <f t="shared" si="56"/>
        <v>0.1667880535021857</v>
      </c>
      <c r="V69" s="84">
        <f t="shared" si="56"/>
        <v>0.15404135761284904</v>
      </c>
      <c r="W69" s="84">
        <f t="shared" si="56"/>
        <v>0.15129985423958053</v>
      </c>
      <c r="X69" s="84">
        <f t="shared" si="56"/>
        <v>0.12594623990099554</v>
      </c>
      <c r="Y69" s="84">
        <f t="shared" si="56"/>
        <v>0.12257107542594325</v>
      </c>
    </row>
    <row r="70" spans="1:25" x14ac:dyDescent="0.25">
      <c r="A70" s="68" t="s">
        <v>150</v>
      </c>
      <c r="B70" s="71"/>
      <c r="C70" s="71"/>
      <c r="D70" s="84">
        <f t="shared" si="46"/>
        <v>0.29730939664067463</v>
      </c>
      <c r="E70" s="84">
        <f t="shared" ref="E70:S70" si="57">E28/E$23</f>
        <v>0.29217341918028789</v>
      </c>
      <c r="F70" s="84">
        <f t="shared" si="57"/>
        <v>0.28159456604474453</v>
      </c>
      <c r="G70" s="84">
        <f t="shared" si="57"/>
        <v>0.30018629798840035</v>
      </c>
      <c r="H70" s="84">
        <f t="shared" si="57"/>
        <v>0.31093392088435351</v>
      </c>
      <c r="I70" s="84">
        <f t="shared" si="57"/>
        <v>0.3226419801140562</v>
      </c>
      <c r="J70" s="84">
        <f t="shared" si="57"/>
        <v>0.3194347824214947</v>
      </c>
      <c r="K70" s="84">
        <f t="shared" si="57"/>
        <v>0.33112902055740151</v>
      </c>
      <c r="L70" s="84">
        <f t="shared" si="57"/>
        <v>0.34528879194430329</v>
      </c>
      <c r="M70" s="84">
        <f t="shared" si="57"/>
        <v>0.33796629684795249</v>
      </c>
      <c r="N70" s="84">
        <f t="shared" si="57"/>
        <v>0.3710190863273411</v>
      </c>
      <c r="O70" s="84">
        <f t="shared" si="57"/>
        <v>0.36231791665942231</v>
      </c>
      <c r="P70" s="84">
        <f t="shared" si="57"/>
        <v>0.36987276678543451</v>
      </c>
      <c r="Q70" s="84">
        <f t="shared" si="57"/>
        <v>0.37206013036336943</v>
      </c>
      <c r="R70" s="84">
        <f t="shared" si="57"/>
        <v>0.38682413360207574</v>
      </c>
      <c r="S70" s="84">
        <f t="shared" si="57"/>
        <v>0.32801347200451247</v>
      </c>
      <c r="T70" s="84">
        <f t="shared" ref="T70:Y70" si="58">T28/T$23</f>
        <v>0.33757566896679558</v>
      </c>
      <c r="U70" s="84">
        <f t="shared" si="58"/>
        <v>0.34803251666497237</v>
      </c>
      <c r="V70" s="84">
        <f t="shared" si="58"/>
        <v>0.36746441845707561</v>
      </c>
      <c r="W70" s="84">
        <f t="shared" si="58"/>
        <v>0.38905608378365192</v>
      </c>
      <c r="X70" s="84">
        <f t="shared" si="58"/>
        <v>0.39665613003988631</v>
      </c>
      <c r="Y70" s="84">
        <f t="shared" si="58"/>
        <v>0.39715389783629829</v>
      </c>
    </row>
    <row r="71" spans="1:25" x14ac:dyDescent="0.25">
      <c r="A71" s="68" t="s">
        <v>152</v>
      </c>
      <c r="B71" s="71"/>
      <c r="C71" s="71"/>
      <c r="D71" s="84">
        <f t="shared" si="46"/>
        <v>0.11683508784989524</v>
      </c>
      <c r="E71" s="84">
        <f t="shared" ref="E71:S71" si="59">E29/E$23</f>
        <v>9.8865217463226115E-2</v>
      </c>
      <c r="F71" s="84">
        <f t="shared" si="59"/>
        <v>9.9507813134822404E-2</v>
      </c>
      <c r="G71" s="84">
        <f t="shared" si="59"/>
        <v>0.10458969089109058</v>
      </c>
      <c r="H71" s="84">
        <f t="shared" si="59"/>
        <v>0.10353622083225397</v>
      </c>
      <c r="I71" s="84">
        <f t="shared" si="59"/>
        <v>0.10704194078892386</v>
      </c>
      <c r="J71" s="84">
        <f t="shared" si="59"/>
        <v>0.10940710956764768</v>
      </c>
      <c r="K71" s="84">
        <f t="shared" si="59"/>
        <v>0.11208122198554937</v>
      </c>
      <c r="L71" s="84">
        <f t="shared" si="59"/>
        <v>0.11321301580661537</v>
      </c>
      <c r="M71" s="84">
        <f t="shared" si="59"/>
        <v>0.1061660449047136</v>
      </c>
      <c r="N71" s="84">
        <f t="shared" si="59"/>
        <v>0.11157226354139251</v>
      </c>
      <c r="O71" s="84">
        <f t="shared" si="59"/>
        <v>0.11453324652962242</v>
      </c>
      <c r="P71" s="84">
        <f t="shared" si="59"/>
        <v>0.11762818083036401</v>
      </c>
      <c r="Q71" s="84">
        <f t="shared" si="59"/>
        <v>0.1245539229469171</v>
      </c>
      <c r="R71" s="84">
        <f t="shared" si="59"/>
        <v>0.11480072931583607</v>
      </c>
      <c r="S71" s="84">
        <f t="shared" si="59"/>
        <v>8.5462243706684177E-2</v>
      </c>
      <c r="T71" s="84">
        <f t="shared" ref="T71:Y71" si="60">T29/T$23</f>
        <v>8.99120276505323E-2</v>
      </c>
      <c r="U71" s="84">
        <f t="shared" si="60"/>
        <v>8.7662158894248013E-2</v>
      </c>
      <c r="V71" s="84">
        <f t="shared" si="60"/>
        <v>8.2084854823052972E-2</v>
      </c>
      <c r="W71" s="84">
        <f t="shared" si="60"/>
        <v>7.8948257605356564E-2</v>
      </c>
      <c r="X71" s="84">
        <f t="shared" si="60"/>
        <v>7.6088777278584804E-2</v>
      </c>
      <c r="Y71" s="84">
        <f t="shared" si="60"/>
        <v>6.6180237895423405E-2</v>
      </c>
    </row>
    <row r="72" spans="1:25" x14ac:dyDescent="0.25">
      <c r="A72" s="64" t="s">
        <v>154</v>
      </c>
      <c r="B72" s="65"/>
      <c r="C72" s="65"/>
      <c r="D72" s="83">
        <f t="shared" si="46"/>
        <v>1.1315959793965786E-2</v>
      </c>
      <c r="E72" s="83">
        <f t="shared" ref="E72:S72" si="61">E30/E$23</f>
        <v>1.2574691812986956E-2</v>
      </c>
      <c r="F72" s="83">
        <f t="shared" si="61"/>
        <v>1.1385967036083199E-2</v>
      </c>
      <c r="G72" s="83">
        <f t="shared" si="61"/>
        <v>1.2364046271365541E-2</v>
      </c>
      <c r="H72" s="83">
        <f t="shared" si="61"/>
        <v>1.2732374197041093E-2</v>
      </c>
      <c r="I72" s="83">
        <f t="shared" si="61"/>
        <v>1.0968903049503518E-2</v>
      </c>
      <c r="J72" s="83">
        <f t="shared" si="61"/>
        <v>1.1228449588228674E-2</v>
      </c>
      <c r="K72" s="83">
        <f t="shared" si="61"/>
        <v>1.2807748396460988E-2</v>
      </c>
      <c r="L72" s="83">
        <f t="shared" si="61"/>
        <v>1.4476349837153015E-2</v>
      </c>
      <c r="M72" s="83">
        <f t="shared" si="61"/>
        <v>1.6991398613196231E-2</v>
      </c>
      <c r="N72" s="83">
        <f t="shared" si="61"/>
        <v>1.6520081904523063E-2</v>
      </c>
      <c r="O72" s="83">
        <f t="shared" si="61"/>
        <v>1.8465106904436712E-2</v>
      </c>
      <c r="P72" s="83">
        <f t="shared" si="61"/>
        <v>1.963649457963763E-2</v>
      </c>
      <c r="Q72" s="83">
        <f t="shared" si="61"/>
        <v>1.9899107754406488E-2</v>
      </c>
      <c r="R72" s="83">
        <f t="shared" si="61"/>
        <v>1.7073078028074857E-2</v>
      </c>
      <c r="S72" s="83">
        <f t="shared" si="61"/>
        <v>1.1932288462756816E-2</v>
      </c>
      <c r="T72" s="83">
        <f t="shared" ref="T72:Y72" si="62">T30/T$23</f>
        <v>1.165124325999925E-2</v>
      </c>
      <c r="U72" s="83">
        <f t="shared" si="62"/>
        <v>1.0192863470671101E-2</v>
      </c>
      <c r="V72" s="83">
        <f t="shared" si="62"/>
        <v>9.9650494453498925E-3</v>
      </c>
      <c r="W72" s="83">
        <f t="shared" si="62"/>
        <v>9.0336135082697867E-3</v>
      </c>
      <c r="X72" s="83">
        <f t="shared" si="62"/>
        <v>8.9178100998326439E-3</v>
      </c>
      <c r="Y72" s="83">
        <f t="shared" si="62"/>
        <v>8.9468653161323686E-3</v>
      </c>
    </row>
    <row r="73" spans="1:25" x14ac:dyDescent="0.25">
      <c r="A73" s="64" t="s">
        <v>37</v>
      </c>
      <c r="B73" s="65"/>
      <c r="C73" s="65"/>
      <c r="D73" s="83">
        <f t="shared" si="46"/>
        <v>7.1659129586091247E-2</v>
      </c>
      <c r="E73" s="83">
        <f t="shared" ref="E73:S73" si="63">E31/E$23</f>
        <v>7.4268153487884819E-2</v>
      </c>
      <c r="F73" s="83">
        <f t="shared" si="63"/>
        <v>7.1902730078288887E-2</v>
      </c>
      <c r="G73" s="83">
        <f t="shared" si="63"/>
        <v>7.7008595446514339E-2</v>
      </c>
      <c r="H73" s="83">
        <f t="shared" si="63"/>
        <v>8.6932762469693475E-2</v>
      </c>
      <c r="I73" s="83">
        <f t="shared" si="63"/>
        <v>9.7791171507737612E-2</v>
      </c>
      <c r="J73" s="83">
        <f t="shared" si="63"/>
        <v>0.10681020383434178</v>
      </c>
      <c r="K73" s="83">
        <f t="shared" si="63"/>
        <v>9.1748878565157468E-2</v>
      </c>
      <c r="L73" s="83">
        <f t="shared" si="63"/>
        <v>6.6030418023724863E-2</v>
      </c>
      <c r="M73" s="83">
        <f t="shared" si="63"/>
        <v>2.7377000431283761E-2</v>
      </c>
      <c r="N73" s="83">
        <f t="shared" si="63"/>
        <v>1.5377121222764417E-2</v>
      </c>
      <c r="O73" s="83">
        <f t="shared" si="63"/>
        <v>1.0814402976568794E-2</v>
      </c>
      <c r="P73" s="83">
        <f t="shared" si="63"/>
        <v>1.7005281378717811E-2</v>
      </c>
      <c r="Q73" s="83">
        <f t="shared" si="63"/>
        <v>2.1209816470283995E-2</v>
      </c>
      <c r="R73" s="83">
        <f t="shared" si="63"/>
        <v>2.4746880229660706E-2</v>
      </c>
      <c r="S73" s="83">
        <f t="shared" si="63"/>
        <v>2.0064130992354556E-2</v>
      </c>
      <c r="T73" s="83">
        <f t="shared" ref="T73:Y73" si="64">T31/T$23</f>
        <v>2.2907414020799433E-2</v>
      </c>
      <c r="U73" s="83">
        <f t="shared" si="64"/>
        <v>2.7150834337830575E-2</v>
      </c>
      <c r="V73" s="83">
        <f t="shared" si="64"/>
        <v>2.6267373373533971E-2</v>
      </c>
      <c r="W73" s="83">
        <f t="shared" si="64"/>
        <v>2.6280882034646617E-2</v>
      </c>
      <c r="X73" s="83">
        <f t="shared" si="64"/>
        <v>2.2959065499748584E-2</v>
      </c>
      <c r="Y73" s="83">
        <f t="shared" si="64"/>
        <v>2.2851723948804539E-2</v>
      </c>
    </row>
    <row r="74" spans="1:25" x14ac:dyDescent="0.25">
      <c r="A74" s="64" t="s">
        <v>58</v>
      </c>
      <c r="B74" s="65"/>
      <c r="C74" s="65"/>
      <c r="D74" s="83">
        <f t="shared" si="46"/>
        <v>0.25742800485516193</v>
      </c>
      <c r="E74" s="83">
        <f t="shared" ref="E74:S74" si="65">E32/E$23</f>
        <v>0.28179238295142717</v>
      </c>
      <c r="F74" s="83">
        <f t="shared" si="65"/>
        <v>0.30042137696240451</v>
      </c>
      <c r="G74" s="83">
        <f t="shared" si="65"/>
        <v>0.26255456949504169</v>
      </c>
      <c r="H74" s="83">
        <f t="shared" si="65"/>
        <v>0.23913913491455954</v>
      </c>
      <c r="I74" s="83">
        <f t="shared" si="65"/>
        <v>0.22209671173674625</v>
      </c>
      <c r="J74" s="83">
        <f t="shared" si="65"/>
        <v>0.21023495784487578</v>
      </c>
      <c r="K74" s="83">
        <f t="shared" si="65"/>
        <v>0.20132704313061542</v>
      </c>
      <c r="L74" s="83">
        <f t="shared" si="65"/>
        <v>0.19526757701616515</v>
      </c>
      <c r="M74" s="83">
        <f t="shared" si="65"/>
        <v>0.225627708242115</v>
      </c>
      <c r="N74" s="83">
        <f t="shared" si="65"/>
        <v>0.21269572627240535</v>
      </c>
      <c r="O74" s="83">
        <f t="shared" si="65"/>
        <v>0.22616745517663719</v>
      </c>
      <c r="P74" s="83">
        <f t="shared" si="65"/>
        <v>0.21396153943345209</v>
      </c>
      <c r="Q74" s="83">
        <f t="shared" si="65"/>
        <v>0.20742926045898596</v>
      </c>
      <c r="R74" s="83">
        <f t="shared" si="65"/>
        <v>0.21315216698694411</v>
      </c>
      <c r="S74" s="83">
        <f t="shared" si="65"/>
        <v>0.3726414980853458</v>
      </c>
      <c r="T74" s="83">
        <f t="shared" ref="T74:Y74" si="66">T32/T$23</f>
        <v>0.35345039484295437</v>
      </c>
      <c r="U74" s="83">
        <f t="shared" si="66"/>
        <v>0.34527748413405696</v>
      </c>
      <c r="V74" s="83">
        <f t="shared" si="66"/>
        <v>0.34871024257740585</v>
      </c>
      <c r="W74" s="83">
        <f t="shared" si="66"/>
        <v>0.33423568102738138</v>
      </c>
      <c r="X74" s="83">
        <f t="shared" si="66"/>
        <v>0.35882656613318792</v>
      </c>
      <c r="Y74" s="83">
        <f t="shared" si="66"/>
        <v>0.37067310990698749</v>
      </c>
    </row>
    <row r="75" spans="1:25" x14ac:dyDescent="0.25">
      <c r="A75" s="85" t="s">
        <v>158</v>
      </c>
      <c r="B75" s="86"/>
      <c r="C75" s="86"/>
      <c r="D75" s="87">
        <f t="shared" si="46"/>
        <v>1.9985153295327424E-3</v>
      </c>
      <c r="E75" s="87">
        <f t="shared" ref="E75:S75" si="67">E33/E$23</f>
        <v>2.1210544986021993E-3</v>
      </c>
      <c r="F75" s="87">
        <f t="shared" si="67"/>
        <v>1.5065760344132812E-3</v>
      </c>
      <c r="G75" s="87">
        <f t="shared" si="67"/>
        <v>1.5986119520664502E-3</v>
      </c>
      <c r="H75" s="87">
        <f t="shared" si="67"/>
        <v>1.8314885046263817E-3</v>
      </c>
      <c r="I75" s="87">
        <f t="shared" si="67"/>
        <v>1.5455847172369142E-3</v>
      </c>
      <c r="J75" s="87">
        <f t="shared" si="67"/>
        <v>2.1122156059149421E-3</v>
      </c>
      <c r="K75" s="87">
        <f t="shared" si="67"/>
        <v>1.4874398726422448E-3</v>
      </c>
      <c r="L75" s="87">
        <f t="shared" si="67"/>
        <v>1.367317058595034E-3</v>
      </c>
      <c r="M75" s="87">
        <f t="shared" si="67"/>
        <v>8.6716263205193259E-4</v>
      </c>
      <c r="N75" s="87">
        <f t="shared" si="67"/>
        <v>1.202045380987988E-3</v>
      </c>
      <c r="O75" s="87">
        <f t="shared" si="67"/>
        <v>9.9360627562496443E-4</v>
      </c>
      <c r="P75" s="87">
        <f t="shared" si="67"/>
        <v>9.179238369595433E-4</v>
      </c>
      <c r="Q75" s="87">
        <f t="shared" si="67"/>
        <v>1.1106563851153747E-3</v>
      </c>
      <c r="R75" s="87">
        <f t="shared" si="67"/>
        <v>1.2431011797164344E-3</v>
      </c>
      <c r="S75" s="87">
        <f t="shared" si="67"/>
        <v>1.0733459905867639E-3</v>
      </c>
      <c r="T75" s="87">
        <f t="shared" ref="T75:Y75" si="68">T33/T$23</f>
        <v>9.207705871120879E-4</v>
      </c>
      <c r="U75" s="87">
        <f t="shared" si="68"/>
        <v>1.0739648837445723E-3</v>
      </c>
      <c r="V75" s="87">
        <f t="shared" si="68"/>
        <v>9.6066741928730627E-4</v>
      </c>
      <c r="W75" s="87">
        <f t="shared" si="68"/>
        <v>1.1046538257395119E-3</v>
      </c>
      <c r="X75" s="87">
        <f t="shared" si="68"/>
        <v>7.931247176686569E-4</v>
      </c>
      <c r="Y75" s="87">
        <f t="shared" si="68"/>
        <v>5.7270711479019188E-4</v>
      </c>
    </row>
    <row r="76" spans="1:25" x14ac:dyDescent="0.25">
      <c r="A76" s="88" t="s">
        <v>5</v>
      </c>
      <c r="B76" s="44"/>
      <c r="C76" s="44"/>
      <c r="D76" s="89">
        <f t="shared" si="46"/>
        <v>9.758088800507099E-5</v>
      </c>
      <c r="E76" s="89">
        <f t="shared" ref="E76:S76" si="69">E34/E$23</f>
        <v>1.0356406999847445E-4</v>
      </c>
      <c r="F76" s="89">
        <f t="shared" si="69"/>
        <v>0</v>
      </c>
      <c r="G76" s="89">
        <f t="shared" si="69"/>
        <v>0</v>
      </c>
      <c r="H76" s="89">
        <f t="shared" si="69"/>
        <v>0</v>
      </c>
      <c r="I76" s="89">
        <f t="shared" si="69"/>
        <v>0</v>
      </c>
      <c r="J76" s="89">
        <f t="shared" si="69"/>
        <v>0</v>
      </c>
      <c r="K76" s="89">
        <f t="shared" si="69"/>
        <v>0</v>
      </c>
      <c r="L76" s="89">
        <f t="shared" si="69"/>
        <v>0</v>
      </c>
      <c r="M76" s="89">
        <f t="shared" si="69"/>
        <v>0</v>
      </c>
      <c r="N76" s="89">
        <f t="shared" si="69"/>
        <v>0</v>
      </c>
      <c r="O76" s="89">
        <f t="shared" si="69"/>
        <v>0</v>
      </c>
      <c r="P76" s="89">
        <f t="shared" si="69"/>
        <v>0</v>
      </c>
      <c r="Q76" s="89">
        <f t="shared" si="69"/>
        <v>0</v>
      </c>
      <c r="R76" s="89">
        <f t="shared" si="69"/>
        <v>0</v>
      </c>
      <c r="S76" s="89">
        <f t="shared" si="69"/>
        <v>0</v>
      </c>
      <c r="T76" s="89">
        <f t="shared" ref="T76:Y76" si="70">T34/T$23</f>
        <v>0</v>
      </c>
      <c r="U76" s="89">
        <f t="shared" si="70"/>
        <v>0</v>
      </c>
      <c r="V76" s="89">
        <f t="shared" si="70"/>
        <v>0</v>
      </c>
      <c r="W76" s="89">
        <f t="shared" si="70"/>
        <v>0</v>
      </c>
      <c r="X76" s="89">
        <f t="shared" si="70"/>
        <v>0</v>
      </c>
      <c r="Y76" s="89">
        <f t="shared" si="70"/>
        <v>0</v>
      </c>
    </row>
    <row r="77" spans="1:25" x14ac:dyDescent="0.25">
      <c r="A77" s="88" t="s">
        <v>269</v>
      </c>
      <c r="B77" s="44"/>
      <c r="C77" s="44"/>
      <c r="D77" s="89">
        <f>D37/D$23</f>
        <v>1.9009344415276714E-3</v>
      </c>
      <c r="E77" s="89">
        <f t="shared" ref="E77:S77" si="71">E37/E$23</f>
        <v>2.0174904286037248E-3</v>
      </c>
      <c r="F77" s="89">
        <f t="shared" si="71"/>
        <v>1.5065760344132812E-3</v>
      </c>
      <c r="G77" s="89">
        <f t="shared" si="71"/>
        <v>1.5986119520664502E-3</v>
      </c>
      <c r="H77" s="89">
        <f t="shared" si="71"/>
        <v>1.8314885046263817E-3</v>
      </c>
      <c r="I77" s="89">
        <f t="shared" si="71"/>
        <v>1.5455847172369142E-3</v>
      </c>
      <c r="J77" s="89">
        <f t="shared" si="71"/>
        <v>2.1122156059149421E-3</v>
      </c>
      <c r="K77" s="89">
        <f t="shared" si="71"/>
        <v>1.4874398726422448E-3</v>
      </c>
      <c r="L77" s="89">
        <f t="shared" si="71"/>
        <v>1.367317058595034E-3</v>
      </c>
      <c r="M77" s="89">
        <f t="shared" si="71"/>
        <v>8.6716263205193259E-4</v>
      </c>
      <c r="N77" s="89">
        <f t="shared" si="71"/>
        <v>1.202045380987988E-3</v>
      </c>
      <c r="O77" s="89">
        <f t="shared" si="71"/>
        <v>9.9360627562496443E-4</v>
      </c>
      <c r="P77" s="89">
        <f t="shared" si="71"/>
        <v>9.179238369595433E-4</v>
      </c>
      <c r="Q77" s="89">
        <f t="shared" si="71"/>
        <v>1.1106563851153747E-3</v>
      </c>
      <c r="R77" s="89">
        <f t="shared" si="71"/>
        <v>1.2431011797164344E-3</v>
      </c>
      <c r="S77" s="89">
        <f t="shared" si="71"/>
        <v>1.0733459905867639E-3</v>
      </c>
      <c r="T77" s="89">
        <f t="shared" ref="T77:Y77" si="72">T37/T$23</f>
        <v>9.207705871120879E-4</v>
      </c>
      <c r="U77" s="89">
        <f t="shared" si="72"/>
        <v>1.0739648837445723E-3</v>
      </c>
      <c r="V77" s="89">
        <f t="shared" si="72"/>
        <v>9.6066741928730627E-4</v>
      </c>
      <c r="W77" s="89">
        <f t="shared" si="72"/>
        <v>1.1046538257395116E-3</v>
      </c>
      <c r="X77" s="89">
        <f t="shared" si="72"/>
        <v>7.931247176686569E-4</v>
      </c>
      <c r="Y77" s="89">
        <f t="shared" si="72"/>
        <v>5.7270711479019188E-4</v>
      </c>
    </row>
    <row r="78" spans="1:25" x14ac:dyDescent="0.25">
      <c r="A78" s="68" t="s">
        <v>271</v>
      </c>
      <c r="B78" s="44"/>
      <c r="C78" s="44"/>
      <c r="D78" s="89">
        <f>D43/D$23</f>
        <v>0.10914809277742975</v>
      </c>
      <c r="E78" s="89">
        <f t="shared" ref="E78:S78" si="73">E43/E$23</f>
        <v>0.12221795397274983</v>
      </c>
      <c r="F78" s="89">
        <f t="shared" si="73"/>
        <v>0.15151495050769212</v>
      </c>
      <c r="G78" s="89">
        <f t="shared" si="73"/>
        <v>0.11538303502138583</v>
      </c>
      <c r="H78" s="89">
        <f t="shared" si="73"/>
        <v>9.7400697959385607E-2</v>
      </c>
      <c r="I78" s="89">
        <f t="shared" si="73"/>
        <v>8.7528515737075346E-2</v>
      </c>
      <c r="J78" s="89">
        <f t="shared" si="73"/>
        <v>7.7851813989707128E-2</v>
      </c>
      <c r="K78" s="89">
        <f t="shared" si="73"/>
        <v>8.2503788573331543E-2</v>
      </c>
      <c r="L78" s="89">
        <f t="shared" si="73"/>
        <v>8.1875280126691971E-2</v>
      </c>
      <c r="M78" s="89">
        <f t="shared" si="73"/>
        <v>0.1102123662249017</v>
      </c>
      <c r="N78" s="89">
        <f t="shared" si="73"/>
        <v>0.10775473547451905</v>
      </c>
      <c r="O78" s="89">
        <f t="shared" si="73"/>
        <v>0.11781736318917348</v>
      </c>
      <c r="P78" s="89">
        <f t="shared" si="73"/>
        <v>0.10977749981047685</v>
      </c>
      <c r="Q78" s="89">
        <f t="shared" si="73"/>
        <v>9.6637474070961266E-2</v>
      </c>
      <c r="R78" s="89">
        <f t="shared" si="73"/>
        <v>9.9416234320100841E-2</v>
      </c>
      <c r="S78" s="89">
        <f t="shared" si="73"/>
        <v>0.28579304153228619</v>
      </c>
      <c r="T78" s="89">
        <f t="shared" ref="T78:Y78" si="74">T43/T$23</f>
        <v>0.26564826711819611</v>
      </c>
      <c r="U78" s="89">
        <f t="shared" si="74"/>
        <v>0.25918304096081718</v>
      </c>
      <c r="V78" s="89">
        <f t="shared" si="74"/>
        <v>0.27043901870571901</v>
      </c>
      <c r="W78" s="89">
        <f t="shared" si="74"/>
        <v>0.25302936963210415</v>
      </c>
      <c r="X78" s="89">
        <f t="shared" si="74"/>
        <v>0.27684451212178562</v>
      </c>
      <c r="Y78" s="89">
        <f t="shared" si="74"/>
        <v>0.29276679848473097</v>
      </c>
    </row>
    <row r="79" spans="1:25" x14ac:dyDescent="0.25">
      <c r="A79" s="88" t="s">
        <v>272</v>
      </c>
      <c r="B79" s="44"/>
      <c r="C79" s="44"/>
      <c r="D79" s="89">
        <f>D44/D$23</f>
        <v>1.9900374062517476E-2</v>
      </c>
      <c r="E79" s="89">
        <f t="shared" ref="E79:S79" si="75">E44/E$23</f>
        <v>7.2683795621511713E-3</v>
      </c>
      <c r="F79" s="89">
        <f t="shared" si="75"/>
        <v>7.1647350101074576E-3</v>
      </c>
      <c r="G79" s="89">
        <f t="shared" si="75"/>
        <v>5.4617949574723686E-3</v>
      </c>
      <c r="H79" s="89">
        <f t="shared" si="75"/>
        <v>6.3749188673149397E-3</v>
      </c>
      <c r="I79" s="89">
        <f t="shared" si="75"/>
        <v>5.0065976604221196E-3</v>
      </c>
      <c r="J79" s="89">
        <f t="shared" si="75"/>
        <v>4.4181842449875037E-3</v>
      </c>
      <c r="K79" s="89">
        <f t="shared" si="75"/>
        <v>1.049547627493419E-2</v>
      </c>
      <c r="L79" s="89">
        <f t="shared" si="75"/>
        <v>9.333970777183502E-3</v>
      </c>
      <c r="M79" s="89">
        <f t="shared" si="75"/>
        <v>1.1584268711446246E-2</v>
      </c>
      <c r="N79" s="89">
        <f t="shared" si="75"/>
        <v>1.0665444707553704E-2</v>
      </c>
      <c r="O79" s="89">
        <f t="shared" si="75"/>
        <v>1.5530008133018297E-2</v>
      </c>
      <c r="P79" s="89">
        <f t="shared" si="75"/>
        <v>1.9845601799206535E-2</v>
      </c>
      <c r="Q79" s="89">
        <f t="shared" si="75"/>
        <v>2.1957573048071756E-2</v>
      </c>
      <c r="R79" s="89">
        <f t="shared" si="75"/>
        <v>2.0569859044399539E-2</v>
      </c>
      <c r="S79" s="89">
        <f t="shared" si="75"/>
        <v>1.5409461585756965E-2</v>
      </c>
      <c r="T79" s="89">
        <f t="shared" ref="T79:Y79" si="76">T44/T$23</f>
        <v>1.7694322740921239E-2</v>
      </c>
      <c r="U79" s="89">
        <f t="shared" si="76"/>
        <v>1.7160807734555937E-2</v>
      </c>
      <c r="V79" s="89">
        <f t="shared" si="76"/>
        <v>1.5728650836917379E-2</v>
      </c>
      <c r="W79" s="89">
        <f t="shared" si="76"/>
        <v>1.5664779065835781E-2</v>
      </c>
      <c r="X79" s="89">
        <f t="shared" si="76"/>
        <v>1.5441589357808197E-2</v>
      </c>
      <c r="Y79" s="89">
        <f t="shared" si="76"/>
        <v>1.4452720387386597E-2</v>
      </c>
    </row>
    <row r="80" spans="1:25" x14ac:dyDescent="0.25">
      <c r="A80" s="88" t="s">
        <v>11</v>
      </c>
      <c r="B80" s="44"/>
      <c r="C80" s="44"/>
      <c r="D80" s="89">
        <f>D47/D$23</f>
        <v>8.9247718714912272E-2</v>
      </c>
      <c r="E80" s="89">
        <f t="shared" ref="E80:S80" si="77">E47/E$23</f>
        <v>0.11494957441059866</v>
      </c>
      <c r="F80" s="89">
        <f t="shared" si="77"/>
        <v>0.14435021549758467</v>
      </c>
      <c r="G80" s="89">
        <f t="shared" si="77"/>
        <v>0.10992124006391346</v>
      </c>
      <c r="H80" s="89">
        <f t="shared" si="77"/>
        <v>9.1025779092070672E-2</v>
      </c>
      <c r="I80" s="89">
        <f t="shared" si="77"/>
        <v>8.2521918076653225E-2</v>
      </c>
      <c r="J80" s="89">
        <f t="shared" si="77"/>
        <v>7.343362974471962E-2</v>
      </c>
      <c r="K80" s="89">
        <f t="shared" si="77"/>
        <v>7.2008312298397353E-2</v>
      </c>
      <c r="L80" s="89">
        <f t="shared" si="77"/>
        <v>7.2541309349508476E-2</v>
      </c>
      <c r="M80" s="89">
        <f t="shared" si="77"/>
        <v>9.862809751345547E-2</v>
      </c>
      <c r="N80" s="89">
        <f t="shared" si="77"/>
        <v>9.7089290766965333E-2</v>
      </c>
      <c r="O80" s="89">
        <f t="shared" si="77"/>
        <v>0.10228735505615517</v>
      </c>
      <c r="P80" s="89">
        <f t="shared" si="77"/>
        <v>8.9931898011270314E-2</v>
      </c>
      <c r="Q80" s="89">
        <f t="shared" si="77"/>
        <v>7.4679901022889517E-2</v>
      </c>
      <c r="R80" s="89">
        <f t="shared" si="77"/>
        <v>7.8846375275701291E-2</v>
      </c>
      <c r="S80" s="89">
        <f t="shared" si="77"/>
        <v>0.27038357994652917</v>
      </c>
      <c r="T80" s="89">
        <f t="shared" ref="T80:Y80" si="78">T47/T$23</f>
        <v>0.24795394437727486</v>
      </c>
      <c r="U80" s="89">
        <f t="shared" si="78"/>
        <v>0.24202223322626124</v>
      </c>
      <c r="V80" s="89">
        <f t="shared" si="78"/>
        <v>0.25471036786880163</v>
      </c>
      <c r="W80" s="89">
        <f t="shared" si="78"/>
        <v>0.23736459056626835</v>
      </c>
      <c r="X80" s="89">
        <f t="shared" si="78"/>
        <v>0.26140292276397742</v>
      </c>
      <c r="Y80" s="89">
        <f t="shared" si="78"/>
        <v>0.27831407809734438</v>
      </c>
    </row>
    <row r="81" spans="1:25" x14ac:dyDescent="0.25">
      <c r="A81" s="68" t="s">
        <v>4</v>
      </c>
      <c r="B81" s="44"/>
      <c r="C81" s="44"/>
      <c r="D81" s="89">
        <f>D48/D$23</f>
        <v>8.2649413058896743E-3</v>
      </c>
      <c r="E81" s="89">
        <f t="shared" ref="E81:S81" si="79">E48/E$23</f>
        <v>7.4411517656767781E-3</v>
      </c>
      <c r="F81" s="89">
        <f t="shared" si="79"/>
        <v>6.5262850670704097E-3</v>
      </c>
      <c r="G81" s="89">
        <f t="shared" si="79"/>
        <v>6.5153903225831471E-3</v>
      </c>
      <c r="H81" s="89">
        <f t="shared" si="79"/>
        <v>6.526269526417966E-3</v>
      </c>
      <c r="I81" s="89">
        <f t="shared" si="79"/>
        <v>6.7869293425011704E-3</v>
      </c>
      <c r="J81" s="89">
        <f t="shared" si="79"/>
        <v>6.7506017108085294E-3</v>
      </c>
      <c r="K81" s="89">
        <f t="shared" si="79"/>
        <v>6.795155424328782E-3</v>
      </c>
      <c r="L81" s="89">
        <f t="shared" si="79"/>
        <v>5.1423790599695223E-3</v>
      </c>
      <c r="M81" s="89">
        <f t="shared" si="79"/>
        <v>3.5211660547513749E-3</v>
      </c>
      <c r="N81" s="89">
        <f t="shared" si="79"/>
        <v>2.4914048175037765E-3</v>
      </c>
      <c r="O81" s="89">
        <f t="shared" si="79"/>
        <v>2.6839604386291972E-3</v>
      </c>
      <c r="P81" s="89">
        <f t="shared" si="79"/>
        <v>2.2963889520632753E-3</v>
      </c>
      <c r="Q81" s="89">
        <f t="shared" si="79"/>
        <v>3.000175045789416E-3</v>
      </c>
      <c r="R81" s="89">
        <f t="shared" si="79"/>
        <v>3.6504918186726766E-3</v>
      </c>
      <c r="S81" s="89">
        <f t="shared" si="79"/>
        <v>2.3584182656837885E-3</v>
      </c>
      <c r="T81" s="89">
        <f t="shared" ref="T81:Y81" si="80">T48/T$23</f>
        <v>3.1933362574290808E-3</v>
      </c>
      <c r="U81" s="89">
        <f t="shared" si="80"/>
        <v>3.0882844155278332E-3</v>
      </c>
      <c r="V81" s="89">
        <f t="shared" si="80"/>
        <v>2.8115663574661076E-3</v>
      </c>
      <c r="W81" s="89">
        <f t="shared" si="80"/>
        <v>2.9484378129291202E-3</v>
      </c>
      <c r="X81" s="89">
        <f t="shared" si="80"/>
        <v>2.8341925751734836E-3</v>
      </c>
      <c r="Y81" s="89">
        <f t="shared" si="80"/>
        <v>2.5263753785400599E-3</v>
      </c>
    </row>
    <row r="82" spans="1:25" x14ac:dyDescent="0.25">
      <c r="A82" s="68" t="s">
        <v>3</v>
      </c>
      <c r="B82" s="44"/>
      <c r="C82" s="44"/>
      <c r="D82" s="89">
        <f>D52/D$23</f>
        <v>6.8722873230233506E-3</v>
      </c>
      <c r="E82" s="89">
        <f t="shared" ref="E82:S82" si="81">E52/E$23</f>
        <v>8.5834701113277918E-3</v>
      </c>
      <c r="F82" s="89">
        <f t="shared" si="81"/>
        <v>7.6555952260527367E-3</v>
      </c>
      <c r="G82" s="89">
        <f t="shared" si="81"/>
        <v>7.5806147756089948E-3</v>
      </c>
      <c r="H82" s="89">
        <f t="shared" si="81"/>
        <v>7.0683668390705886E-3</v>
      </c>
      <c r="I82" s="89">
        <f t="shared" si="81"/>
        <v>7.1688111571018964E-3</v>
      </c>
      <c r="J82" s="89">
        <f t="shared" si="81"/>
        <v>6.6060557971830162E-3</v>
      </c>
      <c r="K82" s="89">
        <f t="shared" si="81"/>
        <v>4.1452961427668085E-3</v>
      </c>
      <c r="L82" s="89">
        <f t="shared" si="81"/>
        <v>3.8635073355843068E-3</v>
      </c>
      <c r="M82" s="89">
        <f t="shared" si="81"/>
        <v>4.1139350606127639E-3</v>
      </c>
      <c r="N82" s="89">
        <f t="shared" si="81"/>
        <v>3.7623823475926594E-3</v>
      </c>
      <c r="O82" s="89">
        <f t="shared" si="81"/>
        <v>3.1192668821304771E-3</v>
      </c>
      <c r="P82" s="89">
        <f t="shared" si="81"/>
        <v>2.7885174234958182E-3</v>
      </c>
      <c r="Q82" s="89">
        <f t="shared" si="81"/>
        <v>2.942842975388073E-3</v>
      </c>
      <c r="R82" s="89">
        <f t="shared" si="81"/>
        <v>3.1306698325502462E-3</v>
      </c>
      <c r="S82" s="89">
        <f t="shared" si="81"/>
        <v>2.2860716395094326E-3</v>
      </c>
      <c r="T82" s="89">
        <f t="shared" ref="T82:Y82" si="82">T52/T$23</f>
        <v>1.9869470283277769E-3</v>
      </c>
      <c r="U82" s="89">
        <f t="shared" si="82"/>
        <v>1.7790493341272489E-3</v>
      </c>
      <c r="V82" s="89">
        <f t="shared" si="82"/>
        <v>1.6402434212542936E-3</v>
      </c>
      <c r="W82" s="89">
        <f t="shared" si="82"/>
        <v>1.4938272602818873E-3</v>
      </c>
      <c r="X82" s="89">
        <f t="shared" si="82"/>
        <v>1.3686665481892749E-3</v>
      </c>
      <c r="Y82" s="89">
        <f t="shared" si="82"/>
        <v>1.0986476374790896E-3</v>
      </c>
    </row>
    <row r="83" spans="1:25" x14ac:dyDescent="0.25">
      <c r="A83" s="88" t="s">
        <v>21</v>
      </c>
      <c r="B83" s="44"/>
      <c r="C83" s="44"/>
      <c r="D83" s="89">
        <f>D53/D$23</f>
        <v>2.8111552928088597E-3</v>
      </c>
      <c r="E83" s="89">
        <f t="shared" ref="E83:S83" si="83">E53/E$23</f>
        <v>2.5143869619478417E-3</v>
      </c>
      <c r="F83" s="89">
        <f t="shared" si="83"/>
        <v>2.5372166567444359E-3</v>
      </c>
      <c r="G83" s="89">
        <f t="shared" si="83"/>
        <v>2.5103324446125925E-3</v>
      </c>
      <c r="H83" s="89">
        <f t="shared" si="83"/>
        <v>1.9792009267317278E-3</v>
      </c>
      <c r="I83" s="89">
        <f t="shared" si="83"/>
        <v>1.6184833473445836E-3</v>
      </c>
      <c r="J83" s="89">
        <f t="shared" si="83"/>
        <v>1.4177801315183288E-3</v>
      </c>
      <c r="K83" s="89">
        <f t="shared" si="83"/>
        <v>1.3177894724215281E-3</v>
      </c>
      <c r="L83" s="89">
        <f t="shared" si="83"/>
        <v>1.213732930946903E-3</v>
      </c>
      <c r="M83" s="89">
        <f t="shared" si="83"/>
        <v>1.1093904982344934E-3</v>
      </c>
      <c r="N83" s="89">
        <f t="shared" si="83"/>
        <v>1.2243662673635158E-3</v>
      </c>
      <c r="O83" s="89">
        <f t="shared" si="83"/>
        <v>9.6720455345994567E-4</v>
      </c>
      <c r="P83" s="89">
        <f t="shared" si="83"/>
        <v>1.0006822833750284E-3</v>
      </c>
      <c r="Q83" s="89">
        <f t="shared" si="83"/>
        <v>1.038076423649845E-3</v>
      </c>
      <c r="R83" s="89">
        <f t="shared" si="83"/>
        <v>1.0910672224849279E-3</v>
      </c>
      <c r="S83" s="89">
        <f t="shared" si="83"/>
        <v>7.7374103586471592E-4</v>
      </c>
      <c r="T83" s="89">
        <f t="shared" ref="T83:Y83" si="84">T53/T$23</f>
        <v>7.3501860316105934E-4</v>
      </c>
      <c r="U83" s="89">
        <f t="shared" si="84"/>
        <v>7.7080035435758167E-4</v>
      </c>
      <c r="V83" s="89">
        <f t="shared" si="84"/>
        <v>7.2979419021214906E-4</v>
      </c>
      <c r="W83" s="89">
        <f t="shared" si="84"/>
        <v>6.5021899986618425E-4</v>
      </c>
      <c r="X83" s="89">
        <f t="shared" si="84"/>
        <v>6.6734777129146808E-4</v>
      </c>
      <c r="Y83" s="89">
        <f t="shared" si="84"/>
        <v>5.9572313393951978E-4</v>
      </c>
    </row>
    <row r="84" spans="1:25" x14ac:dyDescent="0.25">
      <c r="A84" s="88" t="s">
        <v>16</v>
      </c>
      <c r="B84" s="44"/>
      <c r="C84" s="44"/>
      <c r="D84" s="89">
        <f t="shared" ref="D84:D90" si="85">D56/D$23</f>
        <v>4.0611320302144909E-3</v>
      </c>
      <c r="E84" s="89">
        <f t="shared" ref="E84:S84" si="86">E56/E$23</f>
        <v>6.0690831493799505E-3</v>
      </c>
      <c r="F84" s="89">
        <f t="shared" si="86"/>
        <v>5.1183785693083008E-3</v>
      </c>
      <c r="G84" s="89">
        <f t="shared" si="86"/>
        <v>5.0702823309964028E-3</v>
      </c>
      <c r="H84" s="89">
        <f t="shared" si="86"/>
        <v>5.0891659123388612E-3</v>
      </c>
      <c r="I84" s="89">
        <f t="shared" si="86"/>
        <v>5.5503278097573132E-3</v>
      </c>
      <c r="J84" s="89">
        <f t="shared" si="86"/>
        <v>5.1882756656646874E-3</v>
      </c>
      <c r="K84" s="89">
        <f t="shared" si="86"/>
        <v>2.8275066703452806E-3</v>
      </c>
      <c r="L84" s="89">
        <f t="shared" si="86"/>
        <v>2.649774404637404E-3</v>
      </c>
      <c r="M84" s="89">
        <f t="shared" si="86"/>
        <v>3.0045445623782703E-3</v>
      </c>
      <c r="N84" s="89">
        <f t="shared" si="86"/>
        <v>2.5380160802291438E-3</v>
      </c>
      <c r="O84" s="89">
        <f t="shared" si="86"/>
        <v>2.1520623286705311E-3</v>
      </c>
      <c r="P84" s="89">
        <f t="shared" si="86"/>
        <v>1.7878351401207897E-3</v>
      </c>
      <c r="Q84" s="89">
        <f t="shared" si="86"/>
        <v>1.9047665517382285E-3</v>
      </c>
      <c r="R84" s="89">
        <f t="shared" si="86"/>
        <v>2.0396026100653183E-3</v>
      </c>
      <c r="S84" s="89">
        <f t="shared" si="86"/>
        <v>1.5123306036447166E-3</v>
      </c>
      <c r="T84" s="89">
        <f t="shared" ref="T84:Y84" si="87">T56/T$23</f>
        <v>1.2519284251667174E-3</v>
      </c>
      <c r="U84" s="89">
        <f t="shared" si="87"/>
        <v>1.0082489797696673E-3</v>
      </c>
      <c r="V84" s="89">
        <f t="shared" si="87"/>
        <v>9.1044923104214475E-4</v>
      </c>
      <c r="W84" s="89">
        <f t="shared" si="87"/>
        <v>8.4360826041570292E-4</v>
      </c>
      <c r="X84" s="89">
        <f t="shared" si="87"/>
        <v>7.0131877689780687E-4</v>
      </c>
      <c r="Y84" s="89">
        <f t="shared" si="87"/>
        <v>5.0292450353956982E-4</v>
      </c>
    </row>
    <row r="85" spans="1:25" x14ac:dyDescent="0.25">
      <c r="A85" s="68" t="s">
        <v>2</v>
      </c>
      <c r="B85" s="44"/>
      <c r="C85" s="44"/>
      <c r="D85" s="89">
        <f t="shared" si="85"/>
        <v>3.7243930530655965E-2</v>
      </c>
      <c r="E85" s="89">
        <f t="shared" ref="E85:S85" si="88">E57/E$23</f>
        <v>4.1750219181758197E-2</v>
      </c>
      <c r="F85" s="89">
        <f t="shared" si="88"/>
        <v>4.1684148034154586E-2</v>
      </c>
      <c r="G85" s="89">
        <f t="shared" si="88"/>
        <v>4.5882178732879073E-2</v>
      </c>
      <c r="H85" s="89">
        <f t="shared" si="88"/>
        <v>4.2250846253925653E-2</v>
      </c>
      <c r="I85" s="89">
        <f t="shared" si="88"/>
        <v>3.8337322694146102E-2</v>
      </c>
      <c r="J85" s="89">
        <f t="shared" si="88"/>
        <v>3.7698189362527924E-2</v>
      </c>
      <c r="K85" s="89">
        <f t="shared" si="88"/>
        <v>3.6242352165670184E-2</v>
      </c>
      <c r="L85" s="89">
        <f t="shared" si="88"/>
        <v>3.6710789733169984E-2</v>
      </c>
      <c r="M85" s="89">
        <f t="shared" si="88"/>
        <v>3.8959299810484592E-2</v>
      </c>
      <c r="N85" s="89">
        <f t="shared" si="88"/>
        <v>4.2666374306821589E-2</v>
      </c>
      <c r="O85" s="89">
        <f t="shared" si="88"/>
        <v>4.1196345744074589E-2</v>
      </c>
      <c r="P85" s="89">
        <f t="shared" si="88"/>
        <v>4.1492937103580728E-2</v>
      </c>
      <c r="Q85" s="89">
        <f t="shared" si="88"/>
        <v>4.5639377617681692E-2</v>
      </c>
      <c r="R85" s="89">
        <f t="shared" si="88"/>
        <v>4.6773917680319542E-2</v>
      </c>
      <c r="S85" s="89">
        <f t="shared" si="88"/>
        <v>3.5652989611923709E-2</v>
      </c>
      <c r="T85" s="89">
        <f t="shared" ref="T85:Y85" si="89">T57/T$23</f>
        <v>3.5227364423022385E-2</v>
      </c>
      <c r="U85" s="89">
        <f t="shared" si="89"/>
        <v>3.0947470845375191E-2</v>
      </c>
      <c r="V85" s="89">
        <f t="shared" si="89"/>
        <v>2.8636106616474564E-2</v>
      </c>
      <c r="W85" s="89">
        <f t="shared" si="89"/>
        <v>2.2475065209002599E-2</v>
      </c>
      <c r="X85" s="89">
        <f t="shared" si="89"/>
        <v>2.1099644258998313E-2</v>
      </c>
      <c r="Y85" s="89">
        <f t="shared" si="89"/>
        <v>1.9515625428489718E-2</v>
      </c>
    </row>
    <row r="86" spans="1:25" x14ac:dyDescent="0.25">
      <c r="A86" s="68" t="s">
        <v>275</v>
      </c>
      <c r="B86" s="44"/>
      <c r="C86" s="44"/>
      <c r="D86" s="89">
        <f t="shared" si="85"/>
        <v>3.6165580045036381E-3</v>
      </c>
      <c r="E86" s="89">
        <f t="shared" ref="E86:S86" si="90">E58/E$23</f>
        <v>3.3093228983823745E-3</v>
      </c>
      <c r="F86" s="89">
        <f t="shared" si="90"/>
        <v>2.8912661706104077E-3</v>
      </c>
      <c r="G86" s="89">
        <f t="shared" si="90"/>
        <v>4.4578170341329233E-3</v>
      </c>
      <c r="H86" s="89">
        <f t="shared" si="90"/>
        <v>2.986264927686401E-3</v>
      </c>
      <c r="I86" s="89">
        <f t="shared" si="90"/>
        <v>3.1379850684879283E-3</v>
      </c>
      <c r="J86" s="89">
        <f t="shared" si="90"/>
        <v>2.6325808949667884E-3</v>
      </c>
      <c r="K86" s="89">
        <f t="shared" si="90"/>
        <v>2.5944515750925797E-3</v>
      </c>
      <c r="L86" s="89">
        <f t="shared" si="90"/>
        <v>2.5631218812561629E-3</v>
      </c>
      <c r="M86" s="89">
        <f t="shared" si="90"/>
        <v>1.5905640101906379E-3</v>
      </c>
      <c r="N86" s="89">
        <f t="shared" si="90"/>
        <v>1.3733910087530697E-3</v>
      </c>
      <c r="O86" s="89">
        <f t="shared" si="90"/>
        <v>1.4108822747208661E-3</v>
      </c>
      <c r="P86" s="89">
        <f t="shared" si="90"/>
        <v>1.3885730169560053E-3</v>
      </c>
      <c r="Q86" s="89">
        <f t="shared" si="90"/>
        <v>1.5113709622822068E-3</v>
      </c>
      <c r="R86" s="89">
        <f t="shared" si="90"/>
        <v>1.5477280425516215E-3</v>
      </c>
      <c r="S86" s="89">
        <f t="shared" si="90"/>
        <v>1.3582363772733498E-3</v>
      </c>
      <c r="T86" s="89">
        <f t="shared" ref="T86:Y86" si="91">T58/T$23</f>
        <v>1.3961358793738601E-3</v>
      </c>
      <c r="U86" s="89">
        <f t="shared" si="91"/>
        <v>1.3052412971811145E-3</v>
      </c>
      <c r="V86" s="89">
        <f t="shared" si="91"/>
        <v>1.3089338156888142E-3</v>
      </c>
      <c r="W86" s="89">
        <f t="shared" si="91"/>
        <v>1.1372845214049879E-3</v>
      </c>
      <c r="X86" s="89">
        <f t="shared" si="91"/>
        <v>9.1104060489727128E-4</v>
      </c>
      <c r="Y86" s="89">
        <f t="shared" si="91"/>
        <v>9.4610529779790573E-4</v>
      </c>
    </row>
    <row r="87" spans="1:25" x14ac:dyDescent="0.25">
      <c r="A87" s="68" t="s">
        <v>276</v>
      </c>
      <c r="B87" s="44"/>
      <c r="C87" s="44"/>
      <c r="D87" s="89">
        <f t="shared" si="85"/>
        <v>5.5831260377701829E-2</v>
      </c>
      <c r="E87" s="89">
        <f t="shared" ref="E87:S87" si="92">E59/E$23</f>
        <v>6.0465676228566613E-2</v>
      </c>
      <c r="F87" s="89">
        <f t="shared" si="92"/>
        <v>5.5321272986270834E-2</v>
      </c>
      <c r="G87" s="89">
        <f t="shared" si="92"/>
        <v>4.7510251040997188E-2</v>
      </c>
      <c r="H87" s="89">
        <f t="shared" si="92"/>
        <v>4.829832379145043E-2</v>
      </c>
      <c r="I87" s="89">
        <f t="shared" si="92"/>
        <v>4.7330605988254615E-2</v>
      </c>
      <c r="J87" s="89">
        <f t="shared" si="92"/>
        <v>4.5454461578773524E-2</v>
      </c>
      <c r="K87" s="89">
        <f t="shared" si="92"/>
        <v>3.8662583632791993E-2</v>
      </c>
      <c r="L87" s="89">
        <f t="shared" si="92"/>
        <v>3.5239489646517456E-2</v>
      </c>
      <c r="M87" s="89">
        <f t="shared" si="92"/>
        <v>3.5669202072525254E-2</v>
      </c>
      <c r="N87" s="89">
        <f t="shared" si="92"/>
        <v>2.9635572140120019E-2</v>
      </c>
      <c r="O87" s="89">
        <f t="shared" si="92"/>
        <v>2.8183516438935716E-2</v>
      </c>
      <c r="P87" s="89">
        <f t="shared" si="92"/>
        <v>2.9051373411164177E-2</v>
      </c>
      <c r="Q87" s="89">
        <f t="shared" si="92"/>
        <v>2.8017694872622161E-2</v>
      </c>
      <c r="R87" s="89">
        <f t="shared" si="92"/>
        <v>2.6904420946254878E-2</v>
      </c>
      <c r="S87" s="89">
        <f t="shared" si="92"/>
        <v>2.2841311812802426E-2</v>
      </c>
      <c r="T87" s="89">
        <f t="shared" ref="T87:Y87" si="93">T59/T$23</f>
        <v>2.4457505464400273E-2</v>
      </c>
      <c r="U87" s="89">
        <f t="shared" si="93"/>
        <v>2.3986378633686772E-2</v>
      </c>
      <c r="V87" s="89">
        <f t="shared" si="93"/>
        <v>2.3537311790038606E-2</v>
      </c>
      <c r="W87" s="89">
        <f t="shared" si="93"/>
        <v>2.2693486783470263E-2</v>
      </c>
      <c r="X87" s="89">
        <f t="shared" si="93"/>
        <v>2.8341836158993099E-2</v>
      </c>
      <c r="Y87" s="89">
        <f t="shared" si="93"/>
        <v>2.7414062433981971E-2</v>
      </c>
    </row>
    <row r="88" spans="1:25" x14ac:dyDescent="0.25">
      <c r="A88" s="68" t="s">
        <v>1</v>
      </c>
      <c r="B88" s="44"/>
      <c r="C88" s="44"/>
      <c r="D88" s="89">
        <f t="shared" si="85"/>
        <v>3.555558312603777E-3</v>
      </c>
      <c r="E88" s="89">
        <f t="shared" ref="E88:S88" si="94">E60/E$23</f>
        <v>3.4480920618524492E-3</v>
      </c>
      <c r="F88" s="89">
        <f t="shared" si="94"/>
        <v>2.6773439819045043E-3</v>
      </c>
      <c r="G88" s="89">
        <f t="shared" si="94"/>
        <v>2.3498510313838075E-3</v>
      </c>
      <c r="H88" s="89">
        <f t="shared" si="94"/>
        <v>1.9457291463531763E-3</v>
      </c>
      <c r="I88" s="89">
        <f t="shared" si="94"/>
        <v>1.7482295330408021E-3</v>
      </c>
      <c r="J88" s="89">
        <f t="shared" si="94"/>
        <v>1.4848248318808006E-3</v>
      </c>
      <c r="K88" s="89">
        <f t="shared" si="94"/>
        <v>1.4988641420173772E-3</v>
      </c>
      <c r="L88" s="89">
        <f t="shared" si="94"/>
        <v>1.2770789135566377E-3</v>
      </c>
      <c r="M88" s="89">
        <f t="shared" si="94"/>
        <v>1.2236117684669206E-3</v>
      </c>
      <c r="N88" s="89">
        <f t="shared" si="94"/>
        <v>9.9984441029202947E-4</v>
      </c>
      <c r="O88" s="89">
        <f t="shared" si="94"/>
        <v>8.1265788712813023E-4</v>
      </c>
      <c r="P88" s="89">
        <f t="shared" si="94"/>
        <v>7.764132110277209E-4</v>
      </c>
      <c r="Q88" s="89">
        <f t="shared" si="94"/>
        <v>8.0935805768704106E-4</v>
      </c>
      <c r="R88" s="89">
        <f t="shared" si="94"/>
        <v>8.0432670755932955E-4</v>
      </c>
      <c r="S88" s="89">
        <f t="shared" si="94"/>
        <v>6.343613775288109E-4</v>
      </c>
      <c r="T88" s="89">
        <f t="shared" ref="T88:Y88" si="95">T60/T$23</f>
        <v>5.995994148612772E-4</v>
      </c>
      <c r="U88" s="89">
        <f t="shared" si="95"/>
        <v>5.25364160506557E-4</v>
      </c>
      <c r="V88" s="89">
        <f t="shared" si="95"/>
        <v>4.7968152538072886E-4</v>
      </c>
      <c r="W88" s="89">
        <f t="shared" si="95"/>
        <v>4.4934563480623506E-4</v>
      </c>
      <c r="X88" s="89">
        <f t="shared" si="95"/>
        <v>3.9810649545279843E-4</v>
      </c>
      <c r="Y88" s="89">
        <f t="shared" si="95"/>
        <v>4.0375974018342303E-4</v>
      </c>
    </row>
    <row r="89" spans="1:25" x14ac:dyDescent="0.25">
      <c r="A89" s="68" t="s">
        <v>0</v>
      </c>
      <c r="B89" s="44"/>
      <c r="C89" s="44"/>
      <c r="D89" s="89">
        <f t="shared" si="85"/>
        <v>3.8657262375183256E-3</v>
      </c>
      <c r="E89" s="89">
        <f t="shared" ref="E89:S89" si="96">E61/E$23</f>
        <v>2.9334514556058149E-3</v>
      </c>
      <c r="F89" s="89">
        <f t="shared" si="96"/>
        <v>2.8680498090454258E-3</v>
      </c>
      <c r="G89" s="89">
        <f t="shared" si="96"/>
        <v>3.0080574073801294E-3</v>
      </c>
      <c r="H89" s="89">
        <f t="shared" si="96"/>
        <v>3.3042468412826384E-3</v>
      </c>
      <c r="I89" s="89">
        <f t="shared" si="96"/>
        <v>3.100532561276648E-3</v>
      </c>
      <c r="J89" s="89">
        <f t="shared" si="96"/>
        <v>3.1941571466267593E-3</v>
      </c>
      <c r="K89" s="89">
        <f t="shared" si="96"/>
        <v>3.1525271340677999E-3</v>
      </c>
      <c r="L89" s="89">
        <f t="shared" si="96"/>
        <v>1.8866345952729554E-3</v>
      </c>
      <c r="M89" s="89">
        <f t="shared" si="96"/>
        <v>1.3266734893088235E-3</v>
      </c>
      <c r="N89" s="89">
        <f t="shared" si="96"/>
        <v>1.0792805059225844E-3</v>
      </c>
      <c r="O89" s="89">
        <f t="shared" si="96"/>
        <v>7.9269560939360399E-4</v>
      </c>
      <c r="P89" s="89">
        <f t="shared" si="96"/>
        <v>8.1052737977914239E-4</v>
      </c>
      <c r="Q89" s="89">
        <f t="shared" si="96"/>
        <v>9.84403847103907E-4</v>
      </c>
      <c r="R89" s="89">
        <f t="shared" si="96"/>
        <v>1.0010765345648085E-3</v>
      </c>
      <c r="S89" s="89">
        <f t="shared" si="96"/>
        <v>8.2973814199966897E-4</v>
      </c>
      <c r="T89" s="89">
        <f t="shared" ref="T89:Y89" si="97">T61/T$23</f>
        <v>8.6844045830007774E-4</v>
      </c>
      <c r="U89" s="89">
        <f t="shared" si="97"/>
        <v>9.487052877703066E-4</v>
      </c>
      <c r="V89" s="89">
        <f t="shared" si="97"/>
        <v>9.9066789538181815E-4</v>
      </c>
      <c r="W89" s="89">
        <f t="shared" si="97"/>
        <v>9.9299098644389187E-4</v>
      </c>
      <c r="X89" s="89">
        <f t="shared" si="97"/>
        <v>8.8633441900175215E-4</v>
      </c>
      <c r="Y89" s="89">
        <f t="shared" si="97"/>
        <v>1.1052586217028329E-3</v>
      </c>
    </row>
    <row r="90" spans="1:25" x14ac:dyDescent="0.25">
      <c r="A90" s="90" t="s">
        <v>278</v>
      </c>
      <c r="B90" s="47"/>
      <c r="C90" s="47"/>
      <c r="D90" s="91">
        <f t="shared" si="85"/>
        <v>2.7031134656302924E-2</v>
      </c>
      <c r="E90" s="91">
        <f t="shared" ref="E90:S90" si="98">E62/E$23</f>
        <v>2.9521990776905135E-2</v>
      </c>
      <c r="F90" s="91">
        <f t="shared" si="98"/>
        <v>2.777588914519015E-2</v>
      </c>
      <c r="G90" s="91">
        <f t="shared" si="98"/>
        <v>2.8268762176624135E-2</v>
      </c>
      <c r="H90" s="91">
        <f t="shared" si="98"/>
        <v>2.7526901124360757E-2</v>
      </c>
      <c r="I90" s="91">
        <f t="shared" si="98"/>
        <v>2.5412194937624848E-2</v>
      </c>
      <c r="J90" s="91">
        <f t="shared" si="98"/>
        <v>2.6450056926486408E-2</v>
      </c>
      <c r="K90" s="91">
        <f t="shared" si="98"/>
        <v>2.4244584467906085E-2</v>
      </c>
      <c r="L90" s="91">
        <f t="shared" si="98"/>
        <v>2.534197866555114E-2</v>
      </c>
      <c r="M90" s="91">
        <f t="shared" si="98"/>
        <v>2.8143727118820978E-2</v>
      </c>
      <c r="N90" s="91">
        <f t="shared" si="98"/>
        <v>2.1730695879892622E-2</v>
      </c>
      <c r="O90" s="91">
        <f t="shared" si="98"/>
        <v>2.9157160436826153E-2</v>
      </c>
      <c r="P90" s="91">
        <f t="shared" si="98"/>
        <v>2.4661385287948857E-2</v>
      </c>
      <c r="Q90" s="91">
        <f t="shared" si="98"/>
        <v>2.6775906624354785E-2</v>
      </c>
      <c r="R90" s="91">
        <f t="shared" si="98"/>
        <v>2.868019992465376E-2</v>
      </c>
      <c r="S90" s="91">
        <f t="shared" si="98"/>
        <v>1.9813983335751698E-2</v>
      </c>
      <c r="T90" s="91">
        <f t="shared" ref="T90:Y90" si="99">T62/T$23</f>
        <v>1.9152028211931429E-2</v>
      </c>
      <c r="U90" s="91">
        <f t="shared" si="99"/>
        <v>2.2439984315320155E-2</v>
      </c>
      <c r="V90" s="91">
        <f t="shared" si="99"/>
        <v>1.7906045030714621E-2</v>
      </c>
      <c r="W90" s="91">
        <f t="shared" si="99"/>
        <v>2.7911219361198749E-2</v>
      </c>
      <c r="X90" s="91">
        <f t="shared" si="99"/>
        <v>2.534910823302762E-2</v>
      </c>
      <c r="Y90" s="91">
        <f t="shared" si="99"/>
        <v>2.4323769769291344E-2</v>
      </c>
    </row>
    <row r="91" spans="1:25" x14ac:dyDescent="0.25">
      <c r="A91" s="38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</row>
    <row r="92" spans="1:25" x14ac:dyDescent="0.25">
      <c r="A92" s="58" t="s">
        <v>236</v>
      </c>
      <c r="B92" s="50"/>
      <c r="C92" s="50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</row>
    <row r="93" spans="1:25" x14ac:dyDescent="0.25">
      <c r="A93" s="40" t="s">
        <v>139</v>
      </c>
      <c r="B93" s="41"/>
      <c r="C93" s="41"/>
      <c r="D93" s="41"/>
      <c r="E93" s="92">
        <f t="shared" ref="E93:E94" si="100">IF(D16=0,"",E16/D16-1)</f>
        <v>5.3060708440525017E-2</v>
      </c>
      <c r="F93" s="92">
        <f t="shared" ref="F93:F94" si="101">IF(E16=0,"",F16/E16-1)</f>
        <v>5.8996229261090383E-2</v>
      </c>
      <c r="G93" s="92">
        <f t="shared" ref="G93:G94" si="102">IF(F16=0,"",G16/F16-1)</f>
        <v>3.0134747869728251E-2</v>
      </c>
      <c r="H93" s="92">
        <f t="shared" ref="H93:H94" si="103">IF(G16=0,"",H16/G16-1)</f>
        <v>6.7889367886132757E-2</v>
      </c>
      <c r="I93" s="92">
        <f t="shared" ref="I93:I94" si="104">IF(H16=0,"",I16/H16-1)</f>
        <v>5.7389839630550776E-2</v>
      </c>
      <c r="J93" s="92">
        <f t="shared" ref="J93:J94" si="105">IF(I16=0,"",J16/I16-1)</f>
        <v>4.9886336135891884E-2</v>
      </c>
      <c r="K93" s="92">
        <f t="shared" ref="K93:K94" si="106">IF(J16=0,"",K16/J16-1)</f>
        <v>5.3098894431378829E-2</v>
      </c>
      <c r="L93" s="92">
        <f t="shared" ref="L93:L94" si="107">IF(K16=0,"",L16/K16-1)</f>
        <v>-4.4842145269527678E-2</v>
      </c>
      <c r="M93" s="92">
        <f t="shared" ref="M93:M94" si="108">IF(L16=0,"",M16/L16-1)</f>
        <v>-5.0960153539554298E-2</v>
      </c>
      <c r="N93" s="92">
        <f t="shared" ref="N93:N94" si="109">IF(M16=0,"",N16/M16-1)</f>
        <v>1.6833564754430208E-2</v>
      </c>
      <c r="O93" s="92">
        <f t="shared" ref="O93:O94" si="110">IF(N16=0,"",O16/N16-1)</f>
        <v>1.2803213184017892E-2</v>
      </c>
      <c r="P93" s="92">
        <f t="shared" ref="P93:P94" si="111">IF(O16=0,"",P16/O16-1)</f>
        <v>-1.2888754022560844E-3</v>
      </c>
      <c r="Q93" s="92">
        <f t="shared" ref="Q93:Q94" si="112">IF(P16=0,"",Q16/P16-1)</f>
        <v>1.1743644907086459E-2</v>
      </c>
      <c r="R93" s="92">
        <f t="shared" ref="R93:R94" si="113">IF(Q16=0,"",R16/Q16-1)</f>
        <v>8.82873685718224E-2</v>
      </c>
      <c r="S93" s="92">
        <f t="shared" ref="S93:S94" si="114">IF(R16=0,"",S16/R16-1)</f>
        <v>0.24475245983141147</v>
      </c>
      <c r="T93" s="92">
        <f t="shared" ref="T93:T94" si="115">IF(S16=0,"",T16/S16-1)</f>
        <v>1.7654014557356268E-2</v>
      </c>
      <c r="U93" s="92">
        <f t="shared" ref="U93:U94" si="116">IF(T16=0,"",U16/T16-1)</f>
        <v>9.3116906054463655E-2</v>
      </c>
      <c r="V93" s="92">
        <f t="shared" ref="V93:V94" si="117">IF(U16=0,"",V16/U16-1)</f>
        <v>8.4699552708623616E-2</v>
      </c>
      <c r="W93" s="92">
        <f t="shared" ref="W93:W94" si="118">IF(V16=0,"",W16/V16-1)</f>
        <v>5.2982192839421849E-2</v>
      </c>
      <c r="X93" s="92">
        <f t="shared" ref="X93:X94" si="119">IF(W16=0,"",X16/W16-1)</f>
        <v>6.6166795881023699E-2</v>
      </c>
      <c r="Y93" s="92">
        <f t="shared" ref="Y93:Y94" si="120">IF(X16=0,"",Y16/X16-1)</f>
        <v>0.15125173265964942</v>
      </c>
    </row>
    <row r="94" spans="1:25" x14ac:dyDescent="0.25">
      <c r="A94" s="46" t="s">
        <v>141</v>
      </c>
      <c r="B94" s="47"/>
      <c r="C94" s="47"/>
      <c r="D94" s="47"/>
      <c r="E94" s="93">
        <f t="shared" si="100"/>
        <v>4.7349036672102329E-2</v>
      </c>
      <c r="F94" s="93">
        <f t="shared" si="101"/>
        <v>3.6355236564076021E-2</v>
      </c>
      <c r="G94" s="93">
        <f t="shared" si="102"/>
        <v>2.791838887792375E-2</v>
      </c>
      <c r="H94" s="93">
        <f t="shared" si="103"/>
        <v>3.8176946884832974E-2</v>
      </c>
      <c r="I94" s="93">
        <f t="shared" si="104"/>
        <v>7.022456300798674E-2</v>
      </c>
      <c r="J94" s="93">
        <f t="shared" si="105"/>
        <v>6.3877959990931155E-2</v>
      </c>
      <c r="K94" s="93">
        <f t="shared" si="106"/>
        <v>6.6742314077407272E-2</v>
      </c>
      <c r="L94" s="93">
        <f t="shared" si="107"/>
        <v>1.9111459595746449E-3</v>
      </c>
      <c r="M94" s="93">
        <f t="shared" si="108"/>
        <v>-5.3237815063277405E-2</v>
      </c>
      <c r="N94" s="93">
        <f t="shared" si="109"/>
        <v>3.0210257935576745E-3</v>
      </c>
      <c r="O94" s="93">
        <f t="shared" si="110"/>
        <v>-1.3483283098734367E-2</v>
      </c>
      <c r="P94" s="93">
        <f t="shared" si="111"/>
        <v>-6.6945121059164281E-3</v>
      </c>
      <c r="Q94" s="93">
        <f t="shared" si="112"/>
        <v>3.2771790748544749E-3</v>
      </c>
      <c r="R94" s="93">
        <f t="shared" si="113"/>
        <v>2.702499122905655E-2</v>
      </c>
      <c r="S94" s="93">
        <f t="shared" si="114"/>
        <v>3.3960371912202136E-2</v>
      </c>
      <c r="T94" s="93">
        <f t="shared" si="115"/>
        <v>4.8169713277019133E-2</v>
      </c>
      <c r="U94" s="93">
        <f t="shared" si="116"/>
        <v>2.5866561581275205E-2</v>
      </c>
      <c r="V94" s="93">
        <f t="shared" si="117"/>
        <v>3.8075267738177043E-2</v>
      </c>
      <c r="W94" s="93">
        <f t="shared" si="118"/>
        <v>2.4666442479087891E-2</v>
      </c>
      <c r="X94" s="93">
        <f t="shared" si="119"/>
        <v>-0.10792334147764437</v>
      </c>
      <c r="Y94" s="93">
        <f t="shared" si="120"/>
        <v>8.454875680969498E-2</v>
      </c>
    </row>
    <row r="95" spans="1:25" x14ac:dyDescent="0.25">
      <c r="A95" s="40" t="s">
        <v>242</v>
      </c>
      <c r="B95" s="41"/>
      <c r="C95" s="41"/>
      <c r="D95" s="41"/>
      <c r="E95" s="92">
        <f t="shared" ref="E95:E96" si="121">IF(D20=0,"",E20/D20-1)</f>
        <v>3.7889511375972074E-2</v>
      </c>
      <c r="F95" s="92">
        <f t="shared" ref="F95:F96" si="122">IF(E20=0,"",F20/E20-1)</f>
        <v>4.0823823096228562E-2</v>
      </c>
      <c r="G95" s="92">
        <f t="shared" ref="G95:G96" si="123">IF(F20=0,"",G20/F20-1)</f>
        <v>1.3376635115985858E-2</v>
      </c>
      <c r="H95" s="92">
        <f t="shared" ref="H95:H96" si="124">IF(G20=0,"",H20/G20-1)</f>
        <v>5.0750554232434242E-2</v>
      </c>
      <c r="I95" s="92">
        <f t="shared" ref="I95:I96" si="125">IF(H20=0,"",I20/H20-1)</f>
        <v>3.6090941297210799E-2</v>
      </c>
      <c r="J95" s="92">
        <f t="shared" ref="J95:J96" si="126">IF(I20=0,"",J20/I20-1)</f>
        <v>2.5814692105647907E-2</v>
      </c>
      <c r="K95" s="92">
        <f t="shared" ref="K95:K96" si="127">IF(J20=0,"",K20/J20-1)</f>
        <v>2.1079249733480632E-2</v>
      </c>
      <c r="L95" s="92">
        <f t="shared" ref="L95:L96" si="128">IF(K20=0,"",L20/K20-1)</f>
        <v>-7.0050171295008345E-2</v>
      </c>
      <c r="M95" s="92">
        <f t="shared" ref="M95:M96" si="129">IF(L20=0,"",M20/L20-1)</f>
        <v>-6.4300969681710618E-2</v>
      </c>
      <c r="N95" s="92">
        <f t="shared" ref="N95:N96" si="130">IF(M20=0,"",N20/M20-1)</f>
        <v>1.0551648836431893E-2</v>
      </c>
      <c r="O95" s="92">
        <f t="shared" ref="O95:O96" si="131">IF(N20=0,"",O20/N20-1)</f>
        <v>8.0497165752817512E-3</v>
      </c>
      <c r="P95" s="92">
        <f t="shared" ref="P95:P96" si="132">IF(O20=0,"",P20/O20-1)</f>
        <v>-5.294350971630335E-3</v>
      </c>
      <c r="Q95" s="92">
        <f t="shared" ref="Q95:Q96" si="133">IF(P20=0,"",Q20/P20-1)</f>
        <v>7.2461080899342001E-3</v>
      </c>
      <c r="R95" s="92">
        <f t="shared" ref="R95:R96" si="134">IF(Q20=0,"",R20/Q20-1)</f>
        <v>8.1699945924890827E-2</v>
      </c>
      <c r="S95" s="92">
        <f t="shared" ref="S95:S96" si="135">IF(R20=0,"",S20/R20-1)</f>
        <v>0.23416802693631422</v>
      </c>
      <c r="T95" s="92">
        <f t="shared" ref="T95:T96" si="136">IF(S20=0,"",T20/S20-1)</f>
        <v>7.1768604675812586E-3</v>
      </c>
      <c r="U95" s="92">
        <f t="shared" ref="U95:U96" si="137">IF(T20=0,"",U20/T20-1)</f>
        <v>7.9843133262643695E-2</v>
      </c>
      <c r="V95" s="92">
        <f t="shared" ref="V95:V96" si="138">IF(U20=0,"",V20/U20-1)</f>
        <v>7.4367898109872543E-2</v>
      </c>
      <c r="W95" s="92">
        <f t="shared" ref="W95:W96" si="139">IF(V20=0,"",W20/V20-1)</f>
        <v>3.7126396839061604E-2</v>
      </c>
      <c r="X95" s="92">
        <f t="shared" ref="X95:X96" si="140">IF(W20=0,"",X20/W20-1)</f>
        <v>5.3238199481019377E-2</v>
      </c>
      <c r="Y95" s="92">
        <f t="shared" ref="Y95:Y96" si="141">IF(X20=0,"",Y20/X20-1)</f>
        <v>0.14162010922282908</v>
      </c>
    </row>
    <row r="96" spans="1:25" x14ac:dyDescent="0.25">
      <c r="A96" s="46" t="s">
        <v>243</v>
      </c>
      <c r="B96" s="47"/>
      <c r="C96" s="47"/>
      <c r="D96" s="47"/>
      <c r="E96" s="93">
        <f t="shared" si="121"/>
        <v>3.2260126314547666E-2</v>
      </c>
      <c r="F96" s="93">
        <f t="shared" si="122"/>
        <v>1.8571350493901351E-2</v>
      </c>
      <c r="G96" s="93">
        <f t="shared" si="123"/>
        <v>1.1196331595530351E-2</v>
      </c>
      <c r="H96" s="93">
        <f t="shared" si="124"/>
        <v>2.1514995031668649E-2</v>
      </c>
      <c r="I96" s="93">
        <f t="shared" si="125"/>
        <v>4.8667136118661913E-2</v>
      </c>
      <c r="J96" s="93">
        <f t="shared" si="126"/>
        <v>3.9485518006421749E-2</v>
      </c>
      <c r="K96" s="93">
        <f t="shared" si="127"/>
        <v>3.4307838966296744E-2</v>
      </c>
      <c r="L96" s="93">
        <f t="shared" si="128"/>
        <v>-2.4530768450158891E-2</v>
      </c>
      <c r="M96" s="93">
        <f t="shared" si="129"/>
        <v>-6.6546613726151449E-2</v>
      </c>
      <c r="N96" s="93">
        <f t="shared" si="130"/>
        <v>-3.1755573705135598E-3</v>
      </c>
      <c r="O96" s="93">
        <f t="shared" si="131"/>
        <v>-1.8113406509885022E-2</v>
      </c>
      <c r="P96" s="93">
        <f t="shared" si="132"/>
        <v>-1.067830758660393E-2</v>
      </c>
      <c r="Q96" s="93">
        <f t="shared" si="133"/>
        <v>-1.1827214873205705E-3</v>
      </c>
      <c r="R96" s="93">
        <f t="shared" si="134"/>
        <v>2.0808390833275681E-2</v>
      </c>
      <c r="S96" s="93">
        <f t="shared" si="135"/>
        <v>2.5168355406224308E-2</v>
      </c>
      <c r="T96" s="93">
        <f t="shared" si="136"/>
        <v>3.7378387894182241E-2</v>
      </c>
      <c r="U96" s="93">
        <f t="shared" si="137"/>
        <v>1.3409413056964414E-2</v>
      </c>
      <c r="V96" s="93">
        <f t="shared" si="138"/>
        <v>2.8187704783997569E-2</v>
      </c>
      <c r="W96" s="93">
        <f t="shared" si="139"/>
        <v>9.2370247825239726E-3</v>
      </c>
      <c r="X96" s="93">
        <f t="shared" si="140"/>
        <v>-0.11874087877148742</v>
      </c>
      <c r="Y96" s="93">
        <f t="shared" si="141"/>
        <v>7.5475185037229275E-2</v>
      </c>
    </row>
    <row r="97" spans="1:25" x14ac:dyDescent="0.25">
      <c r="A97" s="94" t="s">
        <v>142</v>
      </c>
      <c r="B97" s="44"/>
      <c r="C97" s="44"/>
      <c r="D97" s="89"/>
      <c r="E97" s="89">
        <f t="shared" ref="E97:E106" si="142">IF(D23=0,"",E23/D23-1)</f>
        <v>3.8090288416049445E-2</v>
      </c>
      <c r="F97" s="89">
        <f t="shared" ref="F97:F106" si="143">IF(E23=0,"",F23/E23-1)</f>
        <v>6.0923315244394205E-2</v>
      </c>
      <c r="G97" s="89">
        <f t="shared" ref="G97:G106" si="144">IF(F23=0,"",G23/F23-1)</f>
        <v>1.2972943554018457E-2</v>
      </c>
      <c r="H97" s="89">
        <f t="shared" ref="H97:H106" si="145">IF(G23=0,"",H23/G23-1)</f>
        <v>5.1994163325151277E-2</v>
      </c>
      <c r="I97" s="89">
        <f t="shared" ref="I97:I106" si="146">IF(H23=0,"",I23/H23-1)</f>
        <v>6.0908694751552916E-2</v>
      </c>
      <c r="J97" s="89">
        <f t="shared" ref="J97:J106" si="147">IF(I23=0,"",J23/I23-1)</f>
        <v>4.5912374947817858E-2</v>
      </c>
      <c r="K97" s="89">
        <f t="shared" ref="K97:K106" si="148">IF(J23=0,"",K23/J23-1)</f>
        <v>7.81847667426121E-2</v>
      </c>
      <c r="L97" s="89">
        <f t="shared" ref="L97:L106" si="149">IF(K23=0,"",L23/K23-1)</f>
        <v>-2.2445751813497394E-2</v>
      </c>
      <c r="M97" s="89">
        <f t="shared" ref="M97:M106" si="150">IF(L23=0,"",M23/L23-1)</f>
        <v>-6.3736788318146886E-2</v>
      </c>
      <c r="N97" s="89">
        <f t="shared" ref="N97:N106" si="151">IF(M23=0,"",N23/M23-1)</f>
        <v>1.797631986762438E-2</v>
      </c>
      <c r="O97" s="89">
        <f t="shared" ref="O97:O106" si="152">IF(N23=0,"",O23/N23-1)</f>
        <v>1.6144271200578819E-2</v>
      </c>
      <c r="P97" s="89">
        <f t="shared" ref="P97:P106" si="153">IF(O23=0,"",P23/O23-1)</f>
        <v>-2.3969951776679044E-2</v>
      </c>
      <c r="Q97" s="89">
        <f t="shared" ref="Q97:Q106" si="154">IF(P23=0,"",Q23/P23-1)</f>
        <v>1.3001542291620094E-2</v>
      </c>
      <c r="R97" s="89">
        <f t="shared" ref="R97:R106" si="155">IF(Q23=0,"",R23/Q23-1)</f>
        <v>7.6590302192066195E-2</v>
      </c>
      <c r="S97" s="89">
        <f t="shared" ref="S97:S106" si="156">IF(R23=0,"",S23/R23-1)</f>
        <v>0.23924030339158686</v>
      </c>
      <c r="T97" s="89">
        <f t="shared" ref="T97:T106" si="157">IF(S23=0,"",T23/S23-1)</f>
        <v>1.2968260793314146E-2</v>
      </c>
      <c r="U97" s="89">
        <f t="shared" ref="U97:U106" si="158">IF(T23=0,"",U23/T23-1)</f>
        <v>6.9063566558142941E-2</v>
      </c>
      <c r="V97" s="89">
        <f t="shared" ref="V97:V106" si="159">IF(U23=0,"",V23/U23-1)</f>
        <v>0.10238317407890474</v>
      </c>
      <c r="W97" s="89">
        <f t="shared" ref="W97:W106" si="160">IF(V23=0,"",W23/V23-1)</f>
        <v>5.3803008904865335E-2</v>
      </c>
      <c r="X97" s="89">
        <f t="shared" ref="X97:X106" si="161">IF(W23=0,"",X23/W23-1)</f>
        <v>8.039948648902695E-2</v>
      </c>
      <c r="Y97" s="89">
        <f t="shared" ref="Y97:Y106" si="162">IF(X23=0,"",Y23/X23-1)</f>
        <v>0.14720141676035525</v>
      </c>
    </row>
    <row r="98" spans="1:25" x14ac:dyDescent="0.25">
      <c r="A98" s="64" t="s">
        <v>33</v>
      </c>
      <c r="B98" s="65"/>
      <c r="C98" s="65"/>
      <c r="D98" s="83"/>
      <c r="E98" s="83">
        <f t="shared" si="142"/>
        <v>-0.17349001235240102</v>
      </c>
      <c r="F98" s="83">
        <f t="shared" si="143"/>
        <v>-7.2012765588080341E-2</v>
      </c>
      <c r="G98" s="83">
        <f t="shared" si="144"/>
        <v>-0.13532956782084771</v>
      </c>
      <c r="H98" s="83">
        <f t="shared" si="145"/>
        <v>0.12723784204123967</v>
      </c>
      <c r="I98" s="83">
        <f t="shared" si="146"/>
        <v>-0.30220191711842537</v>
      </c>
      <c r="J98" s="83">
        <f t="shared" si="147"/>
        <v>-6.9117181208041556E-2</v>
      </c>
      <c r="K98" s="83">
        <f t="shared" si="148"/>
        <v>0.20847875009296835</v>
      </c>
      <c r="L98" s="83">
        <f t="shared" si="149"/>
        <v>-0.20805190768241655</v>
      </c>
      <c r="M98" s="83">
        <f t="shared" si="150"/>
        <v>-0.38900348838742982</v>
      </c>
      <c r="N98" s="83">
        <f t="shared" si="151"/>
        <v>0.72008505800750044</v>
      </c>
      <c r="O98" s="83">
        <f t="shared" si="152"/>
        <v>0.29367197387853761</v>
      </c>
      <c r="P98" s="83">
        <f t="shared" si="153"/>
        <v>-0.20099789377520461</v>
      </c>
      <c r="Q98" s="83">
        <f t="shared" si="154"/>
        <v>9.8194462661273407E-2</v>
      </c>
      <c r="R98" s="83">
        <f t="shared" si="155"/>
        <v>0.23122591608893805</v>
      </c>
      <c r="S98" s="83">
        <f t="shared" si="156"/>
        <v>-0.12147850445324104</v>
      </c>
      <c r="T98" s="83">
        <f t="shared" si="157"/>
        <v>7.5132705148195811E-2</v>
      </c>
      <c r="U98" s="83">
        <f t="shared" si="158"/>
        <v>0.33482136305358279</v>
      </c>
      <c r="V98" s="83">
        <f t="shared" si="159"/>
        <v>-0.17810270908951342</v>
      </c>
      <c r="W98" s="83">
        <f t="shared" si="160"/>
        <v>7.2421433836517446E-2</v>
      </c>
      <c r="X98" s="83">
        <f t="shared" si="161"/>
        <v>8.7627151552592819E-2</v>
      </c>
      <c r="Y98" s="83">
        <f t="shared" si="162"/>
        <v>0.24298527912412493</v>
      </c>
    </row>
    <row r="99" spans="1:25" x14ac:dyDescent="0.25">
      <c r="A99" s="64" t="s">
        <v>56</v>
      </c>
      <c r="B99" s="65"/>
      <c r="C99" s="65"/>
      <c r="D99" s="83"/>
      <c r="E99" s="83">
        <f t="shared" si="142"/>
        <v>0.17312432975609648</v>
      </c>
      <c r="F99" s="83">
        <f t="shared" si="143"/>
        <v>-0.13040158390566503</v>
      </c>
      <c r="G99" s="83">
        <f t="shared" si="144"/>
        <v>6.2261042200727923E-2</v>
      </c>
      <c r="H99" s="83">
        <f t="shared" si="145"/>
        <v>-0.273922417049272</v>
      </c>
      <c r="I99" s="83">
        <f t="shared" si="146"/>
        <v>0.22999665714769124</v>
      </c>
      <c r="J99" s="83">
        <f t="shared" si="147"/>
        <v>0.55961327145352402</v>
      </c>
      <c r="K99" s="83">
        <f t="shared" si="148"/>
        <v>0.29727795752100783</v>
      </c>
      <c r="L99" s="83">
        <f t="shared" si="149"/>
        <v>-0.22688896553429927</v>
      </c>
      <c r="M99" s="83">
        <f t="shared" si="150"/>
        <v>3.1938810951802621E-2</v>
      </c>
      <c r="N99" s="83">
        <f t="shared" si="151"/>
        <v>-0.23687316477687936</v>
      </c>
      <c r="O99" s="83">
        <f t="shared" si="152"/>
        <v>4.5028009630362353E-2</v>
      </c>
      <c r="P99" s="83">
        <f t="shared" si="153"/>
        <v>0.17143149341858588</v>
      </c>
      <c r="Q99" s="83">
        <f t="shared" si="154"/>
        <v>-0.1717188115003051</v>
      </c>
      <c r="R99" s="83">
        <f t="shared" si="155"/>
        <v>0.1899527234124383</v>
      </c>
      <c r="S99" s="83">
        <f t="shared" si="156"/>
        <v>-0.60241936562604159</v>
      </c>
      <c r="T99" s="83">
        <f t="shared" si="157"/>
        <v>0.3404616074961504</v>
      </c>
      <c r="U99" s="83">
        <f t="shared" si="158"/>
        <v>8.1602471410692656E-2</v>
      </c>
      <c r="V99" s="83">
        <f t="shared" si="159"/>
        <v>5.9074623093680056E-3</v>
      </c>
      <c r="W99" s="83">
        <f t="shared" si="160"/>
        <v>-0.20743482945677405</v>
      </c>
      <c r="X99" s="83">
        <f t="shared" si="161"/>
        <v>-0.36023819384806599</v>
      </c>
      <c r="Y99" s="83">
        <f t="shared" si="162"/>
        <v>0.41567532941587371</v>
      </c>
    </row>
    <row r="100" spans="1:25" x14ac:dyDescent="0.25">
      <c r="A100" s="64" t="s">
        <v>146</v>
      </c>
      <c r="B100" s="65"/>
      <c r="C100" s="65"/>
      <c r="D100" s="83"/>
      <c r="E100" s="83">
        <f t="shared" si="142"/>
        <v>-2.6392300858080198E-4</v>
      </c>
      <c r="F100" s="83">
        <f t="shared" si="143"/>
        <v>4.1120179003887536E-2</v>
      </c>
      <c r="G100" s="83">
        <f t="shared" si="144"/>
        <v>7.1863356019193247E-2</v>
      </c>
      <c r="H100" s="83">
        <f t="shared" si="145"/>
        <v>7.4522297766288936E-2</v>
      </c>
      <c r="I100" s="83">
        <f t="shared" si="146"/>
        <v>8.3361661547666666E-2</v>
      </c>
      <c r="J100" s="83">
        <f t="shared" si="147"/>
        <v>4.9094747265299388E-2</v>
      </c>
      <c r="K100" s="83">
        <f t="shared" si="148"/>
        <v>0.1110118365722339</v>
      </c>
      <c r="L100" s="83">
        <f t="shared" si="149"/>
        <v>2.6444950019058888E-2</v>
      </c>
      <c r="M100" s="83">
        <f t="shared" si="150"/>
        <v>-5.2482355773151745E-2</v>
      </c>
      <c r="N100" s="83">
        <f t="shared" si="151"/>
        <v>5.0066897945367561E-2</v>
      </c>
      <c r="O100" s="83">
        <f t="shared" si="152"/>
        <v>-2.8602013979681651E-3</v>
      </c>
      <c r="P100" s="83">
        <f t="shared" si="153"/>
        <v>-1.5456385517841564E-2</v>
      </c>
      <c r="Q100" s="83">
        <f t="shared" si="154"/>
        <v>1.598810553534058E-2</v>
      </c>
      <c r="R100" s="83">
        <f t="shared" si="155"/>
        <v>6.3971371005888233E-2</v>
      </c>
      <c r="S100" s="83">
        <f t="shared" si="156"/>
        <v>-3.5152777684702707E-3</v>
      </c>
      <c r="T100" s="83">
        <f t="shared" si="157"/>
        <v>3.9877158671272284E-2</v>
      </c>
      <c r="U100" s="83">
        <f t="shared" si="158"/>
        <v>7.410408626424525E-2</v>
      </c>
      <c r="V100" s="83">
        <f t="shared" si="159"/>
        <v>0.10441033980290548</v>
      </c>
      <c r="W100" s="83">
        <f t="shared" si="160"/>
        <v>8.1237168667270376E-2</v>
      </c>
      <c r="X100" s="83">
        <f t="shared" si="161"/>
        <v>4.4439247444328034E-2</v>
      </c>
      <c r="Y100" s="83">
        <f t="shared" si="162"/>
        <v>0.12270123159337887</v>
      </c>
    </row>
    <row r="101" spans="1:25" x14ac:dyDescent="0.25">
      <c r="A101" s="68" t="s">
        <v>148</v>
      </c>
      <c r="B101" s="69"/>
      <c r="C101" s="69"/>
      <c r="D101" s="84"/>
      <c r="E101" s="84">
        <f t="shared" si="142"/>
        <v>3.7879099721599196E-2</v>
      </c>
      <c r="F101" s="84">
        <f t="shared" si="143"/>
        <v>5.4294936135201199E-2</v>
      </c>
      <c r="G101" s="84">
        <f t="shared" si="144"/>
        <v>6.4578074889290127E-2</v>
      </c>
      <c r="H101" s="84">
        <f t="shared" si="145"/>
        <v>6.9655697182753551E-2</v>
      </c>
      <c r="I101" s="84">
        <f t="shared" si="146"/>
        <v>5.3055425567343883E-2</v>
      </c>
      <c r="J101" s="84">
        <f t="shared" si="147"/>
        <v>5.9138082093198596E-2</v>
      </c>
      <c r="K101" s="84">
        <f t="shared" si="148"/>
        <v>0.10477321094105285</v>
      </c>
      <c r="L101" s="84">
        <f t="shared" si="149"/>
        <v>5.5380236936271032E-2</v>
      </c>
      <c r="M101" s="84">
        <f t="shared" si="150"/>
        <v>2.1749627094374446E-2</v>
      </c>
      <c r="N101" s="84">
        <f t="shared" si="151"/>
        <v>-4.0918689343743098E-2</v>
      </c>
      <c r="O101" s="84">
        <f t="shared" si="152"/>
        <v>-1.5809561310799358E-2</v>
      </c>
      <c r="P101" s="84">
        <f t="shared" si="153"/>
        <v>-4.0825290867580022E-2</v>
      </c>
      <c r="Q101" s="84">
        <f t="shared" si="154"/>
        <v>-1.5698077044056791E-2</v>
      </c>
      <c r="R101" s="84">
        <f t="shared" si="155"/>
        <v>1.5065198905891197E-2</v>
      </c>
      <c r="S101" s="84">
        <f t="shared" si="156"/>
        <v>-5.9268615509692979E-2</v>
      </c>
      <c r="T101" s="84">
        <f t="shared" si="157"/>
        <v>2.1902984290331107E-2</v>
      </c>
      <c r="U101" s="84">
        <f t="shared" si="158"/>
        <v>3.5658889013404416E-2</v>
      </c>
      <c r="V101" s="84">
        <f t="shared" si="159"/>
        <v>1.8134076026319557E-2</v>
      </c>
      <c r="W101" s="84">
        <f t="shared" si="160"/>
        <v>3.504827609516048E-2</v>
      </c>
      <c r="X101" s="84">
        <f t="shared" si="161"/>
        <v>-0.10064518172772674</v>
      </c>
      <c r="Y101" s="84">
        <f t="shared" si="162"/>
        <v>0.11645819274173475</v>
      </c>
    </row>
    <row r="102" spans="1:25" x14ac:dyDescent="0.25">
      <c r="A102" s="68" t="s">
        <v>150</v>
      </c>
      <c r="B102" s="71"/>
      <c r="C102" s="71"/>
      <c r="D102" s="84"/>
      <c r="E102" s="84">
        <f t="shared" si="142"/>
        <v>2.0157426611500107E-2</v>
      </c>
      <c r="F102" s="84">
        <f t="shared" si="143"/>
        <v>2.2509992186013239E-2</v>
      </c>
      <c r="G102" s="84">
        <f t="shared" si="144"/>
        <v>7.9852506243235144E-2</v>
      </c>
      <c r="H102" s="84">
        <f t="shared" si="145"/>
        <v>8.9658895632817703E-2</v>
      </c>
      <c r="I102" s="84">
        <f t="shared" si="146"/>
        <v>0.10085667405252341</v>
      </c>
      <c r="J102" s="84">
        <f t="shared" si="147"/>
        <v>3.551556373816589E-2</v>
      </c>
      <c r="K102" s="84">
        <f t="shared" si="148"/>
        <v>0.11765620226135987</v>
      </c>
      <c r="L102" s="84">
        <f t="shared" si="149"/>
        <v>1.9356518036831138E-2</v>
      </c>
      <c r="M102" s="84">
        <f t="shared" si="150"/>
        <v>-8.3592002088132E-2</v>
      </c>
      <c r="N102" s="84">
        <f t="shared" si="151"/>
        <v>0.1175334571011184</v>
      </c>
      <c r="O102" s="84">
        <f t="shared" si="152"/>
        <v>-7.6864265630375295E-3</v>
      </c>
      <c r="P102" s="84">
        <f t="shared" si="153"/>
        <v>-3.6183202570514439E-3</v>
      </c>
      <c r="Q102" s="84">
        <f t="shared" si="154"/>
        <v>1.8992258226881109E-2</v>
      </c>
      <c r="R102" s="84">
        <f t="shared" si="155"/>
        <v>0.11931130724251293</v>
      </c>
      <c r="S102" s="84">
        <f t="shared" si="156"/>
        <v>5.0832870168208588E-2</v>
      </c>
      <c r="T102" s="84">
        <f t="shared" si="157"/>
        <v>4.2498151645217197E-2</v>
      </c>
      <c r="U102" s="84">
        <f t="shared" si="158"/>
        <v>0.10217920824340854</v>
      </c>
      <c r="V102" s="84">
        <f t="shared" si="159"/>
        <v>0.16393317458241885</v>
      </c>
      <c r="W102" s="84">
        <f t="shared" si="160"/>
        <v>0.11572291392301848</v>
      </c>
      <c r="X102" s="84">
        <f t="shared" si="161"/>
        <v>0.10150463408798993</v>
      </c>
      <c r="Y102" s="84">
        <f t="shared" si="162"/>
        <v>0.14864105144141782</v>
      </c>
    </row>
    <row r="103" spans="1:25" x14ac:dyDescent="0.25">
      <c r="A103" s="68" t="s">
        <v>152</v>
      </c>
      <c r="B103" s="71"/>
      <c r="C103" s="71"/>
      <c r="D103" s="84"/>
      <c r="E103" s="84">
        <f t="shared" si="142"/>
        <v>-0.12157362998201504</v>
      </c>
      <c r="F103" s="84">
        <f t="shared" si="143"/>
        <v>6.7819013729305988E-2</v>
      </c>
      <c r="G103" s="84">
        <f t="shared" si="144"/>
        <v>6.4705611646864059E-2</v>
      </c>
      <c r="H103" s="84">
        <f t="shared" si="145"/>
        <v>4.1398048701503098E-2</v>
      </c>
      <c r="I103" s="84">
        <f t="shared" si="146"/>
        <v>9.6830894282294189E-2</v>
      </c>
      <c r="J103" s="84">
        <f t="shared" si="147"/>
        <v>6.902256219101699E-2</v>
      </c>
      <c r="K103" s="84">
        <f t="shared" si="148"/>
        <v>0.1045375996154716</v>
      </c>
      <c r="L103" s="84">
        <f t="shared" si="149"/>
        <v>-1.2574429586149072E-2</v>
      </c>
      <c r="M103" s="84">
        <f t="shared" si="150"/>
        <v>-0.12201471300936062</v>
      </c>
      <c r="N103" s="84">
        <f t="shared" si="151"/>
        <v>6.9814010130133219E-2</v>
      </c>
      <c r="O103" s="84">
        <f t="shared" si="152"/>
        <v>4.3111420607707007E-2</v>
      </c>
      <c r="P103" s="84">
        <f t="shared" si="153"/>
        <v>2.4044763158623805E-3</v>
      </c>
      <c r="Q103" s="84">
        <f t="shared" si="154"/>
        <v>7.2645306192891557E-2</v>
      </c>
      <c r="R103" s="84">
        <f t="shared" si="155"/>
        <v>-7.7120901388303409E-3</v>
      </c>
      <c r="S103" s="84">
        <f t="shared" si="156"/>
        <v>-7.7460069715884372E-2</v>
      </c>
      <c r="T103" s="84">
        <f t="shared" si="157"/>
        <v>6.5710731702176117E-2</v>
      </c>
      <c r="U103" s="84">
        <f t="shared" si="158"/>
        <v>4.2312387881251246E-2</v>
      </c>
      <c r="V103" s="84">
        <f t="shared" si="159"/>
        <v>3.2246569615121734E-2</v>
      </c>
      <c r="W103" s="84">
        <f t="shared" si="160"/>
        <v>1.3535463900901989E-2</v>
      </c>
      <c r="X103" s="84">
        <f t="shared" si="161"/>
        <v>4.1267766925147997E-2</v>
      </c>
      <c r="Y103" s="84">
        <f t="shared" si="162"/>
        <v>-2.1910537845462041E-3</v>
      </c>
    </row>
    <row r="104" spans="1:25" x14ac:dyDescent="0.25">
      <c r="A104" s="64" t="s">
        <v>154</v>
      </c>
      <c r="B104" s="65"/>
      <c r="C104" s="65"/>
      <c r="D104" s="83"/>
      <c r="E104" s="83">
        <f t="shared" si="142"/>
        <v>0.1535623746071817</v>
      </c>
      <c r="F104" s="83">
        <f t="shared" si="143"/>
        <v>-3.9369069649157873E-2</v>
      </c>
      <c r="G104" s="83">
        <f t="shared" si="144"/>
        <v>9.9989513938701702E-2</v>
      </c>
      <c r="H104" s="83">
        <f t="shared" si="145"/>
        <v>8.3333323620734978E-2</v>
      </c>
      <c r="I104" s="83">
        <f t="shared" si="146"/>
        <v>-8.6030269216446853E-2</v>
      </c>
      <c r="J104" s="83">
        <f t="shared" si="147"/>
        <v>7.0660787391831681E-2</v>
      </c>
      <c r="K104" s="83">
        <f t="shared" si="148"/>
        <v>0.22983312244756582</v>
      </c>
      <c r="L104" s="83">
        <f t="shared" si="149"/>
        <v>0.10491062468507018</v>
      </c>
      <c r="M104" s="83">
        <f t="shared" si="150"/>
        <v>9.8924909629450442E-2</v>
      </c>
      <c r="N104" s="83">
        <f t="shared" si="151"/>
        <v>-1.0260864104659539E-2</v>
      </c>
      <c r="O104" s="83">
        <f t="shared" si="152"/>
        <v>0.13578205643837649</v>
      </c>
      <c r="P104" s="83">
        <f t="shared" si="153"/>
        <v>3.7947348514707269E-2</v>
      </c>
      <c r="Q104" s="83">
        <f t="shared" si="154"/>
        <v>2.6549151310533814E-2</v>
      </c>
      <c r="R104" s="83">
        <f t="shared" si="155"/>
        <v>-7.6304804192862008E-2</v>
      </c>
      <c r="S104" s="83">
        <f t="shared" si="156"/>
        <v>-0.13390117760680964</v>
      </c>
      <c r="T104" s="83">
        <f t="shared" si="157"/>
        <v>-1.0890521294481759E-2</v>
      </c>
      <c r="U104" s="83">
        <f t="shared" si="158"/>
        <v>-6.4750539300253096E-2</v>
      </c>
      <c r="V104" s="83">
        <f t="shared" si="159"/>
        <v>7.7744528711397587E-2</v>
      </c>
      <c r="W104" s="83">
        <f t="shared" si="160"/>
        <v>-4.4696250780712043E-2</v>
      </c>
      <c r="X104" s="83">
        <f t="shared" si="161"/>
        <v>6.6549664056992031E-2</v>
      </c>
      <c r="Y104" s="83">
        <f t="shared" si="162"/>
        <v>0.1509391264592812</v>
      </c>
    </row>
    <row r="105" spans="1:25" x14ac:dyDescent="0.25">
      <c r="A105" s="64" t="s">
        <v>37</v>
      </c>
      <c r="B105" s="65"/>
      <c r="C105" s="65"/>
      <c r="D105" s="83"/>
      <c r="E105" s="83">
        <f t="shared" si="142"/>
        <v>7.5885924371177804E-2</v>
      </c>
      <c r="F105" s="83">
        <f t="shared" si="143"/>
        <v>2.7133154484916044E-2</v>
      </c>
      <c r="G105" s="83">
        <f t="shared" si="144"/>
        <v>8.4904891976705477E-2</v>
      </c>
      <c r="H105" s="83">
        <f t="shared" si="145"/>
        <v>0.18756559822425323</v>
      </c>
      <c r="I105" s="83">
        <f t="shared" si="146"/>
        <v>0.1934223781128277</v>
      </c>
      <c r="J105" s="83">
        <f t="shared" si="147"/>
        <v>0.14237422702516356</v>
      </c>
      <c r="K105" s="83">
        <f t="shared" si="148"/>
        <v>-7.385025322023675E-2</v>
      </c>
      <c r="L105" s="83">
        <f t="shared" si="149"/>
        <v>-0.2964675246381081</v>
      </c>
      <c r="M105" s="83">
        <f t="shared" si="150"/>
        <v>-0.6118140833093082</v>
      </c>
      <c r="N105" s="83">
        <f t="shared" si="151"/>
        <v>-0.42822277729810299</v>
      </c>
      <c r="O105" s="83">
        <f t="shared" si="152"/>
        <v>-0.2853673017270183</v>
      </c>
      <c r="P105" s="83">
        <f t="shared" si="153"/>
        <v>0.53477410080636889</v>
      </c>
      <c r="Q105" s="83">
        <f t="shared" si="154"/>
        <v>0.26346493878126531</v>
      </c>
      <c r="R105" s="83">
        <f t="shared" si="155"/>
        <v>0.25612832633834448</v>
      </c>
      <c r="S105" s="83">
        <f t="shared" si="156"/>
        <v>4.7440140940506748E-3</v>
      </c>
      <c r="T105" s="83">
        <f t="shared" si="157"/>
        <v>0.15651574188603812</v>
      </c>
      <c r="U105" s="83">
        <f t="shared" si="158"/>
        <v>0.26709927911878251</v>
      </c>
      <c r="V105" s="83">
        <f t="shared" si="159"/>
        <v>6.6512729367041779E-2</v>
      </c>
      <c r="W105" s="83">
        <f t="shared" si="160"/>
        <v>5.4344953755016467E-2</v>
      </c>
      <c r="X105" s="83">
        <f t="shared" si="161"/>
        <v>-5.6159433937741476E-2</v>
      </c>
      <c r="Y105" s="83">
        <f t="shared" si="162"/>
        <v>0.1418378544097183</v>
      </c>
    </row>
    <row r="106" spans="1:25" x14ac:dyDescent="0.25">
      <c r="A106" s="64" t="s">
        <v>58</v>
      </c>
      <c r="B106" s="65"/>
      <c r="C106" s="65"/>
      <c r="D106" s="83"/>
      <c r="E106" s="83">
        <f t="shared" si="142"/>
        <v>0.13634076547374208</v>
      </c>
      <c r="F106" s="83">
        <f t="shared" si="143"/>
        <v>0.13105982453819154</v>
      </c>
      <c r="G106" s="83">
        <f t="shared" si="144"/>
        <v>-0.11470788865256587</v>
      </c>
      <c r="H106" s="83">
        <f t="shared" si="145"/>
        <v>-4.1825953985183184E-2</v>
      </c>
      <c r="I106" s="83">
        <f t="shared" si="146"/>
        <v>-1.4697729665083648E-2</v>
      </c>
      <c r="J106" s="83">
        <f t="shared" si="147"/>
        <v>-9.9477730349137872E-3</v>
      </c>
      <c r="K106" s="83">
        <f t="shared" si="148"/>
        <v>3.2500747078077596E-2</v>
      </c>
      <c r="L106" s="83">
        <f t="shared" si="149"/>
        <v>-5.1867814293598657E-2</v>
      </c>
      <c r="M106" s="83">
        <f t="shared" si="150"/>
        <v>8.1833072295922848E-2</v>
      </c>
      <c r="N106" s="83">
        <f t="shared" si="151"/>
        <v>-4.0369578855032007E-2</v>
      </c>
      <c r="O106" s="83">
        <f t="shared" si="152"/>
        <v>8.0504850461444066E-2</v>
      </c>
      <c r="P106" s="83">
        <f t="shared" si="153"/>
        <v>-7.6644818379950519E-2</v>
      </c>
      <c r="Q106" s="83">
        <f t="shared" si="154"/>
        <v>-1.7925551864343525E-2</v>
      </c>
      <c r="R106" s="83">
        <f t="shared" si="155"/>
        <v>0.10629308209263688</v>
      </c>
      <c r="S106" s="83">
        <f t="shared" si="156"/>
        <v>1.1664915242070459</v>
      </c>
      <c r="T106" s="83">
        <f t="shared" si="157"/>
        <v>-3.9199784295689377E-2</v>
      </c>
      <c r="U106" s="83">
        <f t="shared" si="158"/>
        <v>4.4343376118131328E-2</v>
      </c>
      <c r="V106" s="83">
        <f t="shared" si="159"/>
        <v>0.11334309855274016</v>
      </c>
      <c r="W106" s="83">
        <f t="shared" si="160"/>
        <v>1.0060856677694963E-2</v>
      </c>
      <c r="X106" s="83">
        <f t="shared" si="161"/>
        <v>0.15988824591458783</v>
      </c>
      <c r="Y106" s="83">
        <f t="shared" si="162"/>
        <v>0.18507590288737186</v>
      </c>
    </row>
    <row r="107" spans="1:25" x14ac:dyDescent="0.25">
      <c r="A107" s="85" t="s">
        <v>158</v>
      </c>
      <c r="B107" s="86"/>
      <c r="C107" s="86"/>
      <c r="D107" s="87"/>
      <c r="E107" s="87">
        <f t="shared" ref="E107:E108" si="163">IF(D33=0,"",E33/D33-1)</f>
        <v>0.10174089918785523</v>
      </c>
      <c r="F107" s="87">
        <f t="shared" ref="F107:F108" si="164">IF(E33=0,"",F33/E33-1)</f>
        <v>-0.24643065882992143</v>
      </c>
      <c r="G107" s="87">
        <f t="shared" ref="G107:G108" si="165">IF(F33=0,"",G33/F33-1)</f>
        <v>7.4854914518818427E-2</v>
      </c>
      <c r="H107" s="87">
        <f t="shared" ref="H107:H108" si="166">IF(G33=0,"",H33/G33-1)</f>
        <v>0.20524259472318418</v>
      </c>
      <c r="I107" s="87">
        <f t="shared" ref="I107:I108" si="167">IF(H33=0,"",I33/H33-1)</f>
        <v>-0.10470403671670236</v>
      </c>
      <c r="J107" s="87">
        <f t="shared" ref="J107:J108" si="168">IF(I33=0,"",J33/I33-1)</f>
        <v>0.42935706865281209</v>
      </c>
      <c r="K107" s="87">
        <f t="shared" ref="K107:K108" si="169">IF(J33=0,"",K33/J33-1)</f>
        <v>-0.24073328137647454</v>
      </c>
      <c r="L107" s="87">
        <f t="shared" ref="L107:L108" si="170">IF(K33=0,"",L33/K33-1)</f>
        <v>-0.10139117296008482</v>
      </c>
      <c r="M107" s="87">
        <f t="shared" ref="M107:M108" si="171">IF(L33=0,"",M33/L33-1)</f>
        <v>-0.40621491860148418</v>
      </c>
      <c r="N107" s="87">
        <f t="shared" ref="N107:N108" si="172">IF(M33=0,"",N33/M33-1)</f>
        <v>0.41110062636871847</v>
      </c>
      <c r="O107" s="87">
        <f t="shared" ref="O107:O108" si="173">IF(N33=0,"",O33/N33-1)</f>
        <v>-0.16005889563387443</v>
      </c>
      <c r="P107" s="87">
        <f t="shared" ref="P107:P108" si="174">IF(O33=0,"",P33/O33-1)</f>
        <v>-9.831361895390911E-2</v>
      </c>
      <c r="Q107" s="87">
        <f t="shared" ref="Q107:Q108" si="175">IF(P33=0,"",Q33/P33-1)</f>
        <v>0.22569715021737458</v>
      </c>
      <c r="R107" s="87">
        <f t="shared" ref="R107:R108" si="176">IF(Q33=0,"",R33/Q33-1)</f>
        <v>0.20497274644237229</v>
      </c>
      <c r="S107" s="87">
        <f t="shared" ref="S107:S108" si="177">IF(R33=0,"",S33/R33-1)</f>
        <v>7.0012347122302199E-2</v>
      </c>
      <c r="T107" s="87">
        <f t="shared" ref="T107:T108" si="178">IF(S33=0,"",T33/S33-1)</f>
        <v>-0.13102448940375044</v>
      </c>
      <c r="U107" s="87">
        <f t="shared" ref="U107:U108" si="179">IF(T33=0,"",U33/T33-1)</f>
        <v>0.2469302832263558</v>
      </c>
      <c r="V107" s="87">
        <f t="shared" ref="V107:V108" si="180">IF(U33=0,"",V33/U33-1)</f>
        <v>-1.3912265719849159E-2</v>
      </c>
      <c r="W107" s="87">
        <f t="shared" ref="W107:W108" si="181">IF(V33=0,"",W33/V33-1)</f>
        <v>0.21174873009243322</v>
      </c>
      <c r="X107" s="87">
        <f t="shared" ref="X107:X108" si="182">IF(W33=0,"",X33/W33-1)</f>
        <v>-0.22428953059812728</v>
      </c>
      <c r="Y107" s="87">
        <f t="shared" ref="Y107:Y108" si="183">IF(X33=0,"",Y33/X33-1)</f>
        <v>-0.17161778111355974</v>
      </c>
    </row>
    <row r="108" spans="1:25" x14ac:dyDescent="0.25">
      <c r="A108" s="88" t="s">
        <v>5</v>
      </c>
      <c r="B108" s="44"/>
      <c r="C108" s="44"/>
      <c r="D108" s="89"/>
      <c r="E108" s="89">
        <f t="shared" si="163"/>
        <v>0.10174089918785501</v>
      </c>
      <c r="F108" s="89">
        <f t="shared" si="164"/>
        <v>-1</v>
      </c>
      <c r="G108" s="89" t="str">
        <f t="shared" si="165"/>
        <v/>
      </c>
      <c r="H108" s="89" t="str">
        <f t="shared" si="166"/>
        <v/>
      </c>
      <c r="I108" s="89" t="str">
        <f t="shared" si="167"/>
        <v/>
      </c>
      <c r="J108" s="89" t="str">
        <f t="shared" si="168"/>
        <v/>
      </c>
      <c r="K108" s="89" t="str">
        <f t="shared" si="169"/>
        <v/>
      </c>
      <c r="L108" s="89" t="str">
        <f t="shared" si="170"/>
        <v/>
      </c>
      <c r="M108" s="89" t="str">
        <f t="shared" si="171"/>
        <v/>
      </c>
      <c r="N108" s="89" t="str">
        <f t="shared" si="172"/>
        <v/>
      </c>
      <c r="O108" s="89" t="str">
        <f t="shared" si="173"/>
        <v/>
      </c>
      <c r="P108" s="89" t="str">
        <f t="shared" si="174"/>
        <v/>
      </c>
      <c r="Q108" s="89" t="str">
        <f t="shared" si="175"/>
        <v/>
      </c>
      <c r="R108" s="89" t="str">
        <f t="shared" si="176"/>
        <v/>
      </c>
      <c r="S108" s="89" t="str">
        <f t="shared" si="177"/>
        <v/>
      </c>
      <c r="T108" s="89" t="str">
        <f t="shared" si="178"/>
        <v/>
      </c>
      <c r="U108" s="89" t="str">
        <f t="shared" si="179"/>
        <v/>
      </c>
      <c r="V108" s="89" t="str">
        <f t="shared" si="180"/>
        <v/>
      </c>
      <c r="W108" s="89" t="str">
        <f t="shared" si="181"/>
        <v/>
      </c>
      <c r="X108" s="89" t="str">
        <f t="shared" si="182"/>
        <v/>
      </c>
      <c r="Y108" s="89" t="str">
        <f t="shared" si="183"/>
        <v/>
      </c>
    </row>
    <row r="109" spans="1:25" x14ac:dyDescent="0.25">
      <c r="A109" s="88" t="s">
        <v>269</v>
      </c>
      <c r="B109" s="44"/>
      <c r="C109" s="44"/>
      <c r="D109" s="89"/>
      <c r="E109" s="89">
        <f t="shared" ref="E109" si="184">IF(D37=0,"",E37/D37-1)</f>
        <v>0.10174089918785545</v>
      </c>
      <c r="F109" s="89">
        <f t="shared" ref="F109" si="185">IF(E37=0,"",F37/E37-1)</f>
        <v>-0.20774759650101882</v>
      </c>
      <c r="G109" s="89">
        <f t="shared" ref="G109" si="186">IF(F37=0,"",G37/F37-1)</f>
        <v>7.4854914518818427E-2</v>
      </c>
      <c r="H109" s="89">
        <f t="shared" ref="H109" si="187">IF(G37=0,"",H37/G37-1)</f>
        <v>0.20524259472318418</v>
      </c>
      <c r="I109" s="89">
        <f t="shared" ref="I109" si="188">IF(H37=0,"",I37/H37-1)</f>
        <v>-0.10470403671670236</v>
      </c>
      <c r="J109" s="89">
        <f t="shared" ref="J109" si="189">IF(I37=0,"",J37/I37-1)</f>
        <v>0.42935706865281209</v>
      </c>
      <c r="K109" s="89">
        <f t="shared" ref="K109" si="190">IF(J37=0,"",K37/J37-1)</f>
        <v>-0.24073328137647454</v>
      </c>
      <c r="L109" s="89">
        <f t="shared" ref="L109" si="191">IF(K37=0,"",L37/K37-1)</f>
        <v>-0.10139117296008482</v>
      </c>
      <c r="M109" s="89">
        <f t="shared" ref="M109" si="192">IF(L37=0,"",M37/L37-1)</f>
        <v>-0.40621491860148418</v>
      </c>
      <c r="N109" s="89">
        <f t="shared" ref="N109" si="193">IF(M37=0,"",N37/M37-1)</f>
        <v>0.41110062636871847</v>
      </c>
      <c r="O109" s="89">
        <f t="shared" ref="O109" si="194">IF(N37=0,"",O37/N37-1)</f>
        <v>-0.16005889563387443</v>
      </c>
      <c r="P109" s="89">
        <f t="shared" ref="P109" si="195">IF(O37=0,"",P37/O37-1)</f>
        <v>-9.831361895390911E-2</v>
      </c>
      <c r="Q109" s="89">
        <f t="shared" ref="Q109" si="196">IF(P37=0,"",Q37/P37-1)</f>
        <v>0.22569715021737458</v>
      </c>
      <c r="R109" s="89">
        <f t="shared" ref="R109" si="197">IF(Q37=0,"",R37/Q37-1)</f>
        <v>0.20497274644237229</v>
      </c>
      <c r="S109" s="89">
        <f t="shared" ref="S109" si="198">IF(R37=0,"",S37/R37-1)</f>
        <v>7.0012347122302199E-2</v>
      </c>
      <c r="T109" s="89">
        <f t="shared" ref="T109" si="199">IF(S37=0,"",T37/S37-1)</f>
        <v>-0.13102448940375044</v>
      </c>
      <c r="U109" s="89">
        <f t="shared" ref="U109" si="200">IF(T37=0,"",U37/T37-1)</f>
        <v>0.2469302832263558</v>
      </c>
      <c r="V109" s="89">
        <f t="shared" ref="V109" si="201">IF(U37=0,"",V37/U37-1)</f>
        <v>-1.3912265719849159E-2</v>
      </c>
      <c r="W109" s="89">
        <f t="shared" ref="W109" si="202">IF(V37=0,"",W37/V37-1)</f>
        <v>0.211748730092433</v>
      </c>
      <c r="X109" s="89">
        <f t="shared" ref="X109" si="203">IF(W37=0,"",X37/W37-1)</f>
        <v>-0.22428953059812706</v>
      </c>
      <c r="Y109" s="89">
        <f t="shared" ref="Y109" si="204">IF(X37=0,"",Y37/X37-1)</f>
        <v>-0.17161778111355974</v>
      </c>
    </row>
    <row r="110" spans="1:25" x14ac:dyDescent="0.25">
      <c r="A110" s="68" t="s">
        <v>271</v>
      </c>
      <c r="B110" s="44"/>
      <c r="C110" s="44"/>
      <c r="D110" s="89"/>
      <c r="E110" s="89">
        <f t="shared" ref="E110:E111" si="205">IF(D43=0,"",E43/D43-1)</f>
        <v>0.16239567600971316</v>
      </c>
      <c r="F110" s="89">
        <f t="shared" ref="F110:F111" si="206">IF(E43=0,"",F43/E43-1)</f>
        <v>0.31523837845912128</v>
      </c>
      <c r="G110" s="89">
        <f t="shared" ref="G110:G111" si="207">IF(F43=0,"",G43/F43-1)</f>
        <v>-0.22859168530780827</v>
      </c>
      <c r="H110" s="89">
        <f t="shared" ref="H110:H111" si="208">IF(G43=0,"",H43/G43-1)</f>
        <v>-0.11195813372322794</v>
      </c>
      <c r="I110" s="89">
        <f t="shared" ref="I110:I111" si="209">IF(H43=0,"",I43/H43-1)</f>
        <v>-4.6621170796103839E-2</v>
      </c>
      <c r="J110" s="89">
        <f t="shared" ref="J110:J111" si="210">IF(I43=0,"",J43/I43-1)</f>
        <v>-6.9718308618823999E-2</v>
      </c>
      <c r="K110" s="89">
        <f t="shared" ref="K110:K111" si="211">IF(J43=0,"",K43/J43-1)</f>
        <v>0.14261085875378576</v>
      </c>
      <c r="L110" s="89">
        <f t="shared" ref="L110:L111" si="212">IF(K43=0,"",L43/K43-1)</f>
        <v>-2.9892695919433887E-2</v>
      </c>
      <c r="M110" s="89">
        <f t="shared" ref="M110:M111" si="213">IF(L43=0,"",M43/L43-1)</f>
        <v>0.26030449983331461</v>
      </c>
      <c r="N110" s="89">
        <f t="shared" ref="N110:N111" si="214">IF(M43=0,"",N43/M43-1)</f>
        <v>-4.7235820813347207E-3</v>
      </c>
      <c r="O110" s="89">
        <f t="shared" ref="O110:O111" si="215">IF(N43=0,"",O43/N43-1)</f>
        <v>0.11103644888949549</v>
      </c>
      <c r="P110" s="89">
        <f t="shared" ref="P110:P111" si="216">IF(O43=0,"",P43/O43-1)</f>
        <v>-9.0574296236658247E-2</v>
      </c>
      <c r="Q110" s="89">
        <f t="shared" ref="Q110:Q111" si="217">IF(P43=0,"",Q43/P43-1)</f>
        <v>-0.10825159576363841</v>
      </c>
      <c r="R110" s="89">
        <f t="shared" ref="R110:R111" si="218">IF(Q43=0,"",R43/Q43-1)</f>
        <v>0.10754709576620014</v>
      </c>
      <c r="S110" s="89">
        <f t="shared" ref="S110:S111" si="219">IF(R43=0,"",S43/R43-1)</f>
        <v>2.5624589677710845</v>
      </c>
      <c r="T110" s="89">
        <f t="shared" ref="T110:T111" si="220">IF(S43=0,"",T43/S43-1)</f>
        <v>-5.843311760591885E-2</v>
      </c>
      <c r="U110" s="89">
        <f t="shared" ref="U110:U111" si="221">IF(T43=0,"",U43/T43-1)</f>
        <v>4.304518590242723E-2</v>
      </c>
      <c r="V110" s="89">
        <f t="shared" ref="V110:V111" si="222">IF(U43=0,"",V43/U43-1)</f>
        <v>0.15025822187442128</v>
      </c>
      <c r="W110" s="89">
        <f t="shared" ref="W110:W111" si="223">IF(V43=0,"",W43/V43-1)</f>
        <v>-1.4036094585289205E-2</v>
      </c>
      <c r="X110" s="89">
        <f t="shared" ref="X110:X111" si="224">IF(W43=0,"",X43/W43-1)</f>
        <v>0.18208676395379375</v>
      </c>
      <c r="Y110" s="89">
        <f t="shared" ref="Y110:Y111" si="225">IF(X43=0,"",Y43/X43-1)</f>
        <v>0.21318094199508208</v>
      </c>
    </row>
    <row r="111" spans="1:25" x14ac:dyDescent="0.25">
      <c r="A111" s="88" t="s">
        <v>272</v>
      </c>
      <c r="B111" s="44"/>
      <c r="C111" s="44"/>
      <c r="D111" s="89"/>
      <c r="E111" s="89">
        <f t="shared" si="205"/>
        <v>-0.62084962763577689</v>
      </c>
      <c r="F111" s="89">
        <f t="shared" si="206"/>
        <v>4.5794919592930139E-2</v>
      </c>
      <c r="G111" s="89">
        <f t="shared" si="207"/>
        <v>-0.22779411836526509</v>
      </c>
      <c r="H111" s="89">
        <f t="shared" si="208"/>
        <v>0.22787059790876962</v>
      </c>
      <c r="I111" s="89">
        <f t="shared" si="209"/>
        <v>-0.16680618222490651</v>
      </c>
      <c r="J111" s="89">
        <f t="shared" si="210"/>
        <v>-7.7011198011405435E-2</v>
      </c>
      <c r="K111" s="89">
        <f t="shared" si="211"/>
        <v>1.561247338695932</v>
      </c>
      <c r="L111" s="89">
        <f t="shared" si="212"/>
        <v>-0.13062899227585389</v>
      </c>
      <c r="M111" s="89">
        <f t="shared" si="213"/>
        <v>0.16198399241581818</v>
      </c>
      <c r="N111" s="89">
        <f t="shared" si="214"/>
        <v>-6.2766030071510492E-2</v>
      </c>
      <c r="O111" s="89">
        <f t="shared" si="215"/>
        <v>0.47961282710400077</v>
      </c>
      <c r="P111" s="89">
        <f t="shared" si="216"/>
        <v>0.24725650593305826</v>
      </c>
      <c r="Q111" s="89">
        <f t="shared" si="217"/>
        <v>0.1208052840991154</v>
      </c>
      <c r="R111" s="89">
        <f t="shared" si="218"/>
        <v>8.5500212694515909E-3</v>
      </c>
      <c r="S111" s="89">
        <f t="shared" si="219"/>
        <v>-7.1650135792561298E-2</v>
      </c>
      <c r="T111" s="89">
        <f t="shared" si="220"/>
        <v>0.16316765728879279</v>
      </c>
      <c r="U111" s="89">
        <f t="shared" si="221"/>
        <v>3.6829416437318185E-2</v>
      </c>
      <c r="V111" s="89">
        <f t="shared" si="222"/>
        <v>1.0383677841984573E-2</v>
      </c>
      <c r="W111" s="89">
        <f t="shared" si="223"/>
        <v>4.9523667641094171E-2</v>
      </c>
      <c r="X111" s="89">
        <f t="shared" si="224"/>
        <v>6.5006096966633953E-2</v>
      </c>
      <c r="Y111" s="89">
        <f t="shared" si="225"/>
        <v>7.3735411573241816E-2</v>
      </c>
    </row>
    <row r="112" spans="1:25" x14ac:dyDescent="0.25">
      <c r="A112" s="88" t="s">
        <v>11</v>
      </c>
      <c r="B112" s="44"/>
      <c r="C112" s="44"/>
      <c r="D112" s="89"/>
      <c r="E112" s="89">
        <f t="shared" ref="E112:E113" si="226">IF(D47=0,"",E47/D47-1)</f>
        <v>0.33704299192649478</v>
      </c>
      <c r="F112" s="89">
        <f t="shared" ref="F112:F113" si="227">IF(E47=0,"",F47/E47-1)</f>
        <v>0.33227556489169485</v>
      </c>
      <c r="G112" s="89">
        <f t="shared" ref="G112:G113" si="228">IF(F47=0,"",G47/F47-1)</f>
        <v>-0.22863127205713496</v>
      </c>
      <c r="H112" s="89">
        <f t="shared" ref="H112:H113" si="229">IF(G47=0,"",H47/G47-1)</f>
        <v>-0.12884363148282985</v>
      </c>
      <c r="I112" s="89">
        <f t="shared" ref="I112:I113" si="230">IF(H47=0,"",I47/H47-1)</f>
        <v>-3.8204108019294525E-2</v>
      </c>
      <c r="J112" s="89">
        <f t="shared" ref="J112:J113" si="231">IF(I47=0,"",J47/I47-1)</f>
        <v>-6.9275849647660648E-2</v>
      </c>
      <c r="K112" s="89">
        <f t="shared" ref="K112:K113" si="232">IF(J47=0,"",K47/J47-1)</f>
        <v>5.7257630718702712E-2</v>
      </c>
      <c r="L112" s="89">
        <f t="shared" ref="L112:L113" si="233">IF(K47=0,"",L47/K47-1)</f>
        <v>-1.5210010342076252E-2</v>
      </c>
      <c r="M112" s="89">
        <f t="shared" ref="M112:M113" si="234">IF(L47=0,"",M47/L47-1)</f>
        <v>0.27295550863453633</v>
      </c>
      <c r="N112" s="89">
        <f t="shared" ref="N112:N113" si="235">IF(M47=0,"",N47/M47-1)</f>
        <v>2.0937380448757814E-3</v>
      </c>
      <c r="O112" s="89">
        <f t="shared" ref="O112:O113" si="236">IF(N47=0,"",O47/N47-1)</f>
        <v>7.0547627194500251E-2</v>
      </c>
      <c r="P112" s="89">
        <f t="shared" ref="P112:P113" si="237">IF(O47=0,"",P47/O47-1)</f>
        <v>-0.14186621890294959</v>
      </c>
      <c r="Q112" s="89">
        <f t="shared" ref="Q112:Q113" si="238">IF(P47=0,"",Q47/P47-1)</f>
        <v>-0.15879841761048985</v>
      </c>
      <c r="R112" s="89">
        <f t="shared" ref="R112:R113" si="239">IF(Q47=0,"",R47/Q47-1)</f>
        <v>0.13665446555424365</v>
      </c>
      <c r="S112" s="89">
        <f t="shared" ref="S112:S113" si="240">IF(R47=0,"",S47/R47-1)</f>
        <v>3.2496592706183849</v>
      </c>
      <c r="T112" s="89">
        <f t="shared" ref="T112:T113" si="241">IF(S47=0,"",T47/S47-1)</f>
        <v>-7.1062392759348225E-2</v>
      </c>
      <c r="U112" s="89">
        <f t="shared" ref="U112:U113" si="242">IF(T47=0,"",U47/T47-1)</f>
        <v>4.348875146568143E-2</v>
      </c>
      <c r="V112" s="89">
        <f t="shared" ref="V112:V113" si="243">IF(U47=0,"",V47/U47-1)</f>
        <v>0.16017615431022048</v>
      </c>
      <c r="W112" s="89">
        <f t="shared" ref="W112:W113" si="244">IF(V47=0,"",W47/V47-1)</f>
        <v>-1.7960981175894064E-2</v>
      </c>
      <c r="X112" s="89">
        <f t="shared" ref="X112:X113" si="245">IF(W47=0,"",X47/W47-1)</f>
        <v>0.18981345468242861</v>
      </c>
      <c r="Y112" s="89">
        <f t="shared" ref="Y112:Y113" si="246">IF(X47=0,"",Y47/X47-1)</f>
        <v>0.22141826618330462</v>
      </c>
    </row>
    <row r="113" spans="1:25" x14ac:dyDescent="0.25">
      <c r="A113" s="68" t="s">
        <v>4</v>
      </c>
      <c r="B113" s="44"/>
      <c r="C113" s="44"/>
      <c r="D113" s="89"/>
      <c r="E113" s="89">
        <f t="shared" si="226"/>
        <v>-6.5379039404140804E-2</v>
      </c>
      <c r="F113" s="89">
        <f t="shared" si="227"/>
        <v>-6.9513939828024784E-2</v>
      </c>
      <c r="G113" s="89">
        <f t="shared" si="228"/>
        <v>1.1281923122162585E-2</v>
      </c>
      <c r="H113" s="89">
        <f t="shared" si="229"/>
        <v>5.3750751705771371E-2</v>
      </c>
      <c r="I113" s="89">
        <f t="shared" si="230"/>
        <v>0.10328148737613096</v>
      </c>
      <c r="J113" s="89">
        <f t="shared" si="231"/>
        <v>4.0314037670023728E-2</v>
      </c>
      <c r="K113" s="89">
        <f t="shared" si="232"/>
        <v>8.5300745032730552E-2</v>
      </c>
      <c r="L113" s="89">
        <f t="shared" si="233"/>
        <v>-0.26021493520803796</v>
      </c>
      <c r="M113" s="89">
        <f t="shared" si="234"/>
        <v>-0.35890796830792526</v>
      </c>
      <c r="N113" s="89">
        <f t="shared" si="235"/>
        <v>-0.27972976338315803</v>
      </c>
      <c r="O113" s="89">
        <f t="shared" si="236"/>
        <v>9.4679999284346339E-2</v>
      </c>
      <c r="P113" s="89">
        <f t="shared" si="237"/>
        <v>-0.16491145422152276</v>
      </c>
      <c r="Q113" s="89">
        <f t="shared" si="238"/>
        <v>0.32346131773489217</v>
      </c>
      <c r="R113" s="89">
        <f t="shared" si="239"/>
        <v>0.30995159623440749</v>
      </c>
      <c r="S113" s="89">
        <f t="shared" si="240"/>
        <v>-0.19938268259072112</v>
      </c>
      <c r="T113" s="89">
        <f t="shared" si="241"/>
        <v>0.37157531464347748</v>
      </c>
      <c r="U113" s="89">
        <f t="shared" si="242"/>
        <v>3.3894361775785642E-2</v>
      </c>
      <c r="V113" s="89">
        <f t="shared" si="243"/>
        <v>3.6068665480135653E-3</v>
      </c>
      <c r="W113" s="89">
        <f t="shared" si="244"/>
        <v>0.1051037904841774</v>
      </c>
      <c r="X113" s="89">
        <f t="shared" si="245"/>
        <v>3.8536471551504858E-2</v>
      </c>
      <c r="Y113" s="89">
        <f t="shared" si="246"/>
        <v>2.2605675746020903E-2</v>
      </c>
    </row>
    <row r="114" spans="1:25" x14ac:dyDescent="0.25">
      <c r="A114" s="68" t="s">
        <v>3</v>
      </c>
      <c r="B114" s="44"/>
      <c r="C114" s="44"/>
      <c r="D114" s="89"/>
      <c r="E114" s="89">
        <f t="shared" ref="E114:E115" si="247">IF(D52=0,"",E52/D52-1)</f>
        <v>0.29657223929322218</v>
      </c>
      <c r="F114" s="89">
        <f t="shared" ref="F114:F115" si="248">IF(E52=0,"",F52/E52-1)</f>
        <v>-5.3762713442172205E-2</v>
      </c>
      <c r="G114" s="89">
        <f t="shared" ref="G114:G115" si="249">IF(F52=0,"",G52/F52-1)</f>
        <v>3.0516813461463066E-3</v>
      </c>
      <c r="H114" s="89">
        <f t="shared" ref="H114:H115" si="250">IF(G52=0,"",H52/G52-1)</f>
        <v>-1.9092662132282001E-2</v>
      </c>
      <c r="I114" s="89">
        <f t="shared" ref="I114:I115" si="251">IF(H52=0,"",I52/H52-1)</f>
        <v>7.598463135246325E-2</v>
      </c>
      <c r="J114" s="89">
        <f t="shared" ref="J114:J115" si="252">IF(I52=0,"",J52/I52-1)</f>
        <v>-3.6192283984963547E-2</v>
      </c>
      <c r="K114" s="89">
        <f t="shared" ref="K114:K115" si="253">IF(J52=0,"",K52/J52-1)</f>
        <v>-0.32343969049217824</v>
      </c>
      <c r="L114" s="89">
        <f t="shared" ref="L114:L115" si="254">IF(K52=0,"",L52/K52-1)</f>
        <v>-8.8897902894023439E-2</v>
      </c>
      <c r="M114" s="89">
        <f t="shared" ref="M114:M115" si="255">IF(L52=0,"",M52/L52-1)</f>
        <v>-3.0493751043026984E-3</v>
      </c>
      <c r="N114" s="89">
        <f t="shared" ref="N114:N115" si="256">IF(M52=0,"",N52/M52-1)</f>
        <v>-6.9013953864693667E-2</v>
      </c>
      <c r="O114" s="89">
        <f t="shared" ref="O114:O115" si="257">IF(N52=0,"",O52/N52-1)</f>
        <v>-0.15754836170474718</v>
      </c>
      <c r="P114" s="89">
        <f t="shared" ref="P114:P115" si="258">IF(O52=0,"",P52/O52-1)</f>
        <v>-0.1274626705018348</v>
      </c>
      <c r="Q114" s="89">
        <f t="shared" ref="Q114:Q115" si="259">IF(P52=0,"",Q52/P52-1)</f>
        <v>6.9064316282063443E-2</v>
      </c>
      <c r="R114" s="89">
        <f t="shared" ref="R114:R115" si="260">IF(Q52=0,"",R52/Q52-1)</f>
        <v>0.14530364320386258</v>
      </c>
      <c r="S114" s="89">
        <f t="shared" ref="S114:S115" si="261">IF(R52=0,"",S52/R52-1)</f>
        <v>-9.5084354579539454E-2</v>
      </c>
      <c r="T114" s="89">
        <f t="shared" ref="T114:T115" si="262">IF(S52=0,"",T52/S52-1)</f>
        <v>-0.11957515206936398</v>
      </c>
      <c r="U114" s="89">
        <f t="shared" ref="U114:U115" si="263">IF(T52=0,"",U52/T52-1)</f>
        <v>-4.2794398084367913E-2</v>
      </c>
      <c r="V114" s="89">
        <f t="shared" ref="V114:V115" si="264">IF(U52=0,"",V52/U52-1)</f>
        <v>1.6372460447473092E-2</v>
      </c>
      <c r="W114" s="89">
        <f t="shared" ref="W114:W115" si="265">IF(V52=0,"",W52/V52-1)</f>
        <v>-4.0264608733882712E-2</v>
      </c>
      <c r="X114" s="89">
        <f t="shared" ref="X114:X115" si="266">IF(W52=0,"",X52/W52-1)</f>
        <v>-1.0122070232291946E-2</v>
      </c>
      <c r="Y114" s="89">
        <f t="shared" ref="Y114:Y115" si="267">IF(X52=0,"",Y52/X52-1)</f>
        <v>-7.9125497803771649E-2</v>
      </c>
    </row>
    <row r="115" spans="1:25" x14ac:dyDescent="0.25">
      <c r="A115" s="88" t="s">
        <v>21</v>
      </c>
      <c r="B115" s="44"/>
      <c r="C115" s="44"/>
      <c r="D115" s="89"/>
      <c r="E115" s="89">
        <f t="shared" si="247"/>
        <v>-7.1498933838706535E-2</v>
      </c>
      <c r="F115" s="89">
        <f t="shared" si="248"/>
        <v>7.0556102820916511E-2</v>
      </c>
      <c r="G115" s="89">
        <f t="shared" si="249"/>
        <v>2.2395363670786317E-3</v>
      </c>
      <c r="H115" s="89">
        <f t="shared" si="250"/>
        <v>-0.17058482535334896</v>
      </c>
      <c r="I115" s="89">
        <f t="shared" si="251"/>
        <v>-0.13244631592616107</v>
      </c>
      <c r="J115" s="89">
        <f t="shared" si="252"/>
        <v>-8.3788049507528606E-2</v>
      </c>
      <c r="K115" s="89">
        <f t="shared" si="253"/>
        <v>2.144481610904192E-3</v>
      </c>
      <c r="L115" s="89">
        <f t="shared" si="254"/>
        <v>-9.9636316997779528E-2</v>
      </c>
      <c r="M115" s="89">
        <f t="shared" si="255"/>
        <v>-0.14422564931477733</v>
      </c>
      <c r="N115" s="89">
        <f t="shared" si="256"/>
        <v>0.12347804402893248</v>
      </c>
      <c r="O115" s="89">
        <f t="shared" si="257"/>
        <v>-0.19728320497281593</v>
      </c>
      <c r="P115" s="89">
        <f t="shared" si="258"/>
        <v>9.8132538818731518E-3</v>
      </c>
      <c r="Q115" s="89">
        <f t="shared" si="259"/>
        <v>5.0856036570561924E-2</v>
      </c>
      <c r="R115" s="89">
        <f t="shared" si="260"/>
        <v>0.13154712312696137</v>
      </c>
      <c r="S115" s="89">
        <f t="shared" si="261"/>
        <v>-0.1211805686475409</v>
      </c>
      <c r="T115" s="89">
        <f t="shared" si="262"/>
        <v>-3.772647231680526E-2</v>
      </c>
      <c r="U115" s="89">
        <f t="shared" si="263"/>
        <v>0.12110710176573836</v>
      </c>
      <c r="V115" s="89">
        <f t="shared" si="264"/>
        <v>4.3736982322651663E-2</v>
      </c>
      <c r="W115" s="89">
        <f t="shared" si="265"/>
        <v>-6.1101406813185433E-2</v>
      </c>
      <c r="X115" s="89">
        <f t="shared" si="266"/>
        <v>0.10886053708255483</v>
      </c>
      <c r="Y115" s="89">
        <f t="shared" si="267"/>
        <v>2.4075381161122733E-2</v>
      </c>
    </row>
    <row r="116" spans="1:25" x14ac:dyDescent="0.25">
      <c r="A116" s="88" t="s">
        <v>16</v>
      </c>
      <c r="B116" s="44"/>
      <c r="C116" s="44"/>
      <c r="D116" s="89"/>
      <c r="E116" s="89">
        <f t="shared" ref="E116:E122" si="268">IF(D56=0,"",E56/D56-1)</f>
        <v>0.5513547035869375</v>
      </c>
      <c r="F116" s="89">
        <f t="shared" ref="F116:F122" si="269">IF(E56=0,"",F56/E56-1)</f>
        <v>-0.10526729873832763</v>
      </c>
      <c r="G116" s="89">
        <f t="shared" ref="G116:G122" si="270">IF(F56=0,"",G56/F56-1)</f>
        <v>3.4542673879327523E-3</v>
      </c>
      <c r="H116" s="89">
        <f t="shared" ref="H116:H122" si="271">IF(G56=0,"",H56/G56-1)</f>
        <v>5.5912173419677469E-2</v>
      </c>
      <c r="I116" s="89">
        <f t="shared" ref="I116:I122" si="272">IF(H56=0,"",I56/H56-1)</f>
        <v>0.1570444221156686</v>
      </c>
      <c r="J116" s="89">
        <f t="shared" ref="J116:J122" si="273">IF(I56=0,"",J56/I56-1)</f>
        <v>-2.2313292231185056E-2</v>
      </c>
      <c r="K116" s="89">
        <f t="shared" ref="K116:K122" si="274">IF(J56=0,"",K56/J56-1)</f>
        <v>-0.41241082465905499</v>
      </c>
      <c r="L116" s="89">
        <f t="shared" ref="L116:L122" si="275">IF(K56=0,"",L56/K56-1)</f>
        <v>-8.3893151108697106E-2</v>
      </c>
      <c r="M116" s="89">
        <f t="shared" ref="M116:M122" si="276">IF(L56=0,"",M56/L56-1)</f>
        <v>6.1616617886557368E-2</v>
      </c>
      <c r="N116" s="89">
        <f t="shared" ref="N116:N122" si="277">IF(M56=0,"",N56/M56-1)</f>
        <v>-0.14008921635982763</v>
      </c>
      <c r="O116" s="89">
        <f t="shared" ref="O116:O122" si="278">IF(N56=0,"",O56/N56-1)</f>
        <v>-0.13837984574640572</v>
      </c>
      <c r="P116" s="89">
        <f t="shared" ref="P116:P122" si="279">IF(O56=0,"",P56/O56-1)</f>
        <v>-0.18915879211294484</v>
      </c>
      <c r="Q116" s="89">
        <f t="shared" ref="Q116:Q122" si="280">IF(P56=0,"",Q56/P56-1)</f>
        <v>7.9255805703625004E-2</v>
      </c>
      <c r="R116" s="89">
        <f t="shared" ref="R116:R122" si="281">IF(Q56=0,"",R56/Q56-1)</f>
        <v>0.15280079247407885</v>
      </c>
      <c r="S116" s="89">
        <f t="shared" ref="S116:S122" si="282">IF(R56=0,"",S56/R56-1)</f>
        <v>-8.1124417648670955E-2</v>
      </c>
      <c r="T116" s="89">
        <f t="shared" ref="T116:T122" si="283">IF(S56=0,"",T56/S56-1)</f>
        <v>-0.16145070633195668</v>
      </c>
      <c r="U116" s="89">
        <f t="shared" ref="U116:U122" si="284">IF(T56=0,"",U56/T56-1)</f>
        <v>-0.13902246436522159</v>
      </c>
      <c r="V116" s="89">
        <f t="shared" ref="V116:V122" si="285">IF(U56=0,"",V56/U56-1)</f>
        <v>-4.5475539353156957E-3</v>
      </c>
      <c r="W116" s="89">
        <f t="shared" ref="W116:W122" si="286">IF(V56=0,"",W56/V56-1)</f>
        <v>-2.3562332909570882E-2</v>
      </c>
      <c r="X116" s="89">
        <f t="shared" ref="X116:X122" si="287">IF(W56=0,"",X56/W56-1)</f>
        <v>-0.10182903371272023</v>
      </c>
      <c r="Y116" s="89">
        <f t="shared" ref="Y116:Y122" si="288">IF(X56=0,"",Y56/X56-1)</f>
        <v>-0.17732745508942171</v>
      </c>
    </row>
    <row r="117" spans="1:25" x14ac:dyDescent="0.25">
      <c r="A117" s="68" t="s">
        <v>2</v>
      </c>
      <c r="B117" s="44"/>
      <c r="C117" s="44"/>
      <c r="D117" s="89"/>
      <c r="E117" s="89">
        <f t="shared" si="268"/>
        <v>0.1636928877888042</v>
      </c>
      <c r="F117" s="89">
        <f t="shared" si="269"/>
        <v>5.9244367868035219E-2</v>
      </c>
      <c r="G117" s="89">
        <f t="shared" si="270"/>
        <v>0.11498993837259386</v>
      </c>
      <c r="H117" s="89">
        <f t="shared" si="271"/>
        <v>-3.126562682545353E-2</v>
      </c>
      <c r="I117" s="89">
        <f t="shared" si="272"/>
        <v>-3.7358950510094635E-2</v>
      </c>
      <c r="J117" s="89">
        <f t="shared" si="273"/>
        <v>2.8475647137840898E-2</v>
      </c>
      <c r="K117" s="89">
        <f t="shared" si="274"/>
        <v>3.6547183743214307E-2</v>
      </c>
      <c r="L117" s="89">
        <f t="shared" si="275"/>
        <v>-9.8107238212099546E-3</v>
      </c>
      <c r="M117" s="89">
        <f t="shared" si="276"/>
        <v>-6.3913244426194726E-3</v>
      </c>
      <c r="N117" s="89">
        <f t="shared" si="277"/>
        <v>0.11483930435690648</v>
      </c>
      <c r="O117" s="89">
        <f t="shared" si="278"/>
        <v>-1.8865994536900521E-2</v>
      </c>
      <c r="P117" s="89">
        <f t="shared" si="279"/>
        <v>-1.6943064471679703E-2</v>
      </c>
      <c r="Q117" s="89">
        <f t="shared" si="280"/>
        <v>0.11423203907036594</v>
      </c>
      <c r="R117" s="89">
        <f t="shared" si="281"/>
        <v>0.1033530428919105</v>
      </c>
      <c r="S117" s="89">
        <f t="shared" si="282"/>
        <v>-5.5400448483544862E-2</v>
      </c>
      <c r="T117" s="89">
        <f t="shared" si="283"/>
        <v>8.7545140918865449E-4</v>
      </c>
      <c r="U117" s="89">
        <f t="shared" si="284"/>
        <v>-6.0820640436875739E-2</v>
      </c>
      <c r="V117" s="89">
        <f t="shared" si="285"/>
        <v>2.0049821287696279E-2</v>
      </c>
      <c r="W117" s="89">
        <f t="shared" si="286"/>
        <v>-0.17292208540129372</v>
      </c>
      <c r="X117" s="89">
        <f t="shared" si="287"/>
        <v>1.4281587641033822E-2</v>
      </c>
      <c r="Y117" s="89">
        <f t="shared" si="288"/>
        <v>6.1077280057928673E-2</v>
      </c>
    </row>
    <row r="118" spans="1:25" x14ac:dyDescent="0.25">
      <c r="A118" s="68" t="s">
        <v>275</v>
      </c>
      <c r="B118" s="44"/>
      <c r="C118" s="44"/>
      <c r="D118" s="89"/>
      <c r="E118" s="89">
        <f t="shared" si="268"/>
        <v>-5.0097922454007127E-2</v>
      </c>
      <c r="F118" s="89">
        <f t="shared" si="269"/>
        <v>-7.3099910414503477E-2</v>
      </c>
      <c r="G118" s="89">
        <f t="shared" si="270"/>
        <v>0.56182370505774726</v>
      </c>
      <c r="H118" s="89">
        <f t="shared" si="271"/>
        <v>-0.29527541170613592</v>
      </c>
      <c r="I118" s="89">
        <f t="shared" si="272"/>
        <v>0.11480920942222372</v>
      </c>
      <c r="J118" s="89">
        <f t="shared" si="273"/>
        <v>-0.12254237161690995</v>
      </c>
      <c r="K118" s="89">
        <f t="shared" si="274"/>
        <v>6.2568740684979085E-2</v>
      </c>
      <c r="L118" s="89">
        <f t="shared" si="275"/>
        <v>-3.4250356531578818E-2</v>
      </c>
      <c r="M118" s="89">
        <f t="shared" si="276"/>
        <v>-0.41899502342946815</v>
      </c>
      <c r="N118" s="89">
        <f t="shared" si="277"/>
        <v>-0.1210164973730502</v>
      </c>
      <c r="O118" s="89">
        <f t="shared" si="278"/>
        <v>4.3883301739173985E-2</v>
      </c>
      <c r="P118" s="89">
        <f t="shared" si="279"/>
        <v>-3.9403206784699774E-2</v>
      </c>
      <c r="Q118" s="89">
        <f t="shared" si="280"/>
        <v>0.10258596204246517</v>
      </c>
      <c r="R118" s="89">
        <f t="shared" si="281"/>
        <v>0.10248843111665895</v>
      </c>
      <c r="S118" s="89">
        <f t="shared" si="282"/>
        <v>8.7517453954496283E-2</v>
      </c>
      <c r="T118" s="89">
        <f t="shared" si="283"/>
        <v>4.1233585864901778E-2</v>
      </c>
      <c r="U118" s="89">
        <f t="shared" si="284"/>
        <v>-5.3717048714285731E-4</v>
      </c>
      <c r="V118" s="89">
        <f t="shared" si="285"/>
        <v>0.10550180837407619</v>
      </c>
      <c r="W118" s="89">
        <f t="shared" si="286"/>
        <v>-8.4389266842479382E-2</v>
      </c>
      <c r="X118" s="89">
        <f t="shared" si="287"/>
        <v>-0.13452809461814641</v>
      </c>
      <c r="Y118" s="89">
        <f t="shared" si="288"/>
        <v>0.19135561269590351</v>
      </c>
    </row>
    <row r="119" spans="1:25" x14ac:dyDescent="0.25">
      <c r="A119" s="68" t="s">
        <v>276</v>
      </c>
      <c r="B119" s="44"/>
      <c r="C119" s="44"/>
      <c r="D119" s="89"/>
      <c r="E119" s="89">
        <f t="shared" si="268"/>
        <v>0.12425961460925783</v>
      </c>
      <c r="F119" s="89">
        <f t="shared" si="269"/>
        <v>-2.9339751063494734E-2</v>
      </c>
      <c r="G119" s="89">
        <f t="shared" si="270"/>
        <v>-0.13005257746088106</v>
      </c>
      <c r="H119" s="89">
        <f t="shared" si="271"/>
        <v>6.9444038153996246E-2</v>
      </c>
      <c r="I119" s="89">
        <f t="shared" si="272"/>
        <v>3.965205164506802E-2</v>
      </c>
      <c r="J119" s="89">
        <f t="shared" si="273"/>
        <v>4.453310266660182E-3</v>
      </c>
      <c r="K119" s="89">
        <f t="shared" si="274"/>
        <v>-8.2919315993944975E-2</v>
      </c>
      <c r="L119" s="89">
        <f t="shared" si="275"/>
        <v>-0.10899609981937097</v>
      </c>
      <c r="M119" s="89">
        <f t="shared" si="276"/>
        <v>-5.231993920627509E-2</v>
      </c>
      <c r="N119" s="89">
        <f t="shared" si="277"/>
        <v>-0.15421963734903743</v>
      </c>
      <c r="O119" s="89">
        <f t="shared" si="278"/>
        <v>-3.364380359164254E-2</v>
      </c>
      <c r="P119" s="89">
        <f t="shared" si="279"/>
        <v>6.0850090473321128E-3</v>
      </c>
      <c r="Q119" s="89">
        <f t="shared" si="280"/>
        <v>-2.3042122114772745E-2</v>
      </c>
      <c r="R119" s="89">
        <f t="shared" si="281"/>
        <v>3.3812339256169111E-2</v>
      </c>
      <c r="S119" s="89">
        <f t="shared" si="282"/>
        <v>5.209007238267005E-2</v>
      </c>
      <c r="T119" s="89">
        <f t="shared" si="283"/>
        <v>8.4643341707303144E-2</v>
      </c>
      <c r="U119" s="89">
        <f t="shared" si="284"/>
        <v>4.8470111895445367E-2</v>
      </c>
      <c r="V119" s="89">
        <f t="shared" si="285"/>
        <v>8.1744638348495879E-2</v>
      </c>
      <c r="W119" s="89">
        <f t="shared" si="286"/>
        <v>1.6023616812722574E-2</v>
      </c>
      <c r="X119" s="89">
        <f t="shared" si="287"/>
        <v>0.34930808669895463</v>
      </c>
      <c r="Y119" s="89">
        <f t="shared" si="288"/>
        <v>0.1096476278740246</v>
      </c>
    </row>
    <row r="120" spans="1:25" x14ac:dyDescent="0.25">
      <c r="A120" s="68" t="s">
        <v>1</v>
      </c>
      <c r="B120" s="44"/>
      <c r="C120" s="44"/>
      <c r="D120" s="89"/>
      <c r="E120" s="89">
        <f t="shared" si="268"/>
        <v>6.7141552101954716E-3</v>
      </c>
      <c r="F120" s="89">
        <f t="shared" si="269"/>
        <v>-0.17622366155567493</v>
      </c>
      <c r="G120" s="89">
        <f t="shared" si="270"/>
        <v>-0.11093399568288875</v>
      </c>
      <c r="H120" s="89">
        <f t="shared" si="271"/>
        <v>-0.1289253326966131</v>
      </c>
      <c r="I120" s="89">
        <f t="shared" si="272"/>
        <v>-4.6777956993311776E-2</v>
      </c>
      <c r="J120" s="89">
        <f t="shared" si="273"/>
        <v>-0.11167461883982643</v>
      </c>
      <c r="K120" s="89">
        <f t="shared" si="274"/>
        <v>8.8379215272717859E-2</v>
      </c>
      <c r="L120" s="89">
        <f t="shared" si="275"/>
        <v>-0.16709334607444282</v>
      </c>
      <c r="M120" s="89">
        <f t="shared" si="276"/>
        <v>-0.10293508722494193</v>
      </c>
      <c r="N120" s="89">
        <f t="shared" si="277"/>
        <v>-0.16818556387003969</v>
      </c>
      <c r="O120" s="89">
        <f t="shared" si="278"/>
        <v>-0.1740938410507018</v>
      </c>
      <c r="P120" s="89">
        <f t="shared" si="279"/>
        <v>-6.750105326778344E-2</v>
      </c>
      <c r="Q120" s="89">
        <f t="shared" si="280"/>
        <v>5.5985329793480032E-2</v>
      </c>
      <c r="R120" s="89">
        <f t="shared" si="281"/>
        <v>6.9897710819211145E-2</v>
      </c>
      <c r="S120" s="89">
        <f t="shared" si="282"/>
        <v>-2.2628269631688736E-2</v>
      </c>
      <c r="T120" s="89">
        <f t="shared" si="283"/>
        <v>-4.2540737882278079E-2</v>
      </c>
      <c r="U120" s="89">
        <f t="shared" si="284"/>
        <v>-6.3295144637679823E-2</v>
      </c>
      <c r="V120" s="89">
        <f t="shared" si="285"/>
        <v>6.5262959436664936E-3</v>
      </c>
      <c r="W120" s="89">
        <f t="shared" si="286"/>
        <v>-1.2841318787006673E-2</v>
      </c>
      <c r="X120" s="89">
        <f t="shared" si="287"/>
        <v>-4.2799083959897621E-2</v>
      </c>
      <c r="Y120" s="89">
        <f t="shared" si="288"/>
        <v>0.16349205868240957</v>
      </c>
    </row>
    <row r="121" spans="1:25" x14ac:dyDescent="0.25">
      <c r="A121" s="68" t="s">
        <v>0</v>
      </c>
      <c r="B121" s="44"/>
      <c r="C121" s="44"/>
      <c r="D121" s="89"/>
      <c r="E121" s="89">
        <f t="shared" si="268"/>
        <v>-0.2122599272422262</v>
      </c>
      <c r="F121" s="89">
        <f t="shared" si="269"/>
        <v>3.7269904665980347E-2</v>
      </c>
      <c r="G121" s="89">
        <f t="shared" si="270"/>
        <v>6.2422541171793577E-2</v>
      </c>
      <c r="H121" s="89">
        <f t="shared" si="271"/>
        <v>0.15557913977525151</v>
      </c>
      <c r="I121" s="89">
        <f t="shared" si="272"/>
        <v>-4.4987222135529636E-3</v>
      </c>
      <c r="J121" s="89">
        <f t="shared" si="273"/>
        <v>7.7495050014684264E-2</v>
      </c>
      <c r="K121" s="89">
        <f t="shared" si="274"/>
        <v>6.413259481745337E-2</v>
      </c>
      <c r="L121" s="89">
        <f t="shared" si="275"/>
        <v>-0.4149811928803413</v>
      </c>
      <c r="M121" s="89">
        <f t="shared" si="276"/>
        <v>-0.34162365883376467</v>
      </c>
      <c r="N121" s="89">
        <f t="shared" si="277"/>
        <v>-0.17185199947250251</v>
      </c>
      <c r="O121" s="89">
        <f t="shared" si="278"/>
        <v>-0.25367585361637246</v>
      </c>
      <c r="P121" s="89">
        <f t="shared" si="279"/>
        <v>-2.0140540738795565E-3</v>
      </c>
      <c r="Q121" s="89">
        <f t="shared" si="280"/>
        <v>0.2303132999970785</v>
      </c>
      <c r="R121" s="89">
        <f t="shared" si="281"/>
        <v>9.4824336612688631E-2</v>
      </c>
      <c r="S121" s="89">
        <f t="shared" si="282"/>
        <v>2.7139195979899444E-2</v>
      </c>
      <c r="T121" s="89">
        <f t="shared" si="283"/>
        <v>6.0217165052452781E-2</v>
      </c>
      <c r="U121" s="89">
        <f t="shared" si="284"/>
        <v>0.16787080664295972</v>
      </c>
      <c r="V121" s="89">
        <f t="shared" si="285"/>
        <v>0.15114317696676194</v>
      </c>
      <c r="W121" s="89">
        <f t="shared" si="286"/>
        <v>5.6274150205179563E-2</v>
      </c>
      <c r="X121" s="89">
        <f t="shared" si="287"/>
        <v>-3.5645575619581704E-2</v>
      </c>
      <c r="Y121" s="89">
        <f t="shared" si="288"/>
        <v>0.43055965053477263</v>
      </c>
    </row>
    <row r="122" spans="1:25" x14ac:dyDescent="0.25">
      <c r="A122" s="90" t="s">
        <v>278</v>
      </c>
      <c r="B122" s="47"/>
      <c r="C122" s="47"/>
      <c r="D122" s="91"/>
      <c r="E122" s="91">
        <f t="shared" si="268"/>
        <v>0.13374789145477028</v>
      </c>
      <c r="F122" s="91">
        <f t="shared" si="269"/>
        <v>-1.8258382890420366E-3</v>
      </c>
      <c r="G122" s="91">
        <f t="shared" si="270"/>
        <v>3.0947779313201806E-2</v>
      </c>
      <c r="H122" s="91">
        <f t="shared" si="271"/>
        <v>2.4386534377581537E-2</v>
      </c>
      <c r="I122" s="91">
        <f t="shared" si="272"/>
        <v>-2.0593766067313557E-2</v>
      </c>
      <c r="J122" s="91">
        <f t="shared" si="273"/>
        <v>8.8628586605358217E-2</v>
      </c>
      <c r="K122" s="91">
        <f t="shared" si="274"/>
        <v>-1.1716998494441411E-2</v>
      </c>
      <c r="L122" s="91">
        <f t="shared" si="275"/>
        <v>2.180175266583162E-2</v>
      </c>
      <c r="M122" s="91">
        <f t="shared" si="276"/>
        <v>3.9774229499452307E-2</v>
      </c>
      <c r="N122" s="91">
        <f t="shared" si="277"/>
        <v>-0.21398705556727393</v>
      </c>
      <c r="O122" s="91">
        <f t="shared" si="278"/>
        <v>0.36341154034425993</v>
      </c>
      <c r="P122" s="91">
        <f t="shared" si="279"/>
        <v>-0.17446511555873778</v>
      </c>
      <c r="Q122" s="91">
        <f t="shared" si="280"/>
        <v>9.9858519301523563E-2</v>
      </c>
      <c r="R122" s="91">
        <f t="shared" si="281"/>
        <v>0.1531570354270273</v>
      </c>
      <c r="S122" s="91">
        <f t="shared" si="282"/>
        <v>-0.14385929021067623</v>
      </c>
      <c r="T122" s="91">
        <f t="shared" si="283"/>
        <v>-2.0873472044400487E-2</v>
      </c>
      <c r="U122" s="91">
        <f t="shared" si="284"/>
        <v>0.25259682160971764</v>
      </c>
      <c r="V122" s="91">
        <f t="shared" si="285"/>
        <v>-0.1203504209812386</v>
      </c>
      <c r="W122" s="91">
        <f t="shared" si="286"/>
        <v>0.64262554319406417</v>
      </c>
      <c r="X122" s="91">
        <f t="shared" si="287"/>
        <v>-1.87758132849426E-2</v>
      </c>
      <c r="Y122" s="91">
        <f t="shared" si="288"/>
        <v>0.10079861128712087</v>
      </c>
    </row>
  </sheetData>
  <pageMargins left="0.75" right="0.75" top="1" bottom="1" header="0.5" footer="0.5"/>
  <pageSetup paperSize="9" scale="68" fitToHeight="0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112"/>
  <sheetViews>
    <sheetView showGridLines="0" zoomScale="110" zoomScaleNormal="110" workbookViewId="0">
      <pane ySplit="1" topLeftCell="A2" activePane="bottomLeft" state="frozen"/>
      <selection pane="bottomLeft" activeCell="A2" sqref="A2"/>
    </sheetView>
  </sheetViews>
  <sheetFormatPr defaultColWidth="9.140625" defaultRowHeight="11.25" x14ac:dyDescent="0.25"/>
  <cols>
    <col min="1" max="1" width="33.7109375" style="1" customWidth="1"/>
    <col min="2" max="2" width="14.85546875" style="1" bestFit="1" customWidth="1"/>
    <col min="3" max="3" width="92.42578125" style="1" bestFit="1" customWidth="1"/>
    <col min="4" max="4" width="38.28515625" style="1" bestFit="1" customWidth="1"/>
    <col min="5" max="16384" width="9.140625" style="1"/>
  </cols>
  <sheetData>
    <row r="1" spans="1:4" x14ac:dyDescent="0.25">
      <c r="A1" s="95" t="s">
        <v>244</v>
      </c>
      <c r="B1" s="96" t="s">
        <v>136</v>
      </c>
      <c r="C1" s="95" t="s">
        <v>137</v>
      </c>
      <c r="D1" s="95" t="s">
        <v>138</v>
      </c>
    </row>
    <row r="2" spans="1:4" x14ac:dyDescent="0.25">
      <c r="A2" s="40" t="s">
        <v>139</v>
      </c>
      <c r="B2" s="97" t="s">
        <v>24</v>
      </c>
      <c r="C2" s="40" t="s">
        <v>25</v>
      </c>
      <c r="D2" s="98" t="s">
        <v>140</v>
      </c>
    </row>
    <row r="3" spans="1:4" x14ac:dyDescent="0.25">
      <c r="A3" s="94" t="s">
        <v>141</v>
      </c>
      <c r="B3" s="99" t="s">
        <v>26</v>
      </c>
      <c r="C3" s="94" t="s">
        <v>27</v>
      </c>
      <c r="D3" s="39" t="s">
        <v>140</v>
      </c>
    </row>
    <row r="4" spans="1:4" ht="11.25" customHeight="1" x14ac:dyDescent="0.25">
      <c r="A4" s="46" t="s">
        <v>142</v>
      </c>
      <c r="B4" s="100" t="s">
        <v>28</v>
      </c>
      <c r="C4" s="46" t="s">
        <v>143</v>
      </c>
      <c r="D4" s="101" t="s">
        <v>140</v>
      </c>
    </row>
    <row r="5" spans="1:4" ht="11.25" customHeight="1" x14ac:dyDescent="0.25">
      <c r="A5" s="102" t="s">
        <v>33</v>
      </c>
      <c r="B5" s="103" t="s">
        <v>32</v>
      </c>
      <c r="C5" s="102"/>
      <c r="D5" s="98"/>
    </row>
    <row r="6" spans="1:4" ht="11.25" customHeight="1" x14ac:dyDescent="0.25">
      <c r="A6" s="101"/>
      <c r="B6" s="104" t="s">
        <v>32</v>
      </c>
      <c r="C6" s="101" t="s">
        <v>33</v>
      </c>
      <c r="D6" s="101" t="s">
        <v>144</v>
      </c>
    </row>
    <row r="7" spans="1:4" ht="11.25" customHeight="1" x14ac:dyDescent="0.25">
      <c r="A7" s="102" t="s">
        <v>56</v>
      </c>
      <c r="B7" s="103" t="s">
        <v>55</v>
      </c>
      <c r="C7" s="102"/>
      <c r="D7" s="98"/>
    </row>
    <row r="8" spans="1:4" ht="11.25" customHeight="1" x14ac:dyDescent="0.25">
      <c r="A8" s="101"/>
      <c r="B8" s="104" t="s">
        <v>55</v>
      </c>
      <c r="C8" s="101" t="s">
        <v>56</v>
      </c>
      <c r="D8" s="101" t="s">
        <v>145</v>
      </c>
    </row>
    <row r="9" spans="1:4" ht="11.25" customHeight="1" x14ac:dyDescent="0.25">
      <c r="A9" s="105" t="s">
        <v>146</v>
      </c>
      <c r="B9" s="106" t="s">
        <v>147</v>
      </c>
      <c r="C9" s="105"/>
      <c r="D9" s="107"/>
    </row>
    <row r="10" spans="1:4" x14ac:dyDescent="0.25">
      <c r="A10" s="108" t="s">
        <v>148</v>
      </c>
      <c r="B10" s="109" t="s">
        <v>149</v>
      </c>
      <c r="C10" s="108"/>
      <c r="D10" s="108"/>
    </row>
    <row r="11" spans="1:4" x14ac:dyDescent="0.25">
      <c r="A11" s="110"/>
      <c r="B11" s="110" t="s">
        <v>65</v>
      </c>
      <c r="C11" s="111" t="s">
        <v>66</v>
      </c>
      <c r="D11" s="112" t="s">
        <v>145</v>
      </c>
    </row>
    <row r="12" spans="1:4" x14ac:dyDescent="0.25">
      <c r="A12" s="113"/>
      <c r="B12" s="113" t="s">
        <v>67</v>
      </c>
      <c r="C12" s="106" t="s">
        <v>68</v>
      </c>
      <c r="D12" s="39" t="s">
        <v>145</v>
      </c>
    </row>
    <row r="13" spans="1:4" x14ac:dyDescent="0.25">
      <c r="A13" s="113"/>
      <c r="B13" s="113" t="s">
        <v>73</v>
      </c>
      <c r="C13" s="106" t="s">
        <v>74</v>
      </c>
      <c r="D13" s="39" t="s">
        <v>145</v>
      </c>
    </row>
    <row r="14" spans="1:4" x14ac:dyDescent="0.25">
      <c r="A14" s="113"/>
      <c r="B14" s="113" t="s">
        <v>75</v>
      </c>
      <c r="C14" s="106" t="s">
        <v>76</v>
      </c>
      <c r="D14" s="39" t="s">
        <v>145</v>
      </c>
    </row>
    <row r="15" spans="1:4" x14ac:dyDescent="0.25">
      <c r="A15" s="113"/>
      <c r="B15" s="113" t="s">
        <v>77</v>
      </c>
      <c r="C15" s="106" t="s">
        <v>78</v>
      </c>
      <c r="D15" s="39" t="s">
        <v>145</v>
      </c>
    </row>
    <row r="16" spans="1:4" ht="11.25" customHeight="1" x14ac:dyDescent="0.25">
      <c r="A16" s="114"/>
      <c r="B16" s="114" t="s">
        <v>79</v>
      </c>
      <c r="C16" s="115" t="s">
        <v>80</v>
      </c>
      <c r="D16" s="116" t="s">
        <v>145</v>
      </c>
    </row>
    <row r="17" spans="1:4" ht="11.25" customHeight="1" x14ac:dyDescent="0.25">
      <c r="A17" s="108" t="s">
        <v>150</v>
      </c>
      <c r="B17" s="109" t="s">
        <v>151</v>
      </c>
      <c r="C17" s="108"/>
      <c r="D17" s="107"/>
    </row>
    <row r="18" spans="1:4" ht="11.25" customHeight="1" x14ac:dyDescent="0.25">
      <c r="A18" s="110"/>
      <c r="B18" s="110" t="s">
        <v>40</v>
      </c>
      <c r="C18" s="111" t="s">
        <v>41</v>
      </c>
      <c r="D18" s="112" t="s">
        <v>145</v>
      </c>
    </row>
    <row r="19" spans="1:4" ht="11.25" customHeight="1" x14ac:dyDescent="0.25">
      <c r="A19" s="113"/>
      <c r="B19" s="113" t="s">
        <v>42</v>
      </c>
      <c r="C19" s="106" t="s">
        <v>43</v>
      </c>
      <c r="D19" s="107" t="s">
        <v>145</v>
      </c>
    </row>
    <row r="20" spans="1:4" ht="11.25" customHeight="1" x14ac:dyDescent="0.25">
      <c r="A20" s="113"/>
      <c r="B20" s="113" t="s">
        <v>44</v>
      </c>
      <c r="C20" s="106" t="s">
        <v>45</v>
      </c>
      <c r="D20" s="107" t="s">
        <v>145</v>
      </c>
    </row>
    <row r="21" spans="1:4" ht="11.25" customHeight="1" x14ac:dyDescent="0.25">
      <c r="A21" s="113"/>
      <c r="B21" s="113" t="s">
        <v>69</v>
      </c>
      <c r="C21" s="106" t="s">
        <v>70</v>
      </c>
      <c r="D21" s="107" t="s">
        <v>145</v>
      </c>
    </row>
    <row r="22" spans="1:4" ht="11.25" customHeight="1" x14ac:dyDescent="0.25">
      <c r="A22" s="113"/>
      <c r="B22" s="113" t="s">
        <v>71</v>
      </c>
      <c r="C22" s="106" t="s">
        <v>72</v>
      </c>
      <c r="D22" s="107" t="s">
        <v>145</v>
      </c>
    </row>
    <row r="23" spans="1:4" ht="11.25" customHeight="1" x14ac:dyDescent="0.25">
      <c r="A23" s="113"/>
      <c r="B23" s="113" t="s">
        <v>81</v>
      </c>
      <c r="C23" s="106" t="s">
        <v>82</v>
      </c>
      <c r="D23" s="107" t="s">
        <v>145</v>
      </c>
    </row>
    <row r="24" spans="1:4" ht="11.25" customHeight="1" x14ac:dyDescent="0.25">
      <c r="A24" s="113"/>
      <c r="B24" s="113" t="s">
        <v>83</v>
      </c>
      <c r="C24" s="106" t="s">
        <v>84</v>
      </c>
      <c r="D24" s="107" t="s">
        <v>145</v>
      </c>
    </row>
    <row r="25" spans="1:4" ht="11.25" customHeight="1" x14ac:dyDescent="0.25">
      <c r="A25" s="114"/>
      <c r="B25" s="114" t="s">
        <v>85</v>
      </c>
      <c r="C25" s="115" t="s">
        <v>86</v>
      </c>
      <c r="D25" s="116" t="s">
        <v>145</v>
      </c>
    </row>
    <row r="26" spans="1:4" ht="11.25" customHeight="1" x14ac:dyDescent="0.25">
      <c r="A26" s="67" t="s">
        <v>152</v>
      </c>
      <c r="B26" s="106" t="s">
        <v>153</v>
      </c>
      <c r="C26" s="67"/>
      <c r="D26" s="107"/>
    </row>
    <row r="27" spans="1:4" ht="11.25" customHeight="1" x14ac:dyDescent="0.25">
      <c r="A27" s="110"/>
      <c r="B27" s="110" t="s">
        <v>134</v>
      </c>
      <c r="C27" s="111" t="s">
        <v>135</v>
      </c>
      <c r="D27" s="112" t="s">
        <v>145</v>
      </c>
    </row>
    <row r="28" spans="1:4" ht="11.25" customHeight="1" x14ac:dyDescent="0.25">
      <c r="A28" s="113"/>
      <c r="B28" s="113" t="s">
        <v>61</v>
      </c>
      <c r="C28" s="106" t="s">
        <v>62</v>
      </c>
      <c r="D28" s="107" t="s">
        <v>145</v>
      </c>
    </row>
    <row r="29" spans="1:4" ht="11.25" customHeight="1" x14ac:dyDescent="0.25">
      <c r="A29" s="113"/>
      <c r="B29" s="113" t="s">
        <v>63</v>
      </c>
      <c r="C29" s="106" t="s">
        <v>64</v>
      </c>
      <c r="D29" s="107" t="s">
        <v>145</v>
      </c>
    </row>
    <row r="30" spans="1:4" ht="11.25" customHeight="1" x14ac:dyDescent="0.25">
      <c r="A30" s="102" t="s">
        <v>154</v>
      </c>
      <c r="B30" s="98" t="s">
        <v>155</v>
      </c>
      <c r="C30" s="102"/>
      <c r="D30" s="98"/>
    </row>
    <row r="31" spans="1:4" ht="11.25" customHeight="1" x14ac:dyDescent="0.25">
      <c r="A31" s="113"/>
      <c r="B31" s="113" t="s">
        <v>94</v>
      </c>
      <c r="C31" s="106" t="s">
        <v>95</v>
      </c>
      <c r="D31" s="39" t="s">
        <v>156</v>
      </c>
    </row>
    <row r="32" spans="1:4" ht="11.25" customHeight="1" x14ac:dyDescent="0.25">
      <c r="A32" s="104"/>
      <c r="B32" s="104" t="s">
        <v>59</v>
      </c>
      <c r="C32" s="117" t="s">
        <v>60</v>
      </c>
      <c r="D32" s="101" t="s">
        <v>145</v>
      </c>
    </row>
    <row r="33" spans="1:4" ht="11.25" customHeight="1" x14ac:dyDescent="0.25">
      <c r="A33" s="102" t="s">
        <v>37</v>
      </c>
      <c r="B33" s="103" t="s">
        <v>36</v>
      </c>
      <c r="C33" s="102"/>
      <c r="D33" s="98"/>
    </row>
    <row r="34" spans="1:4" ht="11.25" customHeight="1" x14ac:dyDescent="0.25">
      <c r="A34" s="101"/>
      <c r="B34" s="104" t="s">
        <v>36</v>
      </c>
      <c r="C34" s="101" t="s">
        <v>37</v>
      </c>
      <c r="D34" s="101" t="s">
        <v>144</v>
      </c>
    </row>
    <row r="35" spans="1:4" ht="11.25" customHeight="1" x14ac:dyDescent="0.25">
      <c r="A35" s="102" t="s">
        <v>58</v>
      </c>
      <c r="B35" s="81" t="s">
        <v>157</v>
      </c>
      <c r="C35" s="102"/>
      <c r="D35" s="98"/>
    </row>
    <row r="36" spans="1:4" ht="11.25" customHeight="1" x14ac:dyDescent="0.25">
      <c r="A36" s="118" t="s">
        <v>158</v>
      </c>
      <c r="B36" s="103" t="s">
        <v>124</v>
      </c>
      <c r="C36" s="118"/>
      <c r="D36" s="98"/>
    </row>
    <row r="37" spans="1:4" ht="11.25" customHeight="1" x14ac:dyDescent="0.25">
      <c r="A37" s="113"/>
      <c r="B37" s="113" t="s">
        <v>124</v>
      </c>
      <c r="C37" s="106" t="s">
        <v>125</v>
      </c>
      <c r="D37" s="39" t="s">
        <v>156</v>
      </c>
    </row>
    <row r="38" spans="1:4" ht="11.25" customHeight="1" x14ac:dyDescent="0.25">
      <c r="A38" s="119" t="s">
        <v>5</v>
      </c>
      <c r="B38" s="120"/>
      <c r="C38" s="119"/>
      <c r="D38" s="121"/>
    </row>
    <row r="39" spans="1:4" ht="11.25" customHeight="1" x14ac:dyDescent="0.25">
      <c r="A39" s="68"/>
      <c r="B39" s="113" t="s">
        <v>159</v>
      </c>
      <c r="C39" s="106" t="s">
        <v>160</v>
      </c>
      <c r="D39" s="39" t="s">
        <v>161</v>
      </c>
    </row>
    <row r="40" spans="1:4" ht="11.25" customHeight="1" x14ac:dyDescent="0.25">
      <c r="A40" s="68"/>
      <c r="B40" s="113" t="s">
        <v>162</v>
      </c>
      <c r="C40" s="106" t="s">
        <v>163</v>
      </c>
      <c r="D40" s="39" t="s">
        <v>161</v>
      </c>
    </row>
    <row r="41" spans="1:4" ht="11.25" customHeight="1" x14ac:dyDescent="0.25">
      <c r="A41" s="68"/>
      <c r="B41" s="113" t="s">
        <v>164</v>
      </c>
      <c r="C41" s="106" t="s">
        <v>165</v>
      </c>
      <c r="D41" s="39" t="s">
        <v>161</v>
      </c>
    </row>
    <row r="42" spans="1:4" ht="11.25" customHeight="1" x14ac:dyDescent="0.25">
      <c r="A42" s="68"/>
      <c r="B42" s="113" t="s">
        <v>166</v>
      </c>
      <c r="C42" s="106" t="s">
        <v>167</v>
      </c>
      <c r="D42" s="39" t="s">
        <v>161</v>
      </c>
    </row>
    <row r="43" spans="1:4" ht="11.25" customHeight="1" x14ac:dyDescent="0.25">
      <c r="A43" s="90"/>
      <c r="B43" s="104" t="s">
        <v>168</v>
      </c>
      <c r="C43" s="117" t="s">
        <v>169</v>
      </c>
      <c r="D43" s="101" t="s">
        <v>161</v>
      </c>
    </row>
    <row r="44" spans="1:4" ht="11.25" customHeight="1" x14ac:dyDescent="0.25">
      <c r="A44" s="119" t="s">
        <v>170</v>
      </c>
      <c r="B44" s="120"/>
      <c r="C44" s="119"/>
      <c r="D44" s="121"/>
    </row>
    <row r="45" spans="1:4" ht="11.25" customHeight="1" x14ac:dyDescent="0.25">
      <c r="A45" s="88" t="s">
        <v>14</v>
      </c>
      <c r="B45" s="122"/>
      <c r="C45" s="88"/>
      <c r="D45" s="39"/>
    </row>
    <row r="46" spans="1:4" x14ac:dyDescent="0.25">
      <c r="A46" s="88" t="s">
        <v>19</v>
      </c>
      <c r="B46" s="39"/>
      <c r="C46" s="39"/>
      <c r="D46" s="39"/>
    </row>
    <row r="47" spans="1:4" x14ac:dyDescent="0.25">
      <c r="A47" s="123" t="s">
        <v>13</v>
      </c>
      <c r="B47" s="116"/>
      <c r="C47" s="116"/>
      <c r="D47" s="116"/>
    </row>
    <row r="48" spans="1:4" x14ac:dyDescent="0.25">
      <c r="A48" s="68"/>
      <c r="B48" s="113" t="s">
        <v>171</v>
      </c>
      <c r="C48" s="106" t="s">
        <v>19</v>
      </c>
      <c r="D48" s="39" t="s">
        <v>161</v>
      </c>
    </row>
    <row r="49" spans="1:4" x14ac:dyDescent="0.25">
      <c r="A49" s="68"/>
      <c r="B49" s="113" t="s">
        <v>172</v>
      </c>
      <c r="C49" s="106" t="s">
        <v>173</v>
      </c>
      <c r="D49" s="39" t="s">
        <v>161</v>
      </c>
    </row>
    <row r="50" spans="1:4" x14ac:dyDescent="0.25">
      <c r="A50" s="68"/>
      <c r="B50" s="113" t="s">
        <v>174</v>
      </c>
      <c r="C50" s="106" t="s">
        <v>175</v>
      </c>
      <c r="D50" s="39" t="s">
        <v>161</v>
      </c>
    </row>
    <row r="51" spans="1:4" x14ac:dyDescent="0.25">
      <c r="A51" s="68"/>
      <c r="B51" s="113" t="s">
        <v>176</v>
      </c>
      <c r="C51" s="106" t="s">
        <v>177</v>
      </c>
      <c r="D51" s="39" t="s">
        <v>161</v>
      </c>
    </row>
    <row r="52" spans="1:4" x14ac:dyDescent="0.25">
      <c r="A52" s="68"/>
      <c r="B52" s="113" t="s">
        <v>178</v>
      </c>
      <c r="C52" s="106" t="s">
        <v>179</v>
      </c>
      <c r="D52" s="39" t="s">
        <v>161</v>
      </c>
    </row>
    <row r="53" spans="1:4" x14ac:dyDescent="0.25">
      <c r="A53" s="68"/>
      <c r="B53" s="113" t="s">
        <v>180</v>
      </c>
      <c r="C53" s="106" t="s">
        <v>181</v>
      </c>
      <c r="D53" s="39" t="s">
        <v>161</v>
      </c>
    </row>
    <row r="54" spans="1:4" x14ac:dyDescent="0.25">
      <c r="A54" s="68"/>
      <c r="B54" s="113" t="s">
        <v>182</v>
      </c>
      <c r="C54" s="106" t="s">
        <v>183</v>
      </c>
      <c r="D54" s="39" t="s">
        <v>161</v>
      </c>
    </row>
    <row r="55" spans="1:4" ht="11.25" customHeight="1" thickBot="1" x14ac:dyDescent="0.3">
      <c r="A55" s="124"/>
      <c r="B55" s="125" t="s">
        <v>184</v>
      </c>
      <c r="C55" s="126" t="s">
        <v>185</v>
      </c>
      <c r="D55" s="127" t="s">
        <v>161</v>
      </c>
    </row>
    <row r="56" spans="1:4" ht="11.25" customHeight="1" x14ac:dyDescent="0.25">
      <c r="A56" s="67" t="s">
        <v>271</v>
      </c>
      <c r="B56" s="106" t="s">
        <v>186</v>
      </c>
      <c r="C56" s="67"/>
      <c r="D56" s="39"/>
    </row>
    <row r="57" spans="1:4" x14ac:dyDescent="0.25">
      <c r="A57" s="128" t="s">
        <v>272</v>
      </c>
      <c r="B57" s="129" t="s">
        <v>96</v>
      </c>
      <c r="C57" s="128"/>
      <c r="D57" s="98"/>
    </row>
    <row r="58" spans="1:4" ht="11.25" customHeight="1" x14ac:dyDescent="0.25">
      <c r="A58" s="130"/>
      <c r="B58" s="114" t="s">
        <v>96</v>
      </c>
      <c r="C58" s="115" t="s">
        <v>97</v>
      </c>
      <c r="D58" s="116" t="s">
        <v>156</v>
      </c>
    </row>
    <row r="59" spans="1:4" ht="11.25" customHeight="1" x14ac:dyDescent="0.25">
      <c r="A59" s="88" t="s">
        <v>20</v>
      </c>
      <c r="B59" s="122"/>
      <c r="C59" s="88"/>
      <c r="D59" s="39"/>
    </row>
    <row r="60" spans="1:4" ht="11.25" customHeight="1" x14ac:dyDescent="0.25">
      <c r="A60" s="88"/>
      <c r="B60" s="113" t="s">
        <v>187</v>
      </c>
      <c r="C60" s="106" t="s">
        <v>188</v>
      </c>
      <c r="D60" s="39" t="s">
        <v>161</v>
      </c>
    </row>
    <row r="61" spans="1:4" ht="11.25" customHeight="1" x14ac:dyDescent="0.25">
      <c r="A61" s="88"/>
      <c r="B61" s="113" t="s">
        <v>189</v>
      </c>
      <c r="C61" s="106" t="s">
        <v>190</v>
      </c>
      <c r="D61" s="39" t="s">
        <v>161</v>
      </c>
    </row>
    <row r="62" spans="1:4" ht="11.25" customHeight="1" x14ac:dyDescent="0.25">
      <c r="A62" s="88"/>
      <c r="B62" s="113" t="s">
        <v>191</v>
      </c>
      <c r="C62" s="106" t="s">
        <v>192</v>
      </c>
      <c r="D62" s="39" t="s">
        <v>161</v>
      </c>
    </row>
    <row r="63" spans="1:4" ht="11.25" customHeight="1" x14ac:dyDescent="0.25">
      <c r="A63" s="123"/>
      <c r="B63" s="114" t="s">
        <v>193</v>
      </c>
      <c r="C63" s="115" t="s">
        <v>194</v>
      </c>
      <c r="D63" s="116" t="s">
        <v>161</v>
      </c>
    </row>
    <row r="64" spans="1:4" ht="11.25" customHeight="1" x14ac:dyDescent="0.25">
      <c r="A64" s="88" t="s">
        <v>12</v>
      </c>
      <c r="B64" s="122"/>
      <c r="C64" s="88"/>
      <c r="D64" s="39"/>
    </row>
    <row r="65" spans="1:4" ht="11.25" customHeight="1" x14ac:dyDescent="0.25">
      <c r="A65" s="88"/>
      <c r="B65" s="113" t="s">
        <v>195</v>
      </c>
      <c r="C65" s="106" t="s">
        <v>196</v>
      </c>
      <c r="D65" s="39" t="s">
        <v>161</v>
      </c>
    </row>
    <row r="66" spans="1:4" ht="11.25" customHeight="1" x14ac:dyDescent="0.25">
      <c r="A66" s="88"/>
      <c r="B66" s="113" t="s">
        <v>197</v>
      </c>
      <c r="C66" s="106" t="s">
        <v>198</v>
      </c>
      <c r="D66" s="39" t="s">
        <v>161</v>
      </c>
    </row>
    <row r="67" spans="1:4" ht="11.25" customHeight="1" x14ac:dyDescent="0.25">
      <c r="A67" s="88"/>
      <c r="B67" s="113" t="s">
        <v>199</v>
      </c>
      <c r="C67" s="106" t="s">
        <v>200</v>
      </c>
      <c r="D67" s="39" t="s">
        <v>161</v>
      </c>
    </row>
    <row r="68" spans="1:4" ht="11.25" customHeight="1" x14ac:dyDescent="0.25">
      <c r="A68" s="88"/>
      <c r="B68" s="113" t="s">
        <v>201</v>
      </c>
      <c r="C68" s="106" t="s">
        <v>202</v>
      </c>
      <c r="D68" s="39" t="s">
        <v>161</v>
      </c>
    </row>
    <row r="69" spans="1:4" ht="11.25" customHeight="1" x14ac:dyDescent="0.25">
      <c r="A69" s="88"/>
      <c r="B69" s="113" t="s">
        <v>203</v>
      </c>
      <c r="C69" s="106" t="s">
        <v>204</v>
      </c>
      <c r="D69" s="39" t="s">
        <v>161</v>
      </c>
    </row>
    <row r="70" spans="1:4" ht="11.25" customHeight="1" x14ac:dyDescent="0.25">
      <c r="A70" s="88"/>
      <c r="B70" s="113" t="s">
        <v>205</v>
      </c>
      <c r="C70" s="106" t="s">
        <v>206</v>
      </c>
      <c r="D70" s="39" t="s">
        <v>161</v>
      </c>
    </row>
    <row r="71" spans="1:4" ht="11.25" customHeight="1" x14ac:dyDescent="0.25">
      <c r="A71" s="131"/>
      <c r="B71" s="104" t="s">
        <v>207</v>
      </c>
      <c r="C71" s="117" t="s">
        <v>208</v>
      </c>
      <c r="D71" s="101" t="s">
        <v>161</v>
      </c>
    </row>
    <row r="72" spans="1:4" x14ac:dyDescent="0.25">
      <c r="A72" s="128" t="s">
        <v>11</v>
      </c>
      <c r="B72" s="129" t="s">
        <v>98</v>
      </c>
      <c r="C72" s="128"/>
      <c r="D72" s="98"/>
    </row>
    <row r="73" spans="1:4" ht="11.25" customHeight="1" thickBot="1" x14ac:dyDescent="0.3">
      <c r="A73" s="124"/>
      <c r="B73" s="125" t="s">
        <v>98</v>
      </c>
      <c r="C73" s="126" t="s">
        <v>99</v>
      </c>
      <c r="D73" s="127" t="s">
        <v>156</v>
      </c>
    </row>
    <row r="74" spans="1:4" ht="11.25" customHeight="1" x14ac:dyDescent="0.25">
      <c r="A74" s="67" t="s">
        <v>4</v>
      </c>
      <c r="B74" s="106" t="s">
        <v>122</v>
      </c>
      <c r="C74" s="67"/>
      <c r="D74" s="39"/>
    </row>
    <row r="75" spans="1:4" ht="11.25" customHeight="1" x14ac:dyDescent="0.25">
      <c r="A75" s="104"/>
      <c r="B75" s="104" t="s">
        <v>122</v>
      </c>
      <c r="C75" s="117" t="s">
        <v>123</v>
      </c>
      <c r="D75" s="101" t="s">
        <v>156</v>
      </c>
    </row>
    <row r="76" spans="1:4" ht="11.25" customHeight="1" x14ac:dyDescent="0.25">
      <c r="A76" s="119" t="s">
        <v>209</v>
      </c>
      <c r="B76" s="120"/>
      <c r="C76" s="119"/>
      <c r="D76" s="121"/>
    </row>
    <row r="77" spans="1:4" ht="11.25" customHeight="1" x14ac:dyDescent="0.25">
      <c r="A77" s="88"/>
      <c r="B77" s="113" t="s">
        <v>210</v>
      </c>
      <c r="C77" s="106" t="s">
        <v>211</v>
      </c>
      <c r="D77" s="39" t="s">
        <v>161</v>
      </c>
    </row>
    <row r="78" spans="1:4" ht="11.25" customHeight="1" x14ac:dyDescent="0.25">
      <c r="A78" s="123"/>
      <c r="B78" s="114" t="s">
        <v>212</v>
      </c>
      <c r="C78" s="115" t="s">
        <v>213</v>
      </c>
      <c r="D78" s="116" t="s">
        <v>161</v>
      </c>
    </row>
    <row r="79" spans="1:4" ht="11.25" customHeight="1" x14ac:dyDescent="0.25">
      <c r="A79" s="119" t="s">
        <v>18</v>
      </c>
      <c r="B79" s="120"/>
      <c r="C79" s="119"/>
      <c r="D79" s="121"/>
    </row>
    <row r="80" spans="1:4" ht="11.25" customHeight="1" x14ac:dyDescent="0.25">
      <c r="A80" s="123"/>
      <c r="B80" s="114" t="s">
        <v>214</v>
      </c>
      <c r="C80" s="115" t="s">
        <v>215</v>
      </c>
      <c r="D80" s="116" t="s">
        <v>161</v>
      </c>
    </row>
    <row r="81" spans="1:4" ht="11.25" customHeight="1" x14ac:dyDescent="0.25">
      <c r="A81" s="119" t="s">
        <v>9</v>
      </c>
      <c r="B81" s="120"/>
      <c r="C81" s="119"/>
      <c r="D81" s="121"/>
    </row>
    <row r="82" spans="1:4" ht="11.25" customHeight="1" x14ac:dyDescent="0.25">
      <c r="A82" s="88"/>
      <c r="B82" s="113" t="s">
        <v>216</v>
      </c>
      <c r="C82" s="106" t="s">
        <v>217</v>
      </c>
      <c r="D82" s="39" t="s">
        <v>161</v>
      </c>
    </row>
    <row r="83" spans="1:4" ht="11.25" customHeight="1" x14ac:dyDescent="0.25">
      <c r="A83" s="88"/>
      <c r="B83" s="113" t="s">
        <v>218</v>
      </c>
      <c r="C83" s="106" t="s">
        <v>219</v>
      </c>
      <c r="D83" s="39" t="s">
        <v>161</v>
      </c>
    </row>
    <row r="84" spans="1:4" ht="11.25" customHeight="1" x14ac:dyDescent="0.25">
      <c r="A84" s="88"/>
      <c r="B84" s="113" t="s">
        <v>220</v>
      </c>
      <c r="C84" s="106" t="s">
        <v>221</v>
      </c>
      <c r="D84" s="39" t="s">
        <v>161</v>
      </c>
    </row>
    <row r="85" spans="1:4" ht="11.25" customHeight="1" x14ac:dyDescent="0.25">
      <c r="A85" s="88"/>
      <c r="B85" s="113" t="s">
        <v>222</v>
      </c>
      <c r="C85" s="106" t="s">
        <v>223</v>
      </c>
      <c r="D85" s="39" t="s">
        <v>161</v>
      </c>
    </row>
    <row r="86" spans="1:4" ht="11.25" customHeight="1" thickBot="1" x14ac:dyDescent="0.3">
      <c r="A86" s="132"/>
      <c r="B86" s="125" t="s">
        <v>224</v>
      </c>
      <c r="C86" s="126" t="s">
        <v>225</v>
      </c>
      <c r="D86" s="127" t="s">
        <v>161</v>
      </c>
    </row>
    <row r="87" spans="1:4" ht="11.25" customHeight="1" x14ac:dyDescent="0.25">
      <c r="A87" s="67" t="s">
        <v>3</v>
      </c>
      <c r="B87" s="106" t="s">
        <v>226</v>
      </c>
      <c r="C87" s="67"/>
      <c r="D87" s="39"/>
    </row>
    <row r="88" spans="1:4" x14ac:dyDescent="0.25">
      <c r="A88" s="128" t="s">
        <v>21</v>
      </c>
      <c r="B88" s="129" t="s">
        <v>117</v>
      </c>
      <c r="C88" s="128"/>
      <c r="D88" s="98"/>
    </row>
    <row r="89" spans="1:4" ht="11.25" customHeight="1" x14ac:dyDescent="0.25">
      <c r="A89" s="130"/>
      <c r="B89" s="114" t="s">
        <v>117</v>
      </c>
      <c r="C89" s="115" t="s">
        <v>118</v>
      </c>
      <c r="D89" s="116" t="s">
        <v>156</v>
      </c>
    </row>
    <row r="90" spans="1:4" ht="11.25" customHeight="1" x14ac:dyDescent="0.25">
      <c r="A90" s="88" t="s">
        <v>8</v>
      </c>
      <c r="B90" s="122"/>
      <c r="C90" s="88"/>
      <c r="D90" s="39"/>
    </row>
    <row r="91" spans="1:4" ht="11.25" customHeight="1" x14ac:dyDescent="0.25">
      <c r="A91" s="123"/>
      <c r="B91" s="114" t="s">
        <v>227</v>
      </c>
      <c r="C91" s="115" t="s">
        <v>228</v>
      </c>
      <c r="D91" s="116" t="s">
        <v>161</v>
      </c>
    </row>
    <row r="92" spans="1:4" ht="11.25" customHeight="1" x14ac:dyDescent="0.25">
      <c r="A92" s="88" t="s">
        <v>17</v>
      </c>
      <c r="B92" s="122"/>
      <c r="C92" s="88"/>
      <c r="D92" s="39"/>
    </row>
    <row r="93" spans="1:4" ht="11.25" customHeight="1" x14ac:dyDescent="0.25">
      <c r="A93" s="88"/>
      <c r="B93" s="113" t="s">
        <v>229</v>
      </c>
      <c r="C93" s="106" t="s">
        <v>230</v>
      </c>
      <c r="D93" s="39" t="s">
        <v>161</v>
      </c>
    </row>
    <row r="94" spans="1:4" ht="11.25" customHeight="1" x14ac:dyDescent="0.25">
      <c r="A94" s="131"/>
      <c r="B94" s="104" t="s">
        <v>231</v>
      </c>
      <c r="C94" s="117" t="s">
        <v>232</v>
      </c>
      <c r="D94" s="101" t="s">
        <v>161</v>
      </c>
    </row>
    <row r="95" spans="1:4" x14ac:dyDescent="0.25">
      <c r="A95" s="128" t="s">
        <v>16</v>
      </c>
      <c r="B95" s="129" t="s">
        <v>119</v>
      </c>
      <c r="C95" s="128"/>
      <c r="D95" s="98"/>
    </row>
    <row r="96" spans="1:4" ht="11.25" customHeight="1" thickBot="1" x14ac:dyDescent="0.3">
      <c r="A96" s="124"/>
      <c r="B96" s="125" t="s">
        <v>119</v>
      </c>
      <c r="C96" s="126" t="s">
        <v>7</v>
      </c>
      <c r="D96" s="127" t="s">
        <v>156</v>
      </c>
    </row>
    <row r="97" spans="1:4" ht="11.25" customHeight="1" x14ac:dyDescent="0.25">
      <c r="A97" s="118" t="s">
        <v>2</v>
      </c>
      <c r="B97" s="103" t="s">
        <v>88</v>
      </c>
      <c r="C97" s="118"/>
      <c r="D97" s="98"/>
    </row>
    <row r="98" spans="1:4" ht="11.25" customHeight="1" thickBot="1" x14ac:dyDescent="0.3">
      <c r="A98" s="125"/>
      <c r="B98" s="125" t="s">
        <v>88</v>
      </c>
      <c r="C98" s="126" t="s">
        <v>89</v>
      </c>
      <c r="D98" s="127" t="s">
        <v>233</v>
      </c>
    </row>
    <row r="99" spans="1:4" ht="11.25" customHeight="1" x14ac:dyDescent="0.25">
      <c r="A99" s="118" t="s">
        <v>275</v>
      </c>
      <c r="B99" s="103" t="s">
        <v>110</v>
      </c>
      <c r="C99" s="118"/>
      <c r="D99" s="98"/>
    </row>
    <row r="100" spans="1:4" ht="11.25" customHeight="1" thickBot="1" x14ac:dyDescent="0.3">
      <c r="A100" s="125"/>
      <c r="B100" s="125" t="s">
        <v>110</v>
      </c>
      <c r="C100" s="126" t="s">
        <v>111</v>
      </c>
      <c r="D100" s="127" t="s">
        <v>233</v>
      </c>
    </row>
    <row r="101" spans="1:4" ht="11.25" customHeight="1" x14ac:dyDescent="0.25">
      <c r="A101" s="118" t="s">
        <v>276</v>
      </c>
      <c r="B101" s="103" t="s">
        <v>234</v>
      </c>
      <c r="C101" s="118"/>
      <c r="D101" s="98"/>
    </row>
    <row r="102" spans="1:4" ht="11.25" customHeight="1" x14ac:dyDescent="0.25">
      <c r="A102" s="67"/>
      <c r="B102" s="113" t="s">
        <v>126</v>
      </c>
      <c r="C102" s="106" t="s">
        <v>127</v>
      </c>
      <c r="D102" s="107" t="s">
        <v>156</v>
      </c>
    </row>
    <row r="103" spans="1:4" ht="11.25" customHeight="1" x14ac:dyDescent="0.25">
      <c r="A103" s="67"/>
      <c r="B103" s="113" t="s">
        <v>104</v>
      </c>
      <c r="C103" s="106" t="s">
        <v>105</v>
      </c>
      <c r="D103" s="107" t="s">
        <v>156</v>
      </c>
    </row>
    <row r="104" spans="1:4" ht="11.25" customHeight="1" x14ac:dyDescent="0.25">
      <c r="A104" s="67"/>
      <c r="B104" s="113" t="s">
        <v>106</v>
      </c>
      <c r="C104" s="106" t="s">
        <v>107</v>
      </c>
      <c r="D104" s="107" t="s">
        <v>156</v>
      </c>
    </row>
    <row r="105" spans="1:4" ht="11.25" customHeight="1" thickBot="1" x14ac:dyDescent="0.3">
      <c r="A105" s="125"/>
      <c r="B105" s="125" t="s">
        <v>108</v>
      </c>
      <c r="C105" s="126" t="s">
        <v>109</v>
      </c>
      <c r="D105" s="127" t="s">
        <v>156</v>
      </c>
    </row>
    <row r="106" spans="1:4" ht="11.25" customHeight="1" x14ac:dyDescent="0.25">
      <c r="A106" s="118" t="s">
        <v>1</v>
      </c>
      <c r="B106" s="103" t="s">
        <v>90</v>
      </c>
      <c r="C106" s="118"/>
      <c r="D106" s="98"/>
    </row>
    <row r="107" spans="1:4" ht="11.25" customHeight="1" thickBot="1" x14ac:dyDescent="0.3">
      <c r="A107" s="125"/>
      <c r="B107" s="125" t="s">
        <v>90</v>
      </c>
      <c r="C107" s="126" t="s">
        <v>91</v>
      </c>
      <c r="D107" s="127" t="s">
        <v>233</v>
      </c>
    </row>
    <row r="108" spans="1:4" ht="11.25" customHeight="1" x14ac:dyDescent="0.25">
      <c r="A108" s="118" t="s">
        <v>0</v>
      </c>
      <c r="B108" s="103" t="s">
        <v>115</v>
      </c>
      <c r="C108" s="118"/>
      <c r="D108" s="98"/>
    </row>
    <row r="109" spans="1:4" ht="11.25" customHeight="1" thickBot="1" x14ac:dyDescent="0.3">
      <c r="A109" s="125"/>
      <c r="B109" s="125" t="s">
        <v>115</v>
      </c>
      <c r="C109" s="126" t="s">
        <v>116</v>
      </c>
      <c r="D109" s="127" t="s">
        <v>156</v>
      </c>
    </row>
    <row r="110" spans="1:4" ht="11.25" customHeight="1" x14ac:dyDescent="0.25">
      <c r="A110" s="118" t="s">
        <v>278</v>
      </c>
      <c r="B110" s="103" t="s">
        <v>235</v>
      </c>
      <c r="C110" s="118"/>
      <c r="D110" s="98"/>
    </row>
    <row r="111" spans="1:4" ht="11.25" customHeight="1" x14ac:dyDescent="0.25">
      <c r="A111" s="67"/>
      <c r="B111" s="113" t="s">
        <v>120</v>
      </c>
      <c r="C111" s="106" t="s">
        <v>121</v>
      </c>
      <c r="D111" s="107" t="s">
        <v>156</v>
      </c>
    </row>
    <row r="112" spans="1:4" ht="11.25" customHeight="1" thickBot="1" x14ac:dyDescent="0.3">
      <c r="A112" s="125"/>
      <c r="B112" s="125" t="s">
        <v>132</v>
      </c>
      <c r="C112" s="126" t="s">
        <v>133</v>
      </c>
      <c r="D112" s="127" t="s">
        <v>156</v>
      </c>
    </row>
  </sheetData>
  <pageMargins left="0.19685039370078741" right="0.19685039370078741" top="0.19685039370078741" bottom="0.19685039370078741" header="0.11811023622047244" footer="0.11811023622047244"/>
  <pageSetup paperSize="9" scale="80" fitToHeight="0" orientation="landscape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cover</vt:lpstr>
      <vt:lpstr>index</vt:lpstr>
      <vt:lpstr>Macro_CurrPrices</vt:lpstr>
      <vt:lpstr>Macro_euro2015</vt:lpstr>
      <vt:lpstr>Macro_JRC-IDEES</vt:lpstr>
      <vt:lpstr>definitions</vt:lpstr>
      <vt:lpstr>definitions!Print_Area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2024-05-20T16:51:39Z</dcterms:created>
  <dcterms:modified xsi:type="dcterms:W3CDTF">2024-05-20T16:51:39Z</dcterms:modified>
</cp:coreProperties>
</file>